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D\WR\Accounting\WY2021\Production\"/>
    </mc:Choice>
  </mc:AlternateContent>
  <bookViews>
    <workbookView xWindow="7545" yWindow="-120" windowWidth="9720" windowHeight="8550" tabRatio="706" activeTab="2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6" r:id="rId9"/>
    <sheet name="August" sheetId="11" r:id="rId10"/>
    <sheet name="September" sheetId="12" r:id="rId11"/>
    <sheet name="October" sheetId="5" r:id="rId12"/>
    <sheet name="Summary" sheetId="15" r:id="rId13"/>
  </sheets>
  <externalReferences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7" hidden="1">June!$AC$1:$AC$43</definedName>
    <definedName name="_xlnm._FilterDatabase" localSheetId="10" hidden="1">September!$AO$1:$AO$38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6" i="1" l="1"/>
  <c r="Y6" i="1" s="1"/>
  <c r="X7" i="1"/>
  <c r="Y7" i="1" s="1"/>
  <c r="X8" i="1"/>
  <c r="Y8" i="1" s="1"/>
  <c r="X9" i="1"/>
  <c r="Y9" i="1" s="1"/>
  <c r="X10" i="1"/>
  <c r="Y10" i="1" s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5" i="1"/>
  <c r="U6" i="1"/>
  <c r="V6" i="1" s="1"/>
  <c r="U7" i="1"/>
  <c r="V7" i="1" s="1"/>
  <c r="U8" i="1"/>
  <c r="V8" i="1" s="1"/>
  <c r="U9" i="1"/>
  <c r="V9" i="1" s="1"/>
  <c r="U10" i="1"/>
  <c r="V10" i="1" s="1"/>
  <c r="U11" i="1"/>
  <c r="V11" i="1" s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5" i="1"/>
  <c r="R6" i="1"/>
  <c r="S6" i="1" s="1"/>
  <c r="R7" i="1"/>
  <c r="S7" i="1" s="1"/>
  <c r="R8" i="1"/>
  <c r="S8" i="1" s="1"/>
  <c r="R9" i="1"/>
  <c r="S9" i="1" s="1"/>
  <c r="R10" i="1"/>
  <c r="S10" i="1" s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5" i="1"/>
  <c r="O7" i="1"/>
  <c r="P7" i="1" s="1"/>
  <c r="O8" i="1"/>
  <c r="P8" i="1" s="1"/>
  <c r="O9" i="1"/>
  <c r="P9" i="1" s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6" i="1"/>
  <c r="P6" i="1" s="1"/>
  <c r="O5" i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5" i="1"/>
  <c r="H6" i="1"/>
  <c r="I6" i="1" s="1"/>
  <c r="H7" i="1"/>
  <c r="I7" i="1" s="1"/>
  <c r="H8" i="1"/>
  <c r="I8" i="1" s="1"/>
  <c r="H9" i="1"/>
  <c r="I9" i="1" s="1"/>
  <c r="H10" i="1"/>
  <c r="I10" i="1" s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5" i="1"/>
  <c r="E6" i="1"/>
  <c r="F6" i="1" s="1"/>
  <c r="E7" i="1"/>
  <c r="F7" i="1" s="1"/>
  <c r="E8" i="1"/>
  <c r="F8" i="1" s="1"/>
  <c r="E9" i="1"/>
  <c r="F9" i="1" s="1"/>
  <c r="E10" i="1"/>
  <c r="F10" i="1" s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5" i="1"/>
  <c r="B7" i="1"/>
  <c r="C7" i="1" s="1"/>
  <c r="B8" i="1"/>
  <c r="C8" i="1" s="1"/>
  <c r="B9" i="1"/>
  <c r="C9" i="1" s="1"/>
  <c r="B10" i="1"/>
  <c r="C10" i="1" s="1"/>
  <c r="B11" i="1"/>
  <c r="C11" i="1" s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6" i="1"/>
  <c r="C6" i="1" s="1"/>
  <c r="B5" i="1"/>
  <c r="AB5" i="1" l="1"/>
  <c r="I11" i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P10" i="1"/>
  <c r="P11" i="1" s="1"/>
  <c r="P12" i="1" s="1"/>
  <c r="C12" i="1"/>
  <c r="L12" i="1"/>
  <c r="P13" i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F11" i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S11" i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C13" i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V12" i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Y11" i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5" i="13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5" i="13"/>
  <c r="U5" i="14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5" i="13"/>
  <c r="R5" i="14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5" i="13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5" i="13"/>
  <c r="K5" i="14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5" i="13"/>
  <c r="H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5" i="13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5" i="14"/>
  <c r="B6" i="5" l="1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5" i="5"/>
  <c r="AJ6" i="5" l="1"/>
  <c r="AK6" i="5" s="1"/>
  <c r="AL6" i="5" s="1"/>
  <c r="AJ7" i="5"/>
  <c r="AK7" i="5" s="1"/>
  <c r="AL7" i="5" s="1"/>
  <c r="AJ8" i="5"/>
  <c r="AK8" i="5" s="1"/>
  <c r="AL8" i="5" s="1"/>
  <c r="AJ9" i="5"/>
  <c r="AK9" i="5" s="1"/>
  <c r="AL9" i="5" s="1"/>
  <c r="AJ10" i="5"/>
  <c r="AJ11" i="5"/>
  <c r="AK11" i="5" s="1"/>
  <c r="AL11" i="5" s="1"/>
  <c r="AJ12" i="5"/>
  <c r="AK12" i="5" s="1"/>
  <c r="AL12" i="5" s="1"/>
  <c r="AJ13" i="5"/>
  <c r="AK13" i="5" s="1"/>
  <c r="AL13" i="5" s="1"/>
  <c r="AJ14" i="5"/>
  <c r="AK14" i="5" s="1"/>
  <c r="AL14" i="5" s="1"/>
  <c r="AJ15" i="5"/>
  <c r="AK15" i="5" s="1"/>
  <c r="AL15" i="5" s="1"/>
  <c r="AJ16" i="5"/>
  <c r="AK16" i="5" s="1"/>
  <c r="AL16" i="5" s="1"/>
  <c r="AJ17" i="5"/>
  <c r="AK17" i="5" s="1"/>
  <c r="AL17" i="5" s="1"/>
  <c r="AJ18" i="5"/>
  <c r="AK18" i="5" s="1"/>
  <c r="AL18" i="5" s="1"/>
  <c r="AJ19" i="5"/>
  <c r="AK19" i="5" s="1"/>
  <c r="AL19" i="5" s="1"/>
  <c r="AJ20" i="5"/>
  <c r="AK20" i="5" s="1"/>
  <c r="AL20" i="5" s="1"/>
  <c r="AJ21" i="5"/>
  <c r="AK21" i="5" s="1"/>
  <c r="AL21" i="5" s="1"/>
  <c r="AJ22" i="5"/>
  <c r="AK22" i="5" s="1"/>
  <c r="AL22" i="5" s="1"/>
  <c r="AJ23" i="5"/>
  <c r="AK23" i="5" s="1"/>
  <c r="AL23" i="5" s="1"/>
  <c r="AJ24" i="5"/>
  <c r="AK24" i="5" s="1"/>
  <c r="AL24" i="5" s="1"/>
  <c r="AJ25" i="5"/>
  <c r="AK25" i="5" s="1"/>
  <c r="AL25" i="5" s="1"/>
  <c r="AJ26" i="5"/>
  <c r="AK26" i="5" s="1"/>
  <c r="AL26" i="5" s="1"/>
  <c r="AJ27" i="5"/>
  <c r="AK27" i="5" s="1"/>
  <c r="AL27" i="5" s="1"/>
  <c r="AJ28" i="5"/>
  <c r="AK28" i="5" s="1"/>
  <c r="AL28" i="5" s="1"/>
  <c r="AJ29" i="5"/>
  <c r="AK29" i="5" s="1"/>
  <c r="AL29" i="5" s="1"/>
  <c r="AJ30" i="5"/>
  <c r="AK30" i="5" s="1"/>
  <c r="AL30" i="5" s="1"/>
  <c r="AJ31" i="5"/>
  <c r="AK31" i="5" s="1"/>
  <c r="AL31" i="5" s="1"/>
  <c r="AJ32" i="5"/>
  <c r="AK32" i="5" s="1"/>
  <c r="AL32" i="5" s="1"/>
  <c r="AJ33" i="5"/>
  <c r="AK33" i="5" s="1"/>
  <c r="AL33" i="5" s="1"/>
  <c r="AJ34" i="5"/>
  <c r="AK34" i="5" s="1"/>
  <c r="AL34" i="5" s="1"/>
  <c r="AJ35" i="5"/>
  <c r="AK35" i="5" s="1"/>
  <c r="AL35" i="5" s="1"/>
  <c r="AJ5" i="5"/>
  <c r="AK5" i="5" s="1"/>
  <c r="AL5" i="5" s="1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5" i="5"/>
  <c r="AD6" i="5"/>
  <c r="AE6" i="5" s="1"/>
  <c r="AF6" i="5" s="1"/>
  <c r="AD7" i="5"/>
  <c r="AE7" i="5" s="1"/>
  <c r="AF7" i="5" s="1"/>
  <c r="AD8" i="5"/>
  <c r="AE8" i="5" s="1"/>
  <c r="AF8" i="5" s="1"/>
  <c r="AD9" i="5"/>
  <c r="AE9" i="5" s="1"/>
  <c r="AF9" i="5" s="1"/>
  <c r="AD10" i="5"/>
  <c r="AE10" i="5" s="1"/>
  <c r="AF10" i="5" s="1"/>
  <c r="AD11" i="5"/>
  <c r="AE11" i="5" s="1"/>
  <c r="AF11" i="5" s="1"/>
  <c r="AD12" i="5"/>
  <c r="AE12" i="5" s="1"/>
  <c r="AF12" i="5" s="1"/>
  <c r="AD13" i="5"/>
  <c r="AE13" i="5" s="1"/>
  <c r="AF13" i="5" s="1"/>
  <c r="AD14" i="5"/>
  <c r="AE14" i="5" s="1"/>
  <c r="AF14" i="5" s="1"/>
  <c r="AD15" i="5"/>
  <c r="AE15" i="5" s="1"/>
  <c r="AF15" i="5" s="1"/>
  <c r="AD16" i="5"/>
  <c r="AE16" i="5" s="1"/>
  <c r="AF16" i="5" s="1"/>
  <c r="AD17" i="5"/>
  <c r="AE17" i="5" s="1"/>
  <c r="AF17" i="5" s="1"/>
  <c r="AD18" i="5"/>
  <c r="AE18" i="5" s="1"/>
  <c r="AF18" i="5" s="1"/>
  <c r="AD19" i="5"/>
  <c r="AE19" i="5" s="1"/>
  <c r="AF19" i="5" s="1"/>
  <c r="AD20" i="5"/>
  <c r="AE20" i="5" s="1"/>
  <c r="AF20" i="5" s="1"/>
  <c r="AD21" i="5"/>
  <c r="AE21" i="5" s="1"/>
  <c r="AF21" i="5" s="1"/>
  <c r="AD22" i="5"/>
  <c r="AE22" i="5" s="1"/>
  <c r="AF22" i="5" s="1"/>
  <c r="AD23" i="5"/>
  <c r="AE23" i="5" s="1"/>
  <c r="AF23" i="5" s="1"/>
  <c r="AD24" i="5"/>
  <c r="AE24" i="5" s="1"/>
  <c r="AF24" i="5" s="1"/>
  <c r="AD25" i="5"/>
  <c r="AE25" i="5" s="1"/>
  <c r="AF25" i="5" s="1"/>
  <c r="AD26" i="5"/>
  <c r="AE26" i="5" s="1"/>
  <c r="AF26" i="5" s="1"/>
  <c r="AD27" i="5"/>
  <c r="AE27" i="5" s="1"/>
  <c r="AF27" i="5" s="1"/>
  <c r="AD28" i="5"/>
  <c r="AE28" i="5" s="1"/>
  <c r="AF28" i="5" s="1"/>
  <c r="AD29" i="5"/>
  <c r="AE29" i="5" s="1"/>
  <c r="AF29" i="5" s="1"/>
  <c r="AD30" i="5"/>
  <c r="AE30" i="5" s="1"/>
  <c r="AF30" i="5" s="1"/>
  <c r="AD31" i="5"/>
  <c r="AE31" i="5" s="1"/>
  <c r="AF31" i="5" s="1"/>
  <c r="AD32" i="5"/>
  <c r="AE32" i="5" s="1"/>
  <c r="AF32" i="5" s="1"/>
  <c r="AD33" i="5"/>
  <c r="AE33" i="5" s="1"/>
  <c r="AF33" i="5" s="1"/>
  <c r="AD34" i="5"/>
  <c r="AE34" i="5" s="1"/>
  <c r="AF34" i="5" s="1"/>
  <c r="AD35" i="5"/>
  <c r="AE35" i="5" s="1"/>
  <c r="AF35" i="5" s="1"/>
  <c r="AD5" i="5"/>
  <c r="AE5" i="5" s="1"/>
  <c r="AF5" i="5" s="1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5" i="5"/>
  <c r="AK10" i="5"/>
  <c r="AL10" i="5" s="1"/>
  <c r="X6" i="5"/>
  <c r="Y6" i="5" s="1"/>
  <c r="Z6" i="5" s="1"/>
  <c r="X7" i="5"/>
  <c r="Y7" i="5" s="1"/>
  <c r="Z7" i="5" s="1"/>
  <c r="X8" i="5"/>
  <c r="Y8" i="5" s="1"/>
  <c r="Z8" i="5" s="1"/>
  <c r="X9" i="5"/>
  <c r="Y9" i="5" s="1"/>
  <c r="Z9" i="5" s="1"/>
  <c r="X10" i="5"/>
  <c r="Y10" i="5" s="1"/>
  <c r="Z10" i="5" s="1"/>
  <c r="X11" i="5"/>
  <c r="Y11" i="5" s="1"/>
  <c r="Z11" i="5" s="1"/>
  <c r="X12" i="5"/>
  <c r="Y12" i="5" s="1"/>
  <c r="Z12" i="5" s="1"/>
  <c r="X13" i="5"/>
  <c r="Y13" i="5" s="1"/>
  <c r="Z13" i="5" s="1"/>
  <c r="X14" i="5"/>
  <c r="Y14" i="5" s="1"/>
  <c r="Z14" i="5" s="1"/>
  <c r="X15" i="5"/>
  <c r="Y15" i="5" s="1"/>
  <c r="Z15" i="5" s="1"/>
  <c r="X16" i="5"/>
  <c r="Y16" i="5" s="1"/>
  <c r="Z16" i="5" s="1"/>
  <c r="X17" i="5"/>
  <c r="Y17" i="5" s="1"/>
  <c r="Z17" i="5" s="1"/>
  <c r="X18" i="5"/>
  <c r="Y18" i="5" s="1"/>
  <c r="Z18" i="5" s="1"/>
  <c r="X19" i="5"/>
  <c r="Y19" i="5" s="1"/>
  <c r="Z19" i="5" s="1"/>
  <c r="X20" i="5"/>
  <c r="Y20" i="5" s="1"/>
  <c r="Z20" i="5" s="1"/>
  <c r="X21" i="5"/>
  <c r="Y21" i="5" s="1"/>
  <c r="Z21" i="5" s="1"/>
  <c r="X22" i="5"/>
  <c r="Y22" i="5" s="1"/>
  <c r="Z22" i="5" s="1"/>
  <c r="X23" i="5"/>
  <c r="Y23" i="5" s="1"/>
  <c r="Z23" i="5" s="1"/>
  <c r="X24" i="5"/>
  <c r="Y24" i="5" s="1"/>
  <c r="Z24" i="5" s="1"/>
  <c r="X25" i="5"/>
  <c r="Y25" i="5" s="1"/>
  <c r="Z25" i="5" s="1"/>
  <c r="X26" i="5"/>
  <c r="Y26" i="5" s="1"/>
  <c r="Z26" i="5" s="1"/>
  <c r="X27" i="5"/>
  <c r="Y27" i="5" s="1"/>
  <c r="Z27" i="5" s="1"/>
  <c r="X28" i="5"/>
  <c r="Y28" i="5" s="1"/>
  <c r="Z28" i="5" s="1"/>
  <c r="X29" i="5"/>
  <c r="Y29" i="5" s="1"/>
  <c r="Z29" i="5" s="1"/>
  <c r="X30" i="5"/>
  <c r="Y30" i="5" s="1"/>
  <c r="Z30" i="5" s="1"/>
  <c r="X31" i="5"/>
  <c r="Y31" i="5" s="1"/>
  <c r="Z31" i="5" s="1"/>
  <c r="X32" i="5"/>
  <c r="Y32" i="5" s="1"/>
  <c r="Z32" i="5" s="1"/>
  <c r="X33" i="5"/>
  <c r="Y33" i="5" s="1"/>
  <c r="Z33" i="5" s="1"/>
  <c r="X34" i="5"/>
  <c r="Y34" i="5" s="1"/>
  <c r="Z34" i="5" s="1"/>
  <c r="X35" i="5"/>
  <c r="Y35" i="5" s="1"/>
  <c r="Z35" i="5" s="1"/>
  <c r="X5" i="5"/>
  <c r="Y5" i="5" s="1"/>
  <c r="Z5" i="5" s="1"/>
  <c r="R6" i="5"/>
  <c r="S6" i="5" s="1"/>
  <c r="T6" i="5" s="1"/>
  <c r="R7" i="5"/>
  <c r="S7" i="5" s="1"/>
  <c r="T7" i="5" s="1"/>
  <c r="R8" i="5"/>
  <c r="S8" i="5" s="1"/>
  <c r="T8" i="5" s="1"/>
  <c r="R9" i="5"/>
  <c r="S9" i="5" s="1"/>
  <c r="T9" i="5" s="1"/>
  <c r="R10" i="5"/>
  <c r="S10" i="5" s="1"/>
  <c r="T10" i="5" s="1"/>
  <c r="R11" i="5"/>
  <c r="S11" i="5" s="1"/>
  <c r="T11" i="5" s="1"/>
  <c r="R12" i="5"/>
  <c r="S12" i="5" s="1"/>
  <c r="T12" i="5" s="1"/>
  <c r="R13" i="5"/>
  <c r="S13" i="5" s="1"/>
  <c r="T13" i="5" s="1"/>
  <c r="R14" i="5"/>
  <c r="S14" i="5" s="1"/>
  <c r="T14" i="5" s="1"/>
  <c r="R15" i="5"/>
  <c r="S15" i="5" s="1"/>
  <c r="T15" i="5" s="1"/>
  <c r="R16" i="5"/>
  <c r="S16" i="5" s="1"/>
  <c r="T16" i="5" s="1"/>
  <c r="R17" i="5"/>
  <c r="S17" i="5" s="1"/>
  <c r="T17" i="5" s="1"/>
  <c r="R18" i="5"/>
  <c r="S18" i="5" s="1"/>
  <c r="T18" i="5" s="1"/>
  <c r="R19" i="5"/>
  <c r="S19" i="5" s="1"/>
  <c r="T19" i="5" s="1"/>
  <c r="R20" i="5"/>
  <c r="S20" i="5" s="1"/>
  <c r="T20" i="5" s="1"/>
  <c r="R21" i="5"/>
  <c r="S21" i="5" s="1"/>
  <c r="T21" i="5" s="1"/>
  <c r="R22" i="5"/>
  <c r="S22" i="5" s="1"/>
  <c r="T22" i="5" s="1"/>
  <c r="R23" i="5"/>
  <c r="S23" i="5" s="1"/>
  <c r="T23" i="5" s="1"/>
  <c r="R24" i="5"/>
  <c r="S24" i="5" s="1"/>
  <c r="T24" i="5" s="1"/>
  <c r="R25" i="5"/>
  <c r="S25" i="5" s="1"/>
  <c r="T25" i="5" s="1"/>
  <c r="R26" i="5"/>
  <c r="S26" i="5" s="1"/>
  <c r="T26" i="5" s="1"/>
  <c r="R27" i="5"/>
  <c r="S27" i="5" s="1"/>
  <c r="T27" i="5" s="1"/>
  <c r="R28" i="5"/>
  <c r="S28" i="5" s="1"/>
  <c r="T28" i="5" s="1"/>
  <c r="R29" i="5"/>
  <c r="S29" i="5" s="1"/>
  <c r="T29" i="5" s="1"/>
  <c r="R30" i="5"/>
  <c r="S30" i="5" s="1"/>
  <c r="T30" i="5" s="1"/>
  <c r="R31" i="5"/>
  <c r="S31" i="5" s="1"/>
  <c r="T31" i="5" s="1"/>
  <c r="R32" i="5"/>
  <c r="S32" i="5" s="1"/>
  <c r="T32" i="5" s="1"/>
  <c r="R33" i="5"/>
  <c r="S33" i="5" s="1"/>
  <c r="T33" i="5" s="1"/>
  <c r="R34" i="5"/>
  <c r="S34" i="5" s="1"/>
  <c r="T34" i="5" s="1"/>
  <c r="R35" i="5"/>
  <c r="S35" i="5" s="1"/>
  <c r="T35" i="5" s="1"/>
  <c r="R5" i="5"/>
  <c r="S5" i="5" s="1"/>
  <c r="T5" i="5" s="1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5" i="5"/>
  <c r="AA6" i="12" l="1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5" i="12"/>
  <c r="X5" i="12"/>
  <c r="B6" i="11" l="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5" i="11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5" i="16"/>
  <c r="AD6" i="12" l="1"/>
  <c r="AD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5" i="12"/>
  <c r="AB5" i="12"/>
  <c r="AC5" i="12" s="1"/>
  <c r="AB6" i="12"/>
  <c r="AC6" i="12" s="1"/>
  <c r="AB7" i="12"/>
  <c r="AC7" i="12" s="1"/>
  <c r="AB8" i="12"/>
  <c r="AC8" i="12" s="1"/>
  <c r="AB9" i="12"/>
  <c r="AC9" i="12" s="1"/>
  <c r="AB10" i="12"/>
  <c r="AC10" i="12" s="1"/>
  <c r="AB11" i="12"/>
  <c r="AC11" i="12" s="1"/>
  <c r="AB12" i="12"/>
  <c r="AC12" i="12" s="1"/>
  <c r="AB13" i="12"/>
  <c r="AC13" i="12" s="1"/>
  <c r="AB14" i="12"/>
  <c r="AC14" i="12" s="1"/>
  <c r="AB15" i="12"/>
  <c r="AC15" i="12" s="1"/>
  <c r="AB16" i="12"/>
  <c r="AC16" i="12" s="1"/>
  <c r="AB17" i="12"/>
  <c r="AC17" i="12" s="1"/>
  <c r="AB18" i="12"/>
  <c r="AC18" i="12" s="1"/>
  <c r="AB19" i="12"/>
  <c r="AC19" i="12" s="1"/>
  <c r="AB20" i="12"/>
  <c r="AC20" i="12" s="1"/>
  <c r="AB21" i="12"/>
  <c r="AC21" i="12" s="1"/>
  <c r="AB22" i="12"/>
  <c r="AC22" i="12" s="1"/>
  <c r="AB23" i="12"/>
  <c r="AC23" i="12" s="1"/>
  <c r="AB24" i="12"/>
  <c r="AC24" i="12" s="1"/>
  <c r="AB25" i="12"/>
  <c r="AC25" i="12" s="1"/>
  <c r="AB26" i="12"/>
  <c r="AC26" i="12" s="1"/>
  <c r="AB27" i="12"/>
  <c r="AC27" i="12" s="1"/>
  <c r="AB28" i="12"/>
  <c r="AC28" i="12" s="1"/>
  <c r="AB29" i="12"/>
  <c r="AC29" i="12" s="1"/>
  <c r="AB30" i="12"/>
  <c r="AC30" i="12" s="1"/>
  <c r="AB31" i="12"/>
  <c r="AC31" i="12" s="1"/>
  <c r="AB32" i="12"/>
  <c r="AC32" i="12" s="1"/>
  <c r="AB33" i="12"/>
  <c r="AC33" i="12" s="1"/>
  <c r="AB34" i="12"/>
  <c r="AC34" i="12" s="1"/>
  <c r="X6" i="12"/>
  <c r="Y6" i="12" s="1"/>
  <c r="Z6" i="12" s="1"/>
  <c r="X7" i="12"/>
  <c r="Y7" i="12" s="1"/>
  <c r="Z7" i="12" s="1"/>
  <c r="X8" i="12"/>
  <c r="Y8" i="12" s="1"/>
  <c r="Z8" i="12" s="1"/>
  <c r="X9" i="12"/>
  <c r="Y9" i="12" s="1"/>
  <c r="Z9" i="12" s="1"/>
  <c r="X10" i="12"/>
  <c r="Y10" i="12" s="1"/>
  <c r="Z10" i="12" s="1"/>
  <c r="X11" i="12"/>
  <c r="Y11" i="12" s="1"/>
  <c r="Z11" i="12" s="1"/>
  <c r="X12" i="12"/>
  <c r="Y12" i="12" s="1"/>
  <c r="Z12" i="12" s="1"/>
  <c r="X13" i="12"/>
  <c r="Y13" i="12" s="1"/>
  <c r="Z13" i="12" s="1"/>
  <c r="X14" i="12"/>
  <c r="Y14" i="12" s="1"/>
  <c r="Z14" i="12" s="1"/>
  <c r="X15" i="12"/>
  <c r="Y15" i="12" s="1"/>
  <c r="Z15" i="12" s="1"/>
  <c r="X16" i="12"/>
  <c r="Y16" i="12" s="1"/>
  <c r="Z16" i="12" s="1"/>
  <c r="X17" i="12"/>
  <c r="Y17" i="12" s="1"/>
  <c r="Z17" i="12" s="1"/>
  <c r="X18" i="12"/>
  <c r="Y18" i="12" s="1"/>
  <c r="Z18" i="12" s="1"/>
  <c r="X19" i="12"/>
  <c r="Y19" i="12" s="1"/>
  <c r="Z19" i="12" s="1"/>
  <c r="X20" i="12"/>
  <c r="Y20" i="12" s="1"/>
  <c r="Z20" i="12" s="1"/>
  <c r="X21" i="12"/>
  <c r="Y21" i="12" s="1"/>
  <c r="Z21" i="12" s="1"/>
  <c r="X22" i="12"/>
  <c r="Y22" i="12" s="1"/>
  <c r="Z22" i="12" s="1"/>
  <c r="X23" i="12"/>
  <c r="Y23" i="12" s="1"/>
  <c r="Z23" i="12" s="1"/>
  <c r="X24" i="12"/>
  <c r="Y24" i="12" s="1"/>
  <c r="Z24" i="12" s="1"/>
  <c r="X25" i="12"/>
  <c r="Y25" i="12" s="1"/>
  <c r="Z25" i="12" s="1"/>
  <c r="X26" i="12"/>
  <c r="Y26" i="12" s="1"/>
  <c r="Z26" i="12" s="1"/>
  <c r="X27" i="12"/>
  <c r="Y27" i="12" s="1"/>
  <c r="Z27" i="12" s="1"/>
  <c r="X28" i="12"/>
  <c r="Y28" i="12" s="1"/>
  <c r="Z28" i="12" s="1"/>
  <c r="X29" i="12"/>
  <c r="Y29" i="12" s="1"/>
  <c r="Z29" i="12" s="1"/>
  <c r="X30" i="12"/>
  <c r="Y30" i="12" s="1"/>
  <c r="Z30" i="12" s="1"/>
  <c r="X31" i="12"/>
  <c r="Y31" i="12" s="1"/>
  <c r="Z31" i="12" s="1"/>
  <c r="X32" i="12"/>
  <c r="Y32" i="12" s="1"/>
  <c r="Z32" i="12" s="1"/>
  <c r="X33" i="12"/>
  <c r="Y33" i="12" s="1"/>
  <c r="Z33" i="12" s="1"/>
  <c r="X34" i="12"/>
  <c r="Y34" i="12" s="1"/>
  <c r="Z34" i="12" s="1"/>
  <c r="Y5" i="12"/>
  <c r="Z5" i="12" s="1"/>
  <c r="AJ6" i="12"/>
  <c r="AK6" i="12" s="1"/>
  <c r="AL6" i="12" s="1"/>
  <c r="AJ7" i="12"/>
  <c r="AK7" i="12" s="1"/>
  <c r="AL7" i="12" s="1"/>
  <c r="AJ8" i="12"/>
  <c r="AK8" i="12" s="1"/>
  <c r="AL8" i="12" s="1"/>
  <c r="AJ9" i="12"/>
  <c r="AK9" i="12" s="1"/>
  <c r="AL9" i="12" s="1"/>
  <c r="AJ10" i="12"/>
  <c r="AK10" i="12" s="1"/>
  <c r="AL10" i="12" s="1"/>
  <c r="AJ11" i="12"/>
  <c r="AK11" i="12" s="1"/>
  <c r="AL11" i="12" s="1"/>
  <c r="AJ12" i="12"/>
  <c r="AK12" i="12" s="1"/>
  <c r="AL12" i="12" s="1"/>
  <c r="AJ13" i="12"/>
  <c r="AK13" i="12" s="1"/>
  <c r="AL13" i="12" s="1"/>
  <c r="AJ14" i="12"/>
  <c r="AK14" i="12" s="1"/>
  <c r="AL14" i="12" s="1"/>
  <c r="AJ15" i="12"/>
  <c r="AK15" i="12" s="1"/>
  <c r="AL15" i="12" s="1"/>
  <c r="AJ16" i="12"/>
  <c r="AK16" i="12" s="1"/>
  <c r="AL16" i="12" s="1"/>
  <c r="AJ17" i="12"/>
  <c r="AK17" i="12" s="1"/>
  <c r="AL17" i="12" s="1"/>
  <c r="AJ18" i="12"/>
  <c r="AK18" i="12" s="1"/>
  <c r="AL18" i="12" s="1"/>
  <c r="AJ19" i="12"/>
  <c r="AK19" i="12" s="1"/>
  <c r="AL19" i="12" s="1"/>
  <c r="AJ20" i="12"/>
  <c r="AK20" i="12" s="1"/>
  <c r="AL20" i="12" s="1"/>
  <c r="AJ21" i="12"/>
  <c r="AK21" i="12" s="1"/>
  <c r="AL21" i="12" s="1"/>
  <c r="AJ22" i="12"/>
  <c r="AK22" i="12" s="1"/>
  <c r="AL22" i="12" s="1"/>
  <c r="AJ23" i="12"/>
  <c r="AK23" i="12" s="1"/>
  <c r="AL23" i="12" s="1"/>
  <c r="AJ24" i="12"/>
  <c r="AK24" i="12" s="1"/>
  <c r="AL24" i="12" s="1"/>
  <c r="AJ25" i="12"/>
  <c r="AK25" i="12" s="1"/>
  <c r="AL25" i="12" s="1"/>
  <c r="AJ26" i="12"/>
  <c r="AK26" i="12" s="1"/>
  <c r="AL26" i="12" s="1"/>
  <c r="AJ27" i="12"/>
  <c r="AK27" i="12" s="1"/>
  <c r="AL27" i="12" s="1"/>
  <c r="AJ28" i="12"/>
  <c r="AK28" i="12" s="1"/>
  <c r="AL28" i="12" s="1"/>
  <c r="AJ29" i="12"/>
  <c r="AK29" i="12" s="1"/>
  <c r="AL29" i="12" s="1"/>
  <c r="AJ30" i="12"/>
  <c r="AK30" i="12" s="1"/>
  <c r="AL30" i="12" s="1"/>
  <c r="AJ31" i="12"/>
  <c r="AK31" i="12" s="1"/>
  <c r="AL31" i="12" s="1"/>
  <c r="AJ32" i="12"/>
  <c r="AK32" i="12" s="1"/>
  <c r="AL32" i="12" s="1"/>
  <c r="AJ33" i="12"/>
  <c r="AK33" i="12" s="1"/>
  <c r="AL33" i="12" s="1"/>
  <c r="AJ34" i="12"/>
  <c r="AK34" i="12" s="1"/>
  <c r="AL34" i="12" s="1"/>
  <c r="AJ5" i="12"/>
  <c r="AK5" i="12" s="1"/>
  <c r="AL5" i="12" s="1"/>
  <c r="R7" i="12"/>
  <c r="S7" i="12" s="1"/>
  <c r="T7" i="12" s="1"/>
  <c r="R8" i="12"/>
  <c r="S8" i="12" s="1"/>
  <c r="T8" i="12" s="1"/>
  <c r="R9" i="12"/>
  <c r="S9" i="12" s="1"/>
  <c r="T9" i="12" s="1"/>
  <c r="R10" i="12"/>
  <c r="S10" i="12" s="1"/>
  <c r="T10" i="12" s="1"/>
  <c r="R11" i="12"/>
  <c r="S11" i="12" s="1"/>
  <c r="T11" i="12" s="1"/>
  <c r="R12" i="12"/>
  <c r="S12" i="12" s="1"/>
  <c r="T12" i="12" s="1"/>
  <c r="R13" i="12"/>
  <c r="S13" i="12" s="1"/>
  <c r="T13" i="12" s="1"/>
  <c r="R14" i="12"/>
  <c r="S14" i="12" s="1"/>
  <c r="T14" i="12" s="1"/>
  <c r="R15" i="12"/>
  <c r="S15" i="12" s="1"/>
  <c r="T15" i="12" s="1"/>
  <c r="R16" i="12"/>
  <c r="S16" i="12" s="1"/>
  <c r="T16" i="12" s="1"/>
  <c r="R17" i="12"/>
  <c r="S17" i="12" s="1"/>
  <c r="T17" i="12" s="1"/>
  <c r="R18" i="12"/>
  <c r="S18" i="12" s="1"/>
  <c r="T18" i="12" s="1"/>
  <c r="R19" i="12"/>
  <c r="S19" i="12" s="1"/>
  <c r="T19" i="12" s="1"/>
  <c r="R20" i="12"/>
  <c r="S20" i="12" s="1"/>
  <c r="T20" i="12" s="1"/>
  <c r="R21" i="12"/>
  <c r="S21" i="12" s="1"/>
  <c r="T21" i="12" s="1"/>
  <c r="R22" i="12"/>
  <c r="S22" i="12" s="1"/>
  <c r="T22" i="12" s="1"/>
  <c r="R23" i="12"/>
  <c r="S23" i="12" s="1"/>
  <c r="T23" i="12" s="1"/>
  <c r="R24" i="12"/>
  <c r="S24" i="12" s="1"/>
  <c r="T24" i="12" s="1"/>
  <c r="R25" i="12"/>
  <c r="S25" i="12" s="1"/>
  <c r="T25" i="12" s="1"/>
  <c r="R26" i="12"/>
  <c r="S26" i="12" s="1"/>
  <c r="T26" i="12" s="1"/>
  <c r="R27" i="12"/>
  <c r="S27" i="12" s="1"/>
  <c r="T27" i="12" s="1"/>
  <c r="R28" i="12"/>
  <c r="S28" i="12" s="1"/>
  <c r="T28" i="12" s="1"/>
  <c r="R29" i="12"/>
  <c r="S29" i="12" s="1"/>
  <c r="T29" i="12" s="1"/>
  <c r="R30" i="12"/>
  <c r="S30" i="12" s="1"/>
  <c r="T30" i="12" s="1"/>
  <c r="R31" i="12"/>
  <c r="S31" i="12" s="1"/>
  <c r="T31" i="12" s="1"/>
  <c r="R32" i="12"/>
  <c r="S32" i="12" s="1"/>
  <c r="T32" i="12" s="1"/>
  <c r="R33" i="12"/>
  <c r="S33" i="12" s="1"/>
  <c r="T33" i="12" s="1"/>
  <c r="R34" i="12"/>
  <c r="S34" i="12" s="1"/>
  <c r="T34" i="12" s="1"/>
  <c r="R6" i="12"/>
  <c r="S6" i="12" s="1"/>
  <c r="T6" i="12" s="1"/>
  <c r="R5" i="12"/>
  <c r="S5" i="12" s="1"/>
  <c r="T5" i="12" s="1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5" i="12"/>
  <c r="Z35" i="12" l="1"/>
  <c r="T35" i="12"/>
  <c r="AK35" i="12"/>
  <c r="AL35" i="12" s="1"/>
  <c r="K6" i="11" l="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5" i="11"/>
  <c r="X6" i="9" l="1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5" i="9"/>
  <c r="K6" i="16" l="1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5" i="16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5" i="9"/>
  <c r="H23" i="8"/>
  <c r="I23" i="8" s="1"/>
  <c r="J23" i="8" s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5" i="8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5" i="7"/>
  <c r="K23" i="6" l="1"/>
  <c r="K24" i="6"/>
  <c r="K25" i="6"/>
  <c r="K26" i="6"/>
  <c r="K27" i="6"/>
  <c r="K28" i="6"/>
  <c r="K29" i="6"/>
  <c r="K30" i="6"/>
  <c r="K31" i="6"/>
  <c r="K32" i="6"/>
  <c r="K33" i="6"/>
  <c r="K34" i="6"/>
  <c r="K35" i="6"/>
  <c r="K22" i="6"/>
  <c r="X6" i="6" l="1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5" i="6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5" i="4"/>
  <c r="U33" i="4" l="1"/>
  <c r="R33" i="4"/>
  <c r="O33" i="4"/>
  <c r="K33" i="4"/>
  <c r="H33" i="4"/>
  <c r="E33" i="4"/>
  <c r="B33" i="4"/>
  <c r="U35" i="5" l="1"/>
  <c r="O35" i="5"/>
  <c r="AN35" i="5" s="1"/>
  <c r="AO35" i="5" s="1"/>
  <c r="AP35" i="5" s="1"/>
  <c r="U34" i="5"/>
  <c r="O34" i="5"/>
  <c r="AN34" i="5" s="1"/>
  <c r="AO34" i="5" s="1"/>
  <c r="AP34" i="5" s="1"/>
  <c r="U33" i="5"/>
  <c r="O33" i="5"/>
  <c r="AN33" i="5" s="1"/>
  <c r="AO33" i="5" s="1"/>
  <c r="AP33" i="5" s="1"/>
  <c r="U32" i="5"/>
  <c r="O32" i="5"/>
  <c r="AN32" i="5" s="1"/>
  <c r="AO32" i="5" s="1"/>
  <c r="AP32" i="5" s="1"/>
  <c r="U31" i="5"/>
  <c r="O31" i="5"/>
  <c r="AN31" i="5" s="1"/>
  <c r="AO31" i="5" s="1"/>
  <c r="AP31" i="5" s="1"/>
  <c r="U30" i="5"/>
  <c r="O30" i="5"/>
  <c r="AN30" i="5" s="1"/>
  <c r="AO30" i="5" s="1"/>
  <c r="AP30" i="5" s="1"/>
  <c r="U29" i="5"/>
  <c r="O29" i="5"/>
  <c r="AN29" i="5" s="1"/>
  <c r="AO29" i="5" s="1"/>
  <c r="AP29" i="5" s="1"/>
  <c r="U28" i="5"/>
  <c r="O28" i="5"/>
  <c r="AN28" i="5" s="1"/>
  <c r="AO28" i="5" s="1"/>
  <c r="AP28" i="5" s="1"/>
  <c r="U27" i="5"/>
  <c r="O27" i="5"/>
  <c r="AN27" i="5" s="1"/>
  <c r="AO27" i="5" s="1"/>
  <c r="AP27" i="5" s="1"/>
  <c r="U26" i="5"/>
  <c r="O26" i="5"/>
  <c r="AN26" i="5" s="1"/>
  <c r="AO26" i="5" s="1"/>
  <c r="AP26" i="5" s="1"/>
  <c r="U25" i="5"/>
  <c r="O25" i="5"/>
  <c r="AN25" i="5" s="1"/>
  <c r="AO25" i="5" s="1"/>
  <c r="AP25" i="5" s="1"/>
  <c r="U24" i="5"/>
  <c r="O24" i="5"/>
  <c r="AN24" i="5" s="1"/>
  <c r="AO24" i="5" s="1"/>
  <c r="AP24" i="5" s="1"/>
  <c r="U23" i="5"/>
  <c r="O23" i="5"/>
  <c r="AN23" i="5" s="1"/>
  <c r="AO23" i="5" s="1"/>
  <c r="AP23" i="5" s="1"/>
  <c r="U22" i="5"/>
  <c r="O22" i="5"/>
  <c r="AN22" i="5" s="1"/>
  <c r="AO22" i="5" s="1"/>
  <c r="AP22" i="5" s="1"/>
  <c r="U21" i="5"/>
  <c r="O21" i="5"/>
  <c r="AN21" i="5" s="1"/>
  <c r="AO21" i="5" s="1"/>
  <c r="AP21" i="5" s="1"/>
  <c r="U20" i="5"/>
  <c r="O20" i="5"/>
  <c r="AN20" i="5" s="1"/>
  <c r="AO20" i="5" s="1"/>
  <c r="AP20" i="5" s="1"/>
  <c r="U19" i="5"/>
  <c r="O19" i="5"/>
  <c r="AN19" i="5" s="1"/>
  <c r="AO19" i="5" s="1"/>
  <c r="AP19" i="5" s="1"/>
  <c r="U18" i="5"/>
  <c r="O18" i="5"/>
  <c r="AN18" i="5" s="1"/>
  <c r="AO18" i="5" s="1"/>
  <c r="AP18" i="5" s="1"/>
  <c r="U17" i="5"/>
  <c r="O17" i="5"/>
  <c r="AN17" i="5" s="1"/>
  <c r="AO17" i="5" s="1"/>
  <c r="AP17" i="5" s="1"/>
  <c r="U16" i="5"/>
  <c r="O16" i="5"/>
  <c r="AN16" i="5" s="1"/>
  <c r="AO16" i="5" s="1"/>
  <c r="AP16" i="5" s="1"/>
  <c r="U15" i="5"/>
  <c r="O15" i="5"/>
  <c r="AN15" i="5" s="1"/>
  <c r="AO15" i="5" s="1"/>
  <c r="AP15" i="5" s="1"/>
  <c r="U14" i="5"/>
  <c r="O14" i="5"/>
  <c r="AN14" i="5" s="1"/>
  <c r="AO14" i="5" s="1"/>
  <c r="AP14" i="5" s="1"/>
  <c r="U13" i="5"/>
  <c r="O13" i="5"/>
  <c r="AN13" i="5" s="1"/>
  <c r="AO13" i="5" s="1"/>
  <c r="AP13" i="5" s="1"/>
  <c r="U12" i="5"/>
  <c r="O12" i="5"/>
  <c r="AN12" i="5" s="1"/>
  <c r="AO12" i="5" s="1"/>
  <c r="AP12" i="5" s="1"/>
  <c r="U11" i="5"/>
  <c r="O11" i="5"/>
  <c r="AN11" i="5" s="1"/>
  <c r="AO11" i="5" s="1"/>
  <c r="AP11" i="5" s="1"/>
  <c r="U10" i="5"/>
  <c r="O10" i="5"/>
  <c r="AN10" i="5" s="1"/>
  <c r="AO10" i="5" s="1"/>
  <c r="AP10" i="5" s="1"/>
  <c r="U9" i="5"/>
  <c r="O9" i="5"/>
  <c r="AN9" i="5" s="1"/>
  <c r="AO9" i="5" s="1"/>
  <c r="AP9" i="5" s="1"/>
  <c r="U8" i="5"/>
  <c r="O8" i="5"/>
  <c r="AN8" i="5" s="1"/>
  <c r="AO8" i="5" s="1"/>
  <c r="AP8" i="5" s="1"/>
  <c r="U7" i="5"/>
  <c r="O7" i="5"/>
  <c r="AN7" i="5" s="1"/>
  <c r="AO7" i="5" s="1"/>
  <c r="AP7" i="5" s="1"/>
  <c r="U6" i="5"/>
  <c r="O6" i="5"/>
  <c r="AN6" i="5" s="1"/>
  <c r="AO6" i="5" s="1"/>
  <c r="AP6" i="5" s="1"/>
  <c r="U5" i="5"/>
  <c r="O5" i="5"/>
  <c r="AN5" i="5" s="1"/>
  <c r="AO5" i="5" s="1"/>
  <c r="AP5" i="5" s="1"/>
  <c r="H35" i="5"/>
  <c r="E35" i="5"/>
  <c r="H34" i="5"/>
  <c r="E34" i="5"/>
  <c r="H33" i="5"/>
  <c r="E33" i="5"/>
  <c r="H32" i="5"/>
  <c r="E32" i="5"/>
  <c r="H31" i="5"/>
  <c r="E31" i="5"/>
  <c r="H30" i="5"/>
  <c r="E30" i="5"/>
  <c r="H29" i="5"/>
  <c r="E29" i="5"/>
  <c r="H28" i="5"/>
  <c r="E28" i="5"/>
  <c r="H27" i="5"/>
  <c r="E27" i="5"/>
  <c r="H26" i="5"/>
  <c r="E26" i="5"/>
  <c r="H25" i="5"/>
  <c r="E25" i="5"/>
  <c r="H24" i="5"/>
  <c r="E24" i="5"/>
  <c r="H23" i="5"/>
  <c r="E23" i="5"/>
  <c r="H22" i="5"/>
  <c r="E22" i="5"/>
  <c r="H21" i="5"/>
  <c r="E21" i="5"/>
  <c r="H20" i="5"/>
  <c r="E20" i="5"/>
  <c r="H19" i="5"/>
  <c r="E19" i="5"/>
  <c r="H18" i="5"/>
  <c r="E18" i="5"/>
  <c r="H17" i="5"/>
  <c r="E17" i="5"/>
  <c r="H16" i="5"/>
  <c r="E16" i="5"/>
  <c r="H15" i="5"/>
  <c r="E15" i="5"/>
  <c r="H14" i="5"/>
  <c r="E14" i="5"/>
  <c r="H13" i="5"/>
  <c r="E13" i="5"/>
  <c r="H12" i="5"/>
  <c r="E12" i="5"/>
  <c r="H11" i="5"/>
  <c r="E11" i="5"/>
  <c r="H10" i="5"/>
  <c r="E10" i="5"/>
  <c r="H9" i="5"/>
  <c r="E9" i="5"/>
  <c r="H8" i="5"/>
  <c r="E8" i="5"/>
  <c r="H7" i="5"/>
  <c r="E7" i="5"/>
  <c r="H6" i="5"/>
  <c r="E6" i="5"/>
  <c r="H5" i="5"/>
  <c r="E5" i="5"/>
  <c r="AG34" i="12"/>
  <c r="U34" i="12"/>
  <c r="O34" i="12"/>
  <c r="AN34" i="12" s="1"/>
  <c r="AG33" i="12"/>
  <c r="U33" i="12"/>
  <c r="O33" i="12"/>
  <c r="AN33" i="12" s="1"/>
  <c r="AG32" i="12"/>
  <c r="U32" i="12"/>
  <c r="O32" i="12"/>
  <c r="AN32" i="12" s="1"/>
  <c r="AG31" i="12"/>
  <c r="U31" i="12"/>
  <c r="O31" i="12"/>
  <c r="AN31" i="12" s="1"/>
  <c r="AG30" i="12"/>
  <c r="U30" i="12"/>
  <c r="O30" i="12"/>
  <c r="AN30" i="12" s="1"/>
  <c r="AG29" i="12"/>
  <c r="U29" i="12"/>
  <c r="O29" i="12"/>
  <c r="AN29" i="12" s="1"/>
  <c r="AG28" i="12"/>
  <c r="U28" i="12"/>
  <c r="O28" i="12"/>
  <c r="AN28" i="12" s="1"/>
  <c r="AG27" i="12"/>
  <c r="U27" i="12"/>
  <c r="O27" i="12"/>
  <c r="AN27" i="12" s="1"/>
  <c r="AG26" i="12"/>
  <c r="U26" i="12"/>
  <c r="O26" i="12"/>
  <c r="AN26" i="12" s="1"/>
  <c r="AG25" i="12"/>
  <c r="U25" i="12"/>
  <c r="O25" i="12"/>
  <c r="AN25" i="12" s="1"/>
  <c r="AG24" i="12"/>
  <c r="U24" i="12"/>
  <c r="O24" i="12"/>
  <c r="AN24" i="12" s="1"/>
  <c r="AG23" i="12"/>
  <c r="U23" i="12"/>
  <c r="O23" i="12"/>
  <c r="AN23" i="12" s="1"/>
  <c r="AG22" i="12"/>
  <c r="U22" i="12"/>
  <c r="O22" i="12"/>
  <c r="AN22" i="12" s="1"/>
  <c r="AG21" i="12"/>
  <c r="U21" i="12"/>
  <c r="O21" i="12"/>
  <c r="AN21" i="12" s="1"/>
  <c r="AG20" i="12"/>
  <c r="U20" i="12"/>
  <c r="O20" i="12"/>
  <c r="AN20" i="12" s="1"/>
  <c r="AG19" i="12"/>
  <c r="U19" i="12"/>
  <c r="O19" i="12"/>
  <c r="AN19" i="12" s="1"/>
  <c r="AG18" i="12"/>
  <c r="U18" i="12"/>
  <c r="O18" i="12"/>
  <c r="AN18" i="12" s="1"/>
  <c r="AG17" i="12"/>
  <c r="U17" i="12"/>
  <c r="O17" i="12"/>
  <c r="AN17" i="12" s="1"/>
  <c r="AG16" i="12"/>
  <c r="U16" i="12"/>
  <c r="O16" i="12"/>
  <c r="AN16" i="12" s="1"/>
  <c r="AG15" i="12"/>
  <c r="U15" i="12"/>
  <c r="O15" i="12"/>
  <c r="AN15" i="12" s="1"/>
  <c r="AG14" i="12"/>
  <c r="U14" i="12"/>
  <c r="O14" i="12"/>
  <c r="AN14" i="12" s="1"/>
  <c r="AG13" i="12"/>
  <c r="U13" i="12"/>
  <c r="O13" i="12"/>
  <c r="AN13" i="12" s="1"/>
  <c r="AG12" i="12"/>
  <c r="U12" i="12"/>
  <c r="O12" i="12"/>
  <c r="AN12" i="12" s="1"/>
  <c r="AG11" i="12"/>
  <c r="U11" i="12"/>
  <c r="O11" i="12"/>
  <c r="AN11" i="12" s="1"/>
  <c r="AG10" i="12"/>
  <c r="U10" i="12"/>
  <c r="O10" i="12"/>
  <c r="AN10" i="12" s="1"/>
  <c r="AG9" i="12"/>
  <c r="U9" i="12"/>
  <c r="O9" i="12"/>
  <c r="AN9" i="12" s="1"/>
  <c r="AG8" i="12"/>
  <c r="U8" i="12"/>
  <c r="O8" i="12"/>
  <c r="AN8" i="12" s="1"/>
  <c r="AG7" i="12"/>
  <c r="U7" i="12"/>
  <c r="O7" i="12"/>
  <c r="AN7" i="12" s="1"/>
  <c r="AG6" i="12"/>
  <c r="U6" i="12"/>
  <c r="O6" i="12"/>
  <c r="AN6" i="12" s="1"/>
  <c r="AG5" i="12"/>
  <c r="U5" i="12"/>
  <c r="O5" i="12"/>
  <c r="AN5" i="12" s="1"/>
  <c r="H34" i="12"/>
  <c r="E34" i="12"/>
  <c r="H33" i="12"/>
  <c r="E33" i="12"/>
  <c r="H32" i="12"/>
  <c r="E32" i="12"/>
  <c r="H31" i="12"/>
  <c r="E31" i="12"/>
  <c r="H30" i="12"/>
  <c r="E30" i="12"/>
  <c r="H29" i="12"/>
  <c r="E29" i="12"/>
  <c r="H28" i="12"/>
  <c r="E28" i="12"/>
  <c r="H27" i="12"/>
  <c r="E27" i="12"/>
  <c r="H26" i="12"/>
  <c r="E26" i="12"/>
  <c r="H25" i="12"/>
  <c r="E25" i="12"/>
  <c r="H24" i="12"/>
  <c r="E24" i="12"/>
  <c r="H23" i="12"/>
  <c r="E23" i="12"/>
  <c r="H22" i="12"/>
  <c r="E22" i="12"/>
  <c r="H21" i="12"/>
  <c r="E21" i="12"/>
  <c r="H20" i="12"/>
  <c r="E20" i="12"/>
  <c r="H19" i="12"/>
  <c r="E19" i="12"/>
  <c r="H18" i="12"/>
  <c r="E18" i="12"/>
  <c r="H17" i="12"/>
  <c r="E17" i="12"/>
  <c r="H16" i="12"/>
  <c r="E16" i="12"/>
  <c r="H15" i="12"/>
  <c r="E15" i="12"/>
  <c r="H14" i="12"/>
  <c r="E14" i="12"/>
  <c r="H13" i="12"/>
  <c r="E13" i="12"/>
  <c r="H12" i="12"/>
  <c r="E12" i="12"/>
  <c r="H11" i="12"/>
  <c r="E11" i="12"/>
  <c r="H10" i="12"/>
  <c r="E10" i="12"/>
  <c r="H9" i="12"/>
  <c r="E9" i="12"/>
  <c r="H8" i="12"/>
  <c r="E8" i="12"/>
  <c r="H7" i="12"/>
  <c r="E7" i="12"/>
  <c r="H6" i="12"/>
  <c r="E6" i="12"/>
  <c r="H5" i="12"/>
  <c r="E5" i="12"/>
  <c r="X35" i="11"/>
  <c r="U35" i="11"/>
  <c r="R35" i="11"/>
  <c r="O35" i="11"/>
  <c r="X34" i="11"/>
  <c r="U34" i="11"/>
  <c r="R34" i="11"/>
  <c r="O34" i="11"/>
  <c r="X33" i="11"/>
  <c r="U33" i="11"/>
  <c r="R33" i="11"/>
  <c r="O33" i="11"/>
  <c r="X32" i="11"/>
  <c r="U32" i="11"/>
  <c r="R32" i="11"/>
  <c r="O32" i="11"/>
  <c r="X31" i="11"/>
  <c r="U31" i="11"/>
  <c r="R31" i="11"/>
  <c r="O31" i="11"/>
  <c r="X30" i="11"/>
  <c r="U30" i="11"/>
  <c r="R30" i="11"/>
  <c r="O30" i="11"/>
  <c r="X29" i="11"/>
  <c r="U29" i="11"/>
  <c r="R29" i="11"/>
  <c r="O29" i="11"/>
  <c r="X28" i="11"/>
  <c r="U28" i="11"/>
  <c r="R28" i="11"/>
  <c r="O28" i="11"/>
  <c r="X27" i="11"/>
  <c r="U27" i="11"/>
  <c r="R27" i="11"/>
  <c r="O27" i="11"/>
  <c r="X26" i="11"/>
  <c r="U26" i="11"/>
  <c r="R26" i="11"/>
  <c r="O26" i="11"/>
  <c r="X25" i="11"/>
  <c r="U25" i="11"/>
  <c r="R25" i="11"/>
  <c r="O25" i="11"/>
  <c r="X24" i="11"/>
  <c r="U24" i="11"/>
  <c r="R24" i="11"/>
  <c r="O24" i="11"/>
  <c r="X23" i="11"/>
  <c r="U23" i="11"/>
  <c r="R23" i="11"/>
  <c r="O23" i="11"/>
  <c r="X22" i="11"/>
  <c r="U22" i="11"/>
  <c r="R22" i="11"/>
  <c r="O22" i="11"/>
  <c r="X21" i="11"/>
  <c r="U21" i="11"/>
  <c r="R21" i="11"/>
  <c r="O21" i="11"/>
  <c r="X20" i="11"/>
  <c r="U20" i="11"/>
  <c r="R20" i="11"/>
  <c r="O20" i="11"/>
  <c r="X19" i="11"/>
  <c r="U19" i="11"/>
  <c r="R19" i="11"/>
  <c r="O19" i="11"/>
  <c r="X18" i="11"/>
  <c r="U18" i="11"/>
  <c r="R18" i="11"/>
  <c r="O18" i="11"/>
  <c r="X17" i="11"/>
  <c r="U17" i="11"/>
  <c r="R17" i="11"/>
  <c r="O17" i="11"/>
  <c r="X16" i="11"/>
  <c r="U16" i="11"/>
  <c r="R16" i="11"/>
  <c r="O16" i="11"/>
  <c r="X15" i="11"/>
  <c r="U15" i="11"/>
  <c r="R15" i="11"/>
  <c r="O15" i="11"/>
  <c r="X14" i="11"/>
  <c r="U14" i="11"/>
  <c r="R14" i="11"/>
  <c r="O14" i="11"/>
  <c r="X13" i="11"/>
  <c r="U13" i="11"/>
  <c r="R13" i="11"/>
  <c r="O13" i="11"/>
  <c r="X12" i="11"/>
  <c r="U12" i="11"/>
  <c r="R12" i="11"/>
  <c r="O12" i="11"/>
  <c r="X11" i="11"/>
  <c r="U11" i="11"/>
  <c r="R11" i="11"/>
  <c r="O11" i="11"/>
  <c r="X10" i="11"/>
  <c r="U10" i="11"/>
  <c r="R10" i="11"/>
  <c r="O10" i="11"/>
  <c r="X9" i="11"/>
  <c r="U9" i="11"/>
  <c r="R9" i="11"/>
  <c r="O9" i="11"/>
  <c r="X8" i="11"/>
  <c r="U8" i="11"/>
  <c r="R8" i="11"/>
  <c r="O8" i="11"/>
  <c r="X7" i="11"/>
  <c r="U7" i="11"/>
  <c r="R7" i="11"/>
  <c r="O7" i="11"/>
  <c r="X6" i="11"/>
  <c r="U6" i="11"/>
  <c r="R6" i="11"/>
  <c r="O6" i="11"/>
  <c r="X5" i="11"/>
  <c r="U5" i="11"/>
  <c r="R5" i="11"/>
  <c r="O5" i="11"/>
  <c r="H35" i="11"/>
  <c r="E35" i="11"/>
  <c r="H34" i="11"/>
  <c r="E34" i="11"/>
  <c r="H33" i="11"/>
  <c r="E33" i="11"/>
  <c r="H32" i="11"/>
  <c r="E32" i="11"/>
  <c r="H31" i="11"/>
  <c r="E31" i="11"/>
  <c r="H30" i="11"/>
  <c r="E30" i="11"/>
  <c r="H29" i="11"/>
  <c r="E29" i="11"/>
  <c r="H28" i="11"/>
  <c r="E28" i="11"/>
  <c r="H27" i="11"/>
  <c r="E27" i="11"/>
  <c r="H26" i="11"/>
  <c r="E26" i="11"/>
  <c r="H25" i="11"/>
  <c r="E25" i="11"/>
  <c r="H24" i="11"/>
  <c r="E24" i="11"/>
  <c r="H23" i="11"/>
  <c r="E23" i="11"/>
  <c r="H22" i="11"/>
  <c r="E22" i="11"/>
  <c r="H21" i="11"/>
  <c r="E21" i="11"/>
  <c r="H20" i="11"/>
  <c r="E20" i="11"/>
  <c r="H19" i="11"/>
  <c r="E19" i="11"/>
  <c r="H18" i="11"/>
  <c r="E18" i="11"/>
  <c r="H17" i="11"/>
  <c r="E17" i="11"/>
  <c r="H16" i="11"/>
  <c r="E16" i="11"/>
  <c r="H15" i="11"/>
  <c r="E15" i="11"/>
  <c r="H14" i="11"/>
  <c r="E14" i="11"/>
  <c r="H13" i="11"/>
  <c r="E13" i="11"/>
  <c r="H12" i="11"/>
  <c r="E12" i="11"/>
  <c r="H11" i="11"/>
  <c r="E11" i="11"/>
  <c r="H10" i="11"/>
  <c r="E10" i="11"/>
  <c r="H9" i="11"/>
  <c r="E9" i="11"/>
  <c r="H8" i="11"/>
  <c r="E8" i="11"/>
  <c r="H7" i="11"/>
  <c r="E7" i="11"/>
  <c r="H6" i="11"/>
  <c r="E6" i="11"/>
  <c r="H5" i="11"/>
  <c r="E5" i="11"/>
  <c r="X35" i="16"/>
  <c r="U35" i="16"/>
  <c r="R35" i="16"/>
  <c r="O35" i="16"/>
  <c r="X34" i="16"/>
  <c r="U34" i="16"/>
  <c r="R34" i="16"/>
  <c r="O34" i="16"/>
  <c r="X33" i="16"/>
  <c r="U33" i="16"/>
  <c r="R33" i="16"/>
  <c r="O33" i="16"/>
  <c r="X32" i="16"/>
  <c r="U32" i="16"/>
  <c r="R32" i="16"/>
  <c r="O32" i="16"/>
  <c r="X31" i="16"/>
  <c r="U31" i="16"/>
  <c r="R31" i="16"/>
  <c r="O31" i="16"/>
  <c r="X30" i="16"/>
  <c r="U30" i="16"/>
  <c r="R30" i="16"/>
  <c r="O30" i="16"/>
  <c r="X29" i="16"/>
  <c r="U29" i="16"/>
  <c r="R29" i="16"/>
  <c r="O29" i="16"/>
  <c r="X28" i="16"/>
  <c r="U28" i="16"/>
  <c r="R28" i="16"/>
  <c r="O28" i="16"/>
  <c r="X27" i="16"/>
  <c r="U27" i="16"/>
  <c r="R27" i="16"/>
  <c r="O27" i="16"/>
  <c r="X26" i="16"/>
  <c r="U26" i="16"/>
  <c r="R26" i="16"/>
  <c r="O26" i="16"/>
  <c r="X25" i="16"/>
  <c r="U25" i="16"/>
  <c r="R25" i="16"/>
  <c r="O25" i="16"/>
  <c r="X24" i="16"/>
  <c r="U24" i="16"/>
  <c r="R24" i="16"/>
  <c r="O24" i="16"/>
  <c r="X23" i="16"/>
  <c r="U23" i="16"/>
  <c r="R23" i="16"/>
  <c r="O23" i="16"/>
  <c r="X22" i="16"/>
  <c r="U22" i="16"/>
  <c r="R22" i="16"/>
  <c r="O22" i="16"/>
  <c r="X21" i="16"/>
  <c r="U21" i="16"/>
  <c r="R21" i="16"/>
  <c r="O21" i="16"/>
  <c r="X20" i="16"/>
  <c r="U20" i="16"/>
  <c r="R20" i="16"/>
  <c r="O20" i="16"/>
  <c r="X19" i="16"/>
  <c r="U19" i="16"/>
  <c r="R19" i="16"/>
  <c r="O19" i="16"/>
  <c r="X18" i="16"/>
  <c r="U18" i="16"/>
  <c r="R18" i="16"/>
  <c r="O18" i="16"/>
  <c r="X17" i="16"/>
  <c r="U17" i="16"/>
  <c r="R17" i="16"/>
  <c r="O17" i="16"/>
  <c r="X16" i="16"/>
  <c r="U16" i="16"/>
  <c r="R16" i="16"/>
  <c r="O16" i="16"/>
  <c r="X15" i="16"/>
  <c r="U15" i="16"/>
  <c r="R15" i="16"/>
  <c r="O15" i="16"/>
  <c r="X14" i="16"/>
  <c r="U14" i="16"/>
  <c r="R14" i="16"/>
  <c r="O14" i="16"/>
  <c r="X13" i="16"/>
  <c r="U13" i="16"/>
  <c r="R13" i="16"/>
  <c r="O13" i="16"/>
  <c r="X12" i="16"/>
  <c r="U12" i="16"/>
  <c r="R12" i="16"/>
  <c r="O12" i="16"/>
  <c r="X11" i="16"/>
  <c r="U11" i="16"/>
  <c r="R11" i="16"/>
  <c r="O11" i="16"/>
  <c r="X10" i="16"/>
  <c r="U10" i="16"/>
  <c r="R10" i="16"/>
  <c r="O10" i="16"/>
  <c r="X9" i="16"/>
  <c r="U9" i="16"/>
  <c r="R9" i="16"/>
  <c r="O9" i="16"/>
  <c r="X8" i="16"/>
  <c r="U8" i="16"/>
  <c r="R8" i="16"/>
  <c r="O8" i="16"/>
  <c r="X7" i="16"/>
  <c r="U7" i="16"/>
  <c r="R7" i="16"/>
  <c r="O7" i="16"/>
  <c r="X6" i="16"/>
  <c r="U6" i="16"/>
  <c r="R6" i="16"/>
  <c r="O6" i="16"/>
  <c r="X5" i="16"/>
  <c r="U5" i="16"/>
  <c r="R5" i="16"/>
  <c r="O5" i="16"/>
  <c r="H35" i="16"/>
  <c r="E35" i="16"/>
  <c r="H34" i="16"/>
  <c r="E34" i="16"/>
  <c r="H33" i="16"/>
  <c r="E33" i="16"/>
  <c r="H32" i="16"/>
  <c r="E32" i="16"/>
  <c r="H31" i="16"/>
  <c r="E31" i="16"/>
  <c r="H30" i="16"/>
  <c r="E30" i="16"/>
  <c r="H29" i="16"/>
  <c r="E29" i="16"/>
  <c r="H28" i="16"/>
  <c r="E28" i="16"/>
  <c r="H27" i="16"/>
  <c r="E27" i="16"/>
  <c r="H26" i="16"/>
  <c r="E26" i="16"/>
  <c r="H25" i="16"/>
  <c r="E25" i="16"/>
  <c r="H24" i="16"/>
  <c r="E24" i="16"/>
  <c r="H23" i="16"/>
  <c r="E23" i="16"/>
  <c r="H22" i="16"/>
  <c r="E22" i="16"/>
  <c r="H21" i="16"/>
  <c r="E21" i="16"/>
  <c r="H20" i="16"/>
  <c r="E20" i="16"/>
  <c r="H19" i="16"/>
  <c r="E19" i="16"/>
  <c r="H18" i="16"/>
  <c r="E18" i="16"/>
  <c r="H17" i="16"/>
  <c r="E17" i="16"/>
  <c r="H16" i="16"/>
  <c r="E16" i="16"/>
  <c r="H15" i="16"/>
  <c r="E15" i="16"/>
  <c r="H14" i="16"/>
  <c r="E14" i="16"/>
  <c r="H13" i="16"/>
  <c r="E13" i="16"/>
  <c r="H12" i="16"/>
  <c r="E12" i="16"/>
  <c r="H11" i="16"/>
  <c r="E11" i="16"/>
  <c r="H10" i="16"/>
  <c r="E10" i="16"/>
  <c r="H9" i="16"/>
  <c r="E9" i="16"/>
  <c r="H8" i="16"/>
  <c r="E8" i="16"/>
  <c r="H7" i="16"/>
  <c r="E7" i="16"/>
  <c r="H6" i="16"/>
  <c r="E6" i="16"/>
  <c r="H5" i="16"/>
  <c r="E5" i="16"/>
  <c r="U34" i="9"/>
  <c r="R34" i="9"/>
  <c r="O34" i="9"/>
  <c r="U33" i="9"/>
  <c r="R33" i="9"/>
  <c r="O33" i="9"/>
  <c r="U32" i="9"/>
  <c r="R32" i="9"/>
  <c r="O32" i="9"/>
  <c r="U31" i="9"/>
  <c r="R31" i="9"/>
  <c r="O31" i="9"/>
  <c r="U30" i="9"/>
  <c r="R30" i="9"/>
  <c r="O30" i="9"/>
  <c r="U29" i="9"/>
  <c r="R29" i="9"/>
  <c r="O29" i="9"/>
  <c r="U28" i="9"/>
  <c r="R28" i="9"/>
  <c r="O28" i="9"/>
  <c r="U27" i="9"/>
  <c r="R27" i="9"/>
  <c r="O27" i="9"/>
  <c r="U26" i="9"/>
  <c r="R26" i="9"/>
  <c r="O26" i="9"/>
  <c r="U25" i="9"/>
  <c r="R25" i="9"/>
  <c r="O25" i="9"/>
  <c r="U24" i="9"/>
  <c r="R24" i="9"/>
  <c r="O24" i="9"/>
  <c r="U23" i="9"/>
  <c r="R23" i="9"/>
  <c r="O23" i="9"/>
  <c r="U22" i="9"/>
  <c r="R22" i="9"/>
  <c r="O22" i="9"/>
  <c r="U21" i="9"/>
  <c r="R21" i="9"/>
  <c r="O21" i="9"/>
  <c r="U20" i="9"/>
  <c r="R20" i="9"/>
  <c r="O20" i="9"/>
  <c r="U19" i="9"/>
  <c r="R19" i="9"/>
  <c r="O19" i="9"/>
  <c r="U18" i="9"/>
  <c r="R18" i="9"/>
  <c r="O18" i="9"/>
  <c r="U17" i="9"/>
  <c r="R17" i="9"/>
  <c r="O17" i="9"/>
  <c r="U16" i="9"/>
  <c r="R16" i="9"/>
  <c r="O16" i="9"/>
  <c r="U15" i="9"/>
  <c r="R15" i="9"/>
  <c r="O15" i="9"/>
  <c r="U14" i="9"/>
  <c r="R14" i="9"/>
  <c r="O14" i="9"/>
  <c r="U13" i="9"/>
  <c r="R13" i="9"/>
  <c r="O13" i="9"/>
  <c r="U12" i="9"/>
  <c r="R12" i="9"/>
  <c r="O12" i="9"/>
  <c r="U11" i="9"/>
  <c r="R11" i="9"/>
  <c r="O11" i="9"/>
  <c r="U10" i="9"/>
  <c r="R10" i="9"/>
  <c r="O10" i="9"/>
  <c r="U9" i="9"/>
  <c r="R9" i="9"/>
  <c r="O9" i="9"/>
  <c r="U8" i="9"/>
  <c r="R8" i="9"/>
  <c r="O8" i="9"/>
  <c r="U7" i="9"/>
  <c r="R7" i="9"/>
  <c r="O7" i="9"/>
  <c r="U6" i="9"/>
  <c r="R6" i="9"/>
  <c r="O6" i="9"/>
  <c r="U5" i="9"/>
  <c r="R5" i="9"/>
  <c r="O5" i="9"/>
  <c r="H34" i="9"/>
  <c r="E34" i="9"/>
  <c r="B34" i="9"/>
  <c r="H33" i="9"/>
  <c r="E33" i="9"/>
  <c r="B33" i="9"/>
  <c r="H32" i="9"/>
  <c r="E32" i="9"/>
  <c r="B32" i="9"/>
  <c r="H31" i="9"/>
  <c r="E31" i="9"/>
  <c r="B31" i="9"/>
  <c r="H30" i="9"/>
  <c r="E30" i="9"/>
  <c r="B30" i="9"/>
  <c r="H29" i="9"/>
  <c r="E29" i="9"/>
  <c r="B29" i="9"/>
  <c r="H28" i="9"/>
  <c r="E28" i="9"/>
  <c r="B28" i="9"/>
  <c r="H27" i="9"/>
  <c r="E27" i="9"/>
  <c r="B27" i="9"/>
  <c r="H26" i="9"/>
  <c r="E26" i="9"/>
  <c r="B26" i="9"/>
  <c r="H25" i="9"/>
  <c r="E25" i="9"/>
  <c r="B25" i="9"/>
  <c r="H24" i="9"/>
  <c r="E24" i="9"/>
  <c r="B24" i="9"/>
  <c r="H23" i="9"/>
  <c r="E23" i="9"/>
  <c r="B23" i="9"/>
  <c r="H22" i="9"/>
  <c r="E22" i="9"/>
  <c r="B22" i="9"/>
  <c r="H21" i="9"/>
  <c r="E21" i="9"/>
  <c r="B21" i="9"/>
  <c r="H20" i="9"/>
  <c r="E20" i="9"/>
  <c r="B20" i="9"/>
  <c r="H19" i="9"/>
  <c r="E19" i="9"/>
  <c r="B19" i="9"/>
  <c r="H18" i="9"/>
  <c r="E18" i="9"/>
  <c r="B18" i="9"/>
  <c r="H17" i="9"/>
  <c r="E17" i="9"/>
  <c r="B17" i="9"/>
  <c r="H16" i="9"/>
  <c r="E16" i="9"/>
  <c r="B16" i="9"/>
  <c r="H15" i="9"/>
  <c r="E15" i="9"/>
  <c r="B15" i="9"/>
  <c r="H14" i="9"/>
  <c r="E14" i="9"/>
  <c r="B14" i="9"/>
  <c r="H13" i="9"/>
  <c r="E13" i="9"/>
  <c r="B13" i="9"/>
  <c r="H12" i="9"/>
  <c r="E12" i="9"/>
  <c r="B12" i="9"/>
  <c r="H11" i="9"/>
  <c r="E11" i="9"/>
  <c r="B11" i="9"/>
  <c r="H10" i="9"/>
  <c r="E10" i="9"/>
  <c r="B10" i="9"/>
  <c r="H9" i="9"/>
  <c r="E9" i="9"/>
  <c r="B9" i="9"/>
  <c r="H8" i="9"/>
  <c r="E8" i="9"/>
  <c r="B8" i="9"/>
  <c r="H7" i="9"/>
  <c r="E7" i="9"/>
  <c r="B7" i="9"/>
  <c r="H6" i="9"/>
  <c r="E6" i="9"/>
  <c r="B6" i="9"/>
  <c r="H5" i="9"/>
  <c r="E5" i="9"/>
  <c r="B5" i="9"/>
  <c r="X35" i="8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H35" i="8"/>
  <c r="E35" i="8"/>
  <c r="B35" i="8"/>
  <c r="H34" i="8"/>
  <c r="E34" i="8"/>
  <c r="B34" i="8"/>
  <c r="H33" i="8"/>
  <c r="E33" i="8"/>
  <c r="B33" i="8"/>
  <c r="H32" i="8"/>
  <c r="E32" i="8"/>
  <c r="B32" i="8"/>
  <c r="H31" i="8"/>
  <c r="E31" i="8"/>
  <c r="B31" i="8"/>
  <c r="H30" i="8"/>
  <c r="E30" i="8"/>
  <c r="B30" i="8"/>
  <c r="H29" i="8"/>
  <c r="E29" i="8"/>
  <c r="B29" i="8"/>
  <c r="H28" i="8"/>
  <c r="E28" i="8"/>
  <c r="B28" i="8"/>
  <c r="H27" i="8"/>
  <c r="E27" i="8"/>
  <c r="B27" i="8"/>
  <c r="H26" i="8"/>
  <c r="E26" i="8"/>
  <c r="B26" i="8"/>
  <c r="H25" i="8"/>
  <c r="E25" i="8"/>
  <c r="B25" i="8"/>
  <c r="H24" i="8"/>
  <c r="E24" i="8"/>
  <c r="B24" i="8"/>
  <c r="E23" i="8"/>
  <c r="B23" i="8"/>
  <c r="H22" i="8"/>
  <c r="E22" i="8"/>
  <c r="B22" i="8"/>
  <c r="H21" i="8"/>
  <c r="E21" i="8"/>
  <c r="B21" i="8"/>
  <c r="H20" i="8"/>
  <c r="E20" i="8"/>
  <c r="B20" i="8"/>
  <c r="H19" i="8"/>
  <c r="E19" i="8"/>
  <c r="B19" i="8"/>
  <c r="H18" i="8"/>
  <c r="E18" i="8"/>
  <c r="B18" i="8"/>
  <c r="H17" i="8"/>
  <c r="E17" i="8"/>
  <c r="B17" i="8"/>
  <c r="H16" i="8"/>
  <c r="E16" i="8"/>
  <c r="B16" i="8"/>
  <c r="H15" i="8"/>
  <c r="E15" i="8"/>
  <c r="B15" i="8"/>
  <c r="H14" i="8"/>
  <c r="E14" i="8"/>
  <c r="B14" i="8"/>
  <c r="H13" i="8"/>
  <c r="E13" i="8"/>
  <c r="B13" i="8"/>
  <c r="H12" i="8"/>
  <c r="E12" i="8"/>
  <c r="B12" i="8"/>
  <c r="H11" i="8"/>
  <c r="E11" i="8"/>
  <c r="B11" i="8"/>
  <c r="H10" i="8"/>
  <c r="E10" i="8"/>
  <c r="B10" i="8"/>
  <c r="H9" i="8"/>
  <c r="E9" i="8"/>
  <c r="B9" i="8"/>
  <c r="H8" i="8"/>
  <c r="E8" i="8"/>
  <c r="B8" i="8"/>
  <c r="H7" i="8"/>
  <c r="E7" i="8"/>
  <c r="B7" i="8"/>
  <c r="H6" i="8"/>
  <c r="E6" i="8"/>
  <c r="B6" i="8"/>
  <c r="H5" i="8"/>
  <c r="E5" i="8"/>
  <c r="B5" i="8"/>
  <c r="X34" i="7"/>
  <c r="U34" i="7"/>
  <c r="R34" i="7"/>
  <c r="O34" i="7"/>
  <c r="X33" i="7"/>
  <c r="U33" i="7"/>
  <c r="R33" i="7"/>
  <c r="O33" i="7"/>
  <c r="X32" i="7"/>
  <c r="U32" i="7"/>
  <c r="R32" i="7"/>
  <c r="O32" i="7"/>
  <c r="X31" i="7"/>
  <c r="U31" i="7"/>
  <c r="R31" i="7"/>
  <c r="O31" i="7"/>
  <c r="X30" i="7"/>
  <c r="U30" i="7"/>
  <c r="R30" i="7"/>
  <c r="O30" i="7"/>
  <c r="X29" i="7"/>
  <c r="U29" i="7"/>
  <c r="R29" i="7"/>
  <c r="O29" i="7"/>
  <c r="X28" i="7"/>
  <c r="U28" i="7"/>
  <c r="R28" i="7"/>
  <c r="O28" i="7"/>
  <c r="X27" i="7"/>
  <c r="U27" i="7"/>
  <c r="R27" i="7"/>
  <c r="O27" i="7"/>
  <c r="X26" i="7"/>
  <c r="U26" i="7"/>
  <c r="R26" i="7"/>
  <c r="O26" i="7"/>
  <c r="X25" i="7"/>
  <c r="U25" i="7"/>
  <c r="R25" i="7"/>
  <c r="O25" i="7"/>
  <c r="X24" i="7"/>
  <c r="U24" i="7"/>
  <c r="R24" i="7"/>
  <c r="O24" i="7"/>
  <c r="X23" i="7"/>
  <c r="U23" i="7"/>
  <c r="R23" i="7"/>
  <c r="O23" i="7"/>
  <c r="X22" i="7"/>
  <c r="U22" i="7"/>
  <c r="R22" i="7"/>
  <c r="O22" i="7"/>
  <c r="X21" i="7"/>
  <c r="U21" i="7"/>
  <c r="R21" i="7"/>
  <c r="O21" i="7"/>
  <c r="X20" i="7"/>
  <c r="U20" i="7"/>
  <c r="R20" i="7"/>
  <c r="O20" i="7"/>
  <c r="X19" i="7"/>
  <c r="U19" i="7"/>
  <c r="R19" i="7"/>
  <c r="O19" i="7"/>
  <c r="X18" i="7"/>
  <c r="U18" i="7"/>
  <c r="R18" i="7"/>
  <c r="O18" i="7"/>
  <c r="X17" i="7"/>
  <c r="U17" i="7"/>
  <c r="R17" i="7"/>
  <c r="O17" i="7"/>
  <c r="X16" i="7"/>
  <c r="U16" i="7"/>
  <c r="R16" i="7"/>
  <c r="O16" i="7"/>
  <c r="X15" i="7"/>
  <c r="U15" i="7"/>
  <c r="R15" i="7"/>
  <c r="O15" i="7"/>
  <c r="X14" i="7"/>
  <c r="U14" i="7"/>
  <c r="R14" i="7"/>
  <c r="O14" i="7"/>
  <c r="X13" i="7"/>
  <c r="U13" i="7"/>
  <c r="R13" i="7"/>
  <c r="O13" i="7"/>
  <c r="X12" i="7"/>
  <c r="U12" i="7"/>
  <c r="R12" i="7"/>
  <c r="O12" i="7"/>
  <c r="X11" i="7"/>
  <c r="U11" i="7"/>
  <c r="R11" i="7"/>
  <c r="O11" i="7"/>
  <c r="X10" i="7"/>
  <c r="U10" i="7"/>
  <c r="R10" i="7"/>
  <c r="O10" i="7"/>
  <c r="X9" i="7"/>
  <c r="U9" i="7"/>
  <c r="R9" i="7"/>
  <c r="O9" i="7"/>
  <c r="X8" i="7"/>
  <c r="U8" i="7"/>
  <c r="R8" i="7"/>
  <c r="O8" i="7"/>
  <c r="X7" i="7"/>
  <c r="U7" i="7"/>
  <c r="R7" i="7"/>
  <c r="O7" i="7"/>
  <c r="X6" i="7"/>
  <c r="U6" i="7"/>
  <c r="R6" i="7"/>
  <c r="O6" i="7"/>
  <c r="X5" i="7"/>
  <c r="U5" i="7"/>
  <c r="R5" i="7"/>
  <c r="O5" i="7"/>
  <c r="H34" i="7"/>
  <c r="E34" i="7"/>
  <c r="B34" i="7"/>
  <c r="H33" i="7"/>
  <c r="E33" i="7"/>
  <c r="B33" i="7"/>
  <c r="H32" i="7"/>
  <c r="E32" i="7"/>
  <c r="B32" i="7"/>
  <c r="H31" i="7"/>
  <c r="E31" i="7"/>
  <c r="B31" i="7"/>
  <c r="H30" i="7"/>
  <c r="E30" i="7"/>
  <c r="B30" i="7"/>
  <c r="H29" i="7"/>
  <c r="E29" i="7"/>
  <c r="B29" i="7"/>
  <c r="H28" i="7"/>
  <c r="E28" i="7"/>
  <c r="B28" i="7"/>
  <c r="H27" i="7"/>
  <c r="E27" i="7"/>
  <c r="B27" i="7"/>
  <c r="H26" i="7"/>
  <c r="E26" i="7"/>
  <c r="B26" i="7"/>
  <c r="H25" i="7"/>
  <c r="E25" i="7"/>
  <c r="B25" i="7"/>
  <c r="H24" i="7"/>
  <c r="E24" i="7"/>
  <c r="B24" i="7"/>
  <c r="H23" i="7"/>
  <c r="E23" i="7"/>
  <c r="B23" i="7"/>
  <c r="H22" i="7"/>
  <c r="E22" i="7"/>
  <c r="B22" i="7"/>
  <c r="H21" i="7"/>
  <c r="E21" i="7"/>
  <c r="B21" i="7"/>
  <c r="H20" i="7"/>
  <c r="E20" i="7"/>
  <c r="B20" i="7"/>
  <c r="H19" i="7"/>
  <c r="E19" i="7"/>
  <c r="B19" i="7"/>
  <c r="H18" i="7"/>
  <c r="E18" i="7"/>
  <c r="B18" i="7"/>
  <c r="H17" i="7"/>
  <c r="E17" i="7"/>
  <c r="B17" i="7"/>
  <c r="H16" i="7"/>
  <c r="E16" i="7"/>
  <c r="B16" i="7"/>
  <c r="H15" i="7"/>
  <c r="E15" i="7"/>
  <c r="B15" i="7"/>
  <c r="H14" i="7"/>
  <c r="E14" i="7"/>
  <c r="B14" i="7"/>
  <c r="H13" i="7"/>
  <c r="E13" i="7"/>
  <c r="B13" i="7"/>
  <c r="H12" i="7"/>
  <c r="E12" i="7"/>
  <c r="B12" i="7"/>
  <c r="H11" i="7"/>
  <c r="E11" i="7"/>
  <c r="B11" i="7"/>
  <c r="H10" i="7"/>
  <c r="E10" i="7"/>
  <c r="B10" i="7"/>
  <c r="H9" i="7"/>
  <c r="E9" i="7"/>
  <c r="B9" i="7"/>
  <c r="H8" i="7"/>
  <c r="E8" i="7"/>
  <c r="B8" i="7"/>
  <c r="H7" i="7"/>
  <c r="E7" i="7"/>
  <c r="B7" i="7"/>
  <c r="H6" i="7"/>
  <c r="E6" i="7"/>
  <c r="B6" i="7"/>
  <c r="H5" i="7"/>
  <c r="E5" i="7"/>
  <c r="B5" i="7"/>
  <c r="U35" i="6"/>
  <c r="R35" i="6"/>
  <c r="O35" i="6"/>
  <c r="U34" i="6"/>
  <c r="R34" i="6"/>
  <c r="O34" i="6"/>
  <c r="U33" i="6"/>
  <c r="R33" i="6"/>
  <c r="O33" i="6"/>
  <c r="U32" i="6"/>
  <c r="R32" i="6"/>
  <c r="O32" i="6"/>
  <c r="U31" i="6"/>
  <c r="R31" i="6"/>
  <c r="O31" i="6"/>
  <c r="U30" i="6"/>
  <c r="R30" i="6"/>
  <c r="O30" i="6"/>
  <c r="U29" i="6"/>
  <c r="R29" i="6"/>
  <c r="O29" i="6"/>
  <c r="U28" i="6"/>
  <c r="R28" i="6"/>
  <c r="O28" i="6"/>
  <c r="U27" i="6"/>
  <c r="R27" i="6"/>
  <c r="O27" i="6"/>
  <c r="U26" i="6"/>
  <c r="R26" i="6"/>
  <c r="O26" i="6"/>
  <c r="U25" i="6"/>
  <c r="R25" i="6"/>
  <c r="O25" i="6"/>
  <c r="U24" i="6"/>
  <c r="R24" i="6"/>
  <c r="O24" i="6"/>
  <c r="U23" i="6"/>
  <c r="R23" i="6"/>
  <c r="O23" i="6"/>
  <c r="U22" i="6"/>
  <c r="R22" i="6"/>
  <c r="O22" i="6"/>
  <c r="U21" i="6"/>
  <c r="R21" i="6"/>
  <c r="O21" i="6"/>
  <c r="U20" i="6"/>
  <c r="R20" i="6"/>
  <c r="O20" i="6"/>
  <c r="U19" i="6"/>
  <c r="R19" i="6"/>
  <c r="O19" i="6"/>
  <c r="U18" i="6"/>
  <c r="R18" i="6"/>
  <c r="O18" i="6"/>
  <c r="U17" i="6"/>
  <c r="R17" i="6"/>
  <c r="O17" i="6"/>
  <c r="U16" i="6"/>
  <c r="R16" i="6"/>
  <c r="O16" i="6"/>
  <c r="U15" i="6"/>
  <c r="R15" i="6"/>
  <c r="O15" i="6"/>
  <c r="U14" i="6"/>
  <c r="R14" i="6"/>
  <c r="O14" i="6"/>
  <c r="U13" i="6"/>
  <c r="R13" i="6"/>
  <c r="O13" i="6"/>
  <c r="U12" i="6"/>
  <c r="R12" i="6"/>
  <c r="O12" i="6"/>
  <c r="U11" i="6"/>
  <c r="R11" i="6"/>
  <c r="O11" i="6"/>
  <c r="U10" i="6"/>
  <c r="R10" i="6"/>
  <c r="O10" i="6"/>
  <c r="U9" i="6"/>
  <c r="R9" i="6"/>
  <c r="O9" i="6"/>
  <c r="U8" i="6"/>
  <c r="R8" i="6"/>
  <c r="O8" i="6"/>
  <c r="U7" i="6"/>
  <c r="R7" i="6"/>
  <c r="O7" i="6"/>
  <c r="U6" i="6"/>
  <c r="R6" i="6"/>
  <c r="O6" i="6"/>
  <c r="U5" i="6"/>
  <c r="R5" i="6"/>
  <c r="O5" i="6"/>
  <c r="H35" i="6"/>
  <c r="E35" i="6"/>
  <c r="B35" i="6"/>
  <c r="H34" i="6"/>
  <c r="E34" i="6"/>
  <c r="B34" i="6"/>
  <c r="H33" i="6"/>
  <c r="E33" i="6"/>
  <c r="B33" i="6"/>
  <c r="H32" i="6"/>
  <c r="E32" i="6"/>
  <c r="B32" i="6"/>
  <c r="H31" i="6"/>
  <c r="E31" i="6"/>
  <c r="B31" i="6"/>
  <c r="H30" i="6"/>
  <c r="E30" i="6"/>
  <c r="B30" i="6"/>
  <c r="H29" i="6"/>
  <c r="E29" i="6"/>
  <c r="B29" i="6"/>
  <c r="H28" i="6"/>
  <c r="E28" i="6"/>
  <c r="B28" i="6"/>
  <c r="H27" i="6"/>
  <c r="E27" i="6"/>
  <c r="B27" i="6"/>
  <c r="H26" i="6"/>
  <c r="E26" i="6"/>
  <c r="B26" i="6"/>
  <c r="H25" i="6"/>
  <c r="E25" i="6"/>
  <c r="B25" i="6"/>
  <c r="H24" i="6"/>
  <c r="E24" i="6"/>
  <c r="B24" i="6"/>
  <c r="H23" i="6"/>
  <c r="E23" i="6"/>
  <c r="B23" i="6"/>
  <c r="H22" i="6"/>
  <c r="E22" i="6"/>
  <c r="B22" i="6"/>
  <c r="H21" i="6"/>
  <c r="E21" i="6"/>
  <c r="B21" i="6"/>
  <c r="H20" i="6"/>
  <c r="E20" i="6"/>
  <c r="B20" i="6"/>
  <c r="H19" i="6"/>
  <c r="E19" i="6"/>
  <c r="B19" i="6"/>
  <c r="H18" i="6"/>
  <c r="E18" i="6"/>
  <c r="B18" i="6"/>
  <c r="H17" i="6"/>
  <c r="E17" i="6"/>
  <c r="B17" i="6"/>
  <c r="H16" i="6"/>
  <c r="E16" i="6"/>
  <c r="B16" i="6"/>
  <c r="H15" i="6"/>
  <c r="E15" i="6"/>
  <c r="B15" i="6"/>
  <c r="H14" i="6"/>
  <c r="E14" i="6"/>
  <c r="B14" i="6"/>
  <c r="H13" i="6"/>
  <c r="E13" i="6"/>
  <c r="B13" i="6"/>
  <c r="H12" i="6"/>
  <c r="E12" i="6"/>
  <c r="B12" i="6"/>
  <c r="H11" i="6"/>
  <c r="E11" i="6"/>
  <c r="B11" i="6"/>
  <c r="H10" i="6"/>
  <c r="E10" i="6"/>
  <c r="B10" i="6"/>
  <c r="H9" i="6"/>
  <c r="E9" i="6"/>
  <c r="B9" i="6"/>
  <c r="H8" i="6"/>
  <c r="E8" i="6"/>
  <c r="B8" i="6"/>
  <c r="H7" i="6"/>
  <c r="E7" i="6"/>
  <c r="B7" i="6"/>
  <c r="H6" i="6"/>
  <c r="E6" i="6"/>
  <c r="B6" i="6"/>
  <c r="H5" i="6"/>
  <c r="E5" i="6"/>
  <c r="B5" i="6"/>
  <c r="U32" i="4"/>
  <c r="R32" i="4"/>
  <c r="O32" i="4"/>
  <c r="U31" i="4"/>
  <c r="R31" i="4"/>
  <c r="O31" i="4"/>
  <c r="U30" i="4"/>
  <c r="R30" i="4"/>
  <c r="O30" i="4"/>
  <c r="U29" i="4"/>
  <c r="R29" i="4"/>
  <c r="O29" i="4"/>
  <c r="U28" i="4"/>
  <c r="R28" i="4"/>
  <c r="O28" i="4"/>
  <c r="U27" i="4"/>
  <c r="R27" i="4"/>
  <c r="O27" i="4"/>
  <c r="U26" i="4"/>
  <c r="R26" i="4"/>
  <c r="O26" i="4"/>
  <c r="U25" i="4"/>
  <c r="R25" i="4"/>
  <c r="O25" i="4"/>
  <c r="U24" i="4"/>
  <c r="R24" i="4"/>
  <c r="O24" i="4"/>
  <c r="U23" i="4"/>
  <c r="R23" i="4"/>
  <c r="O23" i="4"/>
  <c r="U22" i="4"/>
  <c r="R22" i="4"/>
  <c r="O22" i="4"/>
  <c r="U21" i="4"/>
  <c r="R21" i="4"/>
  <c r="O21" i="4"/>
  <c r="U20" i="4"/>
  <c r="R20" i="4"/>
  <c r="O20" i="4"/>
  <c r="U19" i="4"/>
  <c r="R19" i="4"/>
  <c r="O19" i="4"/>
  <c r="U18" i="4"/>
  <c r="R18" i="4"/>
  <c r="O18" i="4"/>
  <c r="U17" i="4"/>
  <c r="R17" i="4"/>
  <c r="O17" i="4"/>
  <c r="U16" i="4"/>
  <c r="R16" i="4"/>
  <c r="O16" i="4"/>
  <c r="U15" i="4"/>
  <c r="R15" i="4"/>
  <c r="O15" i="4"/>
  <c r="U14" i="4"/>
  <c r="R14" i="4"/>
  <c r="O14" i="4"/>
  <c r="U13" i="4"/>
  <c r="R13" i="4"/>
  <c r="O13" i="4"/>
  <c r="U12" i="4"/>
  <c r="R12" i="4"/>
  <c r="O12" i="4"/>
  <c r="U11" i="4"/>
  <c r="R11" i="4"/>
  <c r="O11" i="4"/>
  <c r="U10" i="4"/>
  <c r="R10" i="4"/>
  <c r="O10" i="4"/>
  <c r="U9" i="4"/>
  <c r="R9" i="4"/>
  <c r="O9" i="4"/>
  <c r="U8" i="4"/>
  <c r="R8" i="4"/>
  <c r="O8" i="4"/>
  <c r="U7" i="4"/>
  <c r="R7" i="4"/>
  <c r="O7" i="4"/>
  <c r="U6" i="4"/>
  <c r="R6" i="4"/>
  <c r="O6" i="4"/>
  <c r="U5" i="4"/>
  <c r="R5" i="4"/>
  <c r="O5" i="4"/>
  <c r="K32" i="4"/>
  <c r="H32" i="4"/>
  <c r="E32" i="4"/>
  <c r="B32" i="4"/>
  <c r="K31" i="4"/>
  <c r="H31" i="4"/>
  <c r="E31" i="4"/>
  <c r="B31" i="4"/>
  <c r="K30" i="4"/>
  <c r="H30" i="4"/>
  <c r="E30" i="4"/>
  <c r="B30" i="4"/>
  <c r="K29" i="4"/>
  <c r="H29" i="4"/>
  <c r="E29" i="4"/>
  <c r="B29" i="4"/>
  <c r="K28" i="4"/>
  <c r="H28" i="4"/>
  <c r="E28" i="4"/>
  <c r="B28" i="4"/>
  <c r="K27" i="4"/>
  <c r="H27" i="4"/>
  <c r="E27" i="4"/>
  <c r="B27" i="4"/>
  <c r="K26" i="4"/>
  <c r="H26" i="4"/>
  <c r="E26" i="4"/>
  <c r="B26" i="4"/>
  <c r="K25" i="4"/>
  <c r="H25" i="4"/>
  <c r="E25" i="4"/>
  <c r="B25" i="4"/>
  <c r="K24" i="4"/>
  <c r="H24" i="4"/>
  <c r="E24" i="4"/>
  <c r="B24" i="4"/>
  <c r="K23" i="4"/>
  <c r="H23" i="4"/>
  <c r="E23" i="4"/>
  <c r="B23" i="4"/>
  <c r="K22" i="4"/>
  <c r="H22" i="4"/>
  <c r="E22" i="4"/>
  <c r="B22" i="4"/>
  <c r="K21" i="4"/>
  <c r="H21" i="4"/>
  <c r="E21" i="4"/>
  <c r="B21" i="4"/>
  <c r="K20" i="4"/>
  <c r="H20" i="4"/>
  <c r="E20" i="4"/>
  <c r="B20" i="4"/>
  <c r="K19" i="4"/>
  <c r="H19" i="4"/>
  <c r="E19" i="4"/>
  <c r="B19" i="4"/>
  <c r="K18" i="4"/>
  <c r="H18" i="4"/>
  <c r="E18" i="4"/>
  <c r="B18" i="4"/>
  <c r="K17" i="4"/>
  <c r="H17" i="4"/>
  <c r="E17" i="4"/>
  <c r="B17" i="4"/>
  <c r="K16" i="4"/>
  <c r="H16" i="4"/>
  <c r="E16" i="4"/>
  <c r="B16" i="4"/>
  <c r="K15" i="4"/>
  <c r="H15" i="4"/>
  <c r="E15" i="4"/>
  <c r="B15" i="4"/>
  <c r="K14" i="4"/>
  <c r="H14" i="4"/>
  <c r="E14" i="4"/>
  <c r="B14" i="4"/>
  <c r="K13" i="4"/>
  <c r="H13" i="4"/>
  <c r="E13" i="4"/>
  <c r="B13" i="4"/>
  <c r="K12" i="4"/>
  <c r="H12" i="4"/>
  <c r="E12" i="4"/>
  <c r="B12" i="4"/>
  <c r="K11" i="4"/>
  <c r="H11" i="4"/>
  <c r="E11" i="4"/>
  <c r="B11" i="4"/>
  <c r="K10" i="4"/>
  <c r="H10" i="4"/>
  <c r="E10" i="4"/>
  <c r="B10" i="4"/>
  <c r="K9" i="4"/>
  <c r="H9" i="4"/>
  <c r="E9" i="4"/>
  <c r="B9" i="4"/>
  <c r="K8" i="4"/>
  <c r="H8" i="4"/>
  <c r="E8" i="4"/>
  <c r="B8" i="4"/>
  <c r="K7" i="4"/>
  <c r="H7" i="4"/>
  <c r="E7" i="4"/>
  <c r="B7" i="4"/>
  <c r="K6" i="4"/>
  <c r="H6" i="4"/>
  <c r="E6" i="4"/>
  <c r="B6" i="4"/>
  <c r="K5" i="4"/>
  <c r="H5" i="4"/>
  <c r="E5" i="4"/>
  <c r="B5" i="4"/>
  <c r="AC19" i="16" l="1"/>
  <c r="AD19" i="16" s="1"/>
  <c r="AC20" i="16"/>
  <c r="AD20" i="16" s="1"/>
  <c r="AC21" i="16"/>
  <c r="AD21" i="16" s="1"/>
  <c r="AC22" i="16"/>
  <c r="AD22" i="16" s="1"/>
  <c r="AC23" i="16"/>
  <c r="AD23" i="16" s="1"/>
  <c r="AC24" i="16"/>
  <c r="AD24" i="16" s="1"/>
  <c r="AC25" i="16"/>
  <c r="AD25" i="16" s="1"/>
  <c r="AC26" i="16"/>
  <c r="AD26" i="16" s="1"/>
  <c r="AC27" i="16"/>
  <c r="AD27" i="16" s="1"/>
  <c r="AC28" i="16"/>
  <c r="AD28" i="16" s="1"/>
  <c r="AC29" i="16"/>
  <c r="AD29" i="16" s="1"/>
  <c r="AC30" i="16"/>
  <c r="AD30" i="16" s="1"/>
  <c r="AC31" i="16"/>
  <c r="AD31" i="16" s="1"/>
  <c r="AC32" i="16"/>
  <c r="AD32" i="16" s="1"/>
  <c r="AC33" i="16"/>
  <c r="AD33" i="16" s="1"/>
  <c r="AC34" i="16"/>
  <c r="AD34" i="16" s="1"/>
  <c r="AC35" i="16"/>
  <c r="AD35" i="16" s="1"/>
  <c r="C6" i="5" l="1"/>
  <c r="D6" i="5" s="1"/>
  <c r="F6" i="5"/>
  <c r="G6" i="5" s="1"/>
  <c r="I6" i="5"/>
  <c r="J6" i="5" s="1"/>
  <c r="L6" i="5"/>
  <c r="M6" i="5" s="1"/>
  <c r="P6" i="5"/>
  <c r="Q6" i="5" s="1"/>
  <c r="V6" i="5"/>
  <c r="W6" i="5" s="1"/>
  <c r="AB6" i="5"/>
  <c r="AC6" i="5" s="1"/>
  <c r="AH6" i="5"/>
  <c r="AI6" i="5" s="1"/>
  <c r="C7" i="5"/>
  <c r="D7" i="5" s="1"/>
  <c r="F7" i="5"/>
  <c r="G7" i="5" s="1"/>
  <c r="I7" i="5"/>
  <c r="J7" i="5" s="1"/>
  <c r="L7" i="5"/>
  <c r="M7" i="5" s="1"/>
  <c r="P7" i="5"/>
  <c r="Q7" i="5" s="1"/>
  <c r="V7" i="5"/>
  <c r="W7" i="5" s="1"/>
  <c r="AB7" i="5"/>
  <c r="AC7" i="5" s="1"/>
  <c r="AH7" i="5"/>
  <c r="AI7" i="5" s="1"/>
  <c r="C8" i="5"/>
  <c r="D8" i="5" s="1"/>
  <c r="F8" i="5"/>
  <c r="G8" i="5" s="1"/>
  <c r="I8" i="5"/>
  <c r="J8" i="5" s="1"/>
  <c r="L8" i="5"/>
  <c r="M8" i="5" s="1"/>
  <c r="P8" i="5"/>
  <c r="Q8" i="5" s="1"/>
  <c r="V8" i="5"/>
  <c r="W8" i="5" s="1"/>
  <c r="AB8" i="5"/>
  <c r="AC8" i="5" s="1"/>
  <c r="AH8" i="5"/>
  <c r="AI8" i="5" s="1"/>
  <c r="C9" i="5"/>
  <c r="D9" i="5" s="1"/>
  <c r="F9" i="5"/>
  <c r="G9" i="5" s="1"/>
  <c r="I9" i="5"/>
  <c r="J9" i="5" s="1"/>
  <c r="L9" i="5"/>
  <c r="M9" i="5" s="1"/>
  <c r="P9" i="5"/>
  <c r="Q9" i="5" s="1"/>
  <c r="V9" i="5"/>
  <c r="W9" i="5" s="1"/>
  <c r="AB9" i="5"/>
  <c r="AC9" i="5" s="1"/>
  <c r="AH9" i="5"/>
  <c r="AI9" i="5" s="1"/>
  <c r="C10" i="5"/>
  <c r="D10" i="5" s="1"/>
  <c r="F10" i="5"/>
  <c r="G10" i="5" s="1"/>
  <c r="I10" i="5"/>
  <c r="J10" i="5" s="1"/>
  <c r="L10" i="5"/>
  <c r="M10" i="5" s="1"/>
  <c r="P10" i="5"/>
  <c r="Q10" i="5" s="1"/>
  <c r="V10" i="5"/>
  <c r="W10" i="5" s="1"/>
  <c r="AB10" i="5"/>
  <c r="AC10" i="5" s="1"/>
  <c r="AH10" i="5"/>
  <c r="AI10" i="5" s="1"/>
  <c r="C11" i="5"/>
  <c r="D11" i="5" s="1"/>
  <c r="F11" i="5"/>
  <c r="G11" i="5" s="1"/>
  <c r="I11" i="5"/>
  <c r="J11" i="5" s="1"/>
  <c r="L11" i="5"/>
  <c r="M11" i="5" s="1"/>
  <c r="P11" i="5"/>
  <c r="Q11" i="5" s="1"/>
  <c r="V11" i="5"/>
  <c r="W11" i="5" s="1"/>
  <c r="AB11" i="5"/>
  <c r="AC11" i="5" s="1"/>
  <c r="AH11" i="5"/>
  <c r="AI11" i="5" s="1"/>
  <c r="C12" i="5"/>
  <c r="D12" i="5" s="1"/>
  <c r="F12" i="5"/>
  <c r="G12" i="5" s="1"/>
  <c r="I12" i="5"/>
  <c r="J12" i="5" s="1"/>
  <c r="L12" i="5"/>
  <c r="M12" i="5" s="1"/>
  <c r="P12" i="5"/>
  <c r="Q12" i="5" s="1"/>
  <c r="V12" i="5"/>
  <c r="W12" i="5" s="1"/>
  <c r="AB12" i="5"/>
  <c r="AC12" i="5" s="1"/>
  <c r="AH12" i="5"/>
  <c r="AI12" i="5" s="1"/>
  <c r="C13" i="5"/>
  <c r="D13" i="5" s="1"/>
  <c r="F13" i="5"/>
  <c r="G13" i="5" s="1"/>
  <c r="I13" i="5"/>
  <c r="J13" i="5" s="1"/>
  <c r="L13" i="5"/>
  <c r="M13" i="5" s="1"/>
  <c r="P13" i="5"/>
  <c r="Q13" i="5" s="1"/>
  <c r="V13" i="5"/>
  <c r="W13" i="5" s="1"/>
  <c r="AB13" i="5"/>
  <c r="AC13" i="5" s="1"/>
  <c r="AH13" i="5"/>
  <c r="AI13" i="5" s="1"/>
  <c r="C14" i="5"/>
  <c r="D14" i="5" s="1"/>
  <c r="F14" i="5"/>
  <c r="G14" i="5" s="1"/>
  <c r="I14" i="5"/>
  <c r="J14" i="5" s="1"/>
  <c r="L14" i="5"/>
  <c r="M14" i="5" s="1"/>
  <c r="P14" i="5"/>
  <c r="Q14" i="5" s="1"/>
  <c r="V14" i="5"/>
  <c r="W14" i="5" s="1"/>
  <c r="AB14" i="5"/>
  <c r="AC14" i="5" s="1"/>
  <c r="AH14" i="5"/>
  <c r="AI14" i="5" s="1"/>
  <c r="C15" i="5"/>
  <c r="D15" i="5" s="1"/>
  <c r="F15" i="5"/>
  <c r="G15" i="5" s="1"/>
  <c r="I15" i="5"/>
  <c r="J15" i="5" s="1"/>
  <c r="L15" i="5"/>
  <c r="M15" i="5" s="1"/>
  <c r="P15" i="5"/>
  <c r="Q15" i="5" s="1"/>
  <c r="V15" i="5"/>
  <c r="W15" i="5" s="1"/>
  <c r="AB15" i="5"/>
  <c r="AC15" i="5" s="1"/>
  <c r="AH15" i="5"/>
  <c r="AI15" i="5" s="1"/>
  <c r="C16" i="5"/>
  <c r="D16" i="5" s="1"/>
  <c r="F16" i="5"/>
  <c r="G16" i="5" s="1"/>
  <c r="I16" i="5"/>
  <c r="J16" i="5" s="1"/>
  <c r="L16" i="5"/>
  <c r="M16" i="5" s="1"/>
  <c r="P16" i="5"/>
  <c r="Q16" i="5" s="1"/>
  <c r="V16" i="5"/>
  <c r="W16" i="5" s="1"/>
  <c r="AB16" i="5"/>
  <c r="AC16" i="5" s="1"/>
  <c r="AH16" i="5"/>
  <c r="AI16" i="5" s="1"/>
  <c r="C17" i="5"/>
  <c r="D17" i="5" s="1"/>
  <c r="F17" i="5"/>
  <c r="G17" i="5" s="1"/>
  <c r="I17" i="5"/>
  <c r="J17" i="5" s="1"/>
  <c r="L17" i="5"/>
  <c r="M17" i="5" s="1"/>
  <c r="P17" i="5"/>
  <c r="Q17" i="5" s="1"/>
  <c r="V17" i="5"/>
  <c r="W17" i="5" s="1"/>
  <c r="AB17" i="5"/>
  <c r="AC17" i="5" s="1"/>
  <c r="AH17" i="5"/>
  <c r="AI17" i="5" s="1"/>
  <c r="C18" i="5"/>
  <c r="D18" i="5" s="1"/>
  <c r="F18" i="5"/>
  <c r="G18" i="5" s="1"/>
  <c r="I18" i="5"/>
  <c r="J18" i="5" s="1"/>
  <c r="L18" i="5"/>
  <c r="M18" i="5" s="1"/>
  <c r="P18" i="5"/>
  <c r="Q18" i="5" s="1"/>
  <c r="V18" i="5"/>
  <c r="W18" i="5" s="1"/>
  <c r="AB18" i="5"/>
  <c r="AC18" i="5" s="1"/>
  <c r="AH18" i="5"/>
  <c r="AI18" i="5" s="1"/>
  <c r="C19" i="5"/>
  <c r="D19" i="5" s="1"/>
  <c r="F19" i="5"/>
  <c r="G19" i="5" s="1"/>
  <c r="I19" i="5"/>
  <c r="J19" i="5" s="1"/>
  <c r="L19" i="5"/>
  <c r="M19" i="5" s="1"/>
  <c r="P19" i="5"/>
  <c r="Q19" i="5" s="1"/>
  <c r="V19" i="5"/>
  <c r="W19" i="5" s="1"/>
  <c r="AB19" i="5"/>
  <c r="AC19" i="5" s="1"/>
  <c r="AH19" i="5"/>
  <c r="AI19" i="5" s="1"/>
  <c r="C20" i="5"/>
  <c r="D20" i="5" s="1"/>
  <c r="F20" i="5"/>
  <c r="G20" i="5" s="1"/>
  <c r="I20" i="5"/>
  <c r="J20" i="5" s="1"/>
  <c r="L20" i="5"/>
  <c r="M20" i="5" s="1"/>
  <c r="P20" i="5"/>
  <c r="Q20" i="5" s="1"/>
  <c r="V20" i="5"/>
  <c r="W20" i="5" s="1"/>
  <c r="AB20" i="5"/>
  <c r="AC20" i="5" s="1"/>
  <c r="AH20" i="5"/>
  <c r="AI20" i="5" s="1"/>
  <c r="C21" i="5"/>
  <c r="D21" i="5" s="1"/>
  <c r="F21" i="5"/>
  <c r="G21" i="5" s="1"/>
  <c r="I21" i="5"/>
  <c r="J21" i="5" s="1"/>
  <c r="L21" i="5"/>
  <c r="M21" i="5" s="1"/>
  <c r="P21" i="5"/>
  <c r="Q21" i="5" s="1"/>
  <c r="V21" i="5"/>
  <c r="W21" i="5" s="1"/>
  <c r="AB21" i="5"/>
  <c r="AC21" i="5" s="1"/>
  <c r="AH21" i="5"/>
  <c r="AI21" i="5" s="1"/>
  <c r="C22" i="5"/>
  <c r="D22" i="5" s="1"/>
  <c r="F22" i="5"/>
  <c r="G22" i="5" s="1"/>
  <c r="I22" i="5"/>
  <c r="J22" i="5" s="1"/>
  <c r="L22" i="5"/>
  <c r="M22" i="5" s="1"/>
  <c r="P22" i="5"/>
  <c r="Q22" i="5" s="1"/>
  <c r="V22" i="5"/>
  <c r="W22" i="5" s="1"/>
  <c r="AB22" i="5"/>
  <c r="AC22" i="5" s="1"/>
  <c r="AH22" i="5"/>
  <c r="AI22" i="5" s="1"/>
  <c r="C23" i="5"/>
  <c r="D23" i="5" s="1"/>
  <c r="F23" i="5"/>
  <c r="G23" i="5" s="1"/>
  <c r="I23" i="5"/>
  <c r="J23" i="5" s="1"/>
  <c r="L23" i="5"/>
  <c r="M23" i="5" s="1"/>
  <c r="P23" i="5"/>
  <c r="Q23" i="5" s="1"/>
  <c r="V23" i="5"/>
  <c r="W23" i="5" s="1"/>
  <c r="AB23" i="5"/>
  <c r="AC23" i="5" s="1"/>
  <c r="AH23" i="5"/>
  <c r="AI23" i="5" s="1"/>
  <c r="C24" i="5"/>
  <c r="D24" i="5" s="1"/>
  <c r="F24" i="5"/>
  <c r="G24" i="5" s="1"/>
  <c r="I24" i="5"/>
  <c r="J24" i="5" s="1"/>
  <c r="L24" i="5"/>
  <c r="M24" i="5" s="1"/>
  <c r="P24" i="5"/>
  <c r="Q24" i="5" s="1"/>
  <c r="V24" i="5"/>
  <c r="W24" i="5" s="1"/>
  <c r="AB24" i="5"/>
  <c r="AC24" i="5" s="1"/>
  <c r="AH24" i="5"/>
  <c r="AI24" i="5" s="1"/>
  <c r="C25" i="5"/>
  <c r="D25" i="5" s="1"/>
  <c r="F25" i="5"/>
  <c r="G25" i="5" s="1"/>
  <c r="I25" i="5"/>
  <c r="J25" i="5" s="1"/>
  <c r="L25" i="5"/>
  <c r="M25" i="5" s="1"/>
  <c r="P25" i="5"/>
  <c r="Q25" i="5" s="1"/>
  <c r="V25" i="5"/>
  <c r="W25" i="5" s="1"/>
  <c r="AB25" i="5"/>
  <c r="AC25" i="5" s="1"/>
  <c r="AH25" i="5"/>
  <c r="AI25" i="5" s="1"/>
  <c r="C26" i="5"/>
  <c r="D26" i="5" s="1"/>
  <c r="F26" i="5"/>
  <c r="G26" i="5" s="1"/>
  <c r="I26" i="5"/>
  <c r="J26" i="5" s="1"/>
  <c r="L26" i="5"/>
  <c r="M26" i="5" s="1"/>
  <c r="P26" i="5"/>
  <c r="Q26" i="5" s="1"/>
  <c r="V26" i="5"/>
  <c r="W26" i="5" s="1"/>
  <c r="AB26" i="5"/>
  <c r="AC26" i="5" s="1"/>
  <c r="AH26" i="5"/>
  <c r="AI26" i="5" s="1"/>
  <c r="C27" i="5"/>
  <c r="D27" i="5" s="1"/>
  <c r="F27" i="5"/>
  <c r="G27" i="5" s="1"/>
  <c r="I27" i="5"/>
  <c r="J27" i="5" s="1"/>
  <c r="L27" i="5"/>
  <c r="M27" i="5" s="1"/>
  <c r="P27" i="5"/>
  <c r="Q27" i="5" s="1"/>
  <c r="V27" i="5"/>
  <c r="W27" i="5" s="1"/>
  <c r="AB27" i="5"/>
  <c r="AC27" i="5" s="1"/>
  <c r="AH27" i="5"/>
  <c r="AI27" i="5" s="1"/>
  <c r="C28" i="5"/>
  <c r="D28" i="5" s="1"/>
  <c r="F28" i="5"/>
  <c r="G28" i="5" s="1"/>
  <c r="I28" i="5"/>
  <c r="J28" i="5" s="1"/>
  <c r="L28" i="5"/>
  <c r="M28" i="5" s="1"/>
  <c r="P28" i="5"/>
  <c r="Q28" i="5" s="1"/>
  <c r="V28" i="5"/>
  <c r="W28" i="5" s="1"/>
  <c r="AB28" i="5"/>
  <c r="AC28" i="5" s="1"/>
  <c r="AH28" i="5"/>
  <c r="AI28" i="5" s="1"/>
  <c r="C29" i="5"/>
  <c r="D29" i="5" s="1"/>
  <c r="F29" i="5"/>
  <c r="G29" i="5" s="1"/>
  <c r="I29" i="5"/>
  <c r="J29" i="5" s="1"/>
  <c r="L29" i="5"/>
  <c r="M29" i="5" s="1"/>
  <c r="P29" i="5"/>
  <c r="Q29" i="5" s="1"/>
  <c r="V29" i="5"/>
  <c r="W29" i="5" s="1"/>
  <c r="AB29" i="5"/>
  <c r="AC29" i="5" s="1"/>
  <c r="AH29" i="5"/>
  <c r="AI29" i="5" s="1"/>
  <c r="C30" i="5"/>
  <c r="D30" i="5" s="1"/>
  <c r="F30" i="5"/>
  <c r="G30" i="5" s="1"/>
  <c r="I30" i="5"/>
  <c r="J30" i="5" s="1"/>
  <c r="L30" i="5"/>
  <c r="M30" i="5" s="1"/>
  <c r="P30" i="5"/>
  <c r="Q30" i="5" s="1"/>
  <c r="V30" i="5"/>
  <c r="W30" i="5" s="1"/>
  <c r="AB30" i="5"/>
  <c r="AC30" i="5" s="1"/>
  <c r="AH30" i="5"/>
  <c r="AI30" i="5" s="1"/>
  <c r="C31" i="5"/>
  <c r="D31" i="5" s="1"/>
  <c r="F31" i="5"/>
  <c r="G31" i="5" s="1"/>
  <c r="I31" i="5"/>
  <c r="J31" i="5" s="1"/>
  <c r="L31" i="5"/>
  <c r="M31" i="5" s="1"/>
  <c r="P31" i="5"/>
  <c r="Q31" i="5" s="1"/>
  <c r="V31" i="5"/>
  <c r="W31" i="5" s="1"/>
  <c r="AB31" i="5"/>
  <c r="AC31" i="5" s="1"/>
  <c r="AH31" i="5"/>
  <c r="AI31" i="5" s="1"/>
  <c r="C32" i="5"/>
  <c r="D32" i="5" s="1"/>
  <c r="F32" i="5"/>
  <c r="G32" i="5" s="1"/>
  <c r="I32" i="5"/>
  <c r="J32" i="5" s="1"/>
  <c r="L32" i="5"/>
  <c r="M32" i="5" s="1"/>
  <c r="P32" i="5"/>
  <c r="Q32" i="5" s="1"/>
  <c r="V32" i="5"/>
  <c r="W32" i="5" s="1"/>
  <c r="AB32" i="5"/>
  <c r="AC32" i="5" s="1"/>
  <c r="AH32" i="5"/>
  <c r="AI32" i="5" s="1"/>
  <c r="C33" i="5"/>
  <c r="D33" i="5" s="1"/>
  <c r="F33" i="5"/>
  <c r="G33" i="5" s="1"/>
  <c r="I33" i="5"/>
  <c r="J33" i="5" s="1"/>
  <c r="L33" i="5"/>
  <c r="M33" i="5" s="1"/>
  <c r="P33" i="5"/>
  <c r="Q33" i="5" s="1"/>
  <c r="V33" i="5"/>
  <c r="W33" i="5" s="1"/>
  <c r="AB33" i="5"/>
  <c r="AC33" i="5" s="1"/>
  <c r="AH33" i="5"/>
  <c r="AI33" i="5" s="1"/>
  <c r="C34" i="5"/>
  <c r="D34" i="5" s="1"/>
  <c r="F34" i="5"/>
  <c r="G34" i="5" s="1"/>
  <c r="I34" i="5"/>
  <c r="J34" i="5" s="1"/>
  <c r="L34" i="5"/>
  <c r="M34" i="5" s="1"/>
  <c r="P34" i="5"/>
  <c r="Q34" i="5" s="1"/>
  <c r="V34" i="5"/>
  <c r="W34" i="5" s="1"/>
  <c r="AB34" i="5"/>
  <c r="AC34" i="5" s="1"/>
  <c r="AH34" i="5"/>
  <c r="AI34" i="5" s="1"/>
  <c r="C35" i="5"/>
  <c r="D35" i="5" s="1"/>
  <c r="F35" i="5"/>
  <c r="G35" i="5" s="1"/>
  <c r="I35" i="5"/>
  <c r="J35" i="5" s="1"/>
  <c r="L35" i="5"/>
  <c r="M35" i="5" s="1"/>
  <c r="P35" i="5"/>
  <c r="Q35" i="5" s="1"/>
  <c r="V35" i="5"/>
  <c r="W35" i="5" s="1"/>
  <c r="AB35" i="5"/>
  <c r="AC35" i="5" s="1"/>
  <c r="AH35" i="5"/>
  <c r="AI35" i="5" s="1"/>
  <c r="AC5" i="16" l="1"/>
  <c r="AD5" i="16" s="1"/>
  <c r="AF24" i="16" l="1"/>
  <c r="AF25" i="16"/>
  <c r="AF26" i="16"/>
  <c r="AF27" i="16"/>
  <c r="Y6" i="9" l="1"/>
  <c r="Z6" i="9" s="1"/>
  <c r="Y7" i="9"/>
  <c r="Z7" i="9" s="1"/>
  <c r="Y8" i="9"/>
  <c r="Z8" i="9" s="1"/>
  <c r="Y9" i="9"/>
  <c r="Z9" i="9" s="1"/>
  <c r="Y10" i="9"/>
  <c r="Z10" i="9" s="1"/>
  <c r="Y11" i="9"/>
  <c r="Z11" i="9" s="1"/>
  <c r="Y12" i="9"/>
  <c r="Z12" i="9" s="1"/>
  <c r="Y13" i="9"/>
  <c r="Z13" i="9" s="1"/>
  <c r="Y14" i="9"/>
  <c r="Z14" i="9" s="1"/>
  <c r="Y15" i="9"/>
  <c r="Z15" i="9" s="1"/>
  <c r="Y16" i="9"/>
  <c r="Z16" i="9" s="1"/>
  <c r="Y17" i="9"/>
  <c r="Z17" i="9" s="1"/>
  <c r="Y18" i="9"/>
  <c r="Z18" i="9" s="1"/>
  <c r="Y19" i="9"/>
  <c r="Z19" i="9" s="1"/>
  <c r="Y20" i="9"/>
  <c r="Z20" i="9" s="1"/>
  <c r="Y21" i="9"/>
  <c r="Z21" i="9" s="1"/>
  <c r="Y22" i="9"/>
  <c r="Z22" i="9" s="1"/>
  <c r="Y23" i="9"/>
  <c r="Z23" i="9" s="1"/>
  <c r="Y24" i="9"/>
  <c r="Z24" i="9" s="1"/>
  <c r="Y25" i="9"/>
  <c r="Z25" i="9" s="1"/>
  <c r="Y26" i="9"/>
  <c r="Z26" i="9" s="1"/>
  <c r="Y27" i="9"/>
  <c r="Z27" i="9" s="1"/>
  <c r="Y28" i="9"/>
  <c r="Z28" i="9" s="1"/>
  <c r="Y29" i="9"/>
  <c r="Z29" i="9" s="1"/>
  <c r="Y30" i="9"/>
  <c r="Z30" i="9" s="1"/>
  <c r="Y31" i="9"/>
  <c r="Z31" i="9" s="1"/>
  <c r="Y32" i="9"/>
  <c r="Z32" i="9" s="1"/>
  <c r="Y33" i="9"/>
  <c r="Z33" i="9" s="1"/>
  <c r="Y34" i="9"/>
  <c r="Z34" i="9" s="1"/>
  <c r="Y5" i="9"/>
  <c r="Z5" i="9" s="1"/>
  <c r="V6" i="9"/>
  <c r="W6" i="9" s="1"/>
  <c r="V7" i="9"/>
  <c r="W7" i="9" s="1"/>
  <c r="V8" i="9"/>
  <c r="W8" i="9" s="1"/>
  <c r="V9" i="9"/>
  <c r="W9" i="9" s="1"/>
  <c r="V10" i="9"/>
  <c r="W10" i="9" s="1"/>
  <c r="V11" i="9"/>
  <c r="W11" i="9" s="1"/>
  <c r="V12" i="9"/>
  <c r="W12" i="9" s="1"/>
  <c r="V13" i="9"/>
  <c r="W13" i="9" s="1"/>
  <c r="V14" i="9"/>
  <c r="W14" i="9" s="1"/>
  <c r="V15" i="9"/>
  <c r="W15" i="9" s="1"/>
  <c r="V16" i="9"/>
  <c r="W16" i="9" s="1"/>
  <c r="V17" i="9"/>
  <c r="W17" i="9" s="1"/>
  <c r="V18" i="9"/>
  <c r="W18" i="9" s="1"/>
  <c r="V19" i="9"/>
  <c r="W19" i="9" s="1"/>
  <c r="V20" i="9"/>
  <c r="W20" i="9" s="1"/>
  <c r="V21" i="9"/>
  <c r="W21" i="9" s="1"/>
  <c r="V22" i="9"/>
  <c r="W22" i="9" s="1"/>
  <c r="V23" i="9"/>
  <c r="W23" i="9" s="1"/>
  <c r="V24" i="9"/>
  <c r="W24" i="9" s="1"/>
  <c r="V25" i="9"/>
  <c r="W25" i="9" s="1"/>
  <c r="V26" i="9"/>
  <c r="W26" i="9" s="1"/>
  <c r="V27" i="9"/>
  <c r="W27" i="9" s="1"/>
  <c r="V28" i="9"/>
  <c r="W28" i="9" s="1"/>
  <c r="V29" i="9"/>
  <c r="W29" i="9" s="1"/>
  <c r="V30" i="9"/>
  <c r="W30" i="9" s="1"/>
  <c r="V31" i="9"/>
  <c r="W31" i="9" s="1"/>
  <c r="V32" i="9"/>
  <c r="W32" i="9" s="1"/>
  <c r="V33" i="9"/>
  <c r="W33" i="9" s="1"/>
  <c r="V34" i="9"/>
  <c r="W34" i="9" s="1"/>
  <c r="V5" i="9"/>
  <c r="S6" i="9"/>
  <c r="T6" i="9" s="1"/>
  <c r="S7" i="9"/>
  <c r="T7" i="9" s="1"/>
  <c r="S8" i="9"/>
  <c r="T8" i="9" s="1"/>
  <c r="S9" i="9"/>
  <c r="T9" i="9" s="1"/>
  <c r="S10" i="9"/>
  <c r="T10" i="9" s="1"/>
  <c r="S11" i="9"/>
  <c r="T11" i="9" s="1"/>
  <c r="S12" i="9"/>
  <c r="T12" i="9" s="1"/>
  <c r="S13" i="9"/>
  <c r="T13" i="9" s="1"/>
  <c r="S14" i="9"/>
  <c r="T14" i="9" s="1"/>
  <c r="S15" i="9"/>
  <c r="T15" i="9" s="1"/>
  <c r="S16" i="9"/>
  <c r="T16" i="9" s="1"/>
  <c r="S17" i="9"/>
  <c r="T17" i="9" s="1"/>
  <c r="S18" i="9"/>
  <c r="T18" i="9" s="1"/>
  <c r="S19" i="9"/>
  <c r="T19" i="9" s="1"/>
  <c r="S20" i="9"/>
  <c r="T20" i="9" s="1"/>
  <c r="S21" i="9"/>
  <c r="T21" i="9" s="1"/>
  <c r="S22" i="9"/>
  <c r="T22" i="9" s="1"/>
  <c r="S23" i="9"/>
  <c r="T23" i="9" s="1"/>
  <c r="S24" i="9"/>
  <c r="T24" i="9" s="1"/>
  <c r="S25" i="9"/>
  <c r="T25" i="9" s="1"/>
  <c r="S26" i="9"/>
  <c r="T26" i="9" s="1"/>
  <c r="S27" i="9"/>
  <c r="T27" i="9" s="1"/>
  <c r="S28" i="9"/>
  <c r="T28" i="9" s="1"/>
  <c r="S29" i="9"/>
  <c r="T29" i="9" s="1"/>
  <c r="S30" i="9"/>
  <c r="T30" i="9" s="1"/>
  <c r="S31" i="9"/>
  <c r="T31" i="9" s="1"/>
  <c r="S32" i="9"/>
  <c r="T32" i="9" s="1"/>
  <c r="S33" i="9"/>
  <c r="T33" i="9" s="1"/>
  <c r="S34" i="9"/>
  <c r="T34" i="9" s="1"/>
  <c r="S5" i="9"/>
  <c r="T5" i="9" s="1"/>
  <c r="P6" i="9"/>
  <c r="Q6" i="9" s="1"/>
  <c r="P7" i="9"/>
  <c r="Q7" i="9" s="1"/>
  <c r="P8" i="9"/>
  <c r="Q8" i="9" s="1"/>
  <c r="P9" i="9"/>
  <c r="Q9" i="9" s="1"/>
  <c r="P10" i="9"/>
  <c r="Q10" i="9" s="1"/>
  <c r="P11" i="9"/>
  <c r="Q11" i="9" s="1"/>
  <c r="P12" i="9"/>
  <c r="Q12" i="9" s="1"/>
  <c r="P13" i="9"/>
  <c r="Q13" i="9" s="1"/>
  <c r="P14" i="9"/>
  <c r="Q14" i="9" s="1"/>
  <c r="P15" i="9"/>
  <c r="Q15" i="9" s="1"/>
  <c r="P16" i="9"/>
  <c r="Q16" i="9" s="1"/>
  <c r="P17" i="9"/>
  <c r="P18" i="9"/>
  <c r="Q18" i="9" s="1"/>
  <c r="P19" i="9"/>
  <c r="Q19" i="9" s="1"/>
  <c r="P20" i="9"/>
  <c r="Q20" i="9" s="1"/>
  <c r="P21" i="9"/>
  <c r="P22" i="9"/>
  <c r="Q22" i="9" s="1"/>
  <c r="P23" i="9"/>
  <c r="Q23" i="9" s="1"/>
  <c r="P24" i="9"/>
  <c r="Q24" i="9" s="1"/>
  <c r="P25" i="9"/>
  <c r="Q25" i="9" s="1"/>
  <c r="P26" i="9"/>
  <c r="Q26" i="9" s="1"/>
  <c r="P27" i="9"/>
  <c r="Q27" i="9" s="1"/>
  <c r="P28" i="9"/>
  <c r="Q28" i="9" s="1"/>
  <c r="P29" i="9"/>
  <c r="Q29" i="9" s="1"/>
  <c r="P30" i="9"/>
  <c r="Q30" i="9" s="1"/>
  <c r="P31" i="9"/>
  <c r="Q31" i="9" s="1"/>
  <c r="P32" i="9"/>
  <c r="P33" i="9"/>
  <c r="Q33" i="9" s="1"/>
  <c r="P34" i="9"/>
  <c r="Q34" i="9" s="1"/>
  <c r="P5" i="9"/>
  <c r="Q5" i="9" s="1"/>
  <c r="L6" i="9"/>
  <c r="M6" i="9" s="1"/>
  <c r="L7" i="9"/>
  <c r="M7" i="9" s="1"/>
  <c r="L8" i="9"/>
  <c r="M8" i="9" s="1"/>
  <c r="L9" i="9"/>
  <c r="M9" i="9" s="1"/>
  <c r="L10" i="9"/>
  <c r="M10" i="9" s="1"/>
  <c r="L11" i="9"/>
  <c r="M11" i="9" s="1"/>
  <c r="L12" i="9"/>
  <c r="M12" i="9" s="1"/>
  <c r="L13" i="9"/>
  <c r="M13" i="9" s="1"/>
  <c r="L14" i="9"/>
  <c r="M14" i="9" s="1"/>
  <c r="L15" i="9"/>
  <c r="M15" i="9" s="1"/>
  <c r="L16" i="9"/>
  <c r="M16" i="9" s="1"/>
  <c r="L17" i="9"/>
  <c r="M17" i="9" s="1"/>
  <c r="L18" i="9"/>
  <c r="M18" i="9" s="1"/>
  <c r="L19" i="9"/>
  <c r="M19" i="9" s="1"/>
  <c r="L20" i="9"/>
  <c r="M20" i="9" s="1"/>
  <c r="L21" i="9"/>
  <c r="M21" i="9" s="1"/>
  <c r="L22" i="9"/>
  <c r="M22" i="9" s="1"/>
  <c r="L23" i="9"/>
  <c r="M23" i="9" s="1"/>
  <c r="L24" i="9"/>
  <c r="M24" i="9" s="1"/>
  <c r="L25" i="9"/>
  <c r="M25" i="9" s="1"/>
  <c r="L26" i="9"/>
  <c r="M26" i="9" s="1"/>
  <c r="L27" i="9"/>
  <c r="M27" i="9" s="1"/>
  <c r="L28" i="9"/>
  <c r="M28" i="9" s="1"/>
  <c r="L29" i="9"/>
  <c r="M29" i="9" s="1"/>
  <c r="L30" i="9"/>
  <c r="M30" i="9" s="1"/>
  <c r="L31" i="9"/>
  <c r="M31" i="9" s="1"/>
  <c r="L32" i="9"/>
  <c r="M32" i="9" s="1"/>
  <c r="L33" i="9"/>
  <c r="M33" i="9" s="1"/>
  <c r="L34" i="9"/>
  <c r="M34" i="9" s="1"/>
  <c r="L5" i="9"/>
  <c r="M5" i="9" s="1"/>
  <c r="I6" i="9"/>
  <c r="J6" i="9" s="1"/>
  <c r="I7" i="9"/>
  <c r="J7" i="9" s="1"/>
  <c r="I8" i="9"/>
  <c r="J8" i="9" s="1"/>
  <c r="I9" i="9"/>
  <c r="J9" i="9" s="1"/>
  <c r="I10" i="9"/>
  <c r="J10" i="9" s="1"/>
  <c r="I11" i="9"/>
  <c r="J11" i="9" s="1"/>
  <c r="I12" i="9"/>
  <c r="J12" i="9" s="1"/>
  <c r="I13" i="9"/>
  <c r="J13" i="9" s="1"/>
  <c r="I14" i="9"/>
  <c r="J14" i="9" s="1"/>
  <c r="I15" i="9"/>
  <c r="J15" i="9" s="1"/>
  <c r="I16" i="9"/>
  <c r="J16" i="9" s="1"/>
  <c r="I17" i="9"/>
  <c r="J17" i="9" s="1"/>
  <c r="I18" i="9"/>
  <c r="J18" i="9" s="1"/>
  <c r="I19" i="9"/>
  <c r="J19" i="9" s="1"/>
  <c r="I20" i="9"/>
  <c r="J20" i="9" s="1"/>
  <c r="I21" i="9"/>
  <c r="J21" i="9" s="1"/>
  <c r="I22" i="9"/>
  <c r="J22" i="9" s="1"/>
  <c r="I23" i="9"/>
  <c r="J23" i="9" s="1"/>
  <c r="I24" i="9"/>
  <c r="J24" i="9" s="1"/>
  <c r="I25" i="9"/>
  <c r="J25" i="9" s="1"/>
  <c r="I26" i="9"/>
  <c r="J26" i="9" s="1"/>
  <c r="I27" i="9"/>
  <c r="J27" i="9" s="1"/>
  <c r="I28" i="9"/>
  <c r="J28" i="9" s="1"/>
  <c r="I29" i="9"/>
  <c r="J29" i="9" s="1"/>
  <c r="I30" i="9"/>
  <c r="J30" i="9" s="1"/>
  <c r="I31" i="9"/>
  <c r="J31" i="9" s="1"/>
  <c r="I32" i="9"/>
  <c r="J32" i="9" s="1"/>
  <c r="I33" i="9"/>
  <c r="J33" i="9" s="1"/>
  <c r="I34" i="9"/>
  <c r="J34" i="9" s="1"/>
  <c r="I5" i="9"/>
  <c r="J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 s="1"/>
  <c r="F12" i="9"/>
  <c r="G12" i="9" s="1"/>
  <c r="F13" i="9"/>
  <c r="G13" i="9" s="1"/>
  <c r="F14" i="9"/>
  <c r="G14" i="9" s="1"/>
  <c r="F15" i="9"/>
  <c r="G15" i="9" s="1"/>
  <c r="F16" i="9"/>
  <c r="G16" i="9" s="1"/>
  <c r="F17" i="9"/>
  <c r="G17" i="9" s="1"/>
  <c r="F18" i="9"/>
  <c r="G18" i="9" s="1"/>
  <c r="F19" i="9"/>
  <c r="F20" i="9"/>
  <c r="G20" i="9" s="1"/>
  <c r="F21" i="9"/>
  <c r="G21" i="9" s="1"/>
  <c r="F22" i="9"/>
  <c r="G22" i="9" s="1"/>
  <c r="F23" i="9"/>
  <c r="G23" i="9" s="1"/>
  <c r="F24" i="9"/>
  <c r="G24" i="9" s="1"/>
  <c r="F25" i="9"/>
  <c r="G25" i="9" s="1"/>
  <c r="F26" i="9"/>
  <c r="G26" i="9" s="1"/>
  <c r="F27" i="9"/>
  <c r="G27" i="9" s="1"/>
  <c r="F28" i="9"/>
  <c r="G28" i="9" s="1"/>
  <c r="F29" i="9"/>
  <c r="G29" i="9" s="1"/>
  <c r="F30" i="9"/>
  <c r="G30" i="9" s="1"/>
  <c r="F31" i="9"/>
  <c r="G31" i="9" s="1"/>
  <c r="F32" i="9"/>
  <c r="G32" i="9" s="1"/>
  <c r="F33" i="9"/>
  <c r="G33" i="9" s="1"/>
  <c r="F34" i="9"/>
  <c r="G34" i="9" s="1"/>
  <c r="F5" i="9"/>
  <c r="G5" i="9" s="1"/>
  <c r="C6" i="9"/>
  <c r="C7" i="9"/>
  <c r="D7" i="9" s="1"/>
  <c r="C8" i="9"/>
  <c r="D8" i="9" s="1"/>
  <c r="C9" i="9"/>
  <c r="D9" i="9" s="1"/>
  <c r="C10" i="9"/>
  <c r="D10" i="9" s="1"/>
  <c r="AB12" i="9"/>
  <c r="C13" i="9"/>
  <c r="D13" i="9" s="1"/>
  <c r="C14" i="9"/>
  <c r="C15" i="9"/>
  <c r="C16" i="9"/>
  <c r="D16" i="9" s="1"/>
  <c r="C17" i="9"/>
  <c r="D17" i="9" s="1"/>
  <c r="C18" i="9"/>
  <c r="C19" i="9"/>
  <c r="D19" i="9" s="1"/>
  <c r="C20" i="9"/>
  <c r="D20" i="9" s="1"/>
  <c r="C21" i="9"/>
  <c r="D21" i="9" s="1"/>
  <c r="C22" i="9"/>
  <c r="D22" i="9" s="1"/>
  <c r="AB23" i="9"/>
  <c r="C24" i="9"/>
  <c r="D24" i="9" s="1"/>
  <c r="C25" i="9"/>
  <c r="C26" i="9"/>
  <c r="D26" i="9" s="1"/>
  <c r="AB27" i="9"/>
  <c r="C28" i="9"/>
  <c r="D28" i="9" s="1"/>
  <c r="AB29" i="9"/>
  <c r="AB30" i="9"/>
  <c r="C31" i="9"/>
  <c r="D31" i="9" s="1"/>
  <c r="C32" i="9"/>
  <c r="D32" i="9" s="1"/>
  <c r="AB33" i="9"/>
  <c r="C34" i="9"/>
  <c r="D34" i="9" s="1"/>
  <c r="C5" i="9"/>
  <c r="D5" i="9" s="1"/>
  <c r="Y6" i="8"/>
  <c r="Z6" i="8" s="1"/>
  <c r="Y7" i="8"/>
  <c r="Z7" i="8" s="1"/>
  <c r="Y8" i="8"/>
  <c r="Z8" i="8" s="1"/>
  <c r="Y9" i="8"/>
  <c r="Z9" i="8" s="1"/>
  <c r="Y10" i="8"/>
  <c r="Z10" i="8" s="1"/>
  <c r="Y11" i="8"/>
  <c r="Z11" i="8" s="1"/>
  <c r="Y12" i="8"/>
  <c r="Z12" i="8" s="1"/>
  <c r="Y13" i="8"/>
  <c r="Z13" i="8" s="1"/>
  <c r="Y14" i="8"/>
  <c r="Z14" i="8" s="1"/>
  <c r="Y15" i="8"/>
  <c r="Z15" i="8" s="1"/>
  <c r="Y16" i="8"/>
  <c r="Z16" i="8" s="1"/>
  <c r="Y17" i="8"/>
  <c r="Z17" i="8" s="1"/>
  <c r="Y18" i="8"/>
  <c r="Z18" i="8" s="1"/>
  <c r="Y19" i="8"/>
  <c r="Z19" i="8" s="1"/>
  <c r="Y20" i="8"/>
  <c r="Z20" i="8" s="1"/>
  <c r="Y21" i="8"/>
  <c r="Z21" i="8" s="1"/>
  <c r="Y22" i="8"/>
  <c r="Z22" i="8" s="1"/>
  <c r="Y23" i="8"/>
  <c r="Z23" i="8" s="1"/>
  <c r="Y24" i="8"/>
  <c r="Z24" i="8" s="1"/>
  <c r="Y25" i="8"/>
  <c r="Z25" i="8" s="1"/>
  <c r="Y26" i="8"/>
  <c r="Z26" i="8" s="1"/>
  <c r="Y27" i="8"/>
  <c r="Z27" i="8" s="1"/>
  <c r="Y28" i="8"/>
  <c r="Z28" i="8" s="1"/>
  <c r="Y29" i="8"/>
  <c r="Z29" i="8" s="1"/>
  <c r="Y30" i="8"/>
  <c r="Z30" i="8" s="1"/>
  <c r="Y31" i="8"/>
  <c r="Z31" i="8" s="1"/>
  <c r="Y32" i="8"/>
  <c r="Z32" i="8" s="1"/>
  <c r="Y33" i="8"/>
  <c r="Z33" i="8" s="1"/>
  <c r="Y34" i="8"/>
  <c r="Z34" i="8" s="1"/>
  <c r="Y35" i="8"/>
  <c r="Z35" i="8" s="1"/>
  <c r="Y5" i="8"/>
  <c r="Z5" i="8" s="1"/>
  <c r="V6" i="8"/>
  <c r="V7" i="8"/>
  <c r="W7" i="8" s="1"/>
  <c r="V8" i="8"/>
  <c r="W8" i="8" s="1"/>
  <c r="V9" i="8"/>
  <c r="W9" i="8" s="1"/>
  <c r="V10" i="8"/>
  <c r="W10" i="8" s="1"/>
  <c r="V11" i="8"/>
  <c r="W11" i="8" s="1"/>
  <c r="V12" i="8"/>
  <c r="W12" i="8" s="1"/>
  <c r="V13" i="8"/>
  <c r="W13" i="8" s="1"/>
  <c r="V14" i="8"/>
  <c r="W14" i="8" s="1"/>
  <c r="V15" i="8"/>
  <c r="W15" i="8" s="1"/>
  <c r="V16" i="8"/>
  <c r="W16" i="8" s="1"/>
  <c r="V17" i="8"/>
  <c r="W17" i="8" s="1"/>
  <c r="V18" i="8"/>
  <c r="W18" i="8" s="1"/>
  <c r="V19" i="8"/>
  <c r="W19" i="8" s="1"/>
  <c r="V20" i="8"/>
  <c r="W20" i="8" s="1"/>
  <c r="V21" i="8"/>
  <c r="W21" i="8" s="1"/>
  <c r="V22" i="8"/>
  <c r="W22" i="8" s="1"/>
  <c r="V23" i="8"/>
  <c r="W23" i="8" s="1"/>
  <c r="V24" i="8"/>
  <c r="W24" i="8" s="1"/>
  <c r="V25" i="8"/>
  <c r="W25" i="8" s="1"/>
  <c r="V26" i="8"/>
  <c r="W26" i="8" s="1"/>
  <c r="V27" i="8"/>
  <c r="W27" i="8" s="1"/>
  <c r="V28" i="8"/>
  <c r="W28" i="8" s="1"/>
  <c r="V29" i="8"/>
  <c r="W29" i="8" s="1"/>
  <c r="V30" i="8"/>
  <c r="W30" i="8" s="1"/>
  <c r="V31" i="8"/>
  <c r="W31" i="8" s="1"/>
  <c r="V32" i="8"/>
  <c r="W32" i="8" s="1"/>
  <c r="V33" i="8"/>
  <c r="W33" i="8" s="1"/>
  <c r="V34" i="8"/>
  <c r="W34" i="8" s="1"/>
  <c r="V35" i="8"/>
  <c r="W35" i="8" s="1"/>
  <c r="V5" i="8"/>
  <c r="W5" i="8" s="1"/>
  <c r="S6" i="8"/>
  <c r="T6" i="8" s="1"/>
  <c r="S7" i="8"/>
  <c r="T7" i="8" s="1"/>
  <c r="S8" i="8"/>
  <c r="T8" i="8" s="1"/>
  <c r="S9" i="8"/>
  <c r="T9" i="8" s="1"/>
  <c r="S10" i="8"/>
  <c r="T10" i="8" s="1"/>
  <c r="S11" i="8"/>
  <c r="T11" i="8" s="1"/>
  <c r="S12" i="8"/>
  <c r="T12" i="8" s="1"/>
  <c r="S13" i="8"/>
  <c r="T13" i="8" s="1"/>
  <c r="S14" i="8"/>
  <c r="T14" i="8" s="1"/>
  <c r="S15" i="8"/>
  <c r="T15" i="8" s="1"/>
  <c r="S16" i="8"/>
  <c r="T16" i="8" s="1"/>
  <c r="S17" i="8"/>
  <c r="T17" i="8" s="1"/>
  <c r="S18" i="8"/>
  <c r="T18" i="8" s="1"/>
  <c r="S19" i="8"/>
  <c r="T19" i="8" s="1"/>
  <c r="S20" i="8"/>
  <c r="T20" i="8" s="1"/>
  <c r="S21" i="8"/>
  <c r="T21" i="8" s="1"/>
  <c r="S22" i="8"/>
  <c r="T22" i="8" s="1"/>
  <c r="S23" i="8"/>
  <c r="T23" i="8" s="1"/>
  <c r="S24" i="8"/>
  <c r="T24" i="8" s="1"/>
  <c r="S25" i="8"/>
  <c r="T25" i="8" s="1"/>
  <c r="S26" i="8"/>
  <c r="T26" i="8" s="1"/>
  <c r="S27" i="8"/>
  <c r="T27" i="8" s="1"/>
  <c r="S28" i="8"/>
  <c r="T28" i="8" s="1"/>
  <c r="S29" i="8"/>
  <c r="T29" i="8" s="1"/>
  <c r="S30" i="8"/>
  <c r="T30" i="8" s="1"/>
  <c r="S31" i="8"/>
  <c r="T31" i="8" s="1"/>
  <c r="S32" i="8"/>
  <c r="T32" i="8" s="1"/>
  <c r="S33" i="8"/>
  <c r="T33" i="8" s="1"/>
  <c r="S34" i="8"/>
  <c r="T34" i="8" s="1"/>
  <c r="S35" i="8"/>
  <c r="T35" i="8" s="1"/>
  <c r="S5" i="8"/>
  <c r="T5" i="8" s="1"/>
  <c r="P6" i="8"/>
  <c r="Q6" i="8" s="1"/>
  <c r="P7" i="8"/>
  <c r="Q7" i="8" s="1"/>
  <c r="P8" i="8"/>
  <c r="Q8" i="8" s="1"/>
  <c r="P9" i="8"/>
  <c r="P10" i="8"/>
  <c r="Q10" i="8" s="1"/>
  <c r="P11" i="8"/>
  <c r="Q11" i="8" s="1"/>
  <c r="P12" i="8"/>
  <c r="Q12" i="8" s="1"/>
  <c r="P13" i="8"/>
  <c r="Q13" i="8" s="1"/>
  <c r="P14" i="8"/>
  <c r="P15" i="8"/>
  <c r="Q15" i="8" s="1"/>
  <c r="P16" i="8"/>
  <c r="Q16" i="8" s="1"/>
  <c r="P17" i="8"/>
  <c r="Q17" i="8" s="1"/>
  <c r="P18" i="8"/>
  <c r="P19" i="8"/>
  <c r="Q19" i="8" s="1"/>
  <c r="P20" i="8"/>
  <c r="Q20" i="8" s="1"/>
  <c r="P21" i="8"/>
  <c r="Q21" i="8" s="1"/>
  <c r="P22" i="8"/>
  <c r="Q22" i="8" s="1"/>
  <c r="P23" i="8"/>
  <c r="Q23" i="8" s="1"/>
  <c r="P24" i="8"/>
  <c r="Q24" i="8" s="1"/>
  <c r="P25" i="8"/>
  <c r="Q25" i="8" s="1"/>
  <c r="P26" i="8"/>
  <c r="Q26" i="8" s="1"/>
  <c r="P27" i="8"/>
  <c r="Q27" i="8" s="1"/>
  <c r="P28" i="8"/>
  <c r="Q28" i="8" s="1"/>
  <c r="P29" i="8"/>
  <c r="Q29" i="8" s="1"/>
  <c r="P30" i="8"/>
  <c r="Q30" i="8" s="1"/>
  <c r="P31" i="8"/>
  <c r="Q31" i="8" s="1"/>
  <c r="P32" i="8"/>
  <c r="Q32" i="8" s="1"/>
  <c r="P33" i="8"/>
  <c r="Q33" i="8" s="1"/>
  <c r="P34" i="8"/>
  <c r="Q34" i="8" s="1"/>
  <c r="P35" i="8"/>
  <c r="Q35" i="8" s="1"/>
  <c r="P5" i="8"/>
  <c r="Q5" i="8" s="1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L13" i="8"/>
  <c r="M13" i="8" s="1"/>
  <c r="L14" i="8"/>
  <c r="M14" i="8" s="1"/>
  <c r="L15" i="8"/>
  <c r="M15" i="8" s="1"/>
  <c r="L16" i="8"/>
  <c r="M16" i="8" s="1"/>
  <c r="L17" i="8"/>
  <c r="M17" i="8" s="1"/>
  <c r="L18" i="8"/>
  <c r="M18" i="8" s="1"/>
  <c r="L19" i="8"/>
  <c r="M19" i="8" s="1"/>
  <c r="L20" i="8"/>
  <c r="M20" i="8" s="1"/>
  <c r="L21" i="8"/>
  <c r="M21" i="8" s="1"/>
  <c r="L22" i="8"/>
  <c r="M22" i="8" s="1"/>
  <c r="L23" i="8"/>
  <c r="M23" i="8" s="1"/>
  <c r="L24" i="8"/>
  <c r="M24" i="8" s="1"/>
  <c r="L25" i="8"/>
  <c r="M25" i="8" s="1"/>
  <c r="L26" i="8"/>
  <c r="M26" i="8" s="1"/>
  <c r="L27" i="8"/>
  <c r="M27" i="8" s="1"/>
  <c r="L28" i="8"/>
  <c r="M28" i="8" s="1"/>
  <c r="L29" i="8"/>
  <c r="M29" i="8" s="1"/>
  <c r="L30" i="8"/>
  <c r="M30" i="8" s="1"/>
  <c r="L31" i="8"/>
  <c r="M31" i="8" s="1"/>
  <c r="L32" i="8"/>
  <c r="M32" i="8" s="1"/>
  <c r="L33" i="8"/>
  <c r="M33" i="8" s="1"/>
  <c r="L34" i="8"/>
  <c r="M34" i="8" s="1"/>
  <c r="L35" i="8"/>
  <c r="M35" i="8" s="1"/>
  <c r="L5" i="8"/>
  <c r="M5" i="8" s="1"/>
  <c r="I6" i="8"/>
  <c r="J6" i="8" s="1"/>
  <c r="I7" i="8"/>
  <c r="J7" i="8" s="1"/>
  <c r="I8" i="8"/>
  <c r="J8" i="8" s="1"/>
  <c r="I9" i="8"/>
  <c r="J9" i="8" s="1"/>
  <c r="I10" i="8"/>
  <c r="J10" i="8" s="1"/>
  <c r="I11" i="8"/>
  <c r="J11" i="8" s="1"/>
  <c r="I12" i="8"/>
  <c r="J12" i="8" s="1"/>
  <c r="I13" i="8"/>
  <c r="J13" i="8" s="1"/>
  <c r="I14" i="8"/>
  <c r="J14" i="8" s="1"/>
  <c r="I15" i="8"/>
  <c r="J15" i="8" s="1"/>
  <c r="I16" i="8"/>
  <c r="J16" i="8" s="1"/>
  <c r="I17" i="8"/>
  <c r="J17" i="8" s="1"/>
  <c r="I18" i="8"/>
  <c r="J18" i="8" s="1"/>
  <c r="I19" i="8"/>
  <c r="J19" i="8" s="1"/>
  <c r="I20" i="8"/>
  <c r="J20" i="8" s="1"/>
  <c r="I21" i="8"/>
  <c r="J21" i="8" s="1"/>
  <c r="I22" i="8"/>
  <c r="J22" i="8" s="1"/>
  <c r="I24" i="8"/>
  <c r="J24" i="8" s="1"/>
  <c r="I25" i="8"/>
  <c r="J25" i="8" s="1"/>
  <c r="I26" i="8"/>
  <c r="J26" i="8" s="1"/>
  <c r="I27" i="8"/>
  <c r="J27" i="8" s="1"/>
  <c r="I28" i="8"/>
  <c r="J28" i="8" s="1"/>
  <c r="I29" i="8"/>
  <c r="J29" i="8" s="1"/>
  <c r="I30" i="8"/>
  <c r="J30" i="8" s="1"/>
  <c r="I31" i="8"/>
  <c r="J31" i="8" s="1"/>
  <c r="I32" i="8"/>
  <c r="J32" i="8" s="1"/>
  <c r="I33" i="8"/>
  <c r="J33" i="8" s="1"/>
  <c r="I34" i="8"/>
  <c r="J34" i="8" s="1"/>
  <c r="I35" i="8"/>
  <c r="J35" i="8" s="1"/>
  <c r="I5" i="8"/>
  <c r="J5" i="8" s="1"/>
  <c r="F6" i="8"/>
  <c r="G6" i="8" s="1"/>
  <c r="F7" i="8"/>
  <c r="G7" i="8" s="1"/>
  <c r="F8" i="8"/>
  <c r="G8" i="8" s="1"/>
  <c r="F9" i="8"/>
  <c r="G9" i="8" s="1"/>
  <c r="F10" i="8"/>
  <c r="G10" i="8" s="1"/>
  <c r="F11" i="8"/>
  <c r="G11" i="8" s="1"/>
  <c r="F12" i="8"/>
  <c r="G12" i="8" s="1"/>
  <c r="F13" i="8"/>
  <c r="G13" i="8" s="1"/>
  <c r="F14" i="8"/>
  <c r="G14" i="8" s="1"/>
  <c r="F15" i="8"/>
  <c r="G15" i="8" s="1"/>
  <c r="F16" i="8"/>
  <c r="G16" i="8" s="1"/>
  <c r="F17" i="8"/>
  <c r="G17" i="8" s="1"/>
  <c r="F18" i="8"/>
  <c r="G18" i="8" s="1"/>
  <c r="F19" i="8"/>
  <c r="G19" i="8" s="1"/>
  <c r="F20" i="8"/>
  <c r="G20" i="8" s="1"/>
  <c r="F21" i="8"/>
  <c r="G21" i="8" s="1"/>
  <c r="F22" i="8"/>
  <c r="G22" i="8" s="1"/>
  <c r="F23" i="8"/>
  <c r="G23" i="8" s="1"/>
  <c r="F24" i="8"/>
  <c r="G24" i="8" s="1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F34" i="8"/>
  <c r="G34" i="8" s="1"/>
  <c r="F35" i="8"/>
  <c r="G35" i="8" s="1"/>
  <c r="F5" i="8"/>
  <c r="G5" i="8" s="1"/>
  <c r="C6" i="8"/>
  <c r="C7" i="8"/>
  <c r="D7" i="8" s="1"/>
  <c r="C8" i="8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D15" i="8" s="1"/>
  <c r="C16" i="8"/>
  <c r="C17" i="8"/>
  <c r="D17" i="8" s="1"/>
  <c r="C18" i="8"/>
  <c r="D18" i="8" s="1"/>
  <c r="C19" i="8"/>
  <c r="D19" i="8" s="1"/>
  <c r="C20" i="8"/>
  <c r="D20" i="8" s="1"/>
  <c r="AB21" i="8"/>
  <c r="C23" i="8"/>
  <c r="D23" i="8" s="1"/>
  <c r="C24" i="8"/>
  <c r="D24" i="8" s="1"/>
  <c r="AB25" i="8"/>
  <c r="C26" i="8"/>
  <c r="C27" i="8"/>
  <c r="D27" i="8" s="1"/>
  <c r="C28" i="8"/>
  <c r="D28" i="8" s="1"/>
  <c r="C29" i="8"/>
  <c r="AB30" i="8"/>
  <c r="C31" i="8"/>
  <c r="D31" i="8" s="1"/>
  <c r="C32" i="8"/>
  <c r="AB33" i="8"/>
  <c r="C34" i="8"/>
  <c r="D34" i="8" s="1"/>
  <c r="C35" i="8"/>
  <c r="D35" i="8" s="1"/>
  <c r="Y6" i="7"/>
  <c r="Z6" i="7" s="1"/>
  <c r="Y7" i="7"/>
  <c r="Z7" i="7" s="1"/>
  <c r="Y8" i="7"/>
  <c r="Z8" i="7" s="1"/>
  <c r="Y9" i="7"/>
  <c r="Y10" i="7"/>
  <c r="Z10" i="7" s="1"/>
  <c r="Y11" i="7"/>
  <c r="Z11" i="7" s="1"/>
  <c r="Y12" i="7"/>
  <c r="Z12" i="7" s="1"/>
  <c r="Y13" i="7"/>
  <c r="Z13" i="7" s="1"/>
  <c r="Y14" i="7"/>
  <c r="Z14" i="7" s="1"/>
  <c r="Y15" i="7"/>
  <c r="Z15" i="7" s="1"/>
  <c r="Y16" i="7"/>
  <c r="Z16" i="7" s="1"/>
  <c r="Y17" i="7"/>
  <c r="Z17" i="7" s="1"/>
  <c r="Y18" i="7"/>
  <c r="Z18" i="7" s="1"/>
  <c r="Y19" i="7"/>
  <c r="Z19" i="7" s="1"/>
  <c r="Y20" i="7"/>
  <c r="Z20" i="7" s="1"/>
  <c r="Y21" i="7"/>
  <c r="Z21" i="7" s="1"/>
  <c r="Y22" i="7"/>
  <c r="Z22" i="7" s="1"/>
  <c r="Y23" i="7"/>
  <c r="Z23" i="7" s="1"/>
  <c r="Y24" i="7"/>
  <c r="Z24" i="7" s="1"/>
  <c r="Y25" i="7"/>
  <c r="Z25" i="7" s="1"/>
  <c r="Y26" i="7"/>
  <c r="Z26" i="7" s="1"/>
  <c r="Y27" i="7"/>
  <c r="Z27" i="7" s="1"/>
  <c r="Y28" i="7"/>
  <c r="Z28" i="7" s="1"/>
  <c r="Y29" i="7"/>
  <c r="Z29" i="7" s="1"/>
  <c r="Y30" i="7"/>
  <c r="Z30" i="7" s="1"/>
  <c r="Y31" i="7"/>
  <c r="Z31" i="7" s="1"/>
  <c r="Y32" i="7"/>
  <c r="Z32" i="7" s="1"/>
  <c r="Y33" i="7"/>
  <c r="Z33" i="7" s="1"/>
  <c r="Y34" i="7"/>
  <c r="Z34" i="7" s="1"/>
  <c r="Y5" i="7"/>
  <c r="Z5" i="7" s="1"/>
  <c r="V6" i="7"/>
  <c r="W6" i="7" s="1"/>
  <c r="V7" i="7"/>
  <c r="W7" i="7" s="1"/>
  <c r="V8" i="7"/>
  <c r="W8" i="7" s="1"/>
  <c r="V9" i="7"/>
  <c r="W9" i="7" s="1"/>
  <c r="V10" i="7"/>
  <c r="W10" i="7" s="1"/>
  <c r="V11" i="7"/>
  <c r="W11" i="7" s="1"/>
  <c r="V12" i="7"/>
  <c r="W12" i="7" s="1"/>
  <c r="V13" i="7"/>
  <c r="W13" i="7" s="1"/>
  <c r="V14" i="7"/>
  <c r="W14" i="7" s="1"/>
  <c r="V15" i="7"/>
  <c r="W15" i="7" s="1"/>
  <c r="V16" i="7"/>
  <c r="W16" i="7" s="1"/>
  <c r="V17" i="7"/>
  <c r="W17" i="7" s="1"/>
  <c r="V18" i="7"/>
  <c r="W18" i="7" s="1"/>
  <c r="V19" i="7"/>
  <c r="W19" i="7" s="1"/>
  <c r="V20" i="7"/>
  <c r="W20" i="7" s="1"/>
  <c r="V21" i="7"/>
  <c r="W21" i="7" s="1"/>
  <c r="V22" i="7"/>
  <c r="W22" i="7" s="1"/>
  <c r="V23" i="7"/>
  <c r="W23" i="7" s="1"/>
  <c r="V24" i="7"/>
  <c r="W24" i="7" s="1"/>
  <c r="V25" i="7"/>
  <c r="W25" i="7" s="1"/>
  <c r="V26" i="7"/>
  <c r="W26" i="7" s="1"/>
  <c r="V27" i="7"/>
  <c r="W27" i="7" s="1"/>
  <c r="V28" i="7"/>
  <c r="W28" i="7" s="1"/>
  <c r="V29" i="7"/>
  <c r="W29" i="7" s="1"/>
  <c r="V30" i="7"/>
  <c r="W30" i="7" s="1"/>
  <c r="V31" i="7"/>
  <c r="W31" i="7" s="1"/>
  <c r="V32" i="7"/>
  <c r="W32" i="7" s="1"/>
  <c r="V33" i="7"/>
  <c r="W33" i="7" s="1"/>
  <c r="V34" i="7"/>
  <c r="W34" i="7" s="1"/>
  <c r="V5" i="7"/>
  <c r="W5" i="7" s="1"/>
  <c r="S6" i="7"/>
  <c r="T6" i="7" s="1"/>
  <c r="S7" i="7"/>
  <c r="T7" i="7" s="1"/>
  <c r="S8" i="7"/>
  <c r="T8" i="7" s="1"/>
  <c r="S9" i="7"/>
  <c r="T9" i="7" s="1"/>
  <c r="S10" i="7"/>
  <c r="T10" i="7" s="1"/>
  <c r="S11" i="7"/>
  <c r="T11" i="7" s="1"/>
  <c r="S12" i="7"/>
  <c r="T12" i="7" s="1"/>
  <c r="S13" i="7"/>
  <c r="T13" i="7" s="1"/>
  <c r="S14" i="7"/>
  <c r="T14" i="7" s="1"/>
  <c r="S15" i="7"/>
  <c r="T15" i="7" s="1"/>
  <c r="S16" i="7"/>
  <c r="T16" i="7" s="1"/>
  <c r="S17" i="7"/>
  <c r="T17" i="7" s="1"/>
  <c r="S18" i="7"/>
  <c r="T18" i="7" s="1"/>
  <c r="S19" i="7"/>
  <c r="T19" i="7" s="1"/>
  <c r="S20" i="7"/>
  <c r="T20" i="7" s="1"/>
  <c r="S21" i="7"/>
  <c r="T21" i="7" s="1"/>
  <c r="S22" i="7"/>
  <c r="T22" i="7" s="1"/>
  <c r="S23" i="7"/>
  <c r="T23" i="7" s="1"/>
  <c r="S24" i="7"/>
  <c r="T24" i="7" s="1"/>
  <c r="S25" i="7"/>
  <c r="T25" i="7" s="1"/>
  <c r="S26" i="7"/>
  <c r="T26" i="7" s="1"/>
  <c r="S27" i="7"/>
  <c r="T27" i="7" s="1"/>
  <c r="S28" i="7"/>
  <c r="T28" i="7" s="1"/>
  <c r="S29" i="7"/>
  <c r="T29" i="7" s="1"/>
  <c r="S30" i="7"/>
  <c r="T30" i="7" s="1"/>
  <c r="S31" i="7"/>
  <c r="T31" i="7" s="1"/>
  <c r="S32" i="7"/>
  <c r="T32" i="7" s="1"/>
  <c r="S33" i="7"/>
  <c r="T33" i="7" s="1"/>
  <c r="S34" i="7"/>
  <c r="T34" i="7" s="1"/>
  <c r="S5" i="7"/>
  <c r="T5" i="7" s="1"/>
  <c r="P6" i="7"/>
  <c r="Q6" i="7" s="1"/>
  <c r="P7" i="7"/>
  <c r="Q7" i="7" s="1"/>
  <c r="P8" i="7"/>
  <c r="Q8" i="7" s="1"/>
  <c r="P9" i="7"/>
  <c r="Q9" i="7" s="1"/>
  <c r="P10" i="7"/>
  <c r="Q10" i="7" s="1"/>
  <c r="P11" i="7"/>
  <c r="Q11" i="7" s="1"/>
  <c r="P12" i="7"/>
  <c r="Q12" i="7" s="1"/>
  <c r="P13" i="7"/>
  <c r="Q13" i="7" s="1"/>
  <c r="P14" i="7"/>
  <c r="Q14" i="7" s="1"/>
  <c r="P15" i="7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23" i="7"/>
  <c r="Q23" i="7" s="1"/>
  <c r="P24" i="7"/>
  <c r="P25" i="7"/>
  <c r="Q25" i="7" s="1"/>
  <c r="P26" i="7"/>
  <c r="Q26" i="7" s="1"/>
  <c r="P27" i="7"/>
  <c r="Q27" i="7" s="1"/>
  <c r="P28" i="7"/>
  <c r="Q28" i="7" s="1"/>
  <c r="P29" i="7"/>
  <c r="Q29" i="7" s="1"/>
  <c r="P30" i="7"/>
  <c r="Q30" i="7" s="1"/>
  <c r="P31" i="7"/>
  <c r="Q31" i="7" s="1"/>
  <c r="P32" i="7"/>
  <c r="Q32" i="7" s="1"/>
  <c r="P33" i="7"/>
  <c r="Q33" i="7" s="1"/>
  <c r="P34" i="7"/>
  <c r="Q34" i="7" s="1"/>
  <c r="P5" i="7"/>
  <c r="Q5" i="7" s="1"/>
  <c r="L6" i="7"/>
  <c r="M6" i="7" s="1"/>
  <c r="L7" i="7"/>
  <c r="M7" i="7" s="1"/>
  <c r="L8" i="7"/>
  <c r="M8" i="7" s="1"/>
  <c r="L9" i="7"/>
  <c r="L10" i="7"/>
  <c r="M10" i="7" s="1"/>
  <c r="L11" i="7"/>
  <c r="M11" i="7" s="1"/>
  <c r="L12" i="7"/>
  <c r="M12" i="7" s="1"/>
  <c r="L13" i="7"/>
  <c r="M13" i="7" s="1"/>
  <c r="L14" i="7"/>
  <c r="M14" i="7" s="1"/>
  <c r="L15" i="7"/>
  <c r="M15" i="7" s="1"/>
  <c r="L16" i="7"/>
  <c r="M16" i="7" s="1"/>
  <c r="L17" i="7"/>
  <c r="M17" i="7" s="1"/>
  <c r="L18" i="7"/>
  <c r="M18" i="7" s="1"/>
  <c r="L19" i="7"/>
  <c r="M19" i="7" s="1"/>
  <c r="L20" i="7"/>
  <c r="M20" i="7" s="1"/>
  <c r="L21" i="7"/>
  <c r="M21" i="7" s="1"/>
  <c r="L22" i="7"/>
  <c r="M22" i="7" s="1"/>
  <c r="L23" i="7"/>
  <c r="M23" i="7" s="1"/>
  <c r="L24" i="7"/>
  <c r="M24" i="7" s="1"/>
  <c r="L25" i="7"/>
  <c r="M25" i="7" s="1"/>
  <c r="L26" i="7"/>
  <c r="M26" i="7" s="1"/>
  <c r="L27" i="7"/>
  <c r="M27" i="7" s="1"/>
  <c r="L28" i="7"/>
  <c r="M28" i="7" s="1"/>
  <c r="L29" i="7"/>
  <c r="M29" i="7" s="1"/>
  <c r="L30" i="7"/>
  <c r="M30" i="7" s="1"/>
  <c r="L31" i="7"/>
  <c r="M31" i="7" s="1"/>
  <c r="L32" i="7"/>
  <c r="M32" i="7" s="1"/>
  <c r="L33" i="7"/>
  <c r="M33" i="7" s="1"/>
  <c r="L34" i="7"/>
  <c r="M34" i="7" s="1"/>
  <c r="L5" i="7"/>
  <c r="M5" i="7" s="1"/>
  <c r="I6" i="7"/>
  <c r="J6" i="7" s="1"/>
  <c r="I7" i="7"/>
  <c r="J7" i="7" s="1"/>
  <c r="I8" i="7"/>
  <c r="J8" i="7" s="1"/>
  <c r="I9" i="7"/>
  <c r="J9" i="7" s="1"/>
  <c r="I10" i="7"/>
  <c r="J10" i="7" s="1"/>
  <c r="I11" i="7"/>
  <c r="J11" i="7" s="1"/>
  <c r="I12" i="7"/>
  <c r="J12" i="7" s="1"/>
  <c r="I13" i="7"/>
  <c r="J13" i="7" s="1"/>
  <c r="I14" i="7"/>
  <c r="J14" i="7" s="1"/>
  <c r="I15" i="7"/>
  <c r="J15" i="7" s="1"/>
  <c r="I16" i="7"/>
  <c r="J16" i="7" s="1"/>
  <c r="I17" i="7"/>
  <c r="J17" i="7" s="1"/>
  <c r="I18" i="7"/>
  <c r="J18" i="7" s="1"/>
  <c r="I19" i="7"/>
  <c r="J19" i="7" s="1"/>
  <c r="I20" i="7"/>
  <c r="J20" i="7" s="1"/>
  <c r="I21" i="7"/>
  <c r="J21" i="7" s="1"/>
  <c r="I22" i="7"/>
  <c r="J22" i="7" s="1"/>
  <c r="I23" i="7"/>
  <c r="J23" i="7" s="1"/>
  <c r="I24" i="7"/>
  <c r="J24" i="7" s="1"/>
  <c r="I25" i="7"/>
  <c r="J25" i="7" s="1"/>
  <c r="I26" i="7"/>
  <c r="J26" i="7" s="1"/>
  <c r="I27" i="7"/>
  <c r="J27" i="7" s="1"/>
  <c r="I28" i="7"/>
  <c r="J28" i="7" s="1"/>
  <c r="I29" i="7"/>
  <c r="J29" i="7" s="1"/>
  <c r="I30" i="7"/>
  <c r="J30" i="7" s="1"/>
  <c r="I31" i="7"/>
  <c r="J31" i="7" s="1"/>
  <c r="I32" i="7"/>
  <c r="J32" i="7" s="1"/>
  <c r="I33" i="7"/>
  <c r="J33" i="7" s="1"/>
  <c r="I34" i="7"/>
  <c r="J34" i="7" s="1"/>
  <c r="I5" i="7"/>
  <c r="F6" i="7"/>
  <c r="G6" i="7" s="1"/>
  <c r="F7" i="7"/>
  <c r="G7" i="7" s="1"/>
  <c r="F8" i="7"/>
  <c r="G8" i="7" s="1"/>
  <c r="F9" i="7"/>
  <c r="G9" i="7" s="1"/>
  <c r="F10" i="7"/>
  <c r="G10" i="7" s="1"/>
  <c r="F11" i="7"/>
  <c r="G11" i="7" s="1"/>
  <c r="F12" i="7"/>
  <c r="G12" i="7" s="1"/>
  <c r="F13" i="7"/>
  <c r="G13" i="7" s="1"/>
  <c r="F14" i="7"/>
  <c r="G14" i="7" s="1"/>
  <c r="F15" i="7"/>
  <c r="G15" i="7" s="1"/>
  <c r="F16" i="7"/>
  <c r="G16" i="7" s="1"/>
  <c r="F17" i="7"/>
  <c r="G17" i="7" s="1"/>
  <c r="F18" i="7"/>
  <c r="G18" i="7" s="1"/>
  <c r="F19" i="7"/>
  <c r="G19" i="7" s="1"/>
  <c r="F20" i="7"/>
  <c r="G20" i="7" s="1"/>
  <c r="F21" i="7"/>
  <c r="G21" i="7" s="1"/>
  <c r="F22" i="7"/>
  <c r="G22" i="7" s="1"/>
  <c r="F23" i="7"/>
  <c r="G23" i="7" s="1"/>
  <c r="F24" i="7"/>
  <c r="G24" i="7" s="1"/>
  <c r="F25" i="7"/>
  <c r="G25" i="7" s="1"/>
  <c r="F26" i="7"/>
  <c r="G26" i="7" s="1"/>
  <c r="F27" i="7"/>
  <c r="G27" i="7" s="1"/>
  <c r="F28" i="7"/>
  <c r="G28" i="7" s="1"/>
  <c r="F29" i="7"/>
  <c r="G29" i="7" s="1"/>
  <c r="F30" i="7"/>
  <c r="G30" i="7" s="1"/>
  <c r="F31" i="7"/>
  <c r="G31" i="7" s="1"/>
  <c r="F32" i="7"/>
  <c r="G32" i="7" s="1"/>
  <c r="F33" i="7"/>
  <c r="G33" i="7" s="1"/>
  <c r="F34" i="7"/>
  <c r="G34" i="7" s="1"/>
  <c r="F5" i="7"/>
  <c r="G5" i="7" s="1"/>
  <c r="AB6" i="7"/>
  <c r="AB8" i="7"/>
  <c r="C12" i="7"/>
  <c r="D12" i="7" s="1"/>
  <c r="AB16" i="7"/>
  <c r="AB20" i="7"/>
  <c r="AB22" i="7"/>
  <c r="C24" i="7"/>
  <c r="D24" i="7" s="1"/>
  <c r="AB28" i="7"/>
  <c r="AB32" i="7"/>
  <c r="Y6" i="6"/>
  <c r="Z6" i="6" s="1"/>
  <c r="Y7" i="6"/>
  <c r="Z7" i="6" s="1"/>
  <c r="Y8" i="6"/>
  <c r="Z8" i="6" s="1"/>
  <c r="Y9" i="6"/>
  <c r="Z9" i="6" s="1"/>
  <c r="Y10" i="6"/>
  <c r="Z10" i="6" s="1"/>
  <c r="Y11" i="6"/>
  <c r="Z11" i="6" s="1"/>
  <c r="Y12" i="6"/>
  <c r="Z12" i="6" s="1"/>
  <c r="Y13" i="6"/>
  <c r="Z13" i="6" s="1"/>
  <c r="Y14" i="6"/>
  <c r="Z14" i="6" s="1"/>
  <c r="Y15" i="6"/>
  <c r="Z15" i="6" s="1"/>
  <c r="Y16" i="6"/>
  <c r="Z16" i="6" s="1"/>
  <c r="Y17" i="6"/>
  <c r="Z17" i="6" s="1"/>
  <c r="Y18" i="6"/>
  <c r="Z18" i="6" s="1"/>
  <c r="Y19" i="6"/>
  <c r="Z19" i="6" s="1"/>
  <c r="Y20" i="6"/>
  <c r="Z20" i="6" s="1"/>
  <c r="Y21" i="6"/>
  <c r="Z21" i="6" s="1"/>
  <c r="Y22" i="6"/>
  <c r="Z22" i="6" s="1"/>
  <c r="Y23" i="6"/>
  <c r="Z23" i="6" s="1"/>
  <c r="Y24" i="6"/>
  <c r="Z24" i="6" s="1"/>
  <c r="Y25" i="6"/>
  <c r="Z25" i="6" s="1"/>
  <c r="Y26" i="6"/>
  <c r="Z26" i="6" s="1"/>
  <c r="Y27" i="6"/>
  <c r="Z27" i="6" s="1"/>
  <c r="Y28" i="6"/>
  <c r="Z28" i="6" s="1"/>
  <c r="Y29" i="6"/>
  <c r="Z29" i="6" s="1"/>
  <c r="Y30" i="6"/>
  <c r="Z30" i="6" s="1"/>
  <c r="Y31" i="6"/>
  <c r="Z31" i="6" s="1"/>
  <c r="Y32" i="6"/>
  <c r="Z32" i="6" s="1"/>
  <c r="Y33" i="6"/>
  <c r="Z33" i="6" s="1"/>
  <c r="Y34" i="6"/>
  <c r="Z34" i="6" s="1"/>
  <c r="Y35" i="6"/>
  <c r="Z35" i="6" s="1"/>
  <c r="Y5" i="6"/>
  <c r="Z5" i="6" s="1"/>
  <c r="V6" i="6"/>
  <c r="W6" i="6" s="1"/>
  <c r="V7" i="6"/>
  <c r="W7" i="6" s="1"/>
  <c r="V8" i="6"/>
  <c r="W8" i="6" s="1"/>
  <c r="V9" i="6"/>
  <c r="W9" i="6" s="1"/>
  <c r="V10" i="6"/>
  <c r="W10" i="6" s="1"/>
  <c r="V11" i="6"/>
  <c r="W11" i="6" s="1"/>
  <c r="V12" i="6"/>
  <c r="W12" i="6" s="1"/>
  <c r="V13" i="6"/>
  <c r="W13" i="6" s="1"/>
  <c r="V14" i="6"/>
  <c r="W14" i="6" s="1"/>
  <c r="V15" i="6"/>
  <c r="W15" i="6" s="1"/>
  <c r="V16" i="6"/>
  <c r="W16" i="6" s="1"/>
  <c r="V17" i="6"/>
  <c r="W17" i="6" s="1"/>
  <c r="V18" i="6"/>
  <c r="W18" i="6" s="1"/>
  <c r="V19" i="6"/>
  <c r="W19" i="6" s="1"/>
  <c r="V20" i="6"/>
  <c r="W20" i="6" s="1"/>
  <c r="V21" i="6"/>
  <c r="W21" i="6" s="1"/>
  <c r="V22" i="6"/>
  <c r="W22" i="6" s="1"/>
  <c r="V23" i="6"/>
  <c r="W23" i="6" s="1"/>
  <c r="V24" i="6"/>
  <c r="W24" i="6" s="1"/>
  <c r="V25" i="6"/>
  <c r="W25" i="6" s="1"/>
  <c r="V26" i="6"/>
  <c r="W26" i="6" s="1"/>
  <c r="V27" i="6"/>
  <c r="W27" i="6" s="1"/>
  <c r="V28" i="6"/>
  <c r="W28" i="6" s="1"/>
  <c r="V29" i="6"/>
  <c r="W29" i="6" s="1"/>
  <c r="V30" i="6"/>
  <c r="W30" i="6" s="1"/>
  <c r="V31" i="6"/>
  <c r="W31" i="6" s="1"/>
  <c r="V32" i="6"/>
  <c r="W32" i="6" s="1"/>
  <c r="V33" i="6"/>
  <c r="W33" i="6" s="1"/>
  <c r="V34" i="6"/>
  <c r="W34" i="6" s="1"/>
  <c r="V35" i="6"/>
  <c r="W35" i="6" s="1"/>
  <c r="V5" i="6"/>
  <c r="W5" i="6" s="1"/>
  <c r="S6" i="6"/>
  <c r="T6" i="6" s="1"/>
  <c r="S7" i="6"/>
  <c r="T7" i="6" s="1"/>
  <c r="S8" i="6"/>
  <c r="T8" i="6" s="1"/>
  <c r="S9" i="6"/>
  <c r="T9" i="6" s="1"/>
  <c r="S10" i="6"/>
  <c r="T10" i="6" s="1"/>
  <c r="S11" i="6"/>
  <c r="T11" i="6" s="1"/>
  <c r="S12" i="6"/>
  <c r="T12" i="6" s="1"/>
  <c r="S13" i="6"/>
  <c r="T13" i="6" s="1"/>
  <c r="S14" i="6"/>
  <c r="T14" i="6" s="1"/>
  <c r="S15" i="6"/>
  <c r="T15" i="6" s="1"/>
  <c r="S16" i="6"/>
  <c r="T16" i="6" s="1"/>
  <c r="S17" i="6"/>
  <c r="T17" i="6" s="1"/>
  <c r="S18" i="6"/>
  <c r="T18" i="6" s="1"/>
  <c r="S19" i="6"/>
  <c r="T19" i="6" s="1"/>
  <c r="S20" i="6"/>
  <c r="T20" i="6" s="1"/>
  <c r="S21" i="6"/>
  <c r="T21" i="6" s="1"/>
  <c r="S22" i="6"/>
  <c r="T22" i="6" s="1"/>
  <c r="S23" i="6"/>
  <c r="T23" i="6" s="1"/>
  <c r="S24" i="6"/>
  <c r="T24" i="6" s="1"/>
  <c r="S25" i="6"/>
  <c r="T25" i="6" s="1"/>
  <c r="S26" i="6"/>
  <c r="T26" i="6" s="1"/>
  <c r="S27" i="6"/>
  <c r="T27" i="6" s="1"/>
  <c r="S28" i="6"/>
  <c r="T28" i="6" s="1"/>
  <c r="S29" i="6"/>
  <c r="T29" i="6" s="1"/>
  <c r="S30" i="6"/>
  <c r="T30" i="6" s="1"/>
  <c r="S31" i="6"/>
  <c r="T31" i="6" s="1"/>
  <c r="S32" i="6"/>
  <c r="T32" i="6" s="1"/>
  <c r="S33" i="6"/>
  <c r="T33" i="6" s="1"/>
  <c r="S34" i="6"/>
  <c r="T34" i="6" s="1"/>
  <c r="S35" i="6"/>
  <c r="T35" i="6" s="1"/>
  <c r="S5" i="6"/>
  <c r="T5" i="6" s="1"/>
  <c r="P6" i="6"/>
  <c r="Q6" i="6" s="1"/>
  <c r="P7" i="6"/>
  <c r="Q7" i="6" s="1"/>
  <c r="P8" i="6"/>
  <c r="Q8" i="6" s="1"/>
  <c r="P9" i="6"/>
  <c r="Q9" i="6" s="1"/>
  <c r="P10" i="6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5" i="6"/>
  <c r="Q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2" i="6"/>
  <c r="M12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2" i="6"/>
  <c r="M22" i="6" s="1"/>
  <c r="L23" i="6"/>
  <c r="M23" i="6" s="1"/>
  <c r="L24" i="6"/>
  <c r="M24" i="6" s="1"/>
  <c r="L25" i="6"/>
  <c r="M25" i="6" s="1"/>
  <c r="L26" i="6"/>
  <c r="M26" i="6" s="1"/>
  <c r="L27" i="6"/>
  <c r="M27" i="6" s="1"/>
  <c r="L28" i="6"/>
  <c r="M28" i="6" s="1"/>
  <c r="L29" i="6"/>
  <c r="M29" i="6" s="1"/>
  <c r="L30" i="6"/>
  <c r="M30" i="6" s="1"/>
  <c r="L31" i="6"/>
  <c r="M31" i="6" s="1"/>
  <c r="L32" i="6"/>
  <c r="M32" i="6" s="1"/>
  <c r="L33" i="6"/>
  <c r="M33" i="6" s="1"/>
  <c r="L34" i="6"/>
  <c r="M34" i="6" s="1"/>
  <c r="L35" i="6"/>
  <c r="M35" i="6" s="1"/>
  <c r="L5" i="6"/>
  <c r="M5" i="6" s="1"/>
  <c r="I6" i="6"/>
  <c r="J6" i="6" s="1"/>
  <c r="I7" i="6"/>
  <c r="J7" i="6" s="1"/>
  <c r="I8" i="6"/>
  <c r="J8" i="6" s="1"/>
  <c r="I9" i="6"/>
  <c r="J9" i="6" s="1"/>
  <c r="I10" i="6"/>
  <c r="J10" i="6" s="1"/>
  <c r="I11" i="6"/>
  <c r="J11" i="6" s="1"/>
  <c r="I12" i="6"/>
  <c r="J12" i="6" s="1"/>
  <c r="I13" i="6"/>
  <c r="J13" i="6" s="1"/>
  <c r="I14" i="6"/>
  <c r="J14" i="6" s="1"/>
  <c r="I15" i="6"/>
  <c r="J15" i="6" s="1"/>
  <c r="I16" i="6"/>
  <c r="J16" i="6" s="1"/>
  <c r="I17" i="6"/>
  <c r="J17" i="6" s="1"/>
  <c r="I18" i="6"/>
  <c r="J18" i="6" s="1"/>
  <c r="I19" i="6"/>
  <c r="J19" i="6" s="1"/>
  <c r="I20" i="6"/>
  <c r="J20" i="6" s="1"/>
  <c r="I21" i="6"/>
  <c r="J21" i="6" s="1"/>
  <c r="I22" i="6"/>
  <c r="J22" i="6" s="1"/>
  <c r="I23" i="6"/>
  <c r="J23" i="6" s="1"/>
  <c r="I24" i="6"/>
  <c r="J24" i="6" s="1"/>
  <c r="I25" i="6"/>
  <c r="J25" i="6" s="1"/>
  <c r="I26" i="6"/>
  <c r="J26" i="6" s="1"/>
  <c r="I27" i="6"/>
  <c r="J27" i="6" s="1"/>
  <c r="I28" i="6"/>
  <c r="J28" i="6" s="1"/>
  <c r="I29" i="6"/>
  <c r="J29" i="6" s="1"/>
  <c r="I30" i="6"/>
  <c r="J30" i="6" s="1"/>
  <c r="I31" i="6"/>
  <c r="J31" i="6" s="1"/>
  <c r="I32" i="6"/>
  <c r="J32" i="6" s="1"/>
  <c r="I33" i="6"/>
  <c r="J33" i="6" s="1"/>
  <c r="I34" i="6"/>
  <c r="J34" i="6" s="1"/>
  <c r="I35" i="6"/>
  <c r="J35" i="6" s="1"/>
  <c r="I5" i="6"/>
  <c r="J5" i="6" s="1"/>
  <c r="F6" i="6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6" i="6"/>
  <c r="G16" i="6" s="1"/>
  <c r="F17" i="6"/>
  <c r="G17" i="6" s="1"/>
  <c r="F18" i="6"/>
  <c r="G18" i="6" s="1"/>
  <c r="F19" i="6"/>
  <c r="G19" i="6" s="1"/>
  <c r="F20" i="6"/>
  <c r="G20" i="6" s="1"/>
  <c r="F21" i="6"/>
  <c r="G21" i="6" s="1"/>
  <c r="F22" i="6"/>
  <c r="G22" i="6" s="1"/>
  <c r="F23" i="6"/>
  <c r="G23" i="6" s="1"/>
  <c r="F24" i="6"/>
  <c r="G24" i="6" s="1"/>
  <c r="F25" i="6"/>
  <c r="G25" i="6" s="1"/>
  <c r="F26" i="6"/>
  <c r="G26" i="6" s="1"/>
  <c r="F27" i="6"/>
  <c r="G27" i="6" s="1"/>
  <c r="F28" i="6"/>
  <c r="G28" i="6" s="1"/>
  <c r="F29" i="6"/>
  <c r="G29" i="6" s="1"/>
  <c r="F30" i="6"/>
  <c r="G30" i="6" s="1"/>
  <c r="F31" i="6"/>
  <c r="G31" i="6" s="1"/>
  <c r="F32" i="6"/>
  <c r="G32" i="6" s="1"/>
  <c r="F33" i="6"/>
  <c r="G33" i="6" s="1"/>
  <c r="F34" i="6"/>
  <c r="G34" i="6" s="1"/>
  <c r="F35" i="6"/>
  <c r="G35" i="6" s="1"/>
  <c r="F5" i="6"/>
  <c r="G5" i="6" s="1"/>
  <c r="AB7" i="6"/>
  <c r="C8" i="6"/>
  <c r="AB9" i="6"/>
  <c r="C10" i="6"/>
  <c r="D10" i="6" s="1"/>
  <c r="AB11" i="6"/>
  <c r="C14" i="6"/>
  <c r="D14" i="6" s="1"/>
  <c r="C16" i="6"/>
  <c r="D16" i="6" s="1"/>
  <c r="AD16" i="6" s="1"/>
  <c r="AB17" i="6"/>
  <c r="C18" i="6"/>
  <c r="AB19" i="6"/>
  <c r="C21" i="6"/>
  <c r="C23" i="6"/>
  <c r="D23" i="6" s="1"/>
  <c r="AB24" i="6"/>
  <c r="C25" i="6"/>
  <c r="D25" i="6" s="1"/>
  <c r="C27" i="6"/>
  <c r="D27" i="6" s="1"/>
  <c r="C29" i="6"/>
  <c r="D29" i="6" s="1"/>
  <c r="C31" i="6"/>
  <c r="D31" i="6" s="1"/>
  <c r="C33" i="6"/>
  <c r="AB34" i="6"/>
  <c r="C35" i="6"/>
  <c r="Y6" i="4"/>
  <c r="Z6" i="4" s="1"/>
  <c r="Y7" i="4"/>
  <c r="Z7" i="4" s="1"/>
  <c r="Y8" i="4"/>
  <c r="Z8" i="4" s="1"/>
  <c r="Y9" i="4"/>
  <c r="Z9" i="4" s="1"/>
  <c r="Y10" i="4"/>
  <c r="Z10" i="4" s="1"/>
  <c r="Y11" i="4"/>
  <c r="Z11" i="4" s="1"/>
  <c r="Y12" i="4"/>
  <c r="Z12" i="4" s="1"/>
  <c r="Y13" i="4"/>
  <c r="Z13" i="4" s="1"/>
  <c r="Y14" i="4"/>
  <c r="Z14" i="4" s="1"/>
  <c r="Y15" i="4"/>
  <c r="Z15" i="4" s="1"/>
  <c r="Y16" i="4"/>
  <c r="Z16" i="4" s="1"/>
  <c r="Y17" i="4"/>
  <c r="Z17" i="4" s="1"/>
  <c r="Y18" i="4"/>
  <c r="Z18" i="4" s="1"/>
  <c r="Y19" i="4"/>
  <c r="Z19" i="4" s="1"/>
  <c r="Y20" i="4"/>
  <c r="Z20" i="4" s="1"/>
  <c r="Y21" i="4"/>
  <c r="Z21" i="4" s="1"/>
  <c r="Y22" i="4"/>
  <c r="Z22" i="4" s="1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5" i="4"/>
  <c r="V6" i="4"/>
  <c r="W6" i="4" s="1"/>
  <c r="V7" i="4"/>
  <c r="W7" i="4" s="1"/>
  <c r="V8" i="4"/>
  <c r="W8" i="4" s="1"/>
  <c r="V9" i="4"/>
  <c r="W9" i="4" s="1"/>
  <c r="V10" i="4"/>
  <c r="W10" i="4" s="1"/>
  <c r="V11" i="4"/>
  <c r="W11" i="4" s="1"/>
  <c r="V12" i="4"/>
  <c r="W12" i="4" s="1"/>
  <c r="V13" i="4"/>
  <c r="W13" i="4" s="1"/>
  <c r="V14" i="4"/>
  <c r="W14" i="4" s="1"/>
  <c r="V15" i="4"/>
  <c r="W15" i="4" s="1"/>
  <c r="V16" i="4"/>
  <c r="W16" i="4" s="1"/>
  <c r="V17" i="4"/>
  <c r="W17" i="4" s="1"/>
  <c r="V18" i="4"/>
  <c r="W18" i="4" s="1"/>
  <c r="V19" i="4"/>
  <c r="W19" i="4" s="1"/>
  <c r="V20" i="4"/>
  <c r="W20" i="4" s="1"/>
  <c r="V21" i="4"/>
  <c r="W21" i="4" s="1"/>
  <c r="V22" i="4"/>
  <c r="W22" i="4" s="1"/>
  <c r="V23" i="4"/>
  <c r="W23" i="4" s="1"/>
  <c r="V24" i="4"/>
  <c r="W24" i="4" s="1"/>
  <c r="V25" i="4"/>
  <c r="W25" i="4" s="1"/>
  <c r="V26" i="4"/>
  <c r="W26" i="4" s="1"/>
  <c r="V27" i="4"/>
  <c r="W27" i="4" s="1"/>
  <c r="V28" i="4"/>
  <c r="W28" i="4" s="1"/>
  <c r="V29" i="4"/>
  <c r="W29" i="4" s="1"/>
  <c r="V30" i="4"/>
  <c r="W30" i="4" s="1"/>
  <c r="V31" i="4"/>
  <c r="W31" i="4" s="1"/>
  <c r="V32" i="4"/>
  <c r="W32" i="4" s="1"/>
  <c r="V5" i="4"/>
  <c r="W5" i="4" s="1"/>
  <c r="S6" i="4"/>
  <c r="T6" i="4" s="1"/>
  <c r="S7" i="4"/>
  <c r="T7" i="4" s="1"/>
  <c r="S8" i="4"/>
  <c r="T8" i="4" s="1"/>
  <c r="S9" i="4"/>
  <c r="T9" i="4" s="1"/>
  <c r="S10" i="4"/>
  <c r="T10" i="4" s="1"/>
  <c r="S11" i="4"/>
  <c r="T11" i="4" s="1"/>
  <c r="S12" i="4"/>
  <c r="T12" i="4" s="1"/>
  <c r="S13" i="4"/>
  <c r="T13" i="4" s="1"/>
  <c r="S14" i="4"/>
  <c r="T14" i="4" s="1"/>
  <c r="S15" i="4"/>
  <c r="T15" i="4" s="1"/>
  <c r="S16" i="4"/>
  <c r="T16" i="4" s="1"/>
  <c r="S17" i="4"/>
  <c r="T17" i="4" s="1"/>
  <c r="S18" i="4"/>
  <c r="T18" i="4" s="1"/>
  <c r="S19" i="4"/>
  <c r="T19" i="4" s="1"/>
  <c r="S20" i="4"/>
  <c r="T20" i="4" s="1"/>
  <c r="S21" i="4"/>
  <c r="T21" i="4" s="1"/>
  <c r="S22" i="4"/>
  <c r="T22" i="4" s="1"/>
  <c r="S23" i="4"/>
  <c r="T23" i="4" s="1"/>
  <c r="S24" i="4"/>
  <c r="T24" i="4" s="1"/>
  <c r="S25" i="4"/>
  <c r="T25" i="4" s="1"/>
  <c r="S26" i="4"/>
  <c r="T26" i="4" s="1"/>
  <c r="S27" i="4"/>
  <c r="T27" i="4" s="1"/>
  <c r="S28" i="4"/>
  <c r="T28" i="4" s="1"/>
  <c r="S29" i="4"/>
  <c r="T29" i="4" s="1"/>
  <c r="S30" i="4"/>
  <c r="T30" i="4" s="1"/>
  <c r="S31" i="4"/>
  <c r="T31" i="4" s="1"/>
  <c r="S32" i="4"/>
  <c r="T32" i="4" s="1"/>
  <c r="S5" i="4"/>
  <c r="T5" i="4" s="1"/>
  <c r="P6" i="4"/>
  <c r="Q6" i="4" s="1"/>
  <c r="P7" i="4"/>
  <c r="Q7" i="4" s="1"/>
  <c r="P8" i="4"/>
  <c r="Q8" i="4" s="1"/>
  <c r="P9" i="4"/>
  <c r="Q9" i="4" s="1"/>
  <c r="P10" i="4"/>
  <c r="Q10" i="4" s="1"/>
  <c r="P11" i="4"/>
  <c r="Q11" i="4" s="1"/>
  <c r="P12" i="4"/>
  <c r="Q12" i="4" s="1"/>
  <c r="P13" i="4"/>
  <c r="Q13" i="4" s="1"/>
  <c r="P14" i="4"/>
  <c r="Q14" i="4" s="1"/>
  <c r="P15" i="4"/>
  <c r="P16" i="4"/>
  <c r="Q16" i="4" s="1"/>
  <c r="P17" i="4"/>
  <c r="Q17" i="4" s="1"/>
  <c r="P18" i="4"/>
  <c r="Q18" i="4" s="1"/>
  <c r="P19" i="4"/>
  <c r="P20" i="4"/>
  <c r="Q20" i="4" s="1"/>
  <c r="P21" i="4"/>
  <c r="Q21" i="4" s="1"/>
  <c r="P22" i="4"/>
  <c r="Q22" i="4" s="1"/>
  <c r="P23" i="4"/>
  <c r="Q23" i="4" s="1"/>
  <c r="P24" i="4"/>
  <c r="Q24" i="4" s="1"/>
  <c r="P25" i="4"/>
  <c r="Q25" i="4" s="1"/>
  <c r="P26" i="4"/>
  <c r="Q26" i="4" s="1"/>
  <c r="P27" i="4"/>
  <c r="Q27" i="4" s="1"/>
  <c r="P28" i="4"/>
  <c r="Q28" i="4" s="1"/>
  <c r="P29" i="4"/>
  <c r="Q29" i="4" s="1"/>
  <c r="P30" i="4"/>
  <c r="Q30" i="4" s="1"/>
  <c r="P31" i="4"/>
  <c r="Q31" i="4" s="1"/>
  <c r="P32" i="4"/>
  <c r="Q32" i="4" s="1"/>
  <c r="P5" i="4"/>
  <c r="L6" i="4"/>
  <c r="M6" i="4" s="1"/>
  <c r="L7" i="4"/>
  <c r="M7" i="4" s="1"/>
  <c r="L8" i="4"/>
  <c r="M8" i="4" s="1"/>
  <c r="L9" i="4"/>
  <c r="M9" i="4" s="1"/>
  <c r="L10" i="4"/>
  <c r="M10" i="4" s="1"/>
  <c r="L11" i="4"/>
  <c r="M11" i="4" s="1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25" i="4"/>
  <c r="M25" i="4" s="1"/>
  <c r="L26" i="4"/>
  <c r="M26" i="4" s="1"/>
  <c r="L27" i="4"/>
  <c r="M27" i="4" s="1"/>
  <c r="L28" i="4"/>
  <c r="M28" i="4" s="1"/>
  <c r="L29" i="4"/>
  <c r="M29" i="4" s="1"/>
  <c r="L30" i="4"/>
  <c r="M30" i="4" s="1"/>
  <c r="L31" i="4"/>
  <c r="M31" i="4" s="1"/>
  <c r="L32" i="4"/>
  <c r="M32" i="4" s="1"/>
  <c r="L5" i="4"/>
  <c r="M5" i="4" s="1"/>
  <c r="I6" i="4"/>
  <c r="J6" i="4" s="1"/>
  <c r="I7" i="4"/>
  <c r="J7" i="4" s="1"/>
  <c r="I8" i="4"/>
  <c r="J8" i="4" s="1"/>
  <c r="I9" i="4"/>
  <c r="J9" i="4" s="1"/>
  <c r="I10" i="4"/>
  <c r="J1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 s="1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I5" i="4"/>
  <c r="J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5" i="4"/>
  <c r="AB6" i="4"/>
  <c r="AB10" i="4"/>
  <c r="AB11" i="4"/>
  <c r="C14" i="4"/>
  <c r="D14" i="4" s="1"/>
  <c r="AB15" i="4"/>
  <c r="C21" i="4"/>
  <c r="C22" i="4"/>
  <c r="D22" i="4" s="1"/>
  <c r="C26" i="4"/>
  <c r="D26" i="4" s="1"/>
  <c r="C27" i="4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Y5" i="1"/>
  <c r="Z5" i="1" s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V5" i="1"/>
  <c r="W5" i="1" s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S5" i="1"/>
  <c r="T5" i="1" s="1"/>
  <c r="Q7" i="1"/>
  <c r="Q8" i="1"/>
  <c r="Q9" i="1"/>
  <c r="Q10" i="1"/>
  <c r="Q11" i="1"/>
  <c r="Q12" i="1"/>
  <c r="Q13" i="1"/>
  <c r="Q14" i="1"/>
  <c r="Q15" i="1"/>
  <c r="Q16" i="1"/>
  <c r="Q19" i="1"/>
  <c r="Q20" i="1"/>
  <c r="Q21" i="1"/>
  <c r="Q22" i="1"/>
  <c r="Q24" i="1"/>
  <c r="Q25" i="1"/>
  <c r="Q26" i="1"/>
  <c r="Q27" i="1"/>
  <c r="Q28" i="1"/>
  <c r="Q29" i="1"/>
  <c r="Q30" i="1"/>
  <c r="Q31" i="1"/>
  <c r="Q32" i="1"/>
  <c r="Q33" i="1"/>
  <c r="Q35" i="1"/>
  <c r="P5" i="1"/>
  <c r="Q5" i="1" s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L5" i="1"/>
  <c r="M5" i="1" s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I5" i="1"/>
  <c r="J5" i="1" s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F5" i="1"/>
  <c r="G5" i="1" s="1"/>
  <c r="D6" i="1"/>
  <c r="AB12" i="1"/>
  <c r="AB13" i="1"/>
  <c r="AB17" i="1"/>
  <c r="AB18" i="1"/>
  <c r="AB21" i="1"/>
  <c r="AB23" i="1"/>
  <c r="AB24" i="1"/>
  <c r="AB25" i="1"/>
  <c r="AB26" i="1"/>
  <c r="AB27" i="1"/>
  <c r="AB28" i="1"/>
  <c r="AB29" i="1"/>
  <c r="AB30" i="1"/>
  <c r="AB31" i="1"/>
  <c r="AB32" i="1"/>
  <c r="AB33" i="1"/>
  <c r="AB35" i="1"/>
  <c r="Y6" i="13"/>
  <c r="Z6" i="13" s="1"/>
  <c r="Y7" i="13"/>
  <c r="Z7" i="13" s="1"/>
  <c r="Y8" i="13"/>
  <c r="Z8" i="13" s="1"/>
  <c r="Y9" i="13"/>
  <c r="Z9" i="13" s="1"/>
  <c r="Y10" i="13"/>
  <c r="Z10" i="13" s="1"/>
  <c r="Y11" i="13"/>
  <c r="Z11" i="13" s="1"/>
  <c r="Y12" i="13"/>
  <c r="Z12" i="13" s="1"/>
  <c r="Y13" i="13"/>
  <c r="Z13" i="13" s="1"/>
  <c r="Y14" i="13"/>
  <c r="Z14" i="13" s="1"/>
  <c r="Y15" i="13"/>
  <c r="Z15" i="13" s="1"/>
  <c r="Y16" i="13"/>
  <c r="Z16" i="13" s="1"/>
  <c r="Y17" i="13"/>
  <c r="Z17" i="13" s="1"/>
  <c r="Y18" i="13"/>
  <c r="Z18" i="13" s="1"/>
  <c r="Y19" i="13"/>
  <c r="Z19" i="13" s="1"/>
  <c r="Y20" i="13"/>
  <c r="Z20" i="13" s="1"/>
  <c r="Y21" i="13"/>
  <c r="Z21" i="13" s="1"/>
  <c r="Y22" i="13"/>
  <c r="Z22" i="13" s="1"/>
  <c r="Y23" i="13"/>
  <c r="Z23" i="13" s="1"/>
  <c r="Y24" i="13"/>
  <c r="Z24" i="13" s="1"/>
  <c r="Y25" i="13"/>
  <c r="Z25" i="13" s="1"/>
  <c r="Y26" i="13"/>
  <c r="Z26" i="13" s="1"/>
  <c r="Y27" i="13"/>
  <c r="Z27" i="13" s="1"/>
  <c r="Y28" i="13"/>
  <c r="Z28" i="13" s="1"/>
  <c r="Y29" i="13"/>
  <c r="Z29" i="13" s="1"/>
  <c r="Y30" i="13"/>
  <c r="Z30" i="13" s="1"/>
  <c r="Y31" i="13"/>
  <c r="Z31" i="13" s="1"/>
  <c r="Y32" i="13"/>
  <c r="Z32" i="13" s="1"/>
  <c r="Y33" i="13"/>
  <c r="Z33" i="13" s="1"/>
  <c r="Y34" i="13"/>
  <c r="Z34" i="13" s="1"/>
  <c r="Y35" i="13"/>
  <c r="Z35" i="13" s="1"/>
  <c r="Y5" i="13"/>
  <c r="Z5" i="13" s="1"/>
  <c r="V6" i="13"/>
  <c r="W6" i="13" s="1"/>
  <c r="V7" i="13"/>
  <c r="V8" i="13"/>
  <c r="W8" i="13" s="1"/>
  <c r="V9" i="13"/>
  <c r="W9" i="13" s="1"/>
  <c r="V10" i="13"/>
  <c r="W10" i="13" s="1"/>
  <c r="V11" i="13"/>
  <c r="W11" i="13" s="1"/>
  <c r="V12" i="13"/>
  <c r="W12" i="13" s="1"/>
  <c r="V13" i="13"/>
  <c r="W13" i="13" s="1"/>
  <c r="V14" i="13"/>
  <c r="W14" i="13" s="1"/>
  <c r="V15" i="13"/>
  <c r="W15" i="13" s="1"/>
  <c r="V16" i="13"/>
  <c r="W16" i="13" s="1"/>
  <c r="V17" i="13"/>
  <c r="W17" i="13" s="1"/>
  <c r="V18" i="13"/>
  <c r="W18" i="13" s="1"/>
  <c r="V19" i="13"/>
  <c r="W19" i="13" s="1"/>
  <c r="V20" i="13"/>
  <c r="W20" i="13" s="1"/>
  <c r="V21" i="13"/>
  <c r="W21" i="13" s="1"/>
  <c r="V22" i="13"/>
  <c r="W22" i="13" s="1"/>
  <c r="V23" i="13"/>
  <c r="W23" i="13" s="1"/>
  <c r="V24" i="13"/>
  <c r="W24" i="13" s="1"/>
  <c r="V25" i="13"/>
  <c r="W25" i="13" s="1"/>
  <c r="V26" i="13"/>
  <c r="W26" i="13" s="1"/>
  <c r="V27" i="13"/>
  <c r="W27" i="13" s="1"/>
  <c r="V28" i="13"/>
  <c r="W28" i="13" s="1"/>
  <c r="V29" i="13"/>
  <c r="W29" i="13" s="1"/>
  <c r="V30" i="13"/>
  <c r="W30" i="13" s="1"/>
  <c r="V31" i="13"/>
  <c r="W31" i="13" s="1"/>
  <c r="V32" i="13"/>
  <c r="W32" i="13" s="1"/>
  <c r="V33" i="13"/>
  <c r="W33" i="13" s="1"/>
  <c r="V34" i="13"/>
  <c r="W34" i="13" s="1"/>
  <c r="V35" i="13"/>
  <c r="W35" i="13" s="1"/>
  <c r="V5" i="13"/>
  <c r="W5" i="13" s="1"/>
  <c r="S6" i="13"/>
  <c r="T6" i="13" s="1"/>
  <c r="S7" i="13"/>
  <c r="T7" i="13" s="1"/>
  <c r="S8" i="13"/>
  <c r="T8" i="13" s="1"/>
  <c r="S9" i="13"/>
  <c r="T9" i="13" s="1"/>
  <c r="S10" i="13"/>
  <c r="T10" i="13" s="1"/>
  <c r="S11" i="13"/>
  <c r="T11" i="13" s="1"/>
  <c r="S12" i="13"/>
  <c r="T12" i="13" s="1"/>
  <c r="S13" i="13"/>
  <c r="T13" i="13" s="1"/>
  <c r="S14" i="13"/>
  <c r="T14" i="13" s="1"/>
  <c r="S15" i="13"/>
  <c r="T15" i="13" s="1"/>
  <c r="S16" i="13"/>
  <c r="T16" i="13" s="1"/>
  <c r="S17" i="13"/>
  <c r="T17" i="13" s="1"/>
  <c r="S18" i="13"/>
  <c r="T18" i="13" s="1"/>
  <c r="S19" i="13"/>
  <c r="T19" i="13" s="1"/>
  <c r="S20" i="13"/>
  <c r="T20" i="13" s="1"/>
  <c r="S21" i="13"/>
  <c r="T21" i="13" s="1"/>
  <c r="S22" i="13"/>
  <c r="T22" i="13" s="1"/>
  <c r="S23" i="13"/>
  <c r="T23" i="13" s="1"/>
  <c r="S24" i="13"/>
  <c r="T24" i="13" s="1"/>
  <c r="S25" i="13"/>
  <c r="T25" i="13" s="1"/>
  <c r="S26" i="13"/>
  <c r="T26" i="13" s="1"/>
  <c r="S27" i="13"/>
  <c r="T27" i="13" s="1"/>
  <c r="S28" i="13"/>
  <c r="T28" i="13" s="1"/>
  <c r="S29" i="13"/>
  <c r="T29" i="13" s="1"/>
  <c r="S30" i="13"/>
  <c r="T30" i="13" s="1"/>
  <c r="S31" i="13"/>
  <c r="T31" i="13" s="1"/>
  <c r="S32" i="13"/>
  <c r="T32" i="13" s="1"/>
  <c r="S33" i="13"/>
  <c r="T33" i="13" s="1"/>
  <c r="S34" i="13"/>
  <c r="T34" i="13" s="1"/>
  <c r="S35" i="13"/>
  <c r="T35" i="13" s="1"/>
  <c r="S5" i="13"/>
  <c r="T5" i="13" s="1"/>
  <c r="P6" i="13"/>
  <c r="Q6" i="13" s="1"/>
  <c r="P7" i="13"/>
  <c r="Q7" i="13" s="1"/>
  <c r="P8" i="13"/>
  <c r="Q8" i="13" s="1"/>
  <c r="P9" i="13"/>
  <c r="Q9" i="13" s="1"/>
  <c r="P10" i="13"/>
  <c r="Q10" i="13" s="1"/>
  <c r="P11" i="13"/>
  <c r="Q11" i="13" s="1"/>
  <c r="P12" i="13"/>
  <c r="Q12" i="13" s="1"/>
  <c r="P13" i="13"/>
  <c r="Q13" i="13" s="1"/>
  <c r="P14" i="13"/>
  <c r="Q14" i="13" s="1"/>
  <c r="P15" i="13"/>
  <c r="Q15" i="13" s="1"/>
  <c r="P16" i="13"/>
  <c r="Q16" i="13" s="1"/>
  <c r="P17" i="13"/>
  <c r="Q17" i="13" s="1"/>
  <c r="P18" i="13"/>
  <c r="P19" i="13"/>
  <c r="Q19" i="13" s="1"/>
  <c r="P20" i="13"/>
  <c r="Q20" i="13" s="1"/>
  <c r="P21" i="13"/>
  <c r="Q21" i="13" s="1"/>
  <c r="P22" i="13"/>
  <c r="Q22" i="13" s="1"/>
  <c r="P23" i="13"/>
  <c r="Q23" i="13" s="1"/>
  <c r="P24" i="13"/>
  <c r="Q24" i="13" s="1"/>
  <c r="P25" i="13"/>
  <c r="Q25" i="13" s="1"/>
  <c r="P26" i="13"/>
  <c r="Q26" i="13" s="1"/>
  <c r="P27" i="13"/>
  <c r="Q27" i="13" s="1"/>
  <c r="P28" i="13"/>
  <c r="Q28" i="13" s="1"/>
  <c r="P29" i="13"/>
  <c r="Q29" i="13" s="1"/>
  <c r="P30" i="13"/>
  <c r="P31" i="13"/>
  <c r="Q31" i="13" s="1"/>
  <c r="P32" i="13"/>
  <c r="Q32" i="13" s="1"/>
  <c r="P33" i="13"/>
  <c r="Q33" i="13" s="1"/>
  <c r="P34" i="13"/>
  <c r="Q34" i="13" s="1"/>
  <c r="P35" i="13"/>
  <c r="Q35" i="13" s="1"/>
  <c r="P5" i="13"/>
  <c r="L6" i="13"/>
  <c r="M6" i="13" s="1"/>
  <c r="L7" i="13"/>
  <c r="M7" i="13" s="1"/>
  <c r="L8" i="13"/>
  <c r="M8" i="13" s="1"/>
  <c r="L9" i="13"/>
  <c r="M9" i="13" s="1"/>
  <c r="L10" i="13"/>
  <c r="M10" i="13" s="1"/>
  <c r="L11" i="13"/>
  <c r="M11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L20" i="13"/>
  <c r="M20" i="13" s="1"/>
  <c r="L21" i="13"/>
  <c r="M21" i="13" s="1"/>
  <c r="L22" i="13"/>
  <c r="M22" i="13" s="1"/>
  <c r="L23" i="13"/>
  <c r="M23" i="13" s="1"/>
  <c r="L24" i="13"/>
  <c r="M24" i="13" s="1"/>
  <c r="L25" i="13"/>
  <c r="M25" i="13" s="1"/>
  <c r="L26" i="13"/>
  <c r="M26" i="13" s="1"/>
  <c r="L27" i="13"/>
  <c r="M27" i="13" s="1"/>
  <c r="L28" i="13"/>
  <c r="M28" i="13" s="1"/>
  <c r="L29" i="13"/>
  <c r="M29" i="13" s="1"/>
  <c r="L30" i="13"/>
  <c r="M30" i="13" s="1"/>
  <c r="L31" i="13"/>
  <c r="M31" i="13" s="1"/>
  <c r="L32" i="13"/>
  <c r="M32" i="13" s="1"/>
  <c r="L33" i="13"/>
  <c r="M33" i="13" s="1"/>
  <c r="L34" i="13"/>
  <c r="M34" i="13" s="1"/>
  <c r="L35" i="13"/>
  <c r="M35" i="13" s="1"/>
  <c r="L5" i="13"/>
  <c r="M5" i="13" s="1"/>
  <c r="I6" i="13"/>
  <c r="J6" i="13" s="1"/>
  <c r="I7" i="13"/>
  <c r="J7" i="13" s="1"/>
  <c r="I8" i="13"/>
  <c r="J8" i="13" s="1"/>
  <c r="I9" i="13"/>
  <c r="J9" i="13" s="1"/>
  <c r="I10" i="13"/>
  <c r="J10" i="13" s="1"/>
  <c r="I11" i="13"/>
  <c r="J11" i="13" s="1"/>
  <c r="I12" i="13"/>
  <c r="J12" i="13" s="1"/>
  <c r="I13" i="13"/>
  <c r="J13" i="13" s="1"/>
  <c r="I14" i="13"/>
  <c r="J14" i="13" s="1"/>
  <c r="I15" i="13"/>
  <c r="J15" i="13" s="1"/>
  <c r="I16" i="13"/>
  <c r="J16" i="13" s="1"/>
  <c r="I17" i="13"/>
  <c r="J17" i="13" s="1"/>
  <c r="I18" i="13"/>
  <c r="J18" i="13" s="1"/>
  <c r="I19" i="13"/>
  <c r="J19" i="13" s="1"/>
  <c r="I20" i="13"/>
  <c r="J20" i="13" s="1"/>
  <c r="I21" i="13"/>
  <c r="J21" i="13" s="1"/>
  <c r="I22" i="13"/>
  <c r="J22" i="13" s="1"/>
  <c r="I23" i="13"/>
  <c r="J23" i="13" s="1"/>
  <c r="I24" i="13"/>
  <c r="J24" i="13" s="1"/>
  <c r="I25" i="13"/>
  <c r="J25" i="13" s="1"/>
  <c r="I26" i="13"/>
  <c r="J26" i="13" s="1"/>
  <c r="I27" i="13"/>
  <c r="J27" i="13" s="1"/>
  <c r="I28" i="13"/>
  <c r="J28" i="13" s="1"/>
  <c r="I29" i="13"/>
  <c r="J29" i="13" s="1"/>
  <c r="I30" i="13"/>
  <c r="J30" i="13" s="1"/>
  <c r="I31" i="13"/>
  <c r="J31" i="13" s="1"/>
  <c r="I32" i="13"/>
  <c r="J32" i="13" s="1"/>
  <c r="I33" i="13"/>
  <c r="J33" i="13" s="1"/>
  <c r="I34" i="13"/>
  <c r="J34" i="13" s="1"/>
  <c r="I35" i="13"/>
  <c r="J35" i="13" s="1"/>
  <c r="I5" i="13"/>
  <c r="J5" i="13" s="1"/>
  <c r="F6" i="13"/>
  <c r="G6" i="13" s="1"/>
  <c r="F7" i="13"/>
  <c r="G7" i="13" s="1"/>
  <c r="F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F14" i="13"/>
  <c r="G14" i="13" s="1"/>
  <c r="F15" i="13"/>
  <c r="G15" i="13" s="1"/>
  <c r="F16" i="13"/>
  <c r="G16" i="13" s="1"/>
  <c r="F17" i="13"/>
  <c r="G17" i="13" s="1"/>
  <c r="F18" i="13"/>
  <c r="G18" i="13" s="1"/>
  <c r="F19" i="13"/>
  <c r="G19" i="13" s="1"/>
  <c r="F20" i="13"/>
  <c r="G20" i="13" s="1"/>
  <c r="F21" i="13"/>
  <c r="G21" i="13" s="1"/>
  <c r="F22" i="13"/>
  <c r="G22" i="13" s="1"/>
  <c r="F23" i="13"/>
  <c r="G23" i="13" s="1"/>
  <c r="F24" i="13"/>
  <c r="G24" i="13" s="1"/>
  <c r="F25" i="13"/>
  <c r="G25" i="13" s="1"/>
  <c r="F26" i="13"/>
  <c r="G26" i="13" s="1"/>
  <c r="F27" i="13"/>
  <c r="G27" i="13" s="1"/>
  <c r="F28" i="13"/>
  <c r="G28" i="13" s="1"/>
  <c r="F29" i="13"/>
  <c r="G29" i="13" s="1"/>
  <c r="F30" i="13"/>
  <c r="G30" i="13" s="1"/>
  <c r="F31" i="13"/>
  <c r="G31" i="13" s="1"/>
  <c r="F32" i="13"/>
  <c r="G32" i="13" s="1"/>
  <c r="F33" i="13"/>
  <c r="G33" i="13" s="1"/>
  <c r="F34" i="13"/>
  <c r="G34" i="13" s="1"/>
  <c r="F35" i="13"/>
  <c r="G35" i="13" s="1"/>
  <c r="F5" i="13"/>
  <c r="G5" i="13" s="1"/>
  <c r="C6" i="13"/>
  <c r="AB7" i="13"/>
  <c r="C8" i="13"/>
  <c r="AB9" i="13"/>
  <c r="AB10" i="13"/>
  <c r="AB11" i="13"/>
  <c r="AB12" i="13"/>
  <c r="C13" i="13"/>
  <c r="D13" i="13" s="1"/>
  <c r="AB14" i="13"/>
  <c r="C15" i="13"/>
  <c r="C16" i="13"/>
  <c r="C17" i="13"/>
  <c r="AB18" i="13"/>
  <c r="AB19" i="13"/>
  <c r="C20" i="13"/>
  <c r="C21" i="13"/>
  <c r="D21" i="13" s="1"/>
  <c r="C22" i="13"/>
  <c r="AB23" i="13"/>
  <c r="C24" i="13"/>
  <c r="C25" i="13"/>
  <c r="D25" i="13" s="1"/>
  <c r="C26" i="13"/>
  <c r="D26" i="13" s="1"/>
  <c r="C27" i="13"/>
  <c r="C28" i="13"/>
  <c r="AB29" i="13"/>
  <c r="AB30" i="13"/>
  <c r="AB31" i="13"/>
  <c r="AB32" i="13"/>
  <c r="AB33" i="13"/>
  <c r="AB34" i="13"/>
  <c r="AB35" i="13"/>
  <c r="C5" i="13"/>
  <c r="D5" i="13" s="1"/>
  <c r="Y6" i="14"/>
  <c r="Z6" i="14" s="1"/>
  <c r="Y7" i="14"/>
  <c r="Z7" i="14" s="1"/>
  <c r="Y8" i="14"/>
  <c r="Z8" i="14" s="1"/>
  <c r="Y9" i="14"/>
  <c r="Z9" i="14" s="1"/>
  <c r="Y10" i="14"/>
  <c r="Z10" i="14" s="1"/>
  <c r="Y11" i="14"/>
  <c r="Z11" i="14" s="1"/>
  <c r="Y12" i="14"/>
  <c r="Z12" i="14" s="1"/>
  <c r="Y13" i="14"/>
  <c r="Z13" i="14" s="1"/>
  <c r="Y14" i="14"/>
  <c r="Z14" i="14" s="1"/>
  <c r="Y15" i="14"/>
  <c r="Z15" i="14" s="1"/>
  <c r="Y16" i="14"/>
  <c r="Z16" i="14" s="1"/>
  <c r="Y17" i="14"/>
  <c r="Z17" i="14" s="1"/>
  <c r="Y18" i="14"/>
  <c r="Z18" i="14" s="1"/>
  <c r="Y19" i="14"/>
  <c r="Z19" i="14" s="1"/>
  <c r="Y20" i="14"/>
  <c r="Z20" i="14" s="1"/>
  <c r="Y21" i="14"/>
  <c r="Z21" i="14" s="1"/>
  <c r="Y22" i="14"/>
  <c r="Z22" i="14" s="1"/>
  <c r="Y23" i="14"/>
  <c r="Z23" i="14" s="1"/>
  <c r="Y24" i="14"/>
  <c r="Z24" i="14" s="1"/>
  <c r="Y25" i="14"/>
  <c r="Z25" i="14" s="1"/>
  <c r="Y26" i="14"/>
  <c r="Z26" i="14" s="1"/>
  <c r="Y27" i="14"/>
  <c r="Z27" i="14" s="1"/>
  <c r="Y28" i="14"/>
  <c r="Z28" i="14" s="1"/>
  <c r="Y29" i="14"/>
  <c r="Z29" i="14" s="1"/>
  <c r="Y30" i="14"/>
  <c r="Z30" i="14" s="1"/>
  <c r="Y31" i="14"/>
  <c r="Z31" i="14" s="1"/>
  <c r="Y32" i="14"/>
  <c r="Z32" i="14" s="1"/>
  <c r="Y33" i="14"/>
  <c r="Z33" i="14" s="1"/>
  <c r="Y34" i="14"/>
  <c r="Z34" i="14" s="1"/>
  <c r="Y5" i="14"/>
  <c r="Z5" i="14" s="1"/>
  <c r="V6" i="14"/>
  <c r="W6" i="14" s="1"/>
  <c r="V7" i="14"/>
  <c r="W7" i="14" s="1"/>
  <c r="V8" i="14"/>
  <c r="W8" i="14" s="1"/>
  <c r="V9" i="14"/>
  <c r="W9" i="14" s="1"/>
  <c r="V10" i="14"/>
  <c r="W10" i="14" s="1"/>
  <c r="V11" i="14"/>
  <c r="W11" i="14" s="1"/>
  <c r="V12" i="14"/>
  <c r="W12" i="14" s="1"/>
  <c r="V13" i="14"/>
  <c r="W13" i="14" s="1"/>
  <c r="V14" i="14"/>
  <c r="W14" i="14" s="1"/>
  <c r="V15" i="14"/>
  <c r="W15" i="14" s="1"/>
  <c r="V16" i="14"/>
  <c r="W16" i="14" s="1"/>
  <c r="V17" i="14"/>
  <c r="W17" i="14" s="1"/>
  <c r="V18" i="14"/>
  <c r="W18" i="14" s="1"/>
  <c r="V19" i="14"/>
  <c r="W19" i="14" s="1"/>
  <c r="V20" i="14"/>
  <c r="W20" i="14" s="1"/>
  <c r="V21" i="14"/>
  <c r="W21" i="14" s="1"/>
  <c r="V22" i="14"/>
  <c r="W22" i="14" s="1"/>
  <c r="V23" i="14"/>
  <c r="W23" i="14" s="1"/>
  <c r="V24" i="14"/>
  <c r="W24" i="14" s="1"/>
  <c r="V25" i="14"/>
  <c r="W25" i="14" s="1"/>
  <c r="V26" i="14"/>
  <c r="W26" i="14" s="1"/>
  <c r="V27" i="14"/>
  <c r="W27" i="14" s="1"/>
  <c r="V28" i="14"/>
  <c r="W28" i="14" s="1"/>
  <c r="V29" i="14"/>
  <c r="W29" i="14" s="1"/>
  <c r="V30" i="14"/>
  <c r="W30" i="14" s="1"/>
  <c r="V31" i="14"/>
  <c r="W31" i="14" s="1"/>
  <c r="V32" i="14"/>
  <c r="W32" i="14" s="1"/>
  <c r="V33" i="14"/>
  <c r="W33" i="14" s="1"/>
  <c r="V34" i="14"/>
  <c r="W34" i="14" s="1"/>
  <c r="V5" i="14"/>
  <c r="W5" i="14" s="1"/>
  <c r="S6" i="14"/>
  <c r="T6" i="14" s="1"/>
  <c r="S7" i="14"/>
  <c r="T7" i="14" s="1"/>
  <c r="S8" i="14"/>
  <c r="T8" i="14" s="1"/>
  <c r="S9" i="14"/>
  <c r="T9" i="14" s="1"/>
  <c r="S10" i="14"/>
  <c r="T10" i="14" s="1"/>
  <c r="S11" i="14"/>
  <c r="T11" i="14" s="1"/>
  <c r="S12" i="14"/>
  <c r="T12" i="14" s="1"/>
  <c r="S13" i="14"/>
  <c r="T13" i="14" s="1"/>
  <c r="S14" i="14"/>
  <c r="T14" i="14" s="1"/>
  <c r="S15" i="14"/>
  <c r="T15" i="14" s="1"/>
  <c r="S16" i="14"/>
  <c r="T16" i="14" s="1"/>
  <c r="S17" i="14"/>
  <c r="T17" i="14" s="1"/>
  <c r="S18" i="14"/>
  <c r="T18" i="14" s="1"/>
  <c r="S19" i="14"/>
  <c r="T19" i="14" s="1"/>
  <c r="S20" i="14"/>
  <c r="T20" i="14" s="1"/>
  <c r="S21" i="14"/>
  <c r="T21" i="14" s="1"/>
  <c r="S22" i="14"/>
  <c r="T22" i="14" s="1"/>
  <c r="S23" i="14"/>
  <c r="T23" i="14" s="1"/>
  <c r="S24" i="14"/>
  <c r="T24" i="14" s="1"/>
  <c r="S25" i="14"/>
  <c r="T25" i="14" s="1"/>
  <c r="S26" i="14"/>
  <c r="T26" i="14" s="1"/>
  <c r="S27" i="14"/>
  <c r="T27" i="14" s="1"/>
  <c r="S28" i="14"/>
  <c r="T28" i="14" s="1"/>
  <c r="S29" i="14"/>
  <c r="T29" i="14" s="1"/>
  <c r="S30" i="14"/>
  <c r="T30" i="14" s="1"/>
  <c r="S31" i="14"/>
  <c r="T31" i="14" s="1"/>
  <c r="S32" i="14"/>
  <c r="T32" i="14" s="1"/>
  <c r="S33" i="14"/>
  <c r="T33" i="14" s="1"/>
  <c r="S34" i="14"/>
  <c r="T34" i="14" s="1"/>
  <c r="S5" i="14"/>
  <c r="T5" i="14" s="1"/>
  <c r="P6" i="14"/>
  <c r="Q6" i="14" s="1"/>
  <c r="P7" i="14"/>
  <c r="Q7" i="14" s="1"/>
  <c r="P8" i="14"/>
  <c r="Q8" i="14" s="1"/>
  <c r="P9" i="14"/>
  <c r="Q9" i="14" s="1"/>
  <c r="P10" i="14"/>
  <c r="Q10" i="14" s="1"/>
  <c r="P11" i="14"/>
  <c r="Q11" i="14" s="1"/>
  <c r="P12" i="14"/>
  <c r="Q12" i="14" s="1"/>
  <c r="P13" i="14"/>
  <c r="Q13" i="14" s="1"/>
  <c r="P14" i="14"/>
  <c r="Q14" i="14" s="1"/>
  <c r="P15" i="14"/>
  <c r="Q15" i="14" s="1"/>
  <c r="P16" i="14"/>
  <c r="Q16" i="14" s="1"/>
  <c r="P17" i="14"/>
  <c r="Q17" i="14" s="1"/>
  <c r="P18" i="14"/>
  <c r="Q18" i="14" s="1"/>
  <c r="P19" i="14"/>
  <c r="Q19" i="14" s="1"/>
  <c r="P20" i="14"/>
  <c r="Q20" i="14" s="1"/>
  <c r="P21" i="14"/>
  <c r="Q21" i="14" s="1"/>
  <c r="P22" i="14"/>
  <c r="Q22" i="14" s="1"/>
  <c r="P23" i="14"/>
  <c r="Q23" i="14" s="1"/>
  <c r="P24" i="14"/>
  <c r="Q24" i="14" s="1"/>
  <c r="P25" i="14"/>
  <c r="Q25" i="14" s="1"/>
  <c r="P26" i="14"/>
  <c r="Q26" i="14" s="1"/>
  <c r="P27" i="14"/>
  <c r="Q27" i="14" s="1"/>
  <c r="P28" i="14"/>
  <c r="Q28" i="14" s="1"/>
  <c r="P29" i="14"/>
  <c r="Q29" i="14" s="1"/>
  <c r="P30" i="14"/>
  <c r="Q30" i="14" s="1"/>
  <c r="P31" i="14"/>
  <c r="Q31" i="14" s="1"/>
  <c r="P32" i="14"/>
  <c r="Q32" i="14" s="1"/>
  <c r="P33" i="14"/>
  <c r="Q33" i="14" s="1"/>
  <c r="P34" i="14"/>
  <c r="Q34" i="14" s="1"/>
  <c r="P5" i="14"/>
  <c r="Q5" i="14" s="1"/>
  <c r="L6" i="14"/>
  <c r="M6" i="14" s="1"/>
  <c r="L7" i="14"/>
  <c r="M7" i="14" s="1"/>
  <c r="L8" i="14"/>
  <c r="M8" i="14" s="1"/>
  <c r="L9" i="14"/>
  <c r="M9" i="14" s="1"/>
  <c r="L10" i="14"/>
  <c r="M10" i="14" s="1"/>
  <c r="L11" i="14"/>
  <c r="M11" i="14" s="1"/>
  <c r="L12" i="14"/>
  <c r="M12" i="14" s="1"/>
  <c r="L13" i="14"/>
  <c r="M13" i="14" s="1"/>
  <c r="L14" i="14"/>
  <c r="M14" i="14" s="1"/>
  <c r="L15" i="14"/>
  <c r="M15" i="14" s="1"/>
  <c r="L16" i="14"/>
  <c r="M16" i="14" s="1"/>
  <c r="L17" i="14"/>
  <c r="M17" i="14" s="1"/>
  <c r="L18" i="14"/>
  <c r="M18" i="14" s="1"/>
  <c r="L19" i="14"/>
  <c r="M19" i="14" s="1"/>
  <c r="L20" i="14"/>
  <c r="M20" i="14" s="1"/>
  <c r="L21" i="14"/>
  <c r="M21" i="14" s="1"/>
  <c r="L22" i="14"/>
  <c r="M22" i="14" s="1"/>
  <c r="L23" i="14"/>
  <c r="M23" i="14" s="1"/>
  <c r="L24" i="14"/>
  <c r="M24" i="14" s="1"/>
  <c r="L25" i="14"/>
  <c r="M25" i="14" s="1"/>
  <c r="L26" i="14"/>
  <c r="M26" i="14" s="1"/>
  <c r="L27" i="14"/>
  <c r="M27" i="14" s="1"/>
  <c r="L28" i="14"/>
  <c r="M28" i="14" s="1"/>
  <c r="L29" i="14"/>
  <c r="M29" i="14" s="1"/>
  <c r="L30" i="14"/>
  <c r="M30" i="14" s="1"/>
  <c r="L31" i="14"/>
  <c r="M31" i="14" s="1"/>
  <c r="L32" i="14"/>
  <c r="M32" i="14" s="1"/>
  <c r="L33" i="14"/>
  <c r="M33" i="14" s="1"/>
  <c r="L34" i="14"/>
  <c r="M34" i="14" s="1"/>
  <c r="L5" i="14"/>
  <c r="M5" i="14" s="1"/>
  <c r="I6" i="14"/>
  <c r="J6" i="14" s="1"/>
  <c r="I7" i="14"/>
  <c r="J7" i="14" s="1"/>
  <c r="I8" i="14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5" i="14"/>
  <c r="J5" i="14" s="1"/>
  <c r="F6" i="14"/>
  <c r="G6" i="14" s="1"/>
  <c r="F7" i="14"/>
  <c r="G7" i="14" s="1"/>
  <c r="F8" i="14"/>
  <c r="G8" i="14" s="1"/>
  <c r="F9" i="14"/>
  <c r="G9" i="14" s="1"/>
  <c r="F10" i="14"/>
  <c r="G10" i="14" s="1"/>
  <c r="F11" i="14"/>
  <c r="G11" i="14" s="1"/>
  <c r="F12" i="14"/>
  <c r="G12" i="14" s="1"/>
  <c r="F13" i="14"/>
  <c r="G13" i="14" s="1"/>
  <c r="F14" i="14"/>
  <c r="G14" i="14" s="1"/>
  <c r="F15" i="14"/>
  <c r="G15" i="14" s="1"/>
  <c r="F16" i="14"/>
  <c r="G16" i="14" s="1"/>
  <c r="F17" i="14"/>
  <c r="G17" i="14" s="1"/>
  <c r="F18" i="14"/>
  <c r="G18" i="14" s="1"/>
  <c r="F19" i="14"/>
  <c r="G19" i="14" s="1"/>
  <c r="F20" i="14"/>
  <c r="G20" i="14" s="1"/>
  <c r="F21" i="14"/>
  <c r="G21" i="14" s="1"/>
  <c r="F22" i="14"/>
  <c r="G22" i="14" s="1"/>
  <c r="F23" i="14"/>
  <c r="G23" i="14" s="1"/>
  <c r="F24" i="14"/>
  <c r="G24" i="14" s="1"/>
  <c r="F25" i="14"/>
  <c r="G25" i="14" s="1"/>
  <c r="F26" i="14"/>
  <c r="G26" i="14" s="1"/>
  <c r="F27" i="14"/>
  <c r="G27" i="14" s="1"/>
  <c r="F28" i="14"/>
  <c r="G28" i="14" s="1"/>
  <c r="F29" i="14"/>
  <c r="G29" i="14" s="1"/>
  <c r="F30" i="14"/>
  <c r="G30" i="14" s="1"/>
  <c r="F31" i="14"/>
  <c r="G31" i="14" s="1"/>
  <c r="F32" i="14"/>
  <c r="G32" i="14" s="1"/>
  <c r="F33" i="14"/>
  <c r="G33" i="14" s="1"/>
  <c r="F34" i="14"/>
  <c r="G34" i="14" s="1"/>
  <c r="F5" i="14"/>
  <c r="AB6" i="14"/>
  <c r="AB7" i="14"/>
  <c r="AB8" i="14"/>
  <c r="AB10" i="14"/>
  <c r="AB11" i="14"/>
  <c r="AB12" i="14"/>
  <c r="AB13" i="14"/>
  <c r="AB14" i="14"/>
  <c r="C15" i="14"/>
  <c r="AB16" i="14"/>
  <c r="AB18" i="14"/>
  <c r="AB19" i="14"/>
  <c r="AB21" i="14"/>
  <c r="AB22" i="14"/>
  <c r="AB23" i="14"/>
  <c r="AB25" i="14"/>
  <c r="AB26" i="14"/>
  <c r="AB30" i="14"/>
  <c r="AB31" i="14"/>
  <c r="AB34" i="14"/>
  <c r="AB5" i="14"/>
  <c r="AH5" i="5"/>
  <c r="AI5" i="5" s="1"/>
  <c r="AB5" i="5"/>
  <c r="AC5" i="5" s="1"/>
  <c r="V5" i="5"/>
  <c r="W5" i="5" s="1"/>
  <c r="P5" i="5"/>
  <c r="Q5" i="5" s="1"/>
  <c r="L5" i="5"/>
  <c r="M5" i="5" s="1"/>
  <c r="I5" i="5"/>
  <c r="J5" i="5" s="1"/>
  <c r="F5" i="5"/>
  <c r="G5" i="5" s="1"/>
  <c r="I6" i="16"/>
  <c r="J6" i="16" s="1"/>
  <c r="I7" i="16"/>
  <c r="J7" i="16" s="1"/>
  <c r="I8" i="16"/>
  <c r="J8" i="16" s="1"/>
  <c r="I9" i="16"/>
  <c r="J9" i="16" s="1"/>
  <c r="I10" i="16"/>
  <c r="J10" i="16" s="1"/>
  <c r="I11" i="16"/>
  <c r="J11" i="16" s="1"/>
  <c r="I12" i="16"/>
  <c r="J12" i="16" s="1"/>
  <c r="I13" i="16"/>
  <c r="J13" i="16" s="1"/>
  <c r="I14" i="16"/>
  <c r="J14" i="16" s="1"/>
  <c r="I16" i="16"/>
  <c r="J16" i="16" s="1"/>
  <c r="I17" i="16"/>
  <c r="J17" i="16" s="1"/>
  <c r="I18" i="16"/>
  <c r="J18" i="16" s="1"/>
  <c r="I19" i="16"/>
  <c r="J19" i="16" s="1"/>
  <c r="I20" i="16"/>
  <c r="J20" i="16" s="1"/>
  <c r="I21" i="16"/>
  <c r="J21" i="16" s="1"/>
  <c r="I22" i="16"/>
  <c r="J22" i="16" s="1"/>
  <c r="I23" i="16"/>
  <c r="J23" i="16" s="1"/>
  <c r="I24" i="16"/>
  <c r="J24" i="16" s="1"/>
  <c r="I25" i="16"/>
  <c r="J25" i="16" s="1"/>
  <c r="I26" i="16"/>
  <c r="J26" i="16" s="1"/>
  <c r="I27" i="16"/>
  <c r="J27" i="16" s="1"/>
  <c r="I28" i="16"/>
  <c r="J28" i="16" s="1"/>
  <c r="I29" i="16"/>
  <c r="J29" i="16" s="1"/>
  <c r="I30" i="16"/>
  <c r="J30" i="16" s="1"/>
  <c r="I32" i="16"/>
  <c r="J32" i="16" s="1"/>
  <c r="I33" i="16"/>
  <c r="J33" i="16" s="1"/>
  <c r="I34" i="16"/>
  <c r="J34" i="16" s="1"/>
  <c r="I35" i="16"/>
  <c r="J35" i="16" s="1"/>
  <c r="I5" i="16"/>
  <c r="J5" i="16" s="1"/>
  <c r="V23" i="11"/>
  <c r="W23" i="11" s="1"/>
  <c r="AE6" i="12"/>
  <c r="AF6" i="12" s="1"/>
  <c r="AE7" i="12"/>
  <c r="AF7" i="12" s="1"/>
  <c r="AE8" i="12"/>
  <c r="AF8" i="12" s="1"/>
  <c r="AE10" i="12"/>
  <c r="AF10" i="12" s="1"/>
  <c r="AE11" i="12"/>
  <c r="AF11" i="12" s="1"/>
  <c r="AE12" i="12"/>
  <c r="AF12" i="12" s="1"/>
  <c r="AE13" i="12"/>
  <c r="AF13" i="12" s="1"/>
  <c r="AE14" i="12"/>
  <c r="AF14" i="12" s="1"/>
  <c r="AE16" i="12"/>
  <c r="AF16" i="12" s="1"/>
  <c r="AE17" i="12"/>
  <c r="AF17" i="12" s="1"/>
  <c r="AE18" i="12"/>
  <c r="AF18" i="12" s="1"/>
  <c r="AE19" i="12"/>
  <c r="AF19" i="12" s="1"/>
  <c r="AE21" i="12"/>
  <c r="AF21" i="12" s="1"/>
  <c r="AE22" i="12"/>
  <c r="AF22" i="12" s="1"/>
  <c r="AE23" i="12"/>
  <c r="AF23" i="12" s="1"/>
  <c r="AE24" i="12"/>
  <c r="AF24" i="12" s="1"/>
  <c r="AE25" i="12"/>
  <c r="AF25" i="12" s="1"/>
  <c r="AE26" i="12"/>
  <c r="AF26" i="12" s="1"/>
  <c r="AE28" i="12"/>
  <c r="AF28" i="12" s="1"/>
  <c r="AE29" i="12"/>
  <c r="AF29" i="12" s="1"/>
  <c r="AE30" i="12"/>
  <c r="AF30" i="12" s="1"/>
  <c r="AE31" i="12"/>
  <c r="AF31" i="12" s="1"/>
  <c r="AE32" i="12"/>
  <c r="AF32" i="12" s="1"/>
  <c r="AE33" i="12"/>
  <c r="AF33" i="12" s="1"/>
  <c r="AE34" i="12"/>
  <c r="AF34" i="12" s="1"/>
  <c r="AE5" i="12"/>
  <c r="AF5" i="12" s="1"/>
  <c r="V6" i="11"/>
  <c r="W6" i="11" s="1"/>
  <c r="V7" i="11"/>
  <c r="W7" i="11" s="1"/>
  <c r="V8" i="11"/>
  <c r="W8" i="11" s="1"/>
  <c r="V9" i="11"/>
  <c r="W9" i="11" s="1"/>
  <c r="V10" i="11"/>
  <c r="W10" i="11" s="1"/>
  <c r="V11" i="11"/>
  <c r="W11" i="11" s="1"/>
  <c r="V12" i="11"/>
  <c r="W12" i="11" s="1"/>
  <c r="V14" i="11"/>
  <c r="W14" i="11" s="1"/>
  <c r="V15" i="11"/>
  <c r="W15" i="11" s="1"/>
  <c r="V16" i="11"/>
  <c r="W16" i="11" s="1"/>
  <c r="V17" i="11"/>
  <c r="W17" i="11" s="1"/>
  <c r="V18" i="11"/>
  <c r="W18" i="11" s="1"/>
  <c r="V19" i="11"/>
  <c r="W19" i="11" s="1"/>
  <c r="V20" i="11"/>
  <c r="W20" i="11" s="1"/>
  <c r="V21" i="11"/>
  <c r="W21" i="11" s="1"/>
  <c r="V22" i="11"/>
  <c r="W22" i="11" s="1"/>
  <c r="V24" i="11"/>
  <c r="W24" i="11" s="1"/>
  <c r="V25" i="11"/>
  <c r="W25" i="11" s="1"/>
  <c r="V26" i="11"/>
  <c r="W26" i="11" s="1"/>
  <c r="V27" i="11"/>
  <c r="W27" i="11" s="1"/>
  <c r="V28" i="11"/>
  <c r="W28" i="11" s="1"/>
  <c r="V29" i="11"/>
  <c r="W29" i="11" s="1"/>
  <c r="V30" i="11"/>
  <c r="W30" i="11" s="1"/>
  <c r="V31" i="11"/>
  <c r="W31" i="11" s="1"/>
  <c r="V32" i="11"/>
  <c r="W32" i="11" s="1"/>
  <c r="V33" i="11"/>
  <c r="W33" i="11" s="1"/>
  <c r="V35" i="11"/>
  <c r="W35" i="11" s="1"/>
  <c r="V5" i="11"/>
  <c r="W5" i="11" s="1"/>
  <c r="V6" i="16"/>
  <c r="W6" i="16" s="1"/>
  <c r="V7" i="16"/>
  <c r="W7" i="16" s="1"/>
  <c r="V8" i="16"/>
  <c r="W8" i="16" s="1"/>
  <c r="V9" i="16"/>
  <c r="W9" i="16" s="1"/>
  <c r="V10" i="16"/>
  <c r="W10" i="16" s="1"/>
  <c r="V12" i="16"/>
  <c r="W12" i="16" s="1"/>
  <c r="V13" i="16"/>
  <c r="W13" i="16" s="1"/>
  <c r="V14" i="16"/>
  <c r="W14" i="16" s="1"/>
  <c r="V15" i="16"/>
  <c r="W15" i="16" s="1"/>
  <c r="V16" i="16"/>
  <c r="W16" i="16" s="1"/>
  <c r="V17" i="16"/>
  <c r="W17" i="16" s="1"/>
  <c r="V18" i="16"/>
  <c r="W18" i="16" s="1"/>
  <c r="V19" i="16"/>
  <c r="W19" i="16" s="1"/>
  <c r="V20" i="16"/>
  <c r="W20" i="16" s="1"/>
  <c r="V21" i="16"/>
  <c r="W21" i="16" s="1"/>
  <c r="V22" i="16"/>
  <c r="W22" i="16" s="1"/>
  <c r="V23" i="16"/>
  <c r="W23" i="16" s="1"/>
  <c r="V24" i="16"/>
  <c r="W24" i="16" s="1"/>
  <c r="V25" i="16"/>
  <c r="W25" i="16" s="1"/>
  <c r="V26" i="16"/>
  <c r="W26" i="16" s="1"/>
  <c r="V28" i="16"/>
  <c r="W28" i="16" s="1"/>
  <c r="V29" i="16"/>
  <c r="W29" i="16" s="1"/>
  <c r="V30" i="16"/>
  <c r="W30" i="16" s="1"/>
  <c r="V31" i="16"/>
  <c r="W31" i="16" s="1"/>
  <c r="V32" i="16"/>
  <c r="W32" i="16" s="1"/>
  <c r="V33" i="16"/>
  <c r="W33" i="16" s="1"/>
  <c r="V34" i="16"/>
  <c r="W34" i="16" s="1"/>
  <c r="V35" i="16"/>
  <c r="W35" i="16" s="1"/>
  <c r="V5" i="16"/>
  <c r="W5" i="16" s="1"/>
  <c r="L6" i="16"/>
  <c r="M6" i="16" s="1"/>
  <c r="L7" i="16"/>
  <c r="M7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C6" i="12"/>
  <c r="D6" i="12" s="1"/>
  <c r="F6" i="12"/>
  <c r="G6" i="12" s="1"/>
  <c r="I6" i="12"/>
  <c r="J6" i="12" s="1"/>
  <c r="L6" i="12"/>
  <c r="M6" i="12" s="1"/>
  <c r="P6" i="12"/>
  <c r="Q6" i="12" s="1"/>
  <c r="V6" i="12"/>
  <c r="W6" i="12" s="1"/>
  <c r="AH6" i="12"/>
  <c r="AI6" i="12" s="1"/>
  <c r="C7" i="12"/>
  <c r="D7" i="12" s="1"/>
  <c r="F7" i="12"/>
  <c r="G7" i="12" s="1"/>
  <c r="I7" i="12"/>
  <c r="J7" i="12" s="1"/>
  <c r="L7" i="12"/>
  <c r="M7" i="12" s="1"/>
  <c r="P7" i="12"/>
  <c r="Q7" i="12" s="1"/>
  <c r="V7" i="12"/>
  <c r="W7" i="12" s="1"/>
  <c r="AH7" i="12"/>
  <c r="AI7" i="12" s="1"/>
  <c r="C8" i="12"/>
  <c r="D8" i="12" s="1"/>
  <c r="F8" i="12"/>
  <c r="G8" i="12" s="1"/>
  <c r="I8" i="12"/>
  <c r="J8" i="12" s="1"/>
  <c r="L8" i="12"/>
  <c r="M8" i="12" s="1"/>
  <c r="P8" i="12"/>
  <c r="Q8" i="12" s="1"/>
  <c r="V8" i="12"/>
  <c r="W8" i="12" s="1"/>
  <c r="AH8" i="12"/>
  <c r="AI8" i="12" s="1"/>
  <c r="C9" i="12"/>
  <c r="D9" i="12" s="1"/>
  <c r="F9" i="12"/>
  <c r="G9" i="12" s="1"/>
  <c r="I9" i="12"/>
  <c r="J9" i="12" s="1"/>
  <c r="L9" i="12"/>
  <c r="M9" i="12" s="1"/>
  <c r="P9" i="12"/>
  <c r="Q9" i="12" s="1"/>
  <c r="V9" i="12"/>
  <c r="W9" i="12" s="1"/>
  <c r="AH9" i="12"/>
  <c r="AI9" i="12" s="1"/>
  <c r="C10" i="12"/>
  <c r="D10" i="12" s="1"/>
  <c r="F10" i="12"/>
  <c r="G10" i="12" s="1"/>
  <c r="I10" i="12"/>
  <c r="J10" i="12" s="1"/>
  <c r="L10" i="12"/>
  <c r="M10" i="12" s="1"/>
  <c r="V10" i="12"/>
  <c r="W10" i="12" s="1"/>
  <c r="AH10" i="12"/>
  <c r="AI10" i="12" s="1"/>
  <c r="C11" i="12"/>
  <c r="D11" i="12" s="1"/>
  <c r="F11" i="12"/>
  <c r="G11" i="12" s="1"/>
  <c r="I11" i="12"/>
  <c r="J11" i="12" s="1"/>
  <c r="L11" i="12"/>
  <c r="M11" i="12" s="1"/>
  <c r="P11" i="12"/>
  <c r="Q11" i="12" s="1"/>
  <c r="V11" i="12"/>
  <c r="W11" i="12" s="1"/>
  <c r="AH11" i="12"/>
  <c r="AI11" i="12" s="1"/>
  <c r="C12" i="12"/>
  <c r="D12" i="12" s="1"/>
  <c r="F12" i="12"/>
  <c r="G12" i="12" s="1"/>
  <c r="I12" i="12"/>
  <c r="J12" i="12" s="1"/>
  <c r="L12" i="12"/>
  <c r="M12" i="12" s="1"/>
  <c r="P12" i="12"/>
  <c r="Q12" i="12" s="1"/>
  <c r="V12" i="12"/>
  <c r="W12" i="12" s="1"/>
  <c r="AH12" i="12"/>
  <c r="AI12" i="12" s="1"/>
  <c r="C13" i="12"/>
  <c r="D13" i="12" s="1"/>
  <c r="F13" i="12"/>
  <c r="G13" i="12" s="1"/>
  <c r="I13" i="12"/>
  <c r="J13" i="12" s="1"/>
  <c r="L13" i="12"/>
  <c r="M13" i="12" s="1"/>
  <c r="P13" i="12"/>
  <c r="Q13" i="12" s="1"/>
  <c r="V13" i="12"/>
  <c r="W13" i="12" s="1"/>
  <c r="AH13" i="12"/>
  <c r="AI13" i="12" s="1"/>
  <c r="C14" i="12"/>
  <c r="D14" i="12" s="1"/>
  <c r="F14" i="12"/>
  <c r="G14" i="12" s="1"/>
  <c r="I14" i="12"/>
  <c r="J14" i="12" s="1"/>
  <c r="L14" i="12"/>
  <c r="M14" i="12" s="1"/>
  <c r="P14" i="12"/>
  <c r="Q14" i="12" s="1"/>
  <c r="V14" i="12"/>
  <c r="W14" i="12" s="1"/>
  <c r="AH14" i="12"/>
  <c r="AI14" i="12" s="1"/>
  <c r="C15" i="12"/>
  <c r="D15" i="12" s="1"/>
  <c r="F15" i="12"/>
  <c r="G15" i="12" s="1"/>
  <c r="I15" i="12"/>
  <c r="J15" i="12" s="1"/>
  <c r="L15" i="12"/>
  <c r="M15" i="12" s="1"/>
  <c r="P15" i="12"/>
  <c r="Q15" i="12" s="1"/>
  <c r="V15" i="12"/>
  <c r="W15" i="12" s="1"/>
  <c r="AE15" i="12"/>
  <c r="AF15" i="12" s="1"/>
  <c r="AH15" i="12"/>
  <c r="AI15" i="12" s="1"/>
  <c r="C16" i="12"/>
  <c r="D16" i="12" s="1"/>
  <c r="F16" i="12"/>
  <c r="G16" i="12" s="1"/>
  <c r="I16" i="12"/>
  <c r="J16" i="12" s="1"/>
  <c r="L16" i="12"/>
  <c r="M16" i="12" s="1"/>
  <c r="P16" i="12"/>
  <c r="Q16" i="12" s="1"/>
  <c r="V16" i="12"/>
  <c r="W16" i="12" s="1"/>
  <c r="AH16" i="12"/>
  <c r="AI16" i="12" s="1"/>
  <c r="C17" i="12"/>
  <c r="D17" i="12" s="1"/>
  <c r="F17" i="12"/>
  <c r="G17" i="12" s="1"/>
  <c r="I17" i="12"/>
  <c r="J17" i="12" s="1"/>
  <c r="L17" i="12"/>
  <c r="M17" i="12" s="1"/>
  <c r="P17" i="12"/>
  <c r="Q17" i="12" s="1"/>
  <c r="V17" i="12"/>
  <c r="W17" i="12" s="1"/>
  <c r="AH17" i="12"/>
  <c r="AI17" i="12" s="1"/>
  <c r="C18" i="12"/>
  <c r="D18" i="12" s="1"/>
  <c r="F18" i="12"/>
  <c r="G18" i="12" s="1"/>
  <c r="I18" i="12"/>
  <c r="J18" i="12" s="1"/>
  <c r="L18" i="12"/>
  <c r="M18" i="12" s="1"/>
  <c r="P18" i="12"/>
  <c r="Q18" i="12" s="1"/>
  <c r="V18" i="12"/>
  <c r="W18" i="12" s="1"/>
  <c r="AH18" i="12"/>
  <c r="AI18" i="12" s="1"/>
  <c r="C19" i="12"/>
  <c r="D19" i="12" s="1"/>
  <c r="F19" i="12"/>
  <c r="G19" i="12" s="1"/>
  <c r="I19" i="12"/>
  <c r="J19" i="12" s="1"/>
  <c r="L19" i="12"/>
  <c r="M19" i="12" s="1"/>
  <c r="P19" i="12"/>
  <c r="Q19" i="12" s="1"/>
  <c r="V19" i="12"/>
  <c r="W19" i="12" s="1"/>
  <c r="AH19" i="12"/>
  <c r="AI19" i="12" s="1"/>
  <c r="F20" i="12"/>
  <c r="G20" i="12" s="1"/>
  <c r="I20" i="12"/>
  <c r="J20" i="12" s="1"/>
  <c r="L20" i="12"/>
  <c r="M20" i="12" s="1"/>
  <c r="P20" i="12"/>
  <c r="Q20" i="12" s="1"/>
  <c r="V20" i="12"/>
  <c r="W20" i="12" s="1"/>
  <c r="AE20" i="12"/>
  <c r="AF20" i="12" s="1"/>
  <c r="AH20" i="12"/>
  <c r="AI20" i="12" s="1"/>
  <c r="C21" i="12"/>
  <c r="D21" i="12" s="1"/>
  <c r="F21" i="12"/>
  <c r="G21" i="12" s="1"/>
  <c r="I21" i="12"/>
  <c r="J21" i="12" s="1"/>
  <c r="L21" i="12"/>
  <c r="M21" i="12" s="1"/>
  <c r="P21" i="12"/>
  <c r="Q21" i="12" s="1"/>
  <c r="V21" i="12"/>
  <c r="W21" i="12" s="1"/>
  <c r="AH21" i="12"/>
  <c r="AI21" i="12" s="1"/>
  <c r="C22" i="12"/>
  <c r="D22" i="12" s="1"/>
  <c r="F22" i="12"/>
  <c r="G22" i="12" s="1"/>
  <c r="I22" i="12"/>
  <c r="J22" i="12" s="1"/>
  <c r="L22" i="12"/>
  <c r="M22" i="12" s="1"/>
  <c r="P22" i="12"/>
  <c r="Q22" i="12" s="1"/>
  <c r="V22" i="12"/>
  <c r="W22" i="12" s="1"/>
  <c r="AH22" i="12"/>
  <c r="AI22" i="12" s="1"/>
  <c r="C23" i="12"/>
  <c r="D23" i="12" s="1"/>
  <c r="F23" i="12"/>
  <c r="G23" i="12" s="1"/>
  <c r="I23" i="12"/>
  <c r="J23" i="12" s="1"/>
  <c r="L23" i="12"/>
  <c r="M23" i="12" s="1"/>
  <c r="P23" i="12"/>
  <c r="Q23" i="12" s="1"/>
  <c r="V23" i="12"/>
  <c r="W23" i="12" s="1"/>
  <c r="AH23" i="12"/>
  <c r="AI23" i="12" s="1"/>
  <c r="C24" i="12"/>
  <c r="D24" i="12" s="1"/>
  <c r="F24" i="12"/>
  <c r="G24" i="12" s="1"/>
  <c r="I24" i="12"/>
  <c r="J24" i="12" s="1"/>
  <c r="L24" i="12"/>
  <c r="M24" i="12" s="1"/>
  <c r="P24" i="12"/>
  <c r="Q24" i="12" s="1"/>
  <c r="V24" i="12"/>
  <c r="W24" i="12" s="1"/>
  <c r="AH24" i="12"/>
  <c r="AI24" i="12" s="1"/>
  <c r="C25" i="12"/>
  <c r="D25" i="12" s="1"/>
  <c r="F25" i="12"/>
  <c r="G25" i="12" s="1"/>
  <c r="I25" i="12"/>
  <c r="J25" i="12" s="1"/>
  <c r="L25" i="12"/>
  <c r="M25" i="12" s="1"/>
  <c r="P25" i="12"/>
  <c r="Q25" i="12" s="1"/>
  <c r="V25" i="12"/>
  <c r="W25" i="12" s="1"/>
  <c r="AH25" i="12"/>
  <c r="AI25" i="12" s="1"/>
  <c r="C26" i="12"/>
  <c r="D26" i="12" s="1"/>
  <c r="F26" i="12"/>
  <c r="G26" i="12" s="1"/>
  <c r="I26" i="12"/>
  <c r="J26" i="12" s="1"/>
  <c r="L26" i="12"/>
  <c r="M26" i="12" s="1"/>
  <c r="P26" i="12"/>
  <c r="Q26" i="12" s="1"/>
  <c r="V26" i="12"/>
  <c r="W26" i="12" s="1"/>
  <c r="AH26" i="12"/>
  <c r="AI26" i="12" s="1"/>
  <c r="C27" i="12"/>
  <c r="D27" i="12" s="1"/>
  <c r="F27" i="12"/>
  <c r="G27" i="12" s="1"/>
  <c r="I27" i="12"/>
  <c r="J27" i="12" s="1"/>
  <c r="L27" i="12"/>
  <c r="M27" i="12" s="1"/>
  <c r="P27" i="12"/>
  <c r="Q27" i="12" s="1"/>
  <c r="V27" i="12"/>
  <c r="W27" i="12" s="1"/>
  <c r="AE27" i="12"/>
  <c r="AF27" i="12" s="1"/>
  <c r="AH27" i="12"/>
  <c r="AI27" i="12" s="1"/>
  <c r="C28" i="12"/>
  <c r="D28" i="12" s="1"/>
  <c r="F28" i="12"/>
  <c r="G28" i="12" s="1"/>
  <c r="I28" i="12"/>
  <c r="J28" i="12" s="1"/>
  <c r="L28" i="12"/>
  <c r="M28" i="12" s="1"/>
  <c r="P28" i="12"/>
  <c r="Q28" i="12" s="1"/>
  <c r="V28" i="12"/>
  <c r="W28" i="12" s="1"/>
  <c r="AH28" i="12"/>
  <c r="AI28" i="12" s="1"/>
  <c r="C29" i="12"/>
  <c r="D29" i="12" s="1"/>
  <c r="F29" i="12"/>
  <c r="G29" i="12" s="1"/>
  <c r="I29" i="12"/>
  <c r="J29" i="12" s="1"/>
  <c r="L29" i="12"/>
  <c r="M29" i="12" s="1"/>
  <c r="P29" i="12"/>
  <c r="Q29" i="12" s="1"/>
  <c r="V29" i="12"/>
  <c r="W29" i="12" s="1"/>
  <c r="AH29" i="12"/>
  <c r="AI29" i="12" s="1"/>
  <c r="C30" i="12"/>
  <c r="D30" i="12" s="1"/>
  <c r="F30" i="12"/>
  <c r="G30" i="12" s="1"/>
  <c r="I30" i="12"/>
  <c r="J30" i="12" s="1"/>
  <c r="L30" i="12"/>
  <c r="M30" i="12" s="1"/>
  <c r="P30" i="12"/>
  <c r="Q30" i="12" s="1"/>
  <c r="V30" i="12"/>
  <c r="W30" i="12" s="1"/>
  <c r="AH30" i="12"/>
  <c r="AI30" i="12" s="1"/>
  <c r="C31" i="12"/>
  <c r="D31" i="12" s="1"/>
  <c r="F31" i="12"/>
  <c r="G31" i="12" s="1"/>
  <c r="I31" i="12"/>
  <c r="J31" i="12" s="1"/>
  <c r="L31" i="12"/>
  <c r="M31" i="12" s="1"/>
  <c r="P31" i="12"/>
  <c r="V31" i="12"/>
  <c r="W31" i="12" s="1"/>
  <c r="AH31" i="12"/>
  <c r="AI31" i="12" s="1"/>
  <c r="C32" i="12"/>
  <c r="D32" i="12" s="1"/>
  <c r="F32" i="12"/>
  <c r="G32" i="12" s="1"/>
  <c r="I32" i="12"/>
  <c r="J32" i="12" s="1"/>
  <c r="L32" i="12"/>
  <c r="M32" i="12" s="1"/>
  <c r="P32" i="12"/>
  <c r="Q32" i="12" s="1"/>
  <c r="V32" i="12"/>
  <c r="W32" i="12" s="1"/>
  <c r="AH32" i="12"/>
  <c r="AI32" i="12" s="1"/>
  <c r="C33" i="12"/>
  <c r="D33" i="12" s="1"/>
  <c r="F33" i="12"/>
  <c r="G33" i="12" s="1"/>
  <c r="I33" i="12"/>
  <c r="J33" i="12" s="1"/>
  <c r="L33" i="12"/>
  <c r="M33" i="12" s="1"/>
  <c r="P33" i="12"/>
  <c r="Q33" i="12" s="1"/>
  <c r="V33" i="12"/>
  <c r="W33" i="12" s="1"/>
  <c r="AH33" i="12"/>
  <c r="AI33" i="12" s="1"/>
  <c r="C34" i="12"/>
  <c r="D34" i="12" s="1"/>
  <c r="F34" i="12"/>
  <c r="G34" i="12" s="1"/>
  <c r="I34" i="12"/>
  <c r="J34" i="12" s="1"/>
  <c r="L34" i="12"/>
  <c r="M34" i="12" s="1"/>
  <c r="P34" i="12"/>
  <c r="Q34" i="12" s="1"/>
  <c r="V34" i="12"/>
  <c r="W34" i="12" s="1"/>
  <c r="AH34" i="12"/>
  <c r="AI34" i="12" s="1"/>
  <c r="AH5" i="12"/>
  <c r="AI5" i="12" s="1"/>
  <c r="V5" i="12"/>
  <c r="W5" i="12" s="1"/>
  <c r="P5" i="12"/>
  <c r="Q5" i="12" s="1"/>
  <c r="L5" i="12"/>
  <c r="M5" i="12" s="1"/>
  <c r="I5" i="12"/>
  <c r="J5" i="12" s="1"/>
  <c r="F5" i="12"/>
  <c r="G5" i="12" s="1"/>
  <c r="C5" i="12"/>
  <c r="D5" i="12" s="1"/>
  <c r="C6" i="11"/>
  <c r="D6" i="11" s="1"/>
  <c r="F6" i="11"/>
  <c r="G6" i="11" s="1"/>
  <c r="I6" i="11"/>
  <c r="J6" i="11" s="1"/>
  <c r="L6" i="11"/>
  <c r="M6" i="11" s="1"/>
  <c r="P6" i="11"/>
  <c r="Q6" i="11" s="1"/>
  <c r="S6" i="11"/>
  <c r="T6" i="11" s="1"/>
  <c r="Y6" i="11"/>
  <c r="Z6" i="11" s="1"/>
  <c r="C7" i="11"/>
  <c r="D7" i="11" s="1"/>
  <c r="F7" i="11"/>
  <c r="G7" i="11" s="1"/>
  <c r="I7" i="11"/>
  <c r="J7" i="11" s="1"/>
  <c r="L7" i="11"/>
  <c r="M7" i="11" s="1"/>
  <c r="P7" i="11"/>
  <c r="Q7" i="11" s="1"/>
  <c r="S7" i="11"/>
  <c r="T7" i="11" s="1"/>
  <c r="Y7" i="11"/>
  <c r="C8" i="11"/>
  <c r="D8" i="11" s="1"/>
  <c r="F8" i="11"/>
  <c r="G8" i="11" s="1"/>
  <c r="I8" i="11"/>
  <c r="J8" i="11" s="1"/>
  <c r="L8" i="11"/>
  <c r="M8" i="11" s="1"/>
  <c r="P8" i="11"/>
  <c r="Q8" i="11" s="1"/>
  <c r="S8" i="11"/>
  <c r="T8" i="11" s="1"/>
  <c r="Y8" i="11"/>
  <c r="Z8" i="11" s="1"/>
  <c r="C9" i="11"/>
  <c r="D9" i="11" s="1"/>
  <c r="F9" i="11"/>
  <c r="G9" i="11" s="1"/>
  <c r="I9" i="11"/>
  <c r="J9" i="11" s="1"/>
  <c r="L9" i="11"/>
  <c r="M9" i="11" s="1"/>
  <c r="P9" i="11"/>
  <c r="Q9" i="11" s="1"/>
  <c r="S9" i="11"/>
  <c r="T9" i="11" s="1"/>
  <c r="Y9" i="11"/>
  <c r="Z9" i="11" s="1"/>
  <c r="C10" i="11"/>
  <c r="D10" i="11" s="1"/>
  <c r="F10" i="11"/>
  <c r="G10" i="11" s="1"/>
  <c r="I10" i="11"/>
  <c r="J10" i="11" s="1"/>
  <c r="L10" i="11"/>
  <c r="M10" i="11" s="1"/>
  <c r="P10" i="11"/>
  <c r="Q10" i="11" s="1"/>
  <c r="S10" i="11"/>
  <c r="T10" i="11" s="1"/>
  <c r="Y10" i="11"/>
  <c r="Z10" i="11" s="1"/>
  <c r="C11" i="11"/>
  <c r="D11" i="11" s="1"/>
  <c r="F11" i="11"/>
  <c r="G11" i="11" s="1"/>
  <c r="I11" i="11"/>
  <c r="J11" i="11" s="1"/>
  <c r="L11" i="11"/>
  <c r="M11" i="11" s="1"/>
  <c r="S11" i="11"/>
  <c r="T11" i="11" s="1"/>
  <c r="Y11" i="11"/>
  <c r="Z11" i="11" s="1"/>
  <c r="C12" i="11"/>
  <c r="D12" i="11" s="1"/>
  <c r="F12" i="11"/>
  <c r="G12" i="11" s="1"/>
  <c r="I12" i="11"/>
  <c r="J12" i="11" s="1"/>
  <c r="L12" i="11"/>
  <c r="M12" i="11" s="1"/>
  <c r="P12" i="11"/>
  <c r="Q12" i="11" s="1"/>
  <c r="S12" i="11"/>
  <c r="T12" i="11" s="1"/>
  <c r="Y12" i="11"/>
  <c r="Z12" i="11" s="1"/>
  <c r="C13" i="11"/>
  <c r="D13" i="11" s="1"/>
  <c r="F13" i="11"/>
  <c r="G13" i="11" s="1"/>
  <c r="I13" i="11"/>
  <c r="J13" i="11" s="1"/>
  <c r="L13" i="11"/>
  <c r="M13" i="11" s="1"/>
  <c r="P13" i="11"/>
  <c r="Q13" i="11" s="1"/>
  <c r="S13" i="11"/>
  <c r="T13" i="11" s="1"/>
  <c r="V13" i="11"/>
  <c r="W13" i="11" s="1"/>
  <c r="Y13" i="11"/>
  <c r="Z13" i="11" s="1"/>
  <c r="C14" i="11"/>
  <c r="D14" i="11" s="1"/>
  <c r="F14" i="11"/>
  <c r="G14" i="11" s="1"/>
  <c r="I14" i="11"/>
  <c r="J14" i="11" s="1"/>
  <c r="L14" i="11"/>
  <c r="M14" i="11" s="1"/>
  <c r="P14" i="11"/>
  <c r="Q14" i="11" s="1"/>
  <c r="S14" i="11"/>
  <c r="T14" i="11" s="1"/>
  <c r="Y14" i="11"/>
  <c r="Z14" i="11" s="1"/>
  <c r="C15" i="11"/>
  <c r="D15" i="11" s="1"/>
  <c r="F15" i="11"/>
  <c r="G15" i="11" s="1"/>
  <c r="I15" i="11"/>
  <c r="J15" i="11" s="1"/>
  <c r="L15" i="11"/>
  <c r="M15" i="11" s="1"/>
  <c r="P15" i="11"/>
  <c r="Q15" i="11" s="1"/>
  <c r="S15" i="11"/>
  <c r="T15" i="11" s="1"/>
  <c r="Y15" i="11"/>
  <c r="Z15" i="11" s="1"/>
  <c r="C16" i="11"/>
  <c r="F16" i="11"/>
  <c r="G16" i="11" s="1"/>
  <c r="I16" i="11"/>
  <c r="J16" i="11" s="1"/>
  <c r="L16" i="11"/>
  <c r="M16" i="11" s="1"/>
  <c r="P16" i="11"/>
  <c r="Q16" i="11" s="1"/>
  <c r="S16" i="11"/>
  <c r="T16" i="11" s="1"/>
  <c r="Y16" i="11"/>
  <c r="Z16" i="11" s="1"/>
  <c r="C17" i="11"/>
  <c r="D17" i="11" s="1"/>
  <c r="F17" i="11"/>
  <c r="G17" i="11" s="1"/>
  <c r="I17" i="11"/>
  <c r="J17" i="11" s="1"/>
  <c r="L17" i="11"/>
  <c r="M17" i="11" s="1"/>
  <c r="P17" i="11"/>
  <c r="Q17" i="11" s="1"/>
  <c r="S17" i="11"/>
  <c r="T17" i="11" s="1"/>
  <c r="Y17" i="11"/>
  <c r="Z17" i="11" s="1"/>
  <c r="C18" i="11"/>
  <c r="D18" i="11" s="1"/>
  <c r="F18" i="11"/>
  <c r="G18" i="11" s="1"/>
  <c r="I18" i="11"/>
  <c r="J18" i="11" s="1"/>
  <c r="L18" i="11"/>
  <c r="M18" i="11" s="1"/>
  <c r="P18" i="11"/>
  <c r="Q18" i="11" s="1"/>
  <c r="S18" i="11"/>
  <c r="T18" i="11" s="1"/>
  <c r="Y18" i="11"/>
  <c r="Z18" i="11" s="1"/>
  <c r="C19" i="11"/>
  <c r="D19" i="11" s="1"/>
  <c r="F19" i="11"/>
  <c r="G19" i="11" s="1"/>
  <c r="I19" i="11"/>
  <c r="J19" i="11" s="1"/>
  <c r="L19" i="11"/>
  <c r="M19" i="11" s="1"/>
  <c r="P19" i="11"/>
  <c r="Q19" i="11" s="1"/>
  <c r="S19" i="11"/>
  <c r="T19" i="11" s="1"/>
  <c r="Y19" i="11"/>
  <c r="Z19" i="11" s="1"/>
  <c r="C20" i="11"/>
  <c r="D20" i="11" s="1"/>
  <c r="F20" i="11"/>
  <c r="G20" i="11" s="1"/>
  <c r="I20" i="11"/>
  <c r="J20" i="11" s="1"/>
  <c r="L20" i="11"/>
  <c r="M20" i="11" s="1"/>
  <c r="P20" i="11"/>
  <c r="Q20" i="11" s="1"/>
  <c r="S20" i="11"/>
  <c r="T20" i="11" s="1"/>
  <c r="Y20" i="11"/>
  <c r="Z20" i="11" s="1"/>
  <c r="C21" i="11"/>
  <c r="D21" i="11" s="1"/>
  <c r="F21" i="11"/>
  <c r="G21" i="11" s="1"/>
  <c r="I21" i="11"/>
  <c r="J21" i="11" s="1"/>
  <c r="L21" i="11"/>
  <c r="M21" i="11" s="1"/>
  <c r="P21" i="11"/>
  <c r="Q21" i="11" s="1"/>
  <c r="S21" i="11"/>
  <c r="T21" i="11" s="1"/>
  <c r="Y21" i="11"/>
  <c r="Z21" i="11" s="1"/>
  <c r="C22" i="11"/>
  <c r="D22" i="11" s="1"/>
  <c r="F22" i="11"/>
  <c r="G22" i="11" s="1"/>
  <c r="I22" i="11"/>
  <c r="J22" i="11" s="1"/>
  <c r="L22" i="11"/>
  <c r="M22" i="11" s="1"/>
  <c r="P22" i="11"/>
  <c r="Q22" i="11" s="1"/>
  <c r="S22" i="11"/>
  <c r="T22" i="11" s="1"/>
  <c r="Y22" i="11"/>
  <c r="Z22" i="11" s="1"/>
  <c r="C23" i="11"/>
  <c r="D23" i="11" s="1"/>
  <c r="F23" i="11"/>
  <c r="G23" i="11" s="1"/>
  <c r="I23" i="11"/>
  <c r="J23" i="11" s="1"/>
  <c r="L23" i="11"/>
  <c r="M23" i="11" s="1"/>
  <c r="P23" i="11"/>
  <c r="Q23" i="11" s="1"/>
  <c r="S23" i="11"/>
  <c r="T23" i="11" s="1"/>
  <c r="Y23" i="11"/>
  <c r="Z23" i="11" s="1"/>
  <c r="C24" i="11"/>
  <c r="D24" i="11" s="1"/>
  <c r="F24" i="11"/>
  <c r="G24" i="11" s="1"/>
  <c r="I24" i="11"/>
  <c r="J24" i="11" s="1"/>
  <c r="L24" i="11"/>
  <c r="M24" i="11" s="1"/>
  <c r="P24" i="11"/>
  <c r="Q24" i="11" s="1"/>
  <c r="S24" i="11"/>
  <c r="T24" i="11" s="1"/>
  <c r="Y24" i="11"/>
  <c r="Z24" i="11" s="1"/>
  <c r="C25" i="11"/>
  <c r="D25" i="11" s="1"/>
  <c r="F25" i="11"/>
  <c r="G25" i="11" s="1"/>
  <c r="I25" i="11"/>
  <c r="J25" i="11" s="1"/>
  <c r="L25" i="11"/>
  <c r="M25" i="11" s="1"/>
  <c r="P25" i="11"/>
  <c r="Q25" i="11" s="1"/>
  <c r="S25" i="11"/>
  <c r="T25" i="11" s="1"/>
  <c r="Y25" i="11"/>
  <c r="Z25" i="11" s="1"/>
  <c r="C26" i="11"/>
  <c r="D26" i="11" s="1"/>
  <c r="F26" i="11"/>
  <c r="G26" i="11" s="1"/>
  <c r="I26" i="11"/>
  <c r="J26" i="11" s="1"/>
  <c r="L26" i="11"/>
  <c r="M26" i="11" s="1"/>
  <c r="P26" i="11"/>
  <c r="Q26" i="11" s="1"/>
  <c r="S26" i="11"/>
  <c r="T26" i="11" s="1"/>
  <c r="Y26" i="11"/>
  <c r="Z26" i="11" s="1"/>
  <c r="F27" i="11"/>
  <c r="G27" i="11" s="1"/>
  <c r="I27" i="11"/>
  <c r="J27" i="11" s="1"/>
  <c r="L27" i="11"/>
  <c r="M27" i="11" s="1"/>
  <c r="P27" i="11"/>
  <c r="Q27" i="11" s="1"/>
  <c r="S27" i="11"/>
  <c r="T27" i="11" s="1"/>
  <c r="Y27" i="11"/>
  <c r="Z27" i="11" s="1"/>
  <c r="C28" i="11"/>
  <c r="D28" i="11" s="1"/>
  <c r="F28" i="11"/>
  <c r="G28" i="11" s="1"/>
  <c r="I28" i="11"/>
  <c r="J28" i="11" s="1"/>
  <c r="L28" i="11"/>
  <c r="M28" i="11" s="1"/>
  <c r="P28" i="11"/>
  <c r="Q28" i="11" s="1"/>
  <c r="S28" i="11"/>
  <c r="T28" i="11" s="1"/>
  <c r="Y28" i="11"/>
  <c r="Z28" i="11" s="1"/>
  <c r="C29" i="11"/>
  <c r="D29" i="11" s="1"/>
  <c r="F29" i="11"/>
  <c r="G29" i="11" s="1"/>
  <c r="I29" i="11"/>
  <c r="J29" i="11" s="1"/>
  <c r="L29" i="11"/>
  <c r="M29" i="11" s="1"/>
  <c r="P29" i="11"/>
  <c r="Q29" i="11" s="1"/>
  <c r="S29" i="11"/>
  <c r="T29" i="11" s="1"/>
  <c r="Y29" i="11"/>
  <c r="Z29" i="11" s="1"/>
  <c r="C30" i="11"/>
  <c r="D30" i="11" s="1"/>
  <c r="F30" i="11"/>
  <c r="G30" i="11" s="1"/>
  <c r="I30" i="11"/>
  <c r="J30" i="11" s="1"/>
  <c r="L30" i="11"/>
  <c r="M30" i="11" s="1"/>
  <c r="P30" i="11"/>
  <c r="Q30" i="11" s="1"/>
  <c r="S30" i="11"/>
  <c r="T30" i="11" s="1"/>
  <c r="Y30" i="11"/>
  <c r="Z30" i="11" s="1"/>
  <c r="C31" i="11"/>
  <c r="D31" i="11" s="1"/>
  <c r="F31" i="11"/>
  <c r="G31" i="11" s="1"/>
  <c r="I31" i="11"/>
  <c r="J31" i="11" s="1"/>
  <c r="L31" i="11"/>
  <c r="M31" i="11" s="1"/>
  <c r="P31" i="11"/>
  <c r="Q31" i="11" s="1"/>
  <c r="S31" i="11"/>
  <c r="T31" i="11" s="1"/>
  <c r="Y31" i="11"/>
  <c r="Z31" i="11" s="1"/>
  <c r="F32" i="11"/>
  <c r="G32" i="11" s="1"/>
  <c r="I32" i="11"/>
  <c r="J32" i="11" s="1"/>
  <c r="L32" i="11"/>
  <c r="M32" i="11" s="1"/>
  <c r="P32" i="11"/>
  <c r="Q32" i="11" s="1"/>
  <c r="S32" i="11"/>
  <c r="T32" i="11" s="1"/>
  <c r="Y32" i="11"/>
  <c r="Z32" i="11" s="1"/>
  <c r="C33" i="11"/>
  <c r="D33" i="11" s="1"/>
  <c r="F33" i="11"/>
  <c r="G33" i="11" s="1"/>
  <c r="I33" i="11"/>
  <c r="J33" i="11" s="1"/>
  <c r="L33" i="11"/>
  <c r="M33" i="11" s="1"/>
  <c r="P33" i="11"/>
  <c r="Q33" i="11" s="1"/>
  <c r="S33" i="11"/>
  <c r="T33" i="11" s="1"/>
  <c r="Y33" i="11"/>
  <c r="Z33" i="11" s="1"/>
  <c r="C34" i="11"/>
  <c r="D34" i="11" s="1"/>
  <c r="F34" i="11"/>
  <c r="G34" i="11" s="1"/>
  <c r="I34" i="11"/>
  <c r="J34" i="11" s="1"/>
  <c r="L34" i="11"/>
  <c r="M34" i="11" s="1"/>
  <c r="P34" i="11"/>
  <c r="Q34" i="11" s="1"/>
  <c r="S34" i="11"/>
  <c r="T34" i="11" s="1"/>
  <c r="V34" i="11"/>
  <c r="W34" i="11" s="1"/>
  <c r="Y34" i="11"/>
  <c r="Z34" i="11" s="1"/>
  <c r="C35" i="11"/>
  <c r="D35" i="11" s="1"/>
  <c r="F35" i="11"/>
  <c r="G35" i="11" s="1"/>
  <c r="I35" i="11"/>
  <c r="J35" i="11" s="1"/>
  <c r="L35" i="11"/>
  <c r="M35" i="11" s="1"/>
  <c r="P35" i="11"/>
  <c r="Q35" i="11" s="1"/>
  <c r="S35" i="11"/>
  <c r="T35" i="11" s="1"/>
  <c r="Y35" i="11"/>
  <c r="Z35" i="11" s="1"/>
  <c r="Y5" i="11"/>
  <c r="Z5" i="11" s="1"/>
  <c r="S5" i="11"/>
  <c r="T5" i="11" s="1"/>
  <c r="P5" i="11"/>
  <c r="L5" i="11"/>
  <c r="I5" i="11"/>
  <c r="J5" i="11" s="1"/>
  <c r="F5" i="11"/>
  <c r="C5" i="11"/>
  <c r="Y6" i="16"/>
  <c r="Z6" i="16" s="1"/>
  <c r="Y7" i="16"/>
  <c r="Z7" i="16" s="1"/>
  <c r="Y8" i="16"/>
  <c r="Z8" i="16" s="1"/>
  <c r="Y9" i="16"/>
  <c r="Z9" i="16" s="1"/>
  <c r="Y10" i="16"/>
  <c r="Z10" i="16" s="1"/>
  <c r="Y11" i="16"/>
  <c r="Z11" i="16" s="1"/>
  <c r="Y12" i="16"/>
  <c r="Z12" i="16" s="1"/>
  <c r="Y13" i="16"/>
  <c r="Z13" i="16" s="1"/>
  <c r="Y14" i="16"/>
  <c r="Z14" i="16" s="1"/>
  <c r="Y15" i="16"/>
  <c r="Z15" i="16" s="1"/>
  <c r="Y16" i="16"/>
  <c r="Z16" i="16" s="1"/>
  <c r="Y17" i="16"/>
  <c r="Z17" i="16" s="1"/>
  <c r="Y18" i="16"/>
  <c r="Z18" i="16" s="1"/>
  <c r="Y19" i="16"/>
  <c r="Z19" i="16" s="1"/>
  <c r="Y20" i="16"/>
  <c r="Z20" i="16" s="1"/>
  <c r="Y21" i="16"/>
  <c r="Z21" i="16" s="1"/>
  <c r="Y22" i="16"/>
  <c r="Z22" i="16" s="1"/>
  <c r="Y23" i="16"/>
  <c r="Z23" i="16" s="1"/>
  <c r="Y24" i="16"/>
  <c r="Z24" i="16" s="1"/>
  <c r="Y25" i="16"/>
  <c r="Z25" i="16" s="1"/>
  <c r="Y26" i="16"/>
  <c r="Z26" i="16" s="1"/>
  <c r="Y27" i="16"/>
  <c r="Z27" i="16" s="1"/>
  <c r="Y28" i="16"/>
  <c r="Z28" i="16" s="1"/>
  <c r="Y29" i="16"/>
  <c r="Z29" i="16" s="1"/>
  <c r="Y30" i="16"/>
  <c r="Z30" i="16" s="1"/>
  <c r="Y31" i="16"/>
  <c r="Z31" i="16" s="1"/>
  <c r="Y32" i="16"/>
  <c r="Z32" i="16" s="1"/>
  <c r="Y33" i="16"/>
  <c r="Z33" i="16" s="1"/>
  <c r="Y34" i="16"/>
  <c r="Z34" i="16" s="1"/>
  <c r="Y35" i="16"/>
  <c r="Z35" i="16" s="1"/>
  <c r="Y5" i="16"/>
  <c r="Z5" i="16" s="1"/>
  <c r="F6" i="16"/>
  <c r="G6" i="16" s="1"/>
  <c r="P6" i="16"/>
  <c r="Q6" i="16" s="1"/>
  <c r="S6" i="16"/>
  <c r="T6" i="16" s="1"/>
  <c r="C7" i="16"/>
  <c r="D7" i="16" s="1"/>
  <c r="F7" i="16"/>
  <c r="G7" i="16" s="1"/>
  <c r="P7" i="16"/>
  <c r="Q7" i="16" s="1"/>
  <c r="S7" i="16"/>
  <c r="T7" i="16" s="1"/>
  <c r="C8" i="16"/>
  <c r="F8" i="16"/>
  <c r="G8" i="16" s="1"/>
  <c r="L8" i="16"/>
  <c r="M8" i="16" s="1"/>
  <c r="P8" i="16"/>
  <c r="Q8" i="16" s="1"/>
  <c r="S8" i="16"/>
  <c r="T8" i="16" s="1"/>
  <c r="C9" i="16"/>
  <c r="D9" i="16" s="1"/>
  <c r="F9" i="16"/>
  <c r="G9" i="16" s="1"/>
  <c r="P9" i="16"/>
  <c r="Q9" i="16" s="1"/>
  <c r="S9" i="16"/>
  <c r="T9" i="16" s="1"/>
  <c r="C10" i="16"/>
  <c r="D10" i="16" s="1"/>
  <c r="F10" i="16"/>
  <c r="G10" i="16" s="1"/>
  <c r="P10" i="16"/>
  <c r="Q10" i="16" s="1"/>
  <c r="S10" i="16"/>
  <c r="T10" i="16" s="1"/>
  <c r="C11" i="16"/>
  <c r="D11" i="16" s="1"/>
  <c r="F11" i="16"/>
  <c r="G11" i="16" s="1"/>
  <c r="P11" i="16"/>
  <c r="S11" i="16"/>
  <c r="T11" i="16" s="1"/>
  <c r="V11" i="16"/>
  <c r="W11" i="16" s="1"/>
  <c r="C12" i="16"/>
  <c r="D12" i="16" s="1"/>
  <c r="F12" i="16"/>
  <c r="G12" i="16" s="1"/>
  <c r="P12" i="16"/>
  <c r="S12" i="16"/>
  <c r="T12" i="16" s="1"/>
  <c r="C13" i="16"/>
  <c r="D13" i="16" s="1"/>
  <c r="F13" i="16"/>
  <c r="G13" i="16" s="1"/>
  <c r="P13" i="16"/>
  <c r="Q13" i="16" s="1"/>
  <c r="S13" i="16"/>
  <c r="T13" i="16" s="1"/>
  <c r="C14" i="16"/>
  <c r="F14" i="16"/>
  <c r="G14" i="16" s="1"/>
  <c r="P14" i="16"/>
  <c r="Q14" i="16" s="1"/>
  <c r="S14" i="16"/>
  <c r="T14" i="16" s="1"/>
  <c r="C15" i="16"/>
  <c r="F15" i="16"/>
  <c r="G15" i="16" s="1"/>
  <c r="I15" i="16"/>
  <c r="J15" i="16" s="1"/>
  <c r="P15" i="16"/>
  <c r="Q15" i="16" s="1"/>
  <c r="S15" i="16"/>
  <c r="T15" i="16" s="1"/>
  <c r="C16" i="16"/>
  <c r="D16" i="16" s="1"/>
  <c r="F16" i="16"/>
  <c r="G16" i="16" s="1"/>
  <c r="S16" i="16"/>
  <c r="T16" i="16" s="1"/>
  <c r="F17" i="16"/>
  <c r="G17" i="16" s="1"/>
  <c r="P17" i="16"/>
  <c r="Q17" i="16" s="1"/>
  <c r="S17" i="16"/>
  <c r="T17" i="16" s="1"/>
  <c r="C18" i="16"/>
  <c r="D18" i="16" s="1"/>
  <c r="F18" i="16"/>
  <c r="G18" i="16" s="1"/>
  <c r="P18" i="16"/>
  <c r="Q18" i="16" s="1"/>
  <c r="S18" i="16"/>
  <c r="T18" i="16" s="1"/>
  <c r="C19" i="16"/>
  <c r="D19" i="16" s="1"/>
  <c r="F19" i="16"/>
  <c r="G19" i="16" s="1"/>
  <c r="P19" i="16"/>
  <c r="S19" i="16"/>
  <c r="T19" i="16" s="1"/>
  <c r="C20" i="16"/>
  <c r="D20" i="16" s="1"/>
  <c r="F20" i="16"/>
  <c r="G20" i="16" s="1"/>
  <c r="P20" i="16"/>
  <c r="Q20" i="16" s="1"/>
  <c r="S20" i="16"/>
  <c r="T20" i="16" s="1"/>
  <c r="C21" i="16"/>
  <c r="D21" i="16" s="1"/>
  <c r="F21" i="16"/>
  <c r="G21" i="16" s="1"/>
  <c r="P21" i="16"/>
  <c r="S21" i="16"/>
  <c r="T21" i="16" s="1"/>
  <c r="C22" i="16"/>
  <c r="D22" i="16" s="1"/>
  <c r="F22" i="16"/>
  <c r="G22" i="16" s="1"/>
  <c r="S22" i="16"/>
  <c r="T22" i="16" s="1"/>
  <c r="C23" i="16"/>
  <c r="D23" i="16" s="1"/>
  <c r="F23" i="16"/>
  <c r="G23" i="16" s="1"/>
  <c r="P23" i="16"/>
  <c r="Q23" i="16" s="1"/>
  <c r="S23" i="16"/>
  <c r="T23" i="16" s="1"/>
  <c r="C24" i="16"/>
  <c r="F24" i="16"/>
  <c r="G24" i="16" s="1"/>
  <c r="L24" i="16"/>
  <c r="M24" i="16" s="1"/>
  <c r="P24" i="16"/>
  <c r="Q24" i="16" s="1"/>
  <c r="S24" i="16"/>
  <c r="T24" i="16" s="1"/>
  <c r="C25" i="16"/>
  <c r="F25" i="16"/>
  <c r="G25" i="16" s="1"/>
  <c r="P25" i="16"/>
  <c r="S25" i="16"/>
  <c r="T25" i="16" s="1"/>
  <c r="C26" i="16"/>
  <c r="F26" i="16"/>
  <c r="G26" i="16" s="1"/>
  <c r="P26" i="16"/>
  <c r="Q26" i="16" s="1"/>
  <c r="S26" i="16"/>
  <c r="T26" i="16" s="1"/>
  <c r="F27" i="16"/>
  <c r="G27" i="16" s="1"/>
  <c r="P27" i="16"/>
  <c r="Q27" i="16" s="1"/>
  <c r="S27" i="16"/>
  <c r="T27" i="16" s="1"/>
  <c r="V27" i="16"/>
  <c r="W27" i="16" s="1"/>
  <c r="C28" i="16"/>
  <c r="D28" i="16" s="1"/>
  <c r="F28" i="16"/>
  <c r="G28" i="16" s="1"/>
  <c r="S28" i="16"/>
  <c r="T28" i="16" s="1"/>
  <c r="C29" i="16"/>
  <c r="D29" i="16" s="1"/>
  <c r="F29" i="16"/>
  <c r="G29" i="16" s="1"/>
  <c r="P29" i="16"/>
  <c r="Q29" i="16" s="1"/>
  <c r="S29" i="16"/>
  <c r="T29" i="16" s="1"/>
  <c r="C30" i="16"/>
  <c r="F30" i="16"/>
  <c r="G30" i="16" s="1"/>
  <c r="P30" i="16"/>
  <c r="Q30" i="16" s="1"/>
  <c r="S30" i="16"/>
  <c r="T30" i="16" s="1"/>
  <c r="F31" i="16"/>
  <c r="G31" i="16" s="1"/>
  <c r="I31" i="16"/>
  <c r="J31" i="16" s="1"/>
  <c r="P31" i="16"/>
  <c r="Q31" i="16" s="1"/>
  <c r="S31" i="16"/>
  <c r="T31" i="16" s="1"/>
  <c r="C32" i="16"/>
  <c r="D32" i="16" s="1"/>
  <c r="F32" i="16"/>
  <c r="G32" i="16" s="1"/>
  <c r="P32" i="16"/>
  <c r="S32" i="16"/>
  <c r="T32" i="16" s="1"/>
  <c r="C33" i="16"/>
  <c r="D33" i="16" s="1"/>
  <c r="F33" i="16"/>
  <c r="G33" i="16" s="1"/>
  <c r="S33" i="16"/>
  <c r="T33" i="16" s="1"/>
  <c r="F34" i="16"/>
  <c r="G34" i="16" s="1"/>
  <c r="P34" i="16"/>
  <c r="Q34" i="16" s="1"/>
  <c r="S34" i="16"/>
  <c r="T34" i="16" s="1"/>
  <c r="C35" i="16"/>
  <c r="D35" i="16" s="1"/>
  <c r="F35" i="16"/>
  <c r="G35" i="16" s="1"/>
  <c r="P35" i="16"/>
  <c r="Q35" i="16" s="1"/>
  <c r="S35" i="16"/>
  <c r="T35" i="16" s="1"/>
  <c r="S5" i="16"/>
  <c r="T5" i="16" s="1"/>
  <c r="F5" i="16"/>
  <c r="G5" i="16" s="1"/>
  <c r="C5" i="16"/>
  <c r="D5" i="16" s="1"/>
  <c r="L5" i="16"/>
  <c r="M5" i="16" s="1"/>
  <c r="P33" i="4"/>
  <c r="Q33" i="4" s="1"/>
  <c r="S33" i="4"/>
  <c r="T33" i="4" s="1"/>
  <c r="V33" i="4"/>
  <c r="W33" i="4" s="1"/>
  <c r="Y33" i="4"/>
  <c r="Z33" i="4" s="1"/>
  <c r="C33" i="4"/>
  <c r="D33" i="4" s="1"/>
  <c r="F33" i="4"/>
  <c r="G33" i="4" s="1"/>
  <c r="I33" i="4"/>
  <c r="J33" i="4" s="1"/>
  <c r="L33" i="4"/>
  <c r="M33" i="4" s="1"/>
  <c r="AB33" i="4"/>
  <c r="AC6" i="16"/>
  <c r="AD6" i="16" s="1"/>
  <c r="AC7" i="16"/>
  <c r="AD7" i="16" s="1"/>
  <c r="AC8" i="16"/>
  <c r="AD8" i="16" s="1"/>
  <c r="AC9" i="16"/>
  <c r="AD9" i="16" s="1"/>
  <c r="AC10" i="16"/>
  <c r="AD10" i="16" s="1"/>
  <c r="AC11" i="16"/>
  <c r="AD11" i="16" s="1"/>
  <c r="AC12" i="16"/>
  <c r="AD12" i="16" s="1"/>
  <c r="AC13" i="16"/>
  <c r="AD13" i="16" s="1"/>
  <c r="AC14" i="16"/>
  <c r="AD14" i="16" s="1"/>
  <c r="AC15" i="16"/>
  <c r="AD15" i="16" s="1"/>
  <c r="AC16" i="16"/>
  <c r="AD16" i="16" s="1"/>
  <c r="AC17" i="16"/>
  <c r="AD17" i="16" s="1"/>
  <c r="AC18" i="16"/>
  <c r="AD18" i="16" s="1"/>
  <c r="AB35" i="7"/>
  <c r="AB34" i="4"/>
  <c r="AB35" i="14"/>
  <c r="AB17" i="11"/>
  <c r="AF18" i="16"/>
  <c r="AB20" i="11"/>
  <c r="AB8" i="11"/>
  <c r="AB22" i="11"/>
  <c r="AB5" i="11"/>
  <c r="AF19" i="16"/>
  <c r="AB12" i="11"/>
  <c r="AB33" i="11"/>
  <c r="AB34" i="11"/>
  <c r="AB23" i="11"/>
  <c r="AB6" i="11"/>
  <c r="AB14" i="11"/>
  <c r="AB24" i="11"/>
  <c r="AF20" i="16"/>
  <c r="AB9" i="11"/>
  <c r="AF23" i="16"/>
  <c r="AF5" i="16"/>
  <c r="AB26" i="11"/>
  <c r="AB21" i="11"/>
  <c r="AB18" i="11"/>
  <c r="AB31" i="11"/>
  <c r="AB19" i="11"/>
  <c r="AF10" i="16"/>
  <c r="AF21" i="16"/>
  <c r="AB29" i="11"/>
  <c r="AF9" i="16"/>
  <c r="AF32" i="16"/>
  <c r="AF13" i="16"/>
  <c r="AF8" i="16"/>
  <c r="AB35" i="11"/>
  <c r="AB25" i="11"/>
  <c r="AF35" i="16"/>
  <c r="AF7" i="16"/>
  <c r="AF15" i="16"/>
  <c r="P5" i="16"/>
  <c r="AB16" i="11"/>
  <c r="AB30" i="11"/>
  <c r="AB15" i="11"/>
  <c r="AB7" i="11"/>
  <c r="AF11" i="16"/>
  <c r="AB13" i="11"/>
  <c r="AF12" i="16"/>
  <c r="AB28" i="11"/>
  <c r="AF30" i="16"/>
  <c r="P33" i="16"/>
  <c r="AF33" i="16"/>
  <c r="C27" i="16"/>
  <c r="C20" i="12"/>
  <c r="P10" i="12"/>
  <c r="Q10" i="12" s="1"/>
  <c r="P28" i="16"/>
  <c r="AF28" i="16"/>
  <c r="AD35" i="12"/>
  <c r="AE9" i="12"/>
  <c r="AF9" i="12" s="1"/>
  <c r="AF14" i="16"/>
  <c r="P16" i="16"/>
  <c r="Q16" i="16" s="1"/>
  <c r="AF16" i="16"/>
  <c r="C31" i="16"/>
  <c r="D31" i="16" s="1"/>
  <c r="AF31" i="16"/>
  <c r="E35" i="12"/>
  <c r="AF29" i="16"/>
  <c r="C34" i="16"/>
  <c r="D34" i="16" s="1"/>
  <c r="AF34" i="16"/>
  <c r="P22" i="16"/>
  <c r="Q22" i="16" s="1"/>
  <c r="AF22" i="16"/>
  <c r="C17" i="16"/>
  <c r="AF17" i="16"/>
  <c r="C6" i="16"/>
  <c r="D6" i="16" s="1"/>
  <c r="AF6" i="16"/>
  <c r="C32" i="11"/>
  <c r="D32" i="11" s="1"/>
  <c r="AB32" i="11"/>
  <c r="C27" i="11"/>
  <c r="D27" i="11" s="1"/>
  <c r="AB27" i="11"/>
  <c r="P11" i="11"/>
  <c r="Q11" i="11" s="1"/>
  <c r="AB11" i="11"/>
  <c r="H35" i="12"/>
  <c r="AB10" i="11"/>
  <c r="O35" i="12"/>
  <c r="B35" i="12"/>
  <c r="K35" i="12"/>
  <c r="AP5" i="12" l="1"/>
  <c r="AP32" i="12"/>
  <c r="AP28" i="12"/>
  <c r="AP27" i="12"/>
  <c r="AP23" i="12"/>
  <c r="AP19" i="12"/>
  <c r="AP14" i="12"/>
  <c r="AP7" i="12"/>
  <c r="AP33" i="12"/>
  <c r="AP29" i="12"/>
  <c r="AP24" i="12"/>
  <c r="AP16" i="12"/>
  <c r="AP15" i="12"/>
  <c r="AP11" i="12"/>
  <c r="AP8" i="12"/>
  <c r="AP34" i="12"/>
  <c r="AP30" i="12"/>
  <c r="AP25" i="12"/>
  <c r="AP21" i="12"/>
  <c r="AP17" i="12"/>
  <c r="AP12" i="12"/>
  <c r="AP9" i="12"/>
  <c r="AP26" i="12"/>
  <c r="AP22" i="12"/>
  <c r="AP18" i="12"/>
  <c r="AP13" i="12"/>
  <c r="AP10" i="12"/>
  <c r="AP6" i="12"/>
  <c r="D20" i="12"/>
  <c r="AO20" i="12"/>
  <c r="G19" i="9"/>
  <c r="G42" i="9"/>
  <c r="AD10" i="9"/>
  <c r="AD9" i="9"/>
  <c r="AD7" i="9"/>
  <c r="AD26" i="13"/>
  <c r="AD24" i="9"/>
  <c r="AD33" i="4"/>
  <c r="AC33" i="4"/>
  <c r="AD34" i="8"/>
  <c r="AD20" i="8"/>
  <c r="AD14" i="6"/>
  <c r="AC25" i="9"/>
  <c r="AD13" i="9"/>
  <c r="AD20" i="9"/>
  <c r="AD25" i="13"/>
  <c r="AD35" i="8"/>
  <c r="AD23" i="8"/>
  <c r="AD10" i="8"/>
  <c r="AD31" i="6"/>
  <c r="AD15" i="8"/>
  <c r="AD27" i="8"/>
  <c r="AC28" i="13"/>
  <c r="AD19" i="8"/>
  <c r="AD7" i="8"/>
  <c r="AD31" i="9"/>
  <c r="AD5" i="9"/>
  <c r="AD28" i="8"/>
  <c r="AD24" i="8"/>
  <c r="AD22" i="9"/>
  <c r="AC14" i="9"/>
  <c r="AD19" i="9"/>
  <c r="AO23" i="12"/>
  <c r="AD16" i="9"/>
  <c r="C21" i="8"/>
  <c r="D21" i="8" s="1"/>
  <c r="AD21" i="8" s="1"/>
  <c r="AB32" i="9"/>
  <c r="AO25" i="12"/>
  <c r="C12" i="9"/>
  <c r="D12" i="9" s="1"/>
  <c r="AD12" i="9" s="1"/>
  <c r="AO16" i="12"/>
  <c r="AO30" i="12"/>
  <c r="AO15" i="12"/>
  <c r="AO34" i="12"/>
  <c r="AO33" i="12"/>
  <c r="AO17" i="12"/>
  <c r="AO11" i="12"/>
  <c r="AO8" i="12"/>
  <c r="AO10" i="12"/>
  <c r="F35" i="12"/>
  <c r="AO5" i="12"/>
  <c r="AO6" i="12"/>
  <c r="AO12" i="12"/>
  <c r="P35" i="12"/>
  <c r="Q35" i="12" s="1"/>
  <c r="F13" i="15" s="1"/>
  <c r="AO9" i="12"/>
  <c r="AO26" i="12"/>
  <c r="AO7" i="12"/>
  <c r="AC17" i="11"/>
  <c r="AO24" i="12"/>
  <c r="AO18" i="12"/>
  <c r="AO28" i="12"/>
  <c r="AH35" i="12"/>
  <c r="AI35" i="12" s="1"/>
  <c r="I13" i="15" s="1"/>
  <c r="AO21" i="12"/>
  <c r="AO29" i="12"/>
  <c r="AO19" i="12"/>
  <c r="AC24" i="11"/>
  <c r="AO13" i="12"/>
  <c r="AR29" i="12"/>
  <c r="AR21" i="12"/>
  <c r="AR13" i="12"/>
  <c r="I35" i="12"/>
  <c r="J35" i="12" s="1"/>
  <c r="D13" i="15" s="1"/>
  <c r="AO32" i="12"/>
  <c r="AO22" i="12"/>
  <c r="AE35" i="12"/>
  <c r="AF35" i="12" s="1"/>
  <c r="H13" i="15" s="1"/>
  <c r="L35" i="12"/>
  <c r="M35" i="12" s="1"/>
  <c r="E13" i="15" s="1"/>
  <c r="V35" i="12"/>
  <c r="W35" i="12" s="1"/>
  <c r="G13" i="15" s="1"/>
  <c r="C35" i="12"/>
  <c r="AO27" i="12"/>
  <c r="AO14" i="12"/>
  <c r="AO31" i="12"/>
  <c r="AN35" i="12"/>
  <c r="G35" i="12"/>
  <c r="C13" i="15" s="1"/>
  <c r="AR12" i="12"/>
  <c r="AR33" i="12"/>
  <c r="AR22" i="12"/>
  <c r="AR15" i="12"/>
  <c r="AR9" i="12"/>
  <c r="AR10" i="12"/>
  <c r="AR32" i="12"/>
  <c r="AR27" i="12"/>
  <c r="AR23" i="12"/>
  <c r="AR7" i="12"/>
  <c r="AR6" i="12"/>
  <c r="AR28" i="12"/>
  <c r="AR19" i="12"/>
  <c r="AR34" i="12"/>
  <c r="AR30" i="12"/>
  <c r="AR20" i="12"/>
  <c r="AR18" i="12"/>
  <c r="AR14" i="12"/>
  <c r="AR11" i="12"/>
  <c r="AR25" i="12"/>
  <c r="AR24" i="12"/>
  <c r="AR17" i="12"/>
  <c r="AR16" i="12"/>
  <c r="AR8" i="12"/>
  <c r="AR26" i="12"/>
  <c r="Q31" i="12"/>
  <c r="AP31" i="12" s="1"/>
  <c r="AR5" i="12"/>
  <c r="AC7" i="11"/>
  <c r="AC30" i="11"/>
  <c r="AD32" i="11"/>
  <c r="AC28" i="11"/>
  <c r="AG26" i="16"/>
  <c r="AC9" i="11"/>
  <c r="AC21" i="11"/>
  <c r="D27" i="16"/>
  <c r="AH27" i="16" s="1"/>
  <c r="AG27" i="16"/>
  <c r="D25" i="16"/>
  <c r="AG25" i="16"/>
  <c r="AC20" i="11"/>
  <c r="D24" i="16"/>
  <c r="AH24" i="16" s="1"/>
  <c r="AG24" i="16"/>
  <c r="AC14" i="11"/>
  <c r="L36" i="11"/>
  <c r="M36" i="11" s="1"/>
  <c r="E12" i="15" s="1"/>
  <c r="AF16" i="11"/>
  <c r="AF9" i="11"/>
  <c r="AF8" i="11"/>
  <c r="AC12" i="11"/>
  <c r="AF25" i="11"/>
  <c r="AC16" i="11"/>
  <c r="Y36" i="11"/>
  <c r="Z36" i="11" s="1"/>
  <c r="I12" i="15" s="1"/>
  <c r="AF15" i="11"/>
  <c r="D16" i="11"/>
  <c r="AD16" i="11" s="1"/>
  <c r="Z7" i="11"/>
  <c r="AF7" i="11" s="1"/>
  <c r="AC34" i="11"/>
  <c r="AC31" i="11"/>
  <c r="AC29" i="11"/>
  <c r="AC22" i="11"/>
  <c r="P36" i="11"/>
  <c r="Q36" i="11" s="1"/>
  <c r="F12" i="15" s="1"/>
  <c r="F36" i="11"/>
  <c r="G36" i="11" s="1"/>
  <c r="C12" i="15" s="1"/>
  <c r="AF23" i="11"/>
  <c r="AC32" i="11"/>
  <c r="AC11" i="11"/>
  <c r="AC35" i="11"/>
  <c r="AC26" i="11"/>
  <c r="AC18" i="11"/>
  <c r="AF24" i="11"/>
  <c r="AD10" i="11"/>
  <c r="C36" i="11"/>
  <c r="D36" i="11" s="1"/>
  <c r="B12" i="15" s="1"/>
  <c r="AF22" i="11"/>
  <c r="AF10" i="11"/>
  <c r="AF33" i="11"/>
  <c r="AF32" i="11"/>
  <c r="AF34" i="11"/>
  <c r="AF20" i="11"/>
  <c r="V36" i="11"/>
  <c r="W36" i="11" s="1"/>
  <c r="H12" i="15" s="1"/>
  <c r="AF11" i="11"/>
  <c r="AF30" i="11"/>
  <c r="AF13" i="11"/>
  <c r="AF35" i="11"/>
  <c r="AF31" i="11"/>
  <c r="AF18" i="11"/>
  <c r="AF27" i="11"/>
  <c r="AF21" i="11"/>
  <c r="AF19" i="11"/>
  <c r="AF29" i="11"/>
  <c r="AF28" i="11"/>
  <c r="AF26" i="11"/>
  <c r="AF17" i="11"/>
  <c r="AF12" i="11"/>
  <c r="AF6" i="11"/>
  <c r="S36" i="11"/>
  <c r="T36" i="11" s="1"/>
  <c r="G12" i="15" s="1"/>
  <c r="AD14" i="11"/>
  <c r="AF14" i="11"/>
  <c r="AD27" i="11"/>
  <c r="AD35" i="11"/>
  <c r="AD22" i="11"/>
  <c r="AD18" i="11"/>
  <c r="AD11" i="11"/>
  <c r="AD6" i="11"/>
  <c r="AD31" i="11"/>
  <c r="AD30" i="11"/>
  <c r="AD20" i="11"/>
  <c r="AD19" i="11"/>
  <c r="AD8" i="11"/>
  <c r="AD7" i="11"/>
  <c r="AD34" i="11"/>
  <c r="AD29" i="11"/>
  <c r="AD28" i="11"/>
  <c r="AD25" i="11"/>
  <c r="AD24" i="11"/>
  <c r="AD23" i="11"/>
  <c r="AD21" i="11"/>
  <c r="AD9" i="11"/>
  <c r="AD33" i="11"/>
  <c r="AD26" i="11"/>
  <c r="AD17" i="11"/>
  <c r="AD15" i="11"/>
  <c r="AD13" i="11"/>
  <c r="AD12" i="11"/>
  <c r="Q5" i="11"/>
  <c r="AF5" i="11" s="1"/>
  <c r="M5" i="11"/>
  <c r="I36" i="11"/>
  <c r="J36" i="11" s="1"/>
  <c r="D12" i="15" s="1"/>
  <c r="G5" i="11"/>
  <c r="AC15" i="11"/>
  <c r="AC6" i="11"/>
  <c r="AC27" i="11"/>
  <c r="AC23" i="11"/>
  <c r="AC33" i="11"/>
  <c r="AC10" i="11"/>
  <c r="AC25" i="11"/>
  <c r="AC8" i="11"/>
  <c r="AC19" i="11"/>
  <c r="AC13" i="11"/>
  <c r="AC5" i="11"/>
  <c r="D5" i="11"/>
  <c r="AB18" i="9"/>
  <c r="AG5" i="16"/>
  <c r="AC36" i="16"/>
  <c r="AD36" i="16" s="1"/>
  <c r="AB18" i="6"/>
  <c r="AC10" i="9"/>
  <c r="AG33" i="16"/>
  <c r="C10" i="14"/>
  <c r="D10" i="14" s="1"/>
  <c r="AD10" i="14" s="1"/>
  <c r="AB22" i="13"/>
  <c r="C13" i="14"/>
  <c r="D13" i="14" s="1"/>
  <c r="AD13" i="14" s="1"/>
  <c r="C34" i="6"/>
  <c r="D34" i="6" s="1"/>
  <c r="AD34" i="6" s="1"/>
  <c r="AB14" i="8"/>
  <c r="C11" i="4"/>
  <c r="D11" i="4" s="1"/>
  <c r="AD11" i="4" s="1"/>
  <c r="D25" i="9"/>
  <c r="AD25" i="9" s="1"/>
  <c r="AB25" i="9"/>
  <c r="AC10" i="8"/>
  <c r="AG28" i="16"/>
  <c r="AG17" i="16"/>
  <c r="AC14" i="6"/>
  <c r="AB18" i="8"/>
  <c r="C34" i="13"/>
  <c r="D34" i="13" s="1"/>
  <c r="AD34" i="13" s="1"/>
  <c r="C33" i="9"/>
  <c r="AC33" i="9" s="1"/>
  <c r="AH31" i="16"/>
  <c r="AC13" i="9"/>
  <c r="AB10" i="6"/>
  <c r="D18" i="1"/>
  <c r="C15" i="4"/>
  <c r="D15" i="4" s="1"/>
  <c r="C29" i="9"/>
  <c r="AC29" i="9" s="1"/>
  <c r="AB17" i="9"/>
  <c r="C21" i="14"/>
  <c r="D21" i="14" s="1"/>
  <c r="AD21" i="14" s="1"/>
  <c r="AC9" i="9"/>
  <c r="AB9" i="9"/>
  <c r="AB21" i="9"/>
  <c r="AB6" i="8"/>
  <c r="AB14" i="6"/>
  <c r="AB6" i="13"/>
  <c r="C16" i="7"/>
  <c r="D16" i="7" s="1"/>
  <c r="AD16" i="7" s="1"/>
  <c r="C30" i="8"/>
  <c r="D30" i="8" s="1"/>
  <c r="AD30" i="8" s="1"/>
  <c r="AB13" i="9"/>
  <c r="AG32" i="16"/>
  <c r="AG14" i="16"/>
  <c r="Q28" i="16"/>
  <c r="AH28" i="16" s="1"/>
  <c r="Y36" i="16"/>
  <c r="Z36" i="16" s="1"/>
  <c r="I11" i="15" s="1"/>
  <c r="Q32" i="16"/>
  <c r="AH32" i="16" s="1"/>
  <c r="AB22" i="9"/>
  <c r="AB15" i="13"/>
  <c r="C22" i="14"/>
  <c r="D22" i="14" s="1"/>
  <c r="AD22" i="14" s="1"/>
  <c r="D27" i="1"/>
  <c r="AD27" i="1" s="1"/>
  <c r="C7" i="6"/>
  <c r="AC7" i="6" s="1"/>
  <c r="I36" i="16"/>
  <c r="J36" i="16" s="1"/>
  <c r="D11" i="15" s="1"/>
  <c r="S36" i="16"/>
  <c r="T36" i="16" s="1"/>
  <c r="G11" i="15" s="1"/>
  <c r="AG35" i="16"/>
  <c r="AG20" i="16"/>
  <c r="AB27" i="13"/>
  <c r="AG31" i="16"/>
  <c r="AB15" i="8"/>
  <c r="C7" i="13"/>
  <c r="D7" i="13" s="1"/>
  <c r="AD7" i="13" s="1"/>
  <c r="C31" i="13"/>
  <c r="D31" i="13" s="1"/>
  <c r="AD31" i="13" s="1"/>
  <c r="AG21" i="16"/>
  <c r="AG19" i="16"/>
  <c r="AG16" i="16"/>
  <c r="AG10" i="16"/>
  <c r="F36" i="16"/>
  <c r="G36" i="16" s="1"/>
  <c r="L36" i="16"/>
  <c r="M36" i="16" s="1"/>
  <c r="E11" i="15" s="1"/>
  <c r="AG9" i="16"/>
  <c r="AG13" i="16"/>
  <c r="C36" i="16"/>
  <c r="D36" i="16" s="1"/>
  <c r="B11" i="15" s="1"/>
  <c r="AG29" i="16"/>
  <c r="AG12" i="16"/>
  <c r="AH22" i="16"/>
  <c r="AG34" i="16"/>
  <c r="AG18" i="16"/>
  <c r="AG22" i="16"/>
  <c r="AG11" i="16"/>
  <c r="V36" i="16"/>
  <c r="W36" i="16" s="1"/>
  <c r="H11" i="15" s="1"/>
  <c r="AH35" i="16"/>
  <c r="P36" i="16"/>
  <c r="Q36" i="16" s="1"/>
  <c r="F11" i="15" s="1"/>
  <c r="Q12" i="16"/>
  <c r="AH12" i="16" s="1"/>
  <c r="Q33" i="16"/>
  <c r="AH33" i="16" s="1"/>
  <c r="AG30" i="16"/>
  <c r="Q25" i="16"/>
  <c r="AH23" i="16"/>
  <c r="Q21" i="16"/>
  <c r="AH21" i="16" s="1"/>
  <c r="Q19" i="16"/>
  <c r="AH19" i="16" s="1"/>
  <c r="Q11" i="16"/>
  <c r="AH11" i="16" s="1"/>
  <c r="AH6" i="16"/>
  <c r="AH34" i="16"/>
  <c r="AH18" i="16"/>
  <c r="AH20" i="16"/>
  <c r="AH9" i="16"/>
  <c r="AG8" i="16"/>
  <c r="AH29" i="16"/>
  <c r="AH16" i="16"/>
  <c r="AG15" i="16"/>
  <c r="AH13" i="16"/>
  <c r="AH10" i="16"/>
  <c r="AH7" i="16"/>
  <c r="Q5" i="16"/>
  <c r="AH5" i="16" s="1"/>
  <c r="AG7" i="16"/>
  <c r="D17" i="16"/>
  <c r="AH17" i="16" s="1"/>
  <c r="AG23" i="16"/>
  <c r="D30" i="16"/>
  <c r="AH30" i="16" s="1"/>
  <c r="D26" i="16"/>
  <c r="AH26" i="16" s="1"/>
  <c r="D15" i="16"/>
  <c r="AH15" i="16" s="1"/>
  <c r="D14" i="16"/>
  <c r="AH14" i="16" s="1"/>
  <c r="D8" i="16"/>
  <c r="AH8" i="16" s="1"/>
  <c r="AG6" i="16"/>
  <c r="AC19" i="8"/>
  <c r="AB23" i="6"/>
  <c r="C19" i="13"/>
  <c r="AC19" i="13" s="1"/>
  <c r="C26" i="14"/>
  <c r="D26" i="14" s="1"/>
  <c r="AD26" i="14" s="1"/>
  <c r="C30" i="9"/>
  <c r="D30" i="9" s="1"/>
  <c r="AD30" i="9" s="1"/>
  <c r="AB6" i="9"/>
  <c r="D14" i="9"/>
  <c r="AD14" i="9" s="1"/>
  <c r="AB31" i="8"/>
  <c r="AB31" i="6"/>
  <c r="Y35" i="9"/>
  <c r="Z35" i="9" s="1"/>
  <c r="I10" i="15" s="1"/>
  <c r="S35" i="9"/>
  <c r="T35" i="9" s="1"/>
  <c r="G10" i="15" s="1"/>
  <c r="C8" i="7"/>
  <c r="D8" i="7" s="1"/>
  <c r="AD8" i="7" s="1"/>
  <c r="AB20" i="9"/>
  <c r="D33" i="1"/>
  <c r="AD33" i="1" s="1"/>
  <c r="C28" i="7"/>
  <c r="D28" i="7" s="1"/>
  <c r="AD28" i="7" s="1"/>
  <c r="C20" i="7"/>
  <c r="D20" i="7" s="1"/>
  <c r="AD20" i="7" s="1"/>
  <c r="C33" i="8"/>
  <c r="D33" i="8" s="1"/>
  <c r="AD33" i="8" s="1"/>
  <c r="L35" i="9"/>
  <c r="M35" i="9" s="1"/>
  <c r="E10" i="15" s="1"/>
  <c r="AB29" i="8"/>
  <c r="AC29" i="1"/>
  <c r="AB9" i="1"/>
  <c r="AD12" i="7"/>
  <c r="AB9" i="8"/>
  <c r="AB17" i="8"/>
  <c r="AB21" i="6"/>
  <c r="AB33" i="6"/>
  <c r="D17" i="1"/>
  <c r="D13" i="1"/>
  <c r="AD13" i="1" s="1"/>
  <c r="C9" i="6"/>
  <c r="D9" i="6" s="1"/>
  <c r="AD9" i="6" s="1"/>
  <c r="AB12" i="7"/>
  <c r="C25" i="8"/>
  <c r="D25" i="8" s="1"/>
  <c r="AD25" i="8" s="1"/>
  <c r="AB8" i="9"/>
  <c r="AB24" i="9"/>
  <c r="AC22" i="4"/>
  <c r="AB13" i="8"/>
  <c r="C6" i="4"/>
  <c r="D6" i="4" s="1"/>
  <c r="AD6" i="4" s="1"/>
  <c r="C17" i="6"/>
  <c r="D17" i="6" s="1"/>
  <c r="AD17" i="6" s="1"/>
  <c r="AB22" i="4"/>
  <c r="AB24" i="7"/>
  <c r="AB28" i="9"/>
  <c r="AB16" i="9"/>
  <c r="AB29" i="6"/>
  <c r="AC25" i="1"/>
  <c r="C10" i="4"/>
  <c r="D10" i="4" s="1"/>
  <c r="AD10" i="4" s="1"/>
  <c r="C32" i="7"/>
  <c r="D32" i="7" s="1"/>
  <c r="AD32" i="7" s="1"/>
  <c r="C23" i="14"/>
  <c r="D23" i="14" s="1"/>
  <c r="AD23" i="14" s="1"/>
  <c r="AF30" i="6"/>
  <c r="D29" i="8"/>
  <c r="AD29" i="8" s="1"/>
  <c r="AC29" i="8"/>
  <c r="Q9" i="8"/>
  <c r="AD9" i="8" s="1"/>
  <c r="AC9" i="8"/>
  <c r="C27" i="14"/>
  <c r="D27" i="14" s="1"/>
  <c r="AD27" i="14" s="1"/>
  <c r="AB27" i="14"/>
  <c r="AB28" i="13"/>
  <c r="C11" i="14"/>
  <c r="D11" i="14" s="1"/>
  <c r="AD11" i="14" s="1"/>
  <c r="AB26" i="4"/>
  <c r="AB14" i="4"/>
  <c r="AB25" i="6"/>
  <c r="AB21" i="13"/>
  <c r="D21" i="1"/>
  <c r="AD21" i="1" s="1"/>
  <c r="AC24" i="9"/>
  <c r="C12" i="13"/>
  <c r="D12" i="13" s="1"/>
  <c r="AD12" i="13" s="1"/>
  <c r="C32" i="13"/>
  <c r="D32" i="13" s="1"/>
  <c r="AD32" i="13" s="1"/>
  <c r="C30" i="4"/>
  <c r="D30" i="4" s="1"/>
  <c r="AD30" i="4" s="1"/>
  <c r="AB30" i="4"/>
  <c r="AB18" i="4"/>
  <c r="C18" i="4"/>
  <c r="AD14" i="4"/>
  <c r="AB13" i="6"/>
  <c r="C13" i="6"/>
  <c r="D13" i="6" s="1"/>
  <c r="AD13" i="6" s="1"/>
  <c r="D16" i="13"/>
  <c r="AD16" i="13" s="1"/>
  <c r="AC16" i="13"/>
  <c r="D15" i="14"/>
  <c r="AD15" i="14" s="1"/>
  <c r="AC15" i="14"/>
  <c r="D20" i="13"/>
  <c r="AD20" i="13" s="1"/>
  <c r="AC20" i="13"/>
  <c r="D24" i="13"/>
  <c r="AD24" i="13" s="1"/>
  <c r="AC24" i="13"/>
  <c r="AC16" i="9"/>
  <c r="AC14" i="4"/>
  <c r="AB5" i="13"/>
  <c r="AB8" i="13"/>
  <c r="AB20" i="13"/>
  <c r="AB24" i="13"/>
  <c r="C31" i="14"/>
  <c r="D31" i="14" s="1"/>
  <c r="AD31" i="14" s="1"/>
  <c r="C19" i="14"/>
  <c r="D19" i="14" s="1"/>
  <c r="AD19" i="14" s="1"/>
  <c r="C5" i="14"/>
  <c r="D5" i="14" s="1"/>
  <c r="AD5" i="14" s="1"/>
  <c r="AB15" i="14"/>
  <c r="AB16" i="13"/>
  <c r="AF20" i="6"/>
  <c r="AR12" i="5"/>
  <c r="AC28" i="9"/>
  <c r="AD28" i="9"/>
  <c r="C7" i="14"/>
  <c r="D7" i="14" s="1"/>
  <c r="AD7" i="14" s="1"/>
  <c r="D27" i="4"/>
  <c r="AD27" i="4" s="1"/>
  <c r="AC27" i="4"/>
  <c r="AC32" i="9"/>
  <c r="AB33" i="14"/>
  <c r="C33" i="14"/>
  <c r="D33" i="14" s="1"/>
  <c r="AD33" i="14" s="1"/>
  <c r="AB34" i="1"/>
  <c r="D34" i="1"/>
  <c r="C26" i="6"/>
  <c r="D26" i="6" s="1"/>
  <c r="AD26" i="6" s="1"/>
  <c r="AB26" i="6"/>
  <c r="C21" i="7"/>
  <c r="AB21" i="7"/>
  <c r="AB9" i="7"/>
  <c r="C9" i="7"/>
  <c r="AC9" i="7" s="1"/>
  <c r="AC29" i="6"/>
  <c r="AB10" i="8"/>
  <c r="AB26" i="8"/>
  <c r="AB34" i="8"/>
  <c r="C10" i="13"/>
  <c r="D10" i="13" s="1"/>
  <c r="AD10" i="13" s="1"/>
  <c r="C18" i="13"/>
  <c r="D18" i="13" s="1"/>
  <c r="AB26" i="13"/>
  <c r="C30" i="13"/>
  <c r="D30" i="13" s="1"/>
  <c r="AC30" i="1"/>
  <c r="D26" i="1"/>
  <c r="AD26" i="1" s="1"/>
  <c r="AB27" i="4"/>
  <c r="AC9" i="1"/>
  <c r="D9" i="1"/>
  <c r="AD9" i="1" s="1"/>
  <c r="AB29" i="14"/>
  <c r="C29" i="14"/>
  <c r="D29" i="14" s="1"/>
  <c r="AD29" i="14" s="1"/>
  <c r="AB10" i="1"/>
  <c r="D10" i="1"/>
  <c r="AD10" i="1" s="1"/>
  <c r="AB31" i="4"/>
  <c r="C31" i="4"/>
  <c r="AC31" i="4" s="1"/>
  <c r="AB19" i="4"/>
  <c r="C19" i="4"/>
  <c r="D19" i="4" s="1"/>
  <c r="AB7" i="4"/>
  <c r="C7" i="4"/>
  <c r="D7" i="4" s="1"/>
  <c r="AD7" i="4" s="1"/>
  <c r="C30" i="6"/>
  <c r="D30" i="6" s="1"/>
  <c r="AD30" i="6" s="1"/>
  <c r="AB30" i="6"/>
  <c r="C6" i="6"/>
  <c r="AC6" i="6" s="1"/>
  <c r="AB6" i="6"/>
  <c r="AB29" i="7"/>
  <c r="C29" i="7"/>
  <c r="AB13" i="7"/>
  <c r="C13" i="7"/>
  <c r="AC17" i="9"/>
  <c r="AB17" i="14"/>
  <c r="C17" i="14"/>
  <c r="D17" i="14" s="1"/>
  <c r="AD17" i="14" s="1"/>
  <c r="AB9" i="14"/>
  <c r="C9" i="14"/>
  <c r="D9" i="14" s="1"/>
  <c r="AD9" i="14" s="1"/>
  <c r="AB22" i="1"/>
  <c r="D22" i="1"/>
  <c r="AD22" i="1" s="1"/>
  <c r="AB14" i="1"/>
  <c r="D14" i="1"/>
  <c r="AD14" i="1" s="1"/>
  <c r="AB23" i="4"/>
  <c r="C23" i="4"/>
  <c r="AC23" i="4" s="1"/>
  <c r="C22" i="6"/>
  <c r="AB22" i="6"/>
  <c r="AB33" i="7"/>
  <c r="C33" i="7"/>
  <c r="AB25" i="7"/>
  <c r="C25" i="7"/>
  <c r="D25" i="7" s="1"/>
  <c r="AD25" i="7" s="1"/>
  <c r="C17" i="7"/>
  <c r="D17" i="7" s="1"/>
  <c r="AD17" i="7" s="1"/>
  <c r="AB17" i="7"/>
  <c r="C22" i="8"/>
  <c r="AB22" i="8"/>
  <c r="C14" i="13"/>
  <c r="C25" i="14"/>
  <c r="D25" i="14" s="1"/>
  <c r="AD25" i="14" s="1"/>
  <c r="AD26" i="4"/>
  <c r="AB6" i="1"/>
  <c r="AC26" i="4"/>
  <c r="AD17" i="8"/>
  <c r="AD13" i="8"/>
  <c r="AR34" i="5"/>
  <c r="AR30" i="5"/>
  <c r="AR26" i="5"/>
  <c r="AR22" i="5"/>
  <c r="AR18" i="5"/>
  <c r="AR10" i="5"/>
  <c r="AR25" i="5"/>
  <c r="AF26" i="6"/>
  <c r="AF14" i="6"/>
  <c r="AD26" i="9"/>
  <c r="D18" i="9"/>
  <c r="AD18" i="9" s="1"/>
  <c r="AC18" i="9"/>
  <c r="D27" i="13"/>
  <c r="AD27" i="13" s="1"/>
  <c r="AC27" i="13"/>
  <c r="D6" i="9"/>
  <c r="AD6" i="9" s="1"/>
  <c r="AC6" i="9"/>
  <c r="AB11" i="1"/>
  <c r="AB28" i="4"/>
  <c r="C28" i="4"/>
  <c r="AC28" i="4" s="1"/>
  <c r="AB12" i="4"/>
  <c r="C12" i="4"/>
  <c r="AC22" i="9"/>
  <c r="AB14" i="9"/>
  <c r="AB10" i="9"/>
  <c r="AC23" i="8"/>
  <c r="AC34" i="8"/>
  <c r="AC31" i="6"/>
  <c r="AB19" i="8"/>
  <c r="AB35" i="8"/>
  <c r="C11" i="13"/>
  <c r="C23" i="13"/>
  <c r="AC23" i="13" s="1"/>
  <c r="D28" i="13"/>
  <c r="AD28" i="13" s="1"/>
  <c r="C35" i="13"/>
  <c r="D35" i="13" s="1"/>
  <c r="AD35" i="13" s="1"/>
  <c r="C34" i="14"/>
  <c r="D34" i="14" s="1"/>
  <c r="AD34" i="14" s="1"/>
  <c r="C11" i="6"/>
  <c r="AB19" i="1"/>
  <c r="D19" i="1"/>
  <c r="AD19" i="1" s="1"/>
  <c r="AB7" i="1"/>
  <c r="AB32" i="4"/>
  <c r="C32" i="4"/>
  <c r="AB20" i="4"/>
  <c r="C20" i="4"/>
  <c r="D20" i="4" s="1"/>
  <c r="AD20" i="4" s="1"/>
  <c r="AB30" i="7"/>
  <c r="C30" i="7"/>
  <c r="D30" i="7" s="1"/>
  <c r="AD30" i="7" s="1"/>
  <c r="AB18" i="7"/>
  <c r="C18" i="7"/>
  <c r="AB10" i="7"/>
  <c r="C10" i="7"/>
  <c r="AB34" i="9"/>
  <c r="AB11" i="8"/>
  <c r="AB27" i="8"/>
  <c r="C30" i="14"/>
  <c r="D30" i="14" s="1"/>
  <c r="AD30" i="14" s="1"/>
  <c r="C14" i="14"/>
  <c r="D31" i="1"/>
  <c r="AD31" i="1" s="1"/>
  <c r="D23" i="1"/>
  <c r="C19" i="6"/>
  <c r="D19" i="6" s="1"/>
  <c r="AD19" i="6" s="1"/>
  <c r="AR6" i="5"/>
  <c r="AB15" i="1"/>
  <c r="AB24" i="4"/>
  <c r="C24" i="4"/>
  <c r="AC24" i="4" s="1"/>
  <c r="AB16" i="4"/>
  <c r="C16" i="4"/>
  <c r="D16" i="4" s="1"/>
  <c r="AD16" i="4" s="1"/>
  <c r="AB8" i="4"/>
  <c r="C8" i="4"/>
  <c r="D8" i="4" s="1"/>
  <c r="AD8" i="4" s="1"/>
  <c r="AD23" i="6"/>
  <c r="AB15" i="6"/>
  <c r="C15" i="6"/>
  <c r="AB34" i="7"/>
  <c r="C34" i="7"/>
  <c r="D34" i="7" s="1"/>
  <c r="AD34" i="7" s="1"/>
  <c r="AB26" i="7"/>
  <c r="C26" i="7"/>
  <c r="AB14" i="7"/>
  <c r="C14" i="7"/>
  <c r="D14" i="7" s="1"/>
  <c r="AD14" i="7" s="1"/>
  <c r="AD31" i="8"/>
  <c r="AB26" i="9"/>
  <c r="AC27" i="8"/>
  <c r="AC7" i="8"/>
  <c r="AB7" i="8"/>
  <c r="AB23" i="8"/>
  <c r="AB27" i="6"/>
  <c r="AB35" i="6"/>
  <c r="C18" i="14"/>
  <c r="C6" i="14"/>
  <c r="C22" i="7"/>
  <c r="C6" i="7"/>
  <c r="D6" i="7" s="1"/>
  <c r="AD6" i="7" s="1"/>
  <c r="AF18" i="6"/>
  <c r="AC10" i="6"/>
  <c r="AC12" i="7"/>
  <c r="Q17" i="9"/>
  <c r="AD17" i="9" s="1"/>
  <c r="AC8" i="9"/>
  <c r="AC23" i="6"/>
  <c r="F35" i="7"/>
  <c r="Q6" i="1"/>
  <c r="AD6" i="1" s="1"/>
  <c r="AC6" i="1"/>
  <c r="Q19" i="4"/>
  <c r="AD29" i="6"/>
  <c r="D21" i="6"/>
  <c r="AD21" i="6" s="1"/>
  <c r="AC21" i="6"/>
  <c r="Q21" i="9"/>
  <c r="AD21" i="9" s="1"/>
  <c r="AC21" i="9"/>
  <c r="AD8" i="9"/>
  <c r="F35" i="9"/>
  <c r="G35" i="9" s="1"/>
  <c r="AC27" i="6"/>
  <c r="Q10" i="6"/>
  <c r="AD10" i="6" s="1"/>
  <c r="D6" i="8"/>
  <c r="AD6" i="8" s="1"/>
  <c r="AC6" i="8"/>
  <c r="D8" i="13"/>
  <c r="AD8" i="13" s="1"/>
  <c r="AC8" i="13"/>
  <c r="Q23" i="1"/>
  <c r="AR23" i="5"/>
  <c r="D18" i="6"/>
  <c r="AD18" i="6" s="1"/>
  <c r="AC18" i="6"/>
  <c r="D35" i="6"/>
  <c r="AD35" i="6" s="1"/>
  <c r="AC35" i="6"/>
  <c r="D26" i="8"/>
  <c r="AD26" i="8" s="1"/>
  <c r="AC26" i="8"/>
  <c r="AC18" i="8"/>
  <c r="Q18" i="8"/>
  <c r="AD18" i="8" s="1"/>
  <c r="Q14" i="8"/>
  <c r="AD14" i="8" s="1"/>
  <c r="AC14" i="8"/>
  <c r="AD34" i="9"/>
  <c r="J36" i="5"/>
  <c r="D14" i="15" s="1"/>
  <c r="AF28" i="6"/>
  <c r="AF24" i="6"/>
  <c r="AF16" i="6"/>
  <c r="AF12" i="6"/>
  <c r="AF35" i="6"/>
  <c r="AF31" i="6"/>
  <c r="AF23" i="6"/>
  <c r="AF19" i="6"/>
  <c r="AF15" i="6"/>
  <c r="AF11" i="6"/>
  <c r="AF29" i="6"/>
  <c r="AF13" i="6"/>
  <c r="AR5" i="5"/>
  <c r="AR24" i="5"/>
  <c r="AR20" i="5"/>
  <c r="AR16" i="5"/>
  <c r="AR8" i="5"/>
  <c r="AR19" i="5"/>
  <c r="AR15" i="5"/>
  <c r="AR7" i="5"/>
  <c r="AR21" i="5"/>
  <c r="AR17" i="5"/>
  <c r="AR13" i="5"/>
  <c r="Z36" i="6"/>
  <c r="I7" i="15" s="1"/>
  <c r="AF6" i="6"/>
  <c r="AF34" i="6"/>
  <c r="AF27" i="6"/>
  <c r="AF9" i="6"/>
  <c r="AC34" i="9"/>
  <c r="AC26" i="13"/>
  <c r="I36" i="8"/>
  <c r="J36" i="8" s="1"/>
  <c r="D9" i="15" s="1"/>
  <c r="AC11" i="8"/>
  <c r="AC20" i="8"/>
  <c r="AC15" i="8"/>
  <c r="AC13" i="8"/>
  <c r="AB8" i="6"/>
  <c r="AD22" i="4"/>
  <c r="AB21" i="4"/>
  <c r="F34" i="4"/>
  <c r="AF33" i="6"/>
  <c r="AF17" i="6"/>
  <c r="W35" i="7"/>
  <c r="H8" i="15" s="1"/>
  <c r="V36" i="5"/>
  <c r="AB5" i="9"/>
  <c r="L35" i="14"/>
  <c r="P35" i="14"/>
  <c r="AC35" i="8"/>
  <c r="AD11" i="8"/>
  <c r="J36" i="1"/>
  <c r="D5" i="15" s="1"/>
  <c r="T34" i="4"/>
  <c r="G6" i="15" s="1"/>
  <c r="C28" i="6"/>
  <c r="D28" i="6" s="1"/>
  <c r="AD28" i="6" s="1"/>
  <c r="AB28" i="6"/>
  <c r="AF32" i="6"/>
  <c r="AC26" i="9"/>
  <c r="AC31" i="8"/>
  <c r="AC17" i="8"/>
  <c r="Y36" i="8"/>
  <c r="Z36" i="8" s="1"/>
  <c r="I9" i="15" s="1"/>
  <c r="G5" i="4"/>
  <c r="G34" i="4" s="1"/>
  <c r="C6" i="15" s="1"/>
  <c r="I34" i="4"/>
  <c r="Q18" i="1"/>
  <c r="M36" i="5"/>
  <c r="E14" i="15" s="1"/>
  <c r="AR32" i="5"/>
  <c r="AR28" i="5"/>
  <c r="AR33" i="5"/>
  <c r="AR29" i="5"/>
  <c r="Q35" i="14"/>
  <c r="AD13" i="13"/>
  <c r="AD27" i="6"/>
  <c r="AF22" i="6"/>
  <c r="T36" i="13"/>
  <c r="W7" i="13"/>
  <c r="W36" i="13" s="1"/>
  <c r="V36" i="13"/>
  <c r="W36" i="1"/>
  <c r="H5" i="15" s="1"/>
  <c r="M34" i="4"/>
  <c r="E6" i="15" s="1"/>
  <c r="T36" i="6"/>
  <c r="G7" i="15" s="1"/>
  <c r="AC15" i="9"/>
  <c r="D15" i="9"/>
  <c r="AD15" i="9" s="1"/>
  <c r="AF5" i="6"/>
  <c r="W35" i="14"/>
  <c r="Y35" i="14"/>
  <c r="L36" i="13"/>
  <c r="Q5" i="13"/>
  <c r="P36" i="13"/>
  <c r="Q34" i="1"/>
  <c r="G36" i="13"/>
  <c r="D22" i="13"/>
  <c r="AD22" i="13" s="1"/>
  <c r="AC22" i="13"/>
  <c r="Q24" i="7"/>
  <c r="AD24" i="7" s="1"/>
  <c r="AC24" i="7"/>
  <c r="T35" i="14"/>
  <c r="AD21" i="13"/>
  <c r="J36" i="13"/>
  <c r="G36" i="1"/>
  <c r="C5" i="15" s="1"/>
  <c r="V36" i="1"/>
  <c r="S36" i="1"/>
  <c r="D6" i="13"/>
  <c r="AC6" i="13"/>
  <c r="Q30" i="13"/>
  <c r="P34" i="4"/>
  <c r="Q5" i="4"/>
  <c r="Z35" i="14"/>
  <c r="Y36" i="13"/>
  <c r="M36" i="13"/>
  <c r="AF7" i="6"/>
  <c r="Z36" i="1"/>
  <c r="I5" i="15" s="1"/>
  <c r="S36" i="6"/>
  <c r="D15" i="13"/>
  <c r="AD15" i="13" s="1"/>
  <c r="AC15" i="13"/>
  <c r="Z36" i="13"/>
  <c r="Q17" i="1"/>
  <c r="D33" i="6"/>
  <c r="AD33" i="6" s="1"/>
  <c r="AC33" i="6"/>
  <c r="AB32" i="14"/>
  <c r="C32" i="14"/>
  <c r="AB24" i="14"/>
  <c r="C24" i="14"/>
  <c r="J8" i="14"/>
  <c r="J35" i="14" s="1"/>
  <c r="I35" i="14"/>
  <c r="AB20" i="1"/>
  <c r="AB5" i="4"/>
  <c r="C5" i="4"/>
  <c r="AC21" i="4"/>
  <c r="D21" i="4"/>
  <c r="AD21" i="4" s="1"/>
  <c r="AB9" i="4"/>
  <c r="C9" i="4"/>
  <c r="Z5" i="4"/>
  <c r="Z34" i="4" s="1"/>
  <c r="I6" i="15" s="1"/>
  <c r="Y34" i="4"/>
  <c r="D8" i="6"/>
  <c r="AD8" i="6" s="1"/>
  <c r="AC8" i="6"/>
  <c r="G36" i="6"/>
  <c r="C7" i="15" s="1"/>
  <c r="M36" i="6"/>
  <c r="E7" i="15" s="1"/>
  <c r="C5" i="7"/>
  <c r="AB5" i="7"/>
  <c r="C19" i="7"/>
  <c r="AB19" i="7"/>
  <c r="G35" i="7"/>
  <c r="C8" i="15" s="1"/>
  <c r="AB5" i="8"/>
  <c r="C5" i="8"/>
  <c r="W6" i="8"/>
  <c r="V36" i="8"/>
  <c r="W36" i="8" s="1"/>
  <c r="H9" i="15" s="1"/>
  <c r="W5" i="9"/>
  <c r="V35" i="9"/>
  <c r="W35" i="9" s="1"/>
  <c r="H10" i="15" s="1"/>
  <c r="AC20" i="9"/>
  <c r="AC31" i="9"/>
  <c r="AC7" i="9"/>
  <c r="Q32" i="9"/>
  <c r="AD32" i="9" s="1"/>
  <c r="AC19" i="9"/>
  <c r="L36" i="5"/>
  <c r="P36" i="5"/>
  <c r="AC5" i="9"/>
  <c r="AC21" i="13"/>
  <c r="AC25" i="13"/>
  <c r="AC13" i="13"/>
  <c r="S35" i="14"/>
  <c r="V34" i="4"/>
  <c r="V36" i="6"/>
  <c r="AC28" i="8"/>
  <c r="I36" i="1"/>
  <c r="L36" i="1"/>
  <c r="I35" i="9"/>
  <c r="J35" i="9" s="1"/>
  <c r="D10" i="15" s="1"/>
  <c r="L36" i="6"/>
  <c r="P36" i="8"/>
  <c r="Q36" i="8" s="1"/>
  <c r="F9" i="15" s="1"/>
  <c r="C29" i="13"/>
  <c r="Q18" i="13"/>
  <c r="Q25" i="6"/>
  <c r="AC25" i="6"/>
  <c r="C24" i="6"/>
  <c r="G36" i="5"/>
  <c r="C14" i="15" s="1"/>
  <c r="F36" i="5"/>
  <c r="W36" i="5"/>
  <c r="G14" i="15" s="1"/>
  <c r="AC36" i="5"/>
  <c r="H14" i="15" s="1"/>
  <c r="AB36" i="5"/>
  <c r="C5" i="5"/>
  <c r="AB20" i="14"/>
  <c r="C20" i="14"/>
  <c r="AC17" i="13"/>
  <c r="D17" i="13"/>
  <c r="AD17" i="13" s="1"/>
  <c r="F36" i="13"/>
  <c r="C5" i="1"/>
  <c r="AB16" i="1"/>
  <c r="AB8" i="1"/>
  <c r="T36" i="1"/>
  <c r="G5" i="15" s="1"/>
  <c r="AB29" i="4"/>
  <c r="C29" i="4"/>
  <c r="AB13" i="4"/>
  <c r="C13" i="4"/>
  <c r="AB5" i="6"/>
  <c r="C5" i="6"/>
  <c r="AB20" i="6"/>
  <c r="C20" i="6"/>
  <c r="C12" i="6"/>
  <c r="AB12" i="6"/>
  <c r="C27" i="7"/>
  <c r="AB27" i="7"/>
  <c r="AB15" i="7"/>
  <c r="C15" i="7"/>
  <c r="M9" i="7"/>
  <c r="M35" i="7" s="1"/>
  <c r="E8" i="15" s="1"/>
  <c r="L35" i="7"/>
  <c r="T35" i="7"/>
  <c r="G8" i="15" s="1"/>
  <c r="D32" i="8"/>
  <c r="AD32" i="8" s="1"/>
  <c r="AC32" i="8"/>
  <c r="D16" i="8"/>
  <c r="AD16" i="8" s="1"/>
  <c r="AC16" i="8"/>
  <c r="D8" i="8"/>
  <c r="AD8" i="8" s="1"/>
  <c r="AC8" i="8"/>
  <c r="C11" i="9"/>
  <c r="AB11" i="9"/>
  <c r="P35" i="9"/>
  <c r="Q35" i="9" s="1"/>
  <c r="F10" i="15" s="1"/>
  <c r="C27" i="9"/>
  <c r="AB31" i="9"/>
  <c r="AB15" i="9"/>
  <c r="C23" i="9"/>
  <c r="AB19" i="9"/>
  <c r="I36" i="13"/>
  <c r="I36" i="6"/>
  <c r="AC16" i="6"/>
  <c r="AC24" i="8"/>
  <c r="S35" i="7"/>
  <c r="Y36" i="6"/>
  <c r="V35" i="7"/>
  <c r="AC5" i="13"/>
  <c r="C9" i="13"/>
  <c r="AB13" i="13"/>
  <c r="AB25" i="13"/>
  <c r="V35" i="14"/>
  <c r="Y36" i="1"/>
  <c r="AH36" i="5"/>
  <c r="AB28" i="14"/>
  <c r="C28" i="14"/>
  <c r="M35" i="14"/>
  <c r="AB25" i="4"/>
  <c r="C25" i="4"/>
  <c r="AB17" i="4"/>
  <c r="C17" i="4"/>
  <c r="J34" i="4"/>
  <c r="D6" i="15" s="1"/>
  <c r="L34" i="4"/>
  <c r="W34" i="4"/>
  <c r="H6" i="15" s="1"/>
  <c r="C32" i="6"/>
  <c r="AB32" i="6"/>
  <c r="J36" i="6"/>
  <c r="D7" i="15" s="1"/>
  <c r="P36" i="6"/>
  <c r="AB31" i="7"/>
  <c r="C31" i="7"/>
  <c r="AB23" i="7"/>
  <c r="C23" i="7"/>
  <c r="C11" i="7"/>
  <c r="AB11" i="7"/>
  <c r="AB7" i="7"/>
  <c r="C7" i="7"/>
  <c r="J5" i="7"/>
  <c r="J35" i="7" s="1"/>
  <c r="D8" i="15" s="1"/>
  <c r="I35" i="7"/>
  <c r="Z9" i="7"/>
  <c r="Z35" i="7" s="1"/>
  <c r="I8" i="15" s="1"/>
  <c r="Y35" i="7"/>
  <c r="D12" i="8"/>
  <c r="AD12" i="8" s="1"/>
  <c r="AC12" i="8"/>
  <c r="I36" i="5"/>
  <c r="AB7" i="9"/>
  <c r="S36" i="13"/>
  <c r="W36" i="6"/>
  <c r="H7" i="15" s="1"/>
  <c r="F36" i="6"/>
  <c r="P36" i="1"/>
  <c r="S34" i="4"/>
  <c r="P35" i="7"/>
  <c r="S36" i="8"/>
  <c r="T36" i="8" s="1"/>
  <c r="G9" i="15" s="1"/>
  <c r="F36" i="8"/>
  <c r="G36" i="8" s="1"/>
  <c r="C9" i="15" s="1"/>
  <c r="L36" i="8"/>
  <c r="M36" i="8" s="1"/>
  <c r="E9" i="15" s="1"/>
  <c r="AB8" i="8"/>
  <c r="AB12" i="8"/>
  <c r="AB16" i="8"/>
  <c r="AB20" i="8"/>
  <c r="AB24" i="8"/>
  <c r="AB28" i="8"/>
  <c r="AB32" i="8"/>
  <c r="AB16" i="6"/>
  <c r="AB17" i="13"/>
  <c r="C33" i="13"/>
  <c r="C16" i="14"/>
  <c r="C12" i="14"/>
  <c r="C8" i="14"/>
  <c r="F35" i="14"/>
  <c r="G5" i="14"/>
  <c r="G35" i="14" s="1"/>
  <c r="M36" i="1"/>
  <c r="E5" i="15" s="1"/>
  <c r="Q15" i="4"/>
  <c r="AF21" i="6"/>
  <c r="AF8" i="6"/>
  <c r="F36" i="1"/>
  <c r="D35" i="12" l="1"/>
  <c r="AP20" i="12"/>
  <c r="E18" i="15"/>
  <c r="E3" i="15"/>
  <c r="G3" i="15"/>
  <c r="C4" i="15"/>
  <c r="H3" i="15"/>
  <c r="C3" i="15"/>
  <c r="G18" i="15"/>
  <c r="I3" i="15"/>
  <c r="D18" i="15"/>
  <c r="D3" i="15"/>
  <c r="H4" i="15"/>
  <c r="F3" i="15"/>
  <c r="C11" i="15"/>
  <c r="C10" i="15"/>
  <c r="D4" i="15"/>
  <c r="I4" i="15"/>
  <c r="E4" i="15"/>
  <c r="H18" i="15"/>
  <c r="G4" i="15"/>
  <c r="AC12" i="9"/>
  <c r="AC21" i="8"/>
  <c r="AC13" i="14"/>
  <c r="AO35" i="12"/>
  <c r="AR35" i="12"/>
  <c r="AR31" i="12"/>
  <c r="AD15" i="4"/>
  <c r="AC21" i="14"/>
  <c r="AH25" i="16"/>
  <c r="AD5" i="11"/>
  <c r="AF36" i="11"/>
  <c r="AC16" i="7"/>
  <c r="AC15" i="4"/>
  <c r="AC36" i="11"/>
  <c r="AD36" i="11" s="1"/>
  <c r="AC11" i="4"/>
  <c r="AC10" i="14"/>
  <c r="AC34" i="6"/>
  <c r="AC31" i="13"/>
  <c r="AC22" i="14"/>
  <c r="AD18" i="1"/>
  <c r="AC18" i="1"/>
  <c r="AC30" i="8"/>
  <c r="D33" i="9"/>
  <c r="AD33" i="9" s="1"/>
  <c r="AC27" i="1"/>
  <c r="AC34" i="13"/>
  <c r="D29" i="9"/>
  <c r="AD29" i="9" s="1"/>
  <c r="AG36" i="16"/>
  <c r="AH36" i="16" s="1"/>
  <c r="AC7" i="13"/>
  <c r="D7" i="6"/>
  <c r="AD7" i="6" s="1"/>
  <c r="D9" i="7"/>
  <c r="AD9" i="7" s="1"/>
  <c r="D19" i="13"/>
  <c r="AD19" i="13" s="1"/>
  <c r="AC21" i="1"/>
  <c r="C35" i="9"/>
  <c r="D35" i="9" s="1"/>
  <c r="B10" i="15" s="1"/>
  <c r="AD23" i="1"/>
  <c r="AC30" i="13"/>
  <c r="AC30" i="9"/>
  <c r="AC31" i="14"/>
  <c r="AC26" i="14"/>
  <c r="AC33" i="1"/>
  <c r="AC31" i="1"/>
  <c r="AR35" i="5"/>
  <c r="AC25" i="14"/>
  <c r="D29" i="1"/>
  <c r="AD29" i="1" s="1"/>
  <c r="AC33" i="14"/>
  <c r="AC13" i="1"/>
  <c r="AC27" i="14"/>
  <c r="AC10" i="4"/>
  <c r="AC20" i="7"/>
  <c r="F38" i="8"/>
  <c r="AC19" i="6"/>
  <c r="AC6" i="4"/>
  <c r="AC32" i="13"/>
  <c r="D25" i="1"/>
  <c r="AD25" i="1" s="1"/>
  <c r="AC17" i="1"/>
  <c r="AC17" i="7"/>
  <c r="AC19" i="14"/>
  <c r="AC11" i="14"/>
  <c r="AC28" i="7"/>
  <c r="AD17" i="1"/>
  <c r="AR27" i="5"/>
  <c r="AC33" i="8"/>
  <c r="AC30" i="14"/>
  <c r="AR31" i="5"/>
  <c r="AC6" i="7"/>
  <c r="AC12" i="13"/>
  <c r="AC25" i="8"/>
  <c r="AC23" i="14"/>
  <c r="AC8" i="7"/>
  <c r="AC34" i="1"/>
  <c r="AC14" i="7"/>
  <c r="D24" i="4"/>
  <c r="AD24" i="4" s="1"/>
  <c r="AC17" i="6"/>
  <c r="AC9" i="6"/>
  <c r="AC30" i="6"/>
  <c r="AC32" i="7"/>
  <c r="AC18" i="13"/>
  <c r="AC26" i="1"/>
  <c r="AD18" i="13"/>
  <c r="D6" i="6"/>
  <c r="AD6" i="6" s="1"/>
  <c r="AD30" i="13"/>
  <c r="AD34" i="1"/>
  <c r="AC20" i="4"/>
  <c r="AC35" i="13"/>
  <c r="AC22" i="1"/>
  <c r="AC5" i="14"/>
  <c r="D18" i="4"/>
  <c r="AD18" i="4" s="1"/>
  <c r="AC18" i="4"/>
  <c r="AC13" i="6"/>
  <c r="D23" i="4"/>
  <c r="AD23" i="4" s="1"/>
  <c r="AC17" i="14"/>
  <c r="AC30" i="4"/>
  <c r="AC29" i="14"/>
  <c r="D30" i="1"/>
  <c r="AD30" i="1" s="1"/>
  <c r="AC7" i="14"/>
  <c r="AC26" i="6"/>
  <c r="AC7" i="4"/>
  <c r="D31" i="4"/>
  <c r="AD31" i="4" s="1"/>
  <c r="AC8" i="4"/>
  <c r="AC9" i="14"/>
  <c r="AC23" i="1"/>
  <c r="AC14" i="1"/>
  <c r="AC10" i="13"/>
  <c r="AC29" i="7"/>
  <c r="D29" i="7"/>
  <c r="AD29" i="7" s="1"/>
  <c r="D21" i="7"/>
  <c r="AD21" i="7" s="1"/>
  <c r="AC21" i="7"/>
  <c r="AC16" i="4"/>
  <c r="AC25" i="7"/>
  <c r="AC28" i="6"/>
  <c r="AF10" i="6"/>
  <c r="AC34" i="14"/>
  <c r="AC19" i="4"/>
  <c r="AC10" i="1"/>
  <c r="D22" i="8"/>
  <c r="AD22" i="8" s="1"/>
  <c r="AC22" i="8"/>
  <c r="D22" i="6"/>
  <c r="AD22" i="6" s="1"/>
  <c r="AC22" i="6"/>
  <c r="AD19" i="4"/>
  <c r="D28" i="4"/>
  <c r="AD28" i="4" s="1"/>
  <c r="D14" i="13"/>
  <c r="AD14" i="13" s="1"/>
  <c r="AC14" i="13"/>
  <c r="D33" i="7"/>
  <c r="AD33" i="7" s="1"/>
  <c r="AC33" i="7"/>
  <c r="D13" i="7"/>
  <c r="AD13" i="7" s="1"/>
  <c r="AC13" i="7"/>
  <c r="D15" i="1"/>
  <c r="AD15" i="1" s="1"/>
  <c r="AC15" i="1"/>
  <c r="D10" i="7"/>
  <c r="AD10" i="7" s="1"/>
  <c r="AC10" i="7"/>
  <c r="D23" i="13"/>
  <c r="AD23" i="13" s="1"/>
  <c r="AC19" i="1"/>
  <c r="D35" i="1"/>
  <c r="AD35" i="1" s="1"/>
  <c r="AC35" i="1"/>
  <c r="AC26" i="7"/>
  <c r="D26" i="7"/>
  <c r="AD26" i="7" s="1"/>
  <c r="D15" i="6"/>
  <c r="AD15" i="6" s="1"/>
  <c r="AC15" i="6"/>
  <c r="AC34" i="7"/>
  <c r="D12" i="4"/>
  <c r="AD12" i="4" s="1"/>
  <c r="AC12" i="4"/>
  <c r="D6" i="14"/>
  <c r="AD6" i="14" s="1"/>
  <c r="AC6" i="14"/>
  <c r="D32" i="4"/>
  <c r="AD32" i="4" s="1"/>
  <c r="AC32" i="4"/>
  <c r="D11" i="6"/>
  <c r="AD11" i="6" s="1"/>
  <c r="AC11" i="6"/>
  <c r="D11" i="1"/>
  <c r="AD11" i="1" s="1"/>
  <c r="AC11" i="1"/>
  <c r="D18" i="14"/>
  <c r="AD18" i="14" s="1"/>
  <c r="AC18" i="14"/>
  <c r="AC11" i="13"/>
  <c r="D11" i="13"/>
  <c r="AD11" i="13" s="1"/>
  <c r="AC30" i="7"/>
  <c r="D22" i="7"/>
  <c r="AD22" i="7" s="1"/>
  <c r="AC22" i="7"/>
  <c r="D14" i="14"/>
  <c r="AD14" i="14" s="1"/>
  <c r="AC14" i="14"/>
  <c r="D18" i="7"/>
  <c r="AD18" i="7" s="1"/>
  <c r="AC18" i="7"/>
  <c r="D7" i="1"/>
  <c r="AD7" i="1" s="1"/>
  <c r="AC7" i="1"/>
  <c r="Q36" i="5"/>
  <c r="F14" i="15" s="1"/>
  <c r="AR11" i="5"/>
  <c r="AR14" i="5"/>
  <c r="D20" i="6"/>
  <c r="AD20" i="6" s="1"/>
  <c r="AC20" i="6"/>
  <c r="AC8" i="14"/>
  <c r="D8" i="14"/>
  <c r="C35" i="14"/>
  <c r="AC35" i="14" s="1"/>
  <c r="AC33" i="13"/>
  <c r="D33" i="13"/>
  <c r="AD33" i="13" s="1"/>
  <c r="D31" i="7"/>
  <c r="AD31" i="7" s="1"/>
  <c r="AC31" i="7"/>
  <c r="D27" i="9"/>
  <c r="AD27" i="9" s="1"/>
  <c r="AC27" i="9"/>
  <c r="D27" i="7"/>
  <c r="AD27" i="7" s="1"/>
  <c r="AC27" i="7"/>
  <c r="AC5" i="1"/>
  <c r="D5" i="1"/>
  <c r="C36" i="1"/>
  <c r="D5" i="5"/>
  <c r="C36" i="5"/>
  <c r="D9" i="4"/>
  <c r="AD9" i="4" s="1"/>
  <c r="AC9" i="4"/>
  <c r="D5" i="4"/>
  <c r="C34" i="4"/>
  <c r="AC34" i="4" s="1"/>
  <c r="AC5" i="4"/>
  <c r="D32" i="14"/>
  <c r="AD32" i="14" s="1"/>
  <c r="AC32" i="14"/>
  <c r="AD6" i="13"/>
  <c r="D11" i="9"/>
  <c r="AD11" i="9" s="1"/>
  <c r="AC11" i="9"/>
  <c r="D13" i="4"/>
  <c r="AD13" i="4" s="1"/>
  <c r="AC13" i="4"/>
  <c r="D5" i="8"/>
  <c r="AD5" i="8" s="1"/>
  <c r="AC5" i="8"/>
  <c r="C36" i="8"/>
  <c r="D36" i="8" s="1"/>
  <c r="B9" i="15" s="1"/>
  <c r="D19" i="7"/>
  <c r="AD19" i="7" s="1"/>
  <c r="AC19" i="7"/>
  <c r="D32" i="1"/>
  <c r="AD32" i="1" s="1"/>
  <c r="AC32" i="1"/>
  <c r="D12" i="14"/>
  <c r="AD12" i="14" s="1"/>
  <c r="AC12" i="14"/>
  <c r="D11" i="7"/>
  <c r="AD11" i="7" s="1"/>
  <c r="AC11" i="7"/>
  <c r="D32" i="6"/>
  <c r="AD32" i="6" s="1"/>
  <c r="AC32" i="6"/>
  <c r="AC17" i="4"/>
  <c r="D17" i="4"/>
  <c r="AD17" i="4" s="1"/>
  <c r="AR9" i="5"/>
  <c r="AI36" i="5"/>
  <c r="D28" i="1"/>
  <c r="AD28" i="1" s="1"/>
  <c r="AC28" i="1"/>
  <c r="D9" i="13"/>
  <c r="AD9" i="13" s="1"/>
  <c r="AC9" i="13"/>
  <c r="D23" i="9"/>
  <c r="AD23" i="9" s="1"/>
  <c r="AC23" i="9"/>
  <c r="D15" i="7"/>
  <c r="AD15" i="7" s="1"/>
  <c r="AC15" i="7"/>
  <c r="C36" i="6"/>
  <c r="AC5" i="6"/>
  <c r="D5" i="6"/>
  <c r="AC29" i="4"/>
  <c r="D29" i="4"/>
  <c r="AD29" i="4" s="1"/>
  <c r="AC8" i="1"/>
  <c r="D8" i="1"/>
  <c r="AD8" i="1" s="1"/>
  <c r="AC20" i="14"/>
  <c r="D20" i="14"/>
  <c r="AD20" i="14" s="1"/>
  <c r="AF25" i="6"/>
  <c r="AD25" i="6"/>
  <c r="AC29" i="13"/>
  <c r="D29" i="13"/>
  <c r="AD29" i="13" s="1"/>
  <c r="D5" i="7"/>
  <c r="AC5" i="7"/>
  <c r="C35" i="7"/>
  <c r="AC35" i="7" s="1"/>
  <c r="Q36" i="1"/>
  <c r="F5" i="15" s="1"/>
  <c r="AC25" i="4"/>
  <c r="D25" i="4"/>
  <c r="AD25" i="4" s="1"/>
  <c r="D24" i="6"/>
  <c r="AD24" i="6" s="1"/>
  <c r="AC24" i="6"/>
  <c r="D12" i="1"/>
  <c r="AD12" i="1" s="1"/>
  <c r="AC12" i="1"/>
  <c r="D16" i="14"/>
  <c r="AD16" i="14" s="1"/>
  <c r="AC16" i="14"/>
  <c r="D7" i="7"/>
  <c r="AD7" i="7" s="1"/>
  <c r="AC7" i="7"/>
  <c r="AC23" i="7"/>
  <c r="D23" i="7"/>
  <c r="AD23" i="7" s="1"/>
  <c r="D28" i="14"/>
  <c r="AD28" i="14" s="1"/>
  <c r="AC28" i="14"/>
  <c r="D12" i="6"/>
  <c r="AD12" i="6" s="1"/>
  <c r="AC12" i="6"/>
  <c r="D16" i="1"/>
  <c r="AD16" i="1" s="1"/>
  <c r="AC16" i="1"/>
  <c r="D24" i="1"/>
  <c r="AD24" i="1" s="1"/>
  <c r="AC24" i="1"/>
  <c r="AC20" i="1"/>
  <c r="D20" i="1"/>
  <c r="AD20" i="1" s="1"/>
  <c r="D24" i="14"/>
  <c r="AD24" i="14" s="1"/>
  <c r="AC24" i="14"/>
  <c r="Q34" i="4"/>
  <c r="F6" i="15" s="1"/>
  <c r="C36" i="13"/>
  <c r="Q36" i="13"/>
  <c r="AD5" i="13"/>
  <c r="Q35" i="7"/>
  <c r="F8" i="15" s="1"/>
  <c r="Q36" i="6"/>
  <c r="F7" i="15" s="1"/>
  <c r="B13" i="15" l="1"/>
  <c r="AP35" i="12"/>
  <c r="G17" i="15"/>
  <c r="D17" i="15"/>
  <c r="E17" i="15"/>
  <c r="H17" i="15"/>
  <c r="C18" i="15"/>
  <c r="F4" i="15"/>
  <c r="F17" i="15" s="1"/>
  <c r="F18" i="15"/>
  <c r="I14" i="15"/>
  <c r="I18" i="15" s="1"/>
  <c r="AC35" i="9"/>
  <c r="AD35" i="9" s="1"/>
  <c r="C17" i="15"/>
  <c r="AC36" i="8"/>
  <c r="AD36" i="8" s="1"/>
  <c r="AF36" i="6"/>
  <c r="AR36" i="5"/>
  <c r="AC36" i="13"/>
  <c r="AD36" i="13"/>
  <c r="D36" i="13"/>
  <c r="AD5" i="7"/>
  <c r="D35" i="7"/>
  <c r="B8" i="15" s="1"/>
  <c r="AD8" i="14"/>
  <c r="D35" i="14"/>
  <c r="D36" i="6"/>
  <c r="B7" i="15" s="1"/>
  <c r="AD5" i="6"/>
  <c r="AO36" i="5"/>
  <c r="D36" i="1"/>
  <c r="B5" i="15" s="1"/>
  <c r="AD5" i="1"/>
  <c r="AC36" i="6"/>
  <c r="AD36" i="6" s="1"/>
  <c r="D34" i="4"/>
  <c r="B6" i="15" s="1"/>
  <c r="AD5" i="4"/>
  <c r="AC36" i="1"/>
  <c r="AD36" i="1" s="1"/>
  <c r="AP36" i="5"/>
  <c r="D36" i="5"/>
  <c r="B14" i="15" s="1"/>
  <c r="I17" i="15" l="1"/>
  <c r="B18" i="15"/>
  <c r="B4" i="15"/>
  <c r="AD34" i="4"/>
  <c r="AD35" i="7"/>
  <c r="B3" i="15"/>
  <c r="AD35" i="14"/>
  <c r="B17" i="15" l="1"/>
</calcChain>
</file>

<file path=xl/sharedStrings.xml><?xml version="1.0" encoding="utf-8"?>
<sst xmlns="http://schemas.openxmlformats.org/spreadsheetml/2006/main" count="504" uniqueCount="32">
  <si>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</si>
  <si>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</si>
  <si>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</si>
  <si>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</si>
  <si>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</si>
  <si>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</si>
  <si>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</si>
  <si>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</si>
  <si>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</si>
  <si>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</si>
  <si>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</si>
  <si>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</si>
  <si>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</si>
  <si>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</si>
  <si>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Standley to EGL #4</t>
  </si>
  <si>
    <t xml:space="preserve">UPDATE LINK </t>
  </si>
  <si>
    <t>Standley to EGL4</t>
  </si>
  <si>
    <t>UPDATE LINKS</t>
  </si>
  <si>
    <t>WYTOTAL</t>
  </si>
  <si>
    <t>Calendar Year Total</t>
  </si>
  <si>
    <t>TTP Old Production</t>
  </si>
  <si>
    <t>TTP New Production</t>
  </si>
  <si>
    <t>TTP Old Backwash</t>
  </si>
  <si>
    <t>TTP New Backwash</t>
  </si>
  <si>
    <t>Standley Pipeline to Old TTP</t>
  </si>
  <si>
    <t>Standley Pipeline to New TTP</t>
  </si>
  <si>
    <t>EGL 4 to New TTP</t>
  </si>
  <si>
    <t>Standley Pipeline to EGL 4</t>
  </si>
  <si>
    <t>EGL 4 to WBTP</t>
  </si>
  <si>
    <t>WGL to WBTP</t>
  </si>
  <si>
    <t>TTP2 Production</t>
  </si>
  <si>
    <t>TTP2 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</si>
</sst>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;@"/>
  </numFmts>
  <fonts count="6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DFD6B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8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2" fontId="0" fillId="0" borderId="6" xfId="0" applyNumberFormat="1" applyFill="1" applyBorder="1"/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/>
    <xf numFmtId="2" fontId="0" fillId="0" borderId="10" xfId="0" applyNumberFormat="1" applyBorder="1"/>
    <xf numFmtId="0" fontId="3" fillId="0" borderId="0" xfId="0" applyFont="1" applyFill="1" applyAlignment="1"/>
    <xf numFmtId="0" fontId="0" fillId="2" borderId="0" xfId="0" applyFill="1" applyAlignment="1"/>
    <xf numFmtId="0" fontId="2" fillId="0" borderId="0" xfId="0" applyFont="1" applyFill="1"/>
    <xf numFmtId="0" fontId="3" fillId="0" borderId="0" xfId="1" applyAlignment="1">
      <alignment horizontal="left"/>
    </xf>
    <xf numFmtId="0" fontId="3" fillId="0" borderId="0" xfId="1" applyFill="1" applyBorder="1" applyAlignment="1">
      <alignment horizontal="left"/>
    </xf>
    <xf numFmtId="0" fontId="3" fillId="0" borderId="0" xfId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17" fontId="3" fillId="0" borderId="0" xfId="1" applyNumberFormat="1"/>
    <xf numFmtId="2" fontId="3" fillId="0" borderId="0" xfId="1" applyNumberFormat="1"/>
    <xf numFmtId="0" fontId="3" fillId="0" borderId="0" xfId="1"/>
    <xf numFmtId="0" fontId="0" fillId="0" borderId="10" xfId="0" applyFill="1" applyBorder="1" applyAlignment="1">
      <alignment horizontal="center" wrapText="1"/>
    </xf>
    <xf numFmtId="0" fontId="4" fillId="2" borderId="0" xfId="0" applyFont="1" applyFill="1" applyAlignment="1"/>
    <xf numFmtId="2" fontId="0" fillId="0" borderId="0" xfId="0" applyNumberFormat="1" applyFill="1" applyBorder="1" applyAlignment="1">
      <alignment horizontal="center"/>
    </xf>
    <xf numFmtId="0" fontId="4" fillId="0" borderId="0" xfId="0" applyFont="1" applyFill="1" applyAlignment="1"/>
    <xf numFmtId="0" fontId="5" fillId="0" borderId="0" xfId="1" applyFont="1"/>
    <xf numFmtId="2" fontId="5" fillId="0" borderId="0" xfId="1" applyNumberFormat="1" applyFont="1"/>
    <xf numFmtId="3" fontId="0" fillId="3" borderId="1" xfId="0" applyNumberFormat="1" applyFill="1" applyBorder="1"/>
    <xf numFmtId="3" fontId="0" fillId="4" borderId="1" xfId="0" applyNumberFormat="1" applyFill="1" applyBorder="1"/>
    <xf numFmtId="3" fontId="0" fillId="5" borderId="1" xfId="0" applyNumberFormat="1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0/2020%20Shift%20Sheet%204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1/2021%20Shift%20Sheet%201Q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0/2020%20Shift%20Sheet%201Q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0/2020%20Shift%20Sheet%202Q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0/2020%20Shift%20Sheet%203Q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"/>
      <sheetName val="NTTP Floc-Sed"/>
      <sheetName val="NTTP Chem Flow Changes"/>
      <sheetName val="WB Chem Flow Changes"/>
      <sheetName val="TTP Chem Flow Changes"/>
      <sheetName val="Midnight Numbers"/>
      <sheetName val="Production Summary"/>
      <sheetName val="New pH Probe"/>
      <sheetName val="Chemical Summary"/>
      <sheetName val="Scheduled Tasks"/>
      <sheetName val="Lab Data"/>
      <sheetName val="WB Clarifiers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C6">
            <v>0</v>
          </cell>
          <cell r="E6">
            <v>10000000</v>
          </cell>
          <cell r="F6">
            <v>0</v>
          </cell>
          <cell r="G6">
            <v>6930000</v>
          </cell>
          <cell r="I6">
            <v>0</v>
          </cell>
          <cell r="J6">
            <v>12243074</v>
          </cell>
          <cell r="K6">
            <v>14700000</v>
          </cell>
          <cell r="T6">
            <v>1628358</v>
          </cell>
          <cell r="AB6">
            <v>299.99999998153726</v>
          </cell>
          <cell r="AE6">
            <v>7213449</v>
          </cell>
          <cell r="AF6">
            <v>0</v>
          </cell>
          <cell r="AJ6">
            <v>631288</v>
          </cell>
        </row>
        <row r="7">
          <cell r="C7">
            <v>0</v>
          </cell>
          <cell r="E7">
            <v>14000000</v>
          </cell>
          <cell r="F7">
            <v>0</v>
          </cell>
          <cell r="G7">
            <v>10380000</v>
          </cell>
          <cell r="I7">
            <v>0</v>
          </cell>
          <cell r="J7">
            <v>9533471</v>
          </cell>
          <cell r="K7">
            <v>15320000</v>
          </cell>
          <cell r="T7">
            <v>2430559</v>
          </cell>
          <cell r="AB7">
            <v>0</v>
          </cell>
          <cell r="AE7">
            <v>9995016</v>
          </cell>
          <cell r="AF7">
            <v>0</v>
          </cell>
          <cell r="AJ7">
            <v>374259</v>
          </cell>
        </row>
        <row r="8">
          <cell r="C8">
            <v>0</v>
          </cell>
          <cell r="E8">
            <v>11000000</v>
          </cell>
          <cell r="F8">
            <v>0</v>
          </cell>
          <cell r="G8">
            <v>7340000</v>
          </cell>
          <cell r="I8">
            <v>0</v>
          </cell>
          <cell r="J8">
            <v>9540424</v>
          </cell>
          <cell r="K8">
            <v>17130000</v>
          </cell>
          <cell r="T8">
            <v>1715602</v>
          </cell>
          <cell r="AB8">
            <v>0</v>
          </cell>
          <cell r="AE8">
            <v>9998127</v>
          </cell>
          <cell r="AF8">
            <v>0</v>
          </cell>
          <cell r="AJ8">
            <v>374259</v>
          </cell>
        </row>
        <row r="9">
          <cell r="C9">
            <v>0</v>
          </cell>
          <cell r="E9">
            <v>13000000</v>
          </cell>
          <cell r="F9">
            <v>0</v>
          </cell>
          <cell r="G9">
            <v>8280000</v>
          </cell>
          <cell r="I9">
            <v>0</v>
          </cell>
          <cell r="J9">
            <v>9744897</v>
          </cell>
          <cell r="K9">
            <v>19479999.999999996</v>
          </cell>
          <cell r="T9">
            <v>2068265</v>
          </cell>
          <cell r="AB9">
            <v>0</v>
          </cell>
          <cell r="AE9">
            <v>10002775</v>
          </cell>
          <cell r="AF9">
            <v>0</v>
          </cell>
          <cell r="AJ9">
            <v>235684</v>
          </cell>
        </row>
        <row r="10">
          <cell r="C10">
            <v>0</v>
          </cell>
          <cell r="E10">
            <v>13000000</v>
          </cell>
          <cell r="F10">
            <v>32000</v>
          </cell>
          <cell r="G10">
            <v>7970000</v>
          </cell>
          <cell r="I10">
            <v>0</v>
          </cell>
          <cell r="J10">
            <v>9714607</v>
          </cell>
          <cell r="K10">
            <v>18500000</v>
          </cell>
          <cell r="T10">
            <v>2040628</v>
          </cell>
          <cell r="AB10">
            <v>0</v>
          </cell>
          <cell r="AE10">
            <v>10007027</v>
          </cell>
          <cell r="AF10">
            <v>0</v>
          </cell>
          <cell r="AJ10">
            <v>235684</v>
          </cell>
        </row>
        <row r="11">
          <cell r="C11">
            <v>0</v>
          </cell>
          <cell r="E11">
            <v>15000000</v>
          </cell>
          <cell r="F11">
            <v>99000</v>
          </cell>
          <cell r="G11">
            <v>6920000</v>
          </cell>
          <cell r="I11">
            <v>0</v>
          </cell>
          <cell r="J11">
            <v>9862193</v>
          </cell>
          <cell r="K11">
            <v>19070000.000000007</v>
          </cell>
          <cell r="T11">
            <v>2135738</v>
          </cell>
          <cell r="AB11">
            <v>0</v>
          </cell>
          <cell r="AE11">
            <v>10009901</v>
          </cell>
          <cell r="AF11">
            <v>0</v>
          </cell>
          <cell r="AJ11">
            <v>324671</v>
          </cell>
        </row>
        <row r="12">
          <cell r="C12">
            <v>0</v>
          </cell>
          <cell r="E12">
            <v>16000000</v>
          </cell>
          <cell r="F12">
            <v>0</v>
          </cell>
          <cell r="G12">
            <v>6990000</v>
          </cell>
          <cell r="I12">
            <v>0</v>
          </cell>
          <cell r="J12">
            <v>8125583</v>
          </cell>
          <cell r="K12">
            <v>21239999.999999996</v>
          </cell>
          <cell r="T12">
            <v>2158803</v>
          </cell>
          <cell r="AB12">
            <v>0</v>
          </cell>
          <cell r="AE12">
            <v>8645052</v>
          </cell>
          <cell r="AF12">
            <v>0</v>
          </cell>
          <cell r="AJ12">
            <v>631343</v>
          </cell>
        </row>
        <row r="13">
          <cell r="C13">
            <v>0</v>
          </cell>
          <cell r="E13">
            <v>16000000</v>
          </cell>
          <cell r="F13">
            <v>0</v>
          </cell>
          <cell r="G13">
            <v>7610000</v>
          </cell>
          <cell r="I13">
            <v>0</v>
          </cell>
          <cell r="J13">
            <v>7685011</v>
          </cell>
          <cell r="K13">
            <v>20900000.000000007</v>
          </cell>
          <cell r="T13">
            <v>2249000</v>
          </cell>
          <cell r="AB13">
            <v>0</v>
          </cell>
          <cell r="AE13">
            <v>7999604</v>
          </cell>
          <cell r="AF13">
            <v>0</v>
          </cell>
          <cell r="AJ13">
            <v>435333</v>
          </cell>
        </row>
        <row r="14">
          <cell r="C14">
            <v>0</v>
          </cell>
          <cell r="E14">
            <v>12000000</v>
          </cell>
          <cell r="F14">
            <v>0</v>
          </cell>
          <cell r="G14">
            <v>8110000</v>
          </cell>
          <cell r="I14">
            <v>0</v>
          </cell>
          <cell r="J14">
            <v>7285870</v>
          </cell>
          <cell r="K14">
            <v>18829999.999999985</v>
          </cell>
          <cell r="T14">
            <v>1942881</v>
          </cell>
          <cell r="AB14">
            <v>84000.000000003187</v>
          </cell>
          <cell r="AE14">
            <v>7983797</v>
          </cell>
          <cell r="AF14">
            <v>0</v>
          </cell>
          <cell r="AJ14">
            <v>435333</v>
          </cell>
        </row>
        <row r="15">
          <cell r="C15">
            <v>0</v>
          </cell>
          <cell r="E15">
            <v>14000000</v>
          </cell>
          <cell r="F15">
            <v>0</v>
          </cell>
          <cell r="G15">
            <v>9220000</v>
          </cell>
          <cell r="I15">
            <v>0</v>
          </cell>
          <cell r="J15">
            <v>7444032</v>
          </cell>
          <cell r="K15">
            <v>20970000</v>
          </cell>
          <cell r="T15">
            <v>2420814</v>
          </cell>
          <cell r="AB15">
            <v>26100.000000013781</v>
          </cell>
          <cell r="AE15">
            <v>8002653</v>
          </cell>
          <cell r="AF15">
            <v>0</v>
          </cell>
          <cell r="AJ15">
            <v>399311</v>
          </cell>
        </row>
        <row r="16">
          <cell r="C16">
            <v>0</v>
          </cell>
          <cell r="E16">
            <v>13000000</v>
          </cell>
          <cell r="F16">
            <v>0</v>
          </cell>
          <cell r="G16">
            <v>8530000</v>
          </cell>
          <cell r="I16">
            <v>0</v>
          </cell>
          <cell r="J16">
            <v>7180693</v>
          </cell>
          <cell r="K16">
            <v>19570000.000000022</v>
          </cell>
          <cell r="T16">
            <v>1399995</v>
          </cell>
          <cell r="AB16">
            <v>0</v>
          </cell>
          <cell r="AE16">
            <v>7959875</v>
          </cell>
          <cell r="AF16">
            <v>0</v>
          </cell>
          <cell r="AJ16">
            <v>611287</v>
          </cell>
        </row>
        <row r="17">
          <cell r="C17">
            <v>0</v>
          </cell>
          <cell r="E17">
            <v>12000000</v>
          </cell>
          <cell r="F17">
            <v>0</v>
          </cell>
          <cell r="G17">
            <v>8040000</v>
          </cell>
          <cell r="I17">
            <v>0</v>
          </cell>
          <cell r="J17">
            <v>7281414</v>
          </cell>
          <cell r="K17">
            <v>18789999.999999993</v>
          </cell>
          <cell r="T17">
            <v>1896154</v>
          </cell>
          <cell r="AB17">
            <v>0</v>
          </cell>
          <cell r="AE17">
            <v>7969859</v>
          </cell>
          <cell r="AF17">
            <v>0</v>
          </cell>
          <cell r="AJ17">
            <v>500389</v>
          </cell>
        </row>
        <row r="18">
          <cell r="C18">
            <v>0</v>
          </cell>
          <cell r="E18">
            <v>12000000</v>
          </cell>
          <cell r="F18">
            <v>0</v>
          </cell>
          <cell r="G18">
            <v>7930000</v>
          </cell>
          <cell r="I18">
            <v>0</v>
          </cell>
          <cell r="J18">
            <v>7506847</v>
          </cell>
          <cell r="K18">
            <v>18419999.999999989</v>
          </cell>
          <cell r="T18">
            <v>1889677</v>
          </cell>
          <cell r="AB18">
            <v>0</v>
          </cell>
          <cell r="AE18">
            <v>7992773</v>
          </cell>
          <cell r="AF18">
            <v>0</v>
          </cell>
          <cell r="AJ18">
            <v>358436</v>
          </cell>
        </row>
        <row r="19">
          <cell r="C19">
            <v>0</v>
          </cell>
          <cell r="E19">
            <v>11000000</v>
          </cell>
          <cell r="F19">
            <v>0</v>
          </cell>
          <cell r="G19">
            <v>7560000</v>
          </cell>
          <cell r="I19">
            <v>0</v>
          </cell>
          <cell r="J19">
            <v>8662055</v>
          </cell>
          <cell r="K19">
            <v>16950000.000000019</v>
          </cell>
          <cell r="T19">
            <v>1452303</v>
          </cell>
          <cell r="AB19">
            <v>50199.999999989588</v>
          </cell>
          <cell r="AE19">
            <v>8938814</v>
          </cell>
          <cell r="AF19">
            <v>0</v>
          </cell>
          <cell r="AJ19">
            <v>322036</v>
          </cell>
        </row>
        <row r="20">
          <cell r="C20">
            <v>0</v>
          </cell>
          <cell r="E20">
            <v>7000000</v>
          </cell>
          <cell r="F20">
            <v>0</v>
          </cell>
          <cell r="G20">
            <v>5500000</v>
          </cell>
          <cell r="I20">
            <v>0</v>
          </cell>
          <cell r="J20">
            <v>9991938</v>
          </cell>
          <cell r="K20">
            <v>12610000.000000013</v>
          </cell>
          <cell r="T20">
            <v>1104311</v>
          </cell>
          <cell r="AB20">
            <v>25000.000000005683</v>
          </cell>
          <cell r="AE20">
            <v>10007604</v>
          </cell>
          <cell r="AF20">
            <v>0</v>
          </cell>
          <cell r="AJ20">
            <v>155810</v>
          </cell>
        </row>
        <row r="21">
          <cell r="C21">
            <v>0</v>
          </cell>
          <cell r="E21">
            <v>5000000</v>
          </cell>
          <cell r="F21">
            <v>0</v>
          </cell>
          <cell r="G21">
            <v>5000000</v>
          </cell>
          <cell r="I21">
            <v>0</v>
          </cell>
          <cell r="J21">
            <v>9529716</v>
          </cell>
          <cell r="K21">
            <v>11109999.999999957</v>
          </cell>
          <cell r="T21">
            <v>1024301</v>
          </cell>
          <cell r="AB21">
            <v>0</v>
          </cell>
          <cell r="AE21">
            <v>9580449</v>
          </cell>
          <cell r="AF21">
            <v>0</v>
          </cell>
          <cell r="AJ21">
            <v>106405</v>
          </cell>
        </row>
        <row r="22">
          <cell r="C22">
            <v>0</v>
          </cell>
          <cell r="E22">
            <v>7000000</v>
          </cell>
          <cell r="F22">
            <v>0</v>
          </cell>
          <cell r="G22">
            <v>6320000</v>
          </cell>
          <cell r="I22">
            <v>0</v>
          </cell>
          <cell r="J22">
            <v>5673388</v>
          </cell>
          <cell r="K22">
            <v>13450000.000000045</v>
          </cell>
          <cell r="T22">
            <v>1391641</v>
          </cell>
          <cell r="AB22">
            <v>0</v>
          </cell>
          <cell r="AE22">
            <v>5995938</v>
          </cell>
          <cell r="AF22">
            <v>0</v>
          </cell>
          <cell r="AJ22">
            <v>267314</v>
          </cell>
        </row>
        <row r="23">
          <cell r="C23">
            <v>0</v>
          </cell>
          <cell r="E23">
            <v>9000000</v>
          </cell>
          <cell r="F23">
            <v>0</v>
          </cell>
          <cell r="G23">
            <v>6690000</v>
          </cell>
          <cell r="I23">
            <v>0</v>
          </cell>
          <cell r="J23">
            <v>5748685</v>
          </cell>
          <cell r="K23">
            <v>14379999.999999996</v>
          </cell>
          <cell r="T23">
            <v>1377384</v>
          </cell>
          <cell r="AB23">
            <v>0</v>
          </cell>
          <cell r="AE23">
            <v>6015562</v>
          </cell>
          <cell r="AF23">
            <v>0</v>
          </cell>
          <cell r="AJ23">
            <v>128291</v>
          </cell>
        </row>
        <row r="24">
          <cell r="C24">
            <v>0</v>
          </cell>
          <cell r="E24">
            <v>8000000</v>
          </cell>
          <cell r="F24">
            <v>0</v>
          </cell>
          <cell r="G24">
            <v>5660000</v>
          </cell>
          <cell r="I24">
            <v>0</v>
          </cell>
          <cell r="J24">
            <v>5865638</v>
          </cell>
          <cell r="K24">
            <v>11649999.999999978</v>
          </cell>
          <cell r="T24">
            <v>1432988</v>
          </cell>
          <cell r="AB24">
            <v>0</v>
          </cell>
          <cell r="AE24">
            <v>5984969</v>
          </cell>
          <cell r="AF24">
            <v>0</v>
          </cell>
          <cell r="AJ24">
            <v>94522</v>
          </cell>
        </row>
        <row r="25">
          <cell r="C25">
            <v>0</v>
          </cell>
          <cell r="E25">
            <v>8000000</v>
          </cell>
          <cell r="F25">
            <v>0</v>
          </cell>
          <cell r="G25">
            <v>5680000</v>
          </cell>
          <cell r="I25">
            <v>0</v>
          </cell>
          <cell r="J25">
            <v>6433856</v>
          </cell>
          <cell r="K25">
            <v>11860000.000000013</v>
          </cell>
          <cell r="T25">
            <v>1376216</v>
          </cell>
          <cell r="AB25">
            <v>0</v>
          </cell>
          <cell r="AE25">
            <v>6068876</v>
          </cell>
          <cell r="AF25">
            <v>301512</v>
          </cell>
          <cell r="AJ25">
            <v>117198</v>
          </cell>
        </row>
        <row r="26">
          <cell r="C26">
            <v>0</v>
          </cell>
          <cell r="E26">
            <v>6000000</v>
          </cell>
          <cell r="F26">
            <v>0</v>
          </cell>
          <cell r="G26">
            <v>5120000</v>
          </cell>
          <cell r="I26">
            <v>0</v>
          </cell>
          <cell r="J26">
            <v>7220454</v>
          </cell>
          <cell r="K26">
            <v>10279999.999999972</v>
          </cell>
          <cell r="T26">
            <v>1069887</v>
          </cell>
          <cell r="AB26">
            <v>0</v>
          </cell>
          <cell r="AE26">
            <v>4456446</v>
          </cell>
          <cell r="AF26">
            <v>3131023</v>
          </cell>
          <cell r="AJ26">
            <v>128194</v>
          </cell>
        </row>
        <row r="27">
          <cell r="C27">
            <v>0</v>
          </cell>
          <cell r="E27">
            <v>6000000</v>
          </cell>
          <cell r="F27">
            <v>0</v>
          </cell>
          <cell r="G27">
            <v>1200000</v>
          </cell>
          <cell r="I27">
            <v>0</v>
          </cell>
          <cell r="J27">
            <v>15823963</v>
          </cell>
          <cell r="K27">
            <v>6270000.0000000391</v>
          </cell>
          <cell r="T27">
            <v>762421</v>
          </cell>
          <cell r="AB27">
            <v>0</v>
          </cell>
          <cell r="AE27">
            <v>4599030</v>
          </cell>
          <cell r="AF27">
            <v>11952671</v>
          </cell>
          <cell r="AJ27">
            <v>159531</v>
          </cell>
        </row>
        <row r="28">
          <cell r="C28">
            <v>0</v>
          </cell>
          <cell r="E28">
            <v>6000000</v>
          </cell>
          <cell r="F28">
            <v>0</v>
          </cell>
          <cell r="G28">
            <v>10000</v>
          </cell>
          <cell r="I28">
            <v>0</v>
          </cell>
          <cell r="J28">
            <v>8929608</v>
          </cell>
          <cell r="K28">
            <v>4769999.9999999814</v>
          </cell>
          <cell r="T28">
            <v>577668</v>
          </cell>
          <cell r="AB28">
            <v>0</v>
          </cell>
          <cell r="AE28">
            <v>2512509</v>
          </cell>
          <cell r="AF28">
            <v>6375452</v>
          </cell>
          <cell r="AJ28">
            <v>0</v>
          </cell>
        </row>
        <row r="29">
          <cell r="C29">
            <v>0</v>
          </cell>
          <cell r="E29">
            <v>6000000</v>
          </cell>
          <cell r="F29">
            <v>0</v>
          </cell>
          <cell r="G29">
            <v>0</v>
          </cell>
          <cell r="I29">
            <v>0</v>
          </cell>
          <cell r="J29">
            <v>4064682</v>
          </cell>
          <cell r="K29">
            <v>5750000</v>
          </cell>
          <cell r="T29">
            <v>562072</v>
          </cell>
          <cell r="AB29">
            <v>0</v>
          </cell>
          <cell r="AE29">
            <v>1015120</v>
          </cell>
          <cell r="AF29">
            <v>3350430</v>
          </cell>
          <cell r="AJ29">
            <v>0</v>
          </cell>
        </row>
        <row r="30">
          <cell r="C30">
            <v>0</v>
          </cell>
          <cell r="E30">
            <v>9000000</v>
          </cell>
          <cell r="F30">
            <v>0</v>
          </cell>
          <cell r="G30">
            <v>420000</v>
          </cell>
          <cell r="I30">
            <v>0</v>
          </cell>
          <cell r="J30">
            <v>4063616</v>
          </cell>
          <cell r="K30">
            <v>7610000.000000014</v>
          </cell>
          <cell r="T30">
            <v>862384</v>
          </cell>
          <cell r="AB30">
            <v>0</v>
          </cell>
          <cell r="AE30">
            <v>0</v>
          </cell>
          <cell r="AF30">
            <v>5047224</v>
          </cell>
          <cell r="AJ30">
            <v>252775</v>
          </cell>
        </row>
        <row r="31">
          <cell r="C31">
            <v>0</v>
          </cell>
          <cell r="E31">
            <v>5000000</v>
          </cell>
          <cell r="F31">
            <v>0</v>
          </cell>
          <cell r="G31">
            <v>3720000</v>
          </cell>
          <cell r="I31">
            <v>0</v>
          </cell>
          <cell r="J31">
            <v>3637633</v>
          </cell>
          <cell r="K31">
            <v>7659999.9999999683</v>
          </cell>
          <cell r="T31">
            <v>949350</v>
          </cell>
          <cell r="AB31">
            <v>0</v>
          </cell>
          <cell r="AE31">
            <v>0</v>
          </cell>
          <cell r="AF31">
            <v>4997348</v>
          </cell>
          <cell r="AJ31">
            <v>130440</v>
          </cell>
        </row>
        <row r="32">
          <cell r="C32">
            <v>0</v>
          </cell>
          <cell r="E32">
            <v>6000000</v>
          </cell>
          <cell r="F32">
            <v>0</v>
          </cell>
          <cell r="G32">
            <v>3350000</v>
          </cell>
          <cell r="I32">
            <v>0</v>
          </cell>
          <cell r="J32">
            <v>2990178</v>
          </cell>
          <cell r="K32">
            <v>8810000.0000000019</v>
          </cell>
          <cell r="T32">
            <v>844764</v>
          </cell>
          <cell r="AB32">
            <v>0</v>
          </cell>
          <cell r="AE32">
            <v>588095</v>
          </cell>
          <cell r="AF32">
            <v>3549773</v>
          </cell>
          <cell r="AJ32">
            <v>197674</v>
          </cell>
        </row>
        <row r="33">
          <cell r="C33">
            <v>0</v>
          </cell>
          <cell r="E33">
            <v>10000000</v>
          </cell>
          <cell r="F33">
            <v>0</v>
          </cell>
          <cell r="G33">
            <v>6380000</v>
          </cell>
          <cell r="I33">
            <v>0</v>
          </cell>
          <cell r="J33">
            <v>0</v>
          </cell>
          <cell r="K33">
            <v>13750000</v>
          </cell>
          <cell r="T33">
            <v>865500</v>
          </cell>
          <cell r="AB33">
            <v>399.99999998485691</v>
          </cell>
          <cell r="AE33">
            <v>1612849</v>
          </cell>
          <cell r="AF33">
            <v>0</v>
          </cell>
          <cell r="AJ33">
            <v>0</v>
          </cell>
        </row>
        <row r="34">
          <cell r="C34">
            <v>0</v>
          </cell>
          <cell r="E34">
            <v>7000000</v>
          </cell>
          <cell r="F34">
            <v>0</v>
          </cell>
          <cell r="G34">
            <v>4360000</v>
          </cell>
          <cell r="I34">
            <v>0</v>
          </cell>
          <cell r="J34">
            <v>2438895</v>
          </cell>
          <cell r="K34">
            <v>10670000.000000017</v>
          </cell>
          <cell r="T34">
            <v>1167661</v>
          </cell>
          <cell r="AB34">
            <v>0</v>
          </cell>
          <cell r="AE34">
            <v>4216237</v>
          </cell>
          <cell r="AF34">
            <v>0</v>
          </cell>
          <cell r="AJ34">
            <v>44944</v>
          </cell>
        </row>
        <row r="35">
          <cell r="C35">
            <v>0</v>
          </cell>
          <cell r="E35">
            <v>7000000</v>
          </cell>
          <cell r="F35">
            <v>0</v>
          </cell>
          <cell r="G35">
            <v>0</v>
          </cell>
          <cell r="I35">
            <v>0</v>
          </cell>
          <cell r="J35">
            <v>5423620</v>
          </cell>
          <cell r="K35">
            <v>5959999.9999999795</v>
          </cell>
          <cell r="T35">
            <v>652993</v>
          </cell>
          <cell r="AB35">
            <v>0</v>
          </cell>
          <cell r="AE35">
            <v>5343911</v>
          </cell>
          <cell r="AF35">
            <v>0</v>
          </cell>
          <cell r="AJ35">
            <v>300844</v>
          </cell>
        </row>
        <row r="36">
          <cell r="C36">
            <v>0</v>
          </cell>
          <cell r="E36">
            <v>6000000</v>
          </cell>
          <cell r="F36">
            <v>0</v>
          </cell>
          <cell r="G36">
            <v>0</v>
          </cell>
          <cell r="I36">
            <v>0</v>
          </cell>
          <cell r="J36">
            <v>6361328</v>
          </cell>
          <cell r="K36">
            <v>5590000.0000000317</v>
          </cell>
          <cell r="T36">
            <v>739032</v>
          </cell>
          <cell r="AB36">
            <v>0</v>
          </cell>
          <cell r="AE36">
            <v>5734332</v>
          </cell>
          <cell r="AF36">
            <v>0</v>
          </cell>
          <cell r="AJ36">
            <v>70633</v>
          </cell>
        </row>
        <row r="37">
          <cell r="J37">
            <v>6250501</v>
          </cell>
          <cell r="K37">
            <v>6000000</v>
          </cell>
          <cell r="O37">
            <v>8000000</v>
          </cell>
          <cell r="Q37">
            <v>10000</v>
          </cell>
          <cell r="T37">
            <v>460341</v>
          </cell>
          <cell r="AE37">
            <v>5717924</v>
          </cell>
          <cell r="AF37">
            <v>0</v>
          </cell>
          <cell r="AJ37">
            <v>93303</v>
          </cell>
        </row>
        <row r="38">
          <cell r="J38">
            <v>6254188</v>
          </cell>
          <cell r="K38">
            <v>6250000</v>
          </cell>
          <cell r="O38">
            <v>7000000</v>
          </cell>
          <cell r="Q38">
            <v>0</v>
          </cell>
          <cell r="T38">
            <v>747901</v>
          </cell>
          <cell r="AE38">
            <v>4443850</v>
          </cell>
          <cell r="AF38">
            <v>1561388</v>
          </cell>
          <cell r="AJ38">
            <v>118034</v>
          </cell>
        </row>
        <row r="39">
          <cell r="J39">
            <v>5512903</v>
          </cell>
          <cell r="K39">
            <v>6360000.000000014</v>
          </cell>
          <cell r="O39">
            <v>7000000</v>
          </cell>
          <cell r="Q39">
            <v>0</v>
          </cell>
          <cell r="T39">
            <v>633193</v>
          </cell>
          <cell r="AE39">
            <v>2263295</v>
          </cell>
          <cell r="AF39">
            <v>3615705</v>
          </cell>
          <cell r="AJ39">
            <v>142058</v>
          </cell>
        </row>
        <row r="40">
          <cell r="J40">
            <v>5522050</v>
          </cell>
          <cell r="K40">
            <v>7500000</v>
          </cell>
          <cell r="O40">
            <v>7000000</v>
          </cell>
          <cell r="Q40">
            <v>1630000</v>
          </cell>
          <cell r="T40">
            <v>0</v>
          </cell>
          <cell r="AE40">
            <v>868126</v>
          </cell>
          <cell r="AF40">
            <v>6436573</v>
          </cell>
          <cell r="AJ40">
            <v>110350</v>
          </cell>
        </row>
        <row r="41">
          <cell r="J41">
            <v>11189790</v>
          </cell>
          <cell r="K41">
            <v>4469999.9999999702</v>
          </cell>
          <cell r="O41">
            <v>5000000</v>
          </cell>
          <cell r="Q41">
            <v>10000</v>
          </cell>
          <cell r="T41">
            <v>456300</v>
          </cell>
          <cell r="AE41">
            <v>0</v>
          </cell>
          <cell r="AF41">
            <v>12391175</v>
          </cell>
          <cell r="AJ41">
            <v>272410</v>
          </cell>
        </row>
        <row r="42">
          <cell r="J42">
            <v>11413109</v>
          </cell>
          <cell r="K42">
            <v>5519999.9999999814</v>
          </cell>
          <cell r="O42">
            <v>6000000</v>
          </cell>
          <cell r="Q42">
            <v>0</v>
          </cell>
          <cell r="T42">
            <v>476448</v>
          </cell>
          <cell r="AE42">
            <v>0</v>
          </cell>
          <cell r="AF42">
            <v>11622538</v>
          </cell>
          <cell r="AJ42">
            <v>0</v>
          </cell>
        </row>
        <row r="43">
          <cell r="J43">
            <v>6388593</v>
          </cell>
          <cell r="K43">
            <v>4490000.0000000093</v>
          </cell>
          <cell r="O43">
            <v>5000000</v>
          </cell>
          <cell r="Q43">
            <v>10000</v>
          </cell>
          <cell r="T43">
            <v>526490</v>
          </cell>
          <cell r="AE43">
            <v>0</v>
          </cell>
          <cell r="AF43">
            <v>7029072</v>
          </cell>
          <cell r="AJ43">
            <v>162861</v>
          </cell>
        </row>
        <row r="44">
          <cell r="J44">
            <v>5654586</v>
          </cell>
          <cell r="K44">
            <v>4759999.9999999907</v>
          </cell>
          <cell r="O44">
            <v>6000000</v>
          </cell>
          <cell r="Q44">
            <v>0</v>
          </cell>
          <cell r="T44">
            <v>522723</v>
          </cell>
          <cell r="AE44">
            <v>0</v>
          </cell>
          <cell r="AF44">
            <v>5994447</v>
          </cell>
          <cell r="AJ44">
            <v>286143</v>
          </cell>
        </row>
        <row r="45">
          <cell r="J45">
            <v>4538233</v>
          </cell>
          <cell r="K45">
            <v>6000000</v>
          </cell>
          <cell r="O45">
            <v>6000000</v>
          </cell>
          <cell r="Q45">
            <v>460000</v>
          </cell>
          <cell r="T45">
            <v>518345</v>
          </cell>
          <cell r="AE45">
            <v>0</v>
          </cell>
          <cell r="AF45">
            <v>5621671</v>
          </cell>
          <cell r="AJ45">
            <v>22238</v>
          </cell>
        </row>
        <row r="46">
          <cell r="J46">
            <v>3773701</v>
          </cell>
          <cell r="K46">
            <v>8910000.0000000242</v>
          </cell>
          <cell r="O46">
            <v>10000000</v>
          </cell>
          <cell r="Q46">
            <v>0</v>
          </cell>
          <cell r="T46">
            <v>610654</v>
          </cell>
          <cell r="AE46">
            <v>0</v>
          </cell>
          <cell r="AF46">
            <v>4799519</v>
          </cell>
          <cell r="AJ46">
            <v>311005</v>
          </cell>
        </row>
        <row r="47">
          <cell r="J47">
            <v>4986714</v>
          </cell>
          <cell r="K47">
            <v>9269999.9999999814</v>
          </cell>
          <cell r="O47">
            <v>11000000</v>
          </cell>
          <cell r="Q47">
            <v>0</v>
          </cell>
          <cell r="T47">
            <v>0</v>
          </cell>
          <cell r="AE47">
            <v>0</v>
          </cell>
          <cell r="AF47">
            <v>5002269</v>
          </cell>
          <cell r="AJ47">
            <v>25555</v>
          </cell>
        </row>
        <row r="48">
          <cell r="J48">
            <v>5273819</v>
          </cell>
          <cell r="K48">
            <v>5030000.0000000298</v>
          </cell>
          <cell r="O48">
            <v>6000000</v>
          </cell>
          <cell r="Q48">
            <v>0</v>
          </cell>
          <cell r="T48">
            <v>566093</v>
          </cell>
          <cell r="AE48">
            <v>0</v>
          </cell>
          <cell r="AF48">
            <v>5994131</v>
          </cell>
          <cell r="AJ48">
            <v>37171</v>
          </cell>
        </row>
        <row r="49">
          <cell r="J49">
            <v>3560952</v>
          </cell>
          <cell r="K49">
            <v>9490000.0000000093</v>
          </cell>
          <cell r="O49">
            <v>6000000</v>
          </cell>
          <cell r="Q49">
            <v>0</v>
          </cell>
          <cell r="T49">
            <v>731621</v>
          </cell>
          <cell r="AE49">
            <v>0</v>
          </cell>
          <cell r="AF49">
            <v>4064213</v>
          </cell>
          <cell r="AJ49">
            <v>191070</v>
          </cell>
        </row>
        <row r="50">
          <cell r="J50">
            <v>6536982</v>
          </cell>
          <cell r="K50">
            <v>6579999.9999999274</v>
          </cell>
          <cell r="O50">
            <v>7000000</v>
          </cell>
          <cell r="Q50">
            <v>0</v>
          </cell>
          <cell r="T50">
            <v>847162</v>
          </cell>
          <cell r="AE50">
            <v>0</v>
          </cell>
          <cell r="AF50">
            <v>6483306</v>
          </cell>
          <cell r="AJ50">
            <v>0</v>
          </cell>
        </row>
        <row r="51">
          <cell r="J51">
            <v>5780316</v>
          </cell>
          <cell r="K51">
            <v>5600000.0000000224</v>
          </cell>
          <cell r="O51">
            <v>7000000</v>
          </cell>
          <cell r="Q51">
            <v>0</v>
          </cell>
          <cell r="T51">
            <v>501524</v>
          </cell>
          <cell r="AE51">
            <v>0</v>
          </cell>
          <cell r="AF51">
            <v>6482269</v>
          </cell>
          <cell r="AJ51">
            <v>107662</v>
          </cell>
        </row>
        <row r="52">
          <cell r="J52">
            <v>6258646</v>
          </cell>
          <cell r="K52">
            <v>5600000.0000000224</v>
          </cell>
          <cell r="O52">
            <v>6000000</v>
          </cell>
          <cell r="Q52">
            <v>4360000</v>
          </cell>
          <cell r="T52">
            <v>700166</v>
          </cell>
          <cell r="AE52">
            <v>0</v>
          </cell>
          <cell r="AF52">
            <v>6485877</v>
          </cell>
          <cell r="AJ52">
            <v>224165</v>
          </cell>
        </row>
        <row r="53">
          <cell r="J53">
            <v>5648277</v>
          </cell>
          <cell r="K53">
            <v>7090000.0000000317</v>
          </cell>
          <cell r="O53">
            <v>9000000</v>
          </cell>
          <cell r="Q53">
            <v>0</v>
          </cell>
          <cell r="T53">
            <v>773003</v>
          </cell>
          <cell r="AE53">
            <v>0</v>
          </cell>
          <cell r="AF53">
            <v>6487120</v>
          </cell>
          <cell r="AJ53">
            <v>136610</v>
          </cell>
        </row>
        <row r="54">
          <cell r="J54">
            <v>6413070</v>
          </cell>
          <cell r="K54">
            <v>8939999.9999999404</v>
          </cell>
          <cell r="O54">
            <v>7000000</v>
          </cell>
          <cell r="Q54">
            <v>2270000</v>
          </cell>
          <cell r="T54">
            <v>861304</v>
          </cell>
          <cell r="AE54">
            <v>0</v>
          </cell>
          <cell r="AF54">
            <v>6484510</v>
          </cell>
          <cell r="AJ54">
            <v>203596</v>
          </cell>
        </row>
        <row r="55">
          <cell r="J55">
            <v>3484518</v>
          </cell>
          <cell r="K55">
            <v>7060000.0000000587</v>
          </cell>
          <cell r="O55">
            <v>2000000</v>
          </cell>
          <cell r="Q55">
            <v>5710000</v>
          </cell>
          <cell r="T55">
            <v>721456</v>
          </cell>
          <cell r="AE55">
            <v>0</v>
          </cell>
          <cell r="AF55">
            <v>4234486</v>
          </cell>
          <cell r="AJ55">
            <v>0</v>
          </cell>
        </row>
        <row r="56">
          <cell r="J56">
            <v>7939958</v>
          </cell>
          <cell r="K56">
            <v>4559999.9999999451</v>
          </cell>
          <cell r="O56">
            <v>0</v>
          </cell>
          <cell r="Q56">
            <v>5280000</v>
          </cell>
          <cell r="T56">
            <v>413277</v>
          </cell>
          <cell r="AE56">
            <v>0</v>
          </cell>
          <cell r="AF56">
            <v>8853627</v>
          </cell>
          <cell r="AJ56">
            <v>131247</v>
          </cell>
        </row>
        <row r="57">
          <cell r="J57">
            <v>7315730</v>
          </cell>
          <cell r="K57">
            <v>4129999.9999999953</v>
          </cell>
          <cell r="O57">
            <v>0</v>
          </cell>
          <cell r="Q57">
            <v>4950000</v>
          </cell>
          <cell r="T57">
            <v>457089</v>
          </cell>
          <cell r="AE57">
            <v>0</v>
          </cell>
          <cell r="AF57">
            <v>7378320</v>
          </cell>
          <cell r="AJ57">
            <v>209879</v>
          </cell>
        </row>
        <row r="58">
          <cell r="J58">
            <v>7818603</v>
          </cell>
          <cell r="K58">
            <v>4269999.9999999814</v>
          </cell>
          <cell r="O58">
            <v>0</v>
          </cell>
          <cell r="Q58">
            <v>5050000</v>
          </cell>
          <cell r="T58">
            <v>402870</v>
          </cell>
          <cell r="AE58">
            <v>0</v>
          </cell>
          <cell r="AF58">
            <v>8066122</v>
          </cell>
          <cell r="AJ58">
            <v>54105</v>
          </cell>
        </row>
        <row r="59">
          <cell r="J59">
            <v>8099580</v>
          </cell>
          <cell r="K59">
            <v>4150000.0000000908</v>
          </cell>
          <cell r="O59">
            <v>0</v>
          </cell>
          <cell r="Q59">
            <v>5350000</v>
          </cell>
          <cell r="T59">
            <v>591937</v>
          </cell>
          <cell r="AE59">
            <v>0</v>
          </cell>
          <cell r="AF59">
            <v>8628882</v>
          </cell>
          <cell r="AJ59">
            <v>289163</v>
          </cell>
        </row>
        <row r="60">
          <cell r="J60">
            <v>7113620</v>
          </cell>
          <cell r="K60">
            <v>5059999.9999999451</v>
          </cell>
          <cell r="O60">
            <v>0</v>
          </cell>
          <cell r="Q60">
            <v>6000000</v>
          </cell>
          <cell r="T60">
            <v>831290</v>
          </cell>
          <cell r="AE60">
            <v>1404999</v>
          </cell>
          <cell r="AF60">
            <v>5548687</v>
          </cell>
          <cell r="AJ60">
            <v>0</v>
          </cell>
        </row>
        <row r="61">
          <cell r="J61">
            <v>6737516</v>
          </cell>
          <cell r="K61">
            <v>4789999.9999999637</v>
          </cell>
          <cell r="O61">
            <v>0</v>
          </cell>
          <cell r="Q61">
            <v>5980000</v>
          </cell>
          <cell r="T61">
            <v>648519</v>
          </cell>
          <cell r="AE61">
            <v>2482435</v>
          </cell>
          <cell r="AF61">
            <v>4486019</v>
          </cell>
          <cell r="AJ61">
            <v>43279</v>
          </cell>
        </row>
        <row r="62">
          <cell r="J62">
            <v>5566451</v>
          </cell>
          <cell r="K62">
            <v>7290000.0000000773</v>
          </cell>
          <cell r="O62">
            <v>0</v>
          </cell>
          <cell r="Q62">
            <v>8470000</v>
          </cell>
          <cell r="T62">
            <v>888835</v>
          </cell>
          <cell r="AE62">
            <v>2028679</v>
          </cell>
          <cell r="AF62">
            <v>4171682</v>
          </cell>
          <cell r="AJ62">
            <v>220083</v>
          </cell>
        </row>
        <row r="63">
          <cell r="J63">
            <v>8581593</v>
          </cell>
          <cell r="K63">
            <v>4709999.9999999227</v>
          </cell>
          <cell r="O63">
            <v>0</v>
          </cell>
          <cell r="Q63">
            <v>5900000</v>
          </cell>
          <cell r="T63">
            <v>595826</v>
          </cell>
          <cell r="AE63">
            <v>2968755</v>
          </cell>
          <cell r="AF63">
            <v>5568221</v>
          </cell>
          <cell r="AJ63">
            <v>78856</v>
          </cell>
        </row>
        <row r="64">
          <cell r="J64">
            <v>6255232</v>
          </cell>
          <cell r="K64">
            <v>4530000.0000000866</v>
          </cell>
          <cell r="O64">
            <v>0</v>
          </cell>
          <cell r="Q64">
            <v>5510000</v>
          </cell>
          <cell r="T64">
            <v>544807</v>
          </cell>
          <cell r="AE64">
            <v>2646423</v>
          </cell>
          <cell r="AF64">
            <v>3604806</v>
          </cell>
          <cell r="AJ64">
            <v>0</v>
          </cell>
        </row>
        <row r="65">
          <cell r="J65">
            <v>6392703</v>
          </cell>
          <cell r="K65">
            <v>4230000.0000000186</v>
          </cell>
          <cell r="O65">
            <v>0</v>
          </cell>
          <cell r="Q65">
            <v>5540000</v>
          </cell>
          <cell r="T65">
            <v>663467</v>
          </cell>
          <cell r="AE65">
            <v>2684667</v>
          </cell>
          <cell r="AF65">
            <v>4174544</v>
          </cell>
          <cell r="AJ65">
            <v>287000</v>
          </cell>
        </row>
        <row r="66">
          <cell r="J66">
            <v>9304698</v>
          </cell>
          <cell r="K66">
            <v>4289999.9999999637</v>
          </cell>
          <cell r="O66">
            <v>0</v>
          </cell>
          <cell r="Q66">
            <v>3440000</v>
          </cell>
          <cell r="T66">
            <v>321265</v>
          </cell>
          <cell r="AE66">
            <v>3635702</v>
          </cell>
          <cell r="AF66">
            <v>6216606</v>
          </cell>
          <cell r="AJ66">
            <v>78226</v>
          </cell>
        </row>
        <row r="67">
          <cell r="J67">
            <v>12152879</v>
          </cell>
          <cell r="K67">
            <v>0</v>
          </cell>
          <cell r="O67">
            <v>0</v>
          </cell>
          <cell r="Q67">
            <v>0</v>
          </cell>
          <cell r="T67">
            <v>167634</v>
          </cell>
          <cell r="AE67">
            <v>3625230</v>
          </cell>
          <cell r="AF67">
            <v>8434646</v>
          </cell>
          <cell r="AJ67">
            <v>0</v>
          </cell>
        </row>
        <row r="68">
          <cell r="J68">
            <v>11436341</v>
          </cell>
          <cell r="K68">
            <v>0</v>
          </cell>
          <cell r="O68">
            <v>0</v>
          </cell>
          <cell r="Q68">
            <v>0</v>
          </cell>
          <cell r="T68">
            <v>6382</v>
          </cell>
          <cell r="AE68">
            <v>3576507</v>
          </cell>
          <cell r="AF68">
            <v>8343327</v>
          </cell>
          <cell r="AJ68">
            <v>319193</v>
          </cell>
        </row>
        <row r="69">
          <cell r="J69">
            <v>11829970</v>
          </cell>
          <cell r="K69">
            <v>0</v>
          </cell>
          <cell r="O69">
            <v>0</v>
          </cell>
          <cell r="Q69">
            <v>0</v>
          </cell>
          <cell r="T69">
            <v>6382</v>
          </cell>
          <cell r="AE69">
            <v>3564314</v>
          </cell>
          <cell r="AF69">
            <v>8347206</v>
          </cell>
          <cell r="AJ69">
            <v>68839</v>
          </cell>
        </row>
        <row r="70">
          <cell r="J70">
            <v>13081865</v>
          </cell>
          <cell r="K70">
            <v>0</v>
          </cell>
          <cell r="O70">
            <v>0</v>
          </cell>
          <cell r="Q70">
            <v>0</v>
          </cell>
          <cell r="T70">
            <v>60502</v>
          </cell>
          <cell r="AE70">
            <v>3963257</v>
          </cell>
          <cell r="AF70">
            <v>9261169</v>
          </cell>
          <cell r="AJ70">
            <v>50523</v>
          </cell>
        </row>
        <row r="71">
          <cell r="J71">
            <v>12265608</v>
          </cell>
          <cell r="K71">
            <v>0</v>
          </cell>
          <cell r="O71">
            <v>0</v>
          </cell>
          <cell r="Q71">
            <v>0</v>
          </cell>
          <cell r="T71">
            <v>134260</v>
          </cell>
          <cell r="AE71">
            <v>3816379</v>
          </cell>
          <cell r="AF71">
            <v>8855497</v>
          </cell>
          <cell r="AJ71">
            <v>293029</v>
          </cell>
        </row>
        <row r="72">
          <cell r="J72">
            <v>12390738.833333334</v>
          </cell>
          <cell r="K72">
            <v>0</v>
          </cell>
          <cell r="O72">
            <v>0</v>
          </cell>
          <cell r="Q72">
            <v>0</v>
          </cell>
          <cell r="T72">
            <v>281626</v>
          </cell>
          <cell r="AE72">
            <v>0</v>
          </cell>
          <cell r="AF72">
            <v>0</v>
          </cell>
          <cell r="AJ72">
            <v>0</v>
          </cell>
        </row>
        <row r="73">
          <cell r="J73">
            <v>12828196</v>
          </cell>
          <cell r="K73">
            <v>0</v>
          </cell>
          <cell r="O73">
            <v>0</v>
          </cell>
          <cell r="Q73">
            <v>0</v>
          </cell>
          <cell r="T73">
            <v>0</v>
          </cell>
          <cell r="AE73">
            <v>3910953</v>
          </cell>
          <cell r="AF73">
            <v>9052991</v>
          </cell>
          <cell r="AJ73">
            <v>197154</v>
          </cell>
        </row>
        <row r="74">
          <cell r="J74">
            <v>11646615</v>
          </cell>
          <cell r="K74">
            <v>0</v>
          </cell>
          <cell r="O74">
            <v>0</v>
          </cell>
          <cell r="Q74">
            <v>0</v>
          </cell>
          <cell r="T74">
            <v>0</v>
          </cell>
          <cell r="AE74">
            <v>3672358</v>
          </cell>
          <cell r="AF74">
            <v>8464108</v>
          </cell>
          <cell r="AJ74">
            <v>211546</v>
          </cell>
        </row>
        <row r="75">
          <cell r="J75">
            <v>11755179</v>
          </cell>
          <cell r="K75">
            <v>0</v>
          </cell>
          <cell r="O75">
            <v>0</v>
          </cell>
          <cell r="Q75">
            <v>0</v>
          </cell>
          <cell r="T75">
            <v>6405</v>
          </cell>
          <cell r="AE75">
            <v>3540211</v>
          </cell>
          <cell r="AF75">
            <v>8259420</v>
          </cell>
          <cell r="AJ75">
            <v>115909</v>
          </cell>
        </row>
        <row r="76">
          <cell r="J76">
            <v>12212767</v>
          </cell>
          <cell r="K76">
            <v>0</v>
          </cell>
          <cell r="O76">
            <v>0</v>
          </cell>
          <cell r="Q76">
            <v>0</v>
          </cell>
          <cell r="T76">
            <v>13796</v>
          </cell>
          <cell r="AE76">
            <v>4399972</v>
          </cell>
          <cell r="AF76">
            <v>7784353</v>
          </cell>
          <cell r="AJ76">
            <v>116173</v>
          </cell>
        </row>
        <row r="77">
          <cell r="J77">
            <v>11615171</v>
          </cell>
          <cell r="K77">
            <v>0</v>
          </cell>
          <cell r="O77">
            <v>0</v>
          </cell>
          <cell r="Q77">
            <v>0</v>
          </cell>
          <cell r="T77">
            <v>0</v>
          </cell>
          <cell r="AE77">
            <v>4818753</v>
          </cell>
          <cell r="AF77">
            <v>7196198</v>
          </cell>
          <cell r="AJ77">
            <v>231576</v>
          </cell>
        </row>
        <row r="78">
          <cell r="J78">
            <v>11905750</v>
          </cell>
          <cell r="K78">
            <v>0</v>
          </cell>
          <cell r="O78">
            <v>0</v>
          </cell>
          <cell r="Q78">
            <v>0</v>
          </cell>
          <cell r="T78">
            <v>0</v>
          </cell>
          <cell r="AE78">
            <v>4799651</v>
          </cell>
          <cell r="AF78">
            <v>7197890</v>
          </cell>
          <cell r="AJ78">
            <v>115466</v>
          </cell>
        </row>
        <row r="79">
          <cell r="J79">
            <v>12028148</v>
          </cell>
          <cell r="K79">
            <v>0</v>
          </cell>
          <cell r="O79">
            <v>0</v>
          </cell>
          <cell r="Q79">
            <v>0</v>
          </cell>
          <cell r="T79">
            <v>0</v>
          </cell>
          <cell r="AE79">
            <v>4790177</v>
          </cell>
          <cell r="AF79">
            <v>7201804</v>
          </cell>
          <cell r="AJ79">
            <v>116808</v>
          </cell>
        </row>
        <row r="80">
          <cell r="J80">
            <v>12629465</v>
          </cell>
          <cell r="K80">
            <v>0</v>
          </cell>
          <cell r="O80">
            <v>0</v>
          </cell>
          <cell r="Q80">
            <v>0</v>
          </cell>
          <cell r="T80">
            <v>276344</v>
          </cell>
          <cell r="AE80">
            <v>5176784</v>
          </cell>
          <cell r="AF80">
            <v>7771159</v>
          </cell>
          <cell r="AJ80">
            <v>233407</v>
          </cell>
        </row>
        <row r="81">
          <cell r="J81">
            <v>12972008</v>
          </cell>
          <cell r="K81">
            <v>0</v>
          </cell>
          <cell r="O81">
            <v>0</v>
          </cell>
          <cell r="Q81">
            <v>0</v>
          </cell>
          <cell r="T81">
            <v>39</v>
          </cell>
          <cell r="AE81">
            <v>5182831</v>
          </cell>
          <cell r="AF81">
            <v>7780621</v>
          </cell>
          <cell r="AJ81">
            <v>117073</v>
          </cell>
        </row>
        <row r="82">
          <cell r="J82">
            <v>12971590</v>
          </cell>
          <cell r="K82">
            <v>0</v>
          </cell>
          <cell r="O82">
            <v>0</v>
          </cell>
          <cell r="Q82">
            <v>0</v>
          </cell>
          <cell r="T82">
            <v>0</v>
          </cell>
          <cell r="AE82">
            <v>5190097</v>
          </cell>
          <cell r="AF82">
            <v>7779468</v>
          </cell>
          <cell r="AJ82">
            <v>115535</v>
          </cell>
        </row>
        <row r="83">
          <cell r="J83">
            <v>10430211</v>
          </cell>
          <cell r="K83">
            <v>0</v>
          </cell>
          <cell r="O83">
            <v>0</v>
          </cell>
          <cell r="Q83">
            <v>0</v>
          </cell>
          <cell r="T83">
            <v>0</v>
          </cell>
          <cell r="AE83">
            <v>4316697</v>
          </cell>
          <cell r="AF83">
            <v>6504225</v>
          </cell>
          <cell r="AJ83">
            <v>231773</v>
          </cell>
        </row>
        <row r="84">
          <cell r="J84">
            <v>11994361</v>
          </cell>
          <cell r="K84">
            <v>0</v>
          </cell>
          <cell r="O84">
            <v>0</v>
          </cell>
          <cell r="Q84">
            <v>0</v>
          </cell>
          <cell r="T84">
            <v>0</v>
          </cell>
          <cell r="AE84">
            <v>5163502</v>
          </cell>
          <cell r="AF84">
            <v>6768335</v>
          </cell>
          <cell r="AJ84">
            <v>115729</v>
          </cell>
        </row>
        <row r="85">
          <cell r="J85">
            <v>10748960</v>
          </cell>
          <cell r="K85">
            <v>0</v>
          </cell>
          <cell r="O85">
            <v>0</v>
          </cell>
          <cell r="Q85">
            <v>0</v>
          </cell>
          <cell r="T85">
            <v>0</v>
          </cell>
          <cell r="AE85">
            <v>4834423</v>
          </cell>
          <cell r="AF85">
            <v>5912390</v>
          </cell>
          <cell r="AJ85">
            <v>117885</v>
          </cell>
        </row>
        <row r="86">
          <cell r="J86">
            <v>12481638</v>
          </cell>
          <cell r="K86">
            <v>0</v>
          </cell>
          <cell r="O86">
            <v>0</v>
          </cell>
          <cell r="Q86">
            <v>0</v>
          </cell>
          <cell r="T86">
            <v>0</v>
          </cell>
          <cell r="AE86">
            <v>5720870</v>
          </cell>
          <cell r="AF86">
            <v>6993347</v>
          </cell>
          <cell r="AJ86">
            <v>195711</v>
          </cell>
        </row>
        <row r="87">
          <cell r="J87">
            <v>13910183</v>
          </cell>
          <cell r="K87">
            <v>0</v>
          </cell>
          <cell r="O87">
            <v>0</v>
          </cell>
          <cell r="Q87">
            <v>0</v>
          </cell>
          <cell r="T87">
            <v>0</v>
          </cell>
          <cell r="AE87">
            <v>6295527</v>
          </cell>
          <cell r="AF87">
            <v>7691115</v>
          </cell>
          <cell r="AJ87">
            <v>150629</v>
          </cell>
        </row>
        <row r="88">
          <cell r="J88">
            <v>12213009</v>
          </cell>
          <cell r="K88">
            <v>0</v>
          </cell>
          <cell r="O88">
            <v>0</v>
          </cell>
          <cell r="Q88">
            <v>0</v>
          </cell>
          <cell r="T88">
            <v>0</v>
          </cell>
          <cell r="AE88">
            <v>5471080</v>
          </cell>
          <cell r="AF88">
            <v>6668586</v>
          </cell>
          <cell r="AJ88">
            <v>102352</v>
          </cell>
        </row>
        <row r="89">
          <cell r="J89">
            <v>11723955</v>
          </cell>
          <cell r="K89">
            <v>0</v>
          </cell>
          <cell r="O89">
            <v>0</v>
          </cell>
          <cell r="Q89">
            <v>0</v>
          </cell>
          <cell r="T89">
            <v>0</v>
          </cell>
          <cell r="AE89">
            <v>5392413</v>
          </cell>
          <cell r="AF89">
            <v>6577450</v>
          </cell>
          <cell r="AJ89">
            <v>204917</v>
          </cell>
        </row>
        <row r="90">
          <cell r="J90">
            <v>12396774</v>
          </cell>
          <cell r="K90">
            <v>0</v>
          </cell>
          <cell r="O90">
            <v>0</v>
          </cell>
          <cell r="Q90">
            <v>0</v>
          </cell>
          <cell r="T90">
            <v>0</v>
          </cell>
          <cell r="AE90">
            <v>5538245</v>
          </cell>
          <cell r="AF90">
            <v>6749579</v>
          </cell>
          <cell r="AJ90">
            <v>0</v>
          </cell>
        </row>
        <row r="91">
          <cell r="J91">
            <v>12351506</v>
          </cell>
          <cell r="K91">
            <v>0</v>
          </cell>
          <cell r="O91">
            <v>0</v>
          </cell>
          <cell r="Q91">
            <v>0</v>
          </cell>
          <cell r="T91">
            <v>0</v>
          </cell>
          <cell r="AE91">
            <v>5610604</v>
          </cell>
          <cell r="AF91">
            <v>6820839</v>
          </cell>
          <cell r="AJ91">
            <v>155954</v>
          </cell>
        </row>
        <row r="92">
          <cell r="J92">
            <v>10178147</v>
          </cell>
          <cell r="K92">
            <v>0</v>
          </cell>
          <cell r="O92">
            <v>0</v>
          </cell>
          <cell r="Q92">
            <v>0</v>
          </cell>
          <cell r="T92">
            <v>0</v>
          </cell>
          <cell r="AE92">
            <v>4726439</v>
          </cell>
          <cell r="AF92">
            <v>5726867</v>
          </cell>
          <cell r="AJ92">
            <v>108005</v>
          </cell>
        </row>
        <row r="93">
          <cell r="J93">
            <v>11926242</v>
          </cell>
          <cell r="K93">
            <v>0</v>
          </cell>
          <cell r="O93">
            <v>0</v>
          </cell>
          <cell r="Q93">
            <v>0</v>
          </cell>
          <cell r="T93">
            <v>0</v>
          </cell>
          <cell r="AE93">
            <v>5321793</v>
          </cell>
          <cell r="AF93">
            <v>6493213</v>
          </cell>
          <cell r="AJ93">
            <v>0</v>
          </cell>
        </row>
        <row r="94">
          <cell r="J94">
            <v>11905148</v>
          </cell>
          <cell r="K94">
            <v>0</v>
          </cell>
          <cell r="O94">
            <v>0</v>
          </cell>
          <cell r="Q94">
            <v>0</v>
          </cell>
          <cell r="T94">
            <v>0</v>
          </cell>
          <cell r="AE94">
            <v>5393465</v>
          </cell>
          <cell r="AF94">
            <v>6576635</v>
          </cell>
          <cell r="AJ94">
            <v>159630</v>
          </cell>
        </row>
        <row r="95">
          <cell r="J95">
            <v>11788267</v>
          </cell>
          <cell r="K95">
            <v>0</v>
          </cell>
          <cell r="O95">
            <v>0</v>
          </cell>
          <cell r="Q95">
            <v>0</v>
          </cell>
          <cell r="T95">
            <v>0</v>
          </cell>
          <cell r="AE95">
            <v>5580862</v>
          </cell>
          <cell r="AF95">
            <v>6813195</v>
          </cell>
          <cell r="AJ95">
            <v>153137</v>
          </cell>
        </row>
        <row r="96">
          <cell r="J96">
            <v>12907902</v>
          </cell>
          <cell r="K96">
            <v>0</v>
          </cell>
          <cell r="O96">
            <v>0</v>
          </cell>
          <cell r="Q96">
            <v>0</v>
          </cell>
          <cell r="T96">
            <v>0</v>
          </cell>
          <cell r="AE96">
            <v>6141344</v>
          </cell>
          <cell r="AF96">
            <v>7498055</v>
          </cell>
          <cell r="AJ96">
            <v>393346</v>
          </cell>
        </row>
        <row r="97">
          <cell r="J97">
            <v>12494714</v>
          </cell>
          <cell r="K97">
            <v>0</v>
          </cell>
          <cell r="O97">
            <v>0</v>
          </cell>
          <cell r="Q97">
            <v>0</v>
          </cell>
          <cell r="T97">
            <v>0</v>
          </cell>
          <cell r="AE97">
            <v>5631939</v>
          </cell>
          <cell r="AF97">
            <v>6820617</v>
          </cell>
          <cell r="AJ97">
            <v>27472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"/>
      <sheetName val="NTTP Floc-Sed"/>
      <sheetName val="NTTP Chem Flow Changes"/>
      <sheetName val="WB Clarifiers"/>
      <sheetName val="WB Chem Flow Changes"/>
      <sheetName val="TTP Chem Flow Changes"/>
      <sheetName val="Midnight Numbers"/>
      <sheetName val="Production Summary"/>
      <sheetName val="New pH Probe"/>
      <sheetName val="Chemical Summary"/>
      <sheetName val="Scheduled Tasks"/>
      <sheetName val="Lab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E6">
            <v>0</v>
          </cell>
          <cell r="G6">
            <v>0</v>
          </cell>
          <cell r="J6">
            <v>12239297</v>
          </cell>
          <cell r="K6">
            <v>0</v>
          </cell>
          <cell r="T6">
            <v>0</v>
          </cell>
          <cell r="AE6">
            <v>5568439</v>
          </cell>
          <cell r="AF6">
            <v>6745698</v>
          </cell>
          <cell r="AJ6">
            <v>206613</v>
          </cell>
        </row>
        <row r="7">
          <cell r="E7">
            <v>0</v>
          </cell>
          <cell r="G7">
            <v>0</v>
          </cell>
          <cell r="J7">
            <v>11712896</v>
          </cell>
          <cell r="K7">
            <v>0</v>
          </cell>
          <cell r="T7">
            <v>0</v>
          </cell>
          <cell r="AE7">
            <v>5364748</v>
          </cell>
          <cell r="AF7">
            <v>6558605</v>
          </cell>
          <cell r="AJ7">
            <v>67315</v>
          </cell>
        </row>
        <row r="8">
          <cell r="E8">
            <v>0</v>
          </cell>
          <cell r="G8">
            <v>0</v>
          </cell>
          <cell r="J8">
            <v>12751618</v>
          </cell>
          <cell r="K8">
            <v>0</v>
          </cell>
          <cell r="T8">
            <v>0</v>
          </cell>
          <cell r="AE8">
            <v>5764703</v>
          </cell>
          <cell r="AF8">
            <v>7026067</v>
          </cell>
          <cell r="AJ8">
            <v>190147</v>
          </cell>
        </row>
        <row r="9">
          <cell r="E9">
            <v>0</v>
          </cell>
          <cell r="G9">
            <v>0</v>
          </cell>
          <cell r="J9">
            <v>12365820</v>
          </cell>
          <cell r="K9">
            <v>0</v>
          </cell>
          <cell r="T9">
            <v>0</v>
          </cell>
          <cell r="AE9">
            <v>5597587</v>
          </cell>
          <cell r="AF9">
            <v>6785881</v>
          </cell>
          <cell r="AJ9">
            <v>87908</v>
          </cell>
        </row>
        <row r="10">
          <cell r="E10">
            <v>0</v>
          </cell>
          <cell r="G10">
            <v>0</v>
          </cell>
          <cell r="J10">
            <v>13208784</v>
          </cell>
          <cell r="K10">
            <v>0</v>
          </cell>
          <cell r="T10">
            <v>0</v>
          </cell>
          <cell r="AE10">
            <v>6160751</v>
          </cell>
          <cell r="AF10">
            <v>7494755</v>
          </cell>
          <cell r="AJ10">
            <v>250069</v>
          </cell>
        </row>
        <row r="11">
          <cell r="E11">
            <v>0</v>
          </cell>
          <cell r="G11">
            <v>0</v>
          </cell>
          <cell r="J11">
            <v>13855008</v>
          </cell>
          <cell r="K11">
            <v>0</v>
          </cell>
          <cell r="T11">
            <v>0</v>
          </cell>
          <cell r="AE11">
            <v>6295711</v>
          </cell>
          <cell r="AF11">
            <v>7695539</v>
          </cell>
          <cell r="AJ11">
            <v>146960</v>
          </cell>
        </row>
        <row r="12">
          <cell r="E12">
            <v>0</v>
          </cell>
          <cell r="G12">
            <v>0</v>
          </cell>
          <cell r="J12">
            <v>13570827</v>
          </cell>
          <cell r="K12">
            <v>0</v>
          </cell>
          <cell r="T12">
            <v>0</v>
          </cell>
          <cell r="AE12">
            <v>6294170</v>
          </cell>
          <cell r="AF12">
            <v>7697018</v>
          </cell>
          <cell r="AJ12">
            <v>236436</v>
          </cell>
        </row>
        <row r="13">
          <cell r="E13">
            <v>0</v>
          </cell>
          <cell r="G13">
            <v>0</v>
          </cell>
          <cell r="J13">
            <v>13088439</v>
          </cell>
          <cell r="K13">
            <v>0</v>
          </cell>
          <cell r="T13">
            <v>0</v>
          </cell>
          <cell r="AE13">
            <v>5928854</v>
          </cell>
          <cell r="AF13">
            <v>7216126</v>
          </cell>
          <cell r="AJ13">
            <v>81145</v>
          </cell>
        </row>
        <row r="14">
          <cell r="E14">
            <v>0</v>
          </cell>
          <cell r="G14">
            <v>0</v>
          </cell>
          <cell r="J14">
            <v>12345984</v>
          </cell>
          <cell r="K14">
            <v>0</v>
          </cell>
          <cell r="T14">
            <v>0</v>
          </cell>
          <cell r="AE14">
            <v>5591356</v>
          </cell>
          <cell r="AF14">
            <v>6810326</v>
          </cell>
          <cell r="AJ14">
            <v>71516</v>
          </cell>
        </row>
        <row r="15">
          <cell r="E15">
            <v>0</v>
          </cell>
          <cell r="G15">
            <v>0</v>
          </cell>
          <cell r="J15">
            <v>12478759</v>
          </cell>
          <cell r="K15">
            <v>0</v>
          </cell>
          <cell r="T15">
            <v>0</v>
          </cell>
          <cell r="AE15">
            <v>5847776</v>
          </cell>
          <cell r="AF15">
            <v>7124825</v>
          </cell>
          <cell r="AJ15">
            <v>333671</v>
          </cell>
        </row>
        <row r="16">
          <cell r="E16">
            <v>0</v>
          </cell>
          <cell r="G16">
            <v>0</v>
          </cell>
          <cell r="J16">
            <v>11860631</v>
          </cell>
          <cell r="K16">
            <v>0</v>
          </cell>
          <cell r="T16">
            <v>0</v>
          </cell>
          <cell r="AE16">
            <v>5415323</v>
          </cell>
          <cell r="AF16">
            <v>6601876</v>
          </cell>
          <cell r="AJ16">
            <v>103242</v>
          </cell>
        </row>
        <row r="17">
          <cell r="E17">
            <v>0</v>
          </cell>
          <cell r="G17">
            <v>0</v>
          </cell>
          <cell r="J17">
            <v>11230592</v>
          </cell>
          <cell r="K17">
            <v>0</v>
          </cell>
          <cell r="T17">
            <v>0</v>
          </cell>
          <cell r="AE17">
            <v>5066388</v>
          </cell>
          <cell r="AF17">
            <v>6186890</v>
          </cell>
          <cell r="AJ17">
            <v>95198</v>
          </cell>
        </row>
        <row r="18">
          <cell r="E18">
            <v>0</v>
          </cell>
          <cell r="G18">
            <v>10000</v>
          </cell>
          <cell r="J18">
            <v>11042643</v>
          </cell>
          <cell r="K18">
            <v>0</v>
          </cell>
          <cell r="T18">
            <v>0</v>
          </cell>
          <cell r="AE18">
            <v>6070749</v>
          </cell>
          <cell r="AF18">
            <v>7377590</v>
          </cell>
          <cell r="AJ18">
            <v>283147</v>
          </cell>
        </row>
        <row r="19">
          <cell r="E19">
            <v>0</v>
          </cell>
          <cell r="G19">
            <v>0</v>
          </cell>
          <cell r="J19">
            <v>9603076</v>
          </cell>
          <cell r="K19">
            <v>0</v>
          </cell>
          <cell r="T19">
            <v>0</v>
          </cell>
          <cell r="AE19">
            <v>5339000</v>
          </cell>
          <cell r="AF19">
            <v>6456000</v>
          </cell>
          <cell r="AJ19">
            <v>0</v>
          </cell>
        </row>
        <row r="20">
          <cell r="E20">
            <v>0</v>
          </cell>
          <cell r="G20">
            <v>0</v>
          </cell>
          <cell r="J20">
            <v>10858000</v>
          </cell>
          <cell r="K20">
            <v>0</v>
          </cell>
          <cell r="T20">
            <v>0</v>
          </cell>
          <cell r="AE20">
            <v>5318000</v>
          </cell>
          <cell r="AF20">
            <v>6400000</v>
          </cell>
          <cell r="AJ20">
            <v>144000</v>
          </cell>
        </row>
        <row r="21">
          <cell r="E21">
            <v>0</v>
          </cell>
          <cell r="G21">
            <v>0</v>
          </cell>
          <cell r="J21">
            <v>9268765</v>
          </cell>
          <cell r="K21">
            <v>0</v>
          </cell>
          <cell r="T21">
            <v>0</v>
          </cell>
          <cell r="AE21">
            <v>5320980</v>
          </cell>
          <cell r="AF21">
            <v>6399902</v>
          </cell>
          <cell r="AJ21">
            <v>294000</v>
          </cell>
        </row>
        <row r="22">
          <cell r="E22">
            <v>0</v>
          </cell>
          <cell r="G22">
            <v>0</v>
          </cell>
          <cell r="J22">
            <v>8878980</v>
          </cell>
          <cell r="K22">
            <v>0</v>
          </cell>
          <cell r="T22">
            <v>0</v>
          </cell>
          <cell r="AE22">
            <v>5317980</v>
          </cell>
          <cell r="AF22">
            <v>6413901</v>
          </cell>
          <cell r="AJ22">
            <v>56000</v>
          </cell>
        </row>
        <row r="23">
          <cell r="E23">
            <v>0</v>
          </cell>
          <cell r="G23">
            <v>0</v>
          </cell>
          <cell r="J23">
            <v>10750768</v>
          </cell>
          <cell r="K23">
            <v>0</v>
          </cell>
          <cell r="T23">
            <v>0</v>
          </cell>
          <cell r="AE23">
            <v>5311980</v>
          </cell>
          <cell r="AF23">
            <v>6399902</v>
          </cell>
          <cell r="AJ23">
            <v>132000</v>
          </cell>
        </row>
        <row r="24">
          <cell r="E24">
            <v>0</v>
          </cell>
          <cell r="G24">
            <v>0</v>
          </cell>
          <cell r="J24">
            <v>10521726</v>
          </cell>
          <cell r="K24">
            <v>0</v>
          </cell>
          <cell r="T24">
            <v>0</v>
          </cell>
          <cell r="AE24">
            <v>5321980</v>
          </cell>
          <cell r="AF24">
            <v>6399902</v>
          </cell>
          <cell r="AJ24">
            <v>257000</v>
          </cell>
        </row>
        <row r="25">
          <cell r="E25">
            <v>0</v>
          </cell>
          <cell r="G25">
            <v>0</v>
          </cell>
          <cell r="J25">
            <v>11063878</v>
          </cell>
          <cell r="K25">
            <v>0</v>
          </cell>
          <cell r="T25">
            <v>0</v>
          </cell>
          <cell r="AE25">
            <v>5315980</v>
          </cell>
          <cell r="AF25">
            <v>6393902</v>
          </cell>
          <cell r="AJ25">
            <v>93000</v>
          </cell>
        </row>
        <row r="26">
          <cell r="E26">
            <v>0</v>
          </cell>
          <cell r="G26">
            <v>0</v>
          </cell>
          <cell r="J26">
            <v>10817789</v>
          </cell>
          <cell r="K26">
            <v>0</v>
          </cell>
          <cell r="T26">
            <v>0</v>
          </cell>
          <cell r="AE26">
            <v>5677954</v>
          </cell>
          <cell r="AF26">
            <v>6100923</v>
          </cell>
          <cell r="AJ26">
            <v>117000</v>
          </cell>
        </row>
        <row r="27">
          <cell r="E27">
            <v>0</v>
          </cell>
          <cell r="G27">
            <v>0</v>
          </cell>
          <cell r="J27">
            <v>10575766</v>
          </cell>
          <cell r="K27">
            <v>0</v>
          </cell>
          <cell r="T27">
            <v>0</v>
          </cell>
          <cell r="AE27">
            <v>5922937</v>
          </cell>
          <cell r="AF27">
            <v>5900938</v>
          </cell>
          <cell r="AJ27">
            <v>303000</v>
          </cell>
        </row>
        <row r="28">
          <cell r="E28">
            <v>0</v>
          </cell>
          <cell r="G28">
            <v>0</v>
          </cell>
          <cell r="J28">
            <v>11843180</v>
          </cell>
          <cell r="K28">
            <v>0</v>
          </cell>
          <cell r="T28">
            <v>0</v>
          </cell>
          <cell r="AE28">
            <v>5972933</v>
          </cell>
          <cell r="AF28">
            <v>5948934</v>
          </cell>
          <cell r="AJ28">
            <v>59000</v>
          </cell>
        </row>
        <row r="29">
          <cell r="E29">
            <v>0</v>
          </cell>
          <cell r="G29">
            <v>0</v>
          </cell>
          <cell r="J29">
            <v>12036286</v>
          </cell>
          <cell r="K29">
            <v>0</v>
          </cell>
          <cell r="T29">
            <v>0</v>
          </cell>
          <cell r="AE29">
            <v>6053927</v>
          </cell>
          <cell r="AF29">
            <v>6023929</v>
          </cell>
          <cell r="AJ29">
            <v>129000</v>
          </cell>
        </row>
        <row r="30">
          <cell r="E30">
            <v>0</v>
          </cell>
          <cell r="G30">
            <v>0</v>
          </cell>
          <cell r="J30">
            <v>12297474</v>
          </cell>
          <cell r="K30">
            <v>0</v>
          </cell>
          <cell r="T30">
            <v>0</v>
          </cell>
          <cell r="AE30">
            <v>6498894</v>
          </cell>
          <cell r="AF30">
            <v>6464897</v>
          </cell>
          <cell r="AJ30">
            <v>329999</v>
          </cell>
        </row>
        <row r="31">
          <cell r="E31">
            <v>0</v>
          </cell>
          <cell r="G31">
            <v>0</v>
          </cell>
          <cell r="J31">
            <v>12570451</v>
          </cell>
          <cell r="K31">
            <v>0</v>
          </cell>
          <cell r="T31">
            <v>0</v>
          </cell>
          <cell r="AE31">
            <v>6161919</v>
          </cell>
          <cell r="AF31">
            <v>6130922</v>
          </cell>
          <cell r="AJ31">
            <v>3000</v>
          </cell>
        </row>
        <row r="32">
          <cell r="E32">
            <v>0</v>
          </cell>
          <cell r="G32">
            <v>0</v>
          </cell>
          <cell r="J32">
            <v>11127916</v>
          </cell>
          <cell r="K32">
            <v>0</v>
          </cell>
          <cell r="T32">
            <v>0</v>
          </cell>
          <cell r="AE32">
            <v>5610959</v>
          </cell>
          <cell r="AF32">
            <v>5579961</v>
          </cell>
          <cell r="AJ32">
            <v>122000</v>
          </cell>
        </row>
        <row r="33">
          <cell r="E33">
            <v>0</v>
          </cell>
          <cell r="G33">
            <v>0</v>
          </cell>
          <cell r="J33">
            <v>10479740</v>
          </cell>
          <cell r="K33">
            <v>0</v>
          </cell>
          <cell r="T33">
            <v>0</v>
          </cell>
          <cell r="AE33">
            <v>5580961</v>
          </cell>
          <cell r="AF33">
            <v>5516966</v>
          </cell>
          <cell r="AJ33">
            <v>330999</v>
          </cell>
        </row>
        <row r="34">
          <cell r="E34">
            <v>0</v>
          </cell>
          <cell r="G34">
            <v>0</v>
          </cell>
          <cell r="J34">
            <v>12203301</v>
          </cell>
          <cell r="K34">
            <v>0</v>
          </cell>
          <cell r="T34">
            <v>0</v>
          </cell>
          <cell r="AE34">
            <v>5998930</v>
          </cell>
          <cell r="AF34">
            <v>5967932</v>
          </cell>
          <cell r="AJ34">
            <v>0</v>
          </cell>
        </row>
        <row r="35">
          <cell r="E35">
            <v>0</v>
          </cell>
          <cell r="G35">
            <v>0</v>
          </cell>
          <cell r="J35">
            <v>11863208</v>
          </cell>
          <cell r="K35">
            <v>0</v>
          </cell>
          <cell r="T35">
            <v>0</v>
          </cell>
          <cell r="AE35">
            <v>5999930</v>
          </cell>
          <cell r="AF35">
            <v>5967932</v>
          </cell>
          <cell r="AJ35">
            <v>108000</v>
          </cell>
        </row>
        <row r="36">
          <cell r="E36">
            <v>0</v>
          </cell>
          <cell r="G36">
            <v>0</v>
          </cell>
          <cell r="J36">
            <v>11870289</v>
          </cell>
          <cell r="K36">
            <v>0</v>
          </cell>
          <cell r="T36">
            <v>0</v>
          </cell>
          <cell r="AE36">
            <v>6264911</v>
          </cell>
          <cell r="AF36">
            <v>6231914</v>
          </cell>
          <cell r="AJ36">
            <v>303000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NTTP Chem Flow Changes"/>
      <sheetName val="Midnight Numbers"/>
      <sheetName val="Production Summary"/>
      <sheetName val="Chemical Summary"/>
    </sheetNames>
    <sheetDataSet>
      <sheetData sheetId="0"/>
      <sheetData sheetId="1"/>
      <sheetData sheetId="2"/>
      <sheetData sheetId="3"/>
      <sheetData sheetId="4"/>
      <sheetData sheetId="5"/>
      <sheetData sheetId="6">
        <row r="37">
          <cell r="C37">
            <v>12201000</v>
          </cell>
          <cell r="E37">
            <v>0</v>
          </cell>
          <cell r="F37">
            <v>0</v>
          </cell>
          <cell r="G37">
            <v>0</v>
          </cell>
          <cell r="I37">
            <v>11872999.999999978</v>
          </cell>
          <cell r="J37">
            <v>0</v>
          </cell>
          <cell r="T37">
            <v>0</v>
          </cell>
          <cell r="AA37">
            <v>320000.0000000216</v>
          </cell>
        </row>
        <row r="38">
          <cell r="C38">
            <v>12690000</v>
          </cell>
          <cell r="E38">
            <v>0</v>
          </cell>
          <cell r="F38">
            <v>0</v>
          </cell>
          <cell r="G38">
            <v>0</v>
          </cell>
          <cell r="I38">
            <v>12487000.000000017</v>
          </cell>
          <cell r="J38">
            <v>0</v>
          </cell>
          <cell r="T38">
            <v>0</v>
          </cell>
          <cell r="AA38">
            <v>198999.99999998385</v>
          </cell>
        </row>
        <row r="39">
          <cell r="C39">
            <v>12351000</v>
          </cell>
          <cell r="E39">
            <v>0</v>
          </cell>
          <cell r="F39">
            <v>0</v>
          </cell>
          <cell r="G39">
            <v>0</v>
          </cell>
          <cell r="I39">
            <v>12092999.999999994</v>
          </cell>
          <cell r="J39">
            <v>0</v>
          </cell>
          <cell r="T39">
            <v>0</v>
          </cell>
          <cell r="AA39">
            <v>251000.00000000477</v>
          </cell>
        </row>
        <row r="40">
          <cell r="C40">
            <v>11936000</v>
          </cell>
          <cell r="E40">
            <v>0</v>
          </cell>
          <cell r="F40">
            <v>0</v>
          </cell>
          <cell r="G40">
            <v>0</v>
          </cell>
          <cell r="I40">
            <v>11677000.000000015</v>
          </cell>
          <cell r="J40">
            <v>0</v>
          </cell>
          <cell r="T40">
            <v>0</v>
          </cell>
          <cell r="AA40">
            <v>252999.99999998591</v>
          </cell>
        </row>
        <row r="41">
          <cell r="C41">
            <v>12450000</v>
          </cell>
          <cell r="E41">
            <v>0</v>
          </cell>
          <cell r="F41">
            <v>0</v>
          </cell>
          <cell r="G41">
            <v>0</v>
          </cell>
          <cell r="I41">
            <v>12124999.999999993</v>
          </cell>
          <cell r="J41">
            <v>0</v>
          </cell>
          <cell r="T41">
            <v>0</v>
          </cell>
          <cell r="AA41">
            <v>317000.00000000728</v>
          </cell>
        </row>
        <row r="42">
          <cell r="C42">
            <v>12541000</v>
          </cell>
          <cell r="E42">
            <v>0</v>
          </cell>
          <cell r="F42">
            <v>0</v>
          </cell>
          <cell r="G42">
            <v>0</v>
          </cell>
          <cell r="I42">
            <v>12335999.999999983</v>
          </cell>
          <cell r="J42">
            <v>0</v>
          </cell>
          <cell r="T42">
            <v>0</v>
          </cell>
          <cell r="AA42">
            <v>200000.00000001705</v>
          </cell>
        </row>
        <row r="43">
          <cell r="C43">
            <v>11716000</v>
          </cell>
          <cell r="E43">
            <v>0</v>
          </cell>
          <cell r="F43">
            <v>0</v>
          </cell>
          <cell r="G43">
            <v>0</v>
          </cell>
          <cell r="I43">
            <v>11377000.000000011</v>
          </cell>
          <cell r="J43">
            <v>0</v>
          </cell>
          <cell r="T43">
            <v>0</v>
          </cell>
          <cell r="AA43">
            <v>330999.99999998888</v>
          </cell>
        </row>
        <row r="44">
          <cell r="C44">
            <v>11380000</v>
          </cell>
          <cell r="E44">
            <v>0</v>
          </cell>
          <cell r="F44">
            <v>0</v>
          </cell>
          <cell r="G44">
            <v>0</v>
          </cell>
          <cell r="I44">
            <v>11108000.000000013</v>
          </cell>
          <cell r="J44">
            <v>0</v>
          </cell>
          <cell r="T44">
            <v>0</v>
          </cell>
          <cell r="AA44">
            <v>264999.99999998638</v>
          </cell>
        </row>
        <row r="45">
          <cell r="C45">
            <v>13018000</v>
          </cell>
          <cell r="E45">
            <v>0</v>
          </cell>
          <cell r="F45">
            <v>0</v>
          </cell>
          <cell r="G45">
            <v>0</v>
          </cell>
          <cell r="I45">
            <v>12677999.999999978</v>
          </cell>
          <cell r="J45">
            <v>0</v>
          </cell>
          <cell r="T45">
            <v>0</v>
          </cell>
          <cell r="AA45">
            <v>332000.00000002206</v>
          </cell>
        </row>
        <row r="46">
          <cell r="C46">
            <v>12787000</v>
          </cell>
          <cell r="E46">
            <v>0</v>
          </cell>
          <cell r="F46">
            <v>0</v>
          </cell>
          <cell r="G46">
            <v>0</v>
          </cell>
          <cell r="I46">
            <v>12514000.000000004</v>
          </cell>
          <cell r="J46">
            <v>0</v>
          </cell>
          <cell r="T46">
            <v>0</v>
          </cell>
          <cell r="AA46">
            <v>266999.99999999593</v>
          </cell>
        </row>
        <row r="47">
          <cell r="C47">
            <v>12522000</v>
          </cell>
          <cell r="E47">
            <v>0</v>
          </cell>
          <cell r="F47">
            <v>0</v>
          </cell>
          <cell r="G47">
            <v>0</v>
          </cell>
          <cell r="I47">
            <v>12318000.000000017</v>
          </cell>
          <cell r="J47">
            <v>0</v>
          </cell>
          <cell r="T47">
            <v>0</v>
          </cell>
          <cell r="AA47">
            <v>198999.99999998385</v>
          </cell>
        </row>
        <row r="48">
          <cell r="C48">
            <v>11327000</v>
          </cell>
          <cell r="E48">
            <v>0</v>
          </cell>
          <cell r="F48">
            <v>0</v>
          </cell>
          <cell r="G48">
            <v>0</v>
          </cell>
          <cell r="I48">
            <v>10919999.999999976</v>
          </cell>
          <cell r="J48">
            <v>0</v>
          </cell>
          <cell r="T48">
            <v>0</v>
          </cell>
          <cell r="AA48">
            <v>398000.00000002456</v>
          </cell>
        </row>
        <row r="49">
          <cell r="C49">
            <v>11039000</v>
          </cell>
          <cell r="E49">
            <v>0</v>
          </cell>
          <cell r="F49">
            <v>0</v>
          </cell>
          <cell r="G49">
            <v>0</v>
          </cell>
          <cell r="I49">
            <v>10766000.000000009</v>
          </cell>
          <cell r="J49">
            <v>0</v>
          </cell>
          <cell r="T49">
            <v>0</v>
          </cell>
          <cell r="AA49">
            <v>265999.99999999115</v>
          </cell>
        </row>
        <row r="50">
          <cell r="C50">
            <v>12160000</v>
          </cell>
          <cell r="E50">
            <v>0</v>
          </cell>
          <cell r="F50">
            <v>0</v>
          </cell>
          <cell r="G50">
            <v>0</v>
          </cell>
          <cell r="I50">
            <v>11886000</v>
          </cell>
          <cell r="J50">
            <v>0</v>
          </cell>
          <cell r="T50">
            <v>0</v>
          </cell>
          <cell r="AA50">
            <v>268000.0000000007</v>
          </cell>
        </row>
        <row r="51">
          <cell r="C51">
            <v>11935000</v>
          </cell>
          <cell r="E51">
            <v>0</v>
          </cell>
          <cell r="F51">
            <v>0</v>
          </cell>
          <cell r="G51">
            <v>0</v>
          </cell>
          <cell r="I51">
            <v>11662000.000000009</v>
          </cell>
          <cell r="J51">
            <v>0</v>
          </cell>
          <cell r="T51">
            <v>0</v>
          </cell>
          <cell r="AA51">
            <v>265999.99999999115</v>
          </cell>
        </row>
        <row r="52">
          <cell r="C52">
            <v>12134000</v>
          </cell>
          <cell r="E52">
            <v>0</v>
          </cell>
          <cell r="F52">
            <v>0</v>
          </cell>
          <cell r="G52">
            <v>0</v>
          </cell>
          <cell r="I52">
            <v>11929999.999999987</v>
          </cell>
          <cell r="J52">
            <v>0</v>
          </cell>
          <cell r="T52">
            <v>0</v>
          </cell>
          <cell r="AA52">
            <v>199000.00000001228</v>
          </cell>
        </row>
        <row r="53">
          <cell r="C53">
            <v>13145000</v>
          </cell>
          <cell r="E53">
            <v>0</v>
          </cell>
          <cell r="F53">
            <v>0</v>
          </cell>
          <cell r="G53">
            <v>0</v>
          </cell>
          <cell r="I53">
            <v>12804000.000000002</v>
          </cell>
          <cell r="J53">
            <v>0</v>
          </cell>
          <cell r="T53">
            <v>0</v>
          </cell>
          <cell r="AA53">
            <v>332999.99999999843</v>
          </cell>
        </row>
        <row r="54">
          <cell r="C54">
            <v>13143000</v>
          </cell>
          <cell r="E54">
            <v>0</v>
          </cell>
          <cell r="F54">
            <v>0</v>
          </cell>
          <cell r="G54">
            <v>0</v>
          </cell>
          <cell r="I54">
            <v>12870000.000000004</v>
          </cell>
          <cell r="J54">
            <v>0</v>
          </cell>
          <cell r="T54">
            <v>0</v>
          </cell>
          <cell r="AA54">
            <v>266999.99999999593</v>
          </cell>
        </row>
        <row r="55">
          <cell r="C55">
            <v>11949000</v>
          </cell>
          <cell r="E55">
            <v>0</v>
          </cell>
          <cell r="F55">
            <v>0</v>
          </cell>
          <cell r="G55">
            <v>0</v>
          </cell>
          <cell r="I55">
            <v>11678000.000000013</v>
          </cell>
          <cell r="J55">
            <v>0</v>
          </cell>
          <cell r="T55">
            <v>0</v>
          </cell>
          <cell r="AA55">
            <v>264999.99999998638</v>
          </cell>
        </row>
        <row r="56">
          <cell r="C56">
            <v>11032000</v>
          </cell>
          <cell r="E56">
            <v>0</v>
          </cell>
          <cell r="F56">
            <v>0</v>
          </cell>
          <cell r="G56">
            <v>0</v>
          </cell>
          <cell r="I56">
            <v>10758999.999999981</v>
          </cell>
          <cell r="J56">
            <v>0</v>
          </cell>
          <cell r="T56">
            <v>0</v>
          </cell>
          <cell r="AA56">
            <v>266000.00000001956</v>
          </cell>
        </row>
        <row r="57">
          <cell r="C57">
            <v>12401000</v>
          </cell>
          <cell r="E57">
            <v>0</v>
          </cell>
          <cell r="F57">
            <v>0</v>
          </cell>
          <cell r="G57">
            <v>0</v>
          </cell>
          <cell r="I57">
            <v>12129000.000000009</v>
          </cell>
          <cell r="J57">
            <v>0</v>
          </cell>
          <cell r="T57">
            <v>0</v>
          </cell>
          <cell r="AA57">
            <v>265999.99999999115</v>
          </cell>
        </row>
        <row r="58">
          <cell r="C58">
            <v>13021000</v>
          </cell>
          <cell r="E58">
            <v>0</v>
          </cell>
          <cell r="F58">
            <v>0</v>
          </cell>
          <cell r="G58">
            <v>0</v>
          </cell>
          <cell r="I58">
            <v>12678999.999999996</v>
          </cell>
          <cell r="J58">
            <v>0</v>
          </cell>
          <cell r="T58">
            <v>0</v>
          </cell>
          <cell r="AA58">
            <v>334000.0000000032</v>
          </cell>
        </row>
        <row r="59">
          <cell r="C59">
            <v>13039000</v>
          </cell>
          <cell r="E59">
            <v>0</v>
          </cell>
          <cell r="F59">
            <v>0</v>
          </cell>
          <cell r="G59">
            <v>0</v>
          </cell>
          <cell r="I59">
            <v>12902000.000000013</v>
          </cell>
          <cell r="J59">
            <v>0</v>
          </cell>
          <cell r="T59">
            <v>0</v>
          </cell>
          <cell r="AA59">
            <v>133999.99999998612</v>
          </cell>
        </row>
        <row r="60">
          <cell r="C60">
            <v>12399000</v>
          </cell>
          <cell r="E60">
            <v>0</v>
          </cell>
          <cell r="F60">
            <v>0</v>
          </cell>
          <cell r="G60">
            <v>0</v>
          </cell>
          <cell r="I60">
            <v>12058000.000000002</v>
          </cell>
          <cell r="J60">
            <v>0</v>
          </cell>
          <cell r="T60">
            <v>0</v>
          </cell>
          <cell r="AA60">
            <v>332999.99999999843</v>
          </cell>
        </row>
        <row r="61">
          <cell r="C61">
            <v>11878000</v>
          </cell>
          <cell r="E61">
            <v>0</v>
          </cell>
          <cell r="F61">
            <v>0</v>
          </cell>
          <cell r="G61">
            <v>0</v>
          </cell>
          <cell r="I61">
            <v>11603999.999999976</v>
          </cell>
          <cell r="J61">
            <v>0</v>
          </cell>
          <cell r="T61">
            <v>0</v>
          </cell>
          <cell r="AA61">
            <v>267000.00000002433</v>
          </cell>
        </row>
        <row r="62">
          <cell r="C62">
            <v>12744000</v>
          </cell>
          <cell r="E62">
            <v>0</v>
          </cell>
          <cell r="F62">
            <v>0</v>
          </cell>
          <cell r="G62">
            <v>0</v>
          </cell>
          <cell r="I62">
            <v>12405000.000000011</v>
          </cell>
          <cell r="J62">
            <v>0</v>
          </cell>
          <cell r="T62">
            <v>0</v>
          </cell>
          <cell r="AA62">
            <v>330999.99999998888</v>
          </cell>
        </row>
        <row r="63">
          <cell r="C63">
            <v>12106000</v>
          </cell>
          <cell r="E63">
            <v>0</v>
          </cell>
          <cell r="F63">
            <v>0</v>
          </cell>
          <cell r="G63">
            <v>0</v>
          </cell>
          <cell r="I63">
            <v>11833000.000000004</v>
          </cell>
          <cell r="J63">
            <v>0</v>
          </cell>
          <cell r="T63">
            <v>0</v>
          </cell>
          <cell r="AA63">
            <v>266999.99999999593</v>
          </cell>
        </row>
        <row r="64">
          <cell r="C64">
            <v>11548000</v>
          </cell>
          <cell r="E64">
            <v>0</v>
          </cell>
          <cell r="F64">
            <v>0</v>
          </cell>
          <cell r="G64">
            <v>0</v>
          </cell>
          <cell r="I64">
            <v>11343999.999999987</v>
          </cell>
          <cell r="J64">
            <v>0</v>
          </cell>
          <cell r="T64">
            <v>0</v>
          </cell>
          <cell r="AA64">
            <v>199000.00000001228</v>
          </cell>
        </row>
        <row r="65">
          <cell r="C65">
            <v>12058000</v>
          </cell>
          <cell r="E65">
            <v>0</v>
          </cell>
          <cell r="F65">
            <v>0</v>
          </cell>
          <cell r="G65">
            <v>0</v>
          </cell>
          <cell r="I65">
            <v>11786000.000000013</v>
          </cell>
          <cell r="J65">
            <v>0</v>
          </cell>
          <cell r="T65">
            <v>0</v>
          </cell>
          <cell r="AA65">
            <v>264999.99999998638</v>
          </cell>
        </row>
        <row r="66">
          <cell r="C66">
            <v>12277000</v>
          </cell>
          <cell r="E66">
            <v>0</v>
          </cell>
          <cell r="F66">
            <v>0</v>
          </cell>
          <cell r="G66">
            <v>0</v>
          </cell>
          <cell r="I66">
            <v>12003000</v>
          </cell>
          <cell r="J66">
            <v>0</v>
          </cell>
          <cell r="AA66">
            <v>268000.0000000007</v>
          </cell>
        </row>
        <row r="67">
          <cell r="C67">
            <v>12625000</v>
          </cell>
          <cell r="E67">
            <v>0</v>
          </cell>
          <cell r="F67">
            <v>0</v>
          </cell>
          <cell r="G67">
            <v>0</v>
          </cell>
          <cell r="I67">
            <v>12350000</v>
          </cell>
          <cell r="J67">
            <v>0</v>
          </cell>
          <cell r="AA67">
            <v>268000.0000000007</v>
          </cell>
        </row>
        <row r="68">
          <cell r="C68">
            <v>13588000</v>
          </cell>
          <cell r="E68">
            <v>0</v>
          </cell>
          <cell r="F68">
            <v>0</v>
          </cell>
          <cell r="G68">
            <v>0</v>
          </cell>
          <cell r="I68">
            <v>13316000.000000009</v>
          </cell>
          <cell r="J68">
            <v>0</v>
          </cell>
          <cell r="AA68">
            <v>265999.99999999115</v>
          </cell>
        </row>
        <row r="69">
          <cell r="C69">
            <v>13364000</v>
          </cell>
          <cell r="E69">
            <v>0</v>
          </cell>
          <cell r="F69">
            <v>0</v>
          </cell>
          <cell r="G69">
            <v>0</v>
          </cell>
          <cell r="I69">
            <v>13023000.000000002</v>
          </cell>
          <cell r="J69">
            <v>0</v>
          </cell>
          <cell r="AA69">
            <v>332999.99999999843</v>
          </cell>
        </row>
        <row r="70">
          <cell r="C70">
            <v>12810000</v>
          </cell>
          <cell r="E70">
            <v>0</v>
          </cell>
          <cell r="F70">
            <v>0</v>
          </cell>
          <cell r="G70">
            <v>0</v>
          </cell>
          <cell r="I70">
            <v>12538999.999999985</v>
          </cell>
          <cell r="J70">
            <v>0</v>
          </cell>
          <cell r="AA70">
            <v>265000.00000001478</v>
          </cell>
        </row>
        <row r="71">
          <cell r="C71">
            <v>12234000</v>
          </cell>
          <cell r="E71">
            <v>1000000</v>
          </cell>
          <cell r="F71">
            <v>0</v>
          </cell>
          <cell r="G71">
            <v>0</v>
          </cell>
          <cell r="I71">
            <v>11890999.999999993</v>
          </cell>
          <cell r="J71">
            <v>0</v>
          </cell>
          <cell r="AA71">
            <v>335000.00000000797</v>
          </cell>
        </row>
        <row r="72">
          <cell r="C72">
            <v>13418000</v>
          </cell>
          <cell r="E72">
            <v>6000000</v>
          </cell>
          <cell r="F72">
            <v>0</v>
          </cell>
          <cell r="G72">
            <v>0</v>
          </cell>
          <cell r="I72">
            <v>13225000.000000011</v>
          </cell>
          <cell r="J72">
            <v>0</v>
          </cell>
          <cell r="AA72">
            <v>187999.99999998818</v>
          </cell>
        </row>
        <row r="73">
          <cell r="C73">
            <v>13397000</v>
          </cell>
          <cell r="E73">
            <v>11000000</v>
          </cell>
          <cell r="F73">
            <v>0</v>
          </cell>
          <cell r="G73">
            <v>0</v>
          </cell>
          <cell r="I73">
            <v>13124000.000000009</v>
          </cell>
          <cell r="J73">
            <v>0</v>
          </cell>
          <cell r="AA73">
            <v>265999.99999999115</v>
          </cell>
        </row>
        <row r="74">
          <cell r="C74">
            <v>13228000</v>
          </cell>
          <cell r="E74">
            <v>5000000</v>
          </cell>
          <cell r="F74">
            <v>0</v>
          </cell>
          <cell r="G74">
            <v>0</v>
          </cell>
          <cell r="I74">
            <v>13025999.999999993</v>
          </cell>
          <cell r="J74">
            <v>0</v>
          </cell>
          <cell r="AA74">
            <v>198000.00000000751</v>
          </cell>
        </row>
        <row r="75">
          <cell r="C75">
            <v>12929000</v>
          </cell>
          <cell r="E75">
            <v>5000000</v>
          </cell>
          <cell r="F75">
            <v>0</v>
          </cell>
          <cell r="G75">
            <v>0</v>
          </cell>
          <cell r="I75">
            <v>12656000.000000009</v>
          </cell>
          <cell r="J75">
            <v>0</v>
          </cell>
          <cell r="AA75">
            <v>265999.99999999115</v>
          </cell>
        </row>
        <row r="76">
          <cell r="C76">
            <v>12184000</v>
          </cell>
          <cell r="E76">
            <v>5000000</v>
          </cell>
          <cell r="F76">
            <v>0</v>
          </cell>
          <cell r="G76">
            <v>0</v>
          </cell>
          <cell r="I76">
            <v>11776999.999999976</v>
          </cell>
          <cell r="J76">
            <v>0</v>
          </cell>
          <cell r="AA76">
            <v>398000.00000002456</v>
          </cell>
        </row>
        <row r="77">
          <cell r="C77">
            <v>11614000</v>
          </cell>
          <cell r="E77">
            <v>5000000</v>
          </cell>
          <cell r="F77">
            <v>0</v>
          </cell>
          <cell r="G77">
            <v>0</v>
          </cell>
          <cell r="I77">
            <v>11476000.000000013</v>
          </cell>
          <cell r="J77">
            <v>0</v>
          </cell>
          <cell r="AA77">
            <v>133999.99999998612</v>
          </cell>
        </row>
        <row r="78">
          <cell r="C78">
            <v>12912000</v>
          </cell>
          <cell r="E78">
            <v>5000000</v>
          </cell>
          <cell r="F78">
            <v>0</v>
          </cell>
          <cell r="G78">
            <v>0</v>
          </cell>
          <cell r="I78">
            <v>12572000.000000006</v>
          </cell>
          <cell r="J78">
            <v>0</v>
          </cell>
          <cell r="AA78">
            <v>331999.99999999366</v>
          </cell>
        </row>
        <row r="79">
          <cell r="C79">
            <v>13087000</v>
          </cell>
          <cell r="E79">
            <v>5000000</v>
          </cell>
          <cell r="F79">
            <v>0</v>
          </cell>
          <cell r="G79">
            <v>0</v>
          </cell>
          <cell r="I79">
            <v>12814999.999999981</v>
          </cell>
          <cell r="J79">
            <v>0</v>
          </cell>
          <cell r="AA79">
            <v>266000.00000001956</v>
          </cell>
        </row>
        <row r="80">
          <cell r="C80">
            <v>13244000</v>
          </cell>
          <cell r="E80">
            <v>5000000</v>
          </cell>
          <cell r="F80">
            <v>0</v>
          </cell>
          <cell r="G80">
            <v>0</v>
          </cell>
          <cell r="I80">
            <v>12904000.000000006</v>
          </cell>
          <cell r="J80">
            <v>0</v>
          </cell>
          <cell r="AA80">
            <v>331999.99999999366</v>
          </cell>
        </row>
        <row r="81">
          <cell r="C81">
            <v>13352000</v>
          </cell>
          <cell r="E81">
            <v>4000000</v>
          </cell>
          <cell r="F81">
            <v>0</v>
          </cell>
          <cell r="G81">
            <v>0</v>
          </cell>
          <cell r="I81">
            <v>13079000.000000004</v>
          </cell>
          <cell r="J81">
            <v>0</v>
          </cell>
          <cell r="AA81">
            <v>266999.99999999593</v>
          </cell>
        </row>
        <row r="82">
          <cell r="C82">
            <v>10061000</v>
          </cell>
          <cell r="E82">
            <v>5000000</v>
          </cell>
          <cell r="F82">
            <v>0</v>
          </cell>
          <cell r="G82">
            <v>0</v>
          </cell>
          <cell r="I82">
            <v>9788000.0000000093</v>
          </cell>
          <cell r="J82">
            <v>6000000</v>
          </cell>
          <cell r="S82">
            <v>402307</v>
          </cell>
          <cell r="AA82">
            <v>265999.99999999115</v>
          </cell>
        </row>
        <row r="83">
          <cell r="C83">
            <v>6664000</v>
          </cell>
          <cell r="E83">
            <v>5000000</v>
          </cell>
          <cell r="F83">
            <v>0</v>
          </cell>
          <cell r="G83">
            <v>0</v>
          </cell>
          <cell r="I83">
            <v>6527999.9999999907</v>
          </cell>
          <cell r="J83">
            <v>6520000.0000004368</v>
          </cell>
          <cell r="S83">
            <v>459997</v>
          </cell>
          <cell r="AA83">
            <v>133000.00000000978</v>
          </cell>
        </row>
        <row r="84">
          <cell r="C84">
            <v>6251000</v>
          </cell>
          <cell r="E84">
            <v>6000000</v>
          </cell>
          <cell r="F84">
            <v>0</v>
          </cell>
          <cell r="G84">
            <v>0</v>
          </cell>
          <cell r="I84">
            <v>6115999.9999999953</v>
          </cell>
          <cell r="J84">
            <v>4579999.9999999274</v>
          </cell>
          <cell r="S84">
            <v>487319</v>
          </cell>
          <cell r="AA84">
            <v>132000.00000000501</v>
          </cell>
        </row>
        <row r="85">
          <cell r="C85">
            <v>4890000</v>
          </cell>
          <cell r="E85">
            <v>5000000</v>
          </cell>
          <cell r="F85">
            <v>0</v>
          </cell>
          <cell r="G85">
            <v>0</v>
          </cell>
          <cell r="I85">
            <v>4686999.9999999925</v>
          </cell>
          <cell r="J85">
            <v>4899999.9999996359</v>
          </cell>
          <cell r="S85">
            <v>514415</v>
          </cell>
          <cell r="AA85">
            <v>198000.00000000751</v>
          </cell>
        </row>
        <row r="86">
          <cell r="C86">
            <v>4993000</v>
          </cell>
          <cell r="E86">
            <v>5000000</v>
          </cell>
          <cell r="F86">
            <v>0</v>
          </cell>
          <cell r="G86">
            <v>0</v>
          </cell>
          <cell r="I86">
            <v>4857000.0000000186</v>
          </cell>
          <cell r="J86">
            <v>5010000.0000002179</v>
          </cell>
          <cell r="S86">
            <v>615135</v>
          </cell>
          <cell r="AA86">
            <v>132999.99999998134</v>
          </cell>
        </row>
        <row r="87">
          <cell r="C87">
            <v>5003000</v>
          </cell>
          <cell r="E87">
            <v>7000000</v>
          </cell>
          <cell r="F87">
            <v>0</v>
          </cell>
          <cell r="G87">
            <v>0</v>
          </cell>
          <cell r="I87">
            <v>4798999.9999999879</v>
          </cell>
          <cell r="J87">
            <v>6149999.9999996359</v>
          </cell>
          <cell r="S87">
            <v>765324</v>
          </cell>
          <cell r="AA87">
            <v>199000.00000001228</v>
          </cell>
        </row>
        <row r="88">
          <cell r="C88">
            <v>5405000</v>
          </cell>
          <cell r="E88">
            <v>7000000</v>
          </cell>
          <cell r="F88">
            <v>0</v>
          </cell>
          <cell r="G88">
            <v>0</v>
          </cell>
          <cell r="I88">
            <v>5269999.9999999953</v>
          </cell>
          <cell r="J88">
            <v>5810000.0000004005</v>
          </cell>
          <cell r="S88">
            <v>633286</v>
          </cell>
          <cell r="AA88">
            <v>132000.00000000501</v>
          </cell>
        </row>
        <row r="89">
          <cell r="C89">
            <v>6029000</v>
          </cell>
          <cell r="E89">
            <v>6000000</v>
          </cell>
          <cell r="F89">
            <v>0</v>
          </cell>
          <cell r="G89">
            <v>10000</v>
          </cell>
          <cell r="I89">
            <v>5893000.0000000186</v>
          </cell>
          <cell r="J89">
            <v>5920000.0000000726</v>
          </cell>
          <cell r="S89">
            <v>600589</v>
          </cell>
          <cell r="AA89">
            <v>132999.99999998134</v>
          </cell>
        </row>
        <row r="90">
          <cell r="C90">
            <v>5839000</v>
          </cell>
          <cell r="E90">
            <v>6000000</v>
          </cell>
          <cell r="F90">
            <v>0</v>
          </cell>
          <cell r="G90">
            <v>0</v>
          </cell>
          <cell r="I90">
            <v>5770999.9999999972</v>
          </cell>
          <cell r="J90">
            <v>4299999.9999992726</v>
          </cell>
          <cell r="S90">
            <v>745223</v>
          </cell>
          <cell r="AA90">
            <v>66000.000000002503</v>
          </cell>
        </row>
        <row r="91">
          <cell r="C91">
            <v>5553000</v>
          </cell>
          <cell r="E91">
            <v>6000000</v>
          </cell>
          <cell r="F91">
            <v>0</v>
          </cell>
          <cell r="G91">
            <v>0</v>
          </cell>
          <cell r="I91">
            <v>5348999.9999999879</v>
          </cell>
          <cell r="J91">
            <v>5330000.0000008363</v>
          </cell>
          <cell r="S91">
            <v>716434</v>
          </cell>
          <cell r="AA91">
            <v>199000.00000001228</v>
          </cell>
        </row>
        <row r="92">
          <cell r="C92">
            <v>5327000</v>
          </cell>
          <cell r="E92">
            <v>6000000</v>
          </cell>
          <cell r="F92">
            <v>0</v>
          </cell>
          <cell r="G92">
            <v>0</v>
          </cell>
          <cell r="I92">
            <v>5191999.9999999953</v>
          </cell>
          <cell r="J92">
            <v>5389999.9999994179</v>
          </cell>
          <cell r="S92">
            <v>595502</v>
          </cell>
          <cell r="AA92">
            <v>132000.00000000501</v>
          </cell>
        </row>
        <row r="93">
          <cell r="C93">
            <v>5198000</v>
          </cell>
          <cell r="E93">
            <v>6000000</v>
          </cell>
          <cell r="F93">
            <v>0</v>
          </cell>
          <cell r="G93">
            <v>10000</v>
          </cell>
          <cell r="I93">
            <v>5063000.0000000233</v>
          </cell>
          <cell r="J93">
            <v>5250000</v>
          </cell>
          <cell r="S93">
            <v>514797</v>
          </cell>
          <cell r="AA93">
            <v>131999.99999997657</v>
          </cell>
        </row>
        <row r="94">
          <cell r="C94">
            <v>4821000</v>
          </cell>
          <cell r="E94">
            <v>5000000</v>
          </cell>
          <cell r="F94">
            <v>0</v>
          </cell>
          <cell r="G94">
            <v>0</v>
          </cell>
          <cell r="I94">
            <v>4684999.9999999953</v>
          </cell>
          <cell r="J94">
            <v>5860000.0000005821</v>
          </cell>
          <cell r="S94">
            <v>409626</v>
          </cell>
          <cell r="AA94">
            <v>132000.00000000501</v>
          </cell>
        </row>
        <row r="95">
          <cell r="C95">
            <v>5046000</v>
          </cell>
          <cell r="E95">
            <v>7000000</v>
          </cell>
          <cell r="F95">
            <v>0</v>
          </cell>
          <cell r="G95">
            <v>0</v>
          </cell>
          <cell r="I95">
            <v>4977999.9999999925</v>
          </cell>
          <cell r="J95">
            <v>5969999.9999993453</v>
          </cell>
          <cell r="S95">
            <v>494492</v>
          </cell>
          <cell r="AA95">
            <v>67000.000000007276</v>
          </cell>
        </row>
      </sheetData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NTTP Chem Flow Changes"/>
      <sheetName val="Midnight Numbers"/>
      <sheetName val="Production Summary"/>
      <sheetName val="Chemical Summary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C6">
            <v>6154000</v>
          </cell>
          <cell r="E6">
            <v>10000000</v>
          </cell>
          <cell r="F6">
            <v>0</v>
          </cell>
          <cell r="G6">
            <v>0</v>
          </cell>
          <cell r="I6">
            <v>5950000.0000000158</v>
          </cell>
          <cell r="J6">
            <v>9020000.0000004359</v>
          </cell>
          <cell r="S6">
            <v>887738</v>
          </cell>
          <cell r="AB6">
            <v>6154000</v>
          </cell>
        </row>
        <row r="7">
          <cell r="C7">
            <v>5858000</v>
          </cell>
          <cell r="E7">
            <v>8000000</v>
          </cell>
          <cell r="F7">
            <v>0</v>
          </cell>
          <cell r="G7">
            <v>0</v>
          </cell>
          <cell r="I7">
            <v>5656999.9999999972</v>
          </cell>
          <cell r="J7">
            <v>7059999.9999994906</v>
          </cell>
          <cell r="S7">
            <v>750795</v>
          </cell>
          <cell r="AB7">
            <v>5858000</v>
          </cell>
        </row>
        <row r="8">
          <cell r="C8">
            <v>5903000</v>
          </cell>
          <cell r="E8">
            <v>7000000</v>
          </cell>
          <cell r="F8">
            <v>0</v>
          </cell>
          <cell r="G8">
            <v>10000</v>
          </cell>
          <cell r="I8">
            <v>5834999.9999999972</v>
          </cell>
          <cell r="J8">
            <v>7430000.0000002906</v>
          </cell>
          <cell r="S8">
            <v>760243</v>
          </cell>
          <cell r="AB8">
            <v>5903000</v>
          </cell>
        </row>
        <row r="9">
          <cell r="C9">
            <v>5905000</v>
          </cell>
          <cell r="E9">
            <v>7000000</v>
          </cell>
          <cell r="F9">
            <v>0</v>
          </cell>
          <cell r="G9">
            <v>0</v>
          </cell>
          <cell r="I9">
            <v>5701999.9999999925</v>
          </cell>
          <cell r="J9">
            <v>6689999.9999995995</v>
          </cell>
          <cell r="S9">
            <v>575438</v>
          </cell>
          <cell r="AB9">
            <v>5905000</v>
          </cell>
        </row>
        <row r="10">
          <cell r="C10">
            <v>6760000</v>
          </cell>
          <cell r="E10">
            <v>7000000</v>
          </cell>
          <cell r="F10">
            <v>0</v>
          </cell>
          <cell r="G10">
            <v>0</v>
          </cell>
          <cell r="I10">
            <v>6691000.0000000149</v>
          </cell>
          <cell r="J10">
            <v>7500000</v>
          </cell>
          <cell r="S10">
            <v>804066</v>
          </cell>
          <cell r="AB10">
            <v>6760000</v>
          </cell>
        </row>
        <row r="11">
          <cell r="C11">
            <v>7254000</v>
          </cell>
          <cell r="E11">
            <v>8000000</v>
          </cell>
          <cell r="F11">
            <v>0</v>
          </cell>
          <cell r="G11">
            <v>0</v>
          </cell>
          <cell r="I11">
            <v>7119999.9999999776</v>
          </cell>
          <cell r="J11">
            <v>7800000.0000001816</v>
          </cell>
          <cell r="S11">
            <v>509833</v>
          </cell>
          <cell r="AB11">
            <v>7254000</v>
          </cell>
        </row>
        <row r="12">
          <cell r="C12">
            <v>7879000</v>
          </cell>
          <cell r="E12">
            <v>9000000</v>
          </cell>
          <cell r="F12">
            <v>0</v>
          </cell>
          <cell r="G12">
            <v>0</v>
          </cell>
          <cell r="I12">
            <v>7676000.0000000158</v>
          </cell>
          <cell r="J12">
            <v>8289999.9999999637</v>
          </cell>
          <cell r="S12">
            <v>930914</v>
          </cell>
          <cell r="AB12">
            <v>7879000</v>
          </cell>
        </row>
        <row r="13">
          <cell r="C13">
            <v>6548000</v>
          </cell>
          <cell r="E13">
            <v>9000000</v>
          </cell>
          <cell r="F13">
            <v>0</v>
          </cell>
          <cell r="G13">
            <v>10000</v>
          </cell>
          <cell r="I13">
            <v>6349000.0000000112</v>
          </cell>
          <cell r="J13">
            <v>8239999.9999997821</v>
          </cell>
          <cell r="S13">
            <v>800998</v>
          </cell>
          <cell r="AB13">
            <v>6548000</v>
          </cell>
        </row>
        <row r="14">
          <cell r="C14">
            <v>6007000</v>
          </cell>
          <cell r="E14">
            <v>9000000</v>
          </cell>
          <cell r="F14">
            <v>0</v>
          </cell>
          <cell r="G14">
            <v>0</v>
          </cell>
          <cell r="I14">
            <v>5933999.9999999739</v>
          </cell>
          <cell r="J14">
            <v>8440000.0000005085</v>
          </cell>
          <cell r="S14">
            <v>784960</v>
          </cell>
          <cell r="AB14">
            <v>6007000</v>
          </cell>
        </row>
        <row r="15">
          <cell r="C15">
            <v>5982000</v>
          </cell>
          <cell r="E15">
            <v>10000000</v>
          </cell>
          <cell r="F15">
            <v>0</v>
          </cell>
          <cell r="G15">
            <v>0</v>
          </cell>
          <cell r="I15">
            <v>5847000.0000000233</v>
          </cell>
          <cell r="J15">
            <v>7840000.0000001453</v>
          </cell>
          <cell r="S15">
            <v>747486</v>
          </cell>
          <cell r="AB15">
            <v>5982000</v>
          </cell>
        </row>
        <row r="16">
          <cell r="C16">
            <v>6875000</v>
          </cell>
          <cell r="E16">
            <v>10000000</v>
          </cell>
          <cell r="F16">
            <v>0</v>
          </cell>
          <cell r="G16">
            <v>10000</v>
          </cell>
          <cell r="I16">
            <v>6738999.9999999907</v>
          </cell>
          <cell r="J16">
            <v>8829999.9999999274</v>
          </cell>
          <cell r="S16">
            <v>930615</v>
          </cell>
          <cell r="AB16">
            <v>6875000</v>
          </cell>
        </row>
        <row r="17">
          <cell r="C17">
            <v>5166000</v>
          </cell>
          <cell r="E17">
            <v>8000000</v>
          </cell>
          <cell r="F17">
            <v>0</v>
          </cell>
          <cell r="G17">
            <v>0</v>
          </cell>
          <cell r="I17">
            <v>4961999.9999999879</v>
          </cell>
          <cell r="J17">
            <v>7619999.999999891</v>
          </cell>
          <cell r="S17">
            <v>769877</v>
          </cell>
          <cell r="AB17">
            <v>5166000</v>
          </cell>
        </row>
        <row r="18">
          <cell r="C18">
            <v>4838000</v>
          </cell>
          <cell r="E18">
            <v>9000000</v>
          </cell>
          <cell r="F18">
            <v>0</v>
          </cell>
          <cell r="G18">
            <v>0</v>
          </cell>
          <cell r="I18">
            <v>4703000.0000000233</v>
          </cell>
          <cell r="J18">
            <v>8019999.9999995269</v>
          </cell>
          <cell r="S18">
            <v>739447</v>
          </cell>
          <cell r="AB18">
            <v>4838000</v>
          </cell>
        </row>
        <row r="19">
          <cell r="C19">
            <v>4641000</v>
          </cell>
          <cell r="E19">
            <v>7000000</v>
          </cell>
          <cell r="F19">
            <v>0</v>
          </cell>
          <cell r="G19">
            <v>0</v>
          </cell>
          <cell r="I19">
            <v>4641000</v>
          </cell>
          <cell r="J19">
            <v>6900000.0000005458</v>
          </cell>
          <cell r="S19">
            <v>478700</v>
          </cell>
          <cell r="AB19">
            <v>4641000</v>
          </cell>
        </row>
        <row r="20">
          <cell r="C20">
            <v>2403000</v>
          </cell>
          <cell r="E20">
            <v>12000000</v>
          </cell>
          <cell r="F20">
            <v>0</v>
          </cell>
          <cell r="G20">
            <v>10000</v>
          </cell>
          <cell r="I20">
            <v>2266999.9999999902</v>
          </cell>
          <cell r="J20">
            <v>10849999.999999454</v>
          </cell>
          <cell r="S20">
            <v>937718</v>
          </cell>
          <cell r="AB20">
            <v>2403000</v>
          </cell>
        </row>
        <row r="21">
          <cell r="C21">
            <v>0</v>
          </cell>
          <cell r="E21">
            <v>15000000</v>
          </cell>
          <cell r="F21">
            <v>0</v>
          </cell>
          <cell r="G21">
            <v>0</v>
          </cell>
          <cell r="I21">
            <v>0</v>
          </cell>
          <cell r="J21">
            <v>14539999.999999963</v>
          </cell>
          <cell r="S21">
            <v>1100251</v>
          </cell>
          <cell r="AB21">
            <v>0</v>
          </cell>
        </row>
        <row r="22">
          <cell r="C22">
            <v>0</v>
          </cell>
          <cell r="E22">
            <v>11000000</v>
          </cell>
          <cell r="F22">
            <v>0</v>
          </cell>
          <cell r="G22">
            <v>0</v>
          </cell>
          <cell r="I22">
            <v>0</v>
          </cell>
          <cell r="J22">
            <v>10000000</v>
          </cell>
          <cell r="S22">
            <v>919862</v>
          </cell>
          <cell r="AB22">
            <v>0</v>
          </cell>
        </row>
        <row r="23">
          <cell r="C23">
            <v>0</v>
          </cell>
          <cell r="E23">
            <v>13000000</v>
          </cell>
          <cell r="F23">
            <v>0</v>
          </cell>
          <cell r="G23">
            <v>0</v>
          </cell>
          <cell r="I23">
            <v>0</v>
          </cell>
          <cell r="J23">
            <v>11640000.000000328</v>
          </cell>
          <cell r="S23">
            <v>933262</v>
          </cell>
          <cell r="AB23">
            <v>0</v>
          </cell>
        </row>
        <row r="24">
          <cell r="C24">
            <v>0</v>
          </cell>
          <cell r="E24">
            <v>16000000</v>
          </cell>
          <cell r="F24">
            <v>0</v>
          </cell>
          <cell r="G24">
            <v>0</v>
          </cell>
          <cell r="I24">
            <v>0</v>
          </cell>
          <cell r="J24">
            <v>15239999.999999782</v>
          </cell>
          <cell r="S24">
            <v>1349944</v>
          </cell>
          <cell r="AB24">
            <v>0</v>
          </cell>
        </row>
        <row r="25">
          <cell r="C25">
            <v>0</v>
          </cell>
          <cell r="E25">
            <v>16000000</v>
          </cell>
          <cell r="F25">
            <v>0</v>
          </cell>
          <cell r="G25">
            <v>10000</v>
          </cell>
          <cell r="I25">
            <v>0</v>
          </cell>
          <cell r="J25">
            <v>15340000.000000145</v>
          </cell>
          <cell r="S25">
            <v>1311527</v>
          </cell>
          <cell r="AB25">
            <v>0</v>
          </cell>
        </row>
        <row r="26">
          <cell r="C26">
            <v>0</v>
          </cell>
          <cell r="E26">
            <v>15000000</v>
          </cell>
          <cell r="F26">
            <v>0</v>
          </cell>
          <cell r="G26">
            <v>0</v>
          </cell>
          <cell r="I26">
            <v>0</v>
          </cell>
          <cell r="J26">
            <v>13159999.999999855</v>
          </cell>
          <cell r="S26">
            <v>1132071</v>
          </cell>
          <cell r="AB26">
            <v>0</v>
          </cell>
        </row>
        <row r="27">
          <cell r="C27">
            <v>0</v>
          </cell>
          <cell r="E27">
            <v>15000000</v>
          </cell>
          <cell r="F27">
            <v>0</v>
          </cell>
          <cell r="G27">
            <v>10000</v>
          </cell>
          <cell r="I27">
            <v>0</v>
          </cell>
          <cell r="J27">
            <v>14360000.000000581</v>
          </cell>
          <cell r="S27">
            <v>1093397</v>
          </cell>
          <cell r="AB27">
            <v>0</v>
          </cell>
        </row>
        <row r="28">
          <cell r="C28">
            <v>0</v>
          </cell>
          <cell r="E28">
            <v>15000000</v>
          </cell>
          <cell r="F28">
            <v>0</v>
          </cell>
          <cell r="G28">
            <v>0</v>
          </cell>
          <cell r="I28">
            <v>0</v>
          </cell>
          <cell r="J28">
            <v>14019999.999999527</v>
          </cell>
          <cell r="S28">
            <v>1204410</v>
          </cell>
          <cell r="AB28">
            <v>0</v>
          </cell>
        </row>
        <row r="29">
          <cell r="C29">
            <v>0</v>
          </cell>
          <cell r="E29">
            <v>17000000</v>
          </cell>
          <cell r="F29">
            <v>0</v>
          </cell>
          <cell r="G29">
            <v>10000</v>
          </cell>
          <cell r="I29">
            <v>0</v>
          </cell>
          <cell r="J29">
            <v>15670000.000000073</v>
          </cell>
          <cell r="S29">
            <v>1319149</v>
          </cell>
          <cell r="AB29">
            <v>0</v>
          </cell>
        </row>
        <row r="30">
          <cell r="C30">
            <v>0</v>
          </cell>
          <cell r="E30">
            <v>18000000</v>
          </cell>
          <cell r="F30">
            <v>0</v>
          </cell>
          <cell r="G30">
            <v>10000</v>
          </cell>
          <cell r="I30">
            <v>0</v>
          </cell>
          <cell r="J30">
            <v>16909999.999999855</v>
          </cell>
          <cell r="S30">
            <v>1383756</v>
          </cell>
          <cell r="AB30">
            <v>0</v>
          </cell>
        </row>
        <row r="31">
          <cell r="C31">
            <v>0</v>
          </cell>
          <cell r="E31">
            <v>19000000</v>
          </cell>
          <cell r="F31">
            <v>0</v>
          </cell>
          <cell r="G31">
            <v>0</v>
          </cell>
          <cell r="I31">
            <v>0</v>
          </cell>
          <cell r="J31">
            <v>16860000.000000581</v>
          </cell>
          <cell r="S31">
            <v>1340586</v>
          </cell>
          <cell r="AB31">
            <v>0</v>
          </cell>
        </row>
        <row r="32">
          <cell r="C32">
            <v>0</v>
          </cell>
          <cell r="E32">
            <v>19000000</v>
          </cell>
          <cell r="F32">
            <v>0</v>
          </cell>
          <cell r="G32">
            <v>10000</v>
          </cell>
          <cell r="I32">
            <v>0</v>
          </cell>
          <cell r="J32">
            <v>18629999.999999199</v>
          </cell>
          <cell r="S32">
            <v>1350310</v>
          </cell>
          <cell r="AB32">
            <v>0</v>
          </cell>
        </row>
        <row r="33">
          <cell r="C33">
            <v>0</v>
          </cell>
          <cell r="E33">
            <v>22000000</v>
          </cell>
          <cell r="F33">
            <v>0</v>
          </cell>
          <cell r="G33">
            <v>10000</v>
          </cell>
          <cell r="I33">
            <v>0</v>
          </cell>
          <cell r="J33">
            <v>19570000.000000618</v>
          </cell>
          <cell r="S33">
            <v>1624425</v>
          </cell>
          <cell r="AB33">
            <v>0</v>
          </cell>
        </row>
        <row r="34">
          <cell r="C34">
            <v>0</v>
          </cell>
          <cell r="E34">
            <v>21000000</v>
          </cell>
          <cell r="F34">
            <v>0</v>
          </cell>
          <cell r="G34">
            <v>10000</v>
          </cell>
          <cell r="I34">
            <v>0</v>
          </cell>
          <cell r="J34">
            <v>18979999.999999564</v>
          </cell>
          <cell r="S34">
            <v>1736472</v>
          </cell>
          <cell r="AB34">
            <v>0</v>
          </cell>
        </row>
        <row r="35">
          <cell r="C35">
            <v>0</v>
          </cell>
          <cell r="E35">
            <v>26000000</v>
          </cell>
          <cell r="F35">
            <v>0</v>
          </cell>
          <cell r="G35">
            <v>10000</v>
          </cell>
          <cell r="I35">
            <v>0</v>
          </cell>
          <cell r="J35">
            <v>23070000.000000618</v>
          </cell>
          <cell r="S35">
            <v>1834924</v>
          </cell>
          <cell r="AB35">
            <v>0</v>
          </cell>
        </row>
        <row r="36">
          <cell r="C36">
            <v>0</v>
          </cell>
          <cell r="E36">
            <v>24000000</v>
          </cell>
          <cell r="F36">
            <v>0</v>
          </cell>
          <cell r="G36">
            <v>10000</v>
          </cell>
          <cell r="I36">
            <v>0</v>
          </cell>
          <cell r="J36">
            <v>21920000.000000075</v>
          </cell>
          <cell r="S36">
            <v>1764718</v>
          </cell>
          <cell r="AB36">
            <v>0</v>
          </cell>
        </row>
        <row r="37">
          <cell r="C37">
            <v>0</v>
          </cell>
          <cell r="E37">
            <v>24000000</v>
          </cell>
          <cell r="F37">
            <v>0</v>
          </cell>
          <cell r="G37">
            <v>10000</v>
          </cell>
          <cell r="I37">
            <v>0</v>
          </cell>
          <cell r="J37">
            <v>21979999.999999564</v>
          </cell>
          <cell r="S37">
            <v>1687386</v>
          </cell>
          <cell r="AB37">
            <v>0</v>
          </cell>
        </row>
        <row r="38">
          <cell r="C38">
            <v>0</v>
          </cell>
          <cell r="E38">
            <v>20000000</v>
          </cell>
          <cell r="F38">
            <v>0</v>
          </cell>
          <cell r="G38">
            <v>0</v>
          </cell>
          <cell r="I38">
            <v>0</v>
          </cell>
          <cell r="J38">
            <v>18409999.999999855</v>
          </cell>
          <cell r="S38">
            <v>1480922</v>
          </cell>
          <cell r="AB38">
            <v>0</v>
          </cell>
        </row>
        <row r="39">
          <cell r="C39">
            <v>0</v>
          </cell>
          <cell r="E39">
            <v>24000000</v>
          </cell>
          <cell r="F39">
            <v>0</v>
          </cell>
          <cell r="G39">
            <v>10000</v>
          </cell>
          <cell r="I39">
            <v>0</v>
          </cell>
          <cell r="J39">
            <v>21250000</v>
          </cell>
          <cell r="S39">
            <v>1762009</v>
          </cell>
          <cell r="AB39">
            <v>0</v>
          </cell>
        </row>
        <row r="40">
          <cell r="C40">
            <v>0</v>
          </cell>
          <cell r="E40">
            <v>23000000</v>
          </cell>
          <cell r="F40">
            <v>0</v>
          </cell>
          <cell r="G40">
            <v>10000</v>
          </cell>
          <cell r="I40">
            <v>0</v>
          </cell>
          <cell r="J40">
            <v>20989999.99999978</v>
          </cell>
          <cell r="S40">
            <v>1586004</v>
          </cell>
          <cell r="AB40">
            <v>0</v>
          </cell>
        </row>
        <row r="41">
          <cell r="C41">
            <v>0</v>
          </cell>
          <cell r="E41">
            <v>27000000</v>
          </cell>
          <cell r="F41">
            <v>0</v>
          </cell>
          <cell r="G41">
            <v>10000</v>
          </cell>
          <cell r="I41">
            <v>0</v>
          </cell>
          <cell r="J41">
            <v>24980000.000000473</v>
          </cell>
          <cell r="S41">
            <v>1968041</v>
          </cell>
          <cell r="AB41">
            <v>0</v>
          </cell>
        </row>
        <row r="42">
          <cell r="C42">
            <v>0</v>
          </cell>
          <cell r="E42">
            <v>30000000</v>
          </cell>
          <cell r="F42">
            <v>0</v>
          </cell>
          <cell r="G42">
            <v>0</v>
          </cell>
          <cell r="I42">
            <v>0</v>
          </cell>
          <cell r="J42">
            <v>26699999.999999817</v>
          </cell>
          <cell r="S42">
            <v>2199837</v>
          </cell>
          <cell r="AB42">
            <v>0</v>
          </cell>
        </row>
        <row r="43">
          <cell r="C43">
            <v>0</v>
          </cell>
          <cell r="E43">
            <v>30000000</v>
          </cell>
          <cell r="F43">
            <v>0</v>
          </cell>
          <cell r="G43">
            <v>10000</v>
          </cell>
          <cell r="I43">
            <v>0</v>
          </cell>
          <cell r="J43">
            <v>28010000.00000022</v>
          </cell>
          <cell r="S43">
            <v>2124034</v>
          </cell>
          <cell r="AB43">
            <v>0</v>
          </cell>
        </row>
        <row r="44">
          <cell r="C44">
            <v>0</v>
          </cell>
          <cell r="E44">
            <v>28000000</v>
          </cell>
          <cell r="F44">
            <v>0</v>
          </cell>
          <cell r="G44">
            <v>10000</v>
          </cell>
          <cell r="I44">
            <v>0</v>
          </cell>
          <cell r="J44">
            <v>24840000.000000145</v>
          </cell>
          <cell r="S44">
            <v>2041810</v>
          </cell>
          <cell r="AB44">
            <v>0</v>
          </cell>
        </row>
        <row r="45">
          <cell r="C45">
            <v>0</v>
          </cell>
          <cell r="E45">
            <v>26000000</v>
          </cell>
          <cell r="F45">
            <v>0</v>
          </cell>
          <cell r="G45">
            <v>10000</v>
          </cell>
          <cell r="I45">
            <v>0</v>
          </cell>
          <cell r="J45">
            <v>24349999.999999456</v>
          </cell>
          <cell r="S45">
            <v>1970233</v>
          </cell>
          <cell r="AB45">
            <v>0</v>
          </cell>
        </row>
        <row r="46">
          <cell r="C46">
            <v>0</v>
          </cell>
          <cell r="E46">
            <v>28000000</v>
          </cell>
          <cell r="F46">
            <v>0</v>
          </cell>
          <cell r="G46">
            <v>0</v>
          </cell>
          <cell r="I46">
            <v>0</v>
          </cell>
          <cell r="J46">
            <v>24920000.000000075</v>
          </cell>
          <cell r="S46">
            <v>1978732</v>
          </cell>
          <cell r="AB46">
            <v>0</v>
          </cell>
        </row>
        <row r="47">
          <cell r="C47">
            <v>0</v>
          </cell>
          <cell r="E47">
            <v>25000000</v>
          </cell>
          <cell r="F47">
            <v>0</v>
          </cell>
          <cell r="G47">
            <v>10000</v>
          </cell>
          <cell r="I47">
            <v>0</v>
          </cell>
          <cell r="J47">
            <v>23230000.000000473</v>
          </cell>
          <cell r="S47">
            <v>1919223</v>
          </cell>
          <cell r="AB47">
            <v>0</v>
          </cell>
        </row>
        <row r="48">
          <cell r="C48">
            <v>0</v>
          </cell>
          <cell r="E48">
            <v>27000000</v>
          </cell>
          <cell r="F48">
            <v>0</v>
          </cell>
          <cell r="G48">
            <v>10000</v>
          </cell>
          <cell r="I48">
            <v>0</v>
          </cell>
          <cell r="J48">
            <v>25889999.999999419</v>
          </cell>
          <cell r="S48">
            <v>2016749</v>
          </cell>
          <cell r="AB48">
            <v>0</v>
          </cell>
        </row>
        <row r="49">
          <cell r="C49">
            <v>0</v>
          </cell>
          <cell r="E49">
            <v>32000000</v>
          </cell>
          <cell r="F49">
            <v>0</v>
          </cell>
          <cell r="G49">
            <v>10000</v>
          </cell>
          <cell r="I49">
            <v>0</v>
          </cell>
          <cell r="J49">
            <v>29100000.000000365</v>
          </cell>
          <cell r="S49">
            <v>2324718</v>
          </cell>
          <cell r="AB49">
            <v>0</v>
          </cell>
        </row>
        <row r="50">
          <cell r="C50">
            <v>0</v>
          </cell>
          <cell r="E50">
            <v>25000000</v>
          </cell>
          <cell r="F50">
            <v>0</v>
          </cell>
          <cell r="G50">
            <v>0</v>
          </cell>
          <cell r="I50">
            <v>0</v>
          </cell>
          <cell r="J50">
            <v>23279999.999999747</v>
          </cell>
          <cell r="S50">
            <v>1723318</v>
          </cell>
          <cell r="AB50">
            <v>0</v>
          </cell>
        </row>
        <row r="51">
          <cell r="C51">
            <v>0</v>
          </cell>
          <cell r="E51">
            <v>26000000</v>
          </cell>
          <cell r="F51">
            <v>0</v>
          </cell>
          <cell r="G51">
            <v>10000</v>
          </cell>
          <cell r="I51">
            <v>0</v>
          </cell>
          <cell r="J51">
            <v>24690000.00000051</v>
          </cell>
          <cell r="S51">
            <v>1842811</v>
          </cell>
          <cell r="AB51">
            <v>0</v>
          </cell>
        </row>
        <row r="52">
          <cell r="C52">
            <v>0</v>
          </cell>
          <cell r="E52">
            <v>29000000</v>
          </cell>
          <cell r="F52">
            <v>0</v>
          </cell>
          <cell r="G52">
            <v>10000</v>
          </cell>
          <cell r="I52">
            <v>0</v>
          </cell>
          <cell r="J52">
            <v>26729999.999999564</v>
          </cell>
          <cell r="S52">
            <v>2269674</v>
          </cell>
          <cell r="AB52">
            <v>0</v>
          </cell>
        </row>
        <row r="53">
          <cell r="C53">
            <v>5252000</v>
          </cell>
          <cell r="E53">
            <v>30000000</v>
          </cell>
          <cell r="F53">
            <v>1045000</v>
          </cell>
          <cell r="G53">
            <v>10000</v>
          </cell>
          <cell r="I53">
            <v>4371999.9999999953</v>
          </cell>
          <cell r="J53">
            <v>27810000.000000399</v>
          </cell>
          <cell r="S53">
            <v>2154312</v>
          </cell>
          <cell r="AB53">
            <v>6297000</v>
          </cell>
        </row>
        <row r="54">
          <cell r="C54">
            <v>11220000</v>
          </cell>
          <cell r="E54">
            <v>23000000</v>
          </cell>
          <cell r="F54">
            <v>0</v>
          </cell>
          <cell r="G54">
            <v>20000</v>
          </cell>
          <cell r="I54">
            <v>11015000.000000011</v>
          </cell>
          <cell r="J54">
            <v>21049999.999999274</v>
          </cell>
          <cell r="S54">
            <v>1479145</v>
          </cell>
          <cell r="AB54">
            <v>11220000</v>
          </cell>
        </row>
        <row r="55">
          <cell r="C55">
            <v>13248000</v>
          </cell>
          <cell r="E55">
            <v>27000000</v>
          </cell>
          <cell r="F55">
            <v>0</v>
          </cell>
          <cell r="G55">
            <v>10000</v>
          </cell>
          <cell r="I55">
            <v>13049999.999999983</v>
          </cell>
          <cell r="J55">
            <v>25310000.000000399</v>
          </cell>
          <cell r="S55">
            <v>1507239</v>
          </cell>
          <cell r="AB55">
            <v>13248000</v>
          </cell>
        </row>
        <row r="56">
          <cell r="C56">
            <v>11595000</v>
          </cell>
          <cell r="E56">
            <v>26000000</v>
          </cell>
          <cell r="F56">
            <v>0</v>
          </cell>
          <cell r="G56">
            <v>30000</v>
          </cell>
          <cell r="I56">
            <v>11326000.000000009</v>
          </cell>
          <cell r="J56">
            <v>23890000.000000328</v>
          </cell>
          <cell r="S56">
            <v>1854322</v>
          </cell>
          <cell r="AB56">
            <v>11595000</v>
          </cell>
        </row>
        <row r="57">
          <cell r="C57">
            <v>11273000</v>
          </cell>
          <cell r="E57">
            <v>26000000</v>
          </cell>
          <cell r="F57">
            <v>0</v>
          </cell>
          <cell r="G57">
            <v>10000</v>
          </cell>
          <cell r="I57">
            <v>11009000.000000009</v>
          </cell>
          <cell r="J57">
            <v>23109999.999999672</v>
          </cell>
          <cell r="S57">
            <v>1824114</v>
          </cell>
          <cell r="AB57">
            <v>11273000</v>
          </cell>
        </row>
        <row r="58">
          <cell r="C58">
            <v>10017000</v>
          </cell>
          <cell r="E58">
            <v>26000000</v>
          </cell>
          <cell r="F58">
            <v>0</v>
          </cell>
          <cell r="G58">
            <v>20000</v>
          </cell>
          <cell r="I58">
            <v>9748999.9999999758</v>
          </cell>
          <cell r="J58">
            <v>24020000.000000436</v>
          </cell>
          <cell r="S58">
            <v>2283765</v>
          </cell>
          <cell r="AB58">
            <v>10017000</v>
          </cell>
        </row>
        <row r="59">
          <cell r="C59">
            <v>8104000</v>
          </cell>
          <cell r="E59">
            <v>22000000</v>
          </cell>
          <cell r="F59">
            <v>0</v>
          </cell>
          <cell r="G59">
            <v>10000</v>
          </cell>
          <cell r="I59">
            <v>7903000.0000000019</v>
          </cell>
          <cell r="J59">
            <v>19419999.999999162</v>
          </cell>
          <cell r="S59">
            <v>1564081</v>
          </cell>
          <cell r="AB59">
            <v>8104000</v>
          </cell>
        </row>
        <row r="60">
          <cell r="C60">
            <v>6003000</v>
          </cell>
          <cell r="E60">
            <v>18000000</v>
          </cell>
          <cell r="F60">
            <v>0</v>
          </cell>
          <cell r="G60">
            <v>10000</v>
          </cell>
          <cell r="I60">
            <v>5804000.0000000112</v>
          </cell>
          <cell r="J60">
            <v>16950000.000000726</v>
          </cell>
          <cell r="S60">
            <v>1540610</v>
          </cell>
          <cell r="AB60">
            <v>6003000</v>
          </cell>
        </row>
        <row r="61">
          <cell r="C61">
            <v>8042000</v>
          </cell>
          <cell r="E61">
            <v>24000000</v>
          </cell>
          <cell r="F61">
            <v>0</v>
          </cell>
          <cell r="G61">
            <v>10000</v>
          </cell>
          <cell r="I61">
            <v>7908000</v>
          </cell>
          <cell r="J61">
            <v>21039999.999999963</v>
          </cell>
          <cell r="S61">
            <v>1861199</v>
          </cell>
          <cell r="AB61">
            <v>8042000</v>
          </cell>
        </row>
        <row r="62">
          <cell r="C62">
            <v>9963000</v>
          </cell>
          <cell r="E62">
            <v>22000000</v>
          </cell>
          <cell r="F62">
            <v>0</v>
          </cell>
          <cell r="G62">
            <v>3680000</v>
          </cell>
          <cell r="I62">
            <v>9762000.0000000019</v>
          </cell>
          <cell r="J62">
            <v>23889999.999999419</v>
          </cell>
          <cell r="S62">
            <v>2067130</v>
          </cell>
          <cell r="AB62">
            <v>9963000</v>
          </cell>
        </row>
        <row r="63">
          <cell r="C63">
            <v>10112000</v>
          </cell>
          <cell r="E63">
            <v>19000000</v>
          </cell>
          <cell r="F63">
            <v>0</v>
          </cell>
          <cell r="G63">
            <v>5320000</v>
          </cell>
          <cell r="I63">
            <v>9914000.0000000112</v>
          </cell>
          <cell r="J63">
            <v>21820000.000000618</v>
          </cell>
          <cell r="S63">
            <v>1835966</v>
          </cell>
          <cell r="AB63">
            <v>10112000</v>
          </cell>
        </row>
        <row r="64">
          <cell r="C64">
            <v>10540000</v>
          </cell>
          <cell r="E64">
            <v>20000000</v>
          </cell>
          <cell r="F64">
            <v>0</v>
          </cell>
          <cell r="G64">
            <v>5280000</v>
          </cell>
          <cell r="I64">
            <v>10272999.999999981</v>
          </cell>
          <cell r="J64">
            <v>22670000.000000075</v>
          </cell>
          <cell r="S64">
            <v>1860635</v>
          </cell>
          <cell r="AB64">
            <v>10540000</v>
          </cell>
        </row>
        <row r="65">
          <cell r="C65">
            <v>6555000</v>
          </cell>
          <cell r="E65">
            <v>23000000</v>
          </cell>
          <cell r="F65">
            <v>0</v>
          </cell>
          <cell r="G65">
            <v>4990000</v>
          </cell>
          <cell r="I65">
            <v>6421000</v>
          </cell>
          <cell r="J65">
            <v>26059999.99999949</v>
          </cell>
          <cell r="S65">
            <v>2353189</v>
          </cell>
          <cell r="AB65">
            <v>6555000</v>
          </cell>
        </row>
        <row r="66">
          <cell r="C66">
            <v>6423000</v>
          </cell>
          <cell r="E66">
            <v>25000000</v>
          </cell>
          <cell r="F66">
            <v>0</v>
          </cell>
          <cell r="G66">
            <v>5000000</v>
          </cell>
          <cell r="I66">
            <v>6356000.0000000019</v>
          </cell>
          <cell r="J66">
            <v>27569999.999999709</v>
          </cell>
          <cell r="S66">
            <v>2282666</v>
          </cell>
          <cell r="AB66">
            <v>6423000</v>
          </cell>
        </row>
        <row r="67">
          <cell r="C67">
            <v>12261000</v>
          </cell>
          <cell r="E67">
            <v>19000000</v>
          </cell>
          <cell r="F67">
            <v>0</v>
          </cell>
          <cell r="G67">
            <v>5760000</v>
          </cell>
          <cell r="I67">
            <v>12128000.000000004</v>
          </cell>
          <cell r="J67">
            <v>22310000.000000399</v>
          </cell>
          <cell r="S67">
            <v>1866801</v>
          </cell>
          <cell r="AA67">
            <v>129999.99999999546</v>
          </cell>
        </row>
        <row r="68">
          <cell r="C68">
            <v>12576000</v>
          </cell>
          <cell r="E68">
            <v>23000000</v>
          </cell>
          <cell r="F68">
            <v>0</v>
          </cell>
          <cell r="G68">
            <v>5920000</v>
          </cell>
          <cell r="I68">
            <v>12171999.999999994</v>
          </cell>
          <cell r="J68">
            <v>27060000.000000399</v>
          </cell>
          <cell r="S68">
            <v>1867830</v>
          </cell>
          <cell r="AA68">
            <v>394000.00000000547</v>
          </cell>
        </row>
        <row r="69">
          <cell r="C69">
            <v>9881000</v>
          </cell>
          <cell r="E69">
            <v>22000000</v>
          </cell>
          <cell r="F69">
            <v>0</v>
          </cell>
          <cell r="G69">
            <v>7200000</v>
          </cell>
          <cell r="I69">
            <v>9615000.0000000093</v>
          </cell>
          <cell r="J69">
            <v>26259999.999999307</v>
          </cell>
          <cell r="S69">
            <v>1834818</v>
          </cell>
          <cell r="AA69">
            <v>259999.99999999092</v>
          </cell>
        </row>
        <row r="70">
          <cell r="C70">
            <v>9899000</v>
          </cell>
          <cell r="E70">
            <v>19000000</v>
          </cell>
          <cell r="F70">
            <v>0</v>
          </cell>
          <cell r="G70">
            <v>9870000</v>
          </cell>
          <cell r="I70">
            <v>9632000.0000000093</v>
          </cell>
          <cell r="J70">
            <v>27610000.000000581</v>
          </cell>
          <cell r="S70">
            <v>1821483</v>
          </cell>
          <cell r="AA70">
            <v>259999.99999999092</v>
          </cell>
        </row>
        <row r="71">
          <cell r="C71">
            <v>10573000</v>
          </cell>
          <cell r="E71">
            <v>22000000</v>
          </cell>
          <cell r="F71">
            <v>0</v>
          </cell>
          <cell r="G71">
            <v>8970000</v>
          </cell>
          <cell r="I71">
            <v>10372999.999999978</v>
          </cell>
          <cell r="J71">
            <v>28019999.999999527</v>
          </cell>
          <cell r="S71">
            <v>2754905</v>
          </cell>
          <cell r="AA71">
            <v>195000.0000000216</v>
          </cell>
        </row>
        <row r="72">
          <cell r="C72">
            <v>10222000</v>
          </cell>
          <cell r="E72">
            <v>18000000</v>
          </cell>
          <cell r="F72">
            <v>0</v>
          </cell>
          <cell r="G72">
            <v>7390000</v>
          </cell>
          <cell r="I72">
            <v>10005000.000000002</v>
          </cell>
          <cell r="J72">
            <v>23199999.999999817</v>
          </cell>
          <cell r="S72">
            <v>2332357</v>
          </cell>
          <cell r="AA72">
            <v>213999.99999999863</v>
          </cell>
        </row>
        <row r="73">
          <cell r="C73">
            <v>8791000</v>
          </cell>
          <cell r="E73">
            <v>20000000</v>
          </cell>
          <cell r="F73">
            <v>0</v>
          </cell>
          <cell r="G73">
            <v>7770000</v>
          </cell>
          <cell r="I73">
            <v>8475000.0000000112</v>
          </cell>
          <cell r="J73">
            <v>26400000.000000544</v>
          </cell>
          <cell r="S73">
            <v>2585235</v>
          </cell>
          <cell r="AA73">
            <v>306999.99999998795</v>
          </cell>
        </row>
        <row r="74">
          <cell r="C74">
            <v>10291000</v>
          </cell>
          <cell r="E74">
            <v>20000000</v>
          </cell>
          <cell r="F74">
            <v>0</v>
          </cell>
          <cell r="G74">
            <v>8230000</v>
          </cell>
          <cell r="I74">
            <v>10193000.000000006</v>
          </cell>
          <cell r="J74">
            <v>25260000.00000022</v>
          </cell>
          <cell r="S74">
            <v>2549112</v>
          </cell>
          <cell r="AA74">
            <v>93999.999999994092</v>
          </cell>
        </row>
        <row r="75">
          <cell r="C75">
            <v>7470000</v>
          </cell>
          <cell r="E75">
            <v>13000000</v>
          </cell>
          <cell r="F75">
            <v>0</v>
          </cell>
          <cell r="G75">
            <v>5880000</v>
          </cell>
          <cell r="I75">
            <v>7465000</v>
          </cell>
          <cell r="J75">
            <v>17989999.99999978</v>
          </cell>
          <cell r="S75">
            <v>21764</v>
          </cell>
          <cell r="AA75">
            <v>0</v>
          </cell>
        </row>
        <row r="76">
          <cell r="C76">
            <v>10581000</v>
          </cell>
          <cell r="E76">
            <v>13000000</v>
          </cell>
          <cell r="F76">
            <v>0</v>
          </cell>
          <cell r="G76">
            <v>9690000</v>
          </cell>
          <cell r="I76">
            <v>10576000</v>
          </cell>
          <cell r="J76">
            <v>19939999.999999601</v>
          </cell>
          <cell r="S76">
            <v>2096031</v>
          </cell>
          <cell r="AA76">
            <v>0</v>
          </cell>
        </row>
        <row r="77">
          <cell r="C77">
            <v>9960000</v>
          </cell>
          <cell r="E77">
            <v>16000000</v>
          </cell>
          <cell r="F77">
            <v>0</v>
          </cell>
          <cell r="G77">
            <v>11920000</v>
          </cell>
          <cell r="I77">
            <v>9952000</v>
          </cell>
          <cell r="J77">
            <v>24860000.000000581</v>
          </cell>
          <cell r="S77">
            <v>2560532</v>
          </cell>
          <cell r="AA77">
            <v>0</v>
          </cell>
        </row>
        <row r="78">
          <cell r="C78">
            <v>8980000</v>
          </cell>
          <cell r="E78">
            <v>21000000</v>
          </cell>
          <cell r="F78">
            <v>0</v>
          </cell>
          <cell r="G78">
            <v>9010000</v>
          </cell>
          <cell r="I78">
            <v>8975000</v>
          </cell>
          <cell r="J78">
            <v>27439999.999999601</v>
          </cell>
          <cell r="S78">
            <v>2406784</v>
          </cell>
          <cell r="AA78">
            <v>0</v>
          </cell>
        </row>
        <row r="79">
          <cell r="C79">
            <v>9859000</v>
          </cell>
          <cell r="E79">
            <v>21000000</v>
          </cell>
          <cell r="F79">
            <v>0</v>
          </cell>
          <cell r="G79">
            <v>8600000</v>
          </cell>
          <cell r="I79">
            <v>9856000</v>
          </cell>
          <cell r="J79">
            <v>26329999.999999925</v>
          </cell>
          <cell r="S79">
            <v>2456592</v>
          </cell>
          <cell r="AA79">
            <v>0</v>
          </cell>
        </row>
        <row r="80">
          <cell r="C80">
            <v>10003000</v>
          </cell>
          <cell r="E80">
            <v>20000000</v>
          </cell>
          <cell r="F80">
            <v>0</v>
          </cell>
          <cell r="G80">
            <v>9980000</v>
          </cell>
          <cell r="I80">
            <v>9996000</v>
          </cell>
          <cell r="J80">
            <v>27180000.000000291</v>
          </cell>
          <cell r="S80">
            <v>2789611</v>
          </cell>
          <cell r="AA80">
            <v>0</v>
          </cell>
        </row>
        <row r="81">
          <cell r="C81">
            <v>9992000</v>
          </cell>
          <cell r="E81">
            <v>21000000</v>
          </cell>
          <cell r="F81">
            <v>0</v>
          </cell>
          <cell r="G81">
            <v>9930000</v>
          </cell>
          <cell r="I81">
            <v>9986000</v>
          </cell>
          <cell r="J81">
            <v>27949999.999999817</v>
          </cell>
          <cell r="S81">
            <v>2850771</v>
          </cell>
          <cell r="AA81">
            <v>0</v>
          </cell>
        </row>
        <row r="82">
          <cell r="C82">
            <v>12662000</v>
          </cell>
          <cell r="E82">
            <v>20000000</v>
          </cell>
          <cell r="F82">
            <v>0</v>
          </cell>
          <cell r="G82">
            <v>8990000</v>
          </cell>
          <cell r="I82">
            <v>12658000</v>
          </cell>
          <cell r="J82">
            <v>26350000.000000365</v>
          </cell>
          <cell r="S82">
            <v>2875084</v>
          </cell>
          <cell r="AA82">
            <v>0</v>
          </cell>
        </row>
        <row r="83">
          <cell r="C83">
            <v>12799000</v>
          </cell>
          <cell r="E83">
            <v>23000000</v>
          </cell>
          <cell r="F83">
            <v>0</v>
          </cell>
          <cell r="G83">
            <v>9610000</v>
          </cell>
          <cell r="I83">
            <v>12791000</v>
          </cell>
          <cell r="J83">
            <v>29089999.999999236</v>
          </cell>
          <cell r="S83">
            <v>2883693</v>
          </cell>
          <cell r="AA83">
            <v>0</v>
          </cell>
        </row>
        <row r="84">
          <cell r="C84">
            <v>10091000</v>
          </cell>
          <cell r="E84">
            <v>16000000</v>
          </cell>
          <cell r="F84">
            <v>0</v>
          </cell>
          <cell r="G84">
            <v>7300000</v>
          </cell>
          <cell r="I84">
            <v>10085000</v>
          </cell>
          <cell r="J84">
            <v>21420000.000000075</v>
          </cell>
          <cell r="S84">
            <v>2353744</v>
          </cell>
          <cell r="AA84">
            <v>0</v>
          </cell>
        </row>
        <row r="85">
          <cell r="C85">
            <v>8918000</v>
          </cell>
          <cell r="E85">
            <v>20000000</v>
          </cell>
          <cell r="F85">
            <v>0</v>
          </cell>
          <cell r="G85">
            <v>7880000</v>
          </cell>
          <cell r="I85">
            <v>8913000</v>
          </cell>
          <cell r="J85">
            <v>24620000.000000801</v>
          </cell>
          <cell r="S85">
            <v>2574411</v>
          </cell>
          <cell r="AA85">
            <v>0</v>
          </cell>
        </row>
        <row r="86">
          <cell r="C86">
            <v>12328000</v>
          </cell>
          <cell r="E86">
            <v>16000000</v>
          </cell>
          <cell r="F86">
            <v>0</v>
          </cell>
          <cell r="G86">
            <v>7010000</v>
          </cell>
          <cell r="I86">
            <v>12322000</v>
          </cell>
          <cell r="J86">
            <v>21509999.999999307</v>
          </cell>
          <cell r="S86">
            <v>1845857</v>
          </cell>
          <cell r="AA86">
            <v>0</v>
          </cell>
        </row>
        <row r="87">
          <cell r="C87">
            <v>13809000</v>
          </cell>
          <cell r="E87">
            <v>17000000</v>
          </cell>
          <cell r="F87">
            <v>0</v>
          </cell>
          <cell r="G87">
            <v>7050000</v>
          </cell>
          <cell r="I87">
            <v>13799000</v>
          </cell>
          <cell r="J87">
            <v>21350000.000000365</v>
          </cell>
          <cell r="S87">
            <v>2176887</v>
          </cell>
          <cell r="AA87">
            <v>0</v>
          </cell>
        </row>
        <row r="88">
          <cell r="C88">
            <v>11084000</v>
          </cell>
          <cell r="E88">
            <v>19000000</v>
          </cell>
          <cell r="F88">
            <v>0</v>
          </cell>
          <cell r="G88">
            <v>8290000</v>
          </cell>
          <cell r="I88">
            <v>11076000</v>
          </cell>
          <cell r="J88">
            <v>25090000.000000145</v>
          </cell>
          <cell r="S88">
            <v>2628386</v>
          </cell>
          <cell r="AA88">
            <v>0</v>
          </cell>
        </row>
        <row r="89">
          <cell r="C89">
            <v>10303000</v>
          </cell>
          <cell r="E89">
            <v>21000000</v>
          </cell>
          <cell r="F89">
            <v>0</v>
          </cell>
          <cell r="G89">
            <v>8650000</v>
          </cell>
          <cell r="I89">
            <v>10301000</v>
          </cell>
          <cell r="J89">
            <v>26439999.999999601</v>
          </cell>
          <cell r="S89">
            <v>2820300</v>
          </cell>
          <cell r="AA89">
            <v>0</v>
          </cell>
        </row>
        <row r="90">
          <cell r="C90">
            <v>13409000</v>
          </cell>
          <cell r="E90">
            <v>20000000</v>
          </cell>
          <cell r="F90">
            <v>0</v>
          </cell>
          <cell r="G90">
            <v>8200000</v>
          </cell>
          <cell r="I90">
            <v>13403000</v>
          </cell>
          <cell r="J90">
            <v>26529999.999999747</v>
          </cell>
          <cell r="S90">
            <v>2490676</v>
          </cell>
          <cell r="AA90">
            <v>0</v>
          </cell>
        </row>
        <row r="91">
          <cell r="C91">
            <v>14405000</v>
          </cell>
          <cell r="E91">
            <v>19000000</v>
          </cell>
          <cell r="F91">
            <v>0</v>
          </cell>
          <cell r="G91">
            <v>7820000</v>
          </cell>
          <cell r="I91">
            <v>14397000</v>
          </cell>
          <cell r="J91">
            <v>24700000.000000726</v>
          </cell>
          <cell r="S91">
            <v>2560428</v>
          </cell>
          <cell r="AA91">
            <v>0</v>
          </cell>
        </row>
        <row r="92">
          <cell r="C92">
            <v>12204000</v>
          </cell>
          <cell r="E92">
            <v>17000000</v>
          </cell>
          <cell r="F92">
            <v>0</v>
          </cell>
          <cell r="G92">
            <v>7310000</v>
          </cell>
          <cell r="I92">
            <v>12195000</v>
          </cell>
          <cell r="J92">
            <v>23819999.999999709</v>
          </cell>
          <cell r="S92">
            <v>2647725</v>
          </cell>
          <cell r="AA92">
            <v>0</v>
          </cell>
        </row>
        <row r="93">
          <cell r="C93">
            <v>9990000</v>
          </cell>
          <cell r="E93">
            <v>19000000</v>
          </cell>
          <cell r="F93">
            <v>0</v>
          </cell>
          <cell r="G93">
            <v>7400000</v>
          </cell>
          <cell r="I93">
            <v>9985000</v>
          </cell>
          <cell r="J93">
            <v>23979999.999999564</v>
          </cell>
          <cell r="S93">
            <v>2555738</v>
          </cell>
          <cell r="AA93">
            <v>0</v>
          </cell>
        </row>
        <row r="94">
          <cell r="C94">
            <v>10610000</v>
          </cell>
          <cell r="E94">
            <v>21000000</v>
          </cell>
          <cell r="F94">
            <v>0</v>
          </cell>
          <cell r="G94">
            <v>7510000</v>
          </cell>
          <cell r="I94">
            <v>10604000</v>
          </cell>
          <cell r="J94">
            <v>25930000.000000291</v>
          </cell>
          <cell r="S94">
            <v>2577309</v>
          </cell>
          <cell r="AA94">
            <v>0</v>
          </cell>
        </row>
        <row r="95">
          <cell r="C95">
            <v>13857000</v>
          </cell>
          <cell r="E95">
            <v>21000000</v>
          </cell>
          <cell r="F95">
            <v>0</v>
          </cell>
          <cell r="G95">
            <v>9020000</v>
          </cell>
          <cell r="I95">
            <v>13850000</v>
          </cell>
          <cell r="J95">
            <v>28699999.999999817</v>
          </cell>
          <cell r="S95">
            <v>2905173</v>
          </cell>
          <cell r="AA95">
            <v>0</v>
          </cell>
        </row>
        <row r="96">
          <cell r="C96">
            <v>13330000</v>
          </cell>
          <cell r="E96">
            <v>20000000</v>
          </cell>
          <cell r="F96">
            <v>0</v>
          </cell>
          <cell r="G96">
            <v>7870000</v>
          </cell>
          <cell r="I96">
            <v>13320000</v>
          </cell>
          <cell r="J96">
            <v>24930000.000000291</v>
          </cell>
          <cell r="S96">
            <v>2650000</v>
          </cell>
          <cell r="AA96">
            <v>0</v>
          </cell>
        </row>
      </sheetData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"/>
      <sheetName val="WB Clarifiers"/>
      <sheetName val="NTTP Floc-Sed"/>
      <sheetName val="WB Chem Flow Changes"/>
      <sheetName val="TTP Chem Flow Changes"/>
      <sheetName val="NTTP Chem Flow Changes"/>
      <sheetName val="Midnight Numbers"/>
      <sheetName val="Production Summary"/>
      <sheetName val="New pH Probe"/>
      <sheetName val="Chemical Summary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12379000</v>
          </cell>
          <cell r="E6">
            <v>20000000</v>
          </cell>
          <cell r="F6">
            <v>0</v>
          </cell>
          <cell r="G6">
            <v>8470000</v>
          </cell>
          <cell r="I6">
            <v>12374000</v>
          </cell>
          <cell r="K6">
            <v>26869999.999999892</v>
          </cell>
          <cell r="S6">
            <v>27099999.999998543</v>
          </cell>
          <cell r="AB6">
            <v>0</v>
          </cell>
        </row>
        <row r="7">
          <cell r="C7">
            <v>11710000</v>
          </cell>
          <cell r="E7">
            <v>22000000</v>
          </cell>
          <cell r="F7">
            <v>0</v>
          </cell>
          <cell r="G7">
            <v>9120000</v>
          </cell>
          <cell r="I7">
            <v>11704000</v>
          </cell>
          <cell r="K7">
            <v>28720000.000000253</v>
          </cell>
          <cell r="S7">
            <v>29299999.999995634</v>
          </cell>
          <cell r="AB7">
            <v>0</v>
          </cell>
        </row>
        <row r="8">
          <cell r="C8">
            <v>13002000</v>
          </cell>
          <cell r="E8">
            <v>22000000</v>
          </cell>
          <cell r="F8">
            <v>0</v>
          </cell>
          <cell r="G8">
            <v>9890000</v>
          </cell>
          <cell r="I8">
            <v>12995000</v>
          </cell>
          <cell r="K8">
            <v>29239999.99999978</v>
          </cell>
          <cell r="S8">
            <v>29800000.000002909</v>
          </cell>
          <cell r="AB8">
            <v>0</v>
          </cell>
        </row>
        <row r="9">
          <cell r="C9">
            <v>13399000</v>
          </cell>
          <cell r="E9">
            <v>20000000</v>
          </cell>
          <cell r="F9">
            <v>0</v>
          </cell>
          <cell r="G9">
            <v>8780000</v>
          </cell>
          <cell r="I9">
            <v>13391000</v>
          </cell>
          <cell r="K9">
            <v>26579999.999999925</v>
          </cell>
          <cell r="S9">
            <v>27500000</v>
          </cell>
          <cell r="AB9">
            <v>0</v>
          </cell>
        </row>
        <row r="10">
          <cell r="C10">
            <v>13731000</v>
          </cell>
          <cell r="E10">
            <v>17000000</v>
          </cell>
          <cell r="F10">
            <v>0</v>
          </cell>
          <cell r="G10">
            <v>7300000</v>
          </cell>
          <cell r="I10">
            <v>13722000</v>
          </cell>
          <cell r="K10">
            <v>24119999.999999892</v>
          </cell>
          <cell r="S10">
            <v>22800000.000002909</v>
          </cell>
          <cell r="AB10">
            <v>0</v>
          </cell>
        </row>
        <row r="11">
          <cell r="C11">
            <v>13021000</v>
          </cell>
          <cell r="E11">
            <v>21000000</v>
          </cell>
          <cell r="F11">
            <v>0</v>
          </cell>
          <cell r="G11">
            <v>9180000</v>
          </cell>
          <cell r="I11">
            <v>13016000</v>
          </cell>
          <cell r="K11">
            <v>28310000.000000399</v>
          </cell>
          <cell r="S11">
            <v>28299999.999995634</v>
          </cell>
          <cell r="AB11">
            <v>0</v>
          </cell>
        </row>
        <row r="12">
          <cell r="C12">
            <v>12582000</v>
          </cell>
          <cell r="E12">
            <v>21000000</v>
          </cell>
          <cell r="F12">
            <v>0</v>
          </cell>
          <cell r="G12">
            <v>10030000</v>
          </cell>
          <cell r="I12">
            <v>12576000</v>
          </cell>
          <cell r="K12">
            <v>28090000.000000145</v>
          </cell>
          <cell r="S12">
            <v>28900000.000001457</v>
          </cell>
          <cell r="AB12">
            <v>0</v>
          </cell>
        </row>
        <row r="13">
          <cell r="C13">
            <v>13807000</v>
          </cell>
          <cell r="E13">
            <v>24000000</v>
          </cell>
          <cell r="F13">
            <v>0</v>
          </cell>
          <cell r="G13">
            <v>11460000</v>
          </cell>
          <cell r="I13">
            <v>13800000</v>
          </cell>
          <cell r="K13">
            <v>32429999.999999382</v>
          </cell>
          <cell r="S13">
            <v>33599999.999998547</v>
          </cell>
          <cell r="AB13">
            <v>0</v>
          </cell>
        </row>
        <row r="14">
          <cell r="C14">
            <v>13955000</v>
          </cell>
          <cell r="E14">
            <v>21000000</v>
          </cell>
          <cell r="F14">
            <v>0</v>
          </cell>
          <cell r="G14">
            <v>8990000</v>
          </cell>
          <cell r="I14">
            <v>13635699.999999993</v>
          </cell>
          <cell r="K14">
            <v>28390000.000000328</v>
          </cell>
          <cell r="S14">
            <v>29200000.000004366</v>
          </cell>
          <cell r="AB14">
            <v>309300.00000000745</v>
          </cell>
        </row>
        <row r="15">
          <cell r="C15">
            <v>13688000</v>
          </cell>
          <cell r="E15">
            <v>22000000</v>
          </cell>
          <cell r="F15">
            <v>0</v>
          </cell>
          <cell r="G15">
            <v>10130000</v>
          </cell>
          <cell r="I15">
            <v>13333800.000000004</v>
          </cell>
          <cell r="K15">
            <v>29380000.000000108</v>
          </cell>
          <cell r="S15">
            <v>29799999.999995634</v>
          </cell>
          <cell r="AB15">
            <v>349199.99999999616</v>
          </cell>
        </row>
        <row r="16">
          <cell r="C16">
            <v>13648000</v>
          </cell>
          <cell r="E16">
            <v>23000000</v>
          </cell>
          <cell r="F16">
            <v>0</v>
          </cell>
          <cell r="G16">
            <v>11250000</v>
          </cell>
          <cell r="I16">
            <v>13219499.999999991</v>
          </cell>
          <cell r="K16">
            <v>31739999.99999978</v>
          </cell>
          <cell r="S16">
            <v>32400000.000001457</v>
          </cell>
          <cell r="AB16">
            <v>421500.00000000885</v>
          </cell>
        </row>
        <row r="17">
          <cell r="C17">
            <v>12359000</v>
          </cell>
          <cell r="E17">
            <v>24000000</v>
          </cell>
          <cell r="F17">
            <v>0</v>
          </cell>
          <cell r="G17">
            <v>10510000</v>
          </cell>
          <cell r="I17">
            <v>11834200.000000011</v>
          </cell>
          <cell r="K17">
            <v>30880000.000000108</v>
          </cell>
          <cell r="S17">
            <v>32099999.999998543</v>
          </cell>
          <cell r="AB17">
            <v>516799.99999998929</v>
          </cell>
        </row>
        <row r="18">
          <cell r="C18">
            <v>12661000</v>
          </cell>
          <cell r="E18">
            <v>23000000</v>
          </cell>
          <cell r="F18">
            <v>0</v>
          </cell>
          <cell r="G18">
            <v>11320000</v>
          </cell>
          <cell r="I18">
            <v>12194399.999999981</v>
          </cell>
          <cell r="K18">
            <v>31539999.999999963</v>
          </cell>
          <cell r="S18">
            <v>32700000.000004366</v>
          </cell>
          <cell r="AB18">
            <v>458600.00000001834</v>
          </cell>
        </row>
        <row r="19">
          <cell r="C19">
            <v>10934000</v>
          </cell>
          <cell r="E19">
            <v>21000000</v>
          </cell>
          <cell r="F19">
            <v>0</v>
          </cell>
          <cell r="G19">
            <v>8300000</v>
          </cell>
          <cell r="I19">
            <v>10579900.000000007</v>
          </cell>
          <cell r="K19">
            <v>26909999.999999855</v>
          </cell>
          <cell r="S19">
            <v>27399999.999994181</v>
          </cell>
          <cell r="AB19">
            <v>349099.99999999284</v>
          </cell>
        </row>
        <row r="20">
          <cell r="C20">
            <v>12151000</v>
          </cell>
          <cell r="E20">
            <v>22000000</v>
          </cell>
          <cell r="F20">
            <v>0</v>
          </cell>
          <cell r="G20">
            <v>9340000</v>
          </cell>
          <cell r="I20">
            <v>11674000.000000011</v>
          </cell>
          <cell r="K20">
            <v>29360000.000000581</v>
          </cell>
          <cell r="S20">
            <v>30200000.000004366</v>
          </cell>
          <cell r="AB20">
            <v>467999.99999998929</v>
          </cell>
        </row>
        <row r="21">
          <cell r="C21">
            <v>11657000</v>
          </cell>
          <cell r="E21">
            <v>21000000</v>
          </cell>
          <cell r="F21">
            <v>0</v>
          </cell>
          <cell r="G21">
            <v>11110000</v>
          </cell>
          <cell r="I21">
            <v>11257200.000000002</v>
          </cell>
          <cell r="K21">
            <v>31929999.999999382</v>
          </cell>
          <cell r="S21">
            <v>30000000</v>
          </cell>
          <cell r="AB21">
            <v>393799.99999999884</v>
          </cell>
        </row>
        <row r="22">
          <cell r="C22">
            <v>10886000</v>
          </cell>
          <cell r="E22">
            <v>20000000</v>
          </cell>
          <cell r="F22">
            <v>0</v>
          </cell>
          <cell r="G22">
            <v>13330000</v>
          </cell>
          <cell r="I22">
            <v>10427999.999999978</v>
          </cell>
          <cell r="K22">
            <v>27920000.000000075</v>
          </cell>
          <cell r="S22">
            <v>32099999.999998543</v>
          </cell>
          <cell r="AB22">
            <v>451000.00000002183</v>
          </cell>
        </row>
        <row r="23">
          <cell r="C23">
            <v>11946000</v>
          </cell>
          <cell r="E23">
            <v>20000000</v>
          </cell>
          <cell r="F23">
            <v>0</v>
          </cell>
          <cell r="G23">
            <v>13280000</v>
          </cell>
          <cell r="I23">
            <v>11493400.000000011</v>
          </cell>
          <cell r="K23">
            <v>30909999.999999855</v>
          </cell>
          <cell r="S23">
            <v>31599999.999998543</v>
          </cell>
          <cell r="AB23">
            <v>446599.99999998946</v>
          </cell>
        </row>
        <row r="24">
          <cell r="C24">
            <v>12027000</v>
          </cell>
          <cell r="E24">
            <v>21000000</v>
          </cell>
          <cell r="F24">
            <v>0</v>
          </cell>
          <cell r="G24">
            <v>12700000</v>
          </cell>
          <cell r="I24">
            <v>11570299.999999993</v>
          </cell>
          <cell r="K24">
            <v>30200000.000000726</v>
          </cell>
          <cell r="S24">
            <v>31000000</v>
          </cell>
          <cell r="AB24">
            <v>449700.0000000071</v>
          </cell>
        </row>
        <row r="25">
          <cell r="C25">
            <v>11089000</v>
          </cell>
          <cell r="E25">
            <v>20000000</v>
          </cell>
          <cell r="F25">
            <v>0</v>
          </cell>
          <cell r="G25">
            <v>14140000</v>
          </cell>
          <cell r="I25">
            <v>10667300.000000019</v>
          </cell>
          <cell r="K25">
            <v>31579999.999999925</v>
          </cell>
          <cell r="S25">
            <v>33099999.999998543</v>
          </cell>
          <cell r="AB25">
            <v>414699.99999998207</v>
          </cell>
        </row>
        <row r="26">
          <cell r="C26">
            <v>12488000</v>
          </cell>
          <cell r="E26">
            <v>20000000</v>
          </cell>
          <cell r="F26">
            <v>2000</v>
          </cell>
          <cell r="G26">
            <v>13650000</v>
          </cell>
          <cell r="I26">
            <v>12009099.999999991</v>
          </cell>
          <cell r="K26">
            <v>30869999.999999892</v>
          </cell>
          <cell r="S26">
            <v>31600000.000005819</v>
          </cell>
          <cell r="AB26">
            <v>472900.0000000099</v>
          </cell>
        </row>
        <row r="27">
          <cell r="C27">
            <v>11756000</v>
          </cell>
          <cell r="E27">
            <v>20000000</v>
          </cell>
          <cell r="F27">
            <v>0</v>
          </cell>
          <cell r="G27">
            <v>13150000</v>
          </cell>
          <cell r="I27">
            <v>11185199.999999994</v>
          </cell>
          <cell r="K27">
            <v>30719999.999999344</v>
          </cell>
          <cell r="S27">
            <v>31599999.999998543</v>
          </cell>
          <cell r="AB27">
            <v>561800.00000000524</v>
          </cell>
        </row>
        <row r="28">
          <cell r="C28">
            <v>10850000</v>
          </cell>
          <cell r="E28">
            <v>20000000</v>
          </cell>
          <cell r="F28">
            <v>1249000</v>
          </cell>
          <cell r="G28">
            <v>12770000</v>
          </cell>
          <cell r="I28">
            <v>10362399.999999994</v>
          </cell>
          <cell r="K28">
            <v>29280000.000000656</v>
          </cell>
          <cell r="S28">
            <v>30699999.999997091</v>
          </cell>
          <cell r="AB28">
            <v>479600.00000000489</v>
          </cell>
        </row>
        <row r="29">
          <cell r="C29">
            <v>11338000</v>
          </cell>
          <cell r="E29">
            <v>21000000</v>
          </cell>
          <cell r="F29">
            <v>0</v>
          </cell>
          <cell r="G29">
            <v>13930000</v>
          </cell>
          <cell r="I29">
            <v>10993000.000000015</v>
          </cell>
          <cell r="K29">
            <v>32279999.999999747</v>
          </cell>
          <cell r="S29">
            <v>32900000.000001457</v>
          </cell>
          <cell r="AB29">
            <v>341999.99999998452</v>
          </cell>
        </row>
        <row r="30">
          <cell r="C30">
            <v>8982000</v>
          </cell>
          <cell r="E30">
            <v>18000000</v>
          </cell>
          <cell r="F30">
            <v>0</v>
          </cell>
          <cell r="G30">
            <v>11750000</v>
          </cell>
          <cell r="I30">
            <v>8555399.9999999981</v>
          </cell>
          <cell r="K30">
            <v>27220000.000000253</v>
          </cell>
          <cell r="S30">
            <v>28000000</v>
          </cell>
          <cell r="AB30">
            <v>419600.00000000262</v>
          </cell>
        </row>
        <row r="31">
          <cell r="C31">
            <v>10543000</v>
          </cell>
          <cell r="E31">
            <v>17000000</v>
          </cell>
          <cell r="F31">
            <v>0</v>
          </cell>
          <cell r="G31">
            <v>11620000</v>
          </cell>
          <cell r="I31">
            <v>10120000.000000004</v>
          </cell>
          <cell r="K31">
            <v>26679999.999999382</v>
          </cell>
          <cell r="S31">
            <v>27699999.999997091</v>
          </cell>
          <cell r="AB31">
            <v>415999.9999999968</v>
          </cell>
        </row>
        <row r="32">
          <cell r="C32">
            <v>10860000</v>
          </cell>
          <cell r="E32">
            <v>20000000</v>
          </cell>
          <cell r="F32">
            <v>0</v>
          </cell>
          <cell r="G32">
            <v>12880000</v>
          </cell>
          <cell r="I32">
            <v>10405999.999999993</v>
          </cell>
          <cell r="K32">
            <v>30380000.000000108</v>
          </cell>
          <cell r="S32">
            <v>31100000.000005819</v>
          </cell>
          <cell r="AB32">
            <v>448000.00000000751</v>
          </cell>
        </row>
        <row r="33">
          <cell r="C33">
            <v>11081000</v>
          </cell>
          <cell r="E33">
            <v>19000000</v>
          </cell>
          <cell r="F33">
            <v>0</v>
          </cell>
          <cell r="G33">
            <v>12370000</v>
          </cell>
          <cell r="I33">
            <v>10715799.999999989</v>
          </cell>
          <cell r="K33">
            <v>28550000.000000183</v>
          </cell>
          <cell r="S33">
            <v>30000000</v>
          </cell>
          <cell r="AB33">
            <v>358200.00000001071</v>
          </cell>
        </row>
        <row r="34">
          <cell r="C34">
            <v>10909000</v>
          </cell>
          <cell r="E34">
            <v>18000000</v>
          </cell>
          <cell r="F34">
            <v>0</v>
          </cell>
          <cell r="G34">
            <v>12080000</v>
          </cell>
          <cell r="I34">
            <v>10467300.000000013</v>
          </cell>
          <cell r="K34">
            <v>28420000.000000075</v>
          </cell>
          <cell r="S34">
            <v>28799999.999995634</v>
          </cell>
          <cell r="AB34">
            <v>433699.99999998754</v>
          </cell>
        </row>
        <row r="35">
          <cell r="C35">
            <v>10893000</v>
          </cell>
          <cell r="E35">
            <v>19000000</v>
          </cell>
          <cell r="F35">
            <v>0</v>
          </cell>
          <cell r="G35">
            <v>13670000</v>
          </cell>
          <cell r="I35">
            <v>10547899.999999993</v>
          </cell>
          <cell r="K35">
            <v>29840000.000000145</v>
          </cell>
          <cell r="S35">
            <v>31300000.000002909</v>
          </cell>
          <cell r="AB35">
            <v>340100.00000000675</v>
          </cell>
        </row>
        <row r="36">
          <cell r="C36">
            <v>10692000</v>
          </cell>
          <cell r="E36">
            <v>19000000</v>
          </cell>
          <cell r="F36">
            <v>0</v>
          </cell>
          <cell r="G36">
            <v>12090000</v>
          </cell>
          <cell r="I36">
            <v>10326099.999999994</v>
          </cell>
          <cell r="K36">
            <v>28250000</v>
          </cell>
          <cell r="S36">
            <v>29099999.999998543</v>
          </cell>
          <cell r="AB36">
            <v>358900.00000000553</v>
          </cell>
        </row>
        <row r="37">
          <cell r="C37">
            <v>10678000</v>
          </cell>
          <cell r="E37">
            <v>20000000</v>
          </cell>
          <cell r="F37">
            <v>0</v>
          </cell>
          <cell r="G37">
            <v>13260000</v>
          </cell>
          <cell r="I37">
            <v>10177800.000000004</v>
          </cell>
          <cell r="K37">
            <v>30519999.999999527</v>
          </cell>
          <cell r="S37">
            <v>31699999.999997091</v>
          </cell>
          <cell r="AB37">
            <v>492199.99999999686</v>
          </cell>
        </row>
        <row r="38">
          <cell r="C38">
            <v>9525000</v>
          </cell>
          <cell r="E38">
            <v>21000000</v>
          </cell>
          <cell r="F38">
            <v>0</v>
          </cell>
          <cell r="G38">
            <v>13840000</v>
          </cell>
          <cell r="I38">
            <v>9235900.0000000056</v>
          </cell>
          <cell r="K38">
            <v>31820000.000000618</v>
          </cell>
          <cell r="S38">
            <v>32900000.000001457</v>
          </cell>
          <cell r="AB38">
            <v>284099.99999999511</v>
          </cell>
        </row>
        <row r="39">
          <cell r="C39">
            <v>12231000</v>
          </cell>
          <cell r="E39">
            <v>18000000</v>
          </cell>
          <cell r="F39">
            <v>0</v>
          </cell>
          <cell r="G39">
            <v>12910000</v>
          </cell>
          <cell r="I39">
            <v>11809000.000000007</v>
          </cell>
          <cell r="K39">
            <v>29590000.000000145</v>
          </cell>
          <cell r="S39">
            <v>30300000.000002909</v>
          </cell>
          <cell r="AB39">
            <v>414999.99999999203</v>
          </cell>
        </row>
        <row r="40">
          <cell r="C40">
            <v>12081000</v>
          </cell>
          <cell r="E40">
            <v>17000000</v>
          </cell>
          <cell r="F40">
            <v>1627000</v>
          </cell>
          <cell r="G40">
            <v>13120000</v>
          </cell>
          <cell r="I40">
            <v>11694099.999999985</v>
          </cell>
          <cell r="K40">
            <v>27489999.99999978</v>
          </cell>
          <cell r="S40">
            <v>28699999.999997091</v>
          </cell>
          <cell r="AB40">
            <v>378900.00000001577</v>
          </cell>
        </row>
        <row r="41">
          <cell r="C41">
            <v>12064000</v>
          </cell>
          <cell r="E41">
            <v>20000000</v>
          </cell>
          <cell r="F41">
            <v>0</v>
          </cell>
          <cell r="G41">
            <v>13440000</v>
          </cell>
          <cell r="I41">
            <v>11641500.00000002</v>
          </cell>
          <cell r="K41">
            <v>31500000</v>
          </cell>
          <cell r="S41">
            <v>32000000</v>
          </cell>
          <cell r="AB41">
            <v>415499.99999998021</v>
          </cell>
        </row>
        <row r="42">
          <cell r="C42">
            <v>10627000</v>
          </cell>
          <cell r="E42">
            <v>20000000</v>
          </cell>
          <cell r="F42">
            <v>611000</v>
          </cell>
          <cell r="G42">
            <v>12380000</v>
          </cell>
          <cell r="I42">
            <v>10205499.999999991</v>
          </cell>
          <cell r="K42">
            <v>28699999.999999817</v>
          </cell>
          <cell r="S42">
            <v>29900000.000001457</v>
          </cell>
          <cell r="AB42">
            <v>415500.00000000861</v>
          </cell>
        </row>
        <row r="43">
          <cell r="C43">
            <v>12210000</v>
          </cell>
          <cell r="E43">
            <v>19000000</v>
          </cell>
          <cell r="F43">
            <v>0</v>
          </cell>
          <cell r="G43">
            <v>13330000</v>
          </cell>
          <cell r="I43">
            <v>11796899.999999996</v>
          </cell>
          <cell r="K43">
            <v>30329999.999999925</v>
          </cell>
          <cell r="S43">
            <v>31300000.000002909</v>
          </cell>
          <cell r="AB43">
            <v>405100.00000000448</v>
          </cell>
        </row>
        <row r="44">
          <cell r="C44">
            <v>11908000</v>
          </cell>
          <cell r="E44">
            <v>19000000</v>
          </cell>
          <cell r="F44">
            <v>0</v>
          </cell>
          <cell r="G44">
            <v>14550000</v>
          </cell>
          <cell r="I44">
            <v>11619600</v>
          </cell>
          <cell r="K44">
            <v>30689999.999999601</v>
          </cell>
          <cell r="S44">
            <v>31500000</v>
          </cell>
          <cell r="AB44">
            <v>283400.00000000029</v>
          </cell>
        </row>
        <row r="45">
          <cell r="C45">
            <v>12450000</v>
          </cell>
          <cell r="E45">
            <v>19000000</v>
          </cell>
          <cell r="F45">
            <v>0</v>
          </cell>
          <cell r="G45">
            <v>15460000</v>
          </cell>
          <cell r="I45">
            <v>12083700.000000009</v>
          </cell>
          <cell r="K45">
            <v>31290000.000000872</v>
          </cell>
          <cell r="S45">
            <v>32899999.999994181</v>
          </cell>
          <cell r="AB45">
            <v>359299.9999999904</v>
          </cell>
        </row>
        <row r="46">
          <cell r="C46">
            <v>10131000</v>
          </cell>
          <cell r="E46">
            <v>19000000</v>
          </cell>
          <cell r="F46">
            <v>752000</v>
          </cell>
          <cell r="G46">
            <v>14040000</v>
          </cell>
          <cell r="I46">
            <v>9763600.0000000056</v>
          </cell>
          <cell r="K46">
            <v>30319999.999999709</v>
          </cell>
          <cell r="S46">
            <v>31600000.000005819</v>
          </cell>
          <cell r="AB46">
            <v>359399.99999999371</v>
          </cell>
        </row>
        <row r="47">
          <cell r="C47">
            <v>11609000</v>
          </cell>
          <cell r="E47">
            <v>21000000</v>
          </cell>
          <cell r="F47">
            <v>0</v>
          </cell>
          <cell r="G47">
            <v>13310000</v>
          </cell>
          <cell r="I47">
            <v>11248299.999999996</v>
          </cell>
          <cell r="K47">
            <v>31159999.999999855</v>
          </cell>
          <cell r="S47">
            <v>32699999.999997091</v>
          </cell>
          <cell r="AB47">
            <v>353700.00000000343</v>
          </cell>
        </row>
        <row r="48">
          <cell r="C48">
            <v>12516000</v>
          </cell>
          <cell r="E48">
            <v>20000000</v>
          </cell>
          <cell r="F48">
            <v>0</v>
          </cell>
          <cell r="G48">
            <v>14020000</v>
          </cell>
          <cell r="I48">
            <v>12072699.999999987</v>
          </cell>
          <cell r="K48">
            <v>31939999.999999601</v>
          </cell>
          <cell r="S48">
            <v>33199999.999997091</v>
          </cell>
          <cell r="AB48">
            <v>435300.00000001222</v>
          </cell>
        </row>
        <row r="49">
          <cell r="C49">
            <v>8816000</v>
          </cell>
          <cell r="E49">
            <v>21000000</v>
          </cell>
          <cell r="F49">
            <v>0</v>
          </cell>
          <cell r="G49">
            <v>15830000</v>
          </cell>
          <cell r="I49">
            <v>8372700.0000000158</v>
          </cell>
          <cell r="K49">
            <v>34500000</v>
          </cell>
          <cell r="S49">
            <v>35600000.000005819</v>
          </cell>
          <cell r="AB49">
            <v>435299.99999998382</v>
          </cell>
        </row>
        <row r="50">
          <cell r="C50">
            <v>7285000</v>
          </cell>
          <cell r="E50">
            <v>24000000</v>
          </cell>
          <cell r="F50">
            <v>0</v>
          </cell>
          <cell r="G50">
            <v>16500000</v>
          </cell>
          <cell r="I50">
            <v>7094099.9999999823</v>
          </cell>
          <cell r="K50">
            <v>37560000.000000402</v>
          </cell>
          <cell r="S50">
            <v>38000000</v>
          </cell>
          <cell r="AB50">
            <v>188900.00000001804</v>
          </cell>
        </row>
        <row r="51">
          <cell r="C51">
            <v>10570000</v>
          </cell>
          <cell r="E51">
            <v>21000000</v>
          </cell>
          <cell r="F51">
            <v>0</v>
          </cell>
          <cell r="G51">
            <v>14360000</v>
          </cell>
          <cell r="I51">
            <v>10185800.000000002</v>
          </cell>
          <cell r="K51">
            <v>32029999.999999747</v>
          </cell>
          <cell r="S51">
            <v>33699999.999997087</v>
          </cell>
          <cell r="AB51">
            <v>379199.99999999732</v>
          </cell>
        </row>
        <row r="52">
          <cell r="C52">
            <v>10955000</v>
          </cell>
          <cell r="E52">
            <v>21000000</v>
          </cell>
          <cell r="F52">
            <v>0</v>
          </cell>
          <cell r="G52">
            <v>14290000</v>
          </cell>
          <cell r="I52">
            <v>10644799.999999996</v>
          </cell>
          <cell r="K52">
            <v>32600000.000000365</v>
          </cell>
          <cell r="S52">
            <v>34000000</v>
          </cell>
          <cell r="AB52">
            <v>303200.0000000039</v>
          </cell>
        </row>
        <row r="53">
          <cell r="C53">
            <v>10433000</v>
          </cell>
          <cell r="E53">
            <v>21000000</v>
          </cell>
          <cell r="F53">
            <v>0</v>
          </cell>
          <cell r="G53">
            <v>14180000</v>
          </cell>
          <cell r="I53">
            <v>10081800.000000019</v>
          </cell>
          <cell r="K53">
            <v>31920000.000000075</v>
          </cell>
          <cell r="S53">
            <v>33300000.000002909</v>
          </cell>
          <cell r="AB53">
            <v>346199.99999998184</v>
          </cell>
        </row>
        <row r="54">
          <cell r="C54">
            <v>7865000</v>
          </cell>
          <cell r="E54">
            <v>22000000</v>
          </cell>
          <cell r="F54">
            <v>0</v>
          </cell>
          <cell r="G54">
            <v>15950000</v>
          </cell>
          <cell r="I54">
            <v>7553999.9999999888</v>
          </cell>
          <cell r="K54">
            <v>34479999.99999956</v>
          </cell>
          <cell r="S54">
            <v>36000000</v>
          </cell>
          <cell r="AB54">
            <v>306000.00000001158</v>
          </cell>
        </row>
        <row r="55">
          <cell r="C55">
            <v>10081000</v>
          </cell>
          <cell r="E55">
            <v>23000000</v>
          </cell>
          <cell r="F55">
            <v>0</v>
          </cell>
          <cell r="G55">
            <v>16590000</v>
          </cell>
          <cell r="I55">
            <v>9676500.0000000149</v>
          </cell>
          <cell r="K55">
            <v>36600000.000000365</v>
          </cell>
          <cell r="S55">
            <v>37199999.999997087</v>
          </cell>
          <cell r="AB55">
            <v>398499.99999998428</v>
          </cell>
        </row>
        <row r="56">
          <cell r="C56">
            <v>8047000</v>
          </cell>
          <cell r="E56">
            <v>22000000</v>
          </cell>
          <cell r="F56">
            <v>0</v>
          </cell>
          <cell r="G56">
            <v>15000000</v>
          </cell>
          <cell r="I56">
            <v>7621299.9999999749</v>
          </cell>
          <cell r="K56">
            <v>32819999.999999709</v>
          </cell>
          <cell r="S56">
            <v>35199999.999997087</v>
          </cell>
          <cell r="AB56">
            <v>417700.00000002485</v>
          </cell>
        </row>
        <row r="57">
          <cell r="C57">
            <v>8329000</v>
          </cell>
          <cell r="E57">
            <v>21000000</v>
          </cell>
          <cell r="F57">
            <v>0</v>
          </cell>
          <cell r="G57">
            <v>14290000</v>
          </cell>
          <cell r="I57">
            <v>8092899.9999999972</v>
          </cell>
          <cell r="K57">
            <v>32070000.000000618</v>
          </cell>
          <cell r="S57">
            <v>33400000.000001457</v>
          </cell>
          <cell r="AB57">
            <v>232100.00000000265</v>
          </cell>
        </row>
        <row r="58">
          <cell r="C58">
            <v>9048000</v>
          </cell>
          <cell r="E58">
            <v>21000000</v>
          </cell>
          <cell r="F58">
            <v>0</v>
          </cell>
          <cell r="G58">
            <v>15610000</v>
          </cell>
          <cell r="I58">
            <v>8708300.0000000075</v>
          </cell>
          <cell r="K58">
            <v>33059999.99999949</v>
          </cell>
          <cell r="S58">
            <v>34900000.000001453</v>
          </cell>
          <cell r="AB58">
            <v>333699.99999999325</v>
          </cell>
        </row>
        <row r="59">
          <cell r="C59">
            <v>8943000</v>
          </cell>
          <cell r="E59">
            <v>19000000</v>
          </cell>
          <cell r="F59">
            <v>0</v>
          </cell>
          <cell r="G59">
            <v>15790000</v>
          </cell>
          <cell r="I59">
            <v>8535999.9999999944</v>
          </cell>
          <cell r="K59">
            <v>31060000.000000399</v>
          </cell>
          <cell r="S59">
            <v>32400000.000001457</v>
          </cell>
          <cell r="AB59">
            <v>400000.0000000057</v>
          </cell>
        </row>
        <row r="60">
          <cell r="C60">
            <v>8862000</v>
          </cell>
          <cell r="E60">
            <v>22000000</v>
          </cell>
          <cell r="F60">
            <v>0</v>
          </cell>
          <cell r="G60">
            <v>16320000</v>
          </cell>
          <cell r="I60">
            <v>8541600.0000000168</v>
          </cell>
          <cell r="K60">
            <v>35139999.999999419</v>
          </cell>
          <cell r="S60">
            <v>36799999.999995634</v>
          </cell>
          <cell r="AB60">
            <v>315399.9999999826</v>
          </cell>
        </row>
        <row r="61">
          <cell r="C61">
            <v>8860000</v>
          </cell>
          <cell r="E61">
            <v>23000000</v>
          </cell>
          <cell r="F61">
            <v>0</v>
          </cell>
          <cell r="G61">
            <v>15250000</v>
          </cell>
          <cell r="I61">
            <v>8476099.9999999851</v>
          </cell>
          <cell r="K61">
            <v>34980000.000000469</v>
          </cell>
          <cell r="S61">
            <v>36200000.000004366</v>
          </cell>
          <cell r="AB61">
            <v>378900.00000001577</v>
          </cell>
        </row>
        <row r="62">
          <cell r="C62">
            <v>7816000</v>
          </cell>
          <cell r="E62">
            <v>21000000</v>
          </cell>
          <cell r="F62">
            <v>0</v>
          </cell>
          <cell r="G62">
            <v>14600000</v>
          </cell>
          <cell r="I62">
            <v>7644600.000000014</v>
          </cell>
          <cell r="K62">
            <v>31779999.999999747</v>
          </cell>
          <cell r="S62">
            <v>34099999.999998547</v>
          </cell>
          <cell r="AB62">
            <v>167399.99999998644</v>
          </cell>
        </row>
        <row r="63">
          <cell r="C63">
            <v>7567000</v>
          </cell>
          <cell r="E63">
            <v>17000000</v>
          </cell>
          <cell r="F63">
            <v>0</v>
          </cell>
          <cell r="G63">
            <v>14260000</v>
          </cell>
          <cell r="I63">
            <v>7097399.999999986</v>
          </cell>
          <cell r="K63">
            <v>28890000.000000328</v>
          </cell>
          <cell r="S63">
            <v>30000000</v>
          </cell>
          <cell r="AB63">
            <v>463600.0000000138</v>
          </cell>
        </row>
        <row r="64">
          <cell r="C64">
            <v>5974000</v>
          </cell>
          <cell r="E64">
            <v>23000000</v>
          </cell>
          <cell r="F64">
            <v>0</v>
          </cell>
          <cell r="G64">
            <v>17340000</v>
          </cell>
          <cell r="I64">
            <v>5489600.0000000112</v>
          </cell>
          <cell r="K64">
            <v>36500000</v>
          </cell>
          <cell r="S64">
            <v>37400000.000001453</v>
          </cell>
          <cell r="AB64">
            <v>477399.99999998871</v>
          </cell>
        </row>
        <row r="65">
          <cell r="C65">
            <v>5998000</v>
          </cell>
          <cell r="E65">
            <v>19000000</v>
          </cell>
          <cell r="F65">
            <v>0</v>
          </cell>
          <cell r="G65">
            <v>12380000</v>
          </cell>
          <cell r="I65">
            <v>6012700.0000000047</v>
          </cell>
          <cell r="K65">
            <v>27559999.99999949</v>
          </cell>
          <cell r="S65">
            <v>29299999.999995634</v>
          </cell>
          <cell r="AB65">
            <v>-14700.00000000482</v>
          </cell>
        </row>
        <row r="66">
          <cell r="C66">
            <v>6006000</v>
          </cell>
          <cell r="E66">
            <v>20000000</v>
          </cell>
          <cell r="F66">
            <v>0</v>
          </cell>
          <cell r="G66">
            <v>13690000</v>
          </cell>
          <cell r="I66">
            <v>5750599.999999987</v>
          </cell>
          <cell r="K66">
            <v>31200000.000000726</v>
          </cell>
          <cell r="S66">
            <v>32700000.000004366</v>
          </cell>
          <cell r="AB66">
            <v>250400.00000001327</v>
          </cell>
        </row>
        <row r="67">
          <cell r="C67">
            <v>6439000</v>
          </cell>
          <cell r="E67">
            <v>20000000</v>
          </cell>
          <cell r="F67">
            <v>0</v>
          </cell>
          <cell r="G67">
            <v>14230000</v>
          </cell>
          <cell r="I67">
            <v>6118899.9999999991</v>
          </cell>
          <cell r="K67">
            <v>30879999.999999199</v>
          </cell>
          <cell r="S67">
            <v>32599999.999998543</v>
          </cell>
          <cell r="AB67">
            <v>315100.00000000105</v>
          </cell>
        </row>
        <row r="68">
          <cell r="C68">
            <v>5390000</v>
          </cell>
          <cell r="E68">
            <v>18000000</v>
          </cell>
          <cell r="G68">
            <v>13450000</v>
          </cell>
          <cell r="I68">
            <v>5048600.0000000121</v>
          </cell>
          <cell r="J68">
            <v>0</v>
          </cell>
          <cell r="K68">
            <v>28770000.000000436</v>
          </cell>
          <cell r="T68">
            <v>2824475</v>
          </cell>
          <cell r="AB68">
            <v>334399.99999998807</v>
          </cell>
          <cell r="AE68">
            <v>1</v>
          </cell>
          <cell r="AF68">
            <v>845587</v>
          </cell>
          <cell r="AJ68">
            <v>491006</v>
          </cell>
        </row>
        <row r="69">
          <cell r="C69">
            <v>4715000</v>
          </cell>
          <cell r="E69">
            <v>21000000</v>
          </cell>
          <cell r="G69">
            <v>16760000</v>
          </cell>
          <cell r="I69">
            <v>4650800</v>
          </cell>
          <cell r="J69">
            <v>0</v>
          </cell>
          <cell r="K69">
            <v>34719999.999999344</v>
          </cell>
          <cell r="T69">
            <v>3632197</v>
          </cell>
          <cell r="AB69">
            <v>64199.999999999593</v>
          </cell>
          <cell r="AE69">
            <v>109997</v>
          </cell>
          <cell r="AF69">
            <v>0</v>
          </cell>
          <cell r="AJ69">
            <v>0</v>
          </cell>
        </row>
        <row r="70">
          <cell r="C70">
            <v>4704000</v>
          </cell>
          <cell r="E70">
            <v>21000000</v>
          </cell>
          <cell r="G70">
            <v>13890000</v>
          </cell>
          <cell r="I70">
            <v>4449300.0000000056</v>
          </cell>
          <cell r="J70">
            <v>0</v>
          </cell>
          <cell r="K70">
            <v>32569999.999999709</v>
          </cell>
          <cell r="T70">
            <v>3301532</v>
          </cell>
          <cell r="AB70">
            <v>250699.99999999482</v>
          </cell>
          <cell r="AE70">
            <v>281959</v>
          </cell>
          <cell r="AF70">
            <v>0</v>
          </cell>
          <cell r="AJ70">
            <v>0</v>
          </cell>
        </row>
        <row r="71">
          <cell r="C71">
            <v>4830000</v>
          </cell>
          <cell r="E71">
            <v>23000000</v>
          </cell>
          <cell r="G71">
            <v>15050000</v>
          </cell>
          <cell r="I71">
            <v>4479700.0000000009</v>
          </cell>
          <cell r="J71">
            <v>0</v>
          </cell>
          <cell r="K71">
            <v>34370000.000000797</v>
          </cell>
          <cell r="T71">
            <v>3442905</v>
          </cell>
          <cell r="AB71">
            <v>343299.9999999993</v>
          </cell>
          <cell r="AE71">
            <v>229705</v>
          </cell>
          <cell r="AF71">
            <v>0</v>
          </cell>
          <cell r="AJ71">
            <v>78484</v>
          </cell>
        </row>
        <row r="72">
          <cell r="C72">
            <v>4742000</v>
          </cell>
          <cell r="E72">
            <v>21000000</v>
          </cell>
          <cell r="G72">
            <v>14090000</v>
          </cell>
          <cell r="I72">
            <v>4499599.999999987</v>
          </cell>
          <cell r="J72">
            <v>0</v>
          </cell>
          <cell r="K72">
            <v>32510000.00000022</v>
          </cell>
          <cell r="T72">
            <v>3401425</v>
          </cell>
          <cell r="AB72">
            <v>238400.00000001283</v>
          </cell>
          <cell r="AE72">
            <v>280219</v>
          </cell>
          <cell r="AF72">
            <v>0</v>
          </cell>
          <cell r="AJ72">
            <v>239003</v>
          </cell>
        </row>
        <row r="73">
          <cell r="C73">
            <v>4698000</v>
          </cell>
          <cell r="E73">
            <v>22000000</v>
          </cell>
          <cell r="G73">
            <v>14220000</v>
          </cell>
          <cell r="I73">
            <v>4463100.0000000037</v>
          </cell>
          <cell r="J73">
            <v>0</v>
          </cell>
          <cell r="K73">
            <v>32850000.000000365</v>
          </cell>
          <cell r="T73">
            <v>3321646</v>
          </cell>
          <cell r="AB73">
            <v>231899.99999999598</v>
          </cell>
          <cell r="AE73">
            <v>298982</v>
          </cell>
          <cell r="AF73">
            <v>0</v>
          </cell>
          <cell r="AJ73">
            <v>0</v>
          </cell>
        </row>
        <row r="74">
          <cell r="C74">
            <v>4749000</v>
          </cell>
          <cell r="E74">
            <v>21000000</v>
          </cell>
          <cell r="G74">
            <v>13900000</v>
          </cell>
          <cell r="I74">
            <v>4684100.0000000056</v>
          </cell>
          <cell r="J74">
            <v>0</v>
          </cell>
          <cell r="K74">
            <v>32979999.999999564</v>
          </cell>
          <cell r="T74">
            <v>3189319</v>
          </cell>
          <cell r="AB74">
            <v>64899.999999994405</v>
          </cell>
          <cell r="AE74">
            <v>299454</v>
          </cell>
          <cell r="AF74">
            <v>0</v>
          </cell>
          <cell r="AJ74">
            <v>0</v>
          </cell>
        </row>
        <row r="75">
          <cell r="C75">
            <v>4846000</v>
          </cell>
          <cell r="E75">
            <v>12000000</v>
          </cell>
          <cell r="G75">
            <v>5200000</v>
          </cell>
          <cell r="I75">
            <v>4611799.9999999991</v>
          </cell>
          <cell r="J75">
            <v>0</v>
          </cell>
          <cell r="K75">
            <v>16350000.000000363</v>
          </cell>
          <cell r="T75">
            <v>0</v>
          </cell>
          <cell r="AB75">
            <v>231200.00000000119</v>
          </cell>
          <cell r="AE75">
            <v>951140</v>
          </cell>
          <cell r="AF75">
            <v>0</v>
          </cell>
          <cell r="AJ75">
            <v>0</v>
          </cell>
        </row>
        <row r="76">
          <cell r="C76">
            <v>4856000</v>
          </cell>
          <cell r="E76">
            <v>7000000</v>
          </cell>
          <cell r="G76">
            <v>5490000</v>
          </cell>
          <cell r="I76">
            <v>4685100.0000000019</v>
          </cell>
          <cell r="J76">
            <v>0</v>
          </cell>
          <cell r="K76">
            <v>11850000.000000363</v>
          </cell>
          <cell r="T76">
            <v>1089493</v>
          </cell>
          <cell r="AB76">
            <v>166899.99999999828</v>
          </cell>
          <cell r="AE76">
            <v>268162</v>
          </cell>
          <cell r="AF76">
            <v>0</v>
          </cell>
          <cell r="AJ76">
            <v>158628</v>
          </cell>
        </row>
        <row r="77">
          <cell r="C77">
            <v>4786000</v>
          </cell>
          <cell r="E77">
            <v>7000000</v>
          </cell>
          <cell r="G77">
            <v>5500000</v>
          </cell>
          <cell r="I77">
            <v>4551100.0000000037</v>
          </cell>
          <cell r="J77">
            <v>0</v>
          </cell>
          <cell r="K77">
            <v>11559999.999999491</v>
          </cell>
          <cell r="T77">
            <v>1359524</v>
          </cell>
          <cell r="AB77">
            <v>231899.99999999598</v>
          </cell>
          <cell r="AE77">
            <v>270227</v>
          </cell>
          <cell r="AF77">
            <v>0</v>
          </cell>
          <cell r="AJ77">
            <v>321325</v>
          </cell>
        </row>
        <row r="78">
          <cell r="C78">
            <v>4710000</v>
          </cell>
          <cell r="E78">
            <v>9000000</v>
          </cell>
          <cell r="G78">
            <v>5510000</v>
          </cell>
          <cell r="I78">
            <v>4531699.9999999972</v>
          </cell>
          <cell r="J78">
            <v>0</v>
          </cell>
          <cell r="K78">
            <v>13760000.000000218</v>
          </cell>
          <cell r="T78">
            <v>1220277</v>
          </cell>
          <cell r="AB78">
            <v>177300.00000000244</v>
          </cell>
          <cell r="AE78">
            <v>814805</v>
          </cell>
          <cell r="AF78">
            <v>0</v>
          </cell>
          <cell r="AJ78">
            <v>0</v>
          </cell>
        </row>
        <row r="79">
          <cell r="C79">
            <v>4832000</v>
          </cell>
          <cell r="E79">
            <v>12000000</v>
          </cell>
          <cell r="G79">
            <v>8120000</v>
          </cell>
          <cell r="I79">
            <v>4595200.0000000028</v>
          </cell>
          <cell r="J79">
            <v>0</v>
          </cell>
          <cell r="K79">
            <v>18369999.999998983</v>
          </cell>
          <cell r="T79">
            <v>2013515</v>
          </cell>
          <cell r="AB79">
            <v>232799.99999999744</v>
          </cell>
          <cell r="AE79">
            <v>270479</v>
          </cell>
          <cell r="AF79">
            <v>0</v>
          </cell>
          <cell r="AJ79">
            <v>0</v>
          </cell>
        </row>
        <row r="80">
          <cell r="C80">
            <v>4769000</v>
          </cell>
          <cell r="E80">
            <v>15000000</v>
          </cell>
          <cell r="G80">
            <v>9740000</v>
          </cell>
          <cell r="I80">
            <v>4534299.9999999823</v>
          </cell>
          <cell r="J80">
            <v>0</v>
          </cell>
          <cell r="K80">
            <v>22920000.000000075</v>
          </cell>
          <cell r="T80">
            <v>1853655</v>
          </cell>
          <cell r="AB80">
            <v>231700.00000001778</v>
          </cell>
          <cell r="AE80">
            <v>270964</v>
          </cell>
          <cell r="AF80">
            <v>0</v>
          </cell>
          <cell r="AJ80">
            <v>0</v>
          </cell>
        </row>
        <row r="81">
          <cell r="C81">
            <v>4703000</v>
          </cell>
          <cell r="E81">
            <v>16000000</v>
          </cell>
          <cell r="G81">
            <v>11230000</v>
          </cell>
          <cell r="I81">
            <v>4467600.0000000158</v>
          </cell>
          <cell r="J81">
            <v>0</v>
          </cell>
          <cell r="K81">
            <v>25760000.00000022</v>
          </cell>
          <cell r="T81">
            <v>2573414</v>
          </cell>
          <cell r="AB81">
            <v>232399.99999998417</v>
          </cell>
          <cell r="AE81">
            <v>2704367</v>
          </cell>
          <cell r="AF81">
            <v>0</v>
          </cell>
          <cell r="AJ81">
            <v>0</v>
          </cell>
        </row>
        <row r="82">
          <cell r="C82">
            <v>4751000</v>
          </cell>
          <cell r="E82">
            <v>17000000</v>
          </cell>
          <cell r="G82">
            <v>11590000</v>
          </cell>
          <cell r="I82">
            <v>4635899.9999999972</v>
          </cell>
          <cell r="J82">
            <v>0</v>
          </cell>
          <cell r="K82">
            <v>26350000.000000365</v>
          </cell>
          <cell r="T82">
            <v>2708361</v>
          </cell>
          <cell r="AB82">
            <v>113100.00000000287</v>
          </cell>
          <cell r="AE82">
            <v>3543654</v>
          </cell>
          <cell r="AF82">
            <v>0</v>
          </cell>
          <cell r="AJ82">
            <v>231732</v>
          </cell>
        </row>
        <row r="83">
          <cell r="C83">
            <v>4732000</v>
          </cell>
          <cell r="E83">
            <v>16000000</v>
          </cell>
          <cell r="G83">
            <v>12330000</v>
          </cell>
          <cell r="I83">
            <v>4527499.9999999898</v>
          </cell>
          <cell r="J83">
            <v>0</v>
          </cell>
          <cell r="K83">
            <v>26979999.999999564</v>
          </cell>
          <cell r="T83">
            <v>2614332</v>
          </cell>
          <cell r="AB83">
            <v>201500.00000001001</v>
          </cell>
          <cell r="AE83">
            <v>2436928</v>
          </cell>
          <cell r="AF83">
            <v>0</v>
          </cell>
          <cell r="AJ83">
            <v>44216</v>
          </cell>
        </row>
        <row r="84">
          <cell r="C84">
            <v>4928000</v>
          </cell>
          <cell r="E84">
            <v>18000000</v>
          </cell>
          <cell r="G84">
            <v>12010000</v>
          </cell>
          <cell r="I84">
            <v>4693100.0000000037</v>
          </cell>
          <cell r="J84">
            <v>0</v>
          </cell>
          <cell r="K84">
            <v>27090000.000000145</v>
          </cell>
          <cell r="T84">
            <v>2825346</v>
          </cell>
          <cell r="AB84">
            <v>231899.99999999598</v>
          </cell>
          <cell r="AE84">
            <v>2435006</v>
          </cell>
          <cell r="AF84">
            <v>0</v>
          </cell>
          <cell r="AJ84">
            <v>160472</v>
          </cell>
        </row>
        <row r="85">
          <cell r="C85">
            <v>4374000</v>
          </cell>
          <cell r="E85">
            <v>18000000</v>
          </cell>
          <cell r="G85">
            <v>12070000</v>
          </cell>
          <cell r="I85">
            <v>4223900.0000000009</v>
          </cell>
          <cell r="J85">
            <v>1000000</v>
          </cell>
          <cell r="K85">
            <v>27969999.999999344</v>
          </cell>
          <cell r="T85">
            <v>2774741</v>
          </cell>
          <cell r="AB85">
            <v>148099.99999999945</v>
          </cell>
          <cell r="AE85">
            <v>3173400</v>
          </cell>
          <cell r="AF85">
            <v>0</v>
          </cell>
          <cell r="AJ85">
            <v>223883</v>
          </cell>
        </row>
        <row r="86">
          <cell r="C86">
            <v>4483000</v>
          </cell>
          <cell r="E86">
            <v>17000000</v>
          </cell>
          <cell r="G86">
            <v>12570000</v>
          </cell>
          <cell r="I86">
            <v>4246799.9999999888</v>
          </cell>
          <cell r="J86">
            <v>0</v>
          </cell>
          <cell r="K86">
            <v>28200000.000000726</v>
          </cell>
          <cell r="T86">
            <v>3031552</v>
          </cell>
          <cell r="AB86">
            <v>233200.00000001074</v>
          </cell>
          <cell r="AE86">
            <v>706618</v>
          </cell>
          <cell r="AF86">
            <v>0</v>
          </cell>
          <cell r="AJ86">
            <v>223883</v>
          </cell>
        </row>
        <row r="87">
          <cell r="C87">
            <v>4394000</v>
          </cell>
          <cell r="E87">
            <v>19000000</v>
          </cell>
          <cell r="G87">
            <v>12580000</v>
          </cell>
          <cell r="I87">
            <v>4242700.0000000224</v>
          </cell>
          <cell r="J87">
            <v>864459</v>
          </cell>
          <cell r="K87">
            <v>28409999.999999855</v>
          </cell>
          <cell r="T87">
            <v>2858822</v>
          </cell>
          <cell r="AB87">
            <v>148299.99999997768</v>
          </cell>
          <cell r="AE87">
            <v>3002398</v>
          </cell>
          <cell r="AF87">
            <v>0</v>
          </cell>
          <cell r="AJ87">
            <v>566</v>
          </cell>
        </row>
        <row r="88">
          <cell r="C88">
            <v>4472000</v>
          </cell>
          <cell r="E88">
            <v>17000000</v>
          </cell>
          <cell r="G88">
            <v>11770000</v>
          </cell>
          <cell r="I88">
            <v>4150199.9999999944</v>
          </cell>
          <cell r="J88">
            <v>1930</v>
          </cell>
          <cell r="K88">
            <v>27260000.00000022</v>
          </cell>
          <cell r="T88">
            <v>2890952</v>
          </cell>
          <cell r="AB88">
            <v>317800.00000000541</v>
          </cell>
          <cell r="AE88">
            <v>1333372</v>
          </cell>
          <cell r="AF88">
            <v>0</v>
          </cell>
          <cell r="AJ88">
            <v>0</v>
          </cell>
        </row>
        <row r="89">
          <cell r="C89">
            <v>4392000</v>
          </cell>
          <cell r="E89">
            <v>16000000</v>
          </cell>
          <cell r="G89">
            <v>11050000</v>
          </cell>
          <cell r="I89">
            <v>4241299.9999999804</v>
          </cell>
          <cell r="J89">
            <v>2881592</v>
          </cell>
          <cell r="K89">
            <v>25229999.999999564</v>
          </cell>
          <cell r="T89">
            <v>2629554</v>
          </cell>
          <cell r="AB89">
            <v>148700.00000001938</v>
          </cell>
          <cell r="AE89">
            <v>3654241</v>
          </cell>
          <cell r="AF89">
            <v>0</v>
          </cell>
          <cell r="AJ89">
            <v>107898</v>
          </cell>
        </row>
        <row r="90">
          <cell r="C90">
            <v>4448000</v>
          </cell>
          <cell r="E90">
            <v>17000000</v>
          </cell>
          <cell r="G90">
            <v>11030000</v>
          </cell>
          <cell r="I90">
            <v>4211800.0000000177</v>
          </cell>
          <cell r="J90">
            <v>4525963</v>
          </cell>
          <cell r="K90">
            <v>26159999.999999855</v>
          </cell>
          <cell r="T90">
            <v>2627179</v>
          </cell>
          <cell r="AB90">
            <v>233199.9999999823</v>
          </cell>
          <cell r="AE90">
            <v>5379422</v>
          </cell>
          <cell r="AF90">
            <v>0</v>
          </cell>
          <cell r="AJ90">
            <v>143248</v>
          </cell>
        </row>
        <row r="91">
          <cell r="C91">
            <v>2776000</v>
          </cell>
          <cell r="E91">
            <v>14000000</v>
          </cell>
          <cell r="G91">
            <v>10150000</v>
          </cell>
          <cell r="I91">
            <v>2689799.9999999902</v>
          </cell>
          <cell r="J91">
            <v>4305192</v>
          </cell>
          <cell r="K91">
            <v>23489999.99999978</v>
          </cell>
          <cell r="T91">
            <v>2330949</v>
          </cell>
          <cell r="AB91">
            <v>84200.000000009823</v>
          </cell>
          <cell r="AE91">
            <v>5512299</v>
          </cell>
          <cell r="AF91">
            <v>0</v>
          </cell>
          <cell r="AJ91">
            <v>223621</v>
          </cell>
        </row>
        <row r="92">
          <cell r="C92">
            <v>0</v>
          </cell>
          <cell r="E92">
            <v>19000000</v>
          </cell>
          <cell r="G92">
            <v>12570000</v>
          </cell>
          <cell r="I92">
            <v>0</v>
          </cell>
          <cell r="J92">
            <v>4235019</v>
          </cell>
          <cell r="K92">
            <v>27990000.000001602</v>
          </cell>
          <cell r="T92">
            <v>2938662</v>
          </cell>
          <cell r="AB92">
            <v>0</v>
          </cell>
          <cell r="AE92">
            <v>5763106</v>
          </cell>
          <cell r="AF92">
            <v>0</v>
          </cell>
          <cell r="AJ92">
            <v>455611</v>
          </cell>
        </row>
        <row r="93">
          <cell r="C93">
            <v>0</v>
          </cell>
          <cell r="E93">
            <v>16000000</v>
          </cell>
          <cell r="G93">
            <v>11300000</v>
          </cell>
          <cell r="I93">
            <v>0</v>
          </cell>
          <cell r="J93">
            <v>4470005</v>
          </cell>
          <cell r="K93">
            <v>25309999.99999949</v>
          </cell>
          <cell r="T93">
            <v>2687542</v>
          </cell>
          <cell r="AB93">
            <v>0</v>
          </cell>
          <cell r="AE93">
            <v>5476408</v>
          </cell>
          <cell r="AF93">
            <v>0</v>
          </cell>
          <cell r="AJ93">
            <v>135056</v>
          </cell>
        </row>
        <row r="94">
          <cell r="C94">
            <v>0</v>
          </cell>
          <cell r="E94">
            <v>16000000</v>
          </cell>
          <cell r="G94">
            <v>10740000</v>
          </cell>
          <cell r="I94">
            <v>0</v>
          </cell>
          <cell r="J94">
            <v>4484165</v>
          </cell>
          <cell r="K94">
            <v>24440000.00000051</v>
          </cell>
          <cell r="T94">
            <v>2546838</v>
          </cell>
          <cell r="AB94">
            <v>95499.999999987034</v>
          </cell>
          <cell r="AE94">
            <v>5515497</v>
          </cell>
          <cell r="AF94">
            <v>0</v>
          </cell>
          <cell r="AJ94">
            <v>106340</v>
          </cell>
        </row>
        <row r="95">
          <cell r="C95">
            <v>0</v>
          </cell>
          <cell r="E95">
            <v>13000000</v>
          </cell>
          <cell r="G95">
            <v>8740000</v>
          </cell>
          <cell r="I95">
            <v>0</v>
          </cell>
          <cell r="J95">
            <v>7100708</v>
          </cell>
          <cell r="K95">
            <v>21059999.99999949</v>
          </cell>
          <cell r="T95">
            <v>2166096</v>
          </cell>
          <cell r="AB95">
            <v>0</v>
          </cell>
          <cell r="AE95">
            <v>9442550</v>
          </cell>
          <cell r="AF95">
            <v>0</v>
          </cell>
          <cell r="AJ95">
            <v>229012</v>
          </cell>
        </row>
        <row r="96">
          <cell r="C96">
            <v>0</v>
          </cell>
          <cell r="E96">
            <v>8000000</v>
          </cell>
          <cell r="G96">
            <v>5710000</v>
          </cell>
          <cell r="I96">
            <v>0</v>
          </cell>
          <cell r="J96">
            <v>16251568</v>
          </cell>
          <cell r="K96">
            <v>16819999.999999709</v>
          </cell>
          <cell r="T96">
            <v>1581893</v>
          </cell>
          <cell r="AB96">
            <v>0</v>
          </cell>
          <cell r="AE96">
            <v>17154132</v>
          </cell>
          <cell r="AF96">
            <v>0</v>
          </cell>
          <cell r="AJ96">
            <v>230660</v>
          </cell>
        </row>
        <row r="97">
          <cell r="C97">
            <v>0</v>
          </cell>
          <cell r="E97">
            <v>8000000</v>
          </cell>
          <cell r="G97">
            <v>4090000</v>
          </cell>
          <cell r="I97">
            <v>0</v>
          </cell>
          <cell r="J97">
            <v>19488992</v>
          </cell>
          <cell r="K97">
            <v>14760000.000000218</v>
          </cell>
          <cell r="T97">
            <v>1124984</v>
          </cell>
          <cell r="AB97">
            <v>0</v>
          </cell>
          <cell r="AE97">
            <v>19757710</v>
          </cell>
          <cell r="AF97">
            <v>0</v>
          </cell>
          <cell r="AJ97">
            <v>441960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3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33" sqref="J33"/>
    </sheetView>
  </sheetViews>
  <sheetFormatPr defaultRowHeight="12.75" x14ac:dyDescent="0.2"/>
  <cols>
    <col min="2" max="2" width="12" customWidth="1"/>
    <col min="5" max="5" width="11.28515625" customWidth="1"/>
    <col min="8" max="8" width="15.42578125" bestFit="1" customWidth="1"/>
    <col min="11" max="11" width="13.7109375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7" t="s">
        <v>30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1">
        <v>43040</v>
      </c>
      <c r="B5" s="7">
        <f>'[1]Production Summary'!K37</f>
        <v>6000000</v>
      </c>
      <c r="C5" s="8">
        <f t="shared" ref="C5:C34" si="0">B5/1000000</f>
        <v>6</v>
      </c>
      <c r="D5" s="10">
        <f t="shared" ref="D5:D34" si="1">C5*3.07</f>
        <v>18.419999999999998</v>
      </c>
      <c r="E5" s="7">
        <f>'[1]Production Summary'!O37</f>
        <v>8000000</v>
      </c>
      <c r="F5" s="8">
        <f t="shared" ref="F5:F34" si="2">E5/1000000</f>
        <v>8</v>
      </c>
      <c r="G5" s="10">
        <f t="shared" ref="G5:G34" si="3">F5*3.07</f>
        <v>24.56</v>
      </c>
      <c r="H5" s="7">
        <f>'[1]Production Summary'!Q37</f>
        <v>10000</v>
      </c>
      <c r="I5" s="8">
        <f>H5/1000000</f>
        <v>0.01</v>
      </c>
      <c r="J5" s="10">
        <f t="shared" ref="J5:J34" si="4">I5*3.07</f>
        <v>3.0699999999999998E-2</v>
      </c>
      <c r="K5" s="7">
        <f>'[1]Production Summary'!T37</f>
        <v>460341</v>
      </c>
      <c r="L5" s="8">
        <f t="shared" ref="L5:L7" si="5">K5/10000000</f>
        <v>4.6034100000000001E-2</v>
      </c>
      <c r="M5" s="10">
        <f t="shared" ref="M5:M34" si="6">L5*3.07</f>
        <v>0.141324687</v>
      </c>
      <c r="N5" s="21"/>
      <c r="O5" s="7">
        <f>'[1]Production Summary'!J37</f>
        <v>6250501</v>
      </c>
      <c r="P5" s="8">
        <f t="shared" ref="P5:P16" si="7">O5/1000000</f>
        <v>6.2505009999999999</v>
      </c>
      <c r="Q5" s="10">
        <f t="shared" ref="Q5:Q34" si="8">P5*3.07</f>
        <v>19.189038069999999</v>
      </c>
      <c r="R5" s="7">
        <f>'[1]Production Summary'!AE37</f>
        <v>5717924</v>
      </c>
      <c r="S5" s="8">
        <f t="shared" ref="S5:S17" si="9">R5/1000000</f>
        <v>5.717924</v>
      </c>
      <c r="T5" s="10">
        <f t="shared" ref="T5:T34" si="10">S5*3.07</f>
        <v>17.55402668</v>
      </c>
      <c r="U5" s="7">
        <f>'[1]Production Summary'!AF37</f>
        <v>0</v>
      </c>
      <c r="V5" s="8">
        <f t="shared" ref="V5:V34" si="11">U5/1000000</f>
        <v>0</v>
      </c>
      <c r="W5" s="10">
        <f t="shared" ref="W5:W34" si="12">V5*3.07</f>
        <v>0</v>
      </c>
      <c r="X5" s="7">
        <f>'[1]Production Summary'!AJ37</f>
        <v>93303</v>
      </c>
      <c r="Y5" s="8">
        <f t="shared" ref="Y5:Y34" si="13">X5/1000000</f>
        <v>9.3302999999999997E-2</v>
      </c>
      <c r="Z5" s="10">
        <f t="shared" ref="Z5:Z34" si="14">Y5*3.07</f>
        <v>0.28644020999999997</v>
      </c>
      <c r="AA5" s="15"/>
      <c r="AB5" s="7">
        <f>B5+O5</f>
        <v>12250501</v>
      </c>
      <c r="AC5" s="8">
        <f>C5+P5</f>
        <v>12.250501</v>
      </c>
      <c r="AD5" s="8">
        <f>D5+Q5</f>
        <v>37.609038069999997</v>
      </c>
    </row>
    <row r="6" spans="1:30" x14ac:dyDescent="0.2">
      <c r="A6" s="1">
        <v>43041</v>
      </c>
      <c r="B6" s="7">
        <f>'[1]Production Summary'!K38</f>
        <v>6250000</v>
      </c>
      <c r="C6" s="8">
        <f t="shared" si="0"/>
        <v>6.25</v>
      </c>
      <c r="D6" s="10">
        <f t="shared" si="1"/>
        <v>19.1875</v>
      </c>
      <c r="E6" s="7">
        <f>'[1]Production Summary'!O38</f>
        <v>7000000</v>
      </c>
      <c r="F6" s="8">
        <f t="shared" si="2"/>
        <v>7</v>
      </c>
      <c r="G6" s="10">
        <f t="shared" si="3"/>
        <v>21.49</v>
      </c>
      <c r="H6" s="7">
        <f>'[1]Production Summary'!Q38</f>
        <v>0</v>
      </c>
      <c r="I6" s="8">
        <f t="shared" ref="I6:I34" si="15">H6/1000000</f>
        <v>0</v>
      </c>
      <c r="J6" s="10">
        <f t="shared" si="4"/>
        <v>0</v>
      </c>
      <c r="K6" s="7">
        <f>'[1]Production Summary'!T38</f>
        <v>747901</v>
      </c>
      <c r="L6" s="8">
        <f t="shared" si="5"/>
        <v>7.4790099999999998E-2</v>
      </c>
      <c r="M6" s="10">
        <f t="shared" si="6"/>
        <v>0.22960560699999999</v>
      </c>
      <c r="N6" s="21"/>
      <c r="O6" s="7">
        <f>'[1]Production Summary'!J38</f>
        <v>6254188</v>
      </c>
      <c r="P6" s="8">
        <f t="shared" si="7"/>
        <v>6.2541880000000001</v>
      </c>
      <c r="Q6" s="10">
        <f t="shared" si="8"/>
        <v>19.200357159999999</v>
      </c>
      <c r="R6" s="7">
        <f>'[1]Production Summary'!AE38</f>
        <v>4443850</v>
      </c>
      <c r="S6" s="8">
        <f t="shared" si="9"/>
        <v>4.4438500000000003</v>
      </c>
      <c r="T6" s="10">
        <f t="shared" si="10"/>
        <v>13.6426195</v>
      </c>
      <c r="U6" s="7">
        <f>'[1]Production Summary'!AF38</f>
        <v>1561388</v>
      </c>
      <c r="V6" s="8">
        <f t="shared" si="11"/>
        <v>1.561388</v>
      </c>
      <c r="W6" s="10">
        <f t="shared" si="12"/>
        <v>4.7934611599999997</v>
      </c>
      <c r="X6" s="7">
        <f>'[1]Production Summary'!AJ38</f>
        <v>118034</v>
      </c>
      <c r="Y6" s="8">
        <f t="shared" si="13"/>
        <v>0.118034</v>
      </c>
      <c r="Z6" s="10">
        <f t="shared" si="14"/>
        <v>0.36236437999999999</v>
      </c>
      <c r="AA6" s="15"/>
      <c r="AB6" s="7">
        <f t="shared" ref="AB6:AD35" si="16">B6+O6</f>
        <v>12504188</v>
      </c>
      <c r="AC6" s="8">
        <f t="shared" si="16"/>
        <v>12.504187999999999</v>
      </c>
      <c r="AD6" s="8">
        <f t="shared" si="16"/>
        <v>38.387857159999996</v>
      </c>
    </row>
    <row r="7" spans="1:30" x14ac:dyDescent="0.2">
      <c r="A7" s="1">
        <v>43042</v>
      </c>
      <c r="B7" s="7">
        <f>'[1]Production Summary'!K39</f>
        <v>6360000.000000014</v>
      </c>
      <c r="C7" s="8">
        <f t="shared" si="0"/>
        <v>6.3600000000000136</v>
      </c>
      <c r="D7" s="10">
        <f t="shared" si="1"/>
        <v>19.525200000000041</v>
      </c>
      <c r="E7" s="7">
        <f>'[1]Production Summary'!O39</f>
        <v>7000000</v>
      </c>
      <c r="F7" s="8">
        <f t="shared" si="2"/>
        <v>7</v>
      </c>
      <c r="G7" s="10">
        <f t="shared" si="3"/>
        <v>21.49</v>
      </c>
      <c r="H7" s="7">
        <f>'[1]Production Summary'!Q39</f>
        <v>0</v>
      </c>
      <c r="I7" s="8">
        <f t="shared" si="15"/>
        <v>0</v>
      </c>
      <c r="J7" s="10">
        <f t="shared" si="4"/>
        <v>0</v>
      </c>
      <c r="K7" s="7">
        <f>'[1]Production Summary'!T39</f>
        <v>633193</v>
      </c>
      <c r="L7" s="8">
        <f t="shared" si="5"/>
        <v>6.3319299999999995E-2</v>
      </c>
      <c r="M7" s="10">
        <f t="shared" si="6"/>
        <v>0.19439025099999999</v>
      </c>
      <c r="N7" s="21"/>
      <c r="O7" s="7">
        <f>'[1]Production Summary'!J39</f>
        <v>5512903</v>
      </c>
      <c r="P7" s="8">
        <f t="shared" si="7"/>
        <v>5.5129029999999997</v>
      </c>
      <c r="Q7" s="10">
        <f t="shared" si="8"/>
        <v>16.924612209999999</v>
      </c>
      <c r="R7" s="7">
        <f>'[1]Production Summary'!AE39</f>
        <v>2263295</v>
      </c>
      <c r="S7" s="8">
        <f t="shared" si="9"/>
        <v>2.2632949999999998</v>
      </c>
      <c r="T7" s="10">
        <f t="shared" si="10"/>
        <v>6.9483156499999987</v>
      </c>
      <c r="U7" s="7">
        <f>'[1]Production Summary'!AF39</f>
        <v>3615705</v>
      </c>
      <c r="V7" s="8">
        <f t="shared" si="11"/>
        <v>3.6157050000000002</v>
      </c>
      <c r="W7" s="10">
        <f t="shared" si="12"/>
        <v>11.10021435</v>
      </c>
      <c r="X7" s="7">
        <f>'[1]Production Summary'!AJ39</f>
        <v>142058</v>
      </c>
      <c r="Y7" s="8">
        <f t="shared" si="13"/>
        <v>0.14205799999999999</v>
      </c>
      <c r="Z7" s="10">
        <f t="shared" si="14"/>
        <v>0.43611805999999992</v>
      </c>
      <c r="AA7" s="15"/>
      <c r="AB7" s="7">
        <f t="shared" si="16"/>
        <v>11872903.000000015</v>
      </c>
      <c r="AC7" s="8">
        <f t="shared" si="16"/>
        <v>11.872903000000013</v>
      </c>
      <c r="AD7" s="8">
        <f t="shared" si="16"/>
        <v>36.44981221000004</v>
      </c>
    </row>
    <row r="8" spans="1:30" x14ac:dyDescent="0.2">
      <c r="A8" s="1">
        <v>43043</v>
      </c>
      <c r="B8" s="7">
        <f>'[1]Production Summary'!K40</f>
        <v>7500000</v>
      </c>
      <c r="C8" s="8">
        <f t="shared" si="0"/>
        <v>7.5</v>
      </c>
      <c r="D8" s="10">
        <f t="shared" si="1"/>
        <v>23.024999999999999</v>
      </c>
      <c r="E8" s="7">
        <f>'[1]Production Summary'!O40</f>
        <v>7000000</v>
      </c>
      <c r="F8" s="8">
        <f t="shared" si="2"/>
        <v>7</v>
      </c>
      <c r="G8" s="10">
        <f t="shared" si="3"/>
        <v>21.49</v>
      </c>
      <c r="H8" s="7">
        <f>'[1]Production Summary'!Q40</f>
        <v>1630000</v>
      </c>
      <c r="I8" s="8">
        <f t="shared" si="15"/>
        <v>1.63</v>
      </c>
      <c r="J8" s="10">
        <f t="shared" si="4"/>
        <v>5.0040999999999993</v>
      </c>
      <c r="K8" s="7">
        <f>'[1]Production Summary'!T40</f>
        <v>0</v>
      </c>
      <c r="L8" s="8">
        <f>K8/10000000</f>
        <v>0</v>
      </c>
      <c r="M8" s="10">
        <f t="shared" si="6"/>
        <v>0</v>
      </c>
      <c r="N8" s="21"/>
      <c r="O8" s="7">
        <f>'[1]Production Summary'!J40</f>
        <v>5522050</v>
      </c>
      <c r="P8" s="8">
        <f t="shared" si="7"/>
        <v>5.5220500000000001</v>
      </c>
      <c r="Q8" s="10">
        <f t="shared" si="8"/>
        <v>16.952693499999999</v>
      </c>
      <c r="R8" s="7">
        <f>'[1]Production Summary'!AE40</f>
        <v>868126</v>
      </c>
      <c r="S8" s="8">
        <f t="shared" si="9"/>
        <v>0.86812599999999995</v>
      </c>
      <c r="T8" s="10">
        <f t="shared" si="10"/>
        <v>2.6651468199999999</v>
      </c>
      <c r="U8" s="7">
        <f>'[1]Production Summary'!AF40</f>
        <v>6436573</v>
      </c>
      <c r="V8" s="8">
        <f t="shared" si="11"/>
        <v>6.4365730000000001</v>
      </c>
      <c r="W8" s="10">
        <f t="shared" si="12"/>
        <v>19.760279109999999</v>
      </c>
      <c r="X8" s="7">
        <f>'[1]Production Summary'!AJ40</f>
        <v>110350</v>
      </c>
      <c r="Y8" s="8">
        <f t="shared" si="13"/>
        <v>0.11035</v>
      </c>
      <c r="Z8" s="10">
        <f t="shared" si="14"/>
        <v>0.33877449999999998</v>
      </c>
      <c r="AA8" s="15"/>
      <c r="AB8" s="7">
        <f t="shared" si="16"/>
        <v>13022050</v>
      </c>
      <c r="AC8" s="8">
        <f t="shared" si="16"/>
        <v>13.02205</v>
      </c>
      <c r="AD8" s="8">
        <f>D8+Q8</f>
        <v>39.977693500000001</v>
      </c>
    </row>
    <row r="9" spans="1:30" x14ac:dyDescent="0.2">
      <c r="A9" s="1">
        <v>43044</v>
      </c>
      <c r="B9" s="7">
        <f>'[1]Production Summary'!K41</f>
        <v>4469999.9999999702</v>
      </c>
      <c r="C9" s="8">
        <f t="shared" si="0"/>
        <v>4.4699999999999704</v>
      </c>
      <c r="D9" s="10">
        <f t="shared" si="1"/>
        <v>13.722899999999909</v>
      </c>
      <c r="E9" s="7">
        <f>'[1]Production Summary'!O41</f>
        <v>5000000</v>
      </c>
      <c r="F9" s="8">
        <f t="shared" si="2"/>
        <v>5</v>
      </c>
      <c r="G9" s="10">
        <f t="shared" si="3"/>
        <v>15.35</v>
      </c>
      <c r="H9" s="7">
        <f>'[1]Production Summary'!Q41</f>
        <v>10000</v>
      </c>
      <c r="I9" s="8">
        <f t="shared" si="15"/>
        <v>0.01</v>
      </c>
      <c r="J9" s="10">
        <f t="shared" si="4"/>
        <v>3.0699999999999998E-2</v>
      </c>
      <c r="K9" s="7">
        <f>'[1]Production Summary'!T41</f>
        <v>456300</v>
      </c>
      <c r="L9" s="8">
        <f t="shared" ref="L9:L34" si="17">K9/10000000</f>
        <v>4.5629999999999997E-2</v>
      </c>
      <c r="M9" s="10">
        <f t="shared" si="6"/>
        <v>0.14008409999999999</v>
      </c>
      <c r="N9" s="21"/>
      <c r="O9" s="7">
        <f>'[1]Production Summary'!J41</f>
        <v>11189790</v>
      </c>
      <c r="P9" s="8">
        <f t="shared" si="7"/>
        <v>11.18979</v>
      </c>
      <c r="Q9" s="10">
        <f t="shared" si="8"/>
        <v>34.352655300000002</v>
      </c>
      <c r="R9" s="7">
        <f>'[1]Production Summary'!AE41</f>
        <v>0</v>
      </c>
      <c r="S9" s="8">
        <f t="shared" si="9"/>
        <v>0</v>
      </c>
      <c r="T9" s="10">
        <f t="shared" si="10"/>
        <v>0</v>
      </c>
      <c r="U9" s="7">
        <f>'[1]Production Summary'!AF41</f>
        <v>12391175</v>
      </c>
      <c r="V9" s="8">
        <f t="shared" si="11"/>
        <v>12.391175</v>
      </c>
      <c r="W9" s="10">
        <f t="shared" si="12"/>
        <v>38.040907249999997</v>
      </c>
      <c r="X9" s="7">
        <f>'[1]Production Summary'!AJ41</f>
        <v>272410</v>
      </c>
      <c r="Y9" s="8">
        <f t="shared" si="13"/>
        <v>0.27240999999999999</v>
      </c>
      <c r="Z9" s="10">
        <f t="shared" si="14"/>
        <v>0.83629869999999995</v>
      </c>
      <c r="AA9" s="15"/>
      <c r="AB9" s="7">
        <f t="shared" si="16"/>
        <v>15659789.99999997</v>
      </c>
      <c r="AC9" s="8">
        <f t="shared" si="16"/>
        <v>15.659789999999971</v>
      </c>
      <c r="AD9" s="8">
        <f t="shared" si="16"/>
        <v>48.075555299999913</v>
      </c>
    </row>
    <row r="10" spans="1:30" x14ac:dyDescent="0.2">
      <c r="A10" s="1">
        <v>43045</v>
      </c>
      <c r="B10" s="7">
        <f>'[1]Production Summary'!K42</f>
        <v>5519999.9999999814</v>
      </c>
      <c r="C10" s="8">
        <f t="shared" si="0"/>
        <v>5.5199999999999818</v>
      </c>
      <c r="D10" s="10">
        <f t="shared" si="1"/>
        <v>16.946399999999944</v>
      </c>
      <c r="E10" s="7">
        <f>'[1]Production Summary'!O42</f>
        <v>6000000</v>
      </c>
      <c r="F10" s="8">
        <f t="shared" si="2"/>
        <v>6</v>
      </c>
      <c r="G10" s="10">
        <f t="shared" si="3"/>
        <v>18.419999999999998</v>
      </c>
      <c r="H10" s="7">
        <f>'[1]Production Summary'!Q42</f>
        <v>0</v>
      </c>
      <c r="I10" s="8">
        <f t="shared" si="15"/>
        <v>0</v>
      </c>
      <c r="J10" s="10">
        <f t="shared" si="4"/>
        <v>0</v>
      </c>
      <c r="K10" s="7">
        <f>'[1]Production Summary'!T42</f>
        <v>476448</v>
      </c>
      <c r="L10" s="8">
        <f t="shared" si="17"/>
        <v>4.7644800000000001E-2</v>
      </c>
      <c r="M10" s="10">
        <f t="shared" si="6"/>
        <v>0.14626953600000001</v>
      </c>
      <c r="N10" s="21"/>
      <c r="O10" s="7">
        <f>'[1]Production Summary'!J42</f>
        <v>11413109</v>
      </c>
      <c r="P10" s="8">
        <f t="shared" si="7"/>
        <v>11.413109</v>
      </c>
      <c r="Q10" s="10">
        <f t="shared" si="8"/>
        <v>35.038244630000001</v>
      </c>
      <c r="R10" s="7">
        <f>'[1]Production Summary'!AE42</f>
        <v>0</v>
      </c>
      <c r="S10" s="8">
        <f t="shared" si="9"/>
        <v>0</v>
      </c>
      <c r="T10" s="10">
        <f t="shared" si="10"/>
        <v>0</v>
      </c>
      <c r="U10" s="7">
        <f>'[1]Production Summary'!AF42</f>
        <v>11622538</v>
      </c>
      <c r="V10" s="8">
        <f t="shared" si="11"/>
        <v>11.622538</v>
      </c>
      <c r="W10" s="10">
        <f t="shared" si="12"/>
        <v>35.681191659999996</v>
      </c>
      <c r="X10" s="7">
        <f>'[1]Production Summary'!AJ42</f>
        <v>0</v>
      </c>
      <c r="Y10" s="8">
        <f t="shared" si="13"/>
        <v>0</v>
      </c>
      <c r="Z10" s="10">
        <f t="shared" si="14"/>
        <v>0</v>
      </c>
      <c r="AA10" s="15"/>
      <c r="AB10" s="7">
        <f t="shared" si="16"/>
        <v>16933108.999999981</v>
      </c>
      <c r="AC10" s="8">
        <f t="shared" si="16"/>
        <v>16.93310899999998</v>
      </c>
      <c r="AD10" s="8">
        <f t="shared" si="16"/>
        <v>51.984644629999949</v>
      </c>
    </row>
    <row r="11" spans="1:30" x14ac:dyDescent="0.2">
      <c r="A11" s="1">
        <v>43046</v>
      </c>
      <c r="B11" s="7">
        <f>'[1]Production Summary'!K43</f>
        <v>4490000.0000000093</v>
      </c>
      <c r="C11" s="8">
        <f t="shared" si="0"/>
        <v>4.4900000000000091</v>
      </c>
      <c r="D11" s="10">
        <f t="shared" si="1"/>
        <v>13.784300000000027</v>
      </c>
      <c r="E11" s="7">
        <f>'[1]Production Summary'!O43</f>
        <v>5000000</v>
      </c>
      <c r="F11" s="8">
        <f t="shared" si="2"/>
        <v>5</v>
      </c>
      <c r="G11" s="10">
        <f t="shared" si="3"/>
        <v>15.35</v>
      </c>
      <c r="H11" s="7">
        <f>'[1]Production Summary'!Q43</f>
        <v>10000</v>
      </c>
      <c r="I11" s="8">
        <f t="shared" si="15"/>
        <v>0.01</v>
      </c>
      <c r="J11" s="10">
        <f t="shared" si="4"/>
        <v>3.0699999999999998E-2</v>
      </c>
      <c r="K11" s="7">
        <f>'[1]Production Summary'!T43</f>
        <v>526490</v>
      </c>
      <c r="L11" s="8">
        <f t="shared" si="17"/>
        <v>5.2649000000000001E-2</v>
      </c>
      <c r="M11" s="10">
        <f t="shared" si="6"/>
        <v>0.16163242999999999</v>
      </c>
      <c r="N11" s="21"/>
      <c r="O11" s="7">
        <f>'[1]Production Summary'!J43</f>
        <v>6388593</v>
      </c>
      <c r="P11" s="8">
        <f t="shared" si="7"/>
        <v>6.3885930000000002</v>
      </c>
      <c r="Q11" s="10">
        <f t="shared" si="8"/>
        <v>19.61298051</v>
      </c>
      <c r="R11" s="7">
        <f>'[1]Production Summary'!AE43</f>
        <v>0</v>
      </c>
      <c r="S11" s="8">
        <f t="shared" si="9"/>
        <v>0</v>
      </c>
      <c r="T11" s="10">
        <f t="shared" si="10"/>
        <v>0</v>
      </c>
      <c r="U11" s="7">
        <f>'[1]Production Summary'!AF43</f>
        <v>7029072</v>
      </c>
      <c r="V11" s="8">
        <f t="shared" si="11"/>
        <v>7.0290720000000002</v>
      </c>
      <c r="W11" s="10">
        <f t="shared" si="12"/>
        <v>21.579251039999999</v>
      </c>
      <c r="X11" s="7">
        <f>'[1]Production Summary'!AJ43</f>
        <v>162861</v>
      </c>
      <c r="Y11" s="8">
        <f t="shared" si="13"/>
        <v>0.16286100000000001</v>
      </c>
      <c r="Z11" s="10">
        <f t="shared" si="14"/>
        <v>0.49998326999999998</v>
      </c>
      <c r="AA11" s="15"/>
      <c r="AB11" s="7">
        <f t="shared" si="16"/>
        <v>10878593.000000009</v>
      </c>
      <c r="AC11" s="8">
        <f t="shared" si="16"/>
        <v>10.878593000000009</v>
      </c>
      <c r="AD11" s="8">
        <f t="shared" si="16"/>
        <v>33.39728051000003</v>
      </c>
    </row>
    <row r="12" spans="1:30" x14ac:dyDescent="0.2">
      <c r="A12" s="1">
        <v>43047</v>
      </c>
      <c r="B12" s="7">
        <f>'[1]Production Summary'!K44</f>
        <v>4759999.9999999907</v>
      </c>
      <c r="C12" s="8">
        <f t="shared" si="0"/>
        <v>4.7599999999999909</v>
      </c>
      <c r="D12" s="10">
        <f t="shared" si="1"/>
        <v>14.613199999999971</v>
      </c>
      <c r="E12" s="7">
        <f>'[1]Production Summary'!O44</f>
        <v>6000000</v>
      </c>
      <c r="F12" s="8">
        <f t="shared" si="2"/>
        <v>6</v>
      </c>
      <c r="G12" s="10">
        <f t="shared" si="3"/>
        <v>18.419999999999998</v>
      </c>
      <c r="H12" s="7">
        <f>'[1]Production Summary'!Q44</f>
        <v>0</v>
      </c>
      <c r="I12" s="8">
        <f t="shared" si="15"/>
        <v>0</v>
      </c>
      <c r="J12" s="10">
        <f t="shared" si="4"/>
        <v>0</v>
      </c>
      <c r="K12" s="7">
        <f>'[1]Production Summary'!T44</f>
        <v>522723</v>
      </c>
      <c r="L12" s="8">
        <f t="shared" si="17"/>
        <v>5.2272300000000001E-2</v>
      </c>
      <c r="M12" s="10">
        <f t="shared" si="6"/>
        <v>0.160475961</v>
      </c>
      <c r="N12" s="21"/>
      <c r="O12" s="7">
        <f>'[1]Production Summary'!J44</f>
        <v>5654586</v>
      </c>
      <c r="P12" s="8">
        <f t="shared" si="7"/>
        <v>5.6545860000000001</v>
      </c>
      <c r="Q12" s="10">
        <f t="shared" si="8"/>
        <v>17.359579019999998</v>
      </c>
      <c r="R12" s="7">
        <f>'[1]Production Summary'!AE44</f>
        <v>0</v>
      </c>
      <c r="S12" s="8">
        <f t="shared" si="9"/>
        <v>0</v>
      </c>
      <c r="T12" s="10">
        <f t="shared" si="10"/>
        <v>0</v>
      </c>
      <c r="U12" s="7">
        <f>'[1]Production Summary'!AF44</f>
        <v>5994447</v>
      </c>
      <c r="V12" s="8">
        <f t="shared" si="11"/>
        <v>5.9944470000000001</v>
      </c>
      <c r="W12" s="10">
        <f t="shared" si="12"/>
        <v>18.402952289999998</v>
      </c>
      <c r="X12" s="7">
        <f>'[1]Production Summary'!AJ44</f>
        <v>286143</v>
      </c>
      <c r="Y12" s="8">
        <f t="shared" si="13"/>
        <v>0.28614299999999998</v>
      </c>
      <c r="Z12" s="10">
        <f t="shared" si="14"/>
        <v>0.87845900999999993</v>
      </c>
      <c r="AA12" s="15"/>
      <c r="AB12" s="7">
        <f t="shared" si="16"/>
        <v>10414585.999999991</v>
      </c>
      <c r="AC12" s="8">
        <f t="shared" si="16"/>
        <v>10.414585999999991</v>
      </c>
      <c r="AD12" s="8">
        <f t="shared" si="16"/>
        <v>31.972779019999969</v>
      </c>
    </row>
    <row r="13" spans="1:30" x14ac:dyDescent="0.2">
      <c r="A13" s="1">
        <v>43048</v>
      </c>
      <c r="B13" s="7">
        <f>'[1]Production Summary'!K45</f>
        <v>6000000</v>
      </c>
      <c r="C13" s="8">
        <f t="shared" si="0"/>
        <v>6</v>
      </c>
      <c r="D13" s="10">
        <f t="shared" si="1"/>
        <v>18.419999999999998</v>
      </c>
      <c r="E13" s="7">
        <f>'[1]Production Summary'!O45</f>
        <v>6000000</v>
      </c>
      <c r="F13" s="8">
        <f t="shared" si="2"/>
        <v>6</v>
      </c>
      <c r="G13" s="10">
        <f t="shared" si="3"/>
        <v>18.419999999999998</v>
      </c>
      <c r="H13" s="7">
        <f>'[1]Production Summary'!Q45</f>
        <v>460000</v>
      </c>
      <c r="I13" s="8">
        <f t="shared" si="15"/>
        <v>0.46</v>
      </c>
      <c r="J13" s="10">
        <f t="shared" si="4"/>
        <v>1.4121999999999999</v>
      </c>
      <c r="K13" s="7">
        <f>'[1]Production Summary'!T45</f>
        <v>518345</v>
      </c>
      <c r="L13" s="8">
        <f t="shared" si="17"/>
        <v>5.1834499999999999E-2</v>
      </c>
      <c r="M13" s="10">
        <f t="shared" si="6"/>
        <v>0.15913191499999998</v>
      </c>
      <c r="N13" s="21"/>
      <c r="O13" s="7">
        <f>'[1]Production Summary'!J45</f>
        <v>4538233</v>
      </c>
      <c r="P13" s="8">
        <f t="shared" si="7"/>
        <v>4.538233</v>
      </c>
      <c r="Q13" s="10">
        <f t="shared" si="8"/>
        <v>13.932375309999999</v>
      </c>
      <c r="R13" s="7">
        <f>'[1]Production Summary'!AE45</f>
        <v>0</v>
      </c>
      <c r="S13" s="8">
        <f t="shared" si="9"/>
        <v>0</v>
      </c>
      <c r="T13" s="10">
        <f t="shared" si="10"/>
        <v>0</v>
      </c>
      <c r="U13" s="7">
        <f>'[1]Production Summary'!AF45</f>
        <v>5621671</v>
      </c>
      <c r="V13" s="8">
        <f t="shared" si="11"/>
        <v>5.6216710000000001</v>
      </c>
      <c r="W13" s="10">
        <f t="shared" si="12"/>
        <v>17.258529969999998</v>
      </c>
      <c r="X13" s="7">
        <f>'[1]Production Summary'!AJ45</f>
        <v>22238</v>
      </c>
      <c r="Y13" s="8">
        <f t="shared" si="13"/>
        <v>2.2238000000000001E-2</v>
      </c>
      <c r="Z13" s="10">
        <f t="shared" si="14"/>
        <v>6.8270659999999997E-2</v>
      </c>
      <c r="AA13" s="15"/>
      <c r="AB13" s="7">
        <f t="shared" si="16"/>
        <v>10538233</v>
      </c>
      <c r="AC13" s="8">
        <f t="shared" si="16"/>
        <v>10.538233</v>
      </c>
      <c r="AD13" s="8">
        <f t="shared" si="16"/>
        <v>32.352375309999999</v>
      </c>
    </row>
    <row r="14" spans="1:30" x14ac:dyDescent="0.2">
      <c r="A14" s="1">
        <v>43049</v>
      </c>
      <c r="B14" s="7">
        <f>'[1]Production Summary'!K46</f>
        <v>8910000.0000000242</v>
      </c>
      <c r="C14" s="8">
        <f t="shared" si="0"/>
        <v>8.910000000000025</v>
      </c>
      <c r="D14" s="10">
        <f t="shared" si="1"/>
        <v>27.353700000000075</v>
      </c>
      <c r="E14" s="7">
        <f>'[1]Production Summary'!O46</f>
        <v>10000000</v>
      </c>
      <c r="F14" s="8">
        <f t="shared" si="2"/>
        <v>10</v>
      </c>
      <c r="G14" s="10">
        <f t="shared" si="3"/>
        <v>30.7</v>
      </c>
      <c r="H14" s="7">
        <f>'[1]Production Summary'!Q46</f>
        <v>0</v>
      </c>
      <c r="I14" s="8">
        <f t="shared" si="15"/>
        <v>0</v>
      </c>
      <c r="J14" s="10">
        <f t="shared" si="4"/>
        <v>0</v>
      </c>
      <c r="K14" s="7">
        <f>'[1]Production Summary'!T46</f>
        <v>610654</v>
      </c>
      <c r="L14" s="8">
        <f t="shared" si="17"/>
        <v>6.1065399999999999E-2</v>
      </c>
      <c r="M14" s="10">
        <f t="shared" si="6"/>
        <v>0.18747077799999998</v>
      </c>
      <c r="N14" s="21"/>
      <c r="O14" s="7">
        <f>'[1]Production Summary'!J46</f>
        <v>3773701</v>
      </c>
      <c r="P14" s="8">
        <f t="shared" si="7"/>
        <v>3.773701</v>
      </c>
      <c r="Q14" s="10">
        <f t="shared" si="8"/>
        <v>11.585262069999999</v>
      </c>
      <c r="R14" s="7">
        <f>'[1]Production Summary'!AE46</f>
        <v>0</v>
      </c>
      <c r="S14" s="8">
        <f t="shared" si="9"/>
        <v>0</v>
      </c>
      <c r="T14" s="10">
        <f t="shared" si="10"/>
        <v>0</v>
      </c>
      <c r="U14" s="7">
        <f>'[1]Production Summary'!AF46</f>
        <v>4799519</v>
      </c>
      <c r="V14" s="8">
        <f t="shared" si="11"/>
        <v>4.7995190000000001</v>
      </c>
      <c r="W14" s="10">
        <f t="shared" si="12"/>
        <v>14.73452333</v>
      </c>
      <c r="X14" s="7">
        <f>'[1]Production Summary'!AJ46</f>
        <v>311005</v>
      </c>
      <c r="Y14" s="8">
        <f t="shared" si="13"/>
        <v>0.31100499999999998</v>
      </c>
      <c r="Z14" s="10">
        <f t="shared" si="14"/>
        <v>0.95478534999999987</v>
      </c>
      <c r="AA14" s="15"/>
      <c r="AB14" s="7">
        <f t="shared" si="16"/>
        <v>12683701.000000024</v>
      </c>
      <c r="AC14" s="8">
        <f t="shared" si="16"/>
        <v>12.683701000000024</v>
      </c>
      <c r="AD14" s="8">
        <f t="shared" si="16"/>
        <v>38.938962070000073</v>
      </c>
    </row>
    <row r="15" spans="1:30" x14ac:dyDescent="0.2">
      <c r="A15" s="1">
        <v>43050</v>
      </c>
      <c r="B15" s="7">
        <f>'[1]Production Summary'!K47</f>
        <v>9269999.9999999814</v>
      </c>
      <c r="C15" s="8">
        <f t="shared" si="0"/>
        <v>9.2699999999999818</v>
      </c>
      <c r="D15" s="10">
        <f t="shared" si="1"/>
        <v>28.458899999999943</v>
      </c>
      <c r="E15" s="7">
        <f>'[1]Production Summary'!O47</f>
        <v>11000000</v>
      </c>
      <c r="F15" s="8">
        <f t="shared" si="2"/>
        <v>11</v>
      </c>
      <c r="G15" s="10">
        <f t="shared" si="3"/>
        <v>33.769999999999996</v>
      </c>
      <c r="H15" s="7">
        <f>'[1]Production Summary'!Q47</f>
        <v>0</v>
      </c>
      <c r="I15" s="8">
        <f t="shared" si="15"/>
        <v>0</v>
      </c>
      <c r="J15" s="10">
        <f t="shared" si="4"/>
        <v>0</v>
      </c>
      <c r="K15" s="7">
        <f>'[1]Production Summary'!T47</f>
        <v>0</v>
      </c>
      <c r="L15" s="8">
        <f t="shared" si="17"/>
        <v>0</v>
      </c>
      <c r="M15" s="10">
        <f t="shared" si="6"/>
        <v>0</v>
      </c>
      <c r="N15" s="21"/>
      <c r="O15" s="7">
        <f>'[1]Production Summary'!J47</f>
        <v>4986714</v>
      </c>
      <c r="P15" s="8">
        <f t="shared" si="7"/>
        <v>4.9867140000000001</v>
      </c>
      <c r="Q15" s="10">
        <f t="shared" si="8"/>
        <v>15.309211979999999</v>
      </c>
      <c r="R15" s="7">
        <f>'[1]Production Summary'!AE47</f>
        <v>0</v>
      </c>
      <c r="S15" s="8">
        <f t="shared" si="9"/>
        <v>0</v>
      </c>
      <c r="T15" s="10">
        <f t="shared" si="10"/>
        <v>0</v>
      </c>
      <c r="U15" s="7">
        <f>'[1]Production Summary'!AF47</f>
        <v>5002269</v>
      </c>
      <c r="V15" s="8">
        <f t="shared" si="11"/>
        <v>5.0022690000000001</v>
      </c>
      <c r="W15" s="10">
        <f t="shared" si="12"/>
        <v>15.35696583</v>
      </c>
      <c r="X15" s="7">
        <f>'[1]Production Summary'!AJ47</f>
        <v>25555</v>
      </c>
      <c r="Y15" s="8">
        <f t="shared" si="13"/>
        <v>2.5555000000000001E-2</v>
      </c>
      <c r="Z15" s="10">
        <f t="shared" si="14"/>
        <v>7.8453850000000006E-2</v>
      </c>
      <c r="AA15" s="15"/>
      <c r="AB15" s="7">
        <f t="shared" si="16"/>
        <v>14256713.999999981</v>
      </c>
      <c r="AC15" s="8">
        <f t="shared" si="16"/>
        <v>14.256713999999981</v>
      </c>
      <c r="AD15" s="8">
        <f t="shared" si="16"/>
        <v>43.768111979999944</v>
      </c>
    </row>
    <row r="16" spans="1:30" x14ac:dyDescent="0.2">
      <c r="A16" s="1">
        <v>43051</v>
      </c>
      <c r="B16" s="7">
        <f>'[1]Production Summary'!K48</f>
        <v>5030000.0000000298</v>
      </c>
      <c r="C16" s="8">
        <f t="shared" si="0"/>
        <v>5.0300000000000296</v>
      </c>
      <c r="D16" s="10">
        <f t="shared" si="1"/>
        <v>15.442100000000091</v>
      </c>
      <c r="E16" s="7">
        <f>'[1]Production Summary'!O48</f>
        <v>6000000</v>
      </c>
      <c r="F16" s="8">
        <f t="shared" si="2"/>
        <v>6</v>
      </c>
      <c r="G16" s="10">
        <f t="shared" si="3"/>
        <v>18.419999999999998</v>
      </c>
      <c r="H16" s="7">
        <f>'[1]Production Summary'!Q48</f>
        <v>0</v>
      </c>
      <c r="I16" s="8">
        <f t="shared" si="15"/>
        <v>0</v>
      </c>
      <c r="J16" s="10">
        <f t="shared" si="4"/>
        <v>0</v>
      </c>
      <c r="K16" s="7">
        <f>'[1]Production Summary'!T48</f>
        <v>566093</v>
      </c>
      <c r="L16" s="8">
        <f t="shared" si="17"/>
        <v>5.6609300000000001E-2</v>
      </c>
      <c r="M16" s="10">
        <f t="shared" si="6"/>
        <v>0.17379055099999999</v>
      </c>
      <c r="N16" s="21"/>
      <c r="O16" s="7">
        <f>'[1]Production Summary'!J48</f>
        <v>5273819</v>
      </c>
      <c r="P16" s="8">
        <f t="shared" si="7"/>
        <v>5.2738189999999996</v>
      </c>
      <c r="Q16" s="10">
        <f t="shared" si="8"/>
        <v>16.190624329999999</v>
      </c>
      <c r="R16" s="7">
        <f>'[1]Production Summary'!AE48</f>
        <v>0</v>
      </c>
      <c r="S16" s="8">
        <f t="shared" si="9"/>
        <v>0</v>
      </c>
      <c r="T16" s="10">
        <f t="shared" si="10"/>
        <v>0</v>
      </c>
      <c r="U16" s="7">
        <f>'[1]Production Summary'!AF48</f>
        <v>5994131</v>
      </c>
      <c r="V16" s="8">
        <f t="shared" si="11"/>
        <v>5.9941310000000003</v>
      </c>
      <c r="W16" s="10">
        <f t="shared" si="12"/>
        <v>18.40198217</v>
      </c>
      <c r="X16" s="7">
        <f>'[1]Production Summary'!AJ48</f>
        <v>37171</v>
      </c>
      <c r="Y16" s="8">
        <f t="shared" si="13"/>
        <v>3.7171000000000003E-2</v>
      </c>
      <c r="Z16" s="10">
        <f t="shared" si="14"/>
        <v>0.11411497</v>
      </c>
      <c r="AA16" s="15"/>
      <c r="AB16" s="7">
        <f t="shared" si="16"/>
        <v>10303819.00000003</v>
      </c>
      <c r="AC16" s="8">
        <f t="shared" si="16"/>
        <v>10.303819000000029</v>
      </c>
      <c r="AD16" s="8">
        <f t="shared" si="16"/>
        <v>31.632724330000087</v>
      </c>
    </row>
    <row r="17" spans="1:30" x14ac:dyDescent="0.2">
      <c r="A17" s="1">
        <v>43052</v>
      </c>
      <c r="B17" s="7">
        <f>'[1]Production Summary'!K49</f>
        <v>9490000.0000000093</v>
      </c>
      <c r="C17" s="8">
        <f t="shared" si="0"/>
        <v>9.4900000000000091</v>
      </c>
      <c r="D17" s="10">
        <f t="shared" si="1"/>
        <v>29.134300000000028</v>
      </c>
      <c r="E17" s="7">
        <f>'[1]Production Summary'!O49</f>
        <v>6000000</v>
      </c>
      <c r="F17" s="8">
        <f t="shared" si="2"/>
        <v>6</v>
      </c>
      <c r="G17" s="10">
        <f t="shared" si="3"/>
        <v>18.419999999999998</v>
      </c>
      <c r="H17" s="7">
        <f>'[1]Production Summary'!Q49</f>
        <v>0</v>
      </c>
      <c r="I17" s="8">
        <f t="shared" si="15"/>
        <v>0</v>
      </c>
      <c r="J17" s="10">
        <f t="shared" si="4"/>
        <v>0</v>
      </c>
      <c r="K17" s="7">
        <f>'[1]Production Summary'!T49</f>
        <v>731621</v>
      </c>
      <c r="L17" s="8">
        <f t="shared" si="17"/>
        <v>7.3162099999999994E-2</v>
      </c>
      <c r="M17" s="10">
        <f t="shared" si="6"/>
        <v>0.22460764699999997</v>
      </c>
      <c r="N17" s="21"/>
      <c r="O17" s="7">
        <f>'[1]Production Summary'!J49</f>
        <v>3560952</v>
      </c>
      <c r="P17" s="8">
        <f t="shared" ref="P17:P34" si="18">O17/1000000</f>
        <v>3.5609519999999999</v>
      </c>
      <c r="Q17" s="10">
        <f t="shared" si="8"/>
        <v>10.932122639999999</v>
      </c>
      <c r="R17" s="7">
        <f>'[1]Production Summary'!AE49</f>
        <v>0</v>
      </c>
      <c r="S17" s="8">
        <f t="shared" si="9"/>
        <v>0</v>
      </c>
      <c r="T17" s="10">
        <f t="shared" si="10"/>
        <v>0</v>
      </c>
      <c r="U17" s="7">
        <f>'[1]Production Summary'!AF49</f>
        <v>4064213</v>
      </c>
      <c r="V17" s="8">
        <f t="shared" si="11"/>
        <v>4.0642129999999996</v>
      </c>
      <c r="W17" s="10">
        <f t="shared" si="12"/>
        <v>12.477133909999997</v>
      </c>
      <c r="X17" s="7">
        <f>'[1]Production Summary'!AJ49</f>
        <v>191070</v>
      </c>
      <c r="Y17" s="8">
        <f t="shared" si="13"/>
        <v>0.19106999999999999</v>
      </c>
      <c r="Z17" s="10">
        <f t="shared" si="14"/>
        <v>0.58658489999999996</v>
      </c>
      <c r="AA17" s="15"/>
      <c r="AB17" s="7">
        <f t="shared" si="16"/>
        <v>13050952.000000009</v>
      </c>
      <c r="AC17" s="8">
        <f t="shared" si="16"/>
        <v>13.050952000000009</v>
      </c>
      <c r="AD17" s="8">
        <f t="shared" si="16"/>
        <v>40.066422640000027</v>
      </c>
    </row>
    <row r="18" spans="1:30" x14ac:dyDescent="0.2">
      <c r="A18" s="1">
        <v>43053</v>
      </c>
      <c r="B18" s="7">
        <f>'[1]Production Summary'!K50</f>
        <v>6579999.9999999274</v>
      </c>
      <c r="C18" s="8">
        <f t="shared" si="0"/>
        <v>6.5799999999999272</v>
      </c>
      <c r="D18" s="10">
        <f t="shared" si="1"/>
        <v>20.200599999999774</v>
      </c>
      <c r="E18" s="7">
        <f>'[1]Production Summary'!O50</f>
        <v>7000000</v>
      </c>
      <c r="F18" s="8">
        <f t="shared" si="2"/>
        <v>7</v>
      </c>
      <c r="G18" s="10">
        <f t="shared" si="3"/>
        <v>21.49</v>
      </c>
      <c r="H18" s="7">
        <f>'[1]Production Summary'!Q50</f>
        <v>0</v>
      </c>
      <c r="I18" s="8">
        <f t="shared" si="15"/>
        <v>0</v>
      </c>
      <c r="J18" s="10">
        <f t="shared" si="4"/>
        <v>0</v>
      </c>
      <c r="K18" s="7">
        <f>'[1]Production Summary'!T50</f>
        <v>847162</v>
      </c>
      <c r="L18" s="8">
        <f t="shared" si="17"/>
        <v>8.4716200000000005E-2</v>
      </c>
      <c r="M18" s="10">
        <f t="shared" si="6"/>
        <v>0.26007873399999998</v>
      </c>
      <c r="N18" s="21"/>
      <c r="O18" s="7">
        <f>'[1]Production Summary'!J50</f>
        <v>6536982</v>
      </c>
      <c r="P18" s="8">
        <f t="shared" si="18"/>
        <v>6.5369820000000001</v>
      </c>
      <c r="Q18" s="10">
        <f t="shared" si="8"/>
        <v>20.06853474</v>
      </c>
      <c r="R18" s="7">
        <f>'[1]Production Summary'!AE50</f>
        <v>0</v>
      </c>
      <c r="S18" s="8">
        <f t="shared" ref="S18:S34" si="19">R18/1000000</f>
        <v>0</v>
      </c>
      <c r="T18" s="10">
        <f t="shared" si="10"/>
        <v>0</v>
      </c>
      <c r="U18" s="7">
        <f>'[1]Production Summary'!AF50</f>
        <v>6483306</v>
      </c>
      <c r="V18" s="8">
        <f t="shared" si="11"/>
        <v>6.4833059999999998</v>
      </c>
      <c r="W18" s="10">
        <f t="shared" si="12"/>
        <v>19.903749419999997</v>
      </c>
      <c r="X18" s="7">
        <f>'[1]Production Summary'!AJ50</f>
        <v>0</v>
      </c>
      <c r="Y18" s="8">
        <f t="shared" si="13"/>
        <v>0</v>
      </c>
      <c r="Z18" s="10">
        <f t="shared" si="14"/>
        <v>0</v>
      </c>
      <c r="AA18" s="15"/>
      <c r="AB18" s="7">
        <f t="shared" si="16"/>
        <v>13116981.999999927</v>
      </c>
      <c r="AC18" s="8">
        <f t="shared" si="16"/>
        <v>13.116981999999927</v>
      </c>
      <c r="AD18" s="8">
        <f t="shared" si="16"/>
        <v>40.269134739999771</v>
      </c>
    </row>
    <row r="19" spans="1:30" x14ac:dyDescent="0.2">
      <c r="A19" s="1">
        <v>43054</v>
      </c>
      <c r="B19" s="7">
        <f>'[1]Production Summary'!K51</f>
        <v>5600000.0000000224</v>
      </c>
      <c r="C19" s="8">
        <f t="shared" si="0"/>
        <v>5.6000000000000227</v>
      </c>
      <c r="D19" s="10">
        <f t="shared" si="1"/>
        <v>17.192000000000068</v>
      </c>
      <c r="E19" s="7">
        <f>'[1]Production Summary'!O51</f>
        <v>7000000</v>
      </c>
      <c r="F19" s="8">
        <f t="shared" si="2"/>
        <v>7</v>
      </c>
      <c r="G19" s="10">
        <f t="shared" si="3"/>
        <v>21.49</v>
      </c>
      <c r="H19" s="7">
        <f>'[1]Production Summary'!Q51</f>
        <v>0</v>
      </c>
      <c r="I19" s="8">
        <f t="shared" si="15"/>
        <v>0</v>
      </c>
      <c r="J19" s="10">
        <f t="shared" si="4"/>
        <v>0</v>
      </c>
      <c r="K19" s="7">
        <f>'[1]Production Summary'!T51</f>
        <v>501524</v>
      </c>
      <c r="L19" s="8">
        <f t="shared" si="17"/>
        <v>5.01524E-2</v>
      </c>
      <c r="M19" s="10">
        <f t="shared" si="6"/>
        <v>0.15396786799999998</v>
      </c>
      <c r="N19" s="21"/>
      <c r="O19" s="7">
        <f>'[1]Production Summary'!J51</f>
        <v>5780316</v>
      </c>
      <c r="P19" s="8">
        <f t="shared" si="18"/>
        <v>5.780316</v>
      </c>
      <c r="Q19" s="10">
        <f t="shared" si="8"/>
        <v>17.74557012</v>
      </c>
      <c r="R19" s="7">
        <f>'[1]Production Summary'!AE51</f>
        <v>0</v>
      </c>
      <c r="S19" s="8">
        <f t="shared" si="19"/>
        <v>0</v>
      </c>
      <c r="T19" s="10">
        <f t="shared" si="10"/>
        <v>0</v>
      </c>
      <c r="U19" s="7">
        <f>'[1]Production Summary'!AF51</f>
        <v>6482269</v>
      </c>
      <c r="V19" s="8">
        <f t="shared" si="11"/>
        <v>6.4822689999999996</v>
      </c>
      <c r="W19" s="10">
        <f t="shared" si="12"/>
        <v>19.900565829999998</v>
      </c>
      <c r="X19" s="7">
        <f>'[1]Production Summary'!AJ51</f>
        <v>107662</v>
      </c>
      <c r="Y19" s="8">
        <f t="shared" si="13"/>
        <v>0.10766199999999999</v>
      </c>
      <c r="Z19" s="10">
        <f t="shared" si="14"/>
        <v>0.33052233999999997</v>
      </c>
      <c r="AA19" s="15"/>
      <c r="AB19" s="7">
        <f t="shared" si="16"/>
        <v>11380316.000000022</v>
      </c>
      <c r="AC19" s="8">
        <f t="shared" si="16"/>
        <v>11.380316000000022</v>
      </c>
      <c r="AD19" s="8">
        <f>D19+Q19</f>
        <v>34.937570120000068</v>
      </c>
    </row>
    <row r="20" spans="1:30" x14ac:dyDescent="0.2">
      <c r="A20" s="1">
        <v>43055</v>
      </c>
      <c r="B20" s="7">
        <f>'[1]Production Summary'!K52</f>
        <v>5600000.0000000224</v>
      </c>
      <c r="C20" s="8">
        <f t="shared" si="0"/>
        <v>5.6000000000000227</v>
      </c>
      <c r="D20" s="10">
        <f t="shared" si="1"/>
        <v>17.192000000000068</v>
      </c>
      <c r="E20" s="7">
        <f>'[1]Production Summary'!O52</f>
        <v>6000000</v>
      </c>
      <c r="F20" s="8">
        <f t="shared" si="2"/>
        <v>6</v>
      </c>
      <c r="G20" s="10">
        <f t="shared" si="3"/>
        <v>18.419999999999998</v>
      </c>
      <c r="H20" s="7">
        <f>'[1]Production Summary'!Q52</f>
        <v>4360000</v>
      </c>
      <c r="I20" s="8">
        <f t="shared" si="15"/>
        <v>4.3600000000000003</v>
      </c>
      <c r="J20" s="10">
        <f t="shared" si="4"/>
        <v>13.385200000000001</v>
      </c>
      <c r="K20" s="7">
        <f>'[1]Production Summary'!T52</f>
        <v>700166</v>
      </c>
      <c r="L20" s="8">
        <f t="shared" si="17"/>
        <v>7.0016599999999998E-2</v>
      </c>
      <c r="M20" s="10">
        <f t="shared" si="6"/>
        <v>0.214950962</v>
      </c>
      <c r="N20" s="21"/>
      <c r="O20" s="7">
        <f>'[1]Production Summary'!J52</f>
        <v>6258646</v>
      </c>
      <c r="P20" s="8">
        <f t="shared" si="18"/>
        <v>6.2586459999999997</v>
      </c>
      <c r="Q20" s="10">
        <f t="shared" si="8"/>
        <v>19.214043219999997</v>
      </c>
      <c r="R20" s="7">
        <f>'[1]Production Summary'!AE52</f>
        <v>0</v>
      </c>
      <c r="S20" s="8">
        <f t="shared" si="19"/>
        <v>0</v>
      </c>
      <c r="T20" s="10">
        <f t="shared" si="10"/>
        <v>0</v>
      </c>
      <c r="U20" s="7">
        <f>'[1]Production Summary'!AF52</f>
        <v>6485877</v>
      </c>
      <c r="V20" s="8">
        <f t="shared" si="11"/>
        <v>6.4858770000000003</v>
      </c>
      <c r="W20" s="10">
        <f t="shared" si="12"/>
        <v>19.911642390000001</v>
      </c>
      <c r="X20" s="7">
        <f>'[1]Production Summary'!AJ52</f>
        <v>224165</v>
      </c>
      <c r="Y20" s="8">
        <f t="shared" si="13"/>
        <v>0.224165</v>
      </c>
      <c r="Z20" s="10">
        <f t="shared" si="14"/>
        <v>0.68818654999999995</v>
      </c>
      <c r="AA20" s="15"/>
      <c r="AB20" s="7">
        <f t="shared" si="16"/>
        <v>11858646.000000022</v>
      </c>
      <c r="AC20" s="8">
        <f t="shared" si="16"/>
        <v>11.858646000000022</v>
      </c>
      <c r="AD20" s="8">
        <f t="shared" si="16"/>
        <v>36.406043220000065</v>
      </c>
    </row>
    <row r="21" spans="1:30" x14ac:dyDescent="0.2">
      <c r="A21" s="1">
        <v>43056</v>
      </c>
      <c r="B21" s="7">
        <f>'[1]Production Summary'!K53</f>
        <v>7090000.0000000317</v>
      </c>
      <c r="C21" s="8">
        <f t="shared" si="0"/>
        <v>7.0900000000000318</v>
      </c>
      <c r="D21" s="10">
        <f t="shared" si="1"/>
        <v>21.766300000000097</v>
      </c>
      <c r="E21" s="7">
        <f>'[1]Production Summary'!O53</f>
        <v>9000000</v>
      </c>
      <c r="F21" s="8">
        <f t="shared" si="2"/>
        <v>9</v>
      </c>
      <c r="G21" s="10">
        <f t="shared" si="3"/>
        <v>27.63</v>
      </c>
      <c r="H21" s="7">
        <f>'[1]Production Summary'!Q53</f>
        <v>0</v>
      </c>
      <c r="I21" s="8">
        <f t="shared" si="15"/>
        <v>0</v>
      </c>
      <c r="J21" s="10">
        <f t="shared" si="4"/>
        <v>0</v>
      </c>
      <c r="K21" s="7">
        <f>'[1]Production Summary'!T53</f>
        <v>773003</v>
      </c>
      <c r="L21" s="8">
        <f t="shared" si="17"/>
        <v>7.7300300000000002E-2</v>
      </c>
      <c r="M21" s="10">
        <f t="shared" si="6"/>
        <v>0.23731192099999998</v>
      </c>
      <c r="N21" s="21"/>
      <c r="O21" s="7">
        <f>'[1]Production Summary'!J53</f>
        <v>5648277</v>
      </c>
      <c r="P21" s="8">
        <f t="shared" si="18"/>
        <v>5.6482770000000002</v>
      </c>
      <c r="Q21" s="10">
        <f t="shared" si="8"/>
        <v>17.340210389999999</v>
      </c>
      <c r="R21" s="7">
        <f>'[1]Production Summary'!AE53</f>
        <v>0</v>
      </c>
      <c r="S21" s="8">
        <f t="shared" si="19"/>
        <v>0</v>
      </c>
      <c r="T21" s="10">
        <f t="shared" si="10"/>
        <v>0</v>
      </c>
      <c r="U21" s="7">
        <f>'[1]Production Summary'!AF53</f>
        <v>6487120</v>
      </c>
      <c r="V21" s="8">
        <f t="shared" si="11"/>
        <v>6.48712</v>
      </c>
      <c r="W21" s="10">
        <f t="shared" si="12"/>
        <v>19.915458399999999</v>
      </c>
      <c r="X21" s="7">
        <f>'[1]Production Summary'!AJ53</f>
        <v>136610</v>
      </c>
      <c r="Y21" s="8">
        <f t="shared" si="13"/>
        <v>0.13661000000000001</v>
      </c>
      <c r="Z21" s="10">
        <f t="shared" si="14"/>
        <v>0.41939270000000001</v>
      </c>
      <c r="AA21" s="15"/>
      <c r="AB21" s="7">
        <f t="shared" si="16"/>
        <v>12738277.000000032</v>
      </c>
      <c r="AC21" s="8">
        <f t="shared" si="16"/>
        <v>12.738277000000032</v>
      </c>
      <c r="AD21" s="8">
        <f t="shared" si="16"/>
        <v>39.106510390000096</v>
      </c>
    </row>
    <row r="22" spans="1:30" x14ac:dyDescent="0.2">
      <c r="A22" s="1">
        <v>43057</v>
      </c>
      <c r="B22" s="7">
        <f>'[1]Production Summary'!K54</f>
        <v>8939999.9999999404</v>
      </c>
      <c r="C22" s="8">
        <f t="shared" si="0"/>
        <v>8.9399999999999409</v>
      </c>
      <c r="D22" s="10">
        <f t="shared" si="1"/>
        <v>27.445799999999817</v>
      </c>
      <c r="E22" s="7">
        <f>'[1]Production Summary'!O54</f>
        <v>7000000</v>
      </c>
      <c r="F22" s="8">
        <f t="shared" si="2"/>
        <v>7</v>
      </c>
      <c r="G22" s="10">
        <f t="shared" si="3"/>
        <v>21.49</v>
      </c>
      <c r="H22" s="7">
        <f>'[1]Production Summary'!Q54</f>
        <v>2270000</v>
      </c>
      <c r="I22" s="8">
        <f t="shared" si="15"/>
        <v>2.27</v>
      </c>
      <c r="J22" s="10">
        <f t="shared" si="4"/>
        <v>6.9688999999999997</v>
      </c>
      <c r="K22" s="7">
        <f>'[1]Production Summary'!T54</f>
        <v>861304</v>
      </c>
      <c r="L22" s="8">
        <f t="shared" si="17"/>
        <v>8.6130399999999996E-2</v>
      </c>
      <c r="M22" s="10">
        <f t="shared" si="6"/>
        <v>0.26442032799999998</v>
      </c>
      <c r="N22" s="21"/>
      <c r="O22" s="7">
        <f>'[1]Production Summary'!J54</f>
        <v>6413070</v>
      </c>
      <c r="P22" s="8">
        <f t="shared" si="18"/>
        <v>6.4130700000000003</v>
      </c>
      <c r="Q22" s="10">
        <f t="shared" si="8"/>
        <v>19.688124899999998</v>
      </c>
      <c r="R22" s="7">
        <f>'[1]Production Summary'!AE54</f>
        <v>0</v>
      </c>
      <c r="S22" s="8">
        <f t="shared" si="19"/>
        <v>0</v>
      </c>
      <c r="T22" s="10">
        <f t="shared" si="10"/>
        <v>0</v>
      </c>
      <c r="U22" s="7">
        <f>'[1]Production Summary'!AF54</f>
        <v>6484510</v>
      </c>
      <c r="V22" s="8">
        <f t="shared" si="11"/>
        <v>6.4845100000000002</v>
      </c>
      <c r="W22" s="10">
        <f t="shared" si="12"/>
        <v>19.9074457</v>
      </c>
      <c r="X22" s="7">
        <f>'[1]Production Summary'!AJ54</f>
        <v>203596</v>
      </c>
      <c r="Y22" s="8">
        <f t="shared" si="13"/>
        <v>0.203596</v>
      </c>
      <c r="Z22" s="10">
        <f t="shared" si="14"/>
        <v>0.62503971999999997</v>
      </c>
      <c r="AA22" s="15"/>
      <c r="AB22" s="7">
        <f t="shared" si="16"/>
        <v>15353069.99999994</v>
      </c>
      <c r="AC22" s="8">
        <f t="shared" si="16"/>
        <v>15.353069999999942</v>
      </c>
      <c r="AD22" s="8">
        <f t="shared" si="16"/>
        <v>47.133924899999812</v>
      </c>
    </row>
    <row r="23" spans="1:30" x14ac:dyDescent="0.2">
      <c r="A23" s="1">
        <v>43058</v>
      </c>
      <c r="B23" s="7">
        <f>'[1]Production Summary'!K55</f>
        <v>7060000.0000000587</v>
      </c>
      <c r="C23" s="8">
        <f t="shared" si="0"/>
        <v>7.0600000000000591</v>
      </c>
      <c r="D23" s="10">
        <f t="shared" si="1"/>
        <v>21.67420000000018</v>
      </c>
      <c r="E23" s="7">
        <f>'[1]Production Summary'!O55</f>
        <v>2000000</v>
      </c>
      <c r="F23" s="8">
        <f t="shared" si="2"/>
        <v>2</v>
      </c>
      <c r="G23" s="10">
        <f t="shared" si="3"/>
        <v>6.14</v>
      </c>
      <c r="H23" s="7">
        <f>'[1]Production Summary'!Q55</f>
        <v>5710000</v>
      </c>
      <c r="I23" s="8">
        <f t="shared" si="15"/>
        <v>5.71</v>
      </c>
      <c r="J23" s="10">
        <f t="shared" si="4"/>
        <v>17.529699999999998</v>
      </c>
      <c r="K23" s="7">
        <f>'[1]Production Summary'!T55</f>
        <v>721456</v>
      </c>
      <c r="L23" s="8">
        <f t="shared" si="17"/>
        <v>7.2145600000000004E-2</v>
      </c>
      <c r="M23" s="10">
        <f t="shared" si="6"/>
        <v>0.22148699199999999</v>
      </c>
      <c r="N23" s="21"/>
      <c r="O23" s="7">
        <f>'[1]Production Summary'!J55</f>
        <v>3484518</v>
      </c>
      <c r="P23" s="8">
        <f t="shared" si="18"/>
        <v>3.484518</v>
      </c>
      <c r="Q23" s="10">
        <f t="shared" si="8"/>
        <v>10.697470259999999</v>
      </c>
      <c r="R23" s="7">
        <f>'[1]Production Summary'!AE55</f>
        <v>0</v>
      </c>
      <c r="S23" s="8">
        <f t="shared" si="19"/>
        <v>0</v>
      </c>
      <c r="T23" s="10">
        <f t="shared" si="10"/>
        <v>0</v>
      </c>
      <c r="U23" s="7">
        <f>'[1]Production Summary'!AF55</f>
        <v>4234486</v>
      </c>
      <c r="V23" s="8">
        <f t="shared" si="11"/>
        <v>4.2344860000000004</v>
      </c>
      <c r="W23" s="10">
        <f t="shared" si="12"/>
        <v>12.99987202</v>
      </c>
      <c r="X23" s="7">
        <f>'[1]Production Summary'!AJ55</f>
        <v>0</v>
      </c>
      <c r="Y23" s="8">
        <f t="shared" si="13"/>
        <v>0</v>
      </c>
      <c r="Z23" s="10">
        <f t="shared" si="14"/>
        <v>0</v>
      </c>
      <c r="AA23" s="15"/>
      <c r="AB23" s="7">
        <f t="shared" si="16"/>
        <v>10544518.00000006</v>
      </c>
      <c r="AC23" s="8">
        <f t="shared" si="16"/>
        <v>10.544518000000059</v>
      </c>
      <c r="AD23" s="8">
        <f t="shared" si="16"/>
        <v>32.37167026000018</v>
      </c>
    </row>
    <row r="24" spans="1:30" x14ac:dyDescent="0.2">
      <c r="A24" s="1">
        <v>43059</v>
      </c>
      <c r="B24" s="7">
        <f>'[1]Production Summary'!K56</f>
        <v>4559999.9999999451</v>
      </c>
      <c r="C24" s="8">
        <f t="shared" si="0"/>
        <v>4.5599999999999454</v>
      </c>
      <c r="D24" s="10">
        <f t="shared" si="1"/>
        <v>13.999199999999831</v>
      </c>
      <c r="E24" s="7">
        <f>'[1]Production Summary'!O56</f>
        <v>0</v>
      </c>
      <c r="F24" s="8">
        <f t="shared" si="2"/>
        <v>0</v>
      </c>
      <c r="G24" s="10">
        <f t="shared" si="3"/>
        <v>0</v>
      </c>
      <c r="H24" s="7">
        <f>'[1]Production Summary'!Q56</f>
        <v>5280000</v>
      </c>
      <c r="I24" s="8">
        <f t="shared" si="15"/>
        <v>5.28</v>
      </c>
      <c r="J24" s="10">
        <f t="shared" si="4"/>
        <v>16.209599999999998</v>
      </c>
      <c r="K24" s="7">
        <f>'[1]Production Summary'!T56</f>
        <v>413277</v>
      </c>
      <c r="L24" s="8">
        <f t="shared" si="17"/>
        <v>4.1327700000000002E-2</v>
      </c>
      <c r="M24" s="10">
        <f t="shared" si="6"/>
        <v>0.126876039</v>
      </c>
      <c r="N24" s="21"/>
      <c r="O24" s="7">
        <f>'[1]Production Summary'!J56</f>
        <v>7939958</v>
      </c>
      <c r="P24" s="8">
        <f t="shared" si="18"/>
        <v>7.9399579999999998</v>
      </c>
      <c r="Q24" s="10">
        <f t="shared" si="8"/>
        <v>24.375671059999998</v>
      </c>
      <c r="R24" s="7">
        <f>'[1]Production Summary'!AE56</f>
        <v>0</v>
      </c>
      <c r="S24" s="8">
        <f t="shared" si="19"/>
        <v>0</v>
      </c>
      <c r="T24" s="10">
        <f t="shared" si="10"/>
        <v>0</v>
      </c>
      <c r="U24" s="7">
        <f>'[1]Production Summary'!AF56</f>
        <v>8853627</v>
      </c>
      <c r="V24" s="8">
        <f t="shared" si="11"/>
        <v>8.8536269999999995</v>
      </c>
      <c r="W24" s="10">
        <f t="shared" si="12"/>
        <v>27.180634889999997</v>
      </c>
      <c r="X24" s="7">
        <f>'[1]Production Summary'!AJ56</f>
        <v>131247</v>
      </c>
      <c r="Y24" s="8">
        <f t="shared" si="13"/>
        <v>0.131247</v>
      </c>
      <c r="Z24" s="10">
        <f t="shared" si="14"/>
        <v>0.40292828999999997</v>
      </c>
      <c r="AA24" s="15"/>
      <c r="AB24" s="7">
        <f t="shared" si="16"/>
        <v>12499957.999999944</v>
      </c>
      <c r="AC24" s="8">
        <f t="shared" si="16"/>
        <v>12.499957999999946</v>
      </c>
      <c r="AD24" s="8">
        <f>D24+Q24</f>
        <v>38.374871059999833</v>
      </c>
    </row>
    <row r="25" spans="1:30" x14ac:dyDescent="0.2">
      <c r="A25" s="1">
        <v>43060</v>
      </c>
      <c r="B25" s="7">
        <f>'[1]Production Summary'!K57</f>
        <v>4129999.9999999953</v>
      </c>
      <c r="C25" s="8">
        <f t="shared" si="0"/>
        <v>4.1299999999999955</v>
      </c>
      <c r="D25" s="10">
        <f t="shared" si="1"/>
        <v>12.679099999999986</v>
      </c>
      <c r="E25" s="7">
        <f>'[1]Production Summary'!O57</f>
        <v>0</v>
      </c>
      <c r="F25" s="8">
        <f t="shared" si="2"/>
        <v>0</v>
      </c>
      <c r="G25" s="10">
        <f t="shared" si="3"/>
        <v>0</v>
      </c>
      <c r="H25" s="7">
        <f>'[1]Production Summary'!Q57</f>
        <v>4950000</v>
      </c>
      <c r="I25" s="8">
        <f t="shared" si="15"/>
        <v>4.95</v>
      </c>
      <c r="J25" s="10">
        <f t="shared" si="4"/>
        <v>15.1965</v>
      </c>
      <c r="K25" s="7">
        <f>'[1]Production Summary'!T57</f>
        <v>457089</v>
      </c>
      <c r="L25" s="8">
        <f t="shared" si="17"/>
        <v>4.5708899999999997E-2</v>
      </c>
      <c r="M25" s="10">
        <f t="shared" si="6"/>
        <v>0.14032632299999998</v>
      </c>
      <c r="N25" s="21"/>
      <c r="O25" s="7">
        <f>'[1]Production Summary'!J57</f>
        <v>7315730</v>
      </c>
      <c r="P25" s="8">
        <f t="shared" si="18"/>
        <v>7.3157300000000003</v>
      </c>
      <c r="Q25" s="10">
        <f t="shared" si="8"/>
        <v>22.459291099999998</v>
      </c>
      <c r="R25" s="7">
        <f>'[1]Production Summary'!AE57</f>
        <v>0</v>
      </c>
      <c r="S25" s="8">
        <f t="shared" si="19"/>
        <v>0</v>
      </c>
      <c r="T25" s="10">
        <f t="shared" si="10"/>
        <v>0</v>
      </c>
      <c r="U25" s="7">
        <f>'[1]Production Summary'!AF57</f>
        <v>7378320</v>
      </c>
      <c r="V25" s="8">
        <f t="shared" si="11"/>
        <v>7.3783200000000004</v>
      </c>
      <c r="W25" s="10">
        <f t="shared" si="12"/>
        <v>22.651442400000001</v>
      </c>
      <c r="X25" s="7">
        <f>'[1]Production Summary'!AJ57</f>
        <v>209879</v>
      </c>
      <c r="Y25" s="8">
        <f t="shared" si="13"/>
        <v>0.20987900000000001</v>
      </c>
      <c r="Z25" s="10">
        <f t="shared" si="14"/>
        <v>0.64432853000000001</v>
      </c>
      <c r="AA25" s="15"/>
      <c r="AB25" s="7">
        <f t="shared" si="16"/>
        <v>11445729.999999996</v>
      </c>
      <c r="AC25" s="8">
        <f t="shared" si="16"/>
        <v>11.445729999999996</v>
      </c>
      <c r="AD25" s="8">
        <f t="shared" si="16"/>
        <v>35.138391099999986</v>
      </c>
    </row>
    <row r="26" spans="1:30" x14ac:dyDescent="0.2">
      <c r="A26" s="1">
        <v>43061</v>
      </c>
      <c r="B26" s="7">
        <f>'[1]Production Summary'!K58</f>
        <v>4269999.9999999814</v>
      </c>
      <c r="C26" s="8">
        <f t="shared" si="0"/>
        <v>4.2699999999999818</v>
      </c>
      <c r="D26" s="10">
        <f t="shared" si="1"/>
        <v>13.108899999999943</v>
      </c>
      <c r="E26" s="7">
        <f>'[1]Production Summary'!O58</f>
        <v>0</v>
      </c>
      <c r="F26" s="8">
        <f t="shared" si="2"/>
        <v>0</v>
      </c>
      <c r="G26" s="10">
        <f t="shared" si="3"/>
        <v>0</v>
      </c>
      <c r="H26" s="7">
        <f>'[1]Production Summary'!Q58</f>
        <v>5050000</v>
      </c>
      <c r="I26" s="8">
        <f t="shared" si="15"/>
        <v>5.05</v>
      </c>
      <c r="J26" s="10">
        <f t="shared" si="4"/>
        <v>15.503499999999999</v>
      </c>
      <c r="K26" s="7">
        <f>'[1]Production Summary'!T58</f>
        <v>402870</v>
      </c>
      <c r="L26" s="8">
        <f t="shared" si="17"/>
        <v>4.0287000000000003E-2</v>
      </c>
      <c r="M26" s="10">
        <f t="shared" si="6"/>
        <v>0.12368109000000001</v>
      </c>
      <c r="N26" s="21"/>
      <c r="O26" s="7">
        <f>'[1]Production Summary'!J58</f>
        <v>7818603</v>
      </c>
      <c r="P26" s="8">
        <f t="shared" si="18"/>
        <v>7.8186030000000004</v>
      </c>
      <c r="Q26" s="10">
        <f t="shared" si="8"/>
        <v>24.00311121</v>
      </c>
      <c r="R26" s="7">
        <f>'[1]Production Summary'!AE58</f>
        <v>0</v>
      </c>
      <c r="S26" s="8">
        <f t="shared" si="19"/>
        <v>0</v>
      </c>
      <c r="T26" s="10">
        <f t="shared" si="10"/>
        <v>0</v>
      </c>
      <c r="U26" s="7">
        <f>'[1]Production Summary'!AF58</f>
        <v>8066122</v>
      </c>
      <c r="V26" s="8">
        <f t="shared" si="11"/>
        <v>8.066122</v>
      </c>
      <c r="W26" s="10">
        <f t="shared" si="12"/>
        <v>24.762994539999998</v>
      </c>
      <c r="X26" s="7">
        <f>'[1]Production Summary'!AJ58</f>
        <v>54105</v>
      </c>
      <c r="Y26" s="8">
        <f t="shared" si="13"/>
        <v>5.4105E-2</v>
      </c>
      <c r="Z26" s="10">
        <f t="shared" si="14"/>
        <v>0.16610234999999998</v>
      </c>
      <c r="AA26" s="15"/>
      <c r="AB26" s="7">
        <f t="shared" si="16"/>
        <v>12088602.999999981</v>
      </c>
      <c r="AC26" s="8">
        <f t="shared" si="16"/>
        <v>12.088602999999981</v>
      </c>
      <c r="AD26" s="8">
        <f t="shared" si="16"/>
        <v>37.112011209999942</v>
      </c>
    </row>
    <row r="27" spans="1:30" x14ac:dyDescent="0.2">
      <c r="A27" s="1">
        <v>43062</v>
      </c>
      <c r="B27" s="7">
        <f>'[1]Production Summary'!K59</f>
        <v>4150000.0000000908</v>
      </c>
      <c r="C27" s="8">
        <f t="shared" si="0"/>
        <v>4.1500000000000909</v>
      </c>
      <c r="D27" s="10">
        <f t="shared" si="1"/>
        <v>12.740500000000278</v>
      </c>
      <c r="E27" s="7">
        <f>'[1]Production Summary'!O59</f>
        <v>0</v>
      </c>
      <c r="F27" s="8">
        <f t="shared" si="2"/>
        <v>0</v>
      </c>
      <c r="G27" s="10">
        <f t="shared" si="3"/>
        <v>0</v>
      </c>
      <c r="H27" s="7">
        <f>'[1]Production Summary'!Q59</f>
        <v>5350000</v>
      </c>
      <c r="I27" s="8">
        <f t="shared" si="15"/>
        <v>5.35</v>
      </c>
      <c r="J27" s="10">
        <f t="shared" si="4"/>
        <v>16.424499999999998</v>
      </c>
      <c r="K27" s="7">
        <f>'[1]Production Summary'!T59</f>
        <v>591937</v>
      </c>
      <c r="L27" s="8">
        <f t="shared" si="17"/>
        <v>5.9193700000000002E-2</v>
      </c>
      <c r="M27" s="10">
        <f t="shared" si="6"/>
        <v>0.18172465899999998</v>
      </c>
      <c r="N27" s="21"/>
      <c r="O27" s="7">
        <f>'[1]Production Summary'!J59</f>
        <v>8099580</v>
      </c>
      <c r="P27" s="8">
        <f t="shared" si="18"/>
        <v>8.0995799999999996</v>
      </c>
      <c r="Q27" s="10">
        <f t="shared" si="8"/>
        <v>24.865710599999996</v>
      </c>
      <c r="R27" s="7">
        <f>'[1]Production Summary'!AE59</f>
        <v>0</v>
      </c>
      <c r="S27" s="8">
        <f t="shared" si="19"/>
        <v>0</v>
      </c>
      <c r="T27" s="10">
        <f t="shared" si="10"/>
        <v>0</v>
      </c>
      <c r="U27" s="7">
        <f>'[1]Production Summary'!AF59</f>
        <v>8628882</v>
      </c>
      <c r="V27" s="8">
        <f t="shared" si="11"/>
        <v>8.6288820000000008</v>
      </c>
      <c r="W27" s="10">
        <f t="shared" si="12"/>
        <v>26.490667740000003</v>
      </c>
      <c r="X27" s="7">
        <f>'[1]Production Summary'!AJ59</f>
        <v>289163</v>
      </c>
      <c r="Y27" s="8">
        <f t="shared" si="13"/>
        <v>0.289163</v>
      </c>
      <c r="Z27" s="10">
        <f t="shared" si="14"/>
        <v>0.88773040999999997</v>
      </c>
      <c r="AA27" s="15"/>
      <c r="AB27" s="7">
        <f t="shared" si="16"/>
        <v>12249580.000000091</v>
      </c>
      <c r="AC27" s="8">
        <f t="shared" si="16"/>
        <v>12.249580000000091</v>
      </c>
      <c r="AD27" s="8">
        <f t="shared" si="16"/>
        <v>37.606210600000274</v>
      </c>
    </row>
    <row r="28" spans="1:30" x14ac:dyDescent="0.2">
      <c r="A28" s="1">
        <v>43063</v>
      </c>
      <c r="B28" s="7">
        <f>'[1]Production Summary'!K60</f>
        <v>5059999.9999999451</v>
      </c>
      <c r="C28" s="8">
        <f t="shared" si="0"/>
        <v>5.0599999999999454</v>
      </c>
      <c r="D28" s="10">
        <f t="shared" si="1"/>
        <v>15.534199999999831</v>
      </c>
      <c r="E28" s="7">
        <f>'[1]Production Summary'!O60</f>
        <v>0</v>
      </c>
      <c r="F28" s="8">
        <f t="shared" si="2"/>
        <v>0</v>
      </c>
      <c r="G28" s="10">
        <f t="shared" si="3"/>
        <v>0</v>
      </c>
      <c r="H28" s="7">
        <f>'[1]Production Summary'!Q60</f>
        <v>6000000</v>
      </c>
      <c r="I28" s="8">
        <f t="shared" si="15"/>
        <v>6</v>
      </c>
      <c r="J28" s="10">
        <f t="shared" si="4"/>
        <v>18.419999999999998</v>
      </c>
      <c r="K28" s="7">
        <f>'[1]Production Summary'!T60</f>
        <v>831290</v>
      </c>
      <c r="L28" s="8">
        <f t="shared" si="17"/>
        <v>8.3128999999999995E-2</v>
      </c>
      <c r="M28" s="10">
        <f t="shared" si="6"/>
        <v>0.25520602999999997</v>
      </c>
      <c r="N28" s="21"/>
      <c r="O28" s="7">
        <f>'[1]Production Summary'!J60</f>
        <v>7113620</v>
      </c>
      <c r="P28" s="8">
        <f t="shared" si="18"/>
        <v>7.1136200000000001</v>
      </c>
      <c r="Q28" s="10">
        <f t="shared" si="8"/>
        <v>21.838813399999999</v>
      </c>
      <c r="R28" s="7">
        <f>'[1]Production Summary'!AE60</f>
        <v>1404999</v>
      </c>
      <c r="S28" s="8">
        <f t="shared" si="19"/>
        <v>1.4049990000000001</v>
      </c>
      <c r="T28" s="10">
        <f t="shared" si="10"/>
        <v>4.3133469299999998</v>
      </c>
      <c r="U28" s="7">
        <f>'[1]Production Summary'!AF60</f>
        <v>5548687</v>
      </c>
      <c r="V28" s="8">
        <f t="shared" si="11"/>
        <v>5.5486870000000001</v>
      </c>
      <c r="W28" s="10">
        <f t="shared" si="12"/>
        <v>17.034469089999998</v>
      </c>
      <c r="X28" s="7">
        <f>'[1]Production Summary'!AJ60</f>
        <v>0</v>
      </c>
      <c r="Y28" s="8">
        <f t="shared" si="13"/>
        <v>0</v>
      </c>
      <c r="Z28" s="10">
        <f t="shared" si="14"/>
        <v>0</v>
      </c>
      <c r="AA28" s="15"/>
      <c r="AB28" s="7">
        <f t="shared" si="16"/>
        <v>12173619.999999944</v>
      </c>
      <c r="AC28" s="8">
        <f t="shared" si="16"/>
        <v>12.173619999999946</v>
      </c>
      <c r="AD28" s="8">
        <f t="shared" si="16"/>
        <v>37.373013399999834</v>
      </c>
    </row>
    <row r="29" spans="1:30" x14ac:dyDescent="0.2">
      <c r="A29" s="1">
        <v>43064</v>
      </c>
      <c r="B29" s="7">
        <f>'[1]Production Summary'!K61</f>
        <v>4789999.9999999637</v>
      </c>
      <c r="C29" s="8">
        <f t="shared" si="0"/>
        <v>4.7899999999999636</v>
      </c>
      <c r="D29" s="10">
        <f t="shared" si="1"/>
        <v>14.705299999999887</v>
      </c>
      <c r="E29" s="7">
        <f>'[1]Production Summary'!O61</f>
        <v>0</v>
      </c>
      <c r="F29" s="8">
        <f t="shared" si="2"/>
        <v>0</v>
      </c>
      <c r="G29" s="10">
        <f t="shared" si="3"/>
        <v>0</v>
      </c>
      <c r="H29" s="7">
        <f>'[1]Production Summary'!Q61</f>
        <v>5980000</v>
      </c>
      <c r="I29" s="8">
        <f t="shared" si="15"/>
        <v>5.98</v>
      </c>
      <c r="J29" s="10">
        <f t="shared" si="4"/>
        <v>18.358599999999999</v>
      </c>
      <c r="K29" s="7">
        <f>'[1]Production Summary'!T61</f>
        <v>648519</v>
      </c>
      <c r="L29" s="8">
        <f t="shared" si="17"/>
        <v>6.4851900000000004E-2</v>
      </c>
      <c r="M29" s="10">
        <f t="shared" si="6"/>
        <v>0.19909533300000001</v>
      </c>
      <c r="N29" s="21"/>
      <c r="O29" s="7">
        <f>'[1]Production Summary'!J61</f>
        <v>6737516</v>
      </c>
      <c r="P29" s="8">
        <f t="shared" si="18"/>
        <v>6.7375160000000003</v>
      </c>
      <c r="Q29" s="10">
        <f t="shared" si="8"/>
        <v>20.684174120000002</v>
      </c>
      <c r="R29" s="7">
        <f>'[1]Production Summary'!AE61</f>
        <v>2482435</v>
      </c>
      <c r="S29" s="8">
        <f t="shared" si="19"/>
        <v>2.4824350000000002</v>
      </c>
      <c r="T29" s="10">
        <f t="shared" si="10"/>
        <v>7.6210754500000002</v>
      </c>
      <c r="U29" s="7">
        <f>'[1]Production Summary'!AF61</f>
        <v>4486019</v>
      </c>
      <c r="V29" s="8">
        <f t="shared" si="11"/>
        <v>4.4860189999999998</v>
      </c>
      <c r="W29" s="10">
        <f t="shared" si="12"/>
        <v>13.772078329999999</v>
      </c>
      <c r="X29" s="7">
        <f>'[1]Production Summary'!AJ61</f>
        <v>43279</v>
      </c>
      <c r="Y29" s="8">
        <f t="shared" si="13"/>
        <v>4.3278999999999998E-2</v>
      </c>
      <c r="Z29" s="10">
        <f t="shared" si="14"/>
        <v>0.13286652999999998</v>
      </c>
      <c r="AA29" s="15"/>
      <c r="AB29" s="7">
        <f t="shared" si="16"/>
        <v>11527515.999999963</v>
      </c>
      <c r="AC29" s="8">
        <f t="shared" si="16"/>
        <v>11.527515999999963</v>
      </c>
      <c r="AD29" s="8">
        <f t="shared" si="16"/>
        <v>35.389474119999889</v>
      </c>
    </row>
    <row r="30" spans="1:30" x14ac:dyDescent="0.2">
      <c r="A30" s="1">
        <v>43065</v>
      </c>
      <c r="B30" s="7">
        <f>'[1]Production Summary'!K62</f>
        <v>7290000.0000000773</v>
      </c>
      <c r="C30" s="8">
        <f t="shared" si="0"/>
        <v>7.2900000000000773</v>
      </c>
      <c r="D30" s="10">
        <f t="shared" si="1"/>
        <v>22.380300000000236</v>
      </c>
      <c r="E30" s="7">
        <f>'[1]Production Summary'!O62</f>
        <v>0</v>
      </c>
      <c r="F30" s="8">
        <f t="shared" si="2"/>
        <v>0</v>
      </c>
      <c r="G30" s="10">
        <f t="shared" si="3"/>
        <v>0</v>
      </c>
      <c r="H30" s="7">
        <f>'[1]Production Summary'!Q62</f>
        <v>8470000</v>
      </c>
      <c r="I30" s="8">
        <f t="shared" si="15"/>
        <v>8.4700000000000006</v>
      </c>
      <c r="J30" s="10">
        <f t="shared" si="4"/>
        <v>26.0029</v>
      </c>
      <c r="K30" s="7">
        <f>'[1]Production Summary'!T62</f>
        <v>888835</v>
      </c>
      <c r="L30" s="8">
        <f t="shared" si="17"/>
        <v>8.8883500000000004E-2</v>
      </c>
      <c r="M30" s="10">
        <f t="shared" si="6"/>
        <v>0.27287234500000002</v>
      </c>
      <c r="N30" s="21"/>
      <c r="O30" s="7">
        <f>'[1]Production Summary'!J62</f>
        <v>5566451</v>
      </c>
      <c r="P30" s="8">
        <f t="shared" si="18"/>
        <v>5.5664509999999998</v>
      </c>
      <c r="Q30" s="10">
        <f t="shared" si="8"/>
        <v>17.08900457</v>
      </c>
      <c r="R30" s="7">
        <f>'[1]Production Summary'!AE62</f>
        <v>2028679</v>
      </c>
      <c r="S30" s="8">
        <f t="shared" si="19"/>
        <v>2.0286789999999999</v>
      </c>
      <c r="T30" s="10">
        <f t="shared" si="10"/>
        <v>6.2280445299999991</v>
      </c>
      <c r="U30" s="7">
        <f>'[1]Production Summary'!AF62</f>
        <v>4171682</v>
      </c>
      <c r="V30" s="8">
        <f t="shared" si="11"/>
        <v>4.1716819999999997</v>
      </c>
      <c r="W30" s="10">
        <f t="shared" si="12"/>
        <v>12.807063739999998</v>
      </c>
      <c r="X30" s="7">
        <f>'[1]Production Summary'!AJ62</f>
        <v>220083</v>
      </c>
      <c r="Y30" s="8">
        <f t="shared" si="13"/>
        <v>0.220083</v>
      </c>
      <c r="Z30" s="10">
        <f t="shared" si="14"/>
        <v>0.67565480999999994</v>
      </c>
      <c r="AA30" s="15"/>
      <c r="AB30" s="7">
        <f t="shared" si="16"/>
        <v>12856451.000000078</v>
      </c>
      <c r="AC30" s="8">
        <f t="shared" si="16"/>
        <v>12.856451000000078</v>
      </c>
      <c r="AD30" s="8">
        <f>D30+Q30</f>
        <v>39.469304570000233</v>
      </c>
    </row>
    <row r="31" spans="1:30" x14ac:dyDescent="0.2">
      <c r="A31" s="1">
        <v>43066</v>
      </c>
      <c r="B31" s="7">
        <f>'[1]Production Summary'!K63</f>
        <v>4709999.9999999227</v>
      </c>
      <c r="C31" s="8">
        <f t="shared" si="0"/>
        <v>4.7099999999999227</v>
      </c>
      <c r="D31" s="10">
        <f t="shared" si="1"/>
        <v>14.459699999999762</v>
      </c>
      <c r="E31" s="7">
        <f>'[1]Production Summary'!O63</f>
        <v>0</v>
      </c>
      <c r="F31" s="8">
        <f t="shared" si="2"/>
        <v>0</v>
      </c>
      <c r="G31" s="10">
        <f t="shared" si="3"/>
        <v>0</v>
      </c>
      <c r="H31" s="7">
        <f>'[1]Production Summary'!Q63</f>
        <v>5900000</v>
      </c>
      <c r="I31" s="8">
        <f t="shared" si="15"/>
        <v>5.9</v>
      </c>
      <c r="J31" s="10">
        <f t="shared" si="4"/>
        <v>18.113</v>
      </c>
      <c r="K31" s="7">
        <f>'[1]Production Summary'!T63</f>
        <v>595826</v>
      </c>
      <c r="L31" s="8">
        <f t="shared" si="17"/>
        <v>5.9582599999999999E-2</v>
      </c>
      <c r="M31" s="10">
        <f t="shared" si="6"/>
        <v>0.182918582</v>
      </c>
      <c r="N31" s="21"/>
      <c r="O31" s="7">
        <f>'[1]Production Summary'!J63</f>
        <v>8581593</v>
      </c>
      <c r="P31" s="8">
        <f t="shared" si="18"/>
        <v>8.5815929999999998</v>
      </c>
      <c r="Q31" s="10">
        <f t="shared" si="8"/>
        <v>26.345490509999998</v>
      </c>
      <c r="R31" s="7">
        <f>'[1]Production Summary'!AE63</f>
        <v>2968755</v>
      </c>
      <c r="S31" s="8">
        <f t="shared" si="19"/>
        <v>2.9687549999999998</v>
      </c>
      <c r="T31" s="10">
        <f t="shared" si="10"/>
        <v>9.1140778499999993</v>
      </c>
      <c r="U31" s="7">
        <f>'[1]Production Summary'!AF63</f>
        <v>5568221</v>
      </c>
      <c r="V31" s="8">
        <f t="shared" si="11"/>
        <v>5.5682210000000003</v>
      </c>
      <c r="W31" s="10">
        <f t="shared" si="12"/>
        <v>17.09443847</v>
      </c>
      <c r="X31" s="7">
        <f>'[1]Production Summary'!AJ63</f>
        <v>78856</v>
      </c>
      <c r="Y31" s="8">
        <f t="shared" si="13"/>
        <v>7.8855999999999996E-2</v>
      </c>
      <c r="Z31" s="10">
        <f t="shared" si="14"/>
        <v>0.24208791999999998</v>
      </c>
      <c r="AA31" s="15"/>
      <c r="AB31" s="7">
        <f t="shared" si="16"/>
        <v>13291592.999999922</v>
      </c>
      <c r="AC31" s="8">
        <f t="shared" si="16"/>
        <v>13.291592999999922</v>
      </c>
      <c r="AD31" s="8">
        <f t="shared" si="16"/>
        <v>40.805190509999761</v>
      </c>
    </row>
    <row r="32" spans="1:30" x14ac:dyDescent="0.2">
      <c r="A32" s="1">
        <v>43067</v>
      </c>
      <c r="B32" s="7">
        <f>'[1]Production Summary'!K64</f>
        <v>4530000.0000000866</v>
      </c>
      <c r="C32" s="8">
        <f t="shared" si="0"/>
        <v>4.5300000000000864</v>
      </c>
      <c r="D32" s="10">
        <f t="shared" si="1"/>
        <v>13.907100000000264</v>
      </c>
      <c r="E32" s="7">
        <f>'[1]Production Summary'!O64</f>
        <v>0</v>
      </c>
      <c r="F32" s="8">
        <f t="shared" si="2"/>
        <v>0</v>
      </c>
      <c r="G32" s="10">
        <f t="shared" si="3"/>
        <v>0</v>
      </c>
      <c r="H32" s="7">
        <f>'[1]Production Summary'!Q64</f>
        <v>5510000</v>
      </c>
      <c r="I32" s="8">
        <f t="shared" si="15"/>
        <v>5.51</v>
      </c>
      <c r="J32" s="10">
        <f t="shared" si="4"/>
        <v>16.915699999999998</v>
      </c>
      <c r="K32" s="7">
        <f>'[1]Production Summary'!T64</f>
        <v>544807</v>
      </c>
      <c r="L32" s="8">
        <f t="shared" si="17"/>
        <v>5.44807E-2</v>
      </c>
      <c r="M32" s="10">
        <f t="shared" si="6"/>
        <v>0.16725574899999998</v>
      </c>
      <c r="N32" s="21"/>
      <c r="O32" s="7">
        <f>'[1]Production Summary'!J64</f>
        <v>6255232</v>
      </c>
      <c r="P32" s="8">
        <f t="shared" si="18"/>
        <v>6.2552320000000003</v>
      </c>
      <c r="Q32" s="10">
        <f t="shared" si="8"/>
        <v>19.20356224</v>
      </c>
      <c r="R32" s="7">
        <f>'[1]Production Summary'!AE64</f>
        <v>2646423</v>
      </c>
      <c r="S32" s="8">
        <f t="shared" si="19"/>
        <v>2.646423</v>
      </c>
      <c r="T32" s="10">
        <f t="shared" si="10"/>
        <v>8.1245186099999991</v>
      </c>
      <c r="U32" s="7">
        <f>'[1]Production Summary'!AF64</f>
        <v>3604806</v>
      </c>
      <c r="V32" s="8">
        <f t="shared" si="11"/>
        <v>3.604806</v>
      </c>
      <c r="W32" s="10">
        <f t="shared" si="12"/>
        <v>11.066754419999999</v>
      </c>
      <c r="X32" s="7">
        <f>'[1]Production Summary'!AJ64</f>
        <v>0</v>
      </c>
      <c r="Y32" s="8">
        <f t="shared" si="13"/>
        <v>0</v>
      </c>
      <c r="Z32" s="10">
        <f t="shared" si="14"/>
        <v>0</v>
      </c>
      <c r="AA32" s="15"/>
      <c r="AB32" s="7">
        <f t="shared" si="16"/>
        <v>10785232.000000086</v>
      </c>
      <c r="AC32" s="8">
        <f t="shared" si="16"/>
        <v>10.785232000000086</v>
      </c>
      <c r="AD32" s="8">
        <f t="shared" si="16"/>
        <v>33.110662240000266</v>
      </c>
    </row>
    <row r="33" spans="1:30" x14ac:dyDescent="0.2">
      <c r="A33" s="1">
        <v>43068</v>
      </c>
      <c r="B33" s="7">
        <f>'[1]Production Summary'!K65</f>
        <v>4230000.0000000186</v>
      </c>
      <c r="C33" s="8">
        <f t="shared" si="0"/>
        <v>4.2300000000000182</v>
      </c>
      <c r="D33" s="10">
        <f t="shared" si="1"/>
        <v>12.986100000000055</v>
      </c>
      <c r="E33" s="7">
        <f>'[1]Production Summary'!O65</f>
        <v>0</v>
      </c>
      <c r="F33" s="8">
        <f t="shared" si="2"/>
        <v>0</v>
      </c>
      <c r="G33" s="10">
        <f t="shared" si="3"/>
        <v>0</v>
      </c>
      <c r="H33" s="7">
        <f>'[1]Production Summary'!Q65</f>
        <v>5540000</v>
      </c>
      <c r="I33" s="8">
        <f t="shared" si="15"/>
        <v>5.54</v>
      </c>
      <c r="J33" s="10">
        <f t="shared" si="4"/>
        <v>17.0078</v>
      </c>
      <c r="K33" s="7">
        <f>'[1]Production Summary'!T65</f>
        <v>663467</v>
      </c>
      <c r="L33" s="8">
        <f t="shared" si="17"/>
        <v>6.6346699999999995E-2</v>
      </c>
      <c r="M33" s="10">
        <f t="shared" si="6"/>
        <v>0.20368436899999998</v>
      </c>
      <c r="N33" s="21"/>
      <c r="O33" s="7">
        <f>'[1]Production Summary'!J65</f>
        <v>6392703</v>
      </c>
      <c r="P33" s="8">
        <f t="shared" si="18"/>
        <v>6.392703</v>
      </c>
      <c r="Q33" s="10">
        <f t="shared" si="8"/>
        <v>19.62559821</v>
      </c>
      <c r="R33" s="7">
        <f>'[1]Production Summary'!AE65</f>
        <v>2684667</v>
      </c>
      <c r="S33" s="8">
        <f t="shared" si="19"/>
        <v>2.6846670000000001</v>
      </c>
      <c r="T33" s="10">
        <f t="shared" si="10"/>
        <v>8.2419276900000007</v>
      </c>
      <c r="U33" s="7">
        <f>'[1]Production Summary'!AF65</f>
        <v>4174544</v>
      </c>
      <c r="V33" s="8">
        <f t="shared" si="11"/>
        <v>4.174544</v>
      </c>
      <c r="W33" s="10">
        <f t="shared" si="12"/>
        <v>12.815850079999999</v>
      </c>
      <c r="X33" s="7">
        <f>'[1]Production Summary'!AJ65</f>
        <v>287000</v>
      </c>
      <c r="Y33" s="8">
        <f t="shared" si="13"/>
        <v>0.28699999999999998</v>
      </c>
      <c r="Z33" s="10">
        <f t="shared" si="14"/>
        <v>0.88108999999999993</v>
      </c>
      <c r="AA33" s="15"/>
      <c r="AB33" s="7">
        <f t="shared" si="16"/>
        <v>10622703.000000019</v>
      </c>
      <c r="AC33" s="8">
        <f t="shared" si="16"/>
        <v>10.622703000000019</v>
      </c>
      <c r="AD33" s="8">
        <f t="shared" si="16"/>
        <v>32.611698210000057</v>
      </c>
    </row>
    <row r="34" spans="1:30" ht="13.5" thickBot="1" x14ac:dyDescent="0.25">
      <c r="A34" s="1">
        <v>43069</v>
      </c>
      <c r="B34" s="7">
        <f>'[1]Production Summary'!K66</f>
        <v>4289999.9999999637</v>
      </c>
      <c r="C34" s="8">
        <f t="shared" si="0"/>
        <v>4.2899999999999636</v>
      </c>
      <c r="D34" s="10">
        <f t="shared" si="1"/>
        <v>13.170299999999887</v>
      </c>
      <c r="E34" s="7">
        <f>'[1]Production Summary'!O66</f>
        <v>0</v>
      </c>
      <c r="F34" s="8">
        <f t="shared" si="2"/>
        <v>0</v>
      </c>
      <c r="G34" s="10">
        <f t="shared" si="3"/>
        <v>0</v>
      </c>
      <c r="H34" s="7">
        <f>'[1]Production Summary'!Q66</f>
        <v>3440000</v>
      </c>
      <c r="I34" s="8">
        <f t="shared" si="15"/>
        <v>3.44</v>
      </c>
      <c r="J34" s="10">
        <f t="shared" si="4"/>
        <v>10.560799999999999</v>
      </c>
      <c r="K34" s="7">
        <f>'[1]Production Summary'!T66</f>
        <v>321265</v>
      </c>
      <c r="L34" s="8">
        <f t="shared" si="17"/>
        <v>3.2126500000000002E-2</v>
      </c>
      <c r="M34" s="10">
        <f t="shared" si="6"/>
        <v>9.8628355000000001E-2</v>
      </c>
      <c r="N34" s="21"/>
      <c r="O34" s="7">
        <f>'[1]Production Summary'!J66</f>
        <v>9304698</v>
      </c>
      <c r="P34" s="8">
        <f t="shared" si="18"/>
        <v>9.3046980000000001</v>
      </c>
      <c r="Q34" s="10">
        <f t="shared" si="8"/>
        <v>28.565422859999998</v>
      </c>
      <c r="R34" s="7">
        <f>'[1]Production Summary'!AE66</f>
        <v>3635702</v>
      </c>
      <c r="S34" s="8">
        <f t="shared" si="19"/>
        <v>3.6357020000000002</v>
      </c>
      <c r="T34" s="10">
        <f t="shared" si="10"/>
        <v>11.161605140000001</v>
      </c>
      <c r="U34" s="7">
        <f>'[1]Production Summary'!AF66</f>
        <v>6216606</v>
      </c>
      <c r="V34" s="8">
        <f t="shared" si="11"/>
        <v>6.2166059999999996</v>
      </c>
      <c r="W34" s="10">
        <f t="shared" si="12"/>
        <v>19.084980419999997</v>
      </c>
      <c r="X34" s="7">
        <f>'[1]Production Summary'!AJ66</f>
        <v>78226</v>
      </c>
      <c r="Y34" s="8">
        <f t="shared" si="13"/>
        <v>7.8226000000000004E-2</v>
      </c>
      <c r="Z34" s="10">
        <f t="shared" si="14"/>
        <v>0.24015381999999999</v>
      </c>
      <c r="AA34" s="15"/>
      <c r="AB34" s="7">
        <f t="shared" si="16"/>
        <v>13594697.999999963</v>
      </c>
      <c r="AC34" s="8">
        <f t="shared" si="16"/>
        <v>13.594697999999964</v>
      </c>
      <c r="AD34" s="8">
        <f t="shared" si="16"/>
        <v>41.735722859999882</v>
      </c>
    </row>
    <row r="35" spans="1:30" ht="13.5" thickBot="1" x14ac:dyDescent="0.25">
      <c r="A35" s="20"/>
      <c r="B35" s="37"/>
      <c r="C35" s="38">
        <f>SUM(C5:C34)</f>
        <v>176.93</v>
      </c>
      <c r="D35" s="38">
        <f>SUM(D5:D34)</f>
        <v>543.17510000000004</v>
      </c>
      <c r="E35" s="37"/>
      <c r="F35" s="38">
        <f>SUM(F5:F34)</f>
        <v>128</v>
      </c>
      <c r="G35" s="38">
        <f>SUM(G5:G34)</f>
        <v>392.96</v>
      </c>
      <c r="H35" s="37"/>
      <c r="I35" s="38">
        <f>SUM(I5:I34)</f>
        <v>75.930000000000007</v>
      </c>
      <c r="J35" s="38">
        <f>SUM(J5:J34)</f>
        <v>233.10509999999999</v>
      </c>
      <c r="K35" s="37">
        <f>'[1]Production Summary'!T67</f>
        <v>167634</v>
      </c>
      <c r="L35" s="38">
        <f>SUM(L5:L34)</f>
        <v>1.7013906000000001</v>
      </c>
      <c r="M35" s="38">
        <f>SUM(M5:M34)</f>
        <v>5.2232691419999986</v>
      </c>
      <c r="N35" s="14"/>
      <c r="O35" s="37"/>
      <c r="P35" s="38">
        <f>SUM(P5:P34)</f>
        <v>195.56663200000003</v>
      </c>
      <c r="Q35" s="38">
        <f>SUM(Q5:Q34)</f>
        <v>600.38956024000004</v>
      </c>
      <c r="R35" s="37"/>
      <c r="S35" s="38">
        <f>SUM(S5:S34)</f>
        <v>31.144855</v>
      </c>
      <c r="T35" s="38">
        <f>SUM(T5:T34)</f>
        <v>95.614704849999995</v>
      </c>
      <c r="U35" s="37"/>
      <c r="V35" s="38">
        <f>SUM(V5:V34)</f>
        <v>177.487785</v>
      </c>
      <c r="W35" s="38">
        <f>SUM(W5:W34)</f>
        <v>544.88749995000001</v>
      </c>
      <c r="X35" s="37"/>
      <c r="Y35" s="38">
        <f>SUM(Y5:Y34)</f>
        <v>3.8360689999999997</v>
      </c>
      <c r="Z35" s="38">
        <f>SUM(Z5:Z34)</f>
        <v>11.776731829999997</v>
      </c>
      <c r="AA35" s="14"/>
      <c r="AB35" s="37">
        <f t="shared" si="16"/>
        <v>0</v>
      </c>
      <c r="AC35" s="38">
        <f t="shared" si="16"/>
        <v>372.49663200000003</v>
      </c>
      <c r="AD35" s="38">
        <f t="shared" si="16"/>
        <v>1143.5646602400002</v>
      </c>
    </row>
    <row r="36" spans="1:30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7"/>
  <sheetViews>
    <sheetView workbookViewId="0">
      <pane xSplit="1" ySplit="4" topLeftCell="I20" activePane="bottomRight" state="frozen"/>
      <selection pane="topRight" activeCell="B1" sqref="B1"/>
      <selection pane="bottomLeft" activeCell="A5" sqref="A5"/>
      <selection pane="bottomRight" activeCell="K34" sqref="K34"/>
    </sheetView>
  </sheetViews>
  <sheetFormatPr defaultRowHeight="12.75" x14ac:dyDescent="0.2"/>
  <cols>
    <col min="2" max="2" width="14.42578125" bestFit="1" customWidth="1"/>
    <col min="5" max="5" width="11" customWidth="1"/>
    <col min="8" max="8" width="13.42578125" bestFit="1" customWidth="1"/>
    <col min="11" max="11" width="10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39"/>
      <c r="C1" s="25"/>
      <c r="D1" s="25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31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52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1">
        <v>43070</v>
      </c>
      <c r="B5" s="7">
        <f>'[1]Production Summary'!K67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'[1]Production Summary'!O67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'[1]Production Summary'!Q67</f>
        <v>0</v>
      </c>
      <c r="I5" s="8">
        <f t="shared" ref="I5:I33" si="4">H5/1000000</f>
        <v>0</v>
      </c>
      <c r="J5" s="10">
        <f t="shared" ref="J5:J35" si="5">I5*3.07</f>
        <v>0</v>
      </c>
      <c r="K5" s="7">
        <f>'[1]Production Summary'!T67</f>
        <v>167634</v>
      </c>
      <c r="L5" s="8">
        <f t="shared" ref="L5:L35" si="6">K5/1000000</f>
        <v>0.16763400000000001</v>
      </c>
      <c r="M5" s="10">
        <f t="shared" ref="M5:M35" si="7">L5*3.07</f>
        <v>0.51463638</v>
      </c>
      <c r="N5" s="52"/>
      <c r="O5" s="7">
        <f>'[1]Production Summary'!J67</f>
        <v>12152879</v>
      </c>
      <c r="P5" s="8">
        <f t="shared" ref="P5:P35" si="8">O5/1000000</f>
        <v>12.152879</v>
      </c>
      <c r="Q5" s="10">
        <f t="shared" ref="Q5:Q35" si="9">P5*3.07</f>
        <v>37.309338529999998</v>
      </c>
      <c r="R5" s="7">
        <f>'[1]Production Summary'!AE67</f>
        <v>3625230</v>
      </c>
      <c r="S5" s="8">
        <f t="shared" ref="S5:S35" si="10">R5/1000000</f>
        <v>3.6252300000000002</v>
      </c>
      <c r="T5" s="10">
        <f t="shared" ref="T5:T35" si="11">S5*3.07</f>
        <v>11.129456100000001</v>
      </c>
      <c r="U5" s="7">
        <f>'[1]Production Summary'!AF67</f>
        <v>8434646</v>
      </c>
      <c r="V5" s="8">
        <f t="shared" ref="V5:V35" si="12">U5/1000000</f>
        <v>8.4346460000000008</v>
      </c>
      <c r="W5" s="10">
        <f t="shared" ref="W5:W35" si="13">V5*3.07</f>
        <v>25.894363220000002</v>
      </c>
      <c r="X5" s="7">
        <f>'[1]Production Summary'!AJ67</f>
        <v>0</v>
      </c>
      <c r="Y5" s="8">
        <f t="shared" ref="Y5:Y35" si="14">X5/1000000</f>
        <v>0</v>
      </c>
      <c r="Z5" s="10">
        <f t="shared" ref="Z5:Z35" si="15">Y5*3.07</f>
        <v>0</v>
      </c>
      <c r="AA5" s="15"/>
      <c r="AB5" s="7">
        <f>B5+O5</f>
        <v>12152879</v>
      </c>
      <c r="AC5" s="8">
        <f>C5+P5</f>
        <v>12.152879</v>
      </c>
      <c r="AD5" s="8">
        <f>D5+Q5</f>
        <v>37.309338529999998</v>
      </c>
    </row>
    <row r="6" spans="1:30" x14ac:dyDescent="0.2">
      <c r="A6" s="1">
        <v>43071</v>
      </c>
      <c r="B6" s="7">
        <f>'[1]Production Summary'!K68</f>
        <v>0</v>
      </c>
      <c r="C6" s="8">
        <f t="shared" si="0"/>
        <v>0</v>
      </c>
      <c r="D6" s="10">
        <f t="shared" si="1"/>
        <v>0</v>
      </c>
      <c r="E6" s="7">
        <f>'[1]Production Summary'!O68</f>
        <v>0</v>
      </c>
      <c r="F6" s="8">
        <f t="shared" si="2"/>
        <v>0</v>
      </c>
      <c r="G6" s="10">
        <f t="shared" si="3"/>
        <v>0</v>
      </c>
      <c r="H6" s="7">
        <f>'[1]Production Summary'!Q68</f>
        <v>0</v>
      </c>
      <c r="I6" s="8">
        <f t="shared" si="4"/>
        <v>0</v>
      </c>
      <c r="J6" s="10">
        <f t="shared" si="5"/>
        <v>0</v>
      </c>
      <c r="K6" s="7">
        <f>'[1]Production Summary'!T68</f>
        <v>6382</v>
      </c>
      <c r="L6" s="8">
        <f t="shared" si="6"/>
        <v>6.3819999999999997E-3</v>
      </c>
      <c r="M6" s="10">
        <f t="shared" si="7"/>
        <v>1.9592739999999997E-2</v>
      </c>
      <c r="N6" s="52"/>
      <c r="O6" s="7">
        <f>'[1]Production Summary'!J68</f>
        <v>11436341</v>
      </c>
      <c r="P6" s="8">
        <f t="shared" si="8"/>
        <v>11.436341000000001</v>
      </c>
      <c r="Q6" s="10">
        <f t="shared" si="9"/>
        <v>35.109566870000002</v>
      </c>
      <c r="R6" s="7">
        <f>'[1]Production Summary'!AE68</f>
        <v>3576507</v>
      </c>
      <c r="S6" s="8">
        <f t="shared" si="10"/>
        <v>3.5765069999999999</v>
      </c>
      <c r="T6" s="10">
        <f t="shared" si="11"/>
        <v>10.979876489999999</v>
      </c>
      <c r="U6" s="7">
        <f>'[1]Production Summary'!AF68</f>
        <v>8343327</v>
      </c>
      <c r="V6" s="8">
        <f t="shared" si="12"/>
        <v>8.3433270000000004</v>
      </c>
      <c r="W6" s="10">
        <f t="shared" si="13"/>
        <v>25.614013889999999</v>
      </c>
      <c r="X6" s="7">
        <f>'[1]Production Summary'!AJ68</f>
        <v>319193</v>
      </c>
      <c r="Y6" s="8">
        <f t="shared" si="14"/>
        <v>0.319193</v>
      </c>
      <c r="Z6" s="10">
        <f t="shared" si="15"/>
        <v>0.97992250999999997</v>
      </c>
      <c r="AA6" s="15"/>
      <c r="AB6" s="7">
        <f t="shared" ref="AB6:AD35" si="16">B6+O6</f>
        <v>11436341</v>
      </c>
      <c r="AC6" s="8">
        <f t="shared" si="16"/>
        <v>11.436341000000001</v>
      </c>
      <c r="AD6" s="8">
        <f t="shared" si="16"/>
        <v>35.109566870000002</v>
      </c>
    </row>
    <row r="7" spans="1:30" x14ac:dyDescent="0.2">
      <c r="A7" s="1">
        <v>43072</v>
      </c>
      <c r="B7" s="7">
        <f>'[1]Production Summary'!K69</f>
        <v>0</v>
      </c>
      <c r="C7" s="8">
        <f t="shared" si="0"/>
        <v>0</v>
      </c>
      <c r="D7" s="10">
        <f t="shared" si="1"/>
        <v>0</v>
      </c>
      <c r="E7" s="7">
        <f>'[1]Production Summary'!O69</f>
        <v>0</v>
      </c>
      <c r="F7" s="8">
        <f t="shared" si="2"/>
        <v>0</v>
      </c>
      <c r="G7" s="10">
        <f t="shared" si="3"/>
        <v>0</v>
      </c>
      <c r="H7" s="7">
        <f>'[1]Production Summary'!Q69</f>
        <v>0</v>
      </c>
      <c r="I7" s="8">
        <f t="shared" si="4"/>
        <v>0</v>
      </c>
      <c r="J7" s="10">
        <f t="shared" si="5"/>
        <v>0</v>
      </c>
      <c r="K7" s="7">
        <f>'[1]Production Summary'!T69</f>
        <v>6382</v>
      </c>
      <c r="L7" s="8">
        <f t="shared" si="6"/>
        <v>6.3819999999999997E-3</v>
      </c>
      <c r="M7" s="10">
        <f t="shared" si="7"/>
        <v>1.9592739999999997E-2</v>
      </c>
      <c r="N7" s="52"/>
      <c r="O7" s="7">
        <f>'[1]Production Summary'!J69</f>
        <v>11829970</v>
      </c>
      <c r="P7" s="8">
        <f t="shared" si="8"/>
        <v>11.829969999999999</v>
      </c>
      <c r="Q7" s="10">
        <f t="shared" si="9"/>
        <v>36.318007899999998</v>
      </c>
      <c r="R7" s="7">
        <f>'[1]Production Summary'!AE69</f>
        <v>3564314</v>
      </c>
      <c r="S7" s="8">
        <f t="shared" si="10"/>
        <v>3.564314</v>
      </c>
      <c r="T7" s="10">
        <f t="shared" si="11"/>
        <v>10.94244398</v>
      </c>
      <c r="U7" s="7">
        <f>'[1]Production Summary'!AF69</f>
        <v>8347206</v>
      </c>
      <c r="V7" s="8">
        <f t="shared" si="12"/>
        <v>8.3472059999999999</v>
      </c>
      <c r="W7" s="10">
        <f t="shared" si="13"/>
        <v>25.625922419999998</v>
      </c>
      <c r="X7" s="7">
        <f>'[1]Production Summary'!AJ69</f>
        <v>68839</v>
      </c>
      <c r="Y7" s="8">
        <f t="shared" si="14"/>
        <v>6.8838999999999997E-2</v>
      </c>
      <c r="Z7" s="10">
        <f t="shared" si="15"/>
        <v>0.21133572999999997</v>
      </c>
      <c r="AA7" s="15"/>
      <c r="AB7" s="7">
        <f t="shared" si="16"/>
        <v>11829970</v>
      </c>
      <c r="AC7" s="8">
        <f t="shared" si="16"/>
        <v>11.829969999999999</v>
      </c>
      <c r="AD7" s="8">
        <f t="shared" si="16"/>
        <v>36.318007899999998</v>
      </c>
    </row>
    <row r="8" spans="1:30" x14ac:dyDescent="0.2">
      <c r="A8" s="1">
        <v>43073</v>
      </c>
      <c r="B8" s="7">
        <f>'[1]Production Summary'!K70</f>
        <v>0</v>
      </c>
      <c r="C8" s="8">
        <f t="shared" si="0"/>
        <v>0</v>
      </c>
      <c r="D8" s="10">
        <f t="shared" si="1"/>
        <v>0</v>
      </c>
      <c r="E8" s="7">
        <f>'[1]Production Summary'!O70</f>
        <v>0</v>
      </c>
      <c r="F8" s="8">
        <f t="shared" si="2"/>
        <v>0</v>
      </c>
      <c r="G8" s="10">
        <f t="shared" si="3"/>
        <v>0</v>
      </c>
      <c r="H8" s="7">
        <f>'[1]Production Summary'!Q70</f>
        <v>0</v>
      </c>
      <c r="I8" s="8">
        <f t="shared" si="4"/>
        <v>0</v>
      </c>
      <c r="J8" s="10">
        <f t="shared" si="5"/>
        <v>0</v>
      </c>
      <c r="K8" s="7">
        <f>'[1]Production Summary'!T70</f>
        <v>60502</v>
      </c>
      <c r="L8" s="8">
        <f t="shared" si="6"/>
        <v>6.0502E-2</v>
      </c>
      <c r="M8" s="10">
        <f t="shared" si="7"/>
        <v>0.18574114</v>
      </c>
      <c r="N8" s="52"/>
      <c r="O8" s="7">
        <f>'[1]Production Summary'!J70</f>
        <v>13081865</v>
      </c>
      <c r="P8" s="8">
        <f t="shared" si="8"/>
        <v>13.081865000000001</v>
      </c>
      <c r="Q8" s="10">
        <f t="shared" si="9"/>
        <v>40.161325550000001</v>
      </c>
      <c r="R8" s="7">
        <f>'[1]Production Summary'!AE70</f>
        <v>3963257</v>
      </c>
      <c r="S8" s="8">
        <f t="shared" si="10"/>
        <v>3.963257</v>
      </c>
      <c r="T8" s="10">
        <f t="shared" si="11"/>
        <v>12.167198989999999</v>
      </c>
      <c r="U8" s="7">
        <f>'[1]Production Summary'!AF70</f>
        <v>9261169</v>
      </c>
      <c r="V8" s="8">
        <f t="shared" si="12"/>
        <v>9.2611690000000007</v>
      </c>
      <c r="W8" s="10">
        <f t="shared" si="13"/>
        <v>28.431788830000002</v>
      </c>
      <c r="X8" s="7">
        <f>'[1]Production Summary'!AJ70</f>
        <v>50523</v>
      </c>
      <c r="Y8" s="8">
        <f t="shared" si="14"/>
        <v>5.0522999999999998E-2</v>
      </c>
      <c r="Z8" s="10">
        <f t="shared" si="15"/>
        <v>0.15510560999999998</v>
      </c>
      <c r="AA8" s="15"/>
      <c r="AB8" s="7">
        <f t="shared" si="16"/>
        <v>13081865</v>
      </c>
      <c r="AC8" s="8">
        <f t="shared" si="16"/>
        <v>13.081865000000001</v>
      </c>
      <c r="AD8" s="8">
        <f>D8+Q8</f>
        <v>40.161325550000001</v>
      </c>
    </row>
    <row r="9" spans="1:30" x14ac:dyDescent="0.2">
      <c r="A9" s="1">
        <v>43074</v>
      </c>
      <c r="B9" s="7">
        <f>'[1]Production Summary'!K71</f>
        <v>0</v>
      </c>
      <c r="C9" s="8">
        <f t="shared" si="0"/>
        <v>0</v>
      </c>
      <c r="D9" s="10">
        <f t="shared" si="1"/>
        <v>0</v>
      </c>
      <c r="E9" s="7">
        <f>'[1]Production Summary'!O71</f>
        <v>0</v>
      </c>
      <c r="F9" s="8">
        <f t="shared" si="2"/>
        <v>0</v>
      </c>
      <c r="G9" s="10">
        <f t="shared" si="3"/>
        <v>0</v>
      </c>
      <c r="H9" s="7">
        <f>'[1]Production Summary'!Q71</f>
        <v>0</v>
      </c>
      <c r="I9" s="8">
        <f t="shared" si="4"/>
        <v>0</v>
      </c>
      <c r="J9" s="10">
        <f t="shared" si="5"/>
        <v>0</v>
      </c>
      <c r="K9" s="7">
        <f>'[1]Production Summary'!T71</f>
        <v>134260</v>
      </c>
      <c r="L9" s="8">
        <f t="shared" si="6"/>
        <v>0.13425999999999999</v>
      </c>
      <c r="M9" s="10">
        <f t="shared" si="7"/>
        <v>0.41217819999999994</v>
      </c>
      <c r="N9" s="52"/>
      <c r="O9" s="7">
        <f>'[1]Production Summary'!J71</f>
        <v>12265608</v>
      </c>
      <c r="P9" s="8">
        <f t="shared" si="8"/>
        <v>12.265608</v>
      </c>
      <c r="Q9" s="10">
        <f t="shared" si="9"/>
        <v>37.655416559999999</v>
      </c>
      <c r="R9" s="7">
        <f>'[1]Production Summary'!AE71</f>
        <v>3816379</v>
      </c>
      <c r="S9" s="8">
        <f t="shared" si="10"/>
        <v>3.816379</v>
      </c>
      <c r="T9" s="10">
        <f t="shared" si="11"/>
        <v>11.71628353</v>
      </c>
      <c r="U9" s="7">
        <f>'[1]Production Summary'!AF71</f>
        <v>8855497</v>
      </c>
      <c r="V9" s="8">
        <f t="shared" si="12"/>
        <v>8.8554969999999997</v>
      </c>
      <c r="W9" s="10">
        <f t="shared" si="13"/>
        <v>27.186375789999996</v>
      </c>
      <c r="X9" s="7">
        <f>'[1]Production Summary'!AJ71</f>
        <v>293029</v>
      </c>
      <c r="Y9" s="8">
        <f t="shared" si="14"/>
        <v>0.29302899999999998</v>
      </c>
      <c r="Z9" s="10">
        <f t="shared" si="15"/>
        <v>0.89959902999999986</v>
      </c>
      <c r="AA9" s="15"/>
      <c r="AB9" s="7">
        <f t="shared" si="16"/>
        <v>12265608</v>
      </c>
      <c r="AC9" s="8">
        <f t="shared" si="16"/>
        <v>12.265608</v>
      </c>
      <c r="AD9" s="8">
        <f t="shared" si="16"/>
        <v>37.655416559999999</v>
      </c>
    </row>
    <row r="10" spans="1:30" x14ac:dyDescent="0.2">
      <c r="A10" s="1">
        <v>43075</v>
      </c>
      <c r="B10" s="7">
        <f>'[1]Production Summary'!K72</f>
        <v>0</v>
      </c>
      <c r="C10" s="8">
        <f t="shared" si="0"/>
        <v>0</v>
      </c>
      <c r="D10" s="10">
        <f t="shared" si="1"/>
        <v>0</v>
      </c>
      <c r="E10" s="7">
        <f>'[1]Production Summary'!O72</f>
        <v>0</v>
      </c>
      <c r="F10" s="8">
        <f t="shared" si="2"/>
        <v>0</v>
      </c>
      <c r="G10" s="10">
        <f t="shared" si="3"/>
        <v>0</v>
      </c>
      <c r="H10" s="7">
        <f>'[1]Production Summary'!Q72</f>
        <v>0</v>
      </c>
      <c r="I10" s="8">
        <f t="shared" si="4"/>
        <v>0</v>
      </c>
      <c r="J10" s="10">
        <f t="shared" si="5"/>
        <v>0</v>
      </c>
      <c r="K10" s="7">
        <f>'[1]Production Summary'!T72</f>
        <v>281626</v>
      </c>
      <c r="L10" s="8">
        <f t="shared" si="6"/>
        <v>0.28162599999999999</v>
      </c>
      <c r="M10" s="10">
        <f t="shared" si="7"/>
        <v>0.8645918199999999</v>
      </c>
      <c r="N10" s="52"/>
      <c r="O10" s="7">
        <f>'[1]Production Summary'!J72</f>
        <v>12390738.833333334</v>
      </c>
      <c r="P10" s="8">
        <f t="shared" si="8"/>
        <v>12.390738833333334</v>
      </c>
      <c r="Q10" s="10">
        <f t="shared" si="9"/>
        <v>38.039568218333329</v>
      </c>
      <c r="R10" s="7">
        <f>'[1]Production Summary'!AE72</f>
        <v>0</v>
      </c>
      <c r="S10" s="8">
        <f t="shared" si="10"/>
        <v>0</v>
      </c>
      <c r="T10" s="10">
        <f t="shared" si="11"/>
        <v>0</v>
      </c>
      <c r="U10" s="7">
        <f>'[1]Production Summary'!AF72</f>
        <v>0</v>
      </c>
      <c r="V10" s="8">
        <f t="shared" si="12"/>
        <v>0</v>
      </c>
      <c r="W10" s="10">
        <f t="shared" si="13"/>
        <v>0</v>
      </c>
      <c r="X10" s="7">
        <f>'[1]Production Summary'!AJ72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12390738.833333334</v>
      </c>
      <c r="AC10" s="8">
        <f t="shared" si="16"/>
        <v>12.390738833333334</v>
      </c>
      <c r="AD10" s="8">
        <f t="shared" si="16"/>
        <v>38.039568218333329</v>
      </c>
    </row>
    <row r="11" spans="1:30" x14ac:dyDescent="0.2">
      <c r="A11" s="1">
        <v>43076</v>
      </c>
      <c r="B11" s="7">
        <f>'[1]Production Summary'!K73</f>
        <v>0</v>
      </c>
      <c r="C11" s="8">
        <f t="shared" si="0"/>
        <v>0</v>
      </c>
      <c r="D11" s="10">
        <f t="shared" si="1"/>
        <v>0</v>
      </c>
      <c r="E11" s="7">
        <f>'[1]Production Summary'!O73</f>
        <v>0</v>
      </c>
      <c r="F11" s="8">
        <f t="shared" si="2"/>
        <v>0</v>
      </c>
      <c r="G11" s="10">
        <f t="shared" si="3"/>
        <v>0</v>
      </c>
      <c r="H11" s="7">
        <f>'[1]Production Summary'!Q73</f>
        <v>0</v>
      </c>
      <c r="I11" s="8">
        <f t="shared" si="4"/>
        <v>0</v>
      </c>
      <c r="J11" s="10">
        <f t="shared" si="5"/>
        <v>0</v>
      </c>
      <c r="K11" s="7">
        <f>'[1]Production Summary'!T73</f>
        <v>0</v>
      </c>
      <c r="L11" s="8">
        <f t="shared" si="6"/>
        <v>0</v>
      </c>
      <c r="M11" s="10">
        <f t="shared" si="7"/>
        <v>0</v>
      </c>
      <c r="N11" s="52"/>
      <c r="O11" s="7">
        <f>'[1]Production Summary'!J73</f>
        <v>12828196</v>
      </c>
      <c r="P11" s="8">
        <f t="shared" si="8"/>
        <v>12.828196</v>
      </c>
      <c r="Q11" s="10">
        <f t="shared" si="9"/>
        <v>39.382561719999998</v>
      </c>
      <c r="R11" s="7">
        <f>'[1]Production Summary'!AE73</f>
        <v>3910953</v>
      </c>
      <c r="S11" s="8">
        <f t="shared" si="10"/>
        <v>3.9109530000000001</v>
      </c>
      <c r="T11" s="10">
        <f t="shared" si="11"/>
        <v>12.00662571</v>
      </c>
      <c r="U11" s="7">
        <f>'[1]Production Summary'!AF73</f>
        <v>9052991</v>
      </c>
      <c r="V11" s="8">
        <f t="shared" si="12"/>
        <v>9.0529910000000005</v>
      </c>
      <c r="W11" s="10">
        <f t="shared" si="13"/>
        <v>27.792682370000001</v>
      </c>
      <c r="X11" s="7">
        <f>'[1]Production Summary'!AJ73</f>
        <v>197154</v>
      </c>
      <c r="Y11" s="8">
        <f t="shared" si="14"/>
        <v>0.197154</v>
      </c>
      <c r="Z11" s="10">
        <f t="shared" si="15"/>
        <v>0.60526278</v>
      </c>
      <c r="AA11" s="15"/>
      <c r="AB11" s="7">
        <f t="shared" si="16"/>
        <v>12828196</v>
      </c>
      <c r="AC11" s="8">
        <f t="shared" si="16"/>
        <v>12.828196</v>
      </c>
      <c r="AD11" s="8">
        <f t="shared" si="16"/>
        <v>39.382561719999998</v>
      </c>
    </row>
    <row r="12" spans="1:30" x14ac:dyDescent="0.2">
      <c r="A12" s="1">
        <v>43077</v>
      </c>
      <c r="B12" s="7">
        <f>'[1]Production Summary'!K74</f>
        <v>0</v>
      </c>
      <c r="C12" s="8">
        <f t="shared" si="0"/>
        <v>0</v>
      </c>
      <c r="D12" s="10">
        <f t="shared" si="1"/>
        <v>0</v>
      </c>
      <c r="E12" s="7">
        <f>'[1]Production Summary'!O74</f>
        <v>0</v>
      </c>
      <c r="F12" s="8">
        <f t="shared" si="2"/>
        <v>0</v>
      </c>
      <c r="G12" s="10">
        <f t="shared" si="3"/>
        <v>0</v>
      </c>
      <c r="H12" s="7">
        <f>'[1]Production Summary'!Q74</f>
        <v>0</v>
      </c>
      <c r="I12" s="8">
        <f t="shared" si="4"/>
        <v>0</v>
      </c>
      <c r="J12" s="10">
        <f t="shared" si="5"/>
        <v>0</v>
      </c>
      <c r="K12" s="7">
        <f>'[1]Production Summary'!T74</f>
        <v>0</v>
      </c>
      <c r="L12" s="8">
        <f t="shared" si="6"/>
        <v>0</v>
      </c>
      <c r="M12" s="10">
        <f t="shared" si="7"/>
        <v>0</v>
      </c>
      <c r="N12" s="52"/>
      <c r="O12" s="7">
        <f>'[1]Production Summary'!J74</f>
        <v>11646615</v>
      </c>
      <c r="P12" s="8">
        <f t="shared" si="8"/>
        <v>11.646615000000001</v>
      </c>
      <c r="Q12" s="10">
        <f t="shared" si="9"/>
        <v>35.755108049999997</v>
      </c>
      <c r="R12" s="7">
        <f>'[1]Production Summary'!AE74</f>
        <v>3672358</v>
      </c>
      <c r="S12" s="8">
        <f t="shared" si="10"/>
        <v>3.672358</v>
      </c>
      <c r="T12" s="10">
        <f t="shared" si="11"/>
        <v>11.27413906</v>
      </c>
      <c r="U12" s="7">
        <f>'[1]Production Summary'!AF74</f>
        <v>8464108</v>
      </c>
      <c r="V12" s="8">
        <f t="shared" si="12"/>
        <v>8.4641079999999995</v>
      </c>
      <c r="W12" s="10">
        <f t="shared" si="13"/>
        <v>25.984811559999997</v>
      </c>
      <c r="X12" s="7">
        <f>'[1]Production Summary'!AJ74</f>
        <v>211546</v>
      </c>
      <c r="Y12" s="8">
        <f t="shared" si="14"/>
        <v>0.21154600000000001</v>
      </c>
      <c r="Z12" s="10">
        <f t="shared" si="15"/>
        <v>0.64944621999999996</v>
      </c>
      <c r="AA12" s="15"/>
      <c r="AB12" s="7">
        <f t="shared" si="16"/>
        <v>11646615</v>
      </c>
      <c r="AC12" s="8">
        <f t="shared" si="16"/>
        <v>11.646615000000001</v>
      </c>
      <c r="AD12" s="8">
        <f t="shared" si="16"/>
        <v>35.755108049999997</v>
      </c>
    </row>
    <row r="13" spans="1:30" x14ac:dyDescent="0.2">
      <c r="A13" s="1">
        <v>43078</v>
      </c>
      <c r="B13" s="7">
        <f>'[1]Production Summary'!K75</f>
        <v>0</v>
      </c>
      <c r="C13" s="8">
        <f t="shared" si="0"/>
        <v>0</v>
      </c>
      <c r="D13" s="10">
        <f t="shared" si="1"/>
        <v>0</v>
      </c>
      <c r="E13" s="7">
        <f>'[1]Production Summary'!O75</f>
        <v>0</v>
      </c>
      <c r="F13" s="8">
        <f t="shared" si="2"/>
        <v>0</v>
      </c>
      <c r="G13" s="10">
        <f t="shared" si="3"/>
        <v>0</v>
      </c>
      <c r="H13" s="7">
        <f>'[1]Production Summary'!Q75</f>
        <v>0</v>
      </c>
      <c r="I13" s="8">
        <f t="shared" si="4"/>
        <v>0</v>
      </c>
      <c r="J13" s="10">
        <f t="shared" si="5"/>
        <v>0</v>
      </c>
      <c r="K13" s="7">
        <f>'[1]Production Summary'!T75</f>
        <v>6405</v>
      </c>
      <c r="L13" s="8">
        <f t="shared" si="6"/>
        <v>6.4050000000000001E-3</v>
      </c>
      <c r="M13" s="10">
        <f t="shared" si="7"/>
        <v>1.966335E-2</v>
      </c>
      <c r="N13" s="52"/>
      <c r="O13" s="7">
        <f>'[1]Production Summary'!J75</f>
        <v>11755179</v>
      </c>
      <c r="P13" s="8">
        <f t="shared" si="8"/>
        <v>11.755179</v>
      </c>
      <c r="Q13" s="10">
        <f t="shared" si="9"/>
        <v>36.088399529999997</v>
      </c>
      <c r="R13" s="7">
        <f>'[1]Production Summary'!AE75</f>
        <v>3540211</v>
      </c>
      <c r="S13" s="8">
        <f t="shared" si="10"/>
        <v>3.5402110000000002</v>
      </c>
      <c r="T13" s="10">
        <f t="shared" si="11"/>
        <v>10.86844777</v>
      </c>
      <c r="U13" s="7">
        <f>'[1]Production Summary'!AF75</f>
        <v>8259420</v>
      </c>
      <c r="V13" s="8">
        <f t="shared" si="12"/>
        <v>8.2594200000000004</v>
      </c>
      <c r="W13" s="10">
        <f t="shared" si="13"/>
        <v>25.3564194</v>
      </c>
      <c r="X13" s="7">
        <f>'[1]Production Summary'!AJ75</f>
        <v>115909</v>
      </c>
      <c r="Y13" s="8">
        <f t="shared" si="14"/>
        <v>0.115909</v>
      </c>
      <c r="Z13" s="10">
        <f t="shared" si="15"/>
        <v>0.35584062999999999</v>
      </c>
      <c r="AA13" s="15"/>
      <c r="AB13" s="7">
        <f t="shared" si="16"/>
        <v>11755179</v>
      </c>
      <c r="AC13" s="8">
        <f t="shared" si="16"/>
        <v>11.755179</v>
      </c>
      <c r="AD13" s="8">
        <f t="shared" si="16"/>
        <v>36.088399529999997</v>
      </c>
    </row>
    <row r="14" spans="1:30" x14ac:dyDescent="0.2">
      <c r="A14" s="1">
        <v>43079</v>
      </c>
      <c r="B14" s="7">
        <f>'[1]Production Summary'!K76</f>
        <v>0</v>
      </c>
      <c r="C14" s="8">
        <f t="shared" si="0"/>
        <v>0</v>
      </c>
      <c r="D14" s="10">
        <f t="shared" si="1"/>
        <v>0</v>
      </c>
      <c r="E14" s="7">
        <f>'[1]Production Summary'!O76</f>
        <v>0</v>
      </c>
      <c r="F14" s="8">
        <f t="shared" si="2"/>
        <v>0</v>
      </c>
      <c r="G14" s="10">
        <f t="shared" si="3"/>
        <v>0</v>
      </c>
      <c r="H14" s="7">
        <f>'[1]Production Summary'!Q76</f>
        <v>0</v>
      </c>
      <c r="I14" s="8">
        <f t="shared" si="4"/>
        <v>0</v>
      </c>
      <c r="J14" s="10">
        <f t="shared" si="5"/>
        <v>0</v>
      </c>
      <c r="K14" s="7">
        <f>'[1]Production Summary'!T76</f>
        <v>13796</v>
      </c>
      <c r="L14" s="8">
        <f t="shared" si="6"/>
        <v>1.3795999999999999E-2</v>
      </c>
      <c r="M14" s="10">
        <f t="shared" si="7"/>
        <v>4.2353719999999997E-2</v>
      </c>
      <c r="N14" s="52"/>
      <c r="O14" s="7">
        <f>'[1]Production Summary'!J76</f>
        <v>12212767</v>
      </c>
      <c r="P14" s="8">
        <f t="shared" si="8"/>
        <v>12.212766999999999</v>
      </c>
      <c r="Q14" s="10">
        <f t="shared" si="9"/>
        <v>37.493194689999996</v>
      </c>
      <c r="R14" s="7">
        <f>'[1]Production Summary'!AE76</f>
        <v>4399972</v>
      </c>
      <c r="S14" s="8">
        <f t="shared" si="10"/>
        <v>4.399972</v>
      </c>
      <c r="T14" s="10">
        <f t="shared" si="11"/>
        <v>13.507914039999999</v>
      </c>
      <c r="U14" s="7">
        <f>'[1]Production Summary'!AF76</f>
        <v>7784353</v>
      </c>
      <c r="V14" s="8">
        <f t="shared" si="12"/>
        <v>7.7843530000000003</v>
      </c>
      <c r="W14" s="10">
        <f t="shared" si="13"/>
        <v>23.897963709999999</v>
      </c>
      <c r="X14" s="7">
        <f>'[1]Production Summary'!AJ76</f>
        <v>116173</v>
      </c>
      <c r="Y14" s="8">
        <f t="shared" si="14"/>
        <v>0.116173</v>
      </c>
      <c r="Z14" s="10">
        <f t="shared" si="15"/>
        <v>0.35665110999999999</v>
      </c>
      <c r="AA14" s="15"/>
      <c r="AB14" s="7">
        <f t="shared" si="16"/>
        <v>12212767</v>
      </c>
      <c r="AC14" s="8">
        <f t="shared" si="16"/>
        <v>12.212766999999999</v>
      </c>
      <c r="AD14" s="8">
        <f t="shared" si="16"/>
        <v>37.493194689999996</v>
      </c>
    </row>
    <row r="15" spans="1:30" x14ac:dyDescent="0.2">
      <c r="A15" s="1">
        <v>43080</v>
      </c>
      <c r="B15" s="7">
        <f>'[1]Production Summary'!K77</f>
        <v>0</v>
      </c>
      <c r="C15" s="8">
        <f t="shared" si="0"/>
        <v>0</v>
      </c>
      <c r="D15" s="10">
        <f t="shared" si="1"/>
        <v>0</v>
      </c>
      <c r="E15" s="7">
        <f>'[1]Production Summary'!O77</f>
        <v>0</v>
      </c>
      <c r="F15" s="8">
        <f t="shared" si="2"/>
        <v>0</v>
      </c>
      <c r="G15" s="10">
        <f t="shared" si="3"/>
        <v>0</v>
      </c>
      <c r="H15" s="7">
        <f>'[1]Production Summary'!Q77</f>
        <v>0</v>
      </c>
      <c r="I15" s="8">
        <f t="shared" si="4"/>
        <v>0</v>
      </c>
      <c r="J15" s="10">
        <f t="shared" si="5"/>
        <v>0</v>
      </c>
      <c r="K15" s="7">
        <f>'[1]Production Summary'!T77</f>
        <v>0</v>
      </c>
      <c r="L15" s="8">
        <f t="shared" si="6"/>
        <v>0</v>
      </c>
      <c r="M15" s="10">
        <f t="shared" si="7"/>
        <v>0</v>
      </c>
      <c r="N15" s="52"/>
      <c r="O15" s="7">
        <f>'[1]Production Summary'!J77</f>
        <v>11615171</v>
      </c>
      <c r="P15" s="8">
        <f t="shared" si="8"/>
        <v>11.615171</v>
      </c>
      <c r="Q15" s="10">
        <f t="shared" si="9"/>
        <v>35.658574969999997</v>
      </c>
      <c r="R15" s="7">
        <f>'[1]Production Summary'!AE77</f>
        <v>4818753</v>
      </c>
      <c r="S15" s="8">
        <f t="shared" si="10"/>
        <v>4.8187530000000001</v>
      </c>
      <c r="T15" s="10">
        <f t="shared" si="11"/>
        <v>14.79357171</v>
      </c>
      <c r="U15" s="7">
        <f>'[1]Production Summary'!AF77</f>
        <v>7196198</v>
      </c>
      <c r="V15" s="8">
        <f t="shared" si="12"/>
        <v>7.1961979999999999</v>
      </c>
      <c r="W15" s="10">
        <f t="shared" si="13"/>
        <v>22.092327859999997</v>
      </c>
      <c r="X15" s="7">
        <f>'[1]Production Summary'!AJ77</f>
        <v>231576</v>
      </c>
      <c r="Y15" s="8">
        <f t="shared" si="14"/>
        <v>0.231576</v>
      </c>
      <c r="Z15" s="10">
        <f t="shared" si="15"/>
        <v>0.71093832000000001</v>
      </c>
      <c r="AA15" s="15"/>
      <c r="AB15" s="7">
        <f t="shared" si="16"/>
        <v>11615171</v>
      </c>
      <c r="AC15" s="8">
        <f t="shared" si="16"/>
        <v>11.615171</v>
      </c>
      <c r="AD15" s="8">
        <f t="shared" si="16"/>
        <v>35.658574969999997</v>
      </c>
    </row>
    <row r="16" spans="1:30" x14ac:dyDescent="0.2">
      <c r="A16" s="1">
        <v>43081</v>
      </c>
      <c r="B16" s="7">
        <f>'[1]Production Summary'!K78</f>
        <v>0</v>
      </c>
      <c r="C16" s="8">
        <f t="shared" si="0"/>
        <v>0</v>
      </c>
      <c r="D16" s="10">
        <f t="shared" si="1"/>
        <v>0</v>
      </c>
      <c r="E16" s="7">
        <f>'[1]Production Summary'!O78</f>
        <v>0</v>
      </c>
      <c r="F16" s="8">
        <f t="shared" si="2"/>
        <v>0</v>
      </c>
      <c r="G16" s="10">
        <f t="shared" si="3"/>
        <v>0</v>
      </c>
      <c r="H16" s="7">
        <f>'[1]Production Summary'!Q78</f>
        <v>0</v>
      </c>
      <c r="I16" s="8">
        <f t="shared" si="4"/>
        <v>0</v>
      </c>
      <c r="J16" s="10">
        <f t="shared" si="5"/>
        <v>0</v>
      </c>
      <c r="K16" s="7">
        <f>'[1]Production Summary'!T78</f>
        <v>0</v>
      </c>
      <c r="L16" s="8">
        <f t="shared" si="6"/>
        <v>0</v>
      </c>
      <c r="M16" s="10">
        <f t="shared" si="7"/>
        <v>0</v>
      </c>
      <c r="N16" s="21"/>
      <c r="O16" s="7">
        <f>'[1]Production Summary'!J78</f>
        <v>11905750</v>
      </c>
      <c r="P16" s="8">
        <f t="shared" si="8"/>
        <v>11.905749999999999</v>
      </c>
      <c r="Q16" s="10">
        <f t="shared" si="9"/>
        <v>36.550652499999998</v>
      </c>
      <c r="R16" s="7">
        <f>'[1]Production Summary'!AE78</f>
        <v>4799651</v>
      </c>
      <c r="S16" s="8">
        <f t="shared" si="10"/>
        <v>4.7996509999999999</v>
      </c>
      <c r="T16" s="10">
        <f t="shared" si="11"/>
        <v>14.734928569999999</v>
      </c>
      <c r="U16" s="7">
        <f>'[1]Production Summary'!AF78</f>
        <v>7197890</v>
      </c>
      <c r="V16" s="8">
        <f t="shared" si="12"/>
        <v>7.1978900000000001</v>
      </c>
      <c r="W16" s="10">
        <f t="shared" si="13"/>
        <v>22.097522299999998</v>
      </c>
      <c r="X16" s="7">
        <f>'[1]Production Summary'!AJ78</f>
        <v>115466</v>
      </c>
      <c r="Y16" s="8">
        <f t="shared" si="14"/>
        <v>0.115466</v>
      </c>
      <c r="Z16" s="10">
        <f t="shared" si="15"/>
        <v>0.35448061999999997</v>
      </c>
      <c r="AA16" s="15"/>
      <c r="AB16" s="7">
        <f t="shared" si="16"/>
        <v>11905750</v>
      </c>
      <c r="AC16" s="8">
        <f t="shared" si="16"/>
        <v>11.905749999999999</v>
      </c>
      <c r="AD16" s="8">
        <f t="shared" si="16"/>
        <v>36.550652499999998</v>
      </c>
    </row>
    <row r="17" spans="1:30" x14ac:dyDescent="0.2">
      <c r="A17" s="1">
        <v>43082</v>
      </c>
      <c r="B17" s="7">
        <f>'[1]Production Summary'!K79</f>
        <v>0</v>
      </c>
      <c r="C17" s="8">
        <f t="shared" si="0"/>
        <v>0</v>
      </c>
      <c r="D17" s="10">
        <f t="shared" si="1"/>
        <v>0</v>
      </c>
      <c r="E17" s="7">
        <f>'[1]Production Summary'!O79</f>
        <v>0</v>
      </c>
      <c r="F17" s="8">
        <f t="shared" si="2"/>
        <v>0</v>
      </c>
      <c r="G17" s="10">
        <f t="shared" si="3"/>
        <v>0</v>
      </c>
      <c r="H17" s="7">
        <f>'[1]Production Summary'!Q79</f>
        <v>0</v>
      </c>
      <c r="I17" s="8">
        <f t="shared" si="4"/>
        <v>0</v>
      </c>
      <c r="J17" s="10">
        <f t="shared" si="5"/>
        <v>0</v>
      </c>
      <c r="K17" s="7">
        <f>'[1]Production Summary'!T79</f>
        <v>0</v>
      </c>
      <c r="L17" s="8">
        <f t="shared" si="6"/>
        <v>0</v>
      </c>
      <c r="M17" s="10">
        <f t="shared" si="7"/>
        <v>0</v>
      </c>
      <c r="N17" s="21"/>
      <c r="O17" s="7">
        <f>'[1]Production Summary'!J79</f>
        <v>12028148</v>
      </c>
      <c r="P17" s="8">
        <f t="shared" si="8"/>
        <v>12.028148</v>
      </c>
      <c r="Q17" s="10">
        <f t="shared" si="9"/>
        <v>36.926414359999995</v>
      </c>
      <c r="R17" s="7">
        <f>'[1]Production Summary'!AE79</f>
        <v>4790177</v>
      </c>
      <c r="S17" s="8">
        <f t="shared" si="10"/>
        <v>4.7901769999999999</v>
      </c>
      <c r="T17" s="10">
        <f t="shared" si="11"/>
        <v>14.705843389999998</v>
      </c>
      <c r="U17" s="7">
        <f>'[1]Production Summary'!AF79</f>
        <v>7201804</v>
      </c>
      <c r="V17" s="8">
        <f t="shared" si="12"/>
        <v>7.2018040000000001</v>
      </c>
      <c r="W17" s="10">
        <f t="shared" si="13"/>
        <v>22.109538279999999</v>
      </c>
      <c r="X17" s="7">
        <f>'[1]Production Summary'!AJ79</f>
        <v>116808</v>
      </c>
      <c r="Y17" s="8">
        <f t="shared" si="14"/>
        <v>0.116808</v>
      </c>
      <c r="Z17" s="10">
        <f t="shared" si="15"/>
        <v>0.35860055999999996</v>
      </c>
      <c r="AA17" s="15"/>
      <c r="AB17" s="7">
        <f t="shared" si="16"/>
        <v>12028148</v>
      </c>
      <c r="AC17" s="8">
        <f t="shared" si="16"/>
        <v>12.028148</v>
      </c>
      <c r="AD17" s="8">
        <f t="shared" si="16"/>
        <v>36.926414359999995</v>
      </c>
    </row>
    <row r="18" spans="1:30" x14ac:dyDescent="0.2">
      <c r="A18" s="1">
        <v>43083</v>
      </c>
      <c r="B18" s="7">
        <f>'[1]Production Summary'!K80</f>
        <v>0</v>
      </c>
      <c r="C18" s="8">
        <f t="shared" si="0"/>
        <v>0</v>
      </c>
      <c r="D18" s="10">
        <f t="shared" si="1"/>
        <v>0</v>
      </c>
      <c r="E18" s="7">
        <f>'[1]Production Summary'!O80</f>
        <v>0</v>
      </c>
      <c r="F18" s="8">
        <f t="shared" si="2"/>
        <v>0</v>
      </c>
      <c r="G18" s="10">
        <f t="shared" si="3"/>
        <v>0</v>
      </c>
      <c r="H18" s="7">
        <f>'[1]Production Summary'!Q80</f>
        <v>0</v>
      </c>
      <c r="I18" s="8">
        <f t="shared" si="4"/>
        <v>0</v>
      </c>
      <c r="J18" s="10">
        <f t="shared" si="5"/>
        <v>0</v>
      </c>
      <c r="K18" s="7">
        <f>'[1]Production Summary'!T80</f>
        <v>276344</v>
      </c>
      <c r="L18" s="8">
        <f t="shared" si="6"/>
        <v>0.27634399999999998</v>
      </c>
      <c r="M18" s="10">
        <f t="shared" si="7"/>
        <v>0.84837607999999987</v>
      </c>
      <c r="N18" s="21"/>
      <c r="O18" s="7">
        <f>'[1]Production Summary'!J80</f>
        <v>12629465</v>
      </c>
      <c r="P18" s="8">
        <f t="shared" si="8"/>
        <v>12.629465</v>
      </c>
      <c r="Q18" s="10">
        <f t="shared" si="9"/>
        <v>38.772457549999999</v>
      </c>
      <c r="R18" s="7">
        <f>'[1]Production Summary'!AE80</f>
        <v>5176784</v>
      </c>
      <c r="S18" s="8">
        <f t="shared" si="10"/>
        <v>5.1767839999999996</v>
      </c>
      <c r="T18" s="10">
        <f t="shared" si="11"/>
        <v>15.892726879999998</v>
      </c>
      <c r="U18" s="7">
        <f>'[1]Production Summary'!AF80</f>
        <v>7771159</v>
      </c>
      <c r="V18" s="8">
        <f t="shared" si="12"/>
        <v>7.7711589999999999</v>
      </c>
      <c r="W18" s="10">
        <f t="shared" si="13"/>
        <v>23.857458129999998</v>
      </c>
      <c r="X18" s="7">
        <f>'[1]Production Summary'!AJ80</f>
        <v>233407</v>
      </c>
      <c r="Y18" s="8">
        <f t="shared" si="14"/>
        <v>0.233407</v>
      </c>
      <c r="Z18" s="10">
        <f t="shared" si="15"/>
        <v>0.71655948999999997</v>
      </c>
      <c r="AA18" s="15"/>
      <c r="AB18" s="7">
        <f t="shared" si="16"/>
        <v>12629465</v>
      </c>
      <c r="AC18" s="8">
        <f t="shared" si="16"/>
        <v>12.629465</v>
      </c>
      <c r="AD18" s="8">
        <f t="shared" si="16"/>
        <v>38.772457549999999</v>
      </c>
    </row>
    <row r="19" spans="1:30" x14ac:dyDescent="0.2">
      <c r="A19" s="1">
        <v>43084</v>
      </c>
      <c r="B19" s="7">
        <f>'[1]Production Summary'!K81</f>
        <v>0</v>
      </c>
      <c r="C19" s="8">
        <f t="shared" si="0"/>
        <v>0</v>
      </c>
      <c r="D19" s="10">
        <f t="shared" si="1"/>
        <v>0</v>
      </c>
      <c r="E19" s="7">
        <f>'[1]Production Summary'!O81</f>
        <v>0</v>
      </c>
      <c r="F19" s="8">
        <f t="shared" si="2"/>
        <v>0</v>
      </c>
      <c r="G19" s="10">
        <f t="shared" si="3"/>
        <v>0</v>
      </c>
      <c r="H19" s="7">
        <f>'[1]Production Summary'!Q81</f>
        <v>0</v>
      </c>
      <c r="I19" s="8">
        <f t="shared" si="4"/>
        <v>0</v>
      </c>
      <c r="J19" s="10">
        <f t="shared" si="5"/>
        <v>0</v>
      </c>
      <c r="K19" s="7">
        <f>'[1]Production Summary'!T81</f>
        <v>39</v>
      </c>
      <c r="L19" s="8">
        <f t="shared" si="6"/>
        <v>3.8999999999999999E-5</v>
      </c>
      <c r="M19" s="10">
        <f t="shared" si="7"/>
        <v>1.1972999999999999E-4</v>
      </c>
      <c r="N19" s="21"/>
      <c r="O19" s="7">
        <f>'[1]Production Summary'!J81</f>
        <v>12972008</v>
      </c>
      <c r="P19" s="8">
        <f t="shared" si="8"/>
        <v>12.972008000000001</v>
      </c>
      <c r="Q19" s="10">
        <f t="shared" si="9"/>
        <v>39.824064559999997</v>
      </c>
      <c r="R19" s="7">
        <f>'[1]Production Summary'!AE81</f>
        <v>5182831</v>
      </c>
      <c r="S19" s="8">
        <f t="shared" si="10"/>
        <v>5.1828310000000002</v>
      </c>
      <c r="T19" s="10">
        <f t="shared" si="11"/>
        <v>15.91129117</v>
      </c>
      <c r="U19" s="7">
        <f>'[1]Production Summary'!AF81</f>
        <v>7780621</v>
      </c>
      <c r="V19" s="8">
        <f t="shared" si="12"/>
        <v>7.780621</v>
      </c>
      <c r="W19" s="10">
        <f t="shared" si="13"/>
        <v>23.88650647</v>
      </c>
      <c r="X19" s="7">
        <f>'[1]Production Summary'!AJ81</f>
        <v>117073</v>
      </c>
      <c r="Y19" s="8">
        <f t="shared" si="14"/>
        <v>0.117073</v>
      </c>
      <c r="Z19" s="10">
        <f t="shared" si="15"/>
        <v>0.35941410999999995</v>
      </c>
      <c r="AA19" s="15"/>
      <c r="AB19" s="7">
        <f t="shared" si="16"/>
        <v>12972008</v>
      </c>
      <c r="AC19" s="8">
        <f t="shared" si="16"/>
        <v>12.972008000000001</v>
      </c>
      <c r="AD19" s="8">
        <f>D19+Q19</f>
        <v>39.824064559999997</v>
      </c>
    </row>
    <row r="20" spans="1:30" x14ac:dyDescent="0.2">
      <c r="A20" s="1">
        <v>43085</v>
      </c>
      <c r="B20" s="7">
        <f>'[1]Production Summary'!K82</f>
        <v>0</v>
      </c>
      <c r="C20" s="8">
        <f t="shared" si="0"/>
        <v>0</v>
      </c>
      <c r="D20" s="10">
        <f t="shared" si="1"/>
        <v>0</v>
      </c>
      <c r="E20" s="7">
        <f>'[1]Production Summary'!O82</f>
        <v>0</v>
      </c>
      <c r="F20" s="8">
        <f t="shared" si="2"/>
        <v>0</v>
      </c>
      <c r="G20" s="10">
        <f t="shared" si="3"/>
        <v>0</v>
      </c>
      <c r="H20" s="7">
        <f>'[1]Production Summary'!Q82</f>
        <v>0</v>
      </c>
      <c r="I20" s="8">
        <f t="shared" si="4"/>
        <v>0</v>
      </c>
      <c r="J20" s="10">
        <f t="shared" si="5"/>
        <v>0</v>
      </c>
      <c r="K20" s="7">
        <f>'[1]Production Summary'!T82</f>
        <v>0</v>
      </c>
      <c r="L20" s="8">
        <f t="shared" si="6"/>
        <v>0</v>
      </c>
      <c r="M20" s="10">
        <f t="shared" si="7"/>
        <v>0</v>
      </c>
      <c r="N20" s="21"/>
      <c r="O20" s="7">
        <f>'[1]Production Summary'!J82</f>
        <v>12971590</v>
      </c>
      <c r="P20" s="8">
        <f t="shared" si="8"/>
        <v>12.971590000000001</v>
      </c>
      <c r="Q20" s="10">
        <f t="shared" si="9"/>
        <v>39.822781300000003</v>
      </c>
      <c r="R20" s="7">
        <f>'[1]Production Summary'!AE82</f>
        <v>5190097</v>
      </c>
      <c r="S20" s="8">
        <f t="shared" si="10"/>
        <v>5.1900969999999997</v>
      </c>
      <c r="T20" s="10">
        <f t="shared" si="11"/>
        <v>15.933597789999999</v>
      </c>
      <c r="U20" s="7">
        <f>'[1]Production Summary'!AF82</f>
        <v>7779468</v>
      </c>
      <c r="V20" s="8">
        <f t="shared" si="12"/>
        <v>7.7794679999999996</v>
      </c>
      <c r="W20" s="10">
        <f t="shared" si="13"/>
        <v>23.882966759999999</v>
      </c>
      <c r="X20" s="7">
        <f>'[1]Production Summary'!AJ82</f>
        <v>115535</v>
      </c>
      <c r="Y20" s="8">
        <f t="shared" si="14"/>
        <v>0.115535</v>
      </c>
      <c r="Z20" s="10">
        <f t="shared" si="15"/>
        <v>0.35469244999999999</v>
      </c>
      <c r="AA20" s="15"/>
      <c r="AB20" s="7">
        <f t="shared" si="16"/>
        <v>12971590</v>
      </c>
      <c r="AC20" s="8">
        <f t="shared" si="16"/>
        <v>12.971590000000001</v>
      </c>
      <c r="AD20" s="8">
        <f t="shared" si="16"/>
        <v>39.822781300000003</v>
      </c>
    </row>
    <row r="21" spans="1:30" x14ac:dyDescent="0.2">
      <c r="A21" s="1">
        <v>43086</v>
      </c>
      <c r="B21" s="7">
        <f>'[1]Production Summary'!K83</f>
        <v>0</v>
      </c>
      <c r="C21" s="8">
        <f t="shared" si="0"/>
        <v>0</v>
      </c>
      <c r="D21" s="10">
        <f t="shared" si="1"/>
        <v>0</v>
      </c>
      <c r="E21" s="7">
        <f>'[1]Production Summary'!O83</f>
        <v>0</v>
      </c>
      <c r="F21" s="8">
        <f t="shared" si="2"/>
        <v>0</v>
      </c>
      <c r="G21" s="10">
        <f t="shared" si="3"/>
        <v>0</v>
      </c>
      <c r="H21" s="7">
        <f>'[1]Production Summary'!Q83</f>
        <v>0</v>
      </c>
      <c r="I21" s="8">
        <f t="shared" si="4"/>
        <v>0</v>
      </c>
      <c r="J21" s="10">
        <f t="shared" si="5"/>
        <v>0</v>
      </c>
      <c r="K21" s="7">
        <f>'[1]Production Summary'!T83</f>
        <v>0</v>
      </c>
      <c r="L21" s="8">
        <f t="shared" si="6"/>
        <v>0</v>
      </c>
      <c r="M21" s="10">
        <f t="shared" si="7"/>
        <v>0</v>
      </c>
      <c r="N21" s="21"/>
      <c r="O21" s="7">
        <f>'[1]Production Summary'!J83</f>
        <v>10430211</v>
      </c>
      <c r="P21" s="8">
        <f t="shared" si="8"/>
        <v>10.430211</v>
      </c>
      <c r="Q21" s="10">
        <f t="shared" si="9"/>
        <v>32.02074777</v>
      </c>
      <c r="R21" s="7">
        <f>'[1]Production Summary'!AE83</f>
        <v>4316697</v>
      </c>
      <c r="S21" s="8">
        <f t="shared" si="10"/>
        <v>4.3166969999999996</v>
      </c>
      <c r="T21" s="10">
        <f t="shared" si="11"/>
        <v>13.252259789999998</v>
      </c>
      <c r="U21" s="7">
        <f>'[1]Production Summary'!AF83</f>
        <v>6504225</v>
      </c>
      <c r="V21" s="8">
        <f t="shared" si="12"/>
        <v>6.5042249999999999</v>
      </c>
      <c r="W21" s="10">
        <f t="shared" si="13"/>
        <v>19.967970749999999</v>
      </c>
      <c r="X21" s="7">
        <f>'[1]Production Summary'!AJ83</f>
        <v>231773</v>
      </c>
      <c r="Y21" s="8">
        <f t="shared" si="14"/>
        <v>0.23177300000000001</v>
      </c>
      <c r="Z21" s="10">
        <f t="shared" si="15"/>
        <v>0.71154311000000003</v>
      </c>
      <c r="AA21" s="15"/>
      <c r="AB21" s="7">
        <f t="shared" si="16"/>
        <v>10430211</v>
      </c>
      <c r="AC21" s="8">
        <f t="shared" si="16"/>
        <v>10.430211</v>
      </c>
      <c r="AD21" s="8">
        <f t="shared" si="16"/>
        <v>32.02074777</v>
      </c>
    </row>
    <row r="22" spans="1:30" x14ac:dyDescent="0.2">
      <c r="A22" s="1">
        <v>43087</v>
      </c>
      <c r="B22" s="7">
        <f>'[1]Production Summary'!K84</f>
        <v>0</v>
      </c>
      <c r="C22" s="8">
        <f t="shared" si="0"/>
        <v>0</v>
      </c>
      <c r="D22" s="10">
        <f t="shared" si="1"/>
        <v>0</v>
      </c>
      <c r="E22" s="7">
        <f>'[1]Production Summary'!O84</f>
        <v>0</v>
      </c>
      <c r="F22" s="8">
        <f t="shared" si="2"/>
        <v>0</v>
      </c>
      <c r="G22" s="10">
        <f t="shared" si="3"/>
        <v>0</v>
      </c>
      <c r="H22" s="7">
        <f>'[1]Production Summary'!Q84</f>
        <v>0</v>
      </c>
      <c r="I22" s="8">
        <f t="shared" si="4"/>
        <v>0</v>
      </c>
      <c r="J22" s="10">
        <f t="shared" si="5"/>
        <v>0</v>
      </c>
      <c r="K22" s="7">
        <f>'[1]Production Summary'!T84</f>
        <v>0</v>
      </c>
      <c r="L22" s="8">
        <f t="shared" si="6"/>
        <v>0</v>
      </c>
      <c r="M22" s="10">
        <f t="shared" si="7"/>
        <v>0</v>
      </c>
      <c r="N22" s="21"/>
      <c r="O22" s="7">
        <f>'[1]Production Summary'!J84</f>
        <v>11994361</v>
      </c>
      <c r="P22" s="8">
        <f t="shared" si="8"/>
        <v>11.994361</v>
      </c>
      <c r="Q22" s="10">
        <f t="shared" si="9"/>
        <v>36.822688269999993</v>
      </c>
      <c r="R22" s="7">
        <f>'[1]Production Summary'!AE84</f>
        <v>5163502</v>
      </c>
      <c r="S22" s="8">
        <f t="shared" si="10"/>
        <v>5.1635020000000003</v>
      </c>
      <c r="T22" s="10">
        <f t="shared" si="11"/>
        <v>15.851951140000001</v>
      </c>
      <c r="U22" s="7">
        <f>'[1]Production Summary'!AF84</f>
        <v>6768335</v>
      </c>
      <c r="V22" s="8">
        <f t="shared" si="12"/>
        <v>6.7683350000000004</v>
      </c>
      <c r="W22" s="10">
        <f t="shared" si="13"/>
        <v>20.77878845</v>
      </c>
      <c r="X22" s="7">
        <f>'[1]Production Summary'!AJ84</f>
        <v>115729</v>
      </c>
      <c r="Y22" s="8">
        <f t="shared" si="14"/>
        <v>0.115729</v>
      </c>
      <c r="Z22" s="10">
        <f t="shared" si="15"/>
        <v>0.35528802999999998</v>
      </c>
      <c r="AA22" s="15"/>
      <c r="AB22" s="7">
        <f t="shared" si="16"/>
        <v>11994361</v>
      </c>
      <c r="AC22" s="8">
        <f t="shared" si="16"/>
        <v>11.994361</v>
      </c>
      <c r="AD22" s="8">
        <f t="shared" si="16"/>
        <v>36.822688269999993</v>
      </c>
    </row>
    <row r="23" spans="1:30" x14ac:dyDescent="0.2">
      <c r="A23" s="1">
        <v>43088</v>
      </c>
      <c r="B23" s="7">
        <f>'[1]Production Summary'!K85</f>
        <v>0</v>
      </c>
      <c r="C23" s="8">
        <f t="shared" si="0"/>
        <v>0</v>
      </c>
      <c r="D23" s="10">
        <f t="shared" si="1"/>
        <v>0</v>
      </c>
      <c r="E23" s="7">
        <f>'[1]Production Summary'!O85</f>
        <v>0</v>
      </c>
      <c r="F23" s="8">
        <f t="shared" si="2"/>
        <v>0</v>
      </c>
      <c r="G23" s="10">
        <f t="shared" si="3"/>
        <v>0</v>
      </c>
      <c r="H23" s="7">
        <f>'[1]Production Summary'!Q85</f>
        <v>0</v>
      </c>
      <c r="I23" s="8">
        <f t="shared" si="4"/>
        <v>0</v>
      </c>
      <c r="J23" s="10">
        <f t="shared" si="5"/>
        <v>0</v>
      </c>
      <c r="K23" s="7">
        <f>'[1]Production Summary'!T85</f>
        <v>0</v>
      </c>
      <c r="L23" s="8">
        <f t="shared" si="6"/>
        <v>0</v>
      </c>
      <c r="M23" s="10">
        <f t="shared" si="7"/>
        <v>0</v>
      </c>
      <c r="N23" s="21"/>
      <c r="O23" s="7">
        <f>'[1]Production Summary'!J85</f>
        <v>10748960</v>
      </c>
      <c r="P23" s="8">
        <f t="shared" si="8"/>
        <v>10.74896</v>
      </c>
      <c r="Q23" s="10">
        <f t="shared" si="9"/>
        <v>32.999307199999997</v>
      </c>
      <c r="R23" s="7">
        <f>'[1]Production Summary'!AE85</f>
        <v>4834423</v>
      </c>
      <c r="S23" s="8">
        <f t="shared" si="10"/>
        <v>4.8344230000000001</v>
      </c>
      <c r="T23" s="10">
        <f t="shared" si="11"/>
        <v>14.841678609999999</v>
      </c>
      <c r="U23" s="7">
        <f>'[1]Production Summary'!AF85</f>
        <v>5912390</v>
      </c>
      <c r="V23" s="8">
        <f t="shared" si="12"/>
        <v>5.9123900000000003</v>
      </c>
      <c r="W23" s="10">
        <f t="shared" si="13"/>
        <v>18.151037299999999</v>
      </c>
      <c r="X23" s="7">
        <f>'[1]Production Summary'!AJ85</f>
        <v>117885</v>
      </c>
      <c r="Y23" s="8">
        <f t="shared" si="14"/>
        <v>0.117885</v>
      </c>
      <c r="Z23" s="10">
        <f t="shared" si="15"/>
        <v>0.36190695000000001</v>
      </c>
      <c r="AA23" s="15"/>
      <c r="AB23" s="7">
        <f t="shared" si="16"/>
        <v>10748960</v>
      </c>
      <c r="AC23" s="8">
        <f t="shared" si="16"/>
        <v>10.74896</v>
      </c>
      <c r="AD23" s="8">
        <f t="shared" si="16"/>
        <v>32.999307199999997</v>
      </c>
    </row>
    <row r="24" spans="1:30" x14ac:dyDescent="0.2">
      <c r="A24" s="1">
        <v>43089</v>
      </c>
      <c r="B24" s="7">
        <f>'[1]Production Summary'!K86</f>
        <v>0</v>
      </c>
      <c r="C24" s="8">
        <f t="shared" si="0"/>
        <v>0</v>
      </c>
      <c r="D24" s="10">
        <f t="shared" si="1"/>
        <v>0</v>
      </c>
      <c r="E24" s="7">
        <f>'[1]Production Summary'!O86</f>
        <v>0</v>
      </c>
      <c r="F24" s="8">
        <f t="shared" si="2"/>
        <v>0</v>
      </c>
      <c r="G24" s="10">
        <f t="shared" si="3"/>
        <v>0</v>
      </c>
      <c r="H24" s="7">
        <f>'[1]Production Summary'!Q86</f>
        <v>0</v>
      </c>
      <c r="I24" s="8">
        <f t="shared" si="4"/>
        <v>0</v>
      </c>
      <c r="J24" s="10">
        <f t="shared" si="5"/>
        <v>0</v>
      </c>
      <c r="K24" s="7">
        <f>'[1]Production Summary'!T86</f>
        <v>0</v>
      </c>
      <c r="L24" s="8">
        <f t="shared" si="6"/>
        <v>0</v>
      </c>
      <c r="M24" s="10">
        <f t="shared" si="7"/>
        <v>0</v>
      </c>
      <c r="N24" s="21"/>
      <c r="O24" s="7">
        <f>'[1]Production Summary'!J86</f>
        <v>12481638</v>
      </c>
      <c r="P24" s="8">
        <f t="shared" si="8"/>
        <v>12.481638</v>
      </c>
      <c r="Q24" s="10">
        <f t="shared" si="9"/>
        <v>38.318628660000002</v>
      </c>
      <c r="R24" s="7">
        <f>'[1]Production Summary'!AE86</f>
        <v>5720870</v>
      </c>
      <c r="S24" s="8">
        <f t="shared" si="10"/>
        <v>5.7208699999999997</v>
      </c>
      <c r="T24" s="10">
        <f t="shared" si="11"/>
        <v>17.5630709</v>
      </c>
      <c r="U24" s="7">
        <f>'[1]Production Summary'!AF86</f>
        <v>6993347</v>
      </c>
      <c r="V24" s="8">
        <f t="shared" si="12"/>
        <v>6.993347</v>
      </c>
      <c r="W24" s="10">
        <f t="shared" si="13"/>
        <v>21.469575289999998</v>
      </c>
      <c r="X24" s="7">
        <f>'[1]Production Summary'!AJ86</f>
        <v>195711</v>
      </c>
      <c r="Y24" s="8">
        <f t="shared" si="14"/>
        <v>0.195711</v>
      </c>
      <c r="Z24" s="10">
        <f t="shared" si="15"/>
        <v>0.6008327699999999</v>
      </c>
      <c r="AA24" s="15"/>
      <c r="AB24" s="7">
        <f t="shared" si="16"/>
        <v>12481638</v>
      </c>
      <c r="AC24" s="8">
        <f t="shared" si="16"/>
        <v>12.481638</v>
      </c>
      <c r="AD24" s="8">
        <f>D24+Q24</f>
        <v>38.318628660000002</v>
      </c>
    </row>
    <row r="25" spans="1:30" x14ac:dyDescent="0.2">
      <c r="A25" s="1">
        <v>43090</v>
      </c>
      <c r="B25" s="7">
        <f>'[1]Production Summary'!K87</f>
        <v>0</v>
      </c>
      <c r="C25" s="8">
        <f t="shared" si="0"/>
        <v>0</v>
      </c>
      <c r="D25" s="10">
        <f t="shared" si="1"/>
        <v>0</v>
      </c>
      <c r="E25" s="7">
        <f>'[1]Production Summary'!O87</f>
        <v>0</v>
      </c>
      <c r="F25" s="8">
        <f t="shared" si="2"/>
        <v>0</v>
      </c>
      <c r="G25" s="10">
        <f t="shared" si="3"/>
        <v>0</v>
      </c>
      <c r="H25" s="7">
        <f>'[1]Production Summary'!Q87</f>
        <v>0</v>
      </c>
      <c r="I25" s="8">
        <f t="shared" si="4"/>
        <v>0</v>
      </c>
      <c r="J25" s="10">
        <f t="shared" si="5"/>
        <v>0</v>
      </c>
      <c r="K25" s="7">
        <f>'[1]Production Summary'!T87</f>
        <v>0</v>
      </c>
      <c r="L25" s="8">
        <f t="shared" si="6"/>
        <v>0</v>
      </c>
      <c r="M25" s="10">
        <f t="shared" si="7"/>
        <v>0</v>
      </c>
      <c r="N25" s="21"/>
      <c r="O25" s="7">
        <f>'[1]Production Summary'!J87</f>
        <v>13910183</v>
      </c>
      <c r="P25" s="8">
        <f t="shared" si="8"/>
        <v>13.910183</v>
      </c>
      <c r="Q25" s="10">
        <f t="shared" si="9"/>
        <v>42.704261809999998</v>
      </c>
      <c r="R25" s="7">
        <f>'[1]Production Summary'!AE87</f>
        <v>6295527</v>
      </c>
      <c r="S25" s="8">
        <f t="shared" si="10"/>
        <v>6.2955269999999999</v>
      </c>
      <c r="T25" s="10">
        <f t="shared" si="11"/>
        <v>19.327267889999998</v>
      </c>
      <c r="U25" s="7">
        <f>'[1]Production Summary'!AF87</f>
        <v>7691115</v>
      </c>
      <c r="V25" s="8">
        <f t="shared" si="12"/>
        <v>7.6911149999999999</v>
      </c>
      <c r="W25" s="10">
        <f t="shared" si="13"/>
        <v>23.611723049999998</v>
      </c>
      <c r="X25" s="7">
        <f>'[1]Production Summary'!AJ87</f>
        <v>150629</v>
      </c>
      <c r="Y25" s="8">
        <f t="shared" si="14"/>
        <v>0.15062900000000001</v>
      </c>
      <c r="Z25" s="10">
        <f t="shared" si="15"/>
        <v>0.46243103000000002</v>
      </c>
      <c r="AA25" s="15"/>
      <c r="AB25" s="7">
        <f t="shared" si="16"/>
        <v>13910183</v>
      </c>
      <c r="AC25" s="8">
        <f t="shared" si="16"/>
        <v>13.910183</v>
      </c>
      <c r="AD25" s="8">
        <f t="shared" si="16"/>
        <v>42.704261809999998</v>
      </c>
    </row>
    <row r="26" spans="1:30" x14ac:dyDescent="0.2">
      <c r="A26" s="1">
        <v>43091</v>
      </c>
      <c r="B26" s="7">
        <f>'[1]Production Summary'!K88</f>
        <v>0</v>
      </c>
      <c r="C26" s="8">
        <f t="shared" si="0"/>
        <v>0</v>
      </c>
      <c r="D26" s="10">
        <f t="shared" si="1"/>
        <v>0</v>
      </c>
      <c r="E26" s="7">
        <f>'[1]Production Summary'!O88</f>
        <v>0</v>
      </c>
      <c r="F26" s="8">
        <f t="shared" si="2"/>
        <v>0</v>
      </c>
      <c r="G26" s="10">
        <f t="shared" si="3"/>
        <v>0</v>
      </c>
      <c r="H26" s="7">
        <f>'[1]Production Summary'!Q88</f>
        <v>0</v>
      </c>
      <c r="I26" s="8">
        <f t="shared" si="4"/>
        <v>0</v>
      </c>
      <c r="J26" s="10">
        <f t="shared" si="5"/>
        <v>0</v>
      </c>
      <c r="K26" s="7">
        <f>'[1]Production Summary'!T88</f>
        <v>0</v>
      </c>
      <c r="L26" s="8">
        <f t="shared" si="6"/>
        <v>0</v>
      </c>
      <c r="M26" s="10">
        <f t="shared" si="7"/>
        <v>0</v>
      </c>
      <c r="N26" s="21"/>
      <c r="O26" s="7">
        <f>'[1]Production Summary'!J88</f>
        <v>12213009</v>
      </c>
      <c r="P26" s="8">
        <f t="shared" si="8"/>
        <v>12.213009</v>
      </c>
      <c r="Q26" s="10">
        <f t="shared" si="9"/>
        <v>37.493937629999998</v>
      </c>
      <c r="R26" s="7">
        <f>'[1]Production Summary'!AE88</f>
        <v>5471080</v>
      </c>
      <c r="S26" s="8">
        <f t="shared" si="10"/>
        <v>5.4710799999999997</v>
      </c>
      <c r="T26" s="10">
        <f t="shared" si="11"/>
        <v>16.7962156</v>
      </c>
      <c r="U26" s="7">
        <f>'[1]Production Summary'!AF88</f>
        <v>6668586</v>
      </c>
      <c r="V26" s="8">
        <f t="shared" si="12"/>
        <v>6.6685860000000003</v>
      </c>
      <c r="W26" s="10">
        <f t="shared" si="13"/>
        <v>20.472559019999998</v>
      </c>
      <c r="X26" s="7">
        <f>'[1]Production Summary'!AJ88</f>
        <v>102352</v>
      </c>
      <c r="Y26" s="8">
        <f t="shared" si="14"/>
        <v>0.102352</v>
      </c>
      <c r="Z26" s="10">
        <f t="shared" si="15"/>
        <v>0.31422064</v>
      </c>
      <c r="AA26" s="15"/>
      <c r="AB26" s="7">
        <f t="shared" si="16"/>
        <v>12213009</v>
      </c>
      <c r="AC26" s="8">
        <f t="shared" si="16"/>
        <v>12.213009</v>
      </c>
      <c r="AD26" s="8">
        <f t="shared" si="16"/>
        <v>37.493937629999998</v>
      </c>
    </row>
    <row r="27" spans="1:30" x14ac:dyDescent="0.2">
      <c r="A27" s="1">
        <v>43092</v>
      </c>
      <c r="B27" s="7">
        <f>'[1]Production Summary'!K89</f>
        <v>0</v>
      </c>
      <c r="C27" s="8">
        <f t="shared" si="0"/>
        <v>0</v>
      </c>
      <c r="D27" s="10">
        <f t="shared" si="1"/>
        <v>0</v>
      </c>
      <c r="E27" s="7">
        <f>'[1]Production Summary'!O89</f>
        <v>0</v>
      </c>
      <c r="F27" s="8">
        <f t="shared" si="2"/>
        <v>0</v>
      </c>
      <c r="G27" s="10">
        <f t="shared" si="3"/>
        <v>0</v>
      </c>
      <c r="H27" s="7">
        <f>'[1]Production Summary'!Q89</f>
        <v>0</v>
      </c>
      <c r="I27" s="8">
        <f t="shared" si="4"/>
        <v>0</v>
      </c>
      <c r="J27" s="10">
        <f t="shared" si="5"/>
        <v>0</v>
      </c>
      <c r="K27" s="7">
        <f>'[1]Production Summary'!T89</f>
        <v>0</v>
      </c>
      <c r="L27" s="8">
        <f t="shared" si="6"/>
        <v>0</v>
      </c>
      <c r="M27" s="10">
        <f t="shared" si="7"/>
        <v>0</v>
      </c>
      <c r="N27" s="21"/>
      <c r="O27" s="7">
        <f>'[1]Production Summary'!J89</f>
        <v>11723955</v>
      </c>
      <c r="P27" s="8">
        <f t="shared" si="8"/>
        <v>11.723955</v>
      </c>
      <c r="Q27" s="10">
        <f t="shared" si="9"/>
        <v>35.992541850000002</v>
      </c>
      <c r="R27" s="7">
        <f>'[1]Production Summary'!AE89</f>
        <v>5392413</v>
      </c>
      <c r="S27" s="8">
        <f t="shared" si="10"/>
        <v>5.3924130000000003</v>
      </c>
      <c r="T27" s="10">
        <f t="shared" si="11"/>
        <v>16.554707910000001</v>
      </c>
      <c r="U27" s="7">
        <f>'[1]Production Summary'!AF89</f>
        <v>6577450</v>
      </c>
      <c r="V27" s="8">
        <f t="shared" si="12"/>
        <v>6.5774499999999998</v>
      </c>
      <c r="W27" s="10">
        <f t="shared" si="13"/>
        <v>20.192771499999999</v>
      </c>
      <c r="X27" s="7">
        <f>'[1]Production Summary'!AJ89</f>
        <v>204917</v>
      </c>
      <c r="Y27" s="8">
        <f t="shared" si="14"/>
        <v>0.20491699999999999</v>
      </c>
      <c r="Z27" s="10">
        <f t="shared" si="15"/>
        <v>0.62909518999999992</v>
      </c>
      <c r="AA27" s="15"/>
      <c r="AB27" s="7">
        <f t="shared" si="16"/>
        <v>11723955</v>
      </c>
      <c r="AC27" s="8">
        <f t="shared" si="16"/>
        <v>11.723955</v>
      </c>
      <c r="AD27" s="8">
        <f t="shared" si="16"/>
        <v>35.992541850000002</v>
      </c>
    </row>
    <row r="28" spans="1:30" x14ac:dyDescent="0.2">
      <c r="A28" s="1">
        <v>43093</v>
      </c>
      <c r="B28" s="7">
        <f>'[1]Production Summary'!K90</f>
        <v>0</v>
      </c>
      <c r="C28" s="8">
        <f t="shared" si="0"/>
        <v>0</v>
      </c>
      <c r="D28" s="10">
        <f t="shared" si="1"/>
        <v>0</v>
      </c>
      <c r="E28" s="7">
        <f>'[1]Production Summary'!O90</f>
        <v>0</v>
      </c>
      <c r="F28" s="8">
        <f t="shared" si="2"/>
        <v>0</v>
      </c>
      <c r="G28" s="10">
        <f t="shared" si="3"/>
        <v>0</v>
      </c>
      <c r="H28" s="7">
        <f>'[1]Production Summary'!Q90</f>
        <v>0</v>
      </c>
      <c r="I28" s="8">
        <f t="shared" si="4"/>
        <v>0</v>
      </c>
      <c r="J28" s="10">
        <f t="shared" si="5"/>
        <v>0</v>
      </c>
      <c r="K28" s="7">
        <f>'[1]Production Summary'!T90</f>
        <v>0</v>
      </c>
      <c r="L28" s="8">
        <f t="shared" si="6"/>
        <v>0</v>
      </c>
      <c r="M28" s="10">
        <f t="shared" si="7"/>
        <v>0</v>
      </c>
      <c r="N28" s="21"/>
      <c r="O28" s="7">
        <f>'[1]Production Summary'!J90</f>
        <v>12396774</v>
      </c>
      <c r="P28" s="8">
        <f t="shared" si="8"/>
        <v>12.396774000000001</v>
      </c>
      <c r="Q28" s="10">
        <f t="shared" si="9"/>
        <v>38.05809618</v>
      </c>
      <c r="R28" s="7">
        <f>'[1]Production Summary'!AE90</f>
        <v>5538245</v>
      </c>
      <c r="S28" s="8">
        <f t="shared" si="10"/>
        <v>5.5382449999999999</v>
      </c>
      <c r="T28" s="10">
        <f t="shared" si="11"/>
        <v>17.002412149999998</v>
      </c>
      <c r="U28" s="7">
        <f>'[1]Production Summary'!AF90</f>
        <v>6749579</v>
      </c>
      <c r="V28" s="8">
        <f t="shared" si="12"/>
        <v>6.7495789999999998</v>
      </c>
      <c r="W28" s="10">
        <f t="shared" si="13"/>
        <v>20.721207529999997</v>
      </c>
      <c r="X28" s="7">
        <f>'[1]Production Summary'!AJ90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12396774</v>
      </c>
      <c r="AC28" s="8">
        <f t="shared" si="16"/>
        <v>12.396774000000001</v>
      </c>
      <c r="AD28" s="8">
        <f t="shared" si="16"/>
        <v>38.05809618</v>
      </c>
    </row>
    <row r="29" spans="1:30" x14ac:dyDescent="0.2">
      <c r="A29" s="1">
        <v>43094</v>
      </c>
      <c r="B29" s="7">
        <f>'[1]Production Summary'!K91</f>
        <v>0</v>
      </c>
      <c r="C29" s="8">
        <f t="shared" si="0"/>
        <v>0</v>
      </c>
      <c r="D29" s="10">
        <f t="shared" si="1"/>
        <v>0</v>
      </c>
      <c r="E29" s="7">
        <f>'[1]Production Summary'!O91</f>
        <v>0</v>
      </c>
      <c r="F29" s="8">
        <f t="shared" si="2"/>
        <v>0</v>
      </c>
      <c r="G29" s="10">
        <f t="shared" si="3"/>
        <v>0</v>
      </c>
      <c r="H29" s="7">
        <f>'[1]Production Summary'!Q91</f>
        <v>0</v>
      </c>
      <c r="I29" s="8">
        <f t="shared" si="4"/>
        <v>0</v>
      </c>
      <c r="J29" s="10">
        <f t="shared" si="5"/>
        <v>0</v>
      </c>
      <c r="K29" s="7">
        <f>'[1]Production Summary'!T91</f>
        <v>0</v>
      </c>
      <c r="L29" s="8">
        <f t="shared" si="6"/>
        <v>0</v>
      </c>
      <c r="M29" s="10">
        <f t="shared" si="7"/>
        <v>0</v>
      </c>
      <c r="N29" s="21"/>
      <c r="O29" s="7">
        <f>'[1]Production Summary'!J91</f>
        <v>12351506</v>
      </c>
      <c r="P29" s="8">
        <f t="shared" si="8"/>
        <v>12.351506000000001</v>
      </c>
      <c r="Q29" s="10">
        <f t="shared" si="9"/>
        <v>37.919123419999998</v>
      </c>
      <c r="R29" s="7">
        <f>'[1]Production Summary'!AE91</f>
        <v>5610604</v>
      </c>
      <c r="S29" s="8">
        <f t="shared" si="10"/>
        <v>5.6106040000000004</v>
      </c>
      <c r="T29" s="10">
        <f t="shared" si="11"/>
        <v>17.22455428</v>
      </c>
      <c r="U29" s="7">
        <f>'[1]Production Summary'!AF91</f>
        <v>6820839</v>
      </c>
      <c r="V29" s="8">
        <f t="shared" si="12"/>
        <v>6.8208390000000003</v>
      </c>
      <c r="W29" s="10">
        <f t="shared" si="13"/>
        <v>20.93997573</v>
      </c>
      <c r="X29" s="7">
        <f>'[1]Production Summary'!AJ91</f>
        <v>155954</v>
      </c>
      <c r="Y29" s="8">
        <f t="shared" si="14"/>
        <v>0.15595400000000001</v>
      </c>
      <c r="Z29" s="10">
        <f t="shared" si="15"/>
        <v>0.47877878000000001</v>
      </c>
      <c r="AA29" s="15"/>
      <c r="AB29" s="7">
        <f t="shared" si="16"/>
        <v>12351506</v>
      </c>
      <c r="AC29" s="8">
        <f t="shared" si="16"/>
        <v>12.351506000000001</v>
      </c>
      <c r="AD29" s="8">
        <f t="shared" si="16"/>
        <v>37.919123419999998</v>
      </c>
    </row>
    <row r="30" spans="1:30" x14ac:dyDescent="0.2">
      <c r="A30" s="1">
        <v>43095</v>
      </c>
      <c r="B30" s="7">
        <f>'[1]Production Summary'!K92</f>
        <v>0</v>
      </c>
      <c r="C30" s="8">
        <f t="shared" si="0"/>
        <v>0</v>
      </c>
      <c r="D30" s="10">
        <f t="shared" si="1"/>
        <v>0</v>
      </c>
      <c r="E30" s="7">
        <f>'[1]Production Summary'!O92</f>
        <v>0</v>
      </c>
      <c r="F30" s="8">
        <f t="shared" si="2"/>
        <v>0</v>
      </c>
      <c r="G30" s="10">
        <f t="shared" si="3"/>
        <v>0</v>
      </c>
      <c r="H30" s="7">
        <f>'[1]Production Summary'!Q92</f>
        <v>0</v>
      </c>
      <c r="I30" s="8">
        <f>H30/100000000</f>
        <v>0</v>
      </c>
      <c r="J30" s="10">
        <f t="shared" si="5"/>
        <v>0</v>
      </c>
      <c r="K30" s="7">
        <f>'[1]Production Summary'!T92</f>
        <v>0</v>
      </c>
      <c r="L30" s="8">
        <f t="shared" si="6"/>
        <v>0</v>
      </c>
      <c r="M30" s="10">
        <f t="shared" si="7"/>
        <v>0</v>
      </c>
      <c r="N30" s="21"/>
      <c r="O30" s="7">
        <f>'[1]Production Summary'!J92</f>
        <v>10178147</v>
      </c>
      <c r="P30" s="8">
        <f t="shared" si="8"/>
        <v>10.178146999999999</v>
      </c>
      <c r="Q30" s="10">
        <f t="shared" si="9"/>
        <v>31.246911289999996</v>
      </c>
      <c r="R30" s="7">
        <f>'[1]Production Summary'!AE92</f>
        <v>4726439</v>
      </c>
      <c r="S30" s="8">
        <f t="shared" si="10"/>
        <v>4.7264390000000001</v>
      </c>
      <c r="T30" s="10">
        <f t="shared" si="11"/>
        <v>14.510167729999999</v>
      </c>
      <c r="U30" s="7">
        <f>'[1]Production Summary'!AF92</f>
        <v>5726867</v>
      </c>
      <c r="V30" s="8">
        <f t="shared" si="12"/>
        <v>5.7268670000000004</v>
      </c>
      <c r="W30" s="10">
        <f t="shared" si="13"/>
        <v>17.58148169</v>
      </c>
      <c r="X30" s="7">
        <f>'[1]Production Summary'!AJ92</f>
        <v>108005</v>
      </c>
      <c r="Y30" s="8">
        <f t="shared" si="14"/>
        <v>0.108005</v>
      </c>
      <c r="Z30" s="10">
        <f t="shared" si="15"/>
        <v>0.33157534999999999</v>
      </c>
      <c r="AA30" s="15"/>
      <c r="AB30" s="7">
        <f t="shared" si="16"/>
        <v>10178147</v>
      </c>
      <c r="AC30" s="8">
        <f t="shared" si="16"/>
        <v>10.178146999999999</v>
      </c>
      <c r="AD30" s="8">
        <f>D30+Q30</f>
        <v>31.246911289999996</v>
      </c>
    </row>
    <row r="31" spans="1:30" x14ac:dyDescent="0.2">
      <c r="A31" s="1">
        <v>43096</v>
      </c>
      <c r="B31" s="7">
        <f>'[1]Production Summary'!K93</f>
        <v>0</v>
      </c>
      <c r="C31" s="8">
        <f t="shared" si="0"/>
        <v>0</v>
      </c>
      <c r="D31" s="10">
        <f t="shared" si="1"/>
        <v>0</v>
      </c>
      <c r="E31" s="7">
        <f>'[1]Production Summary'!O93</f>
        <v>0</v>
      </c>
      <c r="F31" s="8">
        <f t="shared" si="2"/>
        <v>0</v>
      </c>
      <c r="G31" s="10">
        <f t="shared" si="3"/>
        <v>0</v>
      </c>
      <c r="H31" s="7">
        <f>'[1]Production Summary'!Q93</f>
        <v>0</v>
      </c>
      <c r="I31" s="8">
        <f t="shared" si="4"/>
        <v>0</v>
      </c>
      <c r="J31" s="10">
        <f t="shared" si="5"/>
        <v>0</v>
      </c>
      <c r="K31" s="7">
        <f>'[1]Production Summary'!T93</f>
        <v>0</v>
      </c>
      <c r="L31" s="8">
        <f t="shared" si="6"/>
        <v>0</v>
      </c>
      <c r="M31" s="10">
        <f t="shared" si="7"/>
        <v>0</v>
      </c>
      <c r="N31" s="21"/>
      <c r="O31" s="7">
        <f>'[1]Production Summary'!J93</f>
        <v>11926242</v>
      </c>
      <c r="P31" s="8">
        <f t="shared" si="8"/>
        <v>11.926242</v>
      </c>
      <c r="Q31" s="10">
        <f t="shared" si="9"/>
        <v>36.613562940000001</v>
      </c>
      <c r="R31" s="7">
        <f>'[1]Production Summary'!AE93</f>
        <v>5321793</v>
      </c>
      <c r="S31" s="8">
        <f t="shared" si="10"/>
        <v>5.3217930000000004</v>
      </c>
      <c r="T31" s="10">
        <f t="shared" si="11"/>
        <v>16.337904510000001</v>
      </c>
      <c r="U31" s="7">
        <f>'[1]Production Summary'!AF93</f>
        <v>6493213</v>
      </c>
      <c r="V31" s="8">
        <f t="shared" si="12"/>
        <v>6.4932129999999999</v>
      </c>
      <c r="W31" s="10">
        <f t="shared" si="13"/>
        <v>19.934163909999999</v>
      </c>
      <c r="X31" s="7">
        <f>'[1]Production Summary'!AJ93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11926242</v>
      </c>
      <c r="AC31" s="8">
        <f t="shared" si="16"/>
        <v>11.926242</v>
      </c>
      <c r="AD31" s="8">
        <f t="shared" si="16"/>
        <v>36.613562940000001</v>
      </c>
    </row>
    <row r="32" spans="1:30" x14ac:dyDescent="0.2">
      <c r="A32" s="1">
        <v>43097</v>
      </c>
      <c r="B32" s="7">
        <f>'[1]Production Summary'!K94</f>
        <v>0</v>
      </c>
      <c r="C32" s="8">
        <f t="shared" si="0"/>
        <v>0</v>
      </c>
      <c r="D32" s="10">
        <f t="shared" si="1"/>
        <v>0</v>
      </c>
      <c r="E32" s="7">
        <f>'[1]Production Summary'!O94</f>
        <v>0</v>
      </c>
      <c r="F32" s="8">
        <f t="shared" si="2"/>
        <v>0</v>
      </c>
      <c r="G32" s="10">
        <f t="shared" si="3"/>
        <v>0</v>
      </c>
      <c r="H32" s="7">
        <f>'[1]Production Summary'!Q94</f>
        <v>0</v>
      </c>
      <c r="I32" s="8">
        <f t="shared" si="4"/>
        <v>0</v>
      </c>
      <c r="J32" s="10">
        <f t="shared" si="5"/>
        <v>0</v>
      </c>
      <c r="K32" s="7">
        <f>'[1]Production Summary'!T94</f>
        <v>0</v>
      </c>
      <c r="L32" s="8">
        <f t="shared" si="6"/>
        <v>0</v>
      </c>
      <c r="M32" s="10">
        <f t="shared" si="7"/>
        <v>0</v>
      </c>
      <c r="N32" s="21"/>
      <c r="O32" s="7">
        <f>'[1]Production Summary'!J94</f>
        <v>11905148</v>
      </c>
      <c r="P32" s="8">
        <f t="shared" si="8"/>
        <v>11.905148000000001</v>
      </c>
      <c r="Q32" s="10">
        <f t="shared" si="9"/>
        <v>36.548804359999998</v>
      </c>
      <c r="R32" s="7">
        <f>'[1]Production Summary'!AE94</f>
        <v>5393465</v>
      </c>
      <c r="S32" s="8">
        <f t="shared" si="10"/>
        <v>5.393465</v>
      </c>
      <c r="T32" s="10">
        <f t="shared" si="11"/>
        <v>16.557937549999998</v>
      </c>
      <c r="U32" s="7">
        <f>'[1]Production Summary'!AF94</f>
        <v>6576635</v>
      </c>
      <c r="V32" s="8">
        <f t="shared" si="12"/>
        <v>6.5766349999999996</v>
      </c>
      <c r="W32" s="10">
        <f t="shared" si="13"/>
        <v>20.190269449999999</v>
      </c>
      <c r="X32" s="7">
        <f>'[1]Production Summary'!AJ94</f>
        <v>159630</v>
      </c>
      <c r="Y32" s="8">
        <f t="shared" si="14"/>
        <v>0.15962999999999999</v>
      </c>
      <c r="Z32" s="10">
        <f t="shared" si="15"/>
        <v>0.49006409999999995</v>
      </c>
      <c r="AA32" s="15"/>
      <c r="AB32" s="7">
        <f t="shared" si="16"/>
        <v>11905148</v>
      </c>
      <c r="AC32" s="8">
        <f t="shared" si="16"/>
        <v>11.905148000000001</v>
      </c>
      <c r="AD32" s="8">
        <f t="shared" si="16"/>
        <v>36.548804359999998</v>
      </c>
    </row>
    <row r="33" spans="1:30" x14ac:dyDescent="0.2">
      <c r="A33" s="1">
        <v>43098</v>
      </c>
      <c r="B33" s="7">
        <f>'[1]Production Summary'!K95</f>
        <v>0</v>
      </c>
      <c r="C33" s="8">
        <f t="shared" si="0"/>
        <v>0</v>
      </c>
      <c r="D33" s="10">
        <f t="shared" si="1"/>
        <v>0</v>
      </c>
      <c r="E33" s="7">
        <f>'[1]Production Summary'!O95</f>
        <v>0</v>
      </c>
      <c r="F33" s="8">
        <f t="shared" si="2"/>
        <v>0</v>
      </c>
      <c r="G33" s="10">
        <f t="shared" si="3"/>
        <v>0</v>
      </c>
      <c r="H33" s="7">
        <f>'[1]Production Summary'!Q95</f>
        <v>0</v>
      </c>
      <c r="I33" s="8">
        <f t="shared" si="4"/>
        <v>0</v>
      </c>
      <c r="J33" s="10">
        <f t="shared" si="5"/>
        <v>0</v>
      </c>
      <c r="K33" s="7">
        <f>'[1]Production Summary'!T95</f>
        <v>0</v>
      </c>
      <c r="L33" s="8">
        <f t="shared" si="6"/>
        <v>0</v>
      </c>
      <c r="M33" s="10">
        <f t="shared" si="7"/>
        <v>0</v>
      </c>
      <c r="N33" s="21"/>
      <c r="O33" s="7">
        <f>'[1]Production Summary'!J95</f>
        <v>11788267</v>
      </c>
      <c r="P33" s="8">
        <f t="shared" si="8"/>
        <v>11.788266999999999</v>
      </c>
      <c r="Q33" s="10">
        <f t="shared" si="9"/>
        <v>36.189979689999994</v>
      </c>
      <c r="R33" s="7">
        <f>'[1]Production Summary'!AE95</f>
        <v>5580862</v>
      </c>
      <c r="S33" s="8">
        <f t="shared" si="10"/>
        <v>5.5808619999999998</v>
      </c>
      <c r="T33" s="10">
        <f t="shared" si="11"/>
        <v>17.133246339999999</v>
      </c>
      <c r="U33" s="7">
        <f>'[1]Production Summary'!AF95</f>
        <v>6813195</v>
      </c>
      <c r="V33" s="8">
        <f t="shared" si="12"/>
        <v>6.8131950000000003</v>
      </c>
      <c r="W33" s="10">
        <f t="shared" si="13"/>
        <v>20.916508650000001</v>
      </c>
      <c r="X33" s="7">
        <f>'[1]Production Summary'!AJ95</f>
        <v>153137</v>
      </c>
      <c r="Y33" s="8">
        <f t="shared" si="14"/>
        <v>0.153137</v>
      </c>
      <c r="Z33" s="10">
        <f t="shared" si="15"/>
        <v>0.47013058999999996</v>
      </c>
      <c r="AA33" s="15"/>
      <c r="AB33" s="7">
        <f t="shared" si="16"/>
        <v>11788267</v>
      </c>
      <c r="AC33" s="8">
        <f t="shared" si="16"/>
        <v>11.788266999999999</v>
      </c>
      <c r="AD33" s="8">
        <f t="shared" si="16"/>
        <v>36.189979689999994</v>
      </c>
    </row>
    <row r="34" spans="1:30" x14ac:dyDescent="0.2">
      <c r="A34" s="1">
        <v>43099</v>
      </c>
      <c r="B34" s="7">
        <f>'[1]Production Summary'!K96</f>
        <v>0</v>
      </c>
      <c r="C34" s="8">
        <f t="shared" si="0"/>
        <v>0</v>
      </c>
      <c r="D34" s="10">
        <f t="shared" si="1"/>
        <v>0</v>
      </c>
      <c r="E34" s="7">
        <f>'[1]Production Summary'!O96</f>
        <v>0</v>
      </c>
      <c r="F34" s="8">
        <f t="shared" si="2"/>
        <v>0</v>
      </c>
      <c r="G34" s="10">
        <f t="shared" si="3"/>
        <v>0</v>
      </c>
      <c r="H34" s="7">
        <f>'[1]Production Summary'!Q96</f>
        <v>0</v>
      </c>
      <c r="I34" s="8">
        <f>H34/100000000</f>
        <v>0</v>
      </c>
      <c r="J34" s="10">
        <f t="shared" si="5"/>
        <v>0</v>
      </c>
      <c r="K34" s="7">
        <f>'[1]Production Summary'!T96</f>
        <v>0</v>
      </c>
      <c r="L34" s="8">
        <f t="shared" si="6"/>
        <v>0</v>
      </c>
      <c r="M34" s="10">
        <f t="shared" si="7"/>
        <v>0</v>
      </c>
      <c r="N34" s="21"/>
      <c r="O34" s="7">
        <f>'[1]Production Summary'!J96</f>
        <v>12907902</v>
      </c>
      <c r="P34" s="8">
        <f t="shared" si="8"/>
        <v>12.907902</v>
      </c>
      <c r="Q34" s="10">
        <f t="shared" si="9"/>
        <v>39.62725914</v>
      </c>
      <c r="R34" s="7">
        <f>'[1]Production Summary'!AE96</f>
        <v>6141344</v>
      </c>
      <c r="S34" s="8">
        <f t="shared" si="10"/>
        <v>6.1413440000000001</v>
      </c>
      <c r="T34" s="10">
        <f t="shared" si="11"/>
        <v>18.853926080000001</v>
      </c>
      <c r="U34" s="7">
        <f>'[1]Production Summary'!AF96</f>
        <v>7498055</v>
      </c>
      <c r="V34" s="8">
        <f t="shared" si="12"/>
        <v>7.4980549999999999</v>
      </c>
      <c r="W34" s="10">
        <f t="shared" si="13"/>
        <v>23.019028849999998</v>
      </c>
      <c r="X34" s="7">
        <f>'[1]Production Summary'!AJ96</f>
        <v>393346</v>
      </c>
      <c r="Y34" s="8">
        <f t="shared" si="14"/>
        <v>0.39334599999999997</v>
      </c>
      <c r="Z34" s="10">
        <f t="shared" si="15"/>
        <v>1.2075722199999999</v>
      </c>
      <c r="AA34" s="15"/>
      <c r="AB34" s="7">
        <f t="shared" si="16"/>
        <v>12907902</v>
      </c>
      <c r="AC34" s="8">
        <f t="shared" si="16"/>
        <v>12.907902</v>
      </c>
      <c r="AD34" s="8">
        <f t="shared" si="16"/>
        <v>39.62725914</v>
      </c>
    </row>
    <row r="35" spans="1:30" ht="13.5" thickBot="1" x14ac:dyDescent="0.25">
      <c r="A35" s="1">
        <v>43100</v>
      </c>
      <c r="B35" s="7">
        <f>'[1]Production Summary'!K97</f>
        <v>0</v>
      </c>
      <c r="C35" s="9">
        <f t="shared" si="0"/>
        <v>0</v>
      </c>
      <c r="D35" s="11">
        <f t="shared" si="1"/>
        <v>0</v>
      </c>
      <c r="E35" s="7">
        <f>'[1]Production Summary'!O97</f>
        <v>0</v>
      </c>
      <c r="F35" s="9">
        <f t="shared" si="2"/>
        <v>0</v>
      </c>
      <c r="G35" s="11">
        <f t="shared" si="3"/>
        <v>0</v>
      </c>
      <c r="H35" s="7">
        <f>'[1]Production Summary'!Q97</f>
        <v>0</v>
      </c>
      <c r="I35" s="9">
        <f>H35/100000000</f>
        <v>0</v>
      </c>
      <c r="J35" s="11">
        <f t="shared" si="5"/>
        <v>0</v>
      </c>
      <c r="K35" s="7">
        <f>'[1]Production Summary'!T97</f>
        <v>0</v>
      </c>
      <c r="L35" s="9">
        <f t="shared" si="6"/>
        <v>0</v>
      </c>
      <c r="M35" s="11">
        <f t="shared" si="7"/>
        <v>0</v>
      </c>
      <c r="N35" s="21"/>
      <c r="O35" s="7">
        <f>'[1]Production Summary'!J97</f>
        <v>12494714</v>
      </c>
      <c r="P35" s="9">
        <f t="shared" si="8"/>
        <v>12.494714</v>
      </c>
      <c r="Q35" s="11">
        <f t="shared" si="9"/>
        <v>38.35877198</v>
      </c>
      <c r="R35" s="7">
        <f>'[1]Production Summary'!AE97</f>
        <v>5631939</v>
      </c>
      <c r="S35" s="9">
        <f t="shared" si="10"/>
        <v>5.631939</v>
      </c>
      <c r="T35" s="11">
        <f t="shared" si="11"/>
        <v>17.290052729999999</v>
      </c>
      <c r="U35" s="7">
        <f>'[1]Production Summary'!AF97</f>
        <v>6820617</v>
      </c>
      <c r="V35" s="9">
        <f t="shared" si="12"/>
        <v>6.8206170000000004</v>
      </c>
      <c r="W35" s="11">
        <f t="shared" si="13"/>
        <v>20.939294190000002</v>
      </c>
      <c r="X35" s="7">
        <f>'[1]Production Summary'!AJ97</f>
        <v>27472</v>
      </c>
      <c r="Y35" s="9">
        <f t="shared" si="14"/>
        <v>2.7472E-2</v>
      </c>
      <c r="Z35" s="11">
        <f t="shared" si="15"/>
        <v>8.433903999999999E-2</v>
      </c>
      <c r="AA35" s="15"/>
      <c r="AB35" s="7">
        <f t="shared" si="16"/>
        <v>12494714</v>
      </c>
      <c r="AC35" s="8">
        <f t="shared" si="16"/>
        <v>12.494714</v>
      </c>
      <c r="AD35" s="8">
        <f t="shared" si="16"/>
        <v>38.35877198</v>
      </c>
    </row>
    <row r="36" spans="1:30" ht="13.5" thickBot="1" x14ac:dyDescent="0.25">
      <c r="A36" s="20"/>
      <c r="B36" s="37"/>
      <c r="C36" s="38">
        <f>SUM(C5:C35)</f>
        <v>0</v>
      </c>
      <c r="D36" s="38">
        <f>SUM(D5:D35)</f>
        <v>0</v>
      </c>
      <c r="E36" s="37"/>
      <c r="F36" s="38">
        <f>SUM(F5:F35)</f>
        <v>0</v>
      </c>
      <c r="G36" s="38">
        <f>SUM(G5:G35)</f>
        <v>0</v>
      </c>
      <c r="H36" s="37"/>
      <c r="I36" s="38">
        <f>SUM(I5:I35)</f>
        <v>0</v>
      </c>
      <c r="J36" s="38">
        <f>SUM(J5:J35)</f>
        <v>0</v>
      </c>
      <c r="K36" s="37"/>
      <c r="L36" s="38">
        <f>SUM(L5:L35)</f>
        <v>0.95336999999999994</v>
      </c>
      <c r="M36" s="38">
        <f>SUM(M5:M35)</f>
        <v>2.9268459</v>
      </c>
      <c r="N36" s="14"/>
      <c r="O36" s="37"/>
      <c r="P36" s="38">
        <f>SUM(P5:P35)</f>
        <v>375.1733078333333</v>
      </c>
      <c r="Q36" s="38">
        <f>SUM(Q5:Q35)</f>
        <v>1151.7820550483332</v>
      </c>
      <c r="R36" s="37"/>
      <c r="S36" s="38">
        <f>SUM(S5:S35)</f>
        <v>145.16667700000002</v>
      </c>
      <c r="T36" s="38">
        <f>SUM(T5:T35)</f>
        <v>445.66169838999997</v>
      </c>
      <c r="U36" s="37"/>
      <c r="V36" s="38">
        <f>SUM(V5:V35)</f>
        <v>222.34430499999999</v>
      </c>
      <c r="W36" s="38">
        <f>SUM(W5:W35)</f>
        <v>682.5970163500001</v>
      </c>
      <c r="X36" s="37"/>
      <c r="Y36" s="38">
        <f>SUM(Y5:Y35)</f>
        <v>4.4187710000000004</v>
      </c>
      <c r="Z36" s="38">
        <f>SUM(Z5:Z35)</f>
        <v>13.565626969999999</v>
      </c>
      <c r="AA36" s="14"/>
      <c r="AB36" s="37"/>
      <c r="AC36" s="38">
        <f>SUM(AC5:AC35)</f>
        <v>375.1733078333333</v>
      </c>
      <c r="AD36" s="38">
        <f>SUM(AD5:AD35)</f>
        <v>1151.7820550483332</v>
      </c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D36"/>
  <sheetViews>
    <sheetView tabSelected="1" workbookViewId="0">
      <pane xSplit="1" ySplit="4" topLeftCell="I5" activePane="bottomRight" state="frozen"/>
      <selection pane="topRight" activeCell="B1" sqref="B1"/>
      <selection pane="bottomLeft" activeCell="A5" sqref="A5"/>
      <selection pane="bottomRight" activeCell="V22" activeCellId="1" sqref="S22 V22"/>
    </sheetView>
  </sheetViews>
  <sheetFormatPr defaultRowHeight="12.75" x14ac:dyDescent="0.2"/>
  <cols>
    <col min="2" max="2" width="10.7109375" customWidth="1"/>
    <col min="3" max="3" width="7.7109375" style="18" customWidth="1"/>
    <col min="5" max="5" width="13.42578125" style="3" bestFit="1" customWidth="1"/>
    <col min="6" max="6" width="8.28515625" style="3" customWidth="1"/>
    <col min="7" max="7" width="9.28515625" style="3"/>
    <col min="8" max="8" width="11.7109375" style="3" customWidth="1"/>
    <col min="9" max="10" width="9.28515625" style="3"/>
    <col min="11" max="11" width="11.7109375" style="14" customWidth="1"/>
    <col min="12" max="12" width="11" style="3" customWidth="1"/>
    <col min="13" max="13" width="11.28515625" style="3" bestFit="1" customWidth="1"/>
    <col min="14" max="14" width="9.28515625" style="3"/>
    <col min="15" max="15" width="13.42578125" style="3" bestFit="1" customWidth="1"/>
    <col min="16" max="17" width="9.28515625" style="3"/>
    <col min="18" max="18" width="11.7109375" style="3" bestFit="1" customWidth="1"/>
    <col min="19" max="21" width="9.28515625" style="3"/>
    <col min="22" max="22" width="11.7109375" bestFit="1" customWidth="1"/>
    <col min="24" max="24" width="10.7109375" customWidth="1"/>
    <col min="28" max="28" width="12.7109375" customWidth="1"/>
  </cols>
  <sheetData>
    <row r="1" spans="1:30" ht="13.5" customHeight="1" x14ac:dyDescent="0.2">
      <c r="A1" s="41" t="s">
        <v>17</v>
      </c>
      <c r="B1" s="39"/>
      <c r="C1" s="25"/>
      <c r="D1" s="25"/>
      <c r="E1" s="25"/>
      <c r="F1" s="25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27">
        <v>43101</v>
      </c>
      <c r="B5" s="7">
        <f>'[2]Production Summary'!K6</f>
        <v>0</v>
      </c>
      <c r="C5" s="8">
        <f>B5/1000000</f>
        <v>0</v>
      </c>
      <c r="D5" s="10">
        <f>C5*3.07</f>
        <v>0</v>
      </c>
      <c r="E5" s="7">
        <f>'[2]Production Summary'!E6</f>
        <v>0</v>
      </c>
      <c r="F5" s="8">
        <f>E5/1000000</f>
        <v>0</v>
      </c>
      <c r="G5" s="10">
        <f>F5*3.07</f>
        <v>0</v>
      </c>
      <c r="H5" s="7">
        <f>'[2]Production Summary'!G6</f>
        <v>0</v>
      </c>
      <c r="I5" s="8">
        <f>H5/1000000</f>
        <v>0</v>
      </c>
      <c r="J5" s="10">
        <f>I5*3.07</f>
        <v>0</v>
      </c>
      <c r="K5" s="7">
        <f>'[2]Production Summary'!T6</f>
        <v>0</v>
      </c>
      <c r="L5" s="8">
        <f>K5/1000000</f>
        <v>0</v>
      </c>
      <c r="M5" s="10">
        <f>L5*3.07</f>
        <v>0</v>
      </c>
      <c r="N5" s="21"/>
      <c r="O5" s="7">
        <f>'[2]Production Summary'!J6</f>
        <v>12239297</v>
      </c>
      <c r="P5" s="8">
        <f>O5/1000000</f>
        <v>12.239297000000001</v>
      </c>
      <c r="Q5" s="10">
        <f>P5*3.07</f>
        <v>37.574641790000001</v>
      </c>
      <c r="R5" s="7">
        <f>'[2]Production Summary'!AE6</f>
        <v>5568439</v>
      </c>
      <c r="S5" s="8">
        <f>R5/1000000</f>
        <v>5.5684389999999997</v>
      </c>
      <c r="T5" s="10">
        <f>S5*3.07</f>
        <v>17.095107729999999</v>
      </c>
      <c r="U5" s="7">
        <f>'[2]Production Summary'!AF6</f>
        <v>6745698</v>
      </c>
      <c r="V5" s="8">
        <f>U5/1000000</f>
        <v>6.745698</v>
      </c>
      <c r="W5" s="10">
        <f>V5*3.07</f>
        <v>20.709292859999998</v>
      </c>
      <c r="X5" s="7">
        <f>'[2]Production Summary'!AJ6</f>
        <v>206613</v>
      </c>
      <c r="Y5" s="8">
        <f>X5/1000000</f>
        <v>0.20661299999999999</v>
      </c>
      <c r="Z5" s="10">
        <f>Y5*3.07</f>
        <v>0.63430190999999991</v>
      </c>
      <c r="AA5" s="15"/>
      <c r="AB5" s="7">
        <f>B5+O5</f>
        <v>12239297</v>
      </c>
      <c r="AC5" s="8">
        <f>C5+P5</f>
        <v>12.239297000000001</v>
      </c>
      <c r="AD5" s="8">
        <f>D5+Q5</f>
        <v>37.574641790000001</v>
      </c>
    </row>
    <row r="6" spans="1:30" x14ac:dyDescent="0.2">
      <c r="A6" s="27">
        <v>43102</v>
      </c>
      <c r="B6" s="7">
        <f>'[2]Production Summary'!K7</f>
        <v>0</v>
      </c>
      <c r="C6" s="8">
        <f>IF(B6="",C5,B6/1000000)</f>
        <v>0</v>
      </c>
      <c r="D6" s="10">
        <f t="shared" ref="D6:D35" si="0">C6*3.07</f>
        <v>0</v>
      </c>
      <c r="E6" s="7">
        <f>'[2]Production Summary'!E7</f>
        <v>0</v>
      </c>
      <c r="F6" s="8">
        <f>IF(E6="",F5,E6/1000000)</f>
        <v>0</v>
      </c>
      <c r="G6" s="10">
        <f t="shared" ref="G6:G35" si="1">F6*3.07</f>
        <v>0</v>
      </c>
      <c r="H6" s="7">
        <f>'[2]Production Summary'!G7</f>
        <v>0</v>
      </c>
      <c r="I6" s="8">
        <f>IF(H6="",I5,H6/1000000)</f>
        <v>0</v>
      </c>
      <c r="J6" s="10">
        <f t="shared" ref="J6:J35" si="2">I6*3.07</f>
        <v>0</v>
      </c>
      <c r="K6" s="7">
        <f>'[2]Production Summary'!T7</f>
        <v>0</v>
      </c>
      <c r="L6" s="8">
        <f>IF(K6="",L5,K6/1000000)</f>
        <v>0</v>
      </c>
      <c r="M6" s="10">
        <f t="shared" ref="M6:M35" si="3">L6*3.07</f>
        <v>0</v>
      </c>
      <c r="N6" s="21"/>
      <c r="O6" s="7">
        <f>'[2]Production Summary'!J7</f>
        <v>11712896</v>
      </c>
      <c r="P6" s="8">
        <f>IF(O6="",P5,O6/1000000)</f>
        <v>11.712896000000001</v>
      </c>
      <c r="Q6" s="10">
        <f t="shared" ref="Q6:Q35" si="4">P6*3.07</f>
        <v>35.958590719999997</v>
      </c>
      <c r="R6" s="7">
        <f>'[2]Production Summary'!AE7</f>
        <v>5364748</v>
      </c>
      <c r="S6" s="8">
        <f>IF(R6="",S5,R6/1000000)</f>
        <v>5.3647479999999996</v>
      </c>
      <c r="T6" s="10">
        <f t="shared" ref="T6:T35" si="5">S6*3.07</f>
        <v>16.469776359999997</v>
      </c>
      <c r="U6" s="7">
        <f>'[2]Production Summary'!AF7</f>
        <v>6558605</v>
      </c>
      <c r="V6" s="8">
        <f>IF(U6="",V5,U6/1000000)</f>
        <v>6.558605</v>
      </c>
      <c r="W6" s="10">
        <f t="shared" ref="W6:W35" si="6">V6*3.07</f>
        <v>20.134917349999998</v>
      </c>
      <c r="X6" s="7">
        <f>'[2]Production Summary'!AJ7</f>
        <v>67315</v>
      </c>
      <c r="Y6" s="8">
        <f>IF(X6="",Y5,X6/1000000)</f>
        <v>6.7315E-2</v>
      </c>
      <c r="Z6" s="10">
        <f t="shared" ref="Z6:Z35" si="7">Y6*3.07</f>
        <v>0.20665704999999998</v>
      </c>
      <c r="AA6" s="15"/>
      <c r="AB6" s="7">
        <f t="shared" ref="AB6:AD35" si="8">B6+O6</f>
        <v>11712896</v>
      </c>
      <c r="AC6" s="8">
        <f t="shared" si="8"/>
        <v>11.712896000000001</v>
      </c>
      <c r="AD6" s="8">
        <f t="shared" si="8"/>
        <v>35.958590719999997</v>
      </c>
    </row>
    <row r="7" spans="1:30" x14ac:dyDescent="0.2">
      <c r="A7" s="27">
        <v>43103</v>
      </c>
      <c r="B7" s="7">
        <f>'[2]Production Summary'!K8</f>
        <v>0</v>
      </c>
      <c r="C7" s="8">
        <f t="shared" ref="C7:C35" si="9">IF(B7="",C6,B7/1000000)</f>
        <v>0</v>
      </c>
      <c r="D7" s="10">
        <f t="shared" si="0"/>
        <v>0</v>
      </c>
      <c r="E7" s="7">
        <f>'[2]Production Summary'!E8</f>
        <v>0</v>
      </c>
      <c r="F7" s="8">
        <f t="shared" ref="F7:F35" si="10">IF(E7="",F6,E7/1000000)</f>
        <v>0</v>
      </c>
      <c r="G7" s="10">
        <f t="shared" si="1"/>
        <v>0</v>
      </c>
      <c r="H7" s="7">
        <f>'[2]Production Summary'!G8</f>
        <v>0</v>
      </c>
      <c r="I7" s="8">
        <f t="shared" ref="I7:I35" si="11">IF(H7="",I6,H7/1000000)</f>
        <v>0</v>
      </c>
      <c r="J7" s="10">
        <f t="shared" si="2"/>
        <v>0</v>
      </c>
      <c r="K7" s="7">
        <f>'[2]Production Summary'!T8</f>
        <v>0</v>
      </c>
      <c r="L7" s="8">
        <f t="shared" ref="L7:L35" si="12">IF(K7="",L6,K7/1000000)</f>
        <v>0</v>
      </c>
      <c r="M7" s="10">
        <f t="shared" si="3"/>
        <v>0</v>
      </c>
      <c r="N7" s="21"/>
      <c r="O7" s="7">
        <f>'[2]Production Summary'!J8</f>
        <v>12751618</v>
      </c>
      <c r="P7" s="8">
        <f t="shared" ref="P7:P35" si="13">IF(O7="",P6,O7/1000000)</f>
        <v>12.751618000000001</v>
      </c>
      <c r="Q7" s="10">
        <f t="shared" si="4"/>
        <v>39.147467259999999</v>
      </c>
      <c r="R7" s="7">
        <f>'[2]Production Summary'!AE8</f>
        <v>5764703</v>
      </c>
      <c r="S7" s="8">
        <f t="shared" ref="S7:S35" si="14">IF(R7="",S6,R7/1000000)</f>
        <v>5.7647029999999999</v>
      </c>
      <c r="T7" s="10">
        <f t="shared" si="5"/>
        <v>17.697638209999997</v>
      </c>
      <c r="U7" s="7">
        <f>'[2]Production Summary'!AF8</f>
        <v>7026067</v>
      </c>
      <c r="V7" s="8">
        <f t="shared" ref="V7:V35" si="15">IF(U7="",V6,U7/1000000)</f>
        <v>7.0260670000000003</v>
      </c>
      <c r="W7" s="10">
        <f t="shared" si="6"/>
        <v>21.570025690000001</v>
      </c>
      <c r="X7" s="7">
        <f>'[2]Production Summary'!AJ8</f>
        <v>190147</v>
      </c>
      <c r="Y7" s="8">
        <f t="shared" ref="Y7:Y35" si="16">IF(X7="",Y6,X7/1000000)</f>
        <v>0.19014700000000001</v>
      </c>
      <c r="Z7" s="10">
        <f t="shared" si="7"/>
        <v>0.58375129000000003</v>
      </c>
      <c r="AA7" s="15"/>
      <c r="AB7" s="7">
        <f t="shared" si="8"/>
        <v>12751618</v>
      </c>
      <c r="AC7" s="8">
        <f t="shared" si="8"/>
        <v>12.751618000000001</v>
      </c>
      <c r="AD7" s="8">
        <f t="shared" si="8"/>
        <v>39.147467259999999</v>
      </c>
    </row>
    <row r="8" spans="1:30" x14ac:dyDescent="0.2">
      <c r="A8" s="27">
        <v>43104</v>
      </c>
      <c r="B8" s="7">
        <f>'[2]Production Summary'!K9</f>
        <v>0</v>
      </c>
      <c r="C8" s="8">
        <f t="shared" si="9"/>
        <v>0</v>
      </c>
      <c r="D8" s="10">
        <f t="shared" si="0"/>
        <v>0</v>
      </c>
      <c r="E8" s="7">
        <f>'[2]Production Summary'!E9</f>
        <v>0</v>
      </c>
      <c r="F8" s="8">
        <f t="shared" si="10"/>
        <v>0</v>
      </c>
      <c r="G8" s="10">
        <f t="shared" si="1"/>
        <v>0</v>
      </c>
      <c r="H8" s="7">
        <f>'[2]Production Summary'!G9</f>
        <v>0</v>
      </c>
      <c r="I8" s="8">
        <f t="shared" si="11"/>
        <v>0</v>
      </c>
      <c r="J8" s="10">
        <f t="shared" si="2"/>
        <v>0</v>
      </c>
      <c r="K8" s="7">
        <f>'[2]Production Summary'!T9</f>
        <v>0</v>
      </c>
      <c r="L8" s="8">
        <f t="shared" si="12"/>
        <v>0</v>
      </c>
      <c r="M8" s="10">
        <f t="shared" si="3"/>
        <v>0</v>
      </c>
      <c r="N8" s="21"/>
      <c r="O8" s="7">
        <f>'[2]Production Summary'!J9</f>
        <v>12365820</v>
      </c>
      <c r="P8" s="8">
        <f t="shared" si="13"/>
        <v>12.365819999999999</v>
      </c>
      <c r="Q8" s="10">
        <f t="shared" si="4"/>
        <v>37.963067399999993</v>
      </c>
      <c r="R8" s="7">
        <f>'[2]Production Summary'!AE9</f>
        <v>5597587</v>
      </c>
      <c r="S8" s="8">
        <f t="shared" si="14"/>
        <v>5.5975869999999999</v>
      </c>
      <c r="T8" s="10">
        <f t="shared" si="5"/>
        <v>17.184592089999999</v>
      </c>
      <c r="U8" s="7">
        <f>'[2]Production Summary'!AF9</f>
        <v>6785881</v>
      </c>
      <c r="V8" s="8">
        <f t="shared" si="15"/>
        <v>6.7858809999999998</v>
      </c>
      <c r="W8" s="10">
        <f t="shared" si="6"/>
        <v>20.83265467</v>
      </c>
      <c r="X8" s="7">
        <f>'[2]Production Summary'!AJ9</f>
        <v>87908</v>
      </c>
      <c r="Y8" s="8">
        <f t="shared" si="16"/>
        <v>8.7908E-2</v>
      </c>
      <c r="Z8" s="10">
        <f t="shared" si="7"/>
        <v>0.26987755999999996</v>
      </c>
      <c r="AA8" s="15"/>
      <c r="AB8" s="7">
        <f t="shared" si="8"/>
        <v>12365820</v>
      </c>
      <c r="AC8" s="8">
        <f t="shared" si="8"/>
        <v>12.365819999999999</v>
      </c>
      <c r="AD8" s="8">
        <f>D8+Q8</f>
        <v>37.963067399999993</v>
      </c>
    </row>
    <row r="9" spans="1:30" x14ac:dyDescent="0.2">
      <c r="A9" s="27">
        <v>43105</v>
      </c>
      <c r="B9" s="7">
        <f>'[2]Production Summary'!K10</f>
        <v>0</v>
      </c>
      <c r="C9" s="8">
        <f t="shared" si="9"/>
        <v>0</v>
      </c>
      <c r="D9" s="10">
        <f t="shared" si="0"/>
        <v>0</v>
      </c>
      <c r="E9" s="7">
        <f>'[2]Production Summary'!E10</f>
        <v>0</v>
      </c>
      <c r="F9" s="8">
        <f t="shared" si="10"/>
        <v>0</v>
      </c>
      <c r="G9" s="10">
        <f t="shared" si="1"/>
        <v>0</v>
      </c>
      <c r="H9" s="7">
        <f>'[2]Production Summary'!G10</f>
        <v>0</v>
      </c>
      <c r="I9" s="8">
        <f t="shared" si="11"/>
        <v>0</v>
      </c>
      <c r="J9" s="10">
        <f t="shared" si="2"/>
        <v>0</v>
      </c>
      <c r="K9" s="7">
        <f>'[2]Production Summary'!T10</f>
        <v>0</v>
      </c>
      <c r="L9" s="8">
        <f t="shared" si="12"/>
        <v>0</v>
      </c>
      <c r="M9" s="10">
        <f t="shared" si="3"/>
        <v>0</v>
      </c>
      <c r="N9" s="21"/>
      <c r="O9" s="7">
        <f>'[2]Production Summary'!J10</f>
        <v>13208784</v>
      </c>
      <c r="P9" s="8">
        <f t="shared" si="13"/>
        <v>13.208784</v>
      </c>
      <c r="Q9" s="10">
        <f t="shared" si="4"/>
        <v>40.550966879999997</v>
      </c>
      <c r="R9" s="7">
        <f>'[2]Production Summary'!AE10</f>
        <v>6160751</v>
      </c>
      <c r="S9" s="8">
        <f t="shared" si="14"/>
        <v>6.1607510000000003</v>
      </c>
      <c r="T9" s="10">
        <f t="shared" si="5"/>
        <v>18.913505570000002</v>
      </c>
      <c r="U9" s="7">
        <f>'[2]Production Summary'!AF10</f>
        <v>7494755</v>
      </c>
      <c r="V9" s="8">
        <f t="shared" si="15"/>
        <v>7.4947549999999996</v>
      </c>
      <c r="W9" s="10">
        <f t="shared" si="6"/>
        <v>23.008897849999997</v>
      </c>
      <c r="X9" s="7">
        <f>'[2]Production Summary'!AJ10</f>
        <v>250069</v>
      </c>
      <c r="Y9" s="8">
        <f t="shared" si="16"/>
        <v>0.25006899999999999</v>
      </c>
      <c r="Z9" s="10">
        <f t="shared" si="7"/>
        <v>0.76771182999999987</v>
      </c>
      <c r="AA9" s="15"/>
      <c r="AB9" s="7">
        <f t="shared" si="8"/>
        <v>13208784</v>
      </c>
      <c r="AC9" s="8">
        <f t="shared" si="8"/>
        <v>13.208784</v>
      </c>
      <c r="AD9" s="8">
        <f t="shared" si="8"/>
        <v>40.550966879999997</v>
      </c>
    </row>
    <row r="10" spans="1:30" x14ac:dyDescent="0.2">
      <c r="A10" s="27">
        <v>43106</v>
      </c>
      <c r="B10" s="7">
        <f>'[2]Production Summary'!K11</f>
        <v>0</v>
      </c>
      <c r="C10" s="8">
        <f t="shared" si="9"/>
        <v>0</v>
      </c>
      <c r="D10" s="10">
        <f t="shared" si="0"/>
        <v>0</v>
      </c>
      <c r="E10" s="7">
        <f>'[2]Production Summary'!E11</f>
        <v>0</v>
      </c>
      <c r="F10" s="8">
        <f t="shared" si="10"/>
        <v>0</v>
      </c>
      <c r="G10" s="10">
        <f t="shared" si="1"/>
        <v>0</v>
      </c>
      <c r="H10" s="7">
        <f>'[2]Production Summary'!G11</f>
        <v>0</v>
      </c>
      <c r="I10" s="8">
        <f t="shared" si="11"/>
        <v>0</v>
      </c>
      <c r="J10" s="10">
        <f t="shared" si="2"/>
        <v>0</v>
      </c>
      <c r="K10" s="7">
        <f>'[2]Production Summary'!T11</f>
        <v>0</v>
      </c>
      <c r="L10" s="8">
        <f t="shared" si="12"/>
        <v>0</v>
      </c>
      <c r="M10" s="10">
        <f t="shared" si="3"/>
        <v>0</v>
      </c>
      <c r="N10" s="21"/>
      <c r="O10" s="7">
        <f>'[2]Production Summary'!J11</f>
        <v>13855008</v>
      </c>
      <c r="P10" s="8">
        <f t="shared" si="13"/>
        <v>13.855008</v>
      </c>
      <c r="Q10" s="10">
        <f t="shared" si="4"/>
        <v>42.534874559999999</v>
      </c>
      <c r="R10" s="7">
        <f>'[2]Production Summary'!AE11</f>
        <v>6295711</v>
      </c>
      <c r="S10" s="8">
        <f t="shared" si="14"/>
        <v>6.2957109999999998</v>
      </c>
      <c r="T10" s="10">
        <f t="shared" si="5"/>
        <v>19.327832769999997</v>
      </c>
      <c r="U10" s="7">
        <f>'[2]Production Summary'!AF11</f>
        <v>7695539</v>
      </c>
      <c r="V10" s="8">
        <f>IF(U10="",V9,U10/1000000)</f>
        <v>7.6955390000000001</v>
      </c>
      <c r="W10" s="10">
        <f t="shared" si="6"/>
        <v>23.62530473</v>
      </c>
      <c r="X10" s="7">
        <f>'[2]Production Summary'!AJ11</f>
        <v>146960</v>
      </c>
      <c r="Y10" s="8">
        <f t="shared" si="16"/>
        <v>0.14696000000000001</v>
      </c>
      <c r="Z10" s="10">
        <f t="shared" si="7"/>
        <v>0.45116719999999999</v>
      </c>
      <c r="AA10" s="15"/>
      <c r="AB10" s="7">
        <f t="shared" si="8"/>
        <v>13855008</v>
      </c>
      <c r="AC10" s="8">
        <f t="shared" si="8"/>
        <v>13.855008</v>
      </c>
      <c r="AD10" s="8">
        <f t="shared" si="8"/>
        <v>42.534874559999999</v>
      </c>
    </row>
    <row r="11" spans="1:30" x14ac:dyDescent="0.2">
      <c r="A11" s="27">
        <v>43107</v>
      </c>
      <c r="B11" s="7">
        <f>'[2]Production Summary'!K12</f>
        <v>0</v>
      </c>
      <c r="C11" s="8">
        <f t="shared" si="9"/>
        <v>0</v>
      </c>
      <c r="D11" s="10">
        <f t="shared" si="0"/>
        <v>0</v>
      </c>
      <c r="E11" s="7">
        <f>'[2]Production Summary'!E12</f>
        <v>0</v>
      </c>
      <c r="F11" s="8">
        <f t="shared" si="10"/>
        <v>0</v>
      </c>
      <c r="G11" s="10">
        <f t="shared" si="1"/>
        <v>0</v>
      </c>
      <c r="H11" s="7">
        <f>'[2]Production Summary'!G12</f>
        <v>0</v>
      </c>
      <c r="I11" s="8">
        <f t="shared" si="11"/>
        <v>0</v>
      </c>
      <c r="J11" s="10">
        <f t="shared" si="2"/>
        <v>0</v>
      </c>
      <c r="K11" s="7">
        <f>'[2]Production Summary'!T12</f>
        <v>0</v>
      </c>
      <c r="L11" s="8">
        <f t="shared" si="12"/>
        <v>0</v>
      </c>
      <c r="M11" s="10">
        <f t="shared" si="3"/>
        <v>0</v>
      </c>
      <c r="N11" s="21"/>
      <c r="O11" s="7">
        <f>'[2]Production Summary'!J12</f>
        <v>13570827</v>
      </c>
      <c r="P11" s="8">
        <f t="shared" si="13"/>
        <v>13.570827</v>
      </c>
      <c r="Q11" s="10">
        <f t="shared" si="4"/>
        <v>41.662438889999997</v>
      </c>
      <c r="R11" s="7">
        <f>'[2]Production Summary'!AE12</f>
        <v>6294170</v>
      </c>
      <c r="S11" s="8">
        <f t="shared" si="14"/>
        <v>6.2941700000000003</v>
      </c>
      <c r="T11" s="10">
        <f t="shared" si="5"/>
        <v>19.323101900000001</v>
      </c>
      <c r="U11" s="7">
        <f>'[2]Production Summary'!AF12</f>
        <v>7697018</v>
      </c>
      <c r="V11" s="8">
        <f t="shared" si="15"/>
        <v>7.6970179999999999</v>
      </c>
      <c r="W11" s="10">
        <f t="shared" si="6"/>
        <v>23.62984526</v>
      </c>
      <c r="X11" s="7">
        <f>'[2]Production Summary'!AJ12</f>
        <v>236436</v>
      </c>
      <c r="Y11" s="8">
        <f t="shared" si="16"/>
        <v>0.23643600000000001</v>
      </c>
      <c r="Z11" s="10">
        <f t="shared" si="7"/>
        <v>0.72585851999999995</v>
      </c>
      <c r="AA11" s="15"/>
      <c r="AB11" s="7">
        <f t="shared" si="8"/>
        <v>13570827</v>
      </c>
      <c r="AC11" s="8">
        <f t="shared" si="8"/>
        <v>13.570827</v>
      </c>
      <c r="AD11" s="8">
        <f t="shared" si="8"/>
        <v>41.662438889999997</v>
      </c>
    </row>
    <row r="12" spans="1:30" x14ac:dyDescent="0.2">
      <c r="A12" s="27">
        <v>43108</v>
      </c>
      <c r="B12" s="7">
        <f>'[2]Production Summary'!K13</f>
        <v>0</v>
      </c>
      <c r="C12" s="8">
        <f t="shared" si="9"/>
        <v>0</v>
      </c>
      <c r="D12" s="10">
        <f t="shared" si="0"/>
        <v>0</v>
      </c>
      <c r="E12" s="7">
        <f>'[2]Production Summary'!E13</f>
        <v>0</v>
      </c>
      <c r="F12" s="8">
        <f t="shared" si="10"/>
        <v>0</v>
      </c>
      <c r="G12" s="10">
        <f t="shared" si="1"/>
        <v>0</v>
      </c>
      <c r="H12" s="7">
        <f>'[2]Production Summary'!G13</f>
        <v>0</v>
      </c>
      <c r="I12" s="8">
        <f t="shared" si="11"/>
        <v>0</v>
      </c>
      <c r="J12" s="10">
        <f t="shared" si="2"/>
        <v>0</v>
      </c>
      <c r="K12" s="7">
        <f>'[2]Production Summary'!T13</f>
        <v>0</v>
      </c>
      <c r="L12" s="8">
        <f t="shared" si="12"/>
        <v>0</v>
      </c>
      <c r="M12" s="10">
        <f t="shared" si="3"/>
        <v>0</v>
      </c>
      <c r="N12" s="21"/>
      <c r="O12" s="7">
        <f>'[2]Production Summary'!J13</f>
        <v>13088439</v>
      </c>
      <c r="P12" s="8">
        <f t="shared" si="13"/>
        <v>13.088438999999999</v>
      </c>
      <c r="Q12" s="10">
        <f t="shared" si="4"/>
        <v>40.181507729999993</v>
      </c>
      <c r="R12" s="7">
        <f>'[2]Production Summary'!AE13</f>
        <v>5928854</v>
      </c>
      <c r="S12" s="8">
        <f t="shared" si="14"/>
        <v>5.9288540000000003</v>
      </c>
      <c r="T12" s="10">
        <f t="shared" si="5"/>
        <v>18.201581780000001</v>
      </c>
      <c r="U12" s="7">
        <f>'[2]Production Summary'!AF13</f>
        <v>7216126</v>
      </c>
      <c r="V12" s="8">
        <f t="shared" si="15"/>
        <v>7.216126</v>
      </c>
      <c r="W12" s="10">
        <f t="shared" si="6"/>
        <v>22.15350682</v>
      </c>
      <c r="X12" s="7">
        <f>'[2]Production Summary'!AJ13</f>
        <v>81145</v>
      </c>
      <c r="Y12" s="8">
        <f t="shared" si="16"/>
        <v>8.1144999999999995E-2</v>
      </c>
      <c r="Z12" s="10">
        <f t="shared" si="7"/>
        <v>0.24911514999999998</v>
      </c>
      <c r="AA12" s="15"/>
      <c r="AB12" s="7">
        <f t="shared" si="8"/>
        <v>13088439</v>
      </c>
      <c r="AC12" s="8">
        <f t="shared" si="8"/>
        <v>13.088438999999999</v>
      </c>
      <c r="AD12" s="8">
        <f t="shared" si="8"/>
        <v>40.181507729999993</v>
      </c>
    </row>
    <row r="13" spans="1:30" x14ac:dyDescent="0.2">
      <c r="A13" s="27">
        <v>43109</v>
      </c>
      <c r="B13" s="7">
        <f>'[2]Production Summary'!K14</f>
        <v>0</v>
      </c>
      <c r="C13" s="8">
        <f t="shared" si="9"/>
        <v>0</v>
      </c>
      <c r="D13" s="10">
        <f t="shared" si="0"/>
        <v>0</v>
      </c>
      <c r="E13" s="7">
        <f>'[2]Production Summary'!E14</f>
        <v>0</v>
      </c>
      <c r="F13" s="8">
        <f t="shared" si="10"/>
        <v>0</v>
      </c>
      <c r="G13" s="10">
        <f t="shared" si="1"/>
        <v>0</v>
      </c>
      <c r="H13" s="7">
        <f>'[2]Production Summary'!G14</f>
        <v>0</v>
      </c>
      <c r="I13" s="8">
        <f t="shared" si="11"/>
        <v>0</v>
      </c>
      <c r="J13" s="10">
        <f t="shared" si="2"/>
        <v>0</v>
      </c>
      <c r="K13" s="7">
        <f>'[2]Production Summary'!T14</f>
        <v>0</v>
      </c>
      <c r="L13" s="8">
        <f t="shared" si="12"/>
        <v>0</v>
      </c>
      <c r="M13" s="10">
        <f t="shared" si="3"/>
        <v>0</v>
      </c>
      <c r="N13" s="21"/>
      <c r="O13" s="7">
        <f>'[2]Production Summary'!J14</f>
        <v>12345984</v>
      </c>
      <c r="P13" s="8">
        <f t="shared" si="13"/>
        <v>12.345984</v>
      </c>
      <c r="Q13" s="10">
        <f t="shared" si="4"/>
        <v>37.90217088</v>
      </c>
      <c r="R13" s="7">
        <f>'[2]Production Summary'!AE14</f>
        <v>5591356</v>
      </c>
      <c r="S13" s="8">
        <f t="shared" si="14"/>
        <v>5.5913560000000002</v>
      </c>
      <c r="T13" s="10">
        <f t="shared" si="5"/>
        <v>17.16546292</v>
      </c>
      <c r="U13" s="7">
        <f>'[2]Production Summary'!AF14</f>
        <v>6810326</v>
      </c>
      <c r="V13" s="8">
        <f t="shared" si="15"/>
        <v>6.8103259999999999</v>
      </c>
      <c r="W13" s="10">
        <f t="shared" si="6"/>
        <v>20.907700819999999</v>
      </c>
      <c r="X13" s="7">
        <f>'[2]Production Summary'!AJ14</f>
        <v>71516</v>
      </c>
      <c r="Y13" s="8">
        <f t="shared" si="16"/>
        <v>7.1515999999999996E-2</v>
      </c>
      <c r="Z13" s="10">
        <f t="shared" si="7"/>
        <v>0.21955411999999996</v>
      </c>
      <c r="AA13" s="15"/>
      <c r="AB13" s="7">
        <f t="shared" si="8"/>
        <v>12345984</v>
      </c>
      <c r="AC13" s="8">
        <f t="shared" si="8"/>
        <v>12.345984</v>
      </c>
      <c r="AD13" s="8">
        <f t="shared" si="8"/>
        <v>37.90217088</v>
      </c>
    </row>
    <row r="14" spans="1:30" x14ac:dyDescent="0.2">
      <c r="A14" s="27">
        <v>43110</v>
      </c>
      <c r="B14" s="7">
        <f>'[2]Production Summary'!K15</f>
        <v>0</v>
      </c>
      <c r="C14" s="8">
        <f t="shared" si="9"/>
        <v>0</v>
      </c>
      <c r="D14" s="10">
        <f t="shared" si="0"/>
        <v>0</v>
      </c>
      <c r="E14" s="7">
        <f>'[2]Production Summary'!E15</f>
        <v>0</v>
      </c>
      <c r="F14" s="8">
        <f t="shared" si="10"/>
        <v>0</v>
      </c>
      <c r="G14" s="10">
        <f t="shared" si="1"/>
        <v>0</v>
      </c>
      <c r="H14" s="7">
        <f>'[2]Production Summary'!G15</f>
        <v>0</v>
      </c>
      <c r="I14" s="8">
        <f t="shared" si="11"/>
        <v>0</v>
      </c>
      <c r="J14" s="10">
        <f t="shared" si="2"/>
        <v>0</v>
      </c>
      <c r="K14" s="7">
        <f>'[2]Production Summary'!T15</f>
        <v>0</v>
      </c>
      <c r="L14" s="8">
        <f t="shared" si="12"/>
        <v>0</v>
      </c>
      <c r="M14" s="10">
        <f t="shared" si="3"/>
        <v>0</v>
      </c>
      <c r="N14" s="21"/>
      <c r="O14" s="7">
        <f>'[2]Production Summary'!J15</f>
        <v>12478759</v>
      </c>
      <c r="P14" s="8">
        <f t="shared" si="13"/>
        <v>12.478759</v>
      </c>
      <c r="Q14" s="10">
        <f t="shared" si="4"/>
        <v>38.309790129999996</v>
      </c>
      <c r="R14" s="7">
        <f>'[2]Production Summary'!AE15</f>
        <v>5847776</v>
      </c>
      <c r="S14" s="8">
        <f t="shared" si="14"/>
        <v>5.8477759999999996</v>
      </c>
      <c r="T14" s="10">
        <f t="shared" si="5"/>
        <v>17.952672319999998</v>
      </c>
      <c r="U14" s="7">
        <f>'[2]Production Summary'!AF15</f>
        <v>7124825</v>
      </c>
      <c r="V14" s="8">
        <f t="shared" si="15"/>
        <v>7.1248250000000004</v>
      </c>
      <c r="W14" s="10">
        <f t="shared" si="6"/>
        <v>21.87321275</v>
      </c>
      <c r="X14" s="7">
        <f>'[2]Production Summary'!AJ15</f>
        <v>333671</v>
      </c>
      <c r="Y14" s="8">
        <f t="shared" si="16"/>
        <v>0.333671</v>
      </c>
      <c r="Z14" s="10">
        <f t="shared" si="7"/>
        <v>1.02436997</v>
      </c>
      <c r="AA14" s="15"/>
      <c r="AB14" s="7">
        <f t="shared" si="8"/>
        <v>12478759</v>
      </c>
      <c r="AC14" s="8">
        <f t="shared" si="8"/>
        <v>12.478759</v>
      </c>
      <c r="AD14" s="8">
        <f t="shared" si="8"/>
        <v>38.309790129999996</v>
      </c>
    </row>
    <row r="15" spans="1:30" x14ac:dyDescent="0.2">
      <c r="A15" s="27">
        <v>43111</v>
      </c>
      <c r="B15" s="7">
        <f>'[2]Production Summary'!K16</f>
        <v>0</v>
      </c>
      <c r="C15" s="8">
        <f t="shared" si="9"/>
        <v>0</v>
      </c>
      <c r="D15" s="10">
        <f t="shared" si="0"/>
        <v>0</v>
      </c>
      <c r="E15" s="7">
        <f>'[2]Production Summary'!E16</f>
        <v>0</v>
      </c>
      <c r="F15" s="8">
        <f t="shared" si="10"/>
        <v>0</v>
      </c>
      <c r="G15" s="10">
        <f t="shared" si="1"/>
        <v>0</v>
      </c>
      <c r="H15" s="7">
        <f>'[2]Production Summary'!G16</f>
        <v>0</v>
      </c>
      <c r="I15" s="8">
        <f t="shared" si="11"/>
        <v>0</v>
      </c>
      <c r="J15" s="10">
        <f t="shared" si="2"/>
        <v>0</v>
      </c>
      <c r="K15" s="7">
        <f>'[2]Production Summary'!T16</f>
        <v>0</v>
      </c>
      <c r="L15" s="8">
        <f t="shared" si="12"/>
        <v>0</v>
      </c>
      <c r="M15" s="10">
        <f t="shared" si="3"/>
        <v>0</v>
      </c>
      <c r="N15" s="21"/>
      <c r="O15" s="7">
        <f>'[2]Production Summary'!J16</f>
        <v>11860631</v>
      </c>
      <c r="P15" s="8">
        <f t="shared" si="13"/>
        <v>11.860631</v>
      </c>
      <c r="Q15" s="10">
        <f t="shared" si="4"/>
        <v>36.412137169999994</v>
      </c>
      <c r="R15" s="7">
        <f>'[2]Production Summary'!AE16</f>
        <v>5415323</v>
      </c>
      <c r="S15" s="8">
        <f t="shared" si="14"/>
        <v>5.4153229999999999</v>
      </c>
      <c r="T15" s="10">
        <f t="shared" si="5"/>
        <v>16.62504161</v>
      </c>
      <c r="U15" s="7">
        <f>'[2]Production Summary'!AF16</f>
        <v>6601876</v>
      </c>
      <c r="V15" s="8">
        <f t="shared" si="15"/>
        <v>6.6018759999999999</v>
      </c>
      <c r="W15" s="10">
        <f t="shared" si="6"/>
        <v>20.26775932</v>
      </c>
      <c r="X15" s="7">
        <f>'[2]Production Summary'!AJ16</f>
        <v>103242</v>
      </c>
      <c r="Y15" s="8">
        <f t="shared" si="16"/>
        <v>0.103242</v>
      </c>
      <c r="Z15" s="10">
        <f t="shared" si="7"/>
        <v>0.31695293999999996</v>
      </c>
      <c r="AA15" s="15"/>
      <c r="AB15" s="7">
        <f t="shared" si="8"/>
        <v>11860631</v>
      </c>
      <c r="AC15" s="8">
        <f t="shared" si="8"/>
        <v>11.860631</v>
      </c>
      <c r="AD15" s="8">
        <f t="shared" si="8"/>
        <v>36.412137169999994</v>
      </c>
    </row>
    <row r="16" spans="1:30" x14ac:dyDescent="0.2">
      <c r="A16" s="27">
        <v>43112</v>
      </c>
      <c r="B16" s="7">
        <f>'[2]Production Summary'!K17</f>
        <v>0</v>
      </c>
      <c r="C16" s="8">
        <f t="shared" si="9"/>
        <v>0</v>
      </c>
      <c r="D16" s="10">
        <f t="shared" si="0"/>
        <v>0</v>
      </c>
      <c r="E16" s="7">
        <f>'[2]Production Summary'!E17</f>
        <v>0</v>
      </c>
      <c r="F16" s="8">
        <f t="shared" si="10"/>
        <v>0</v>
      </c>
      <c r="G16" s="10">
        <f t="shared" si="1"/>
        <v>0</v>
      </c>
      <c r="H16" s="7">
        <f>'[2]Production Summary'!G17</f>
        <v>0</v>
      </c>
      <c r="I16" s="8">
        <f t="shared" si="11"/>
        <v>0</v>
      </c>
      <c r="J16" s="10">
        <f t="shared" si="2"/>
        <v>0</v>
      </c>
      <c r="K16" s="7">
        <f>'[2]Production Summary'!T17</f>
        <v>0</v>
      </c>
      <c r="L16" s="8">
        <f t="shared" si="12"/>
        <v>0</v>
      </c>
      <c r="M16" s="10">
        <f t="shared" si="3"/>
        <v>0</v>
      </c>
      <c r="N16" s="21"/>
      <c r="O16" s="7">
        <f>'[2]Production Summary'!J17</f>
        <v>11230592</v>
      </c>
      <c r="P16" s="8">
        <f t="shared" si="13"/>
        <v>11.230592</v>
      </c>
      <c r="Q16" s="10">
        <f t="shared" si="4"/>
        <v>34.477917439999999</v>
      </c>
      <c r="R16" s="7">
        <f>'[2]Production Summary'!AE17</f>
        <v>5066388</v>
      </c>
      <c r="S16" s="8">
        <f t="shared" si="14"/>
        <v>5.0663879999999999</v>
      </c>
      <c r="T16" s="10">
        <f t="shared" si="5"/>
        <v>15.553811159999999</v>
      </c>
      <c r="U16" s="7">
        <f>'[2]Production Summary'!AF17</f>
        <v>6186890</v>
      </c>
      <c r="V16" s="8">
        <f t="shared" si="15"/>
        <v>6.18689</v>
      </c>
      <c r="W16" s="10">
        <f t="shared" si="6"/>
        <v>18.993752300000001</v>
      </c>
      <c r="X16" s="7">
        <f>'[2]Production Summary'!AJ17</f>
        <v>95198</v>
      </c>
      <c r="Y16" s="8">
        <f t="shared" si="16"/>
        <v>9.5198000000000005E-2</v>
      </c>
      <c r="Z16" s="10">
        <f t="shared" si="7"/>
        <v>0.29225785999999998</v>
      </c>
      <c r="AA16" s="15"/>
      <c r="AB16" s="7">
        <f t="shared" si="8"/>
        <v>11230592</v>
      </c>
      <c r="AC16" s="8">
        <f t="shared" si="8"/>
        <v>11.230592</v>
      </c>
      <c r="AD16" s="8">
        <f t="shared" si="8"/>
        <v>34.477917439999999</v>
      </c>
    </row>
    <row r="17" spans="1:30" x14ac:dyDescent="0.2">
      <c r="A17" s="27">
        <v>43113</v>
      </c>
      <c r="B17" s="7">
        <f>'[2]Production Summary'!K18</f>
        <v>0</v>
      </c>
      <c r="C17" s="8">
        <f t="shared" si="9"/>
        <v>0</v>
      </c>
      <c r="D17" s="10">
        <f t="shared" si="0"/>
        <v>0</v>
      </c>
      <c r="E17" s="7">
        <f>'[2]Production Summary'!E18</f>
        <v>0</v>
      </c>
      <c r="F17" s="8">
        <f t="shared" si="10"/>
        <v>0</v>
      </c>
      <c r="G17" s="10">
        <f t="shared" si="1"/>
        <v>0</v>
      </c>
      <c r="H17" s="7">
        <f>'[2]Production Summary'!G18</f>
        <v>10000</v>
      </c>
      <c r="I17" s="8">
        <f t="shared" si="11"/>
        <v>0.01</v>
      </c>
      <c r="J17" s="10">
        <f t="shared" si="2"/>
        <v>3.0699999999999998E-2</v>
      </c>
      <c r="K17" s="7">
        <f>'[2]Production Summary'!T18</f>
        <v>0</v>
      </c>
      <c r="L17" s="8">
        <f t="shared" si="12"/>
        <v>0</v>
      </c>
      <c r="M17" s="10">
        <f t="shared" si="3"/>
        <v>0</v>
      </c>
      <c r="N17" s="21"/>
      <c r="O17" s="7">
        <f>'[2]Production Summary'!J18</f>
        <v>11042643</v>
      </c>
      <c r="P17" s="8">
        <f t="shared" si="13"/>
        <v>11.042643</v>
      </c>
      <c r="Q17" s="10">
        <f t="shared" si="4"/>
        <v>33.900914010000001</v>
      </c>
      <c r="R17" s="7">
        <f>'[2]Production Summary'!AE18</f>
        <v>6070749</v>
      </c>
      <c r="S17" s="8">
        <f t="shared" si="14"/>
        <v>6.0707490000000002</v>
      </c>
      <c r="T17" s="10">
        <f t="shared" si="5"/>
        <v>18.637199429999999</v>
      </c>
      <c r="U17" s="7">
        <f>'[2]Production Summary'!AF18</f>
        <v>7377590</v>
      </c>
      <c r="V17" s="8">
        <f t="shared" si="15"/>
        <v>7.3775899999999996</v>
      </c>
      <c r="W17" s="10">
        <f t="shared" si="6"/>
        <v>22.649201299999998</v>
      </c>
      <c r="X17" s="7">
        <f>'[2]Production Summary'!AJ18</f>
        <v>283147</v>
      </c>
      <c r="Y17" s="8">
        <f t="shared" si="16"/>
        <v>0.28314699999999998</v>
      </c>
      <c r="Z17" s="10">
        <f t="shared" si="7"/>
        <v>0.86926128999999985</v>
      </c>
      <c r="AA17" s="15"/>
      <c r="AB17" s="7">
        <f t="shared" si="8"/>
        <v>11042643</v>
      </c>
      <c r="AC17" s="8">
        <f t="shared" si="8"/>
        <v>11.042643</v>
      </c>
      <c r="AD17" s="8">
        <f t="shared" si="8"/>
        <v>33.900914010000001</v>
      </c>
    </row>
    <row r="18" spans="1:30" x14ac:dyDescent="0.2">
      <c r="A18" s="27">
        <v>43114</v>
      </c>
      <c r="B18" s="7">
        <f>'[2]Production Summary'!K19</f>
        <v>0</v>
      </c>
      <c r="C18" s="8">
        <f t="shared" si="9"/>
        <v>0</v>
      </c>
      <c r="D18" s="10">
        <f t="shared" si="0"/>
        <v>0</v>
      </c>
      <c r="E18" s="7">
        <f>'[2]Production Summary'!E19</f>
        <v>0</v>
      </c>
      <c r="F18" s="8">
        <f t="shared" si="10"/>
        <v>0</v>
      </c>
      <c r="G18" s="10">
        <f t="shared" si="1"/>
        <v>0</v>
      </c>
      <c r="H18" s="7">
        <f>'[2]Production Summary'!G19</f>
        <v>0</v>
      </c>
      <c r="I18" s="8">
        <f t="shared" si="11"/>
        <v>0</v>
      </c>
      <c r="J18" s="10">
        <f t="shared" si="2"/>
        <v>0</v>
      </c>
      <c r="K18" s="7">
        <f>'[2]Production Summary'!T19</f>
        <v>0</v>
      </c>
      <c r="L18" s="8">
        <f t="shared" si="12"/>
        <v>0</v>
      </c>
      <c r="M18" s="10">
        <f t="shared" si="3"/>
        <v>0</v>
      </c>
      <c r="N18" s="21"/>
      <c r="O18" s="7">
        <f>'[2]Production Summary'!J19</f>
        <v>9603076</v>
      </c>
      <c r="P18" s="8">
        <f t="shared" si="13"/>
        <v>9.6030759999999997</v>
      </c>
      <c r="Q18" s="10">
        <f t="shared" si="4"/>
        <v>29.481443319999997</v>
      </c>
      <c r="R18" s="7">
        <f>'[2]Production Summary'!AE19</f>
        <v>5339000</v>
      </c>
      <c r="S18" s="8">
        <f t="shared" si="14"/>
        <v>5.3390000000000004</v>
      </c>
      <c r="T18" s="10">
        <f t="shared" si="5"/>
        <v>16.390730000000001</v>
      </c>
      <c r="U18" s="7">
        <f>'[2]Production Summary'!AF19</f>
        <v>6456000</v>
      </c>
      <c r="V18" s="8">
        <f t="shared" si="15"/>
        <v>6.4560000000000004</v>
      </c>
      <c r="W18" s="10">
        <f t="shared" si="6"/>
        <v>19.81992</v>
      </c>
      <c r="X18" s="7">
        <f>'[2]Production Summary'!AJ19</f>
        <v>0</v>
      </c>
      <c r="Y18" s="8">
        <f t="shared" si="16"/>
        <v>0</v>
      </c>
      <c r="Z18" s="10">
        <f t="shared" si="7"/>
        <v>0</v>
      </c>
      <c r="AA18" s="15"/>
      <c r="AB18" s="7">
        <f t="shared" si="8"/>
        <v>9603076</v>
      </c>
      <c r="AC18" s="8">
        <f t="shared" si="8"/>
        <v>9.6030759999999997</v>
      </c>
      <c r="AD18" s="8">
        <f t="shared" si="8"/>
        <v>29.481443319999997</v>
      </c>
    </row>
    <row r="19" spans="1:30" x14ac:dyDescent="0.2">
      <c r="A19" s="27">
        <v>43115</v>
      </c>
      <c r="B19" s="7">
        <f>'[2]Production Summary'!K20</f>
        <v>0</v>
      </c>
      <c r="C19" s="8">
        <f t="shared" si="9"/>
        <v>0</v>
      </c>
      <c r="D19" s="10">
        <f t="shared" si="0"/>
        <v>0</v>
      </c>
      <c r="E19" s="7">
        <f>'[2]Production Summary'!E20</f>
        <v>0</v>
      </c>
      <c r="F19" s="8">
        <f t="shared" si="10"/>
        <v>0</v>
      </c>
      <c r="G19" s="10">
        <f t="shared" si="1"/>
        <v>0</v>
      </c>
      <c r="H19" s="7">
        <f>'[2]Production Summary'!G20</f>
        <v>0</v>
      </c>
      <c r="I19" s="8">
        <f t="shared" si="11"/>
        <v>0</v>
      </c>
      <c r="J19" s="10">
        <f t="shared" si="2"/>
        <v>0</v>
      </c>
      <c r="K19" s="7">
        <f>'[2]Production Summary'!T20</f>
        <v>0</v>
      </c>
      <c r="L19" s="8">
        <f t="shared" si="12"/>
        <v>0</v>
      </c>
      <c r="M19" s="10">
        <f t="shared" si="3"/>
        <v>0</v>
      </c>
      <c r="N19" s="21"/>
      <c r="O19" s="7">
        <f>'[2]Production Summary'!J20</f>
        <v>10858000</v>
      </c>
      <c r="P19" s="8">
        <f t="shared" si="13"/>
        <v>10.858000000000001</v>
      </c>
      <c r="Q19" s="10">
        <f t="shared" si="4"/>
        <v>33.334060000000001</v>
      </c>
      <c r="R19" s="7">
        <f>'[2]Production Summary'!AE20</f>
        <v>5318000</v>
      </c>
      <c r="S19" s="8">
        <f t="shared" si="14"/>
        <v>5.3179999999999996</v>
      </c>
      <c r="T19" s="10">
        <f t="shared" si="5"/>
        <v>16.326259999999998</v>
      </c>
      <c r="U19" s="7">
        <f>'[2]Production Summary'!AF20</f>
        <v>6400000</v>
      </c>
      <c r="V19" s="8">
        <f t="shared" si="15"/>
        <v>6.4</v>
      </c>
      <c r="W19" s="10">
        <f t="shared" si="6"/>
        <v>19.648</v>
      </c>
      <c r="X19" s="7">
        <f>'[2]Production Summary'!AJ20</f>
        <v>144000</v>
      </c>
      <c r="Y19" s="8">
        <f t="shared" si="16"/>
        <v>0.14399999999999999</v>
      </c>
      <c r="Z19" s="10">
        <f t="shared" si="7"/>
        <v>0.44207999999999992</v>
      </c>
      <c r="AA19" s="15"/>
      <c r="AB19" s="7">
        <f t="shared" si="8"/>
        <v>10858000</v>
      </c>
      <c r="AC19" s="8">
        <f t="shared" si="8"/>
        <v>10.858000000000001</v>
      </c>
      <c r="AD19" s="8">
        <f>D19+Q19</f>
        <v>33.334060000000001</v>
      </c>
    </row>
    <row r="20" spans="1:30" x14ac:dyDescent="0.2">
      <c r="A20" s="27">
        <v>43116</v>
      </c>
      <c r="B20" s="7">
        <f>'[2]Production Summary'!K21</f>
        <v>0</v>
      </c>
      <c r="C20" s="8">
        <f t="shared" si="9"/>
        <v>0</v>
      </c>
      <c r="D20" s="10">
        <f t="shared" si="0"/>
        <v>0</v>
      </c>
      <c r="E20" s="7">
        <f>'[2]Production Summary'!E21</f>
        <v>0</v>
      </c>
      <c r="F20" s="8">
        <f t="shared" si="10"/>
        <v>0</v>
      </c>
      <c r="G20" s="10">
        <f t="shared" si="1"/>
        <v>0</v>
      </c>
      <c r="H20" s="7">
        <f>'[2]Production Summary'!G21</f>
        <v>0</v>
      </c>
      <c r="I20" s="8">
        <f t="shared" si="11"/>
        <v>0</v>
      </c>
      <c r="J20" s="10">
        <f t="shared" si="2"/>
        <v>0</v>
      </c>
      <c r="K20" s="7">
        <f>'[2]Production Summary'!T21</f>
        <v>0</v>
      </c>
      <c r="L20" s="8">
        <f t="shared" si="12"/>
        <v>0</v>
      </c>
      <c r="M20" s="10">
        <f t="shared" si="3"/>
        <v>0</v>
      </c>
      <c r="N20" s="21"/>
      <c r="O20" s="7">
        <f>'[2]Production Summary'!J21</f>
        <v>9268765</v>
      </c>
      <c r="P20" s="8">
        <f t="shared" si="13"/>
        <v>9.2687650000000001</v>
      </c>
      <c r="Q20" s="10">
        <f t="shared" si="4"/>
        <v>28.455108549999999</v>
      </c>
      <c r="R20" s="7">
        <f>'[2]Production Summary'!AE21</f>
        <v>5320980</v>
      </c>
      <c r="S20" s="8">
        <f t="shared" si="14"/>
        <v>5.3209799999999996</v>
      </c>
      <c r="T20" s="10">
        <f t="shared" si="5"/>
        <v>16.335408599999997</v>
      </c>
      <c r="U20" s="7">
        <f>'[2]Production Summary'!AF21</f>
        <v>6399902</v>
      </c>
      <c r="V20" s="8">
        <f t="shared" si="15"/>
        <v>6.399902</v>
      </c>
      <c r="W20" s="10">
        <f t="shared" si="6"/>
        <v>19.64769914</v>
      </c>
      <c r="X20" s="7">
        <f>'[2]Production Summary'!AJ21</f>
        <v>294000</v>
      </c>
      <c r="Y20" s="8">
        <f t="shared" si="16"/>
        <v>0.29399999999999998</v>
      </c>
      <c r="Z20" s="10">
        <f t="shared" si="7"/>
        <v>0.90257999999999994</v>
      </c>
      <c r="AA20" s="15"/>
      <c r="AB20" s="7">
        <f t="shared" si="8"/>
        <v>9268765</v>
      </c>
      <c r="AC20" s="8">
        <f t="shared" si="8"/>
        <v>9.2687650000000001</v>
      </c>
      <c r="AD20" s="8">
        <f t="shared" si="8"/>
        <v>28.455108549999999</v>
      </c>
    </row>
    <row r="21" spans="1:30" x14ac:dyDescent="0.2">
      <c r="A21" s="27">
        <v>43117</v>
      </c>
      <c r="B21" s="7">
        <f>'[2]Production Summary'!K22</f>
        <v>0</v>
      </c>
      <c r="C21" s="8">
        <f t="shared" si="9"/>
        <v>0</v>
      </c>
      <c r="D21" s="10">
        <f t="shared" si="0"/>
        <v>0</v>
      </c>
      <c r="E21" s="7">
        <f>'[2]Production Summary'!E22</f>
        <v>0</v>
      </c>
      <c r="F21" s="8">
        <f t="shared" si="10"/>
        <v>0</v>
      </c>
      <c r="G21" s="10">
        <f t="shared" si="1"/>
        <v>0</v>
      </c>
      <c r="H21" s="7">
        <f>'[2]Production Summary'!G22</f>
        <v>0</v>
      </c>
      <c r="I21" s="8">
        <f t="shared" si="11"/>
        <v>0</v>
      </c>
      <c r="J21" s="10">
        <f t="shared" si="2"/>
        <v>0</v>
      </c>
      <c r="K21" s="7">
        <f>'[2]Production Summary'!T22</f>
        <v>0</v>
      </c>
      <c r="L21" s="8">
        <f t="shared" si="12"/>
        <v>0</v>
      </c>
      <c r="M21" s="10">
        <f t="shared" si="3"/>
        <v>0</v>
      </c>
      <c r="N21" s="21"/>
      <c r="O21" s="7">
        <f>'[2]Production Summary'!J22</f>
        <v>8878980</v>
      </c>
      <c r="P21" s="8">
        <f t="shared" si="13"/>
        <v>8.8789800000000003</v>
      </c>
      <c r="Q21" s="10">
        <f t="shared" si="4"/>
        <v>27.2584686</v>
      </c>
      <c r="R21" s="7">
        <f>'[2]Production Summary'!AE22</f>
        <v>5317980</v>
      </c>
      <c r="S21" s="8">
        <f t="shared" si="14"/>
        <v>5.3179800000000004</v>
      </c>
      <c r="T21" s="10">
        <f t="shared" si="5"/>
        <v>16.326198600000001</v>
      </c>
      <c r="U21" s="7">
        <f>'[2]Production Summary'!AF22</f>
        <v>6413901</v>
      </c>
      <c r="V21" s="8">
        <f t="shared" si="15"/>
        <v>6.4139010000000001</v>
      </c>
      <c r="W21" s="10">
        <f t="shared" si="6"/>
        <v>19.690676069999999</v>
      </c>
      <c r="X21" s="7">
        <f>'[2]Production Summary'!AJ22</f>
        <v>56000</v>
      </c>
      <c r="Y21" s="8">
        <f t="shared" si="16"/>
        <v>5.6000000000000001E-2</v>
      </c>
      <c r="Z21" s="10">
        <f t="shared" si="7"/>
        <v>0.17191999999999999</v>
      </c>
      <c r="AA21" s="15"/>
      <c r="AB21" s="7">
        <f t="shared" si="8"/>
        <v>8878980</v>
      </c>
      <c r="AC21" s="8">
        <f t="shared" si="8"/>
        <v>8.8789800000000003</v>
      </c>
      <c r="AD21" s="8">
        <f t="shared" si="8"/>
        <v>27.2584686</v>
      </c>
    </row>
    <row r="22" spans="1:30" x14ac:dyDescent="0.2">
      <c r="A22" s="27">
        <v>43118</v>
      </c>
      <c r="B22" s="7">
        <f>'[2]Production Summary'!K23</f>
        <v>0</v>
      </c>
      <c r="C22" s="8">
        <f t="shared" si="9"/>
        <v>0</v>
      </c>
      <c r="D22" s="10">
        <f t="shared" si="0"/>
        <v>0</v>
      </c>
      <c r="E22" s="7">
        <f>'[2]Production Summary'!E23</f>
        <v>0</v>
      </c>
      <c r="F22" s="8">
        <f t="shared" si="10"/>
        <v>0</v>
      </c>
      <c r="G22" s="10">
        <f t="shared" si="1"/>
        <v>0</v>
      </c>
      <c r="H22" s="7">
        <f>'[2]Production Summary'!G23</f>
        <v>0</v>
      </c>
      <c r="I22" s="8">
        <f t="shared" si="11"/>
        <v>0</v>
      </c>
      <c r="J22" s="10">
        <f t="shared" si="2"/>
        <v>0</v>
      </c>
      <c r="K22" s="7">
        <f>'[2]Production Summary'!T23</f>
        <v>0</v>
      </c>
      <c r="L22" s="8">
        <f t="shared" si="12"/>
        <v>0</v>
      </c>
      <c r="M22" s="10">
        <f t="shared" si="3"/>
        <v>0</v>
      </c>
      <c r="N22" s="21"/>
      <c r="O22" s="7">
        <f>'[2]Production Summary'!J23</f>
        <v>10750768</v>
      </c>
      <c r="P22" s="8">
        <f t="shared" si="13"/>
        <v>10.750768000000001</v>
      </c>
      <c r="Q22" s="10">
        <f t="shared" si="4"/>
        <v>33.00485776</v>
      </c>
      <c r="R22" s="7">
        <f>'[2]Production Summary'!AE23</f>
        <v>5311980</v>
      </c>
      <c r="S22" s="8">
        <f t="shared" si="14"/>
        <v>5.3119800000000001</v>
      </c>
      <c r="T22" s="10">
        <f t="shared" si="5"/>
        <v>16.307778599999999</v>
      </c>
      <c r="U22" s="7">
        <f>'[2]Production Summary'!AF23</f>
        <v>6399902</v>
      </c>
      <c r="V22" s="8">
        <f t="shared" si="15"/>
        <v>6.399902</v>
      </c>
      <c r="W22" s="10">
        <f t="shared" si="6"/>
        <v>19.64769914</v>
      </c>
      <c r="X22" s="7">
        <f>'[2]Production Summary'!AJ23</f>
        <v>132000</v>
      </c>
      <c r="Y22" s="8">
        <f t="shared" si="16"/>
        <v>0.13200000000000001</v>
      </c>
      <c r="Z22" s="10">
        <f t="shared" si="7"/>
        <v>0.40523999999999999</v>
      </c>
      <c r="AA22" s="15"/>
      <c r="AB22" s="7">
        <f t="shared" si="8"/>
        <v>10750768</v>
      </c>
      <c r="AC22" s="8">
        <f t="shared" si="8"/>
        <v>10.750768000000001</v>
      </c>
      <c r="AD22" s="8">
        <f t="shared" si="8"/>
        <v>33.00485776</v>
      </c>
    </row>
    <row r="23" spans="1:30" x14ac:dyDescent="0.2">
      <c r="A23" s="27">
        <v>43119</v>
      </c>
      <c r="B23" s="7">
        <f>'[2]Production Summary'!K24</f>
        <v>0</v>
      </c>
      <c r="C23" s="8">
        <f t="shared" si="9"/>
        <v>0</v>
      </c>
      <c r="D23" s="10">
        <f t="shared" si="0"/>
        <v>0</v>
      </c>
      <c r="E23" s="7">
        <f>'[2]Production Summary'!E24</f>
        <v>0</v>
      </c>
      <c r="F23" s="8">
        <f t="shared" si="10"/>
        <v>0</v>
      </c>
      <c r="G23" s="10">
        <f t="shared" si="1"/>
        <v>0</v>
      </c>
      <c r="H23" s="7">
        <f>'[2]Production Summary'!G24</f>
        <v>0</v>
      </c>
      <c r="I23" s="8">
        <f t="shared" si="11"/>
        <v>0</v>
      </c>
      <c r="J23" s="10">
        <f t="shared" si="2"/>
        <v>0</v>
      </c>
      <c r="K23" s="7">
        <f>'[2]Production Summary'!T24</f>
        <v>0</v>
      </c>
      <c r="L23" s="8">
        <f t="shared" si="12"/>
        <v>0</v>
      </c>
      <c r="M23" s="10">
        <f t="shared" si="3"/>
        <v>0</v>
      </c>
      <c r="N23" s="21"/>
      <c r="O23" s="7">
        <f>'[2]Production Summary'!J24</f>
        <v>10521726</v>
      </c>
      <c r="P23" s="8">
        <f t="shared" si="13"/>
        <v>10.521725999999999</v>
      </c>
      <c r="Q23" s="10">
        <f t="shared" si="4"/>
        <v>32.301698819999999</v>
      </c>
      <c r="R23" s="7">
        <f>'[2]Production Summary'!AE24</f>
        <v>5321980</v>
      </c>
      <c r="S23" s="8">
        <f t="shared" si="14"/>
        <v>5.3219799999999999</v>
      </c>
      <c r="T23" s="10">
        <f t="shared" si="5"/>
        <v>16.338478599999998</v>
      </c>
      <c r="U23" s="7">
        <f>'[2]Production Summary'!AF24</f>
        <v>6399902</v>
      </c>
      <c r="V23" s="8">
        <f t="shared" si="15"/>
        <v>6.399902</v>
      </c>
      <c r="W23" s="10">
        <f t="shared" si="6"/>
        <v>19.64769914</v>
      </c>
      <c r="X23" s="7">
        <f>'[2]Production Summary'!AJ24</f>
        <v>257000</v>
      </c>
      <c r="Y23" s="8">
        <f t="shared" si="16"/>
        <v>0.25700000000000001</v>
      </c>
      <c r="Z23" s="10">
        <f t="shared" si="7"/>
        <v>0.78898999999999997</v>
      </c>
      <c r="AA23" s="15"/>
      <c r="AB23" s="7">
        <f t="shared" si="8"/>
        <v>10521726</v>
      </c>
      <c r="AC23" s="8">
        <f t="shared" si="8"/>
        <v>10.521725999999999</v>
      </c>
      <c r="AD23" s="8">
        <f t="shared" si="8"/>
        <v>32.301698819999999</v>
      </c>
    </row>
    <row r="24" spans="1:30" x14ac:dyDescent="0.2">
      <c r="A24" s="27">
        <v>43120</v>
      </c>
      <c r="B24" s="7">
        <f>'[2]Production Summary'!K25</f>
        <v>0</v>
      </c>
      <c r="C24" s="8">
        <f t="shared" si="9"/>
        <v>0</v>
      </c>
      <c r="D24" s="10">
        <f t="shared" si="0"/>
        <v>0</v>
      </c>
      <c r="E24" s="7">
        <f>'[2]Production Summary'!E25</f>
        <v>0</v>
      </c>
      <c r="F24" s="8">
        <f t="shared" si="10"/>
        <v>0</v>
      </c>
      <c r="G24" s="10">
        <f t="shared" si="1"/>
        <v>0</v>
      </c>
      <c r="H24" s="7">
        <f>'[2]Production Summary'!G25</f>
        <v>0</v>
      </c>
      <c r="I24" s="8">
        <f t="shared" si="11"/>
        <v>0</v>
      </c>
      <c r="J24" s="10">
        <f t="shared" si="2"/>
        <v>0</v>
      </c>
      <c r="K24" s="7">
        <f>'[2]Production Summary'!T25</f>
        <v>0</v>
      </c>
      <c r="L24" s="8">
        <f t="shared" si="12"/>
        <v>0</v>
      </c>
      <c r="M24" s="10">
        <f t="shared" si="3"/>
        <v>0</v>
      </c>
      <c r="N24" s="21"/>
      <c r="O24" s="7">
        <f>'[2]Production Summary'!J25</f>
        <v>11063878</v>
      </c>
      <c r="P24" s="8">
        <f t="shared" si="13"/>
        <v>11.063878000000001</v>
      </c>
      <c r="Q24" s="10">
        <f t="shared" si="4"/>
        <v>33.966105460000001</v>
      </c>
      <c r="R24" s="7">
        <f>'[2]Production Summary'!AE25</f>
        <v>5315980</v>
      </c>
      <c r="S24" s="8">
        <f t="shared" si="14"/>
        <v>5.3159799999999997</v>
      </c>
      <c r="T24" s="10">
        <f t="shared" si="5"/>
        <v>16.320058599999999</v>
      </c>
      <c r="U24" s="7">
        <f>'[2]Production Summary'!AF25</f>
        <v>6393902</v>
      </c>
      <c r="V24" s="8">
        <f t="shared" si="15"/>
        <v>6.3939019999999998</v>
      </c>
      <c r="W24" s="10">
        <f t="shared" si="6"/>
        <v>19.629279139999998</v>
      </c>
      <c r="X24" s="7">
        <f>'[2]Production Summary'!AJ25</f>
        <v>93000</v>
      </c>
      <c r="Y24" s="8">
        <f t="shared" si="16"/>
        <v>9.2999999999999999E-2</v>
      </c>
      <c r="Z24" s="10">
        <f t="shared" si="7"/>
        <v>0.28550999999999999</v>
      </c>
      <c r="AA24" s="15"/>
      <c r="AB24" s="7">
        <f t="shared" si="8"/>
        <v>11063878</v>
      </c>
      <c r="AC24" s="8">
        <f t="shared" si="8"/>
        <v>11.063878000000001</v>
      </c>
      <c r="AD24" s="8">
        <f>D24+Q24</f>
        <v>33.966105460000001</v>
      </c>
    </row>
    <row r="25" spans="1:30" x14ac:dyDescent="0.2">
      <c r="A25" s="27">
        <v>43121</v>
      </c>
      <c r="B25" s="7">
        <f>'[2]Production Summary'!K26</f>
        <v>0</v>
      </c>
      <c r="C25" s="8">
        <f t="shared" si="9"/>
        <v>0</v>
      </c>
      <c r="D25" s="10">
        <f t="shared" si="0"/>
        <v>0</v>
      </c>
      <c r="E25" s="7">
        <f>'[2]Production Summary'!E26</f>
        <v>0</v>
      </c>
      <c r="F25" s="8">
        <f t="shared" si="10"/>
        <v>0</v>
      </c>
      <c r="G25" s="10">
        <f t="shared" si="1"/>
        <v>0</v>
      </c>
      <c r="H25" s="7">
        <f>'[2]Production Summary'!G26</f>
        <v>0</v>
      </c>
      <c r="I25" s="8">
        <f t="shared" si="11"/>
        <v>0</v>
      </c>
      <c r="J25" s="10">
        <f t="shared" si="2"/>
        <v>0</v>
      </c>
      <c r="K25" s="7">
        <f>'[2]Production Summary'!T26</f>
        <v>0</v>
      </c>
      <c r="L25" s="8">
        <f t="shared" si="12"/>
        <v>0</v>
      </c>
      <c r="M25" s="10">
        <f t="shared" si="3"/>
        <v>0</v>
      </c>
      <c r="N25" s="21"/>
      <c r="O25" s="7">
        <f>'[2]Production Summary'!J26</f>
        <v>10817789</v>
      </c>
      <c r="P25" s="8">
        <f t="shared" si="13"/>
        <v>10.817788999999999</v>
      </c>
      <c r="Q25" s="10">
        <f t="shared" si="4"/>
        <v>33.210612229999995</v>
      </c>
      <c r="R25" s="7">
        <f>'[2]Production Summary'!AE26</f>
        <v>5677954</v>
      </c>
      <c r="S25" s="8">
        <f t="shared" si="14"/>
        <v>5.6779539999999997</v>
      </c>
      <c r="T25" s="10">
        <f t="shared" si="5"/>
        <v>17.431318779999998</v>
      </c>
      <c r="U25" s="7">
        <f>'[2]Production Summary'!AF26</f>
        <v>6100923</v>
      </c>
      <c r="V25" s="8">
        <f t="shared" si="15"/>
        <v>6.1009229999999999</v>
      </c>
      <c r="W25" s="10">
        <f t="shared" si="6"/>
        <v>18.72983361</v>
      </c>
      <c r="X25" s="7">
        <f>'[2]Production Summary'!AJ26</f>
        <v>117000</v>
      </c>
      <c r="Y25" s="8">
        <f t="shared" si="16"/>
        <v>0.11700000000000001</v>
      </c>
      <c r="Z25" s="10">
        <f t="shared" si="7"/>
        <v>0.35919000000000001</v>
      </c>
      <c r="AA25" s="15"/>
      <c r="AB25" s="7">
        <f t="shared" si="8"/>
        <v>10817789</v>
      </c>
      <c r="AC25" s="8">
        <f t="shared" si="8"/>
        <v>10.817788999999999</v>
      </c>
      <c r="AD25" s="8">
        <f t="shared" si="8"/>
        <v>33.210612229999995</v>
      </c>
    </row>
    <row r="26" spans="1:30" x14ac:dyDescent="0.2">
      <c r="A26" s="27">
        <v>43122</v>
      </c>
      <c r="B26" s="7">
        <f>'[2]Production Summary'!K27</f>
        <v>0</v>
      </c>
      <c r="C26" s="8">
        <f t="shared" si="9"/>
        <v>0</v>
      </c>
      <c r="D26" s="10">
        <f t="shared" si="0"/>
        <v>0</v>
      </c>
      <c r="E26" s="7">
        <f>'[2]Production Summary'!E27</f>
        <v>0</v>
      </c>
      <c r="F26" s="8">
        <f t="shared" si="10"/>
        <v>0</v>
      </c>
      <c r="G26" s="10">
        <f t="shared" si="1"/>
        <v>0</v>
      </c>
      <c r="H26" s="7">
        <f>'[2]Production Summary'!G27</f>
        <v>0</v>
      </c>
      <c r="I26" s="8">
        <f t="shared" si="11"/>
        <v>0</v>
      </c>
      <c r="J26" s="10">
        <f t="shared" si="2"/>
        <v>0</v>
      </c>
      <c r="K26" s="7">
        <f>'[2]Production Summary'!T27</f>
        <v>0</v>
      </c>
      <c r="L26" s="8">
        <f t="shared" si="12"/>
        <v>0</v>
      </c>
      <c r="M26" s="10">
        <f t="shared" si="3"/>
        <v>0</v>
      </c>
      <c r="N26" s="21"/>
      <c r="O26" s="7">
        <f>'[2]Production Summary'!J27</f>
        <v>10575766</v>
      </c>
      <c r="P26" s="8">
        <f t="shared" si="13"/>
        <v>10.575766</v>
      </c>
      <c r="Q26" s="10">
        <f t="shared" si="4"/>
        <v>32.467601619999996</v>
      </c>
      <c r="R26" s="7">
        <f>'[2]Production Summary'!AE27</f>
        <v>5922937</v>
      </c>
      <c r="S26" s="8">
        <f t="shared" si="14"/>
        <v>5.9229370000000001</v>
      </c>
      <c r="T26" s="10">
        <f t="shared" si="5"/>
        <v>18.18341659</v>
      </c>
      <c r="U26" s="7">
        <f>'[2]Production Summary'!AF27</f>
        <v>5900938</v>
      </c>
      <c r="V26" s="8">
        <f t="shared" si="15"/>
        <v>5.900938</v>
      </c>
      <c r="W26" s="10">
        <f t="shared" si="6"/>
        <v>18.115879659999997</v>
      </c>
      <c r="X26" s="7">
        <f>'[2]Production Summary'!AJ27</f>
        <v>303000</v>
      </c>
      <c r="Y26" s="8">
        <f t="shared" si="16"/>
        <v>0.30299999999999999</v>
      </c>
      <c r="Z26" s="10">
        <f t="shared" si="7"/>
        <v>0.93020999999999987</v>
      </c>
      <c r="AA26" s="15"/>
      <c r="AB26" s="7">
        <f t="shared" si="8"/>
        <v>10575766</v>
      </c>
      <c r="AC26" s="8">
        <f t="shared" si="8"/>
        <v>10.575766</v>
      </c>
      <c r="AD26" s="8">
        <f t="shared" si="8"/>
        <v>32.467601619999996</v>
      </c>
    </row>
    <row r="27" spans="1:30" x14ac:dyDescent="0.2">
      <c r="A27" s="27">
        <v>43123</v>
      </c>
      <c r="B27" s="7">
        <f>'[2]Production Summary'!K28</f>
        <v>0</v>
      </c>
      <c r="C27" s="8">
        <f t="shared" si="9"/>
        <v>0</v>
      </c>
      <c r="D27" s="10">
        <f t="shared" si="0"/>
        <v>0</v>
      </c>
      <c r="E27" s="7">
        <f>'[2]Production Summary'!E28</f>
        <v>0</v>
      </c>
      <c r="F27" s="8">
        <f t="shared" si="10"/>
        <v>0</v>
      </c>
      <c r="G27" s="10">
        <f t="shared" si="1"/>
        <v>0</v>
      </c>
      <c r="H27" s="7">
        <f>'[2]Production Summary'!G28</f>
        <v>0</v>
      </c>
      <c r="I27" s="8">
        <f t="shared" si="11"/>
        <v>0</v>
      </c>
      <c r="J27" s="10">
        <f t="shared" si="2"/>
        <v>0</v>
      </c>
      <c r="K27" s="7">
        <f>'[2]Production Summary'!T28</f>
        <v>0</v>
      </c>
      <c r="L27" s="8">
        <f t="shared" si="12"/>
        <v>0</v>
      </c>
      <c r="M27" s="10">
        <f t="shared" si="3"/>
        <v>0</v>
      </c>
      <c r="N27" s="21"/>
      <c r="O27" s="7">
        <f>'[2]Production Summary'!J28</f>
        <v>11843180</v>
      </c>
      <c r="P27" s="8">
        <f t="shared" si="13"/>
        <v>11.84318</v>
      </c>
      <c r="Q27" s="10">
        <f t="shared" si="4"/>
        <v>36.358562599999999</v>
      </c>
      <c r="R27" s="7">
        <f>'[2]Production Summary'!AE28</f>
        <v>5972933</v>
      </c>
      <c r="S27" s="8">
        <f t="shared" si="14"/>
        <v>5.9729330000000003</v>
      </c>
      <c r="T27" s="10">
        <f t="shared" si="5"/>
        <v>18.336904310000001</v>
      </c>
      <c r="U27" s="7">
        <f>'[2]Production Summary'!AF28</f>
        <v>5948934</v>
      </c>
      <c r="V27" s="8">
        <f t="shared" si="15"/>
        <v>5.9489340000000004</v>
      </c>
      <c r="W27" s="10">
        <f t="shared" si="6"/>
        <v>18.26322738</v>
      </c>
      <c r="X27" s="7">
        <f>'[2]Production Summary'!AJ28</f>
        <v>59000</v>
      </c>
      <c r="Y27" s="8">
        <f t="shared" si="16"/>
        <v>5.8999999999999997E-2</v>
      </c>
      <c r="Z27" s="10">
        <f t="shared" si="7"/>
        <v>0.18112999999999999</v>
      </c>
      <c r="AA27" s="15"/>
      <c r="AB27" s="7">
        <f t="shared" si="8"/>
        <v>11843180</v>
      </c>
      <c r="AC27" s="8">
        <f t="shared" si="8"/>
        <v>11.84318</v>
      </c>
      <c r="AD27" s="8">
        <f t="shared" si="8"/>
        <v>36.358562599999999</v>
      </c>
    </row>
    <row r="28" spans="1:30" x14ac:dyDescent="0.2">
      <c r="A28" s="27">
        <v>43124</v>
      </c>
      <c r="B28" s="7">
        <f>'[2]Production Summary'!K29</f>
        <v>0</v>
      </c>
      <c r="C28" s="8">
        <f t="shared" si="9"/>
        <v>0</v>
      </c>
      <c r="D28" s="10">
        <f t="shared" si="0"/>
        <v>0</v>
      </c>
      <c r="E28" s="7">
        <f>'[2]Production Summary'!E29</f>
        <v>0</v>
      </c>
      <c r="F28" s="8">
        <f t="shared" si="10"/>
        <v>0</v>
      </c>
      <c r="G28" s="10">
        <f t="shared" si="1"/>
        <v>0</v>
      </c>
      <c r="H28" s="7">
        <f>'[2]Production Summary'!G29</f>
        <v>0</v>
      </c>
      <c r="I28" s="8">
        <f t="shared" si="11"/>
        <v>0</v>
      </c>
      <c r="J28" s="10">
        <f t="shared" si="2"/>
        <v>0</v>
      </c>
      <c r="K28" s="7">
        <f>'[2]Production Summary'!T29</f>
        <v>0</v>
      </c>
      <c r="L28" s="8">
        <f t="shared" si="12"/>
        <v>0</v>
      </c>
      <c r="M28" s="10">
        <f t="shared" si="3"/>
        <v>0</v>
      </c>
      <c r="N28" s="21"/>
      <c r="O28" s="7">
        <f>'[2]Production Summary'!J29</f>
        <v>12036286</v>
      </c>
      <c r="P28" s="8">
        <f t="shared" si="13"/>
        <v>12.036286</v>
      </c>
      <c r="Q28" s="10">
        <f t="shared" si="4"/>
        <v>36.951398019999999</v>
      </c>
      <c r="R28" s="7">
        <f>'[2]Production Summary'!AE29</f>
        <v>6053927</v>
      </c>
      <c r="S28" s="8">
        <f t="shared" si="14"/>
        <v>6.0539269999999998</v>
      </c>
      <c r="T28" s="10">
        <f t="shared" si="5"/>
        <v>18.585555889999998</v>
      </c>
      <c r="U28" s="7">
        <f>'[2]Production Summary'!AF29</f>
        <v>6023929</v>
      </c>
      <c r="V28" s="8">
        <f t="shared" si="15"/>
        <v>6.0239289999999999</v>
      </c>
      <c r="W28" s="10">
        <f t="shared" si="6"/>
        <v>18.49346203</v>
      </c>
      <c r="X28" s="7">
        <f>'[2]Production Summary'!AJ29</f>
        <v>129000</v>
      </c>
      <c r="Y28" s="8">
        <f t="shared" si="16"/>
        <v>0.129</v>
      </c>
      <c r="Z28" s="10">
        <f t="shared" si="7"/>
        <v>0.39602999999999999</v>
      </c>
      <c r="AA28" s="15"/>
      <c r="AB28" s="7">
        <f t="shared" si="8"/>
        <v>12036286</v>
      </c>
      <c r="AC28" s="8">
        <f t="shared" si="8"/>
        <v>12.036286</v>
      </c>
      <c r="AD28" s="8">
        <f t="shared" si="8"/>
        <v>36.951398019999999</v>
      </c>
    </row>
    <row r="29" spans="1:30" x14ac:dyDescent="0.2">
      <c r="A29" s="27">
        <v>43125</v>
      </c>
      <c r="B29" s="7">
        <f>'[2]Production Summary'!K30</f>
        <v>0</v>
      </c>
      <c r="C29" s="8">
        <f t="shared" si="9"/>
        <v>0</v>
      </c>
      <c r="D29" s="10">
        <f t="shared" si="0"/>
        <v>0</v>
      </c>
      <c r="E29" s="7">
        <f>'[2]Production Summary'!E30</f>
        <v>0</v>
      </c>
      <c r="F29" s="8">
        <f t="shared" si="10"/>
        <v>0</v>
      </c>
      <c r="G29" s="10">
        <f t="shared" si="1"/>
        <v>0</v>
      </c>
      <c r="H29" s="7">
        <f>'[2]Production Summary'!G30</f>
        <v>0</v>
      </c>
      <c r="I29" s="8">
        <f t="shared" si="11"/>
        <v>0</v>
      </c>
      <c r="J29" s="10">
        <f t="shared" si="2"/>
        <v>0</v>
      </c>
      <c r="K29" s="7">
        <f>'[2]Production Summary'!T30</f>
        <v>0</v>
      </c>
      <c r="L29" s="8">
        <f t="shared" si="12"/>
        <v>0</v>
      </c>
      <c r="M29" s="10">
        <f t="shared" si="3"/>
        <v>0</v>
      </c>
      <c r="N29" s="21"/>
      <c r="O29" s="7">
        <f>'[2]Production Summary'!J30</f>
        <v>12297474</v>
      </c>
      <c r="P29" s="8">
        <f t="shared" si="13"/>
        <v>12.297473999999999</v>
      </c>
      <c r="Q29" s="10">
        <f t="shared" si="4"/>
        <v>37.753245179999993</v>
      </c>
      <c r="R29" s="7">
        <f>'[2]Production Summary'!AE30</f>
        <v>6498894</v>
      </c>
      <c r="S29" s="8">
        <f t="shared" si="14"/>
        <v>6.4988939999999999</v>
      </c>
      <c r="T29" s="10">
        <f t="shared" si="5"/>
        <v>19.951604579999998</v>
      </c>
      <c r="U29" s="7">
        <f>'[2]Production Summary'!AF30</f>
        <v>6464897</v>
      </c>
      <c r="V29" s="8">
        <f t="shared" si="15"/>
        <v>6.4648969999999997</v>
      </c>
      <c r="W29" s="10">
        <f t="shared" si="6"/>
        <v>19.847233789999997</v>
      </c>
      <c r="X29" s="7">
        <f>'[2]Production Summary'!AJ30</f>
        <v>329999</v>
      </c>
      <c r="Y29" s="8">
        <f t="shared" si="16"/>
        <v>0.32999899999999999</v>
      </c>
      <c r="Z29" s="10">
        <f t="shared" si="7"/>
        <v>1.0130969299999999</v>
      </c>
      <c r="AA29" s="15"/>
      <c r="AB29" s="7">
        <f t="shared" si="8"/>
        <v>12297474</v>
      </c>
      <c r="AC29" s="8">
        <f t="shared" si="8"/>
        <v>12.297473999999999</v>
      </c>
      <c r="AD29" s="8">
        <f t="shared" si="8"/>
        <v>37.753245179999993</v>
      </c>
    </row>
    <row r="30" spans="1:30" x14ac:dyDescent="0.2">
      <c r="A30" s="27">
        <v>43126</v>
      </c>
      <c r="B30" s="7">
        <f>'[2]Production Summary'!K31</f>
        <v>0</v>
      </c>
      <c r="C30" s="8">
        <f t="shared" si="9"/>
        <v>0</v>
      </c>
      <c r="D30" s="10">
        <f t="shared" si="0"/>
        <v>0</v>
      </c>
      <c r="E30" s="7">
        <f>'[2]Production Summary'!E31</f>
        <v>0</v>
      </c>
      <c r="F30" s="8">
        <f t="shared" si="10"/>
        <v>0</v>
      </c>
      <c r="G30" s="10">
        <f t="shared" si="1"/>
        <v>0</v>
      </c>
      <c r="H30" s="7">
        <f>'[2]Production Summary'!G31</f>
        <v>0</v>
      </c>
      <c r="I30" s="8">
        <f t="shared" si="11"/>
        <v>0</v>
      </c>
      <c r="J30" s="10">
        <f t="shared" si="2"/>
        <v>0</v>
      </c>
      <c r="K30" s="7">
        <f>'[2]Production Summary'!T31</f>
        <v>0</v>
      </c>
      <c r="L30" s="8">
        <f t="shared" si="12"/>
        <v>0</v>
      </c>
      <c r="M30" s="10">
        <f t="shared" si="3"/>
        <v>0</v>
      </c>
      <c r="N30" s="21"/>
      <c r="O30" s="7">
        <f>'[2]Production Summary'!J31</f>
        <v>12570451</v>
      </c>
      <c r="P30" s="8">
        <f t="shared" si="13"/>
        <v>12.570451</v>
      </c>
      <c r="Q30" s="10">
        <f t="shared" si="4"/>
        <v>38.591284569999999</v>
      </c>
      <c r="R30" s="7">
        <f>'[2]Production Summary'!AE31</f>
        <v>6161919</v>
      </c>
      <c r="S30" s="8">
        <f t="shared" si="14"/>
        <v>6.1619190000000001</v>
      </c>
      <c r="T30" s="10">
        <f t="shared" si="5"/>
        <v>18.917091329999998</v>
      </c>
      <c r="U30" s="7">
        <f>'[2]Production Summary'!AF31</f>
        <v>6130922</v>
      </c>
      <c r="V30" s="8">
        <f t="shared" si="15"/>
        <v>6.130922</v>
      </c>
      <c r="W30" s="10">
        <f t="shared" si="6"/>
        <v>18.82193054</v>
      </c>
      <c r="X30" s="7">
        <f>'[2]Production Summary'!AJ31</f>
        <v>3000</v>
      </c>
      <c r="Y30" s="8">
        <f t="shared" si="16"/>
        <v>3.0000000000000001E-3</v>
      </c>
      <c r="Z30" s="10">
        <f t="shared" si="7"/>
        <v>9.2099999999999994E-3</v>
      </c>
      <c r="AA30" s="15"/>
      <c r="AB30" s="7">
        <f t="shared" si="8"/>
        <v>12570451</v>
      </c>
      <c r="AC30" s="8">
        <f t="shared" si="8"/>
        <v>12.570451</v>
      </c>
      <c r="AD30" s="8">
        <f>D30+Q30</f>
        <v>38.591284569999999</v>
      </c>
    </row>
    <row r="31" spans="1:30" x14ac:dyDescent="0.2">
      <c r="A31" s="27">
        <v>43127</v>
      </c>
      <c r="B31" s="7">
        <f>'[2]Production Summary'!K32</f>
        <v>0</v>
      </c>
      <c r="C31" s="8">
        <f t="shared" si="9"/>
        <v>0</v>
      </c>
      <c r="D31" s="10">
        <f t="shared" si="0"/>
        <v>0</v>
      </c>
      <c r="E31" s="7">
        <f>'[2]Production Summary'!E32</f>
        <v>0</v>
      </c>
      <c r="F31" s="8">
        <f t="shared" si="10"/>
        <v>0</v>
      </c>
      <c r="G31" s="10">
        <f t="shared" si="1"/>
        <v>0</v>
      </c>
      <c r="H31" s="7">
        <f>'[2]Production Summary'!G32</f>
        <v>0</v>
      </c>
      <c r="I31" s="8">
        <f t="shared" si="11"/>
        <v>0</v>
      </c>
      <c r="J31" s="10">
        <f t="shared" si="2"/>
        <v>0</v>
      </c>
      <c r="K31" s="7">
        <f>'[2]Production Summary'!T32</f>
        <v>0</v>
      </c>
      <c r="L31" s="8">
        <f t="shared" si="12"/>
        <v>0</v>
      </c>
      <c r="M31" s="10">
        <f t="shared" si="3"/>
        <v>0</v>
      </c>
      <c r="N31" s="21"/>
      <c r="O31" s="7">
        <f>'[2]Production Summary'!J32</f>
        <v>11127916</v>
      </c>
      <c r="P31" s="8">
        <f t="shared" si="13"/>
        <v>11.127916000000001</v>
      </c>
      <c r="Q31" s="10">
        <f t="shared" si="4"/>
        <v>34.162702119999999</v>
      </c>
      <c r="R31" s="7">
        <f>'[2]Production Summary'!AE32</f>
        <v>5610959</v>
      </c>
      <c r="S31" s="8">
        <f t="shared" si="14"/>
        <v>5.6109590000000003</v>
      </c>
      <c r="T31" s="10">
        <f t="shared" si="5"/>
        <v>17.225644129999999</v>
      </c>
      <c r="U31" s="7">
        <f>'[2]Production Summary'!AF32</f>
        <v>5579961</v>
      </c>
      <c r="V31" s="8">
        <f t="shared" si="15"/>
        <v>5.5799609999999999</v>
      </c>
      <c r="W31" s="10">
        <f t="shared" si="6"/>
        <v>17.13048027</v>
      </c>
      <c r="X31" s="7">
        <f>'[2]Production Summary'!AJ32</f>
        <v>122000</v>
      </c>
      <c r="Y31" s="8">
        <f t="shared" si="16"/>
        <v>0.122</v>
      </c>
      <c r="Z31" s="10">
        <f t="shared" si="7"/>
        <v>0.37453999999999998</v>
      </c>
      <c r="AA31" s="15"/>
      <c r="AB31" s="7">
        <f t="shared" si="8"/>
        <v>11127916</v>
      </c>
      <c r="AC31" s="8">
        <f t="shared" si="8"/>
        <v>11.127916000000001</v>
      </c>
      <c r="AD31" s="8">
        <f t="shared" si="8"/>
        <v>34.162702119999999</v>
      </c>
    </row>
    <row r="32" spans="1:30" x14ac:dyDescent="0.2">
      <c r="A32" s="27">
        <v>43128</v>
      </c>
      <c r="B32" s="7">
        <f>'[2]Production Summary'!K33</f>
        <v>0</v>
      </c>
      <c r="C32" s="8">
        <f t="shared" si="9"/>
        <v>0</v>
      </c>
      <c r="D32" s="10">
        <f t="shared" si="0"/>
        <v>0</v>
      </c>
      <c r="E32" s="7">
        <f>'[2]Production Summary'!E33</f>
        <v>0</v>
      </c>
      <c r="F32" s="8">
        <f t="shared" si="10"/>
        <v>0</v>
      </c>
      <c r="G32" s="10">
        <f t="shared" si="1"/>
        <v>0</v>
      </c>
      <c r="H32" s="7">
        <f>'[2]Production Summary'!G33</f>
        <v>0</v>
      </c>
      <c r="I32" s="8">
        <f t="shared" si="11"/>
        <v>0</v>
      </c>
      <c r="J32" s="10">
        <f t="shared" si="2"/>
        <v>0</v>
      </c>
      <c r="K32" s="7">
        <f>'[2]Production Summary'!T33</f>
        <v>0</v>
      </c>
      <c r="L32" s="8">
        <f t="shared" si="12"/>
        <v>0</v>
      </c>
      <c r="M32" s="10">
        <f t="shared" si="3"/>
        <v>0</v>
      </c>
      <c r="N32" s="21"/>
      <c r="O32" s="7">
        <f>'[2]Production Summary'!J33</f>
        <v>10479740</v>
      </c>
      <c r="P32" s="8">
        <f t="shared" si="13"/>
        <v>10.47974</v>
      </c>
      <c r="Q32" s="10">
        <f t="shared" si="4"/>
        <v>32.172801799999995</v>
      </c>
      <c r="R32" s="7">
        <f>'[2]Production Summary'!AE33</f>
        <v>5580961</v>
      </c>
      <c r="S32" s="8">
        <f t="shared" si="14"/>
        <v>5.5809610000000003</v>
      </c>
      <c r="T32" s="10">
        <f t="shared" si="5"/>
        <v>17.133550270000001</v>
      </c>
      <c r="U32" s="7">
        <f>'[2]Production Summary'!AF33</f>
        <v>5516966</v>
      </c>
      <c r="V32" s="8">
        <f t="shared" si="15"/>
        <v>5.516966</v>
      </c>
      <c r="W32" s="10">
        <f t="shared" si="6"/>
        <v>16.937085619999998</v>
      </c>
      <c r="X32" s="7">
        <f>'[2]Production Summary'!AJ33</f>
        <v>330999</v>
      </c>
      <c r="Y32" s="8">
        <f t="shared" si="16"/>
        <v>0.33099899999999999</v>
      </c>
      <c r="Z32" s="10">
        <f t="shared" si="7"/>
        <v>1.0161669299999998</v>
      </c>
      <c r="AA32" s="15"/>
      <c r="AB32" s="7">
        <f t="shared" si="8"/>
        <v>10479740</v>
      </c>
      <c r="AC32" s="8">
        <f t="shared" si="8"/>
        <v>10.47974</v>
      </c>
      <c r="AD32" s="8">
        <f t="shared" si="8"/>
        <v>32.172801799999995</v>
      </c>
    </row>
    <row r="33" spans="1:30" x14ac:dyDescent="0.2">
      <c r="A33" s="27">
        <v>43129</v>
      </c>
      <c r="B33" s="7">
        <f>'[2]Production Summary'!K34</f>
        <v>0</v>
      </c>
      <c r="C33" s="8">
        <f t="shared" si="9"/>
        <v>0</v>
      </c>
      <c r="D33" s="10">
        <f t="shared" si="0"/>
        <v>0</v>
      </c>
      <c r="E33" s="7">
        <f>'[2]Production Summary'!E34</f>
        <v>0</v>
      </c>
      <c r="F33" s="8">
        <f t="shared" si="10"/>
        <v>0</v>
      </c>
      <c r="G33" s="10">
        <f t="shared" si="1"/>
        <v>0</v>
      </c>
      <c r="H33" s="7">
        <f>'[2]Production Summary'!G34</f>
        <v>0</v>
      </c>
      <c r="I33" s="8">
        <f t="shared" si="11"/>
        <v>0</v>
      </c>
      <c r="J33" s="10">
        <f t="shared" si="2"/>
        <v>0</v>
      </c>
      <c r="K33" s="7">
        <f>'[2]Production Summary'!T34</f>
        <v>0</v>
      </c>
      <c r="L33" s="8">
        <f t="shared" si="12"/>
        <v>0</v>
      </c>
      <c r="M33" s="10">
        <f t="shared" si="3"/>
        <v>0</v>
      </c>
      <c r="N33" s="21"/>
      <c r="O33" s="7">
        <f>'[2]Production Summary'!J34</f>
        <v>12203301</v>
      </c>
      <c r="P33" s="8">
        <f t="shared" si="13"/>
        <v>12.203301</v>
      </c>
      <c r="Q33" s="10">
        <f t="shared" si="4"/>
        <v>37.46413407</v>
      </c>
      <c r="R33" s="7">
        <f>'[2]Production Summary'!AE34</f>
        <v>5998930</v>
      </c>
      <c r="S33" s="8">
        <f t="shared" si="14"/>
        <v>5.9989299999999997</v>
      </c>
      <c r="T33" s="10">
        <f t="shared" si="5"/>
        <v>18.416715099999998</v>
      </c>
      <c r="U33" s="7">
        <f>'[2]Production Summary'!AF34</f>
        <v>5967932</v>
      </c>
      <c r="V33" s="8">
        <f t="shared" si="15"/>
        <v>5.9679320000000002</v>
      </c>
      <c r="W33" s="10">
        <f t="shared" si="6"/>
        <v>18.321551239999998</v>
      </c>
      <c r="X33" s="7">
        <f>'[2]Production Summary'!AJ34</f>
        <v>0</v>
      </c>
      <c r="Y33" s="8">
        <f t="shared" si="16"/>
        <v>0</v>
      </c>
      <c r="Z33" s="10">
        <f t="shared" si="7"/>
        <v>0</v>
      </c>
      <c r="AA33" s="15"/>
      <c r="AB33" s="7">
        <f t="shared" si="8"/>
        <v>12203301</v>
      </c>
      <c r="AC33" s="8">
        <f t="shared" si="8"/>
        <v>12.203301</v>
      </c>
      <c r="AD33" s="8">
        <f t="shared" si="8"/>
        <v>37.46413407</v>
      </c>
    </row>
    <row r="34" spans="1:30" x14ac:dyDescent="0.2">
      <c r="A34" s="27">
        <v>43130</v>
      </c>
      <c r="B34" s="7">
        <f>'[2]Production Summary'!K35</f>
        <v>0</v>
      </c>
      <c r="C34" s="8">
        <f t="shared" si="9"/>
        <v>0</v>
      </c>
      <c r="D34" s="10">
        <f t="shared" si="0"/>
        <v>0</v>
      </c>
      <c r="E34" s="7">
        <f>'[2]Production Summary'!E35</f>
        <v>0</v>
      </c>
      <c r="F34" s="8">
        <f t="shared" si="10"/>
        <v>0</v>
      </c>
      <c r="G34" s="10">
        <f t="shared" si="1"/>
        <v>0</v>
      </c>
      <c r="H34" s="7">
        <f>'[2]Production Summary'!G35</f>
        <v>0</v>
      </c>
      <c r="I34" s="8">
        <f t="shared" si="11"/>
        <v>0</v>
      </c>
      <c r="J34" s="10">
        <f t="shared" si="2"/>
        <v>0</v>
      </c>
      <c r="K34" s="7">
        <f>'[2]Production Summary'!T35</f>
        <v>0</v>
      </c>
      <c r="L34" s="8">
        <f t="shared" si="12"/>
        <v>0</v>
      </c>
      <c r="M34" s="10">
        <f t="shared" si="3"/>
        <v>0</v>
      </c>
      <c r="N34" s="21"/>
      <c r="O34" s="7">
        <f>'[2]Production Summary'!J35</f>
        <v>11863208</v>
      </c>
      <c r="P34" s="8">
        <f t="shared" si="13"/>
        <v>11.863208</v>
      </c>
      <c r="Q34" s="10">
        <f t="shared" si="4"/>
        <v>36.420048559999998</v>
      </c>
      <c r="R34" s="7">
        <f>'[2]Production Summary'!AE35</f>
        <v>5999930</v>
      </c>
      <c r="S34" s="8">
        <f t="shared" si="14"/>
        <v>5.99993</v>
      </c>
      <c r="T34" s="10">
        <f t="shared" si="5"/>
        <v>18.419785099999999</v>
      </c>
      <c r="U34" s="7">
        <f>'[2]Production Summary'!AF35</f>
        <v>5967932</v>
      </c>
      <c r="V34" s="8">
        <f t="shared" si="15"/>
        <v>5.9679320000000002</v>
      </c>
      <c r="W34" s="10">
        <f t="shared" si="6"/>
        <v>18.321551239999998</v>
      </c>
      <c r="X34" s="7">
        <f>'[2]Production Summary'!AJ35</f>
        <v>108000</v>
      </c>
      <c r="Y34" s="8">
        <f t="shared" si="16"/>
        <v>0.108</v>
      </c>
      <c r="Z34" s="10">
        <f t="shared" si="7"/>
        <v>0.33155999999999997</v>
      </c>
      <c r="AA34" s="15"/>
      <c r="AB34" s="7">
        <f t="shared" si="8"/>
        <v>11863208</v>
      </c>
      <c r="AC34" s="8">
        <f t="shared" si="8"/>
        <v>11.863208</v>
      </c>
      <c r="AD34" s="8">
        <f t="shared" si="8"/>
        <v>36.420048559999998</v>
      </c>
    </row>
    <row r="35" spans="1:30" ht="13.5" thickBot="1" x14ac:dyDescent="0.25">
      <c r="A35" s="27">
        <v>43131</v>
      </c>
      <c r="B35" s="7">
        <f>'[2]Production Summary'!K36</f>
        <v>0</v>
      </c>
      <c r="C35" s="8">
        <f t="shared" si="9"/>
        <v>0</v>
      </c>
      <c r="D35" s="10">
        <f t="shared" si="0"/>
        <v>0</v>
      </c>
      <c r="E35" s="7">
        <f>'[2]Production Summary'!E36</f>
        <v>0</v>
      </c>
      <c r="F35" s="8">
        <f t="shared" si="10"/>
        <v>0</v>
      </c>
      <c r="G35" s="10">
        <f t="shared" si="1"/>
        <v>0</v>
      </c>
      <c r="H35" s="7">
        <f>'[2]Production Summary'!G36</f>
        <v>0</v>
      </c>
      <c r="I35" s="8">
        <f t="shared" si="11"/>
        <v>0</v>
      </c>
      <c r="J35" s="10">
        <f t="shared" si="2"/>
        <v>0</v>
      </c>
      <c r="K35" s="7">
        <f>'[2]Production Summary'!T36</f>
        <v>0</v>
      </c>
      <c r="L35" s="8">
        <f t="shared" si="12"/>
        <v>0</v>
      </c>
      <c r="M35" s="10">
        <f t="shared" si="3"/>
        <v>0</v>
      </c>
      <c r="N35" s="21"/>
      <c r="O35" s="7">
        <f>'[2]Production Summary'!J36</f>
        <v>11870289</v>
      </c>
      <c r="P35" s="8">
        <f t="shared" si="13"/>
        <v>11.870289</v>
      </c>
      <c r="Q35" s="10">
        <f t="shared" si="4"/>
        <v>36.441787229999996</v>
      </c>
      <c r="R35" s="7">
        <f>'[2]Production Summary'!AE36</f>
        <v>6264911</v>
      </c>
      <c r="S35" s="8">
        <f t="shared" si="14"/>
        <v>6.2649109999999997</v>
      </c>
      <c r="T35" s="10">
        <f t="shared" si="5"/>
        <v>19.233276769999996</v>
      </c>
      <c r="U35" s="7">
        <f>'[2]Production Summary'!AF36</f>
        <v>6231914</v>
      </c>
      <c r="V35" s="8">
        <f t="shared" si="15"/>
        <v>6.2319139999999997</v>
      </c>
      <c r="W35" s="10">
        <f t="shared" si="6"/>
        <v>19.131975979999996</v>
      </c>
      <c r="X35" s="7">
        <f>'[2]Production Summary'!AJ36</f>
        <v>303000</v>
      </c>
      <c r="Y35" s="8">
        <f t="shared" si="16"/>
        <v>0.30299999999999999</v>
      </c>
      <c r="Z35" s="10">
        <f t="shared" si="7"/>
        <v>0.93020999999999987</v>
      </c>
      <c r="AA35" s="15"/>
      <c r="AB35" s="7">
        <f t="shared" si="8"/>
        <v>11870289</v>
      </c>
      <c r="AC35" s="8">
        <f t="shared" si="8"/>
        <v>11.870289</v>
      </c>
      <c r="AD35" s="8">
        <f t="shared" si="8"/>
        <v>36.441787229999996</v>
      </c>
    </row>
    <row r="36" spans="1:30" s="18" customFormat="1" ht="13.5" thickBot="1" x14ac:dyDescent="0.25">
      <c r="A36" s="15"/>
      <c r="B36" s="37"/>
      <c r="C36" s="38">
        <f t="shared" ref="C36:W36" si="17">SUM(C5:C35)</f>
        <v>0</v>
      </c>
      <c r="D36" s="38">
        <f t="shared" si="17"/>
        <v>0</v>
      </c>
      <c r="E36" s="37"/>
      <c r="F36" s="38">
        <f t="shared" si="17"/>
        <v>0</v>
      </c>
      <c r="G36" s="38">
        <f t="shared" si="17"/>
        <v>0</v>
      </c>
      <c r="H36" s="37"/>
      <c r="I36" s="38">
        <f t="shared" si="17"/>
        <v>0.01</v>
      </c>
      <c r="J36" s="38">
        <f t="shared" si="17"/>
        <v>3.0699999999999998E-2</v>
      </c>
      <c r="K36" s="37"/>
      <c r="L36" s="38">
        <f>SUM(L5:L35)</f>
        <v>0</v>
      </c>
      <c r="M36" s="38">
        <f>SUM(M5:M35)</f>
        <v>0</v>
      </c>
      <c r="N36" s="14"/>
      <c r="O36" s="37"/>
      <c r="P36" s="38">
        <f t="shared" si="17"/>
        <v>360.38189100000005</v>
      </c>
      <c r="Q36" s="38">
        <f t="shared" si="17"/>
        <v>1106.3724053699998</v>
      </c>
      <c r="R36" s="37"/>
      <c r="S36" s="38">
        <f t="shared" si="17"/>
        <v>177.95671000000007</v>
      </c>
      <c r="T36" s="38">
        <f t="shared" si="17"/>
        <v>546.32709969999996</v>
      </c>
      <c r="U36" s="37"/>
      <c r="V36" s="38">
        <f t="shared" si="17"/>
        <v>202.01995299999999</v>
      </c>
      <c r="W36" s="38">
        <f t="shared" si="17"/>
        <v>620.20125570999994</v>
      </c>
      <c r="X36" s="37"/>
      <c r="Y36" s="38">
        <f>SUM(Y5:Y35)</f>
        <v>4.9343650000000006</v>
      </c>
      <c r="Z36" s="38">
        <f>SUM(Z5:Z35)</f>
        <v>15.148500549999996</v>
      </c>
      <c r="AA36" s="14"/>
      <c r="AB36" s="37"/>
      <c r="AC36" s="38">
        <f>SUM(AC5:AC35)</f>
        <v>360.38189100000005</v>
      </c>
      <c r="AD36" s="38">
        <f>AC36*3.07</f>
        <v>1106.37240537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37"/>
  <sheetViews>
    <sheetView workbookViewId="0">
      <pane xSplit="1" ySplit="4" topLeftCell="J5" activePane="bottomRight" state="frozen"/>
      <selection pane="topRight" activeCell="B1" sqref="B1"/>
      <selection pane="bottomLeft" activeCell="A5" sqref="A5"/>
      <selection pane="bottomRight" activeCell="AF51" sqref="AF51"/>
    </sheetView>
  </sheetViews>
  <sheetFormatPr defaultRowHeight="12.75" x14ac:dyDescent="0.2"/>
  <cols>
    <col min="2" max="2" width="11.7109375" customWidth="1"/>
    <col min="5" max="5" width="11.42578125" customWidth="1"/>
    <col min="8" max="8" width="11.7109375" customWidth="1"/>
    <col min="11" max="11" width="14.7109375" bestFit="1" customWidth="1"/>
    <col min="12" max="12" width="11.5703125" customWidth="1"/>
    <col min="15" max="15" width="11.42578125" customWidth="1"/>
    <col min="18" max="18" width="11.5703125" customWidth="1"/>
    <col min="22" max="22" width="11" customWidth="1"/>
    <col min="24" max="24" width="13.7109375" customWidth="1"/>
    <col min="28" max="28" width="14.42578125" bestFit="1" customWidth="1"/>
  </cols>
  <sheetData>
    <row r="1" spans="1:30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27">
        <v>43862</v>
      </c>
      <c r="B5" s="7">
        <f>'[3]Production Summary'!J37</f>
        <v>0</v>
      </c>
      <c r="C5" s="8">
        <f>B5/1000000</f>
        <v>0</v>
      </c>
      <c r="D5" s="10">
        <f>C5*3.07</f>
        <v>0</v>
      </c>
      <c r="E5" s="7">
        <f>'[3]Production Summary'!E37</f>
        <v>0</v>
      </c>
      <c r="F5" s="8">
        <f>E5/1000000</f>
        <v>0</v>
      </c>
      <c r="G5" s="10">
        <f>F5*3.07</f>
        <v>0</v>
      </c>
      <c r="H5" s="7">
        <f>'[3]Production Summary'!G37</f>
        <v>0</v>
      </c>
      <c r="I5" s="8">
        <f>H5/1000000</f>
        <v>0</v>
      </c>
      <c r="J5" s="10">
        <f>I5*3.07</f>
        <v>0</v>
      </c>
      <c r="K5" s="7">
        <f>'[3]Production Summary'!T37</f>
        <v>0</v>
      </c>
      <c r="L5" s="8">
        <f>K5/1000000</f>
        <v>0</v>
      </c>
      <c r="M5" s="10">
        <f>L5*3.07</f>
        <v>0</v>
      </c>
      <c r="N5" s="21"/>
      <c r="O5" s="7">
        <f>'[3]Production Summary'!I37</f>
        <v>11872999.999999978</v>
      </c>
      <c r="P5" s="8">
        <f>O5/1000000</f>
        <v>11.872999999999978</v>
      </c>
      <c r="Q5" s="10">
        <f>P5*3.07</f>
        <v>36.450109999999931</v>
      </c>
      <c r="R5" s="7">
        <f>'[3]Production Summary'!C37</f>
        <v>12201000</v>
      </c>
      <c r="S5" s="8">
        <f>R5/1000000</f>
        <v>12.201000000000001</v>
      </c>
      <c r="T5" s="10">
        <f>S5*3.07</f>
        <v>37.457070000000002</v>
      </c>
      <c r="U5" s="7">
        <f>'[3]Production Summary'!F37</f>
        <v>0</v>
      </c>
      <c r="V5" s="8">
        <f>U5/1000000</f>
        <v>0</v>
      </c>
      <c r="W5" s="10">
        <f>V5*3.07</f>
        <v>0</v>
      </c>
      <c r="X5" s="7">
        <f>'[3]Production Summary'!AA37</f>
        <v>320000.0000000216</v>
      </c>
      <c r="Y5" s="8">
        <f>X5/1000000</f>
        <v>0.3200000000000216</v>
      </c>
      <c r="Z5" s="10">
        <f>Y5*3.07</f>
        <v>0.98240000000006622</v>
      </c>
      <c r="AA5" s="15"/>
      <c r="AB5" s="7">
        <f>B5+O5</f>
        <v>11872999.999999978</v>
      </c>
      <c r="AC5" s="8">
        <f>C5+P5</f>
        <v>11.872999999999978</v>
      </c>
      <c r="AD5" s="8">
        <f>D5+Q5</f>
        <v>36.450109999999931</v>
      </c>
    </row>
    <row r="6" spans="1:30" x14ac:dyDescent="0.2">
      <c r="A6" s="27">
        <v>43863</v>
      </c>
      <c r="B6" s="7">
        <f>'[3]Production Summary'!J38</f>
        <v>0</v>
      </c>
      <c r="C6" s="8">
        <f t="shared" ref="C6:C32" si="0">B6/1000000</f>
        <v>0</v>
      </c>
      <c r="D6" s="10">
        <f t="shared" ref="D6:D32" si="1">C6*3.07</f>
        <v>0</v>
      </c>
      <c r="E6" s="7">
        <f>'[3]Production Summary'!E38</f>
        <v>0</v>
      </c>
      <c r="F6" s="8">
        <f t="shared" ref="F6:F32" si="2">E6/1000000</f>
        <v>0</v>
      </c>
      <c r="G6" s="10">
        <f t="shared" ref="G6:G32" si="3">F6*3.07</f>
        <v>0</v>
      </c>
      <c r="H6" s="7">
        <f>'[3]Production Summary'!G38</f>
        <v>0</v>
      </c>
      <c r="I6" s="8">
        <f t="shared" ref="I6:I32" si="4">H6/1000000</f>
        <v>0</v>
      </c>
      <c r="J6" s="10">
        <f t="shared" ref="J6:J32" si="5">I6*3.07</f>
        <v>0</v>
      </c>
      <c r="K6" s="7">
        <f>'[3]Production Summary'!T38</f>
        <v>0</v>
      </c>
      <c r="L6" s="8">
        <f t="shared" ref="L6:L23" si="6">K6/1000000</f>
        <v>0</v>
      </c>
      <c r="M6" s="10">
        <f t="shared" ref="M6:M32" si="7">L6*3.07</f>
        <v>0</v>
      </c>
      <c r="N6" s="21"/>
      <c r="O6" s="7">
        <f>'[3]Production Summary'!I38</f>
        <v>12487000.000000017</v>
      </c>
      <c r="P6" s="8">
        <f t="shared" ref="P6:P32" si="8">O6/1000000</f>
        <v>12.487000000000016</v>
      </c>
      <c r="Q6" s="10">
        <f t="shared" ref="Q6:Q32" si="9">P6*3.07</f>
        <v>38.335090000000051</v>
      </c>
      <c r="R6" s="7">
        <f>'[3]Production Summary'!C38</f>
        <v>12690000</v>
      </c>
      <c r="S6" s="8">
        <f t="shared" ref="S6:S32" si="10">R6/1000000</f>
        <v>12.69</v>
      </c>
      <c r="T6" s="10">
        <f t="shared" ref="T6:T32" si="11">S6*3.07</f>
        <v>38.958299999999994</v>
      </c>
      <c r="U6" s="7">
        <f>'[3]Production Summary'!F38</f>
        <v>0</v>
      </c>
      <c r="V6" s="8">
        <f t="shared" ref="V6:V32" si="12">U6/1000000</f>
        <v>0</v>
      </c>
      <c r="W6" s="10">
        <f t="shared" ref="W6:W32" si="13">V6*3.07</f>
        <v>0</v>
      </c>
      <c r="X6" s="7">
        <f>'[3]Production Summary'!AA38</f>
        <v>198999.99999998385</v>
      </c>
      <c r="Y6" s="8">
        <f t="shared" ref="Y6:Y32" si="14">X6/1000000</f>
        <v>0.19899999999998386</v>
      </c>
      <c r="Z6" s="10">
        <f t="shared" ref="Z6:Z32" si="15">Y6*3.07</f>
        <v>0.61092999999995046</v>
      </c>
      <c r="AA6" s="15"/>
      <c r="AB6" s="7">
        <f t="shared" ref="AB6:AB17" si="16">B6+O6</f>
        <v>12487000.000000017</v>
      </c>
      <c r="AC6" s="8">
        <f t="shared" ref="AB6:AD34" si="17">C6+P6</f>
        <v>12.487000000000016</v>
      </c>
      <c r="AD6" s="8">
        <f t="shared" si="17"/>
        <v>38.335090000000051</v>
      </c>
    </row>
    <row r="7" spans="1:30" x14ac:dyDescent="0.2">
      <c r="A7" s="27">
        <v>43864</v>
      </c>
      <c r="B7" s="7">
        <f>'[3]Production Summary'!J39</f>
        <v>0</v>
      </c>
      <c r="C7" s="8">
        <f t="shared" si="0"/>
        <v>0</v>
      </c>
      <c r="D7" s="10">
        <f t="shared" si="1"/>
        <v>0</v>
      </c>
      <c r="E7" s="7">
        <f>'[3]Production Summary'!E39</f>
        <v>0</v>
      </c>
      <c r="F7" s="8">
        <f t="shared" si="2"/>
        <v>0</v>
      </c>
      <c r="G7" s="10">
        <f t="shared" si="3"/>
        <v>0</v>
      </c>
      <c r="H7" s="7">
        <f>'[3]Production Summary'!G39</f>
        <v>0</v>
      </c>
      <c r="I7" s="8">
        <f t="shared" si="4"/>
        <v>0</v>
      </c>
      <c r="J7" s="10">
        <f t="shared" si="5"/>
        <v>0</v>
      </c>
      <c r="K7" s="7">
        <f>'[3]Production Summary'!T39</f>
        <v>0</v>
      </c>
      <c r="L7" s="8">
        <f t="shared" si="6"/>
        <v>0</v>
      </c>
      <c r="M7" s="10">
        <f t="shared" si="7"/>
        <v>0</v>
      </c>
      <c r="N7" s="21"/>
      <c r="O7" s="7">
        <f>'[3]Production Summary'!I39</f>
        <v>12092999.999999994</v>
      </c>
      <c r="P7" s="8">
        <f t="shared" si="8"/>
        <v>12.092999999999995</v>
      </c>
      <c r="Q7" s="10">
        <f t="shared" si="9"/>
        <v>37.125509999999984</v>
      </c>
      <c r="R7" s="7">
        <f>'[3]Production Summary'!C39</f>
        <v>12351000</v>
      </c>
      <c r="S7" s="8">
        <f t="shared" si="10"/>
        <v>12.351000000000001</v>
      </c>
      <c r="T7" s="10">
        <f t="shared" si="11"/>
        <v>37.917569999999998</v>
      </c>
      <c r="U7" s="7">
        <f>'[3]Production Summary'!F39</f>
        <v>0</v>
      </c>
      <c r="V7" s="8">
        <f t="shared" si="12"/>
        <v>0</v>
      </c>
      <c r="W7" s="10">
        <f t="shared" si="13"/>
        <v>0</v>
      </c>
      <c r="X7" s="7">
        <f>'[3]Production Summary'!AA39</f>
        <v>251000.00000000477</v>
      </c>
      <c r="Y7" s="8">
        <f t="shared" si="14"/>
        <v>0.25100000000000477</v>
      </c>
      <c r="Z7" s="10">
        <f t="shared" si="15"/>
        <v>0.77057000000001463</v>
      </c>
      <c r="AA7" s="15"/>
      <c r="AB7" s="7">
        <f t="shared" si="16"/>
        <v>12092999.999999994</v>
      </c>
      <c r="AC7" s="8">
        <f t="shared" si="17"/>
        <v>12.092999999999995</v>
      </c>
      <c r="AD7" s="8">
        <f t="shared" si="17"/>
        <v>37.125509999999984</v>
      </c>
    </row>
    <row r="8" spans="1:30" x14ac:dyDescent="0.2">
      <c r="A8" s="27">
        <v>43865</v>
      </c>
      <c r="B8" s="7">
        <f>'[3]Production Summary'!J40</f>
        <v>0</v>
      </c>
      <c r="C8" s="8">
        <f t="shared" si="0"/>
        <v>0</v>
      </c>
      <c r="D8" s="10">
        <f t="shared" si="1"/>
        <v>0</v>
      </c>
      <c r="E8" s="7">
        <f>'[3]Production Summary'!E40</f>
        <v>0</v>
      </c>
      <c r="F8" s="8">
        <f t="shared" si="2"/>
        <v>0</v>
      </c>
      <c r="G8" s="10">
        <f t="shared" si="3"/>
        <v>0</v>
      </c>
      <c r="H8" s="7">
        <f>'[3]Production Summary'!G40</f>
        <v>0</v>
      </c>
      <c r="I8" s="8">
        <f t="shared" si="4"/>
        <v>0</v>
      </c>
      <c r="J8" s="10">
        <f t="shared" si="5"/>
        <v>0</v>
      </c>
      <c r="K8" s="7">
        <f>'[3]Production Summary'!T40</f>
        <v>0</v>
      </c>
      <c r="L8" s="8">
        <f t="shared" si="6"/>
        <v>0</v>
      </c>
      <c r="M8" s="10">
        <f t="shared" si="7"/>
        <v>0</v>
      </c>
      <c r="N8" s="21"/>
      <c r="O8" s="7">
        <f>'[3]Production Summary'!I40</f>
        <v>11677000.000000015</v>
      </c>
      <c r="P8" s="8">
        <f t="shared" si="8"/>
        <v>11.677000000000016</v>
      </c>
      <c r="Q8" s="10">
        <f t="shared" si="9"/>
        <v>35.848390000000045</v>
      </c>
      <c r="R8" s="7">
        <f>'[3]Production Summary'!C40</f>
        <v>11936000</v>
      </c>
      <c r="S8" s="8">
        <f t="shared" si="10"/>
        <v>11.936</v>
      </c>
      <c r="T8" s="10">
        <f t="shared" si="11"/>
        <v>36.643519999999995</v>
      </c>
      <c r="U8" s="7">
        <f>'[3]Production Summary'!F40</f>
        <v>0</v>
      </c>
      <c r="V8" s="8">
        <f t="shared" si="12"/>
        <v>0</v>
      </c>
      <c r="W8" s="10">
        <f t="shared" si="13"/>
        <v>0</v>
      </c>
      <c r="X8" s="7">
        <f>'[3]Production Summary'!AA40</f>
        <v>252999.99999998591</v>
      </c>
      <c r="Y8" s="8">
        <f t="shared" si="14"/>
        <v>0.2529999999999859</v>
      </c>
      <c r="Z8" s="10">
        <f t="shared" si="15"/>
        <v>0.77670999999995671</v>
      </c>
      <c r="AA8" s="15"/>
      <c r="AB8" s="7">
        <f t="shared" si="16"/>
        <v>11677000.000000015</v>
      </c>
      <c r="AC8" s="8">
        <f t="shared" si="17"/>
        <v>11.677000000000016</v>
      </c>
      <c r="AD8" s="8">
        <f>D8+Q8</f>
        <v>35.848390000000045</v>
      </c>
    </row>
    <row r="9" spans="1:30" x14ac:dyDescent="0.2">
      <c r="A9" s="27">
        <v>43866</v>
      </c>
      <c r="B9" s="7">
        <f>'[3]Production Summary'!J41</f>
        <v>0</v>
      </c>
      <c r="C9" s="8">
        <f t="shared" si="0"/>
        <v>0</v>
      </c>
      <c r="D9" s="10">
        <f t="shared" si="1"/>
        <v>0</v>
      </c>
      <c r="E9" s="7">
        <f>'[3]Production Summary'!E41</f>
        <v>0</v>
      </c>
      <c r="F9" s="8">
        <f t="shared" si="2"/>
        <v>0</v>
      </c>
      <c r="G9" s="10">
        <f t="shared" si="3"/>
        <v>0</v>
      </c>
      <c r="H9" s="7">
        <f>'[3]Production Summary'!G41</f>
        <v>0</v>
      </c>
      <c r="I9" s="8">
        <f t="shared" si="4"/>
        <v>0</v>
      </c>
      <c r="J9" s="10">
        <f t="shared" si="5"/>
        <v>0</v>
      </c>
      <c r="K9" s="7">
        <f>'[3]Production Summary'!T41</f>
        <v>0</v>
      </c>
      <c r="L9" s="8">
        <f t="shared" si="6"/>
        <v>0</v>
      </c>
      <c r="M9" s="10">
        <f t="shared" si="7"/>
        <v>0</v>
      </c>
      <c r="N9" s="21"/>
      <c r="O9" s="7">
        <f>'[3]Production Summary'!I41</f>
        <v>12124999.999999993</v>
      </c>
      <c r="P9" s="8">
        <f t="shared" si="8"/>
        <v>12.124999999999993</v>
      </c>
      <c r="Q9" s="10">
        <f t="shared" si="9"/>
        <v>37.223749999999974</v>
      </c>
      <c r="R9" s="7">
        <f>'[3]Production Summary'!C41</f>
        <v>12450000</v>
      </c>
      <c r="S9" s="8">
        <f t="shared" si="10"/>
        <v>12.45</v>
      </c>
      <c r="T9" s="10">
        <f t="shared" si="11"/>
        <v>38.221499999999999</v>
      </c>
      <c r="U9" s="7">
        <f>'[3]Production Summary'!F41</f>
        <v>0</v>
      </c>
      <c r="V9" s="8">
        <f t="shared" si="12"/>
        <v>0</v>
      </c>
      <c r="W9" s="10">
        <f t="shared" si="13"/>
        <v>0</v>
      </c>
      <c r="X9" s="7">
        <f>'[3]Production Summary'!AA41</f>
        <v>317000.00000000728</v>
      </c>
      <c r="Y9" s="8">
        <f t="shared" si="14"/>
        <v>0.31700000000000728</v>
      </c>
      <c r="Z9" s="10">
        <f t="shared" si="15"/>
        <v>0.97319000000002231</v>
      </c>
      <c r="AA9" s="15"/>
      <c r="AB9" s="7">
        <f t="shared" si="16"/>
        <v>12124999.999999993</v>
      </c>
      <c r="AC9" s="8">
        <f t="shared" si="17"/>
        <v>12.124999999999993</v>
      </c>
      <c r="AD9" s="8">
        <f t="shared" si="17"/>
        <v>37.223749999999974</v>
      </c>
    </row>
    <row r="10" spans="1:30" x14ac:dyDescent="0.2">
      <c r="A10" s="27">
        <v>43867</v>
      </c>
      <c r="B10" s="7">
        <f>'[3]Production Summary'!J42</f>
        <v>0</v>
      </c>
      <c r="C10" s="8">
        <f t="shared" si="0"/>
        <v>0</v>
      </c>
      <c r="D10" s="10">
        <f t="shared" si="1"/>
        <v>0</v>
      </c>
      <c r="E10" s="7">
        <f>'[3]Production Summary'!E42</f>
        <v>0</v>
      </c>
      <c r="F10" s="8">
        <f t="shared" si="2"/>
        <v>0</v>
      </c>
      <c r="G10" s="10">
        <f t="shared" si="3"/>
        <v>0</v>
      </c>
      <c r="H10" s="7">
        <f>'[3]Production Summary'!G42</f>
        <v>0</v>
      </c>
      <c r="I10" s="8">
        <f t="shared" si="4"/>
        <v>0</v>
      </c>
      <c r="J10" s="10">
        <f t="shared" si="5"/>
        <v>0</v>
      </c>
      <c r="K10" s="7">
        <f>'[3]Production Summary'!T42</f>
        <v>0</v>
      </c>
      <c r="L10" s="8">
        <f t="shared" si="6"/>
        <v>0</v>
      </c>
      <c r="M10" s="10">
        <f t="shared" si="7"/>
        <v>0</v>
      </c>
      <c r="N10" s="21"/>
      <c r="O10" s="7">
        <f>'[3]Production Summary'!I42</f>
        <v>12335999.999999983</v>
      </c>
      <c r="P10" s="8">
        <f t="shared" si="8"/>
        <v>12.335999999999983</v>
      </c>
      <c r="Q10" s="10">
        <f t="shared" si="9"/>
        <v>37.871519999999947</v>
      </c>
      <c r="R10" s="7">
        <f>'[3]Production Summary'!C42</f>
        <v>12541000</v>
      </c>
      <c r="S10" s="8">
        <f t="shared" si="10"/>
        <v>12.541</v>
      </c>
      <c r="T10" s="10">
        <f t="shared" si="11"/>
        <v>38.500869999999999</v>
      </c>
      <c r="U10" s="7">
        <f>'[3]Production Summary'!F42</f>
        <v>0</v>
      </c>
      <c r="V10" s="8">
        <f t="shared" si="12"/>
        <v>0</v>
      </c>
      <c r="W10" s="10">
        <f t="shared" si="13"/>
        <v>0</v>
      </c>
      <c r="X10" s="7">
        <f>'[3]Production Summary'!AA42</f>
        <v>200000.00000001705</v>
      </c>
      <c r="Y10" s="8">
        <f t="shared" si="14"/>
        <v>0.20000000000001705</v>
      </c>
      <c r="Z10" s="10">
        <f t="shared" si="15"/>
        <v>0.61400000000005228</v>
      </c>
      <c r="AA10" s="15"/>
      <c r="AB10" s="7">
        <f t="shared" si="16"/>
        <v>12335999.999999983</v>
      </c>
      <c r="AC10" s="8">
        <f t="shared" si="17"/>
        <v>12.335999999999983</v>
      </c>
      <c r="AD10" s="8">
        <f t="shared" si="17"/>
        <v>37.871519999999947</v>
      </c>
    </row>
    <row r="11" spans="1:30" x14ac:dyDescent="0.2">
      <c r="A11" s="27">
        <v>43868</v>
      </c>
      <c r="B11" s="7">
        <f>'[3]Production Summary'!J43</f>
        <v>0</v>
      </c>
      <c r="C11" s="8">
        <f t="shared" si="0"/>
        <v>0</v>
      </c>
      <c r="D11" s="10">
        <f t="shared" si="1"/>
        <v>0</v>
      </c>
      <c r="E11" s="7">
        <f>'[3]Production Summary'!E43</f>
        <v>0</v>
      </c>
      <c r="F11" s="8">
        <f t="shared" si="2"/>
        <v>0</v>
      </c>
      <c r="G11" s="10">
        <f t="shared" si="3"/>
        <v>0</v>
      </c>
      <c r="H11" s="7">
        <f>'[3]Production Summary'!G43</f>
        <v>0</v>
      </c>
      <c r="I11" s="8">
        <f t="shared" si="4"/>
        <v>0</v>
      </c>
      <c r="J11" s="10">
        <f t="shared" si="5"/>
        <v>0</v>
      </c>
      <c r="K11" s="7">
        <f>'[3]Production Summary'!T43</f>
        <v>0</v>
      </c>
      <c r="L11" s="8">
        <f t="shared" si="6"/>
        <v>0</v>
      </c>
      <c r="M11" s="10">
        <f t="shared" si="7"/>
        <v>0</v>
      </c>
      <c r="N11" s="21"/>
      <c r="O11" s="7">
        <f>'[3]Production Summary'!I43</f>
        <v>11377000.000000011</v>
      </c>
      <c r="P11" s="8">
        <f t="shared" si="8"/>
        <v>11.377000000000011</v>
      </c>
      <c r="Q11" s="10">
        <f t="shared" si="9"/>
        <v>34.927390000000031</v>
      </c>
      <c r="R11" s="7">
        <f>'[3]Production Summary'!C43</f>
        <v>11716000</v>
      </c>
      <c r="S11" s="8">
        <f t="shared" si="10"/>
        <v>11.715999999999999</v>
      </c>
      <c r="T11" s="10">
        <f t="shared" si="11"/>
        <v>35.968119999999999</v>
      </c>
      <c r="U11" s="7">
        <f>'[3]Production Summary'!F43</f>
        <v>0</v>
      </c>
      <c r="V11" s="8">
        <f t="shared" si="12"/>
        <v>0</v>
      </c>
      <c r="W11" s="10">
        <f t="shared" si="13"/>
        <v>0</v>
      </c>
      <c r="X11" s="7">
        <f>'[3]Production Summary'!AA43</f>
        <v>330999.99999998888</v>
      </c>
      <c r="Y11" s="8">
        <f t="shared" si="14"/>
        <v>0.33099999999998886</v>
      </c>
      <c r="Z11" s="10">
        <f t="shared" si="15"/>
        <v>1.0161699999999658</v>
      </c>
      <c r="AA11" s="15"/>
      <c r="AB11" s="7">
        <f t="shared" si="16"/>
        <v>11377000.000000011</v>
      </c>
      <c r="AC11" s="8">
        <f t="shared" si="17"/>
        <v>11.377000000000011</v>
      </c>
      <c r="AD11" s="8">
        <f t="shared" si="17"/>
        <v>34.927390000000031</v>
      </c>
    </row>
    <row r="12" spans="1:30" x14ac:dyDescent="0.2">
      <c r="A12" s="27">
        <v>43869</v>
      </c>
      <c r="B12" s="7">
        <f>'[3]Production Summary'!J44</f>
        <v>0</v>
      </c>
      <c r="C12" s="8">
        <f t="shared" si="0"/>
        <v>0</v>
      </c>
      <c r="D12" s="10">
        <f t="shared" si="1"/>
        <v>0</v>
      </c>
      <c r="E12" s="7">
        <f>'[3]Production Summary'!E44</f>
        <v>0</v>
      </c>
      <c r="F12" s="8">
        <f t="shared" si="2"/>
        <v>0</v>
      </c>
      <c r="G12" s="10">
        <f t="shared" si="3"/>
        <v>0</v>
      </c>
      <c r="H12" s="7">
        <f>'[3]Production Summary'!G44</f>
        <v>0</v>
      </c>
      <c r="I12" s="8">
        <f t="shared" si="4"/>
        <v>0</v>
      </c>
      <c r="J12" s="10">
        <f t="shared" si="5"/>
        <v>0</v>
      </c>
      <c r="K12" s="7">
        <f>'[3]Production Summary'!T44</f>
        <v>0</v>
      </c>
      <c r="L12" s="8">
        <f t="shared" si="6"/>
        <v>0</v>
      </c>
      <c r="M12" s="10">
        <f t="shared" si="7"/>
        <v>0</v>
      </c>
      <c r="N12" s="21"/>
      <c r="O12" s="7">
        <f>'[3]Production Summary'!I44</f>
        <v>11108000.000000013</v>
      </c>
      <c r="P12" s="8">
        <f t="shared" si="8"/>
        <v>11.108000000000013</v>
      </c>
      <c r="Q12" s="10">
        <f t="shared" si="9"/>
        <v>34.101560000000035</v>
      </c>
      <c r="R12" s="7">
        <f>'[3]Production Summary'!C44</f>
        <v>11380000</v>
      </c>
      <c r="S12" s="8">
        <f t="shared" si="10"/>
        <v>11.38</v>
      </c>
      <c r="T12" s="10">
        <f t="shared" si="11"/>
        <v>34.936599999999999</v>
      </c>
      <c r="U12" s="7">
        <f>'[3]Production Summary'!F44</f>
        <v>0</v>
      </c>
      <c r="V12" s="8">
        <f t="shared" si="12"/>
        <v>0</v>
      </c>
      <c r="W12" s="10">
        <f t="shared" si="13"/>
        <v>0</v>
      </c>
      <c r="X12" s="7">
        <f>'[3]Production Summary'!AA44</f>
        <v>264999.99999998638</v>
      </c>
      <c r="Y12" s="8">
        <f t="shared" si="14"/>
        <v>0.26499999999998636</v>
      </c>
      <c r="Z12" s="10">
        <f t="shared" si="15"/>
        <v>0.81354999999995803</v>
      </c>
      <c r="AA12" s="15"/>
      <c r="AB12" s="7">
        <f t="shared" si="16"/>
        <v>11108000.000000013</v>
      </c>
      <c r="AC12" s="8">
        <f t="shared" si="17"/>
        <v>11.108000000000013</v>
      </c>
      <c r="AD12" s="8">
        <f t="shared" si="17"/>
        <v>34.101560000000035</v>
      </c>
    </row>
    <row r="13" spans="1:30" x14ac:dyDescent="0.2">
      <c r="A13" s="27">
        <v>43870</v>
      </c>
      <c r="B13" s="7">
        <f>'[3]Production Summary'!J45</f>
        <v>0</v>
      </c>
      <c r="C13" s="8">
        <f t="shared" si="0"/>
        <v>0</v>
      </c>
      <c r="D13" s="10">
        <f t="shared" si="1"/>
        <v>0</v>
      </c>
      <c r="E13" s="7">
        <f>'[3]Production Summary'!E45</f>
        <v>0</v>
      </c>
      <c r="F13" s="8">
        <f t="shared" si="2"/>
        <v>0</v>
      </c>
      <c r="G13" s="10">
        <f t="shared" si="3"/>
        <v>0</v>
      </c>
      <c r="H13" s="7">
        <f>'[3]Production Summary'!G45</f>
        <v>0</v>
      </c>
      <c r="I13" s="8">
        <f t="shared" si="4"/>
        <v>0</v>
      </c>
      <c r="J13" s="10">
        <f t="shared" si="5"/>
        <v>0</v>
      </c>
      <c r="K13" s="7">
        <f>'[3]Production Summary'!T45</f>
        <v>0</v>
      </c>
      <c r="L13" s="8">
        <f t="shared" si="6"/>
        <v>0</v>
      </c>
      <c r="M13" s="10">
        <f t="shared" si="7"/>
        <v>0</v>
      </c>
      <c r="N13" s="21"/>
      <c r="O13" s="7">
        <f>'[3]Production Summary'!I45</f>
        <v>12677999.999999978</v>
      </c>
      <c r="P13" s="8">
        <f t="shared" si="8"/>
        <v>12.677999999999978</v>
      </c>
      <c r="Q13" s="10">
        <f t="shared" si="9"/>
        <v>38.921459999999932</v>
      </c>
      <c r="R13" s="7">
        <f>'[3]Production Summary'!C45</f>
        <v>13018000</v>
      </c>
      <c r="S13" s="8">
        <f t="shared" si="10"/>
        <v>13.018000000000001</v>
      </c>
      <c r="T13" s="10">
        <f t="shared" si="11"/>
        <v>39.965260000000001</v>
      </c>
      <c r="U13" s="7">
        <f>'[3]Production Summary'!F45</f>
        <v>0</v>
      </c>
      <c r="V13" s="8">
        <f t="shared" si="12"/>
        <v>0</v>
      </c>
      <c r="W13" s="10">
        <f t="shared" si="13"/>
        <v>0</v>
      </c>
      <c r="X13" s="7">
        <f>'[3]Production Summary'!AA45</f>
        <v>332000.00000002206</v>
      </c>
      <c r="Y13" s="8">
        <f t="shared" si="14"/>
        <v>0.33200000000002206</v>
      </c>
      <c r="Z13" s="10">
        <f t="shared" si="15"/>
        <v>1.0192400000000676</v>
      </c>
      <c r="AA13" s="15"/>
      <c r="AB13" s="7">
        <f t="shared" si="16"/>
        <v>12677999.999999978</v>
      </c>
      <c r="AC13" s="8">
        <f t="shared" si="17"/>
        <v>12.677999999999978</v>
      </c>
      <c r="AD13" s="8">
        <f t="shared" si="17"/>
        <v>38.921459999999932</v>
      </c>
    </row>
    <row r="14" spans="1:30" x14ac:dyDescent="0.2">
      <c r="A14" s="27">
        <v>43871</v>
      </c>
      <c r="B14" s="7">
        <f>'[3]Production Summary'!J46</f>
        <v>0</v>
      </c>
      <c r="C14" s="8">
        <f t="shared" si="0"/>
        <v>0</v>
      </c>
      <c r="D14" s="10">
        <f t="shared" si="1"/>
        <v>0</v>
      </c>
      <c r="E14" s="7">
        <f>'[3]Production Summary'!E46</f>
        <v>0</v>
      </c>
      <c r="F14" s="8">
        <f t="shared" si="2"/>
        <v>0</v>
      </c>
      <c r="G14" s="10">
        <f t="shared" si="3"/>
        <v>0</v>
      </c>
      <c r="H14" s="7">
        <f>'[3]Production Summary'!G46</f>
        <v>0</v>
      </c>
      <c r="I14" s="8">
        <f t="shared" si="4"/>
        <v>0</v>
      </c>
      <c r="J14" s="10">
        <f t="shared" si="5"/>
        <v>0</v>
      </c>
      <c r="K14" s="7">
        <f>'[3]Production Summary'!T46</f>
        <v>0</v>
      </c>
      <c r="L14" s="8">
        <f t="shared" si="6"/>
        <v>0</v>
      </c>
      <c r="M14" s="10">
        <f t="shared" si="7"/>
        <v>0</v>
      </c>
      <c r="N14" s="21"/>
      <c r="O14" s="7">
        <f>'[3]Production Summary'!I46</f>
        <v>12514000.000000004</v>
      </c>
      <c r="P14" s="8">
        <f t="shared" si="8"/>
        <v>12.514000000000003</v>
      </c>
      <c r="Q14" s="10">
        <f t="shared" si="9"/>
        <v>38.417980000000007</v>
      </c>
      <c r="R14" s="7">
        <f>'[3]Production Summary'!C46</f>
        <v>12787000</v>
      </c>
      <c r="S14" s="8">
        <f t="shared" si="10"/>
        <v>12.787000000000001</v>
      </c>
      <c r="T14" s="10">
        <f t="shared" si="11"/>
        <v>39.25609</v>
      </c>
      <c r="U14" s="7">
        <f>'[3]Production Summary'!F46</f>
        <v>0</v>
      </c>
      <c r="V14" s="8">
        <f t="shared" si="12"/>
        <v>0</v>
      </c>
      <c r="W14" s="10">
        <f t="shared" si="13"/>
        <v>0</v>
      </c>
      <c r="X14" s="7">
        <f>'[3]Production Summary'!AA46</f>
        <v>266999.99999999593</v>
      </c>
      <c r="Y14" s="8">
        <f t="shared" si="14"/>
        <v>0.26699999999999591</v>
      </c>
      <c r="Z14" s="10">
        <f t="shared" si="15"/>
        <v>0.81968999999998737</v>
      </c>
      <c r="AA14" s="15"/>
      <c r="AB14" s="7">
        <f t="shared" si="16"/>
        <v>12514000.000000004</v>
      </c>
      <c r="AC14" s="8">
        <f t="shared" si="17"/>
        <v>12.514000000000003</v>
      </c>
      <c r="AD14" s="8">
        <f t="shared" si="17"/>
        <v>38.417980000000007</v>
      </c>
    </row>
    <row r="15" spans="1:30" x14ac:dyDescent="0.2">
      <c r="A15" s="27">
        <v>43872</v>
      </c>
      <c r="B15" s="7">
        <f>'[3]Production Summary'!J47</f>
        <v>0</v>
      </c>
      <c r="C15" s="8">
        <f t="shared" si="0"/>
        <v>0</v>
      </c>
      <c r="D15" s="10">
        <f t="shared" si="1"/>
        <v>0</v>
      </c>
      <c r="E15" s="7">
        <f>'[3]Production Summary'!E47</f>
        <v>0</v>
      </c>
      <c r="F15" s="8">
        <f t="shared" si="2"/>
        <v>0</v>
      </c>
      <c r="G15" s="10">
        <f t="shared" si="3"/>
        <v>0</v>
      </c>
      <c r="H15" s="7">
        <f>'[3]Production Summary'!G47</f>
        <v>0</v>
      </c>
      <c r="I15" s="8">
        <f t="shared" si="4"/>
        <v>0</v>
      </c>
      <c r="J15" s="10">
        <f t="shared" si="5"/>
        <v>0</v>
      </c>
      <c r="K15" s="7">
        <f>'[3]Production Summary'!T47</f>
        <v>0</v>
      </c>
      <c r="L15" s="8">
        <f t="shared" si="6"/>
        <v>0</v>
      </c>
      <c r="M15" s="10">
        <f t="shared" si="7"/>
        <v>0</v>
      </c>
      <c r="N15" s="21"/>
      <c r="O15" s="7">
        <f>'[3]Production Summary'!I47</f>
        <v>12318000.000000017</v>
      </c>
      <c r="P15" s="8">
        <f t="shared" si="8"/>
        <v>12.318000000000017</v>
      </c>
      <c r="Q15" s="10">
        <f t="shared" si="9"/>
        <v>37.81626000000005</v>
      </c>
      <c r="R15" s="7">
        <f>'[3]Production Summary'!C47</f>
        <v>12522000</v>
      </c>
      <c r="S15" s="8">
        <f t="shared" si="10"/>
        <v>12.522</v>
      </c>
      <c r="T15" s="10">
        <f t="shared" si="11"/>
        <v>38.442540000000001</v>
      </c>
      <c r="U15" s="7">
        <f>'[3]Production Summary'!F47</f>
        <v>0</v>
      </c>
      <c r="V15" s="8">
        <f t="shared" si="12"/>
        <v>0</v>
      </c>
      <c r="W15" s="10">
        <f t="shared" si="13"/>
        <v>0</v>
      </c>
      <c r="X15" s="7">
        <f>'[3]Production Summary'!AA47</f>
        <v>198999.99999998385</v>
      </c>
      <c r="Y15" s="8">
        <f t="shared" si="14"/>
        <v>0.19899999999998386</v>
      </c>
      <c r="Z15" s="10">
        <f t="shared" si="15"/>
        <v>0.61092999999995046</v>
      </c>
      <c r="AA15" s="15"/>
      <c r="AB15" s="7">
        <f t="shared" si="16"/>
        <v>12318000.000000017</v>
      </c>
      <c r="AC15" s="8">
        <f t="shared" si="17"/>
        <v>12.318000000000017</v>
      </c>
      <c r="AD15" s="8">
        <f t="shared" si="17"/>
        <v>37.81626000000005</v>
      </c>
    </row>
    <row r="16" spans="1:30" x14ac:dyDescent="0.2">
      <c r="A16" s="27">
        <v>43873</v>
      </c>
      <c r="B16" s="7">
        <f>'[3]Production Summary'!J48</f>
        <v>0</v>
      </c>
      <c r="C16" s="8">
        <f t="shared" si="0"/>
        <v>0</v>
      </c>
      <c r="D16" s="10">
        <f t="shared" si="1"/>
        <v>0</v>
      </c>
      <c r="E16" s="7">
        <f>'[3]Production Summary'!E48</f>
        <v>0</v>
      </c>
      <c r="F16" s="8">
        <f t="shared" si="2"/>
        <v>0</v>
      </c>
      <c r="G16" s="10">
        <f t="shared" si="3"/>
        <v>0</v>
      </c>
      <c r="H16" s="7">
        <f>'[3]Production Summary'!G48</f>
        <v>0</v>
      </c>
      <c r="I16" s="8">
        <f t="shared" si="4"/>
        <v>0</v>
      </c>
      <c r="J16" s="10">
        <f t="shared" si="5"/>
        <v>0</v>
      </c>
      <c r="K16" s="7">
        <f>'[3]Production Summary'!T48</f>
        <v>0</v>
      </c>
      <c r="L16" s="8">
        <f t="shared" si="6"/>
        <v>0</v>
      </c>
      <c r="M16" s="10">
        <f t="shared" si="7"/>
        <v>0</v>
      </c>
      <c r="N16" s="21"/>
      <c r="O16" s="7">
        <f>'[3]Production Summary'!I48</f>
        <v>10919999.999999976</v>
      </c>
      <c r="P16" s="8">
        <f t="shared" si="8"/>
        <v>10.919999999999975</v>
      </c>
      <c r="Q16" s="10">
        <f t="shared" si="9"/>
        <v>33.524399999999922</v>
      </c>
      <c r="R16" s="7">
        <f>'[3]Production Summary'!C48</f>
        <v>11327000</v>
      </c>
      <c r="S16" s="8">
        <f t="shared" si="10"/>
        <v>11.327</v>
      </c>
      <c r="T16" s="10">
        <f t="shared" si="11"/>
        <v>34.773890000000002</v>
      </c>
      <c r="U16" s="7">
        <f>'[3]Production Summary'!F48</f>
        <v>0</v>
      </c>
      <c r="V16" s="8">
        <f t="shared" si="12"/>
        <v>0</v>
      </c>
      <c r="W16" s="10">
        <f t="shared" si="13"/>
        <v>0</v>
      </c>
      <c r="X16" s="7">
        <f>'[3]Production Summary'!AA48</f>
        <v>398000.00000002456</v>
      </c>
      <c r="Y16" s="8">
        <f t="shared" si="14"/>
        <v>0.39800000000002456</v>
      </c>
      <c r="Z16" s="10">
        <f t="shared" si="15"/>
        <v>1.2218600000000752</v>
      </c>
      <c r="AA16" s="15"/>
      <c r="AB16" s="7">
        <f t="shared" si="16"/>
        <v>10919999.999999976</v>
      </c>
      <c r="AC16" s="8">
        <f t="shared" si="17"/>
        <v>10.919999999999975</v>
      </c>
      <c r="AD16" s="8">
        <f t="shared" si="17"/>
        <v>33.524399999999922</v>
      </c>
    </row>
    <row r="17" spans="1:30" x14ac:dyDescent="0.2">
      <c r="A17" s="27">
        <v>43874</v>
      </c>
      <c r="B17" s="7">
        <f>'[3]Production Summary'!J49</f>
        <v>0</v>
      </c>
      <c r="C17" s="8">
        <f t="shared" si="0"/>
        <v>0</v>
      </c>
      <c r="D17" s="10">
        <f t="shared" si="1"/>
        <v>0</v>
      </c>
      <c r="E17" s="7">
        <f>'[3]Production Summary'!E49</f>
        <v>0</v>
      </c>
      <c r="F17" s="8">
        <f t="shared" si="2"/>
        <v>0</v>
      </c>
      <c r="G17" s="10">
        <f t="shared" si="3"/>
        <v>0</v>
      </c>
      <c r="H17" s="7">
        <f>'[3]Production Summary'!G49</f>
        <v>0</v>
      </c>
      <c r="I17" s="8">
        <f t="shared" si="4"/>
        <v>0</v>
      </c>
      <c r="J17" s="10">
        <f t="shared" si="5"/>
        <v>0</v>
      </c>
      <c r="K17" s="7">
        <f>'[3]Production Summary'!T49</f>
        <v>0</v>
      </c>
      <c r="L17" s="8">
        <f t="shared" si="6"/>
        <v>0</v>
      </c>
      <c r="M17" s="10">
        <f t="shared" si="7"/>
        <v>0</v>
      </c>
      <c r="N17" s="21"/>
      <c r="O17" s="7">
        <f>'[3]Production Summary'!I49</f>
        <v>10766000.000000009</v>
      </c>
      <c r="P17" s="8">
        <f t="shared" si="8"/>
        <v>10.766000000000009</v>
      </c>
      <c r="Q17" s="10">
        <f t="shared" si="9"/>
        <v>33.051620000000028</v>
      </c>
      <c r="R17" s="7">
        <f>'[3]Production Summary'!C49</f>
        <v>11039000</v>
      </c>
      <c r="S17" s="8">
        <f t="shared" si="10"/>
        <v>11.039</v>
      </c>
      <c r="T17" s="10">
        <f t="shared" si="11"/>
        <v>33.88973</v>
      </c>
      <c r="U17" s="7">
        <f>'[3]Production Summary'!F49</f>
        <v>0</v>
      </c>
      <c r="V17" s="8">
        <f t="shared" si="12"/>
        <v>0</v>
      </c>
      <c r="W17" s="10">
        <f t="shared" si="13"/>
        <v>0</v>
      </c>
      <c r="X17" s="7">
        <f>'[3]Production Summary'!AA49</f>
        <v>265999.99999999115</v>
      </c>
      <c r="Y17" s="8">
        <f t="shared" si="14"/>
        <v>0.26599999999999113</v>
      </c>
      <c r="Z17" s="10">
        <f t="shared" si="15"/>
        <v>0.8166199999999727</v>
      </c>
      <c r="AA17" s="15"/>
      <c r="AB17" s="7">
        <f t="shared" si="16"/>
        <v>10766000.000000009</v>
      </c>
      <c r="AC17" s="8">
        <f t="shared" si="17"/>
        <v>10.766000000000009</v>
      </c>
      <c r="AD17" s="8">
        <f t="shared" si="17"/>
        <v>33.051620000000028</v>
      </c>
    </row>
    <row r="18" spans="1:30" x14ac:dyDescent="0.2">
      <c r="A18" s="27">
        <v>43875</v>
      </c>
      <c r="B18" s="7">
        <f>'[3]Production Summary'!J50</f>
        <v>0</v>
      </c>
      <c r="C18" s="8">
        <f t="shared" si="0"/>
        <v>0</v>
      </c>
      <c r="D18" s="10">
        <f t="shared" si="1"/>
        <v>0</v>
      </c>
      <c r="E18" s="7">
        <f>'[3]Production Summary'!E50</f>
        <v>0</v>
      </c>
      <c r="F18" s="8">
        <f t="shared" si="2"/>
        <v>0</v>
      </c>
      <c r="G18" s="10">
        <f t="shared" si="3"/>
        <v>0</v>
      </c>
      <c r="H18" s="7">
        <f>'[3]Production Summary'!G50</f>
        <v>0</v>
      </c>
      <c r="I18" s="8">
        <f t="shared" si="4"/>
        <v>0</v>
      </c>
      <c r="J18" s="10">
        <f t="shared" si="5"/>
        <v>0</v>
      </c>
      <c r="K18" s="7">
        <f>'[3]Production Summary'!T50</f>
        <v>0</v>
      </c>
      <c r="L18" s="8">
        <f t="shared" ref="L18:L20" si="18">K18/1000000</f>
        <v>0</v>
      </c>
      <c r="M18" s="10">
        <f t="shared" ref="M18:M20" si="19">L18*3.07</f>
        <v>0</v>
      </c>
      <c r="N18" s="21"/>
      <c r="O18" s="7">
        <f>'[3]Production Summary'!I50</f>
        <v>11886000</v>
      </c>
      <c r="P18" s="8">
        <f t="shared" si="8"/>
        <v>11.885999999999999</v>
      </c>
      <c r="Q18" s="10">
        <f t="shared" si="9"/>
        <v>36.490019999999994</v>
      </c>
      <c r="R18" s="7">
        <f>'[3]Production Summary'!C50</f>
        <v>12160000</v>
      </c>
      <c r="S18" s="8">
        <f t="shared" si="10"/>
        <v>12.16</v>
      </c>
      <c r="T18" s="10">
        <f t="shared" si="11"/>
        <v>37.331199999999995</v>
      </c>
      <c r="U18" s="7">
        <f>'[3]Production Summary'!F50</f>
        <v>0</v>
      </c>
      <c r="V18" s="8">
        <f t="shared" si="12"/>
        <v>0</v>
      </c>
      <c r="W18" s="10">
        <f t="shared" si="13"/>
        <v>0</v>
      </c>
      <c r="X18" s="7">
        <f>'[3]Production Summary'!AA50</f>
        <v>268000.0000000007</v>
      </c>
      <c r="Y18" s="8">
        <f t="shared" si="14"/>
        <v>0.26800000000000068</v>
      </c>
      <c r="Z18" s="10">
        <f t="shared" si="15"/>
        <v>0.82276000000000205</v>
      </c>
      <c r="AA18" s="15"/>
      <c r="AB18" s="7">
        <f t="shared" si="17"/>
        <v>11886000</v>
      </c>
      <c r="AC18" s="8">
        <f t="shared" si="17"/>
        <v>11.885999999999999</v>
      </c>
      <c r="AD18" s="8">
        <f t="shared" si="17"/>
        <v>36.490019999999994</v>
      </c>
    </row>
    <row r="19" spans="1:30" x14ac:dyDescent="0.2">
      <c r="A19" s="27">
        <v>43876</v>
      </c>
      <c r="B19" s="7">
        <f>'[3]Production Summary'!J51</f>
        <v>0</v>
      </c>
      <c r="C19" s="8">
        <f t="shared" si="0"/>
        <v>0</v>
      </c>
      <c r="D19" s="10">
        <f t="shared" si="1"/>
        <v>0</v>
      </c>
      <c r="E19" s="7">
        <f>'[3]Production Summary'!E51</f>
        <v>0</v>
      </c>
      <c r="F19" s="8">
        <f t="shared" si="2"/>
        <v>0</v>
      </c>
      <c r="G19" s="10">
        <f t="shared" si="3"/>
        <v>0</v>
      </c>
      <c r="H19" s="7">
        <f>'[3]Production Summary'!G51</f>
        <v>0</v>
      </c>
      <c r="I19" s="8">
        <f t="shared" si="4"/>
        <v>0</v>
      </c>
      <c r="J19" s="10">
        <f t="shared" si="5"/>
        <v>0</v>
      </c>
      <c r="K19" s="7">
        <f>'[3]Production Summary'!T51</f>
        <v>0</v>
      </c>
      <c r="L19" s="8">
        <f t="shared" si="18"/>
        <v>0</v>
      </c>
      <c r="M19" s="10">
        <f t="shared" si="19"/>
        <v>0</v>
      </c>
      <c r="N19" s="21"/>
      <c r="O19" s="7">
        <f>'[3]Production Summary'!I51</f>
        <v>11662000.000000009</v>
      </c>
      <c r="P19" s="8">
        <f t="shared" si="8"/>
        <v>11.66200000000001</v>
      </c>
      <c r="Q19" s="10">
        <f t="shared" si="9"/>
        <v>35.802340000000029</v>
      </c>
      <c r="R19" s="7">
        <f>'[3]Production Summary'!C51</f>
        <v>11935000</v>
      </c>
      <c r="S19" s="8">
        <f t="shared" si="10"/>
        <v>11.935</v>
      </c>
      <c r="T19" s="10">
        <f t="shared" si="11"/>
        <v>36.640450000000001</v>
      </c>
      <c r="U19" s="7">
        <f>'[3]Production Summary'!F51</f>
        <v>0</v>
      </c>
      <c r="V19" s="8">
        <f t="shared" si="12"/>
        <v>0</v>
      </c>
      <c r="W19" s="10">
        <f t="shared" si="13"/>
        <v>0</v>
      </c>
      <c r="X19" s="7">
        <f>'[3]Production Summary'!AA51</f>
        <v>265999.99999999115</v>
      </c>
      <c r="Y19" s="8">
        <f t="shared" si="14"/>
        <v>0.26599999999999113</v>
      </c>
      <c r="Z19" s="10">
        <f t="shared" si="15"/>
        <v>0.8166199999999727</v>
      </c>
      <c r="AA19" s="15"/>
      <c r="AB19" s="7">
        <f t="shared" si="17"/>
        <v>11662000.000000009</v>
      </c>
      <c r="AC19" s="8">
        <f t="shared" si="17"/>
        <v>11.66200000000001</v>
      </c>
      <c r="AD19" s="8">
        <f>D19+Q19</f>
        <v>35.802340000000029</v>
      </c>
    </row>
    <row r="20" spans="1:30" x14ac:dyDescent="0.2">
      <c r="A20" s="27">
        <v>43877</v>
      </c>
      <c r="B20" s="7">
        <f>'[3]Production Summary'!J52</f>
        <v>0</v>
      </c>
      <c r="C20" s="8">
        <f t="shared" si="0"/>
        <v>0</v>
      </c>
      <c r="D20" s="10">
        <f t="shared" si="1"/>
        <v>0</v>
      </c>
      <c r="E20" s="7">
        <f>'[3]Production Summary'!E52</f>
        <v>0</v>
      </c>
      <c r="F20" s="8">
        <f t="shared" si="2"/>
        <v>0</v>
      </c>
      <c r="G20" s="10">
        <f t="shared" si="3"/>
        <v>0</v>
      </c>
      <c r="H20" s="7">
        <f>'[3]Production Summary'!G52</f>
        <v>0</v>
      </c>
      <c r="I20" s="8">
        <f t="shared" si="4"/>
        <v>0</v>
      </c>
      <c r="J20" s="10">
        <f t="shared" si="5"/>
        <v>0</v>
      </c>
      <c r="K20" s="7">
        <f>'[3]Production Summary'!T52</f>
        <v>0</v>
      </c>
      <c r="L20" s="8">
        <f t="shared" si="18"/>
        <v>0</v>
      </c>
      <c r="M20" s="10">
        <f t="shared" si="19"/>
        <v>0</v>
      </c>
      <c r="N20" s="21"/>
      <c r="O20" s="7">
        <f>'[3]Production Summary'!I52</f>
        <v>11929999.999999987</v>
      </c>
      <c r="P20" s="8">
        <f t="shared" si="8"/>
        <v>11.929999999999987</v>
      </c>
      <c r="Q20" s="10">
        <f t="shared" si="9"/>
        <v>36.625099999999961</v>
      </c>
      <c r="R20" s="7">
        <f>'[3]Production Summary'!C52</f>
        <v>12134000</v>
      </c>
      <c r="S20" s="8">
        <f t="shared" si="10"/>
        <v>12.134</v>
      </c>
      <c r="T20" s="10">
        <f t="shared" si="11"/>
        <v>37.251379999999997</v>
      </c>
      <c r="U20" s="7">
        <f>'[3]Production Summary'!F52</f>
        <v>0</v>
      </c>
      <c r="V20" s="8">
        <f t="shared" si="12"/>
        <v>0</v>
      </c>
      <c r="W20" s="10">
        <f t="shared" si="13"/>
        <v>0</v>
      </c>
      <c r="X20" s="7">
        <f>'[3]Production Summary'!AA52</f>
        <v>199000.00000001228</v>
      </c>
      <c r="Y20" s="8">
        <f t="shared" si="14"/>
        <v>0.19900000000001228</v>
      </c>
      <c r="Z20" s="10">
        <f t="shared" si="15"/>
        <v>0.61093000000003761</v>
      </c>
      <c r="AA20" s="15"/>
      <c r="AB20" s="7">
        <f t="shared" si="17"/>
        <v>11929999.999999987</v>
      </c>
      <c r="AC20" s="8">
        <f t="shared" si="17"/>
        <v>11.929999999999987</v>
      </c>
      <c r="AD20" s="8">
        <f t="shared" si="17"/>
        <v>36.625099999999961</v>
      </c>
    </row>
    <row r="21" spans="1:30" x14ac:dyDescent="0.2">
      <c r="A21" s="27">
        <v>43878</v>
      </c>
      <c r="B21" s="7">
        <f>'[3]Production Summary'!J53</f>
        <v>0</v>
      </c>
      <c r="C21" s="8">
        <f t="shared" si="0"/>
        <v>0</v>
      </c>
      <c r="D21" s="10">
        <f t="shared" si="1"/>
        <v>0</v>
      </c>
      <c r="E21" s="7">
        <f>'[3]Production Summary'!E53</f>
        <v>0</v>
      </c>
      <c r="F21" s="8">
        <f t="shared" si="2"/>
        <v>0</v>
      </c>
      <c r="G21" s="10">
        <f t="shared" si="3"/>
        <v>0</v>
      </c>
      <c r="H21" s="7">
        <f>'[3]Production Summary'!G53</f>
        <v>0</v>
      </c>
      <c r="I21" s="8">
        <f t="shared" si="4"/>
        <v>0</v>
      </c>
      <c r="J21" s="10">
        <f t="shared" si="5"/>
        <v>0</v>
      </c>
      <c r="K21" s="7">
        <f>'[3]Production Summary'!T53</f>
        <v>0</v>
      </c>
      <c r="L21" s="8">
        <f t="shared" si="6"/>
        <v>0</v>
      </c>
      <c r="M21" s="10">
        <f t="shared" si="7"/>
        <v>0</v>
      </c>
      <c r="N21" s="21"/>
      <c r="O21" s="7">
        <f>'[3]Production Summary'!I53</f>
        <v>12804000.000000002</v>
      </c>
      <c r="P21" s="8">
        <f t="shared" si="8"/>
        <v>12.804000000000002</v>
      </c>
      <c r="Q21" s="10">
        <f t="shared" si="9"/>
        <v>39.308280000000003</v>
      </c>
      <c r="R21" s="7">
        <f>'[3]Production Summary'!C53</f>
        <v>13145000</v>
      </c>
      <c r="S21" s="8">
        <f t="shared" si="10"/>
        <v>13.145</v>
      </c>
      <c r="T21" s="10">
        <f t="shared" si="11"/>
        <v>40.355149999999995</v>
      </c>
      <c r="U21" s="7">
        <f>'[3]Production Summary'!F53</f>
        <v>0</v>
      </c>
      <c r="V21" s="8">
        <f t="shared" si="12"/>
        <v>0</v>
      </c>
      <c r="W21" s="10">
        <f t="shared" si="13"/>
        <v>0</v>
      </c>
      <c r="X21" s="7">
        <f>'[3]Production Summary'!AA53</f>
        <v>332999.99999999843</v>
      </c>
      <c r="Y21" s="8">
        <f t="shared" si="14"/>
        <v>0.33299999999999841</v>
      </c>
      <c r="Z21" s="10">
        <f t="shared" si="15"/>
        <v>1.0223099999999952</v>
      </c>
      <c r="AA21" s="15"/>
      <c r="AB21" s="7">
        <f t="shared" si="17"/>
        <v>12804000.000000002</v>
      </c>
      <c r="AC21" s="8">
        <f t="shared" si="17"/>
        <v>12.804000000000002</v>
      </c>
      <c r="AD21" s="8">
        <f t="shared" si="17"/>
        <v>39.308280000000003</v>
      </c>
    </row>
    <row r="22" spans="1:30" x14ac:dyDescent="0.2">
      <c r="A22" s="27">
        <v>43879</v>
      </c>
      <c r="B22" s="7">
        <f>'[3]Production Summary'!J54</f>
        <v>0</v>
      </c>
      <c r="C22" s="8">
        <f t="shared" si="0"/>
        <v>0</v>
      </c>
      <c r="D22" s="10">
        <f t="shared" si="1"/>
        <v>0</v>
      </c>
      <c r="E22" s="7">
        <f>'[3]Production Summary'!E54</f>
        <v>0</v>
      </c>
      <c r="F22" s="8">
        <f t="shared" si="2"/>
        <v>0</v>
      </c>
      <c r="G22" s="10">
        <f t="shared" si="3"/>
        <v>0</v>
      </c>
      <c r="H22" s="7">
        <f>'[3]Production Summary'!G54</f>
        <v>0</v>
      </c>
      <c r="I22" s="8">
        <f t="shared" si="4"/>
        <v>0</v>
      </c>
      <c r="J22" s="10">
        <f t="shared" si="5"/>
        <v>0</v>
      </c>
      <c r="K22" s="7">
        <f>'[3]Production Summary'!T54</f>
        <v>0</v>
      </c>
      <c r="L22" s="8">
        <f t="shared" si="6"/>
        <v>0</v>
      </c>
      <c r="M22" s="10">
        <f t="shared" si="7"/>
        <v>0</v>
      </c>
      <c r="N22" s="21"/>
      <c r="O22" s="7">
        <f>'[3]Production Summary'!I54</f>
        <v>12870000.000000004</v>
      </c>
      <c r="P22" s="8">
        <f t="shared" si="8"/>
        <v>12.870000000000005</v>
      </c>
      <c r="Q22" s="10">
        <f t="shared" si="9"/>
        <v>39.510900000000014</v>
      </c>
      <c r="R22" s="7">
        <f>'[3]Production Summary'!C54</f>
        <v>13143000</v>
      </c>
      <c r="S22" s="8">
        <f t="shared" si="10"/>
        <v>13.143000000000001</v>
      </c>
      <c r="T22" s="10">
        <f t="shared" si="11"/>
        <v>40.34901</v>
      </c>
      <c r="U22" s="7">
        <f>'[3]Production Summary'!F54</f>
        <v>0</v>
      </c>
      <c r="V22" s="8">
        <f t="shared" si="12"/>
        <v>0</v>
      </c>
      <c r="W22" s="10">
        <f t="shared" si="13"/>
        <v>0</v>
      </c>
      <c r="X22" s="7">
        <f>'[3]Production Summary'!AA54</f>
        <v>266999.99999999593</v>
      </c>
      <c r="Y22" s="8">
        <f t="shared" si="14"/>
        <v>0.26699999999999591</v>
      </c>
      <c r="Z22" s="10">
        <f t="shared" si="15"/>
        <v>0.81968999999998737</v>
      </c>
      <c r="AA22" s="15"/>
      <c r="AB22" s="7">
        <f t="shared" si="17"/>
        <v>12870000.000000004</v>
      </c>
      <c r="AC22" s="8">
        <f t="shared" si="17"/>
        <v>12.870000000000005</v>
      </c>
      <c r="AD22" s="8">
        <f t="shared" si="17"/>
        <v>39.510900000000014</v>
      </c>
    </row>
    <row r="23" spans="1:30" x14ac:dyDescent="0.2">
      <c r="A23" s="27">
        <v>43880</v>
      </c>
      <c r="B23" s="7">
        <f>'[3]Production Summary'!J55</f>
        <v>0</v>
      </c>
      <c r="C23" s="8">
        <f t="shared" si="0"/>
        <v>0</v>
      </c>
      <c r="D23" s="10">
        <f t="shared" si="1"/>
        <v>0</v>
      </c>
      <c r="E23" s="7">
        <f>'[3]Production Summary'!E55</f>
        <v>0</v>
      </c>
      <c r="F23" s="8">
        <f t="shared" si="2"/>
        <v>0</v>
      </c>
      <c r="G23" s="10">
        <f t="shared" si="3"/>
        <v>0</v>
      </c>
      <c r="H23" s="7">
        <f>'[3]Production Summary'!G55</f>
        <v>0</v>
      </c>
      <c r="I23" s="8">
        <f t="shared" si="4"/>
        <v>0</v>
      </c>
      <c r="J23" s="10">
        <f t="shared" si="5"/>
        <v>0</v>
      </c>
      <c r="K23" s="7">
        <f>'[3]Production Summary'!T55</f>
        <v>0</v>
      </c>
      <c r="L23" s="8">
        <f t="shared" si="6"/>
        <v>0</v>
      </c>
      <c r="M23" s="10">
        <f t="shared" si="7"/>
        <v>0</v>
      </c>
      <c r="N23" s="21"/>
      <c r="O23" s="7">
        <f>'[3]Production Summary'!I55</f>
        <v>11678000.000000013</v>
      </c>
      <c r="P23" s="8">
        <f t="shared" si="8"/>
        <v>11.678000000000013</v>
      </c>
      <c r="Q23" s="10">
        <f t="shared" si="9"/>
        <v>35.851460000000039</v>
      </c>
      <c r="R23" s="7">
        <f>'[3]Production Summary'!C55</f>
        <v>11949000</v>
      </c>
      <c r="S23" s="8">
        <f t="shared" si="10"/>
        <v>11.949</v>
      </c>
      <c r="T23" s="10">
        <f t="shared" si="11"/>
        <v>36.683429999999994</v>
      </c>
      <c r="U23" s="7">
        <f>'[3]Production Summary'!F55</f>
        <v>0</v>
      </c>
      <c r="V23" s="8">
        <f t="shared" si="12"/>
        <v>0</v>
      </c>
      <c r="W23" s="10">
        <f t="shared" si="13"/>
        <v>0</v>
      </c>
      <c r="X23" s="7">
        <f>'[3]Production Summary'!AA55</f>
        <v>264999.99999998638</v>
      </c>
      <c r="Y23" s="8">
        <f t="shared" si="14"/>
        <v>0.26499999999998636</v>
      </c>
      <c r="Z23" s="10">
        <f t="shared" si="15"/>
        <v>0.81354999999995803</v>
      </c>
      <c r="AA23" s="15"/>
      <c r="AB23" s="7">
        <f t="shared" si="17"/>
        <v>11678000.000000013</v>
      </c>
      <c r="AC23" s="8">
        <f t="shared" si="17"/>
        <v>11.678000000000013</v>
      </c>
      <c r="AD23" s="8">
        <f t="shared" si="17"/>
        <v>35.851460000000039</v>
      </c>
    </row>
    <row r="24" spans="1:30" x14ac:dyDescent="0.2">
      <c r="A24" s="27">
        <v>43881</v>
      </c>
      <c r="B24" s="7">
        <f>'[3]Production Summary'!J56</f>
        <v>0</v>
      </c>
      <c r="C24" s="8">
        <f t="shared" si="0"/>
        <v>0</v>
      </c>
      <c r="D24" s="10">
        <f t="shared" si="1"/>
        <v>0</v>
      </c>
      <c r="E24" s="7">
        <f>'[3]Production Summary'!E56</f>
        <v>0</v>
      </c>
      <c r="F24" s="8">
        <f t="shared" si="2"/>
        <v>0</v>
      </c>
      <c r="G24" s="10">
        <f t="shared" si="3"/>
        <v>0</v>
      </c>
      <c r="H24" s="7">
        <f>'[3]Production Summary'!G56</f>
        <v>0</v>
      </c>
      <c r="I24" s="8">
        <f t="shared" si="4"/>
        <v>0</v>
      </c>
      <c r="J24" s="10">
        <f t="shared" si="5"/>
        <v>0</v>
      </c>
      <c r="K24" s="7">
        <f>'[3]Production Summary'!T56</f>
        <v>0</v>
      </c>
      <c r="L24" s="8">
        <f t="shared" ref="L24:L32" si="20">K24/1000000</f>
        <v>0</v>
      </c>
      <c r="M24" s="10">
        <f t="shared" si="7"/>
        <v>0</v>
      </c>
      <c r="N24" s="21"/>
      <c r="O24" s="7">
        <f>'[3]Production Summary'!I56</f>
        <v>10758999.999999981</v>
      </c>
      <c r="P24" s="8">
        <f t="shared" si="8"/>
        <v>10.758999999999981</v>
      </c>
      <c r="Q24" s="10">
        <f t="shared" si="9"/>
        <v>33.030129999999936</v>
      </c>
      <c r="R24" s="7">
        <f>'[3]Production Summary'!C56</f>
        <v>11032000</v>
      </c>
      <c r="S24" s="8">
        <f t="shared" si="10"/>
        <v>11.032</v>
      </c>
      <c r="T24" s="10">
        <f t="shared" si="11"/>
        <v>33.86824</v>
      </c>
      <c r="U24" s="7">
        <f>'[3]Production Summary'!F56</f>
        <v>0</v>
      </c>
      <c r="V24" s="8">
        <f t="shared" si="12"/>
        <v>0</v>
      </c>
      <c r="W24" s="10">
        <f t="shared" si="13"/>
        <v>0</v>
      </c>
      <c r="X24" s="7">
        <f>'[3]Production Summary'!AA56</f>
        <v>266000.00000001956</v>
      </c>
      <c r="Y24" s="8">
        <f t="shared" si="14"/>
        <v>0.26600000000001955</v>
      </c>
      <c r="Z24" s="10">
        <f t="shared" si="15"/>
        <v>0.81662000000005996</v>
      </c>
      <c r="AA24" s="15"/>
      <c r="AB24" s="7">
        <f t="shared" si="17"/>
        <v>10758999.999999981</v>
      </c>
      <c r="AC24" s="8">
        <f t="shared" si="17"/>
        <v>10.758999999999981</v>
      </c>
      <c r="AD24" s="8">
        <f>D24+Q24</f>
        <v>33.030129999999936</v>
      </c>
    </row>
    <row r="25" spans="1:30" x14ac:dyDescent="0.2">
      <c r="A25" s="27">
        <v>43882</v>
      </c>
      <c r="B25" s="7">
        <f>'[3]Production Summary'!J57</f>
        <v>0</v>
      </c>
      <c r="C25" s="8">
        <f t="shared" si="0"/>
        <v>0</v>
      </c>
      <c r="D25" s="10">
        <f t="shared" si="1"/>
        <v>0</v>
      </c>
      <c r="E25" s="7">
        <f>'[3]Production Summary'!E57</f>
        <v>0</v>
      </c>
      <c r="F25" s="8">
        <f t="shared" si="2"/>
        <v>0</v>
      </c>
      <c r="G25" s="10">
        <f t="shared" si="3"/>
        <v>0</v>
      </c>
      <c r="H25" s="7">
        <f>'[3]Production Summary'!G57</f>
        <v>0</v>
      </c>
      <c r="I25" s="8">
        <f t="shared" si="4"/>
        <v>0</v>
      </c>
      <c r="J25" s="10">
        <f t="shared" si="5"/>
        <v>0</v>
      </c>
      <c r="K25" s="7">
        <f>'[3]Production Summary'!T57</f>
        <v>0</v>
      </c>
      <c r="L25" s="8">
        <f t="shared" si="20"/>
        <v>0</v>
      </c>
      <c r="M25" s="10">
        <f t="shared" si="7"/>
        <v>0</v>
      </c>
      <c r="N25" s="21"/>
      <c r="O25" s="7">
        <f>'[3]Production Summary'!I57</f>
        <v>12129000.000000009</v>
      </c>
      <c r="P25" s="8">
        <f t="shared" si="8"/>
        <v>12.129000000000008</v>
      </c>
      <c r="Q25" s="10">
        <f t="shared" si="9"/>
        <v>37.236030000000021</v>
      </c>
      <c r="R25" s="7">
        <f>'[3]Production Summary'!C57</f>
        <v>12401000</v>
      </c>
      <c r="S25" s="8">
        <f t="shared" si="10"/>
        <v>12.401</v>
      </c>
      <c r="T25" s="10">
        <f t="shared" si="11"/>
        <v>38.071069999999999</v>
      </c>
      <c r="U25" s="7">
        <f>'[3]Production Summary'!F57</f>
        <v>0</v>
      </c>
      <c r="V25" s="8">
        <f t="shared" si="12"/>
        <v>0</v>
      </c>
      <c r="W25" s="10">
        <f t="shared" si="13"/>
        <v>0</v>
      </c>
      <c r="X25" s="7">
        <f>'[3]Production Summary'!AA57</f>
        <v>265999.99999999115</v>
      </c>
      <c r="Y25" s="8">
        <f t="shared" si="14"/>
        <v>0.26599999999999113</v>
      </c>
      <c r="Z25" s="10">
        <f t="shared" si="15"/>
        <v>0.8166199999999727</v>
      </c>
      <c r="AA25" s="15"/>
      <c r="AB25" s="7">
        <f t="shared" si="17"/>
        <v>12129000.000000009</v>
      </c>
      <c r="AC25" s="8">
        <f t="shared" si="17"/>
        <v>12.129000000000008</v>
      </c>
      <c r="AD25" s="8">
        <f t="shared" si="17"/>
        <v>37.236030000000021</v>
      </c>
    </row>
    <row r="26" spans="1:30" x14ac:dyDescent="0.2">
      <c r="A26" s="27">
        <v>43883</v>
      </c>
      <c r="B26" s="7">
        <f>'[3]Production Summary'!J58</f>
        <v>0</v>
      </c>
      <c r="C26" s="8">
        <f t="shared" si="0"/>
        <v>0</v>
      </c>
      <c r="D26" s="10">
        <f t="shared" si="1"/>
        <v>0</v>
      </c>
      <c r="E26" s="7">
        <f>'[3]Production Summary'!E58</f>
        <v>0</v>
      </c>
      <c r="F26" s="8">
        <f t="shared" si="2"/>
        <v>0</v>
      </c>
      <c r="G26" s="10">
        <f t="shared" si="3"/>
        <v>0</v>
      </c>
      <c r="H26" s="7">
        <f>'[3]Production Summary'!G58</f>
        <v>0</v>
      </c>
      <c r="I26" s="8">
        <f t="shared" si="4"/>
        <v>0</v>
      </c>
      <c r="J26" s="10">
        <f t="shared" si="5"/>
        <v>0</v>
      </c>
      <c r="K26" s="7">
        <f>'[3]Production Summary'!T58</f>
        <v>0</v>
      </c>
      <c r="L26" s="8">
        <f t="shared" si="20"/>
        <v>0</v>
      </c>
      <c r="M26" s="10">
        <f t="shared" si="7"/>
        <v>0</v>
      </c>
      <c r="N26" s="21"/>
      <c r="O26" s="7">
        <f>'[3]Production Summary'!I58</f>
        <v>12678999.999999996</v>
      </c>
      <c r="P26" s="8">
        <f t="shared" si="8"/>
        <v>12.678999999999997</v>
      </c>
      <c r="Q26" s="10">
        <f t="shared" si="9"/>
        <v>38.92452999999999</v>
      </c>
      <c r="R26" s="7">
        <f>'[3]Production Summary'!C58</f>
        <v>13021000</v>
      </c>
      <c r="S26" s="8">
        <f t="shared" si="10"/>
        <v>13.021000000000001</v>
      </c>
      <c r="T26" s="10">
        <f t="shared" si="11"/>
        <v>39.974470000000004</v>
      </c>
      <c r="U26" s="7">
        <f>'[3]Production Summary'!F58</f>
        <v>0</v>
      </c>
      <c r="V26" s="8">
        <f t="shared" si="12"/>
        <v>0</v>
      </c>
      <c r="W26" s="10">
        <f t="shared" si="13"/>
        <v>0</v>
      </c>
      <c r="X26" s="7">
        <f>'[3]Production Summary'!AA58</f>
        <v>334000.0000000032</v>
      </c>
      <c r="Y26" s="8">
        <f t="shared" si="14"/>
        <v>0.33400000000000318</v>
      </c>
      <c r="Z26" s="10">
        <f t="shared" si="15"/>
        <v>1.0253800000000097</v>
      </c>
      <c r="AA26" s="15"/>
      <c r="AB26" s="7">
        <f t="shared" si="17"/>
        <v>12678999.999999996</v>
      </c>
      <c r="AC26" s="8">
        <f t="shared" si="17"/>
        <v>12.678999999999997</v>
      </c>
      <c r="AD26" s="8">
        <f t="shared" si="17"/>
        <v>38.92452999999999</v>
      </c>
    </row>
    <row r="27" spans="1:30" x14ac:dyDescent="0.2">
      <c r="A27" s="27">
        <v>43884</v>
      </c>
      <c r="B27" s="7">
        <f>'[3]Production Summary'!J59</f>
        <v>0</v>
      </c>
      <c r="C27" s="8">
        <f t="shared" si="0"/>
        <v>0</v>
      </c>
      <c r="D27" s="10">
        <f t="shared" si="1"/>
        <v>0</v>
      </c>
      <c r="E27" s="7">
        <f>'[3]Production Summary'!E59</f>
        <v>0</v>
      </c>
      <c r="F27" s="8">
        <f t="shared" si="2"/>
        <v>0</v>
      </c>
      <c r="G27" s="10">
        <f t="shared" si="3"/>
        <v>0</v>
      </c>
      <c r="H27" s="7">
        <f>'[3]Production Summary'!G59</f>
        <v>0</v>
      </c>
      <c r="I27" s="8">
        <f t="shared" si="4"/>
        <v>0</v>
      </c>
      <c r="J27" s="10">
        <f t="shared" si="5"/>
        <v>0</v>
      </c>
      <c r="K27" s="7">
        <f>'[3]Production Summary'!T59</f>
        <v>0</v>
      </c>
      <c r="L27" s="8">
        <f t="shared" si="20"/>
        <v>0</v>
      </c>
      <c r="M27" s="10">
        <f t="shared" si="7"/>
        <v>0</v>
      </c>
      <c r="N27" s="21"/>
      <c r="O27" s="7">
        <f>'[3]Production Summary'!I59</f>
        <v>12902000.000000013</v>
      </c>
      <c r="P27" s="8">
        <f t="shared" si="8"/>
        <v>12.902000000000013</v>
      </c>
      <c r="Q27" s="10">
        <f t="shared" si="9"/>
        <v>39.609140000000039</v>
      </c>
      <c r="R27" s="7">
        <f>'[3]Production Summary'!C59</f>
        <v>13039000</v>
      </c>
      <c r="S27" s="8">
        <f t="shared" si="10"/>
        <v>13.039</v>
      </c>
      <c r="T27" s="10">
        <f t="shared" si="11"/>
        <v>40.029729999999994</v>
      </c>
      <c r="U27" s="7">
        <f>'[3]Production Summary'!F59</f>
        <v>0</v>
      </c>
      <c r="V27" s="8">
        <f t="shared" si="12"/>
        <v>0</v>
      </c>
      <c r="W27" s="10">
        <f t="shared" si="13"/>
        <v>0</v>
      </c>
      <c r="X27" s="7">
        <f>'[3]Production Summary'!AA59</f>
        <v>133999.99999998612</v>
      </c>
      <c r="Y27" s="8">
        <f t="shared" si="14"/>
        <v>0.13399999999998613</v>
      </c>
      <c r="Z27" s="10">
        <f t="shared" si="15"/>
        <v>0.41137999999995739</v>
      </c>
      <c r="AA27" s="15"/>
      <c r="AB27" s="7">
        <f t="shared" si="17"/>
        <v>12902000.000000013</v>
      </c>
      <c r="AC27" s="8">
        <f t="shared" si="17"/>
        <v>12.902000000000013</v>
      </c>
      <c r="AD27" s="8">
        <f t="shared" si="17"/>
        <v>39.609140000000039</v>
      </c>
    </row>
    <row r="28" spans="1:30" x14ac:dyDescent="0.2">
      <c r="A28" s="27">
        <v>43885</v>
      </c>
      <c r="B28" s="7">
        <f>'[3]Production Summary'!J60</f>
        <v>0</v>
      </c>
      <c r="C28" s="8">
        <f t="shared" si="0"/>
        <v>0</v>
      </c>
      <c r="D28" s="10">
        <f t="shared" si="1"/>
        <v>0</v>
      </c>
      <c r="E28" s="7">
        <f>'[3]Production Summary'!E60</f>
        <v>0</v>
      </c>
      <c r="F28" s="8">
        <f t="shared" si="2"/>
        <v>0</v>
      </c>
      <c r="G28" s="10">
        <f t="shared" si="3"/>
        <v>0</v>
      </c>
      <c r="H28" s="7">
        <f>'[3]Production Summary'!G60</f>
        <v>0</v>
      </c>
      <c r="I28" s="8">
        <f t="shared" si="4"/>
        <v>0</v>
      </c>
      <c r="J28" s="10">
        <f t="shared" si="5"/>
        <v>0</v>
      </c>
      <c r="K28" s="7">
        <f>'[3]Production Summary'!T60</f>
        <v>0</v>
      </c>
      <c r="L28" s="8">
        <f t="shared" si="20"/>
        <v>0</v>
      </c>
      <c r="M28" s="10">
        <f t="shared" si="7"/>
        <v>0</v>
      </c>
      <c r="N28" s="21"/>
      <c r="O28" s="7">
        <f>'[3]Production Summary'!I60</f>
        <v>12058000.000000002</v>
      </c>
      <c r="P28" s="8">
        <f t="shared" si="8"/>
        <v>12.058000000000002</v>
      </c>
      <c r="Q28" s="10">
        <f t="shared" si="9"/>
        <v>37.018060000000006</v>
      </c>
      <c r="R28" s="7">
        <f>'[3]Production Summary'!C60</f>
        <v>12399000</v>
      </c>
      <c r="S28" s="8">
        <f t="shared" si="10"/>
        <v>12.398999999999999</v>
      </c>
      <c r="T28" s="10">
        <f t="shared" si="11"/>
        <v>38.064929999999997</v>
      </c>
      <c r="U28" s="7">
        <f>'[3]Production Summary'!F60</f>
        <v>0</v>
      </c>
      <c r="V28" s="8">
        <f t="shared" si="12"/>
        <v>0</v>
      </c>
      <c r="W28" s="10">
        <f t="shared" si="13"/>
        <v>0</v>
      </c>
      <c r="X28" s="7">
        <f>'[3]Production Summary'!AA60</f>
        <v>332999.99999999843</v>
      </c>
      <c r="Y28" s="8">
        <f t="shared" si="14"/>
        <v>0.33299999999999841</v>
      </c>
      <c r="Z28" s="10">
        <f t="shared" si="15"/>
        <v>1.0223099999999952</v>
      </c>
      <c r="AA28" s="15"/>
      <c r="AB28" s="7">
        <f t="shared" si="17"/>
        <v>12058000.000000002</v>
      </c>
      <c r="AC28" s="8">
        <f t="shared" si="17"/>
        <v>12.058000000000002</v>
      </c>
      <c r="AD28" s="8">
        <f t="shared" si="17"/>
        <v>37.018060000000006</v>
      </c>
    </row>
    <row r="29" spans="1:30" x14ac:dyDescent="0.2">
      <c r="A29" s="27">
        <v>43886</v>
      </c>
      <c r="B29" s="7">
        <f>'[3]Production Summary'!J61</f>
        <v>0</v>
      </c>
      <c r="C29" s="8">
        <f t="shared" si="0"/>
        <v>0</v>
      </c>
      <c r="D29" s="10">
        <f t="shared" si="1"/>
        <v>0</v>
      </c>
      <c r="E29" s="7">
        <f>'[3]Production Summary'!E61</f>
        <v>0</v>
      </c>
      <c r="F29" s="8">
        <f t="shared" si="2"/>
        <v>0</v>
      </c>
      <c r="G29" s="10">
        <f t="shared" si="3"/>
        <v>0</v>
      </c>
      <c r="H29" s="7">
        <f>'[3]Production Summary'!G61</f>
        <v>0</v>
      </c>
      <c r="I29" s="8">
        <f t="shared" si="4"/>
        <v>0</v>
      </c>
      <c r="J29" s="10">
        <f t="shared" si="5"/>
        <v>0</v>
      </c>
      <c r="K29" s="7">
        <f>'[3]Production Summary'!T61</f>
        <v>0</v>
      </c>
      <c r="L29" s="8">
        <f t="shared" si="20"/>
        <v>0</v>
      </c>
      <c r="M29" s="10">
        <f t="shared" si="7"/>
        <v>0</v>
      </c>
      <c r="N29" s="21"/>
      <c r="O29" s="7">
        <f>'[3]Production Summary'!I61</f>
        <v>11603999.999999976</v>
      </c>
      <c r="P29" s="8">
        <f t="shared" si="8"/>
        <v>11.603999999999976</v>
      </c>
      <c r="Q29" s="10">
        <f t="shared" si="9"/>
        <v>35.624279999999928</v>
      </c>
      <c r="R29" s="7">
        <f>'[3]Production Summary'!C61</f>
        <v>11878000</v>
      </c>
      <c r="S29" s="8">
        <f t="shared" si="10"/>
        <v>11.878</v>
      </c>
      <c r="T29" s="10">
        <f t="shared" si="11"/>
        <v>36.46546</v>
      </c>
      <c r="U29" s="7">
        <f>'[3]Production Summary'!F61</f>
        <v>0</v>
      </c>
      <c r="V29" s="8">
        <f t="shared" si="12"/>
        <v>0</v>
      </c>
      <c r="W29" s="10">
        <f t="shared" si="13"/>
        <v>0</v>
      </c>
      <c r="X29" s="7">
        <f>'[3]Production Summary'!AA61</f>
        <v>267000.00000002433</v>
      </c>
      <c r="Y29" s="8">
        <f t="shared" si="14"/>
        <v>0.26700000000002433</v>
      </c>
      <c r="Z29" s="10">
        <f t="shared" si="15"/>
        <v>0.81969000000007464</v>
      </c>
      <c r="AA29" s="15"/>
      <c r="AB29" s="7">
        <f t="shared" si="17"/>
        <v>11603999.999999976</v>
      </c>
      <c r="AC29" s="8">
        <f t="shared" si="17"/>
        <v>11.603999999999976</v>
      </c>
      <c r="AD29" s="8">
        <f t="shared" si="17"/>
        <v>35.624279999999928</v>
      </c>
    </row>
    <row r="30" spans="1:30" x14ac:dyDescent="0.2">
      <c r="A30" s="27">
        <v>43887</v>
      </c>
      <c r="B30" s="7">
        <f>'[3]Production Summary'!J62</f>
        <v>0</v>
      </c>
      <c r="C30" s="8">
        <f t="shared" si="0"/>
        <v>0</v>
      </c>
      <c r="D30" s="10">
        <f t="shared" si="1"/>
        <v>0</v>
      </c>
      <c r="E30" s="7">
        <f>'[3]Production Summary'!E62</f>
        <v>0</v>
      </c>
      <c r="F30" s="8">
        <f t="shared" si="2"/>
        <v>0</v>
      </c>
      <c r="G30" s="10">
        <f t="shared" si="3"/>
        <v>0</v>
      </c>
      <c r="H30" s="7">
        <f>'[3]Production Summary'!G62</f>
        <v>0</v>
      </c>
      <c r="I30" s="8">
        <f t="shared" si="4"/>
        <v>0</v>
      </c>
      <c r="J30" s="10">
        <f t="shared" si="5"/>
        <v>0</v>
      </c>
      <c r="K30" s="7">
        <f>'[3]Production Summary'!T62</f>
        <v>0</v>
      </c>
      <c r="L30" s="8">
        <f t="shared" si="20"/>
        <v>0</v>
      </c>
      <c r="M30" s="10">
        <f t="shared" si="7"/>
        <v>0</v>
      </c>
      <c r="N30" s="21"/>
      <c r="O30" s="7">
        <f>'[3]Production Summary'!I62</f>
        <v>12405000.000000011</v>
      </c>
      <c r="P30" s="8">
        <f t="shared" si="8"/>
        <v>12.405000000000012</v>
      </c>
      <c r="Q30" s="10">
        <f t="shared" si="9"/>
        <v>38.083350000000031</v>
      </c>
      <c r="R30" s="7">
        <f>'[3]Production Summary'!C62</f>
        <v>12744000</v>
      </c>
      <c r="S30" s="8">
        <f t="shared" si="10"/>
        <v>12.744</v>
      </c>
      <c r="T30" s="10">
        <f t="shared" si="11"/>
        <v>39.124079999999999</v>
      </c>
      <c r="U30" s="7">
        <f>'[3]Production Summary'!F62</f>
        <v>0</v>
      </c>
      <c r="V30" s="8">
        <f t="shared" si="12"/>
        <v>0</v>
      </c>
      <c r="W30" s="10">
        <f t="shared" si="13"/>
        <v>0</v>
      </c>
      <c r="X30" s="7">
        <f>'[3]Production Summary'!AA62</f>
        <v>330999.99999998888</v>
      </c>
      <c r="Y30" s="8">
        <f t="shared" si="14"/>
        <v>0.33099999999998886</v>
      </c>
      <c r="Z30" s="10">
        <f t="shared" si="15"/>
        <v>1.0161699999999658</v>
      </c>
      <c r="AA30" s="15"/>
      <c r="AB30" s="7">
        <f t="shared" si="17"/>
        <v>12405000.000000011</v>
      </c>
      <c r="AC30" s="8">
        <f t="shared" si="17"/>
        <v>12.405000000000012</v>
      </c>
      <c r="AD30" s="8">
        <f>D30+Q30</f>
        <v>38.083350000000031</v>
      </c>
    </row>
    <row r="31" spans="1:30" x14ac:dyDescent="0.2">
      <c r="A31" s="27">
        <v>43888</v>
      </c>
      <c r="B31" s="7">
        <f>'[3]Production Summary'!J63</f>
        <v>0</v>
      </c>
      <c r="C31" s="8">
        <f t="shared" si="0"/>
        <v>0</v>
      </c>
      <c r="D31" s="10">
        <f t="shared" si="1"/>
        <v>0</v>
      </c>
      <c r="E31" s="7">
        <f>'[3]Production Summary'!E63</f>
        <v>0</v>
      </c>
      <c r="F31" s="8">
        <f t="shared" si="2"/>
        <v>0</v>
      </c>
      <c r="G31" s="10">
        <f t="shared" si="3"/>
        <v>0</v>
      </c>
      <c r="H31" s="7">
        <f>'[3]Production Summary'!G63</f>
        <v>0</v>
      </c>
      <c r="I31" s="8">
        <f t="shared" si="4"/>
        <v>0</v>
      </c>
      <c r="J31" s="10">
        <f t="shared" si="5"/>
        <v>0</v>
      </c>
      <c r="K31" s="7">
        <f>'[3]Production Summary'!T63</f>
        <v>0</v>
      </c>
      <c r="L31" s="8">
        <f t="shared" si="20"/>
        <v>0</v>
      </c>
      <c r="M31" s="10">
        <f t="shared" si="7"/>
        <v>0</v>
      </c>
      <c r="N31" s="21"/>
      <c r="O31" s="7">
        <f>'[3]Production Summary'!I63</f>
        <v>11833000.000000004</v>
      </c>
      <c r="P31" s="8">
        <f t="shared" si="8"/>
        <v>11.833000000000004</v>
      </c>
      <c r="Q31" s="10">
        <f t="shared" si="9"/>
        <v>36.327310000000011</v>
      </c>
      <c r="R31" s="7">
        <f>'[3]Production Summary'!C63</f>
        <v>12106000</v>
      </c>
      <c r="S31" s="8">
        <f t="shared" si="10"/>
        <v>12.106</v>
      </c>
      <c r="T31" s="10">
        <f t="shared" si="11"/>
        <v>37.165419999999997</v>
      </c>
      <c r="U31" s="7">
        <f>'[3]Production Summary'!F63</f>
        <v>0</v>
      </c>
      <c r="V31" s="8">
        <f t="shared" si="12"/>
        <v>0</v>
      </c>
      <c r="W31" s="10">
        <f t="shared" si="13"/>
        <v>0</v>
      </c>
      <c r="X31" s="7">
        <f>'[3]Production Summary'!AA63</f>
        <v>266999.99999999593</v>
      </c>
      <c r="Y31" s="8">
        <f t="shared" si="14"/>
        <v>0.26699999999999591</v>
      </c>
      <c r="Z31" s="10">
        <f t="shared" si="15"/>
        <v>0.81968999999998737</v>
      </c>
      <c r="AA31" s="15"/>
      <c r="AB31" s="7">
        <f t="shared" si="17"/>
        <v>11833000.000000004</v>
      </c>
      <c r="AC31" s="8">
        <f t="shared" si="17"/>
        <v>11.833000000000004</v>
      </c>
      <c r="AD31" s="8">
        <f t="shared" si="17"/>
        <v>36.327310000000011</v>
      </c>
    </row>
    <row r="32" spans="1:30" x14ac:dyDescent="0.2">
      <c r="A32" s="27">
        <v>43889</v>
      </c>
      <c r="B32" s="7">
        <f>'[3]Production Summary'!J64</f>
        <v>0</v>
      </c>
      <c r="C32" s="8">
        <f t="shared" si="0"/>
        <v>0</v>
      </c>
      <c r="D32" s="10">
        <f t="shared" si="1"/>
        <v>0</v>
      </c>
      <c r="E32" s="7">
        <f>'[3]Production Summary'!E64</f>
        <v>0</v>
      </c>
      <c r="F32" s="8">
        <f t="shared" si="2"/>
        <v>0</v>
      </c>
      <c r="G32" s="10">
        <f t="shared" si="3"/>
        <v>0</v>
      </c>
      <c r="H32" s="7">
        <f>'[3]Production Summary'!G64</f>
        <v>0</v>
      </c>
      <c r="I32" s="8">
        <f t="shared" si="4"/>
        <v>0</v>
      </c>
      <c r="J32" s="10">
        <f t="shared" si="5"/>
        <v>0</v>
      </c>
      <c r="K32" s="7">
        <f>'[3]Production Summary'!T64</f>
        <v>0</v>
      </c>
      <c r="L32" s="8">
        <f t="shared" si="20"/>
        <v>0</v>
      </c>
      <c r="M32" s="10">
        <f t="shared" si="7"/>
        <v>0</v>
      </c>
      <c r="N32" s="21"/>
      <c r="O32" s="7">
        <f>'[3]Production Summary'!I64</f>
        <v>11343999.999999987</v>
      </c>
      <c r="P32" s="8">
        <f t="shared" si="8"/>
        <v>11.343999999999987</v>
      </c>
      <c r="Q32" s="10">
        <f t="shared" si="9"/>
        <v>34.826079999999955</v>
      </c>
      <c r="R32" s="7">
        <f>'[3]Production Summary'!C64</f>
        <v>11548000</v>
      </c>
      <c r="S32" s="8">
        <f t="shared" si="10"/>
        <v>11.548</v>
      </c>
      <c r="T32" s="10">
        <f t="shared" si="11"/>
        <v>35.452359999999999</v>
      </c>
      <c r="U32" s="7">
        <f>'[3]Production Summary'!F64</f>
        <v>0</v>
      </c>
      <c r="V32" s="8">
        <f t="shared" si="12"/>
        <v>0</v>
      </c>
      <c r="W32" s="10">
        <f t="shared" si="13"/>
        <v>0</v>
      </c>
      <c r="X32" s="7">
        <f>'[3]Production Summary'!AA64</f>
        <v>199000.00000001228</v>
      </c>
      <c r="Y32" s="8">
        <f t="shared" si="14"/>
        <v>0.19900000000001228</v>
      </c>
      <c r="Z32" s="10">
        <f t="shared" si="15"/>
        <v>0.61093000000003761</v>
      </c>
      <c r="AA32" s="15"/>
      <c r="AB32" s="7">
        <f t="shared" si="17"/>
        <v>11343999.999999987</v>
      </c>
      <c r="AC32" s="8">
        <f t="shared" si="17"/>
        <v>11.343999999999987</v>
      </c>
      <c r="AD32" s="8">
        <f t="shared" si="17"/>
        <v>34.826079999999955</v>
      </c>
    </row>
    <row r="33" spans="1:30" ht="13.5" thickBot="1" x14ac:dyDescent="0.25">
      <c r="A33" s="27">
        <v>43890</v>
      </c>
      <c r="B33" s="7">
        <f>'[3]Production Summary'!J65</f>
        <v>0</v>
      </c>
      <c r="C33" s="8">
        <f t="shared" ref="C33" si="21">B33/1000000</f>
        <v>0</v>
      </c>
      <c r="D33" s="10">
        <f t="shared" ref="D33" si="22">C33*3.07</f>
        <v>0</v>
      </c>
      <c r="E33" s="7">
        <f>'[3]Production Summary'!E65</f>
        <v>0</v>
      </c>
      <c r="F33" s="8">
        <f t="shared" ref="F33" si="23">E33/1000000</f>
        <v>0</v>
      </c>
      <c r="G33" s="10">
        <f t="shared" ref="G33" si="24">F33*3.07</f>
        <v>0</v>
      </c>
      <c r="H33" s="7">
        <f>'[3]Production Summary'!G65</f>
        <v>0</v>
      </c>
      <c r="I33" s="8">
        <f t="shared" ref="I33" si="25">H33/1000000</f>
        <v>0</v>
      </c>
      <c r="J33" s="10">
        <f t="shared" ref="J33" si="26">I33*3.07</f>
        <v>0</v>
      </c>
      <c r="K33" s="7">
        <f>'[3]Production Summary'!T65</f>
        <v>0</v>
      </c>
      <c r="L33" s="8">
        <f t="shared" ref="L33" si="27">K33/1000000</f>
        <v>0</v>
      </c>
      <c r="M33" s="10">
        <f t="shared" ref="M33" si="28">L33*3.07</f>
        <v>0</v>
      </c>
      <c r="N33" s="21"/>
      <c r="O33" s="7">
        <f>'[3]Production Summary'!I65</f>
        <v>11786000.000000013</v>
      </c>
      <c r="P33" s="8">
        <f t="shared" ref="P33" si="29">O33/1000000</f>
        <v>11.786000000000014</v>
      </c>
      <c r="Q33" s="10">
        <f t="shared" ref="Q33" si="30">P33*3.07</f>
        <v>36.183020000000042</v>
      </c>
      <c r="R33" s="7">
        <f>'[3]Production Summary'!C65</f>
        <v>12058000</v>
      </c>
      <c r="S33" s="8">
        <f t="shared" ref="S33" si="31">R33/1000000</f>
        <v>12.058</v>
      </c>
      <c r="T33" s="10">
        <f t="shared" ref="T33" si="32">S33*3.07</f>
        <v>37.018059999999998</v>
      </c>
      <c r="U33" s="7">
        <f>'[3]Production Summary'!F65</f>
        <v>0</v>
      </c>
      <c r="V33" s="8">
        <f t="shared" ref="V33" si="33">U33/1000000</f>
        <v>0</v>
      </c>
      <c r="W33" s="10">
        <f t="shared" ref="W33" si="34">V33*3.07</f>
        <v>0</v>
      </c>
      <c r="X33" s="7">
        <f>'[3]Production Summary'!AA65</f>
        <v>264999.99999998638</v>
      </c>
      <c r="Y33" s="8">
        <f t="shared" ref="Y33" si="35">X33/1000000</f>
        <v>0.26499999999998636</v>
      </c>
      <c r="Z33" s="10">
        <f t="shared" ref="Z33" si="36">Y33*3.07</f>
        <v>0.81354999999995803</v>
      </c>
      <c r="AA33" s="15"/>
      <c r="AB33" s="7">
        <f t="shared" ref="AB33" si="37">B33+O33</f>
        <v>11786000.000000013</v>
      </c>
      <c r="AC33" s="8">
        <f t="shared" ref="AC33" si="38">C33+P33</f>
        <v>11.786000000000014</v>
      </c>
      <c r="AD33" s="8">
        <f t="shared" ref="AD33" si="39">D33+Q33</f>
        <v>36.183020000000042</v>
      </c>
    </row>
    <row r="34" spans="1:30" ht="13.5" thickBot="1" x14ac:dyDescent="0.25">
      <c r="A34" s="28"/>
      <c r="B34" s="37"/>
      <c r="C34" s="38">
        <f>SUM(C5:C33)</f>
        <v>0</v>
      </c>
      <c r="D34" s="38">
        <f t="shared" ref="D34:J34" si="40">SUM(D5:D33)</f>
        <v>0</v>
      </c>
      <c r="E34" s="37"/>
      <c r="F34" s="38">
        <f t="shared" si="40"/>
        <v>0</v>
      </c>
      <c r="G34" s="38">
        <f t="shared" si="40"/>
        <v>0</v>
      </c>
      <c r="H34" s="37"/>
      <c r="I34" s="38">
        <f t="shared" si="40"/>
        <v>0</v>
      </c>
      <c r="J34" s="38">
        <f t="shared" si="40"/>
        <v>0</v>
      </c>
      <c r="K34" s="37"/>
      <c r="L34" s="38">
        <f>SUM(L5:L33)</f>
        <v>0</v>
      </c>
      <c r="M34" s="38">
        <f>SUM(M5:M33)</f>
        <v>0</v>
      </c>
      <c r="N34" s="14"/>
      <c r="O34" s="37"/>
      <c r="P34" s="38">
        <f>SUM(P5:P33)</f>
        <v>346.60100000000006</v>
      </c>
      <c r="Q34" s="38">
        <f>SUM(Q5:Q33)</f>
        <v>1064.0650699999999</v>
      </c>
      <c r="R34" s="37"/>
      <c r="S34" s="38">
        <f>SUM(S5:S33)</f>
        <v>354.65</v>
      </c>
      <c r="T34" s="38">
        <f>SUM(T5:T33)</f>
        <v>1088.7755000000002</v>
      </c>
      <c r="U34" s="37"/>
      <c r="V34" s="38">
        <f>SUM(V5:V33)</f>
        <v>0</v>
      </c>
      <c r="W34" s="38">
        <f>SUM(W5:W33)</f>
        <v>0</v>
      </c>
      <c r="X34" s="37"/>
      <c r="Y34" s="38">
        <f>SUM(Y5:Y33)</f>
        <v>7.8580000000000041</v>
      </c>
      <c r="Z34" s="38">
        <f>SUM(Z5:Z33)</f>
        <v>24.124060000000011</v>
      </c>
      <c r="AA34" s="14"/>
      <c r="AB34" s="37">
        <f t="shared" si="17"/>
        <v>0</v>
      </c>
      <c r="AC34" s="38">
        <f t="shared" si="17"/>
        <v>346.60100000000006</v>
      </c>
      <c r="AD34" s="38">
        <f>D34+Q34</f>
        <v>1064.0650699999999</v>
      </c>
    </row>
    <row r="35" spans="1:30" x14ac:dyDescent="0.2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2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37"/>
  <sheetViews>
    <sheetView workbookViewId="0">
      <pane xSplit="1" ySplit="4" topLeftCell="J26" activePane="bottomRight" state="frozen"/>
      <selection pane="topRight" activeCell="B1" sqref="B1"/>
      <selection pane="bottomLeft" activeCell="A5" sqref="A5"/>
      <selection pane="bottomRight" activeCell="K22" sqref="K22"/>
    </sheetView>
  </sheetViews>
  <sheetFormatPr defaultRowHeight="12.75" x14ac:dyDescent="0.2"/>
  <cols>
    <col min="2" max="2" width="12.7109375" customWidth="1"/>
    <col min="5" max="5" width="11.28515625" customWidth="1"/>
    <col min="8" max="8" width="16.28515625" customWidth="1"/>
    <col min="10" max="10" width="10.7109375" customWidth="1"/>
    <col min="11" max="11" width="12.5703125" customWidth="1"/>
    <col min="12" max="12" width="10.5703125" customWidth="1"/>
    <col min="15" max="15" width="10.5703125" customWidth="1"/>
    <col min="18" max="18" width="10.7109375" customWidth="1"/>
    <col min="22" max="22" width="11.7109375" customWidth="1"/>
    <col min="28" max="28" width="13.42578125" bestFit="1" customWidth="1"/>
  </cols>
  <sheetData>
    <row r="1" spans="1:32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  <c r="AF3" s="33" t="s">
        <v>9</v>
      </c>
    </row>
    <row r="4" spans="1:32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2">
      <c r="A5" s="27">
        <v>43160</v>
      </c>
      <c r="B5" s="7">
        <f>'[3]Production Summary'!J65</f>
        <v>0</v>
      </c>
      <c r="C5" s="8">
        <f>B5/1000000</f>
        <v>0</v>
      </c>
      <c r="D5" s="10">
        <f t="shared" ref="D5:D35" si="0">C5*3.07</f>
        <v>0</v>
      </c>
      <c r="E5" s="7">
        <f>'[3]Production Summary'!E65</f>
        <v>0</v>
      </c>
      <c r="F5" s="8">
        <f>E5/1000000</f>
        <v>0</v>
      </c>
      <c r="G5" s="10">
        <f>F5*3.07</f>
        <v>0</v>
      </c>
      <c r="H5" s="7">
        <f>'[3]Production Summary'!G65</f>
        <v>0</v>
      </c>
      <c r="I5" s="8">
        <f>H5/1000000</f>
        <v>0</v>
      </c>
      <c r="J5" s="10">
        <f>I5*3.07</f>
        <v>0</v>
      </c>
      <c r="K5" s="57"/>
      <c r="L5" s="8">
        <f>K5/1000000</f>
        <v>0</v>
      </c>
      <c r="M5" s="10">
        <f>L5*3.07</f>
        <v>0</v>
      </c>
      <c r="N5" s="21"/>
      <c r="O5" s="7">
        <f>'[3]Production Summary'!I65</f>
        <v>11786000.000000013</v>
      </c>
      <c r="P5" s="8">
        <f>O5/1000000</f>
        <v>11.786000000000014</v>
      </c>
      <c r="Q5" s="10">
        <f>P5*3.07</f>
        <v>36.183020000000042</v>
      </c>
      <c r="R5" s="7">
        <f>'[3]Production Summary'!C65</f>
        <v>12058000</v>
      </c>
      <c r="S5" s="8">
        <f>R5/1000000</f>
        <v>12.058</v>
      </c>
      <c r="T5" s="10">
        <f>S5*3.07</f>
        <v>37.018059999999998</v>
      </c>
      <c r="U5" s="7">
        <f>'[3]Production Summary'!F65</f>
        <v>0</v>
      </c>
      <c r="V5" s="8">
        <f>U5/1000000</f>
        <v>0</v>
      </c>
      <c r="W5" s="10">
        <f>V5*3.07</f>
        <v>0</v>
      </c>
      <c r="X5" s="7">
        <f>'[3]Production Summary'!AA65</f>
        <v>264999.99999998638</v>
      </c>
      <c r="Y5" s="8">
        <f>X5/1000000</f>
        <v>0.26499999999998636</v>
      </c>
      <c r="Z5" s="10">
        <f>Y5*3.07</f>
        <v>0.81354999999995803</v>
      </c>
      <c r="AA5" s="15"/>
      <c r="AB5" s="7">
        <f>B5+O5</f>
        <v>11786000.000000013</v>
      </c>
      <c r="AC5" s="8">
        <f>C5+P5</f>
        <v>11.786000000000014</v>
      </c>
      <c r="AD5" s="8">
        <f>D5+Q5</f>
        <v>36.183020000000042</v>
      </c>
      <c r="AF5" s="8">
        <f>T5-Q5-Z5</f>
        <v>2.1489999999998677E-2</v>
      </c>
    </row>
    <row r="6" spans="1:32" x14ac:dyDescent="0.2">
      <c r="A6" s="27">
        <v>43161</v>
      </c>
      <c r="B6" s="7">
        <f>'[3]Production Summary'!J66</f>
        <v>0</v>
      </c>
      <c r="C6" s="8">
        <f t="shared" ref="C6:C35" si="1">B6/1000000</f>
        <v>0</v>
      </c>
      <c r="D6" s="10">
        <f t="shared" si="0"/>
        <v>0</v>
      </c>
      <c r="E6" s="7">
        <f>'[3]Production Summary'!E66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'[3]Production Summary'!G66</f>
        <v>0</v>
      </c>
      <c r="I6" s="8">
        <f t="shared" ref="I6:I35" si="4">H6/1000000</f>
        <v>0</v>
      </c>
      <c r="J6" s="10">
        <f t="shared" ref="J6:J35" si="5">I6*3.07</f>
        <v>0</v>
      </c>
      <c r="K6" s="57"/>
      <c r="L6" s="8">
        <f t="shared" ref="L6:L35" si="6">K6/1000000</f>
        <v>0</v>
      </c>
      <c r="M6" s="10">
        <f t="shared" ref="M6:M35" si="7">L6*3.07</f>
        <v>0</v>
      </c>
      <c r="N6" s="21"/>
      <c r="O6" s="7">
        <f>'[3]Production Summary'!I66</f>
        <v>12003000</v>
      </c>
      <c r="P6" s="8">
        <f t="shared" ref="P6:P35" si="8">O6/1000000</f>
        <v>12.003</v>
      </c>
      <c r="Q6" s="10">
        <f t="shared" ref="Q6:Q35" si="9">P6*3.07</f>
        <v>36.849209999999999</v>
      </c>
      <c r="R6" s="7">
        <f>'[3]Production Summary'!C66</f>
        <v>12277000</v>
      </c>
      <c r="S6" s="8">
        <f t="shared" ref="S6:S35" si="10">R6/1000000</f>
        <v>12.276999999999999</v>
      </c>
      <c r="T6" s="10">
        <f t="shared" ref="T6:T35" si="11">S6*3.07</f>
        <v>37.690389999999994</v>
      </c>
      <c r="U6" s="7">
        <f>'[3]Production Summary'!F66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'[3]Production Summary'!AA66</f>
        <v>268000.0000000007</v>
      </c>
      <c r="Y6" s="8">
        <f t="shared" ref="Y6:Y35" si="14">X6/1000000</f>
        <v>0.26800000000000068</v>
      </c>
      <c r="Z6" s="10">
        <f t="shared" ref="Z6:Z35" si="15">Y6*3.07</f>
        <v>0.82276000000000205</v>
      </c>
      <c r="AA6" s="15"/>
      <c r="AB6" s="7">
        <f t="shared" ref="AB6:AD35" si="16">B6+O6</f>
        <v>12003000</v>
      </c>
      <c r="AC6" s="8">
        <f t="shared" si="16"/>
        <v>12.003</v>
      </c>
      <c r="AD6" s="8">
        <f t="shared" si="16"/>
        <v>36.849209999999999</v>
      </c>
      <c r="AF6" s="8">
        <f>T6-Q6-Z6</f>
        <v>1.841999999999222E-2</v>
      </c>
    </row>
    <row r="7" spans="1:32" x14ac:dyDescent="0.2">
      <c r="A7" s="27">
        <v>43162</v>
      </c>
      <c r="B7" s="7">
        <f>'[3]Production Summary'!J67</f>
        <v>0</v>
      </c>
      <c r="C7" s="8">
        <f t="shared" si="1"/>
        <v>0</v>
      </c>
      <c r="D7" s="10">
        <f t="shared" si="0"/>
        <v>0</v>
      </c>
      <c r="E7" s="7">
        <f>'[3]Production Summary'!E67</f>
        <v>0</v>
      </c>
      <c r="F7" s="8">
        <f t="shared" si="2"/>
        <v>0</v>
      </c>
      <c r="G7" s="10">
        <f t="shared" si="3"/>
        <v>0</v>
      </c>
      <c r="H7" s="7">
        <f>'[3]Production Summary'!G67</f>
        <v>0</v>
      </c>
      <c r="I7" s="8">
        <f t="shared" si="4"/>
        <v>0</v>
      </c>
      <c r="J7" s="10">
        <f t="shared" si="5"/>
        <v>0</v>
      </c>
      <c r="K7" s="57"/>
      <c r="L7" s="8">
        <f t="shared" si="6"/>
        <v>0</v>
      </c>
      <c r="M7" s="10">
        <f t="shared" si="7"/>
        <v>0</v>
      </c>
      <c r="N7" s="21"/>
      <c r="O7" s="7">
        <f>'[3]Production Summary'!I67</f>
        <v>12350000</v>
      </c>
      <c r="P7" s="8">
        <f t="shared" si="8"/>
        <v>12.35</v>
      </c>
      <c r="Q7" s="10">
        <f t="shared" si="9"/>
        <v>37.914499999999997</v>
      </c>
      <c r="R7" s="7">
        <f>'[3]Production Summary'!C67</f>
        <v>12625000</v>
      </c>
      <c r="S7" s="8">
        <f t="shared" si="10"/>
        <v>12.625</v>
      </c>
      <c r="T7" s="10">
        <f t="shared" si="11"/>
        <v>38.758749999999999</v>
      </c>
      <c r="U7" s="7">
        <f>'[3]Production Summary'!F67</f>
        <v>0</v>
      </c>
      <c r="V7" s="8">
        <f t="shared" si="12"/>
        <v>0</v>
      </c>
      <c r="W7" s="10">
        <f t="shared" si="13"/>
        <v>0</v>
      </c>
      <c r="X7" s="7">
        <f>'[3]Production Summary'!AA67</f>
        <v>268000.0000000007</v>
      </c>
      <c r="Y7" s="8">
        <f t="shared" si="14"/>
        <v>0.26800000000000068</v>
      </c>
      <c r="Z7" s="10">
        <f t="shared" si="15"/>
        <v>0.82276000000000205</v>
      </c>
      <c r="AA7" s="15"/>
      <c r="AB7" s="7">
        <f t="shared" si="16"/>
        <v>12350000</v>
      </c>
      <c r="AC7" s="8">
        <f t="shared" si="16"/>
        <v>12.35</v>
      </c>
      <c r="AD7" s="8">
        <f t="shared" si="16"/>
        <v>37.914499999999997</v>
      </c>
      <c r="AF7" s="8">
        <f t="shared" ref="AF7:AF14" si="17">T7-Q7-Z7</f>
        <v>2.1490000000000342E-2</v>
      </c>
    </row>
    <row r="8" spans="1:32" x14ac:dyDescent="0.2">
      <c r="A8" s="27">
        <v>43163</v>
      </c>
      <c r="B8" s="7">
        <f>'[3]Production Summary'!J68</f>
        <v>0</v>
      </c>
      <c r="C8" s="8">
        <f t="shared" si="1"/>
        <v>0</v>
      </c>
      <c r="D8" s="10">
        <f t="shared" si="0"/>
        <v>0</v>
      </c>
      <c r="E8" s="7">
        <f>'[3]Production Summary'!E68</f>
        <v>0</v>
      </c>
      <c r="F8" s="8">
        <f t="shared" si="2"/>
        <v>0</v>
      </c>
      <c r="G8" s="10">
        <f t="shared" si="3"/>
        <v>0</v>
      </c>
      <c r="H8" s="7">
        <f>'[3]Production Summary'!G68</f>
        <v>0</v>
      </c>
      <c r="I8" s="8">
        <f t="shared" si="4"/>
        <v>0</v>
      </c>
      <c r="J8" s="10">
        <f t="shared" si="5"/>
        <v>0</v>
      </c>
      <c r="K8" s="57"/>
      <c r="L8" s="8">
        <f t="shared" si="6"/>
        <v>0</v>
      </c>
      <c r="M8" s="10">
        <f t="shared" si="7"/>
        <v>0</v>
      </c>
      <c r="N8" s="21"/>
      <c r="O8" s="7">
        <f>'[3]Production Summary'!I68</f>
        <v>13316000.000000009</v>
      </c>
      <c r="P8" s="8">
        <f t="shared" si="8"/>
        <v>13.31600000000001</v>
      </c>
      <c r="Q8" s="10">
        <f t="shared" si="9"/>
        <v>40.880120000000026</v>
      </c>
      <c r="R8" s="7">
        <f>'[3]Production Summary'!C68</f>
        <v>13588000</v>
      </c>
      <c r="S8" s="8">
        <f t="shared" si="10"/>
        <v>13.587999999999999</v>
      </c>
      <c r="T8" s="10">
        <f t="shared" si="11"/>
        <v>41.715159999999997</v>
      </c>
      <c r="U8" s="7">
        <f>'[3]Production Summary'!F68</f>
        <v>0</v>
      </c>
      <c r="V8" s="8">
        <f t="shared" si="12"/>
        <v>0</v>
      </c>
      <c r="W8" s="10">
        <f t="shared" si="13"/>
        <v>0</v>
      </c>
      <c r="X8" s="7">
        <f>'[3]Production Summary'!AA68</f>
        <v>265999.99999999115</v>
      </c>
      <c r="Y8" s="8">
        <f t="shared" si="14"/>
        <v>0.26599999999999113</v>
      </c>
      <c r="Z8" s="10">
        <f t="shared" si="15"/>
        <v>0.8166199999999727</v>
      </c>
      <c r="AA8" s="15"/>
      <c r="AB8" s="7">
        <f t="shared" si="16"/>
        <v>13316000.000000009</v>
      </c>
      <c r="AC8" s="8">
        <f t="shared" si="16"/>
        <v>13.31600000000001</v>
      </c>
      <c r="AD8" s="8">
        <f>D8+Q8</f>
        <v>40.880120000000026</v>
      </c>
      <c r="AF8" s="8">
        <f t="shared" si="17"/>
        <v>1.8419999999998216E-2</v>
      </c>
    </row>
    <row r="9" spans="1:32" x14ac:dyDescent="0.2">
      <c r="A9" s="27">
        <v>43164</v>
      </c>
      <c r="B9" s="7">
        <f>'[3]Production Summary'!J69</f>
        <v>0</v>
      </c>
      <c r="C9" s="8">
        <f t="shared" si="1"/>
        <v>0</v>
      </c>
      <c r="D9" s="10">
        <f t="shared" si="0"/>
        <v>0</v>
      </c>
      <c r="E9" s="7">
        <f>'[3]Production Summary'!E69</f>
        <v>0</v>
      </c>
      <c r="F9" s="8">
        <f t="shared" si="2"/>
        <v>0</v>
      </c>
      <c r="G9" s="10">
        <f t="shared" si="3"/>
        <v>0</v>
      </c>
      <c r="H9" s="7">
        <f>'[3]Production Summary'!G69</f>
        <v>0</v>
      </c>
      <c r="I9" s="8">
        <f t="shared" si="4"/>
        <v>0</v>
      </c>
      <c r="J9" s="10">
        <f t="shared" si="5"/>
        <v>0</v>
      </c>
      <c r="K9" s="57"/>
      <c r="L9" s="8">
        <f t="shared" si="6"/>
        <v>0</v>
      </c>
      <c r="M9" s="10">
        <f t="shared" si="7"/>
        <v>0</v>
      </c>
      <c r="N9" s="21"/>
      <c r="O9" s="7">
        <f>'[3]Production Summary'!I69</f>
        <v>13023000.000000002</v>
      </c>
      <c r="P9" s="8">
        <f t="shared" si="8"/>
        <v>13.023000000000001</v>
      </c>
      <c r="Q9" s="10">
        <f t="shared" si="9"/>
        <v>39.980610000000006</v>
      </c>
      <c r="R9" s="7">
        <f>'[3]Production Summary'!C69</f>
        <v>13364000</v>
      </c>
      <c r="S9" s="8">
        <f t="shared" si="10"/>
        <v>13.364000000000001</v>
      </c>
      <c r="T9" s="10">
        <f t="shared" si="11"/>
        <v>41.027479999999997</v>
      </c>
      <c r="U9" s="7">
        <f>'[3]Production Summary'!F69</f>
        <v>0</v>
      </c>
      <c r="V9" s="8">
        <f t="shared" si="12"/>
        <v>0</v>
      </c>
      <c r="W9" s="10">
        <f t="shared" si="13"/>
        <v>0</v>
      </c>
      <c r="X9" s="7">
        <f>'[3]Production Summary'!AA69</f>
        <v>332999.99999999843</v>
      </c>
      <c r="Y9" s="8">
        <f t="shared" si="14"/>
        <v>0.33299999999999841</v>
      </c>
      <c r="Z9" s="10">
        <f t="shared" si="15"/>
        <v>1.0223099999999952</v>
      </c>
      <c r="AA9" s="15"/>
      <c r="AB9" s="7">
        <f t="shared" si="16"/>
        <v>13023000.000000002</v>
      </c>
      <c r="AC9" s="8">
        <f t="shared" si="16"/>
        <v>13.023000000000001</v>
      </c>
      <c r="AD9" s="8">
        <f t="shared" si="16"/>
        <v>39.980610000000006</v>
      </c>
      <c r="AF9" s="8">
        <f t="shared" si="17"/>
        <v>2.455999999999614E-2</v>
      </c>
    </row>
    <row r="10" spans="1:32" x14ac:dyDescent="0.2">
      <c r="A10" s="27">
        <v>43165</v>
      </c>
      <c r="B10" s="7">
        <f>'[3]Production Summary'!J70</f>
        <v>0</v>
      </c>
      <c r="C10" s="8">
        <f t="shared" si="1"/>
        <v>0</v>
      </c>
      <c r="D10" s="10">
        <f t="shared" si="0"/>
        <v>0</v>
      </c>
      <c r="E10" s="7">
        <f>'[3]Production Summary'!E70</f>
        <v>0</v>
      </c>
      <c r="F10" s="8">
        <f t="shared" si="2"/>
        <v>0</v>
      </c>
      <c r="G10" s="10">
        <f t="shared" si="3"/>
        <v>0</v>
      </c>
      <c r="H10" s="7">
        <f>'[3]Production Summary'!G70</f>
        <v>0</v>
      </c>
      <c r="I10" s="8">
        <f t="shared" si="4"/>
        <v>0</v>
      </c>
      <c r="J10" s="10">
        <f t="shared" si="5"/>
        <v>0</v>
      </c>
      <c r="K10" s="57"/>
      <c r="L10" s="8">
        <f t="shared" si="6"/>
        <v>0</v>
      </c>
      <c r="M10" s="10">
        <f t="shared" si="7"/>
        <v>0</v>
      </c>
      <c r="N10" s="21"/>
      <c r="O10" s="7">
        <f>'[3]Production Summary'!I70</f>
        <v>12538999.999999985</v>
      </c>
      <c r="P10" s="8">
        <f t="shared" si="8"/>
        <v>12.538999999999985</v>
      </c>
      <c r="Q10" s="10">
        <f t="shared" si="9"/>
        <v>38.494729999999954</v>
      </c>
      <c r="R10" s="7">
        <f>'[3]Production Summary'!C70</f>
        <v>12810000</v>
      </c>
      <c r="S10" s="8">
        <f t="shared" si="10"/>
        <v>12.81</v>
      </c>
      <c r="T10" s="10">
        <f t="shared" si="11"/>
        <v>39.326700000000002</v>
      </c>
      <c r="U10" s="7">
        <f>'[3]Production Summary'!F70</f>
        <v>0</v>
      </c>
      <c r="V10" s="8">
        <f t="shared" si="12"/>
        <v>0</v>
      </c>
      <c r="W10" s="10">
        <f t="shared" si="13"/>
        <v>0</v>
      </c>
      <c r="X10" s="7">
        <f>'[3]Production Summary'!AA70</f>
        <v>265000.00000001478</v>
      </c>
      <c r="Y10" s="8">
        <f t="shared" si="14"/>
        <v>0.26500000000001478</v>
      </c>
      <c r="Z10" s="10">
        <f t="shared" si="15"/>
        <v>0.81355000000004529</v>
      </c>
      <c r="AA10" s="15"/>
      <c r="AB10" s="7">
        <f t="shared" si="16"/>
        <v>12538999.999999985</v>
      </c>
      <c r="AC10" s="8">
        <f t="shared" si="16"/>
        <v>12.538999999999985</v>
      </c>
      <c r="AD10" s="8">
        <f t="shared" si="16"/>
        <v>38.494729999999954</v>
      </c>
      <c r="AF10" s="8">
        <f t="shared" si="17"/>
        <v>1.8420000000002767E-2</v>
      </c>
    </row>
    <row r="11" spans="1:32" x14ac:dyDescent="0.2">
      <c r="A11" s="27">
        <v>43166</v>
      </c>
      <c r="B11" s="7">
        <f>'[3]Production Summary'!J71</f>
        <v>0</v>
      </c>
      <c r="C11" s="8">
        <f t="shared" si="1"/>
        <v>0</v>
      </c>
      <c r="D11" s="10">
        <f t="shared" si="0"/>
        <v>0</v>
      </c>
      <c r="E11" s="7">
        <f>'[3]Production Summary'!E71</f>
        <v>1000000</v>
      </c>
      <c r="F11" s="8">
        <f t="shared" si="2"/>
        <v>1</v>
      </c>
      <c r="G11" s="10">
        <f t="shared" si="3"/>
        <v>3.07</v>
      </c>
      <c r="H11" s="7">
        <f>'[3]Production Summary'!G71</f>
        <v>0</v>
      </c>
      <c r="I11" s="8">
        <f t="shared" si="4"/>
        <v>0</v>
      </c>
      <c r="J11" s="10">
        <f t="shared" si="5"/>
        <v>0</v>
      </c>
      <c r="K11" s="57"/>
      <c r="L11" s="8">
        <f t="shared" si="6"/>
        <v>0</v>
      </c>
      <c r="M11" s="10">
        <f t="shared" si="7"/>
        <v>0</v>
      </c>
      <c r="N11" s="21"/>
      <c r="O11" s="7">
        <f>'[3]Production Summary'!I71</f>
        <v>11890999.999999993</v>
      </c>
      <c r="P11" s="8">
        <f t="shared" si="8"/>
        <v>11.890999999999993</v>
      </c>
      <c r="Q11" s="10">
        <f t="shared" si="9"/>
        <v>36.505369999999978</v>
      </c>
      <c r="R11" s="7">
        <f>'[3]Production Summary'!C71</f>
        <v>12234000</v>
      </c>
      <c r="S11" s="8">
        <f t="shared" si="10"/>
        <v>12.234</v>
      </c>
      <c r="T11" s="10">
        <f t="shared" si="11"/>
        <v>37.55838</v>
      </c>
      <c r="U11" s="7">
        <f>'[3]Production Summary'!F71</f>
        <v>0</v>
      </c>
      <c r="V11" s="8">
        <f t="shared" si="12"/>
        <v>0</v>
      </c>
      <c r="W11" s="10">
        <f t="shared" si="13"/>
        <v>0</v>
      </c>
      <c r="X11" s="7">
        <f>'[3]Production Summary'!AA71</f>
        <v>335000.00000000797</v>
      </c>
      <c r="Y11" s="8">
        <f t="shared" si="14"/>
        <v>0.33500000000000796</v>
      </c>
      <c r="Z11" s="10">
        <f t="shared" si="15"/>
        <v>1.0284500000000243</v>
      </c>
      <c r="AA11" s="15"/>
      <c r="AB11" s="7">
        <f t="shared" si="16"/>
        <v>11890999.999999993</v>
      </c>
      <c r="AC11" s="8">
        <f t="shared" si="16"/>
        <v>11.890999999999993</v>
      </c>
      <c r="AD11" s="8">
        <f t="shared" si="16"/>
        <v>36.505369999999978</v>
      </c>
      <c r="AF11" s="8">
        <f t="shared" si="17"/>
        <v>2.4559999999997473E-2</v>
      </c>
    </row>
    <row r="12" spans="1:32" x14ac:dyDescent="0.2">
      <c r="A12" s="27">
        <v>43167</v>
      </c>
      <c r="B12" s="7">
        <f>'[3]Production Summary'!J72</f>
        <v>0</v>
      </c>
      <c r="C12" s="8">
        <f t="shared" si="1"/>
        <v>0</v>
      </c>
      <c r="D12" s="10">
        <f t="shared" si="0"/>
        <v>0</v>
      </c>
      <c r="E12" s="7">
        <f>'[3]Production Summary'!E72</f>
        <v>6000000</v>
      </c>
      <c r="F12" s="8">
        <f t="shared" si="2"/>
        <v>6</v>
      </c>
      <c r="G12" s="10">
        <f t="shared" si="3"/>
        <v>18.419999999999998</v>
      </c>
      <c r="H12" s="7">
        <f>'[3]Production Summary'!G72</f>
        <v>0</v>
      </c>
      <c r="I12" s="8">
        <f t="shared" si="4"/>
        <v>0</v>
      </c>
      <c r="J12" s="10">
        <f t="shared" si="5"/>
        <v>0</v>
      </c>
      <c r="K12" s="57"/>
      <c r="L12" s="8">
        <f t="shared" si="6"/>
        <v>0</v>
      </c>
      <c r="M12" s="10">
        <f t="shared" si="7"/>
        <v>0</v>
      </c>
      <c r="N12" s="21"/>
      <c r="O12" s="7">
        <f>'[3]Production Summary'!I72</f>
        <v>13225000.000000011</v>
      </c>
      <c r="P12" s="8">
        <f t="shared" si="8"/>
        <v>13.22500000000001</v>
      </c>
      <c r="Q12" s="10">
        <f t="shared" si="9"/>
        <v>40.600750000000026</v>
      </c>
      <c r="R12" s="7">
        <f>'[3]Production Summary'!C72</f>
        <v>13418000</v>
      </c>
      <c r="S12" s="8">
        <f t="shared" si="10"/>
        <v>13.417999999999999</v>
      </c>
      <c r="T12" s="10">
        <f t="shared" si="11"/>
        <v>41.193259999999995</v>
      </c>
      <c r="U12" s="7">
        <f>'[3]Production Summary'!F72</f>
        <v>0</v>
      </c>
      <c r="V12" s="8">
        <f t="shared" si="12"/>
        <v>0</v>
      </c>
      <c r="W12" s="10">
        <f t="shared" si="13"/>
        <v>0</v>
      </c>
      <c r="X12" s="7">
        <f>'[3]Production Summary'!AA72</f>
        <v>187999.99999998818</v>
      </c>
      <c r="Y12" s="8">
        <f t="shared" si="14"/>
        <v>0.18799999999998818</v>
      </c>
      <c r="Z12" s="10">
        <f t="shared" si="15"/>
        <v>0.5771599999999637</v>
      </c>
      <c r="AA12" s="15"/>
      <c r="AB12" s="7">
        <f t="shared" si="16"/>
        <v>13225000.000000011</v>
      </c>
      <c r="AC12" s="8">
        <f t="shared" si="16"/>
        <v>13.22500000000001</v>
      </c>
      <c r="AD12" s="8">
        <f t="shared" si="16"/>
        <v>40.600750000000026</v>
      </c>
      <c r="AF12" s="8">
        <f t="shared" si="17"/>
        <v>1.5350000000005082E-2</v>
      </c>
    </row>
    <row r="13" spans="1:32" x14ac:dyDescent="0.2">
      <c r="A13" s="27">
        <v>43168</v>
      </c>
      <c r="B13" s="7">
        <f>'[3]Production Summary'!J73</f>
        <v>0</v>
      </c>
      <c r="C13" s="8">
        <f t="shared" si="1"/>
        <v>0</v>
      </c>
      <c r="D13" s="10">
        <f t="shared" si="0"/>
        <v>0</v>
      </c>
      <c r="E13" s="7">
        <f>'[3]Production Summary'!E73</f>
        <v>11000000</v>
      </c>
      <c r="F13" s="8">
        <f t="shared" si="2"/>
        <v>11</v>
      </c>
      <c r="G13" s="10">
        <f t="shared" si="3"/>
        <v>33.769999999999996</v>
      </c>
      <c r="H13" s="7">
        <f>'[3]Production Summary'!G73</f>
        <v>0</v>
      </c>
      <c r="I13" s="8">
        <f t="shared" si="4"/>
        <v>0</v>
      </c>
      <c r="J13" s="10">
        <f t="shared" si="5"/>
        <v>0</v>
      </c>
      <c r="K13" s="57"/>
      <c r="L13" s="8">
        <f t="shared" si="6"/>
        <v>0</v>
      </c>
      <c r="M13" s="10">
        <f t="shared" si="7"/>
        <v>0</v>
      </c>
      <c r="N13" s="21"/>
      <c r="O13" s="7">
        <f>'[3]Production Summary'!I73</f>
        <v>13124000.000000009</v>
      </c>
      <c r="P13" s="8">
        <f t="shared" si="8"/>
        <v>13.124000000000009</v>
      </c>
      <c r="Q13" s="10">
        <f t="shared" si="9"/>
        <v>40.29068000000003</v>
      </c>
      <c r="R13" s="7">
        <f>'[3]Production Summary'!C73</f>
        <v>13397000</v>
      </c>
      <c r="S13" s="8">
        <f t="shared" si="10"/>
        <v>13.397</v>
      </c>
      <c r="T13" s="10">
        <f t="shared" si="11"/>
        <v>41.128789999999995</v>
      </c>
      <c r="U13" s="7">
        <f>'[3]Production Summary'!F73</f>
        <v>0</v>
      </c>
      <c r="V13" s="8">
        <f t="shared" si="12"/>
        <v>0</v>
      </c>
      <c r="W13" s="10">
        <f t="shared" si="13"/>
        <v>0</v>
      </c>
      <c r="X13" s="7">
        <f>'[3]Production Summary'!AA73</f>
        <v>265999.99999999115</v>
      </c>
      <c r="Y13" s="8">
        <f t="shared" si="14"/>
        <v>0.26599999999999113</v>
      </c>
      <c r="Z13" s="10">
        <f t="shared" si="15"/>
        <v>0.8166199999999727</v>
      </c>
      <c r="AA13" s="15"/>
      <c r="AB13" s="7">
        <f t="shared" si="16"/>
        <v>13124000.000000009</v>
      </c>
      <c r="AC13" s="8">
        <f t="shared" si="16"/>
        <v>13.124000000000009</v>
      </c>
      <c r="AD13" s="8">
        <f>D13+Q13</f>
        <v>40.29068000000003</v>
      </c>
      <c r="AF13" s="8">
        <f t="shared" si="17"/>
        <v>2.1489999999992127E-2</v>
      </c>
    </row>
    <row r="14" spans="1:32" x14ac:dyDescent="0.2">
      <c r="A14" s="27">
        <v>43169</v>
      </c>
      <c r="B14" s="7">
        <f>'[3]Production Summary'!J74</f>
        <v>0</v>
      </c>
      <c r="C14" s="8">
        <f t="shared" si="1"/>
        <v>0</v>
      </c>
      <c r="D14" s="10">
        <f t="shared" si="0"/>
        <v>0</v>
      </c>
      <c r="E14" s="7">
        <f>'[3]Production Summary'!E74</f>
        <v>5000000</v>
      </c>
      <c r="F14" s="8">
        <f t="shared" si="2"/>
        <v>5</v>
      </c>
      <c r="G14" s="10">
        <f t="shared" si="3"/>
        <v>15.35</v>
      </c>
      <c r="H14" s="7">
        <f>'[3]Production Summary'!G74</f>
        <v>0</v>
      </c>
      <c r="I14" s="8">
        <f t="shared" si="4"/>
        <v>0</v>
      </c>
      <c r="J14" s="10">
        <f t="shared" si="5"/>
        <v>0</v>
      </c>
      <c r="K14" s="57"/>
      <c r="L14" s="8">
        <f t="shared" si="6"/>
        <v>0</v>
      </c>
      <c r="M14" s="10">
        <f t="shared" si="7"/>
        <v>0</v>
      </c>
      <c r="N14" s="21"/>
      <c r="O14" s="7">
        <f>'[3]Production Summary'!I74</f>
        <v>13025999.999999993</v>
      </c>
      <c r="P14" s="8">
        <f t="shared" si="8"/>
        <v>13.025999999999993</v>
      </c>
      <c r="Q14" s="10">
        <f t="shared" si="9"/>
        <v>39.989819999999973</v>
      </c>
      <c r="R14" s="7">
        <f>'[3]Production Summary'!C74</f>
        <v>13228000</v>
      </c>
      <c r="S14" s="8">
        <f t="shared" si="10"/>
        <v>13.228</v>
      </c>
      <c r="T14" s="10">
        <f t="shared" si="11"/>
        <v>40.609959999999994</v>
      </c>
      <c r="U14" s="7">
        <f>'[3]Production Summary'!F74</f>
        <v>0</v>
      </c>
      <c r="V14" s="8">
        <f t="shared" si="12"/>
        <v>0</v>
      </c>
      <c r="W14" s="10">
        <f t="shared" si="13"/>
        <v>0</v>
      </c>
      <c r="X14" s="7">
        <f>'[3]Production Summary'!AA74</f>
        <v>198000.00000000751</v>
      </c>
      <c r="Y14" s="8">
        <f t="shared" si="14"/>
        <v>0.1980000000000075</v>
      </c>
      <c r="Z14" s="10">
        <f t="shared" si="15"/>
        <v>0.60786000000002305</v>
      </c>
      <c r="AA14" s="15"/>
      <c r="AB14" s="7">
        <f t="shared" si="16"/>
        <v>13025999.999999993</v>
      </c>
      <c r="AC14" s="8">
        <f t="shared" si="16"/>
        <v>13.025999999999993</v>
      </c>
      <c r="AD14" s="8">
        <f t="shared" si="16"/>
        <v>39.989819999999973</v>
      </c>
      <c r="AF14" s="8">
        <f t="shared" si="17"/>
        <v>1.2279999999997515E-2</v>
      </c>
    </row>
    <row r="15" spans="1:32" x14ac:dyDescent="0.2">
      <c r="A15" s="27">
        <v>43170</v>
      </c>
      <c r="B15" s="7">
        <f>'[3]Production Summary'!J75</f>
        <v>0</v>
      </c>
      <c r="C15" s="8">
        <f t="shared" si="1"/>
        <v>0</v>
      </c>
      <c r="D15" s="10">
        <f t="shared" si="0"/>
        <v>0</v>
      </c>
      <c r="E15" s="7">
        <f>'[3]Production Summary'!E75</f>
        <v>5000000</v>
      </c>
      <c r="F15" s="8">
        <f t="shared" si="2"/>
        <v>5</v>
      </c>
      <c r="G15" s="10">
        <f t="shared" si="3"/>
        <v>15.35</v>
      </c>
      <c r="H15" s="7">
        <f>'[3]Production Summary'!G75</f>
        <v>0</v>
      </c>
      <c r="I15" s="8">
        <f t="shared" si="4"/>
        <v>0</v>
      </c>
      <c r="J15" s="10">
        <f t="shared" si="5"/>
        <v>0</v>
      </c>
      <c r="K15" s="57"/>
      <c r="L15" s="8">
        <f t="shared" si="6"/>
        <v>0</v>
      </c>
      <c r="M15" s="10">
        <f t="shared" si="7"/>
        <v>0</v>
      </c>
      <c r="N15" s="21"/>
      <c r="O15" s="7">
        <f>'[3]Production Summary'!I75</f>
        <v>12656000.000000009</v>
      </c>
      <c r="P15" s="8">
        <f t="shared" si="8"/>
        <v>12.656000000000009</v>
      </c>
      <c r="Q15" s="10">
        <f t="shared" si="9"/>
        <v>38.853920000000024</v>
      </c>
      <c r="R15" s="7">
        <f>'[3]Production Summary'!C75</f>
        <v>12929000</v>
      </c>
      <c r="S15" s="8">
        <f t="shared" si="10"/>
        <v>12.929</v>
      </c>
      <c r="T15" s="10">
        <f t="shared" si="11"/>
        <v>39.692029999999995</v>
      </c>
      <c r="U15" s="7">
        <f>'[3]Production Summary'!F75</f>
        <v>0</v>
      </c>
      <c r="V15" s="8">
        <f t="shared" si="12"/>
        <v>0</v>
      </c>
      <c r="W15" s="10">
        <f t="shared" si="13"/>
        <v>0</v>
      </c>
      <c r="X15" s="7">
        <f>'[3]Production Summary'!AA75</f>
        <v>265999.99999999115</v>
      </c>
      <c r="Y15" s="8">
        <f t="shared" si="14"/>
        <v>0.26599999999999113</v>
      </c>
      <c r="Z15" s="10">
        <f t="shared" si="15"/>
        <v>0.8166199999999727</v>
      </c>
      <c r="AA15" s="15"/>
      <c r="AB15" s="7">
        <f t="shared" si="16"/>
        <v>12656000.000000009</v>
      </c>
      <c r="AC15" s="8">
        <f t="shared" si="16"/>
        <v>12.656000000000009</v>
      </c>
      <c r="AD15" s="8">
        <f t="shared" si="16"/>
        <v>38.853920000000024</v>
      </c>
      <c r="AF15" s="8">
        <f>T15-Q15-Z15</f>
        <v>2.1489999999999232E-2</v>
      </c>
    </row>
    <row r="16" spans="1:32" x14ac:dyDescent="0.2">
      <c r="A16" s="27">
        <v>43171</v>
      </c>
      <c r="B16" s="7">
        <f>'[3]Production Summary'!J76</f>
        <v>0</v>
      </c>
      <c r="C16" s="8">
        <f t="shared" si="1"/>
        <v>0</v>
      </c>
      <c r="D16" s="10">
        <f t="shared" si="0"/>
        <v>0</v>
      </c>
      <c r="E16" s="7">
        <f>'[3]Production Summary'!E76</f>
        <v>5000000</v>
      </c>
      <c r="F16" s="8">
        <f t="shared" si="2"/>
        <v>5</v>
      </c>
      <c r="G16" s="10">
        <f t="shared" si="3"/>
        <v>15.35</v>
      </c>
      <c r="H16" s="7">
        <f>'[3]Production Summary'!G76</f>
        <v>0</v>
      </c>
      <c r="I16" s="8">
        <f t="shared" si="4"/>
        <v>0</v>
      </c>
      <c r="J16" s="10">
        <f t="shared" si="5"/>
        <v>0</v>
      </c>
      <c r="K16" s="57"/>
      <c r="L16" s="8">
        <f t="shared" si="6"/>
        <v>0</v>
      </c>
      <c r="M16" s="10">
        <f t="shared" si="7"/>
        <v>0</v>
      </c>
      <c r="N16" s="21"/>
      <c r="O16" s="7">
        <f>'[3]Production Summary'!I76</f>
        <v>11776999.999999976</v>
      </c>
      <c r="P16" s="8">
        <f t="shared" si="8"/>
        <v>11.776999999999976</v>
      </c>
      <c r="Q16" s="10">
        <f t="shared" si="9"/>
        <v>36.155389999999926</v>
      </c>
      <c r="R16" s="7">
        <f>'[3]Production Summary'!C76</f>
        <v>12184000</v>
      </c>
      <c r="S16" s="8">
        <f t="shared" si="10"/>
        <v>12.183999999999999</v>
      </c>
      <c r="T16" s="10">
        <f t="shared" si="11"/>
        <v>37.404879999999999</v>
      </c>
      <c r="U16" s="7">
        <f>'[3]Production Summary'!F76</f>
        <v>0</v>
      </c>
      <c r="V16" s="8">
        <f t="shared" si="12"/>
        <v>0</v>
      </c>
      <c r="W16" s="10">
        <f t="shared" si="13"/>
        <v>0</v>
      </c>
      <c r="X16" s="7">
        <f>'[3]Production Summary'!AA76</f>
        <v>398000.00000002456</v>
      </c>
      <c r="Y16" s="8">
        <f t="shared" si="14"/>
        <v>0.39800000000002456</v>
      </c>
      <c r="Z16" s="10">
        <f t="shared" si="15"/>
        <v>1.2218600000000752</v>
      </c>
      <c r="AA16" s="15"/>
      <c r="AB16" s="7">
        <f t="shared" si="16"/>
        <v>11776999.999999976</v>
      </c>
      <c r="AC16" s="8">
        <f t="shared" si="16"/>
        <v>11.776999999999976</v>
      </c>
      <c r="AD16" s="8">
        <f t="shared" si="16"/>
        <v>36.155389999999926</v>
      </c>
      <c r="AF16" s="8">
        <f>T16-Q16-Z16</f>
        <v>2.7629999999997379E-2</v>
      </c>
    </row>
    <row r="17" spans="1:32" x14ac:dyDescent="0.2">
      <c r="A17" s="27">
        <v>43172</v>
      </c>
      <c r="B17" s="7">
        <f>'[3]Production Summary'!J77</f>
        <v>0</v>
      </c>
      <c r="C17" s="8">
        <f t="shared" si="1"/>
        <v>0</v>
      </c>
      <c r="D17" s="10">
        <f t="shared" si="0"/>
        <v>0</v>
      </c>
      <c r="E17" s="7">
        <f>'[3]Production Summary'!E77</f>
        <v>5000000</v>
      </c>
      <c r="F17" s="8">
        <f t="shared" si="2"/>
        <v>5</v>
      </c>
      <c r="G17" s="10">
        <f t="shared" si="3"/>
        <v>15.35</v>
      </c>
      <c r="H17" s="7">
        <f>'[3]Production Summary'!G77</f>
        <v>0</v>
      </c>
      <c r="I17" s="8">
        <f t="shared" si="4"/>
        <v>0</v>
      </c>
      <c r="J17" s="10">
        <f t="shared" si="5"/>
        <v>0</v>
      </c>
      <c r="K17" s="57"/>
      <c r="L17" s="8">
        <f t="shared" si="6"/>
        <v>0</v>
      </c>
      <c r="M17" s="10">
        <f t="shared" si="7"/>
        <v>0</v>
      </c>
      <c r="N17" s="21"/>
      <c r="O17" s="7">
        <f>'[3]Production Summary'!I77</f>
        <v>11476000.000000013</v>
      </c>
      <c r="P17" s="8">
        <f t="shared" si="8"/>
        <v>11.476000000000013</v>
      </c>
      <c r="Q17" s="10">
        <f t="shared" si="9"/>
        <v>35.231320000000039</v>
      </c>
      <c r="R17" s="7">
        <f>'[3]Production Summary'!C77</f>
        <v>11614000</v>
      </c>
      <c r="S17" s="8">
        <f t="shared" si="10"/>
        <v>11.614000000000001</v>
      </c>
      <c r="T17" s="10">
        <f t="shared" si="11"/>
        <v>35.654980000000002</v>
      </c>
      <c r="U17" s="7">
        <f>'[3]Production Summary'!F77</f>
        <v>0</v>
      </c>
      <c r="V17" s="8">
        <f t="shared" si="12"/>
        <v>0</v>
      </c>
      <c r="W17" s="10">
        <f t="shared" si="13"/>
        <v>0</v>
      </c>
      <c r="X17" s="7">
        <f>'[3]Production Summary'!AA77</f>
        <v>133999.99999998612</v>
      </c>
      <c r="Y17" s="8">
        <f t="shared" si="14"/>
        <v>0.13399999999998613</v>
      </c>
      <c r="Z17" s="10">
        <f t="shared" si="15"/>
        <v>0.41137999999995739</v>
      </c>
      <c r="AA17" s="15"/>
      <c r="AB17" s="7">
        <f t="shared" si="16"/>
        <v>11476000.000000013</v>
      </c>
      <c r="AC17" s="8">
        <f t="shared" si="16"/>
        <v>11.476000000000013</v>
      </c>
      <c r="AD17" s="8">
        <f t="shared" si="16"/>
        <v>35.231320000000039</v>
      </c>
      <c r="AF17" s="8">
        <f>T17-Q17-Z17</f>
        <v>1.2280000000005231E-2</v>
      </c>
    </row>
    <row r="18" spans="1:32" x14ac:dyDescent="0.2">
      <c r="A18" s="27">
        <v>43173</v>
      </c>
      <c r="B18" s="7">
        <f>'[3]Production Summary'!J78</f>
        <v>0</v>
      </c>
      <c r="C18" s="8">
        <f t="shared" si="1"/>
        <v>0</v>
      </c>
      <c r="D18" s="10">
        <f t="shared" si="0"/>
        <v>0</v>
      </c>
      <c r="E18" s="7">
        <f>'[3]Production Summary'!E78</f>
        <v>5000000</v>
      </c>
      <c r="F18" s="8">
        <f t="shared" si="2"/>
        <v>5</v>
      </c>
      <c r="G18" s="10">
        <f t="shared" si="3"/>
        <v>15.35</v>
      </c>
      <c r="H18" s="7">
        <f>'[3]Production Summary'!G78</f>
        <v>0</v>
      </c>
      <c r="I18" s="8">
        <f t="shared" si="4"/>
        <v>0</v>
      </c>
      <c r="J18" s="10">
        <f t="shared" si="5"/>
        <v>0</v>
      </c>
      <c r="K18" s="57"/>
      <c r="L18" s="8">
        <f t="shared" si="6"/>
        <v>0</v>
      </c>
      <c r="M18" s="10">
        <f t="shared" si="7"/>
        <v>0</v>
      </c>
      <c r="N18" s="21"/>
      <c r="O18" s="7">
        <f>'[3]Production Summary'!I78</f>
        <v>12572000.000000006</v>
      </c>
      <c r="P18" s="8">
        <f t="shared" si="8"/>
        <v>12.572000000000006</v>
      </c>
      <c r="Q18" s="10">
        <f t="shared" si="9"/>
        <v>38.596040000000016</v>
      </c>
      <c r="R18" s="7">
        <f>'[3]Production Summary'!C78</f>
        <v>12912000</v>
      </c>
      <c r="S18" s="8">
        <f t="shared" si="10"/>
        <v>12.912000000000001</v>
      </c>
      <c r="T18" s="10">
        <f t="shared" si="11"/>
        <v>39.63984</v>
      </c>
      <c r="U18" s="7">
        <f>'[3]Production Summary'!F78</f>
        <v>0</v>
      </c>
      <c r="V18" s="8">
        <f t="shared" si="12"/>
        <v>0</v>
      </c>
      <c r="W18" s="10">
        <f t="shared" si="13"/>
        <v>0</v>
      </c>
      <c r="X18" s="7">
        <f>'[3]Production Summary'!AA78</f>
        <v>331999.99999999366</v>
      </c>
      <c r="Y18" s="8">
        <f t="shared" si="14"/>
        <v>0.33199999999999363</v>
      </c>
      <c r="Z18" s="10">
        <f t="shared" si="15"/>
        <v>1.0192399999999804</v>
      </c>
      <c r="AA18" s="15"/>
      <c r="AB18" s="7">
        <f t="shared" si="16"/>
        <v>12572000.000000006</v>
      </c>
      <c r="AC18" s="8">
        <f t="shared" si="16"/>
        <v>12.572000000000006</v>
      </c>
      <c r="AD18" s="8">
        <f t="shared" si="16"/>
        <v>38.596040000000016</v>
      </c>
      <c r="AF18" s="8">
        <f>T18-Q18-Z18</f>
        <v>2.4560000000002802E-2</v>
      </c>
    </row>
    <row r="19" spans="1:32" x14ac:dyDescent="0.2">
      <c r="A19" s="27">
        <v>43174</v>
      </c>
      <c r="B19" s="7">
        <f>'[3]Production Summary'!J79</f>
        <v>0</v>
      </c>
      <c r="C19" s="8">
        <f t="shared" si="1"/>
        <v>0</v>
      </c>
      <c r="D19" s="10">
        <f t="shared" si="0"/>
        <v>0</v>
      </c>
      <c r="E19" s="7">
        <f>'[3]Production Summary'!E79</f>
        <v>5000000</v>
      </c>
      <c r="F19" s="8">
        <f t="shared" si="2"/>
        <v>5</v>
      </c>
      <c r="G19" s="10">
        <f t="shared" si="3"/>
        <v>15.35</v>
      </c>
      <c r="H19" s="7">
        <f>'[3]Production Summary'!G79</f>
        <v>0</v>
      </c>
      <c r="I19" s="8">
        <f t="shared" si="4"/>
        <v>0</v>
      </c>
      <c r="J19" s="10">
        <f t="shared" si="5"/>
        <v>0</v>
      </c>
      <c r="K19" s="57"/>
      <c r="L19" s="8">
        <f t="shared" si="6"/>
        <v>0</v>
      </c>
      <c r="M19" s="10">
        <f t="shared" si="7"/>
        <v>0</v>
      </c>
      <c r="N19" s="21"/>
      <c r="O19" s="7">
        <f>'[3]Production Summary'!I79</f>
        <v>12814999.999999981</v>
      </c>
      <c r="P19" s="8">
        <f t="shared" si="8"/>
        <v>12.814999999999982</v>
      </c>
      <c r="Q19" s="10">
        <f t="shared" si="9"/>
        <v>39.342049999999944</v>
      </c>
      <c r="R19" s="7">
        <f>'[3]Production Summary'!C79</f>
        <v>13087000</v>
      </c>
      <c r="S19" s="8">
        <f t="shared" si="10"/>
        <v>13.087</v>
      </c>
      <c r="T19" s="10">
        <f t="shared" si="11"/>
        <v>40.17709</v>
      </c>
      <c r="U19" s="7">
        <f>'[3]Production Summary'!F79</f>
        <v>0</v>
      </c>
      <c r="V19" s="8">
        <f t="shared" si="12"/>
        <v>0</v>
      </c>
      <c r="W19" s="10">
        <f t="shared" si="13"/>
        <v>0</v>
      </c>
      <c r="X19" s="7">
        <f>'[3]Production Summary'!AA79</f>
        <v>266000.00000001956</v>
      </c>
      <c r="Y19" s="8">
        <f t="shared" si="14"/>
        <v>0.26600000000001955</v>
      </c>
      <c r="Z19" s="10">
        <f t="shared" si="15"/>
        <v>0.81662000000005996</v>
      </c>
      <c r="AA19" s="15"/>
      <c r="AB19" s="7">
        <f t="shared" si="16"/>
        <v>12814999.999999981</v>
      </c>
      <c r="AC19" s="8">
        <f t="shared" si="16"/>
        <v>12.814999999999982</v>
      </c>
      <c r="AD19" s="8">
        <f>D19+Q19</f>
        <v>39.342049999999944</v>
      </c>
      <c r="AF19" s="8">
        <f>T19-Q19-Z19</f>
        <v>1.8419999999996217E-2</v>
      </c>
    </row>
    <row r="20" spans="1:32" x14ac:dyDescent="0.2">
      <c r="A20" s="27">
        <v>43175</v>
      </c>
      <c r="B20" s="7">
        <f>'[3]Production Summary'!J80</f>
        <v>0</v>
      </c>
      <c r="C20" s="8">
        <f t="shared" si="1"/>
        <v>0</v>
      </c>
      <c r="D20" s="10">
        <f t="shared" si="0"/>
        <v>0</v>
      </c>
      <c r="E20" s="7">
        <f>'[3]Production Summary'!E80</f>
        <v>5000000</v>
      </c>
      <c r="F20" s="8">
        <f t="shared" si="2"/>
        <v>5</v>
      </c>
      <c r="G20" s="10">
        <f t="shared" si="3"/>
        <v>15.35</v>
      </c>
      <c r="H20" s="7">
        <f>'[3]Production Summary'!G80</f>
        <v>0</v>
      </c>
      <c r="I20" s="8">
        <f t="shared" si="4"/>
        <v>0</v>
      </c>
      <c r="J20" s="10">
        <f t="shared" si="5"/>
        <v>0</v>
      </c>
      <c r="K20" s="57"/>
      <c r="L20" s="8">
        <f t="shared" si="6"/>
        <v>0</v>
      </c>
      <c r="M20" s="10">
        <f t="shared" si="7"/>
        <v>0</v>
      </c>
      <c r="N20" s="21"/>
      <c r="O20" s="7">
        <f>'[3]Production Summary'!I80</f>
        <v>12904000.000000006</v>
      </c>
      <c r="P20" s="8">
        <f t="shared" si="8"/>
        <v>12.904000000000005</v>
      </c>
      <c r="Q20" s="10">
        <f t="shared" si="9"/>
        <v>39.615280000000013</v>
      </c>
      <c r="R20" s="7">
        <f>'[3]Production Summary'!C80</f>
        <v>13244000</v>
      </c>
      <c r="S20" s="8">
        <f t="shared" si="10"/>
        <v>13.244</v>
      </c>
      <c r="T20" s="10">
        <f t="shared" si="11"/>
        <v>40.659079999999996</v>
      </c>
      <c r="U20" s="7">
        <f>'[3]Production Summary'!F80</f>
        <v>0</v>
      </c>
      <c r="V20" s="8">
        <f t="shared" si="12"/>
        <v>0</v>
      </c>
      <c r="W20" s="10">
        <f t="shared" si="13"/>
        <v>0</v>
      </c>
      <c r="X20" s="7">
        <f>'[3]Production Summary'!AA80</f>
        <v>331999.99999999366</v>
      </c>
      <c r="Y20" s="8">
        <f t="shared" si="14"/>
        <v>0.33199999999999363</v>
      </c>
      <c r="Z20" s="10">
        <f t="shared" si="15"/>
        <v>1.0192399999999804</v>
      </c>
      <c r="AA20" s="15"/>
      <c r="AB20" s="7">
        <f t="shared" si="16"/>
        <v>12904000.000000006</v>
      </c>
      <c r="AC20" s="8">
        <f t="shared" si="16"/>
        <v>12.904000000000005</v>
      </c>
      <c r="AD20" s="8">
        <f t="shared" si="16"/>
        <v>39.615280000000013</v>
      </c>
      <c r="AF20" s="8">
        <f t="shared" ref="AF20:AF35" si="18">T20-Q20-Z20</f>
        <v>2.4560000000002802E-2</v>
      </c>
    </row>
    <row r="21" spans="1:32" x14ac:dyDescent="0.2">
      <c r="A21" s="27">
        <v>43176</v>
      </c>
      <c r="B21" s="7">
        <f>'[3]Production Summary'!J81</f>
        <v>0</v>
      </c>
      <c r="C21" s="8">
        <f t="shared" si="1"/>
        <v>0</v>
      </c>
      <c r="D21" s="10">
        <f t="shared" si="0"/>
        <v>0</v>
      </c>
      <c r="E21" s="7">
        <f>'[3]Production Summary'!E81</f>
        <v>4000000</v>
      </c>
      <c r="F21" s="8">
        <f t="shared" si="2"/>
        <v>4</v>
      </c>
      <c r="G21" s="10">
        <f t="shared" si="3"/>
        <v>12.28</v>
      </c>
      <c r="H21" s="7">
        <f>'[3]Production Summary'!G81</f>
        <v>0</v>
      </c>
      <c r="I21" s="8">
        <f t="shared" si="4"/>
        <v>0</v>
      </c>
      <c r="J21" s="10">
        <f t="shared" si="5"/>
        <v>0</v>
      </c>
      <c r="K21" s="57"/>
      <c r="L21" s="8">
        <f t="shared" si="6"/>
        <v>0</v>
      </c>
      <c r="M21" s="10">
        <f t="shared" si="7"/>
        <v>0</v>
      </c>
      <c r="N21" s="21"/>
      <c r="O21" s="7">
        <f>'[3]Production Summary'!I81</f>
        <v>13079000.000000004</v>
      </c>
      <c r="P21" s="8">
        <f t="shared" si="8"/>
        <v>13.079000000000004</v>
      </c>
      <c r="Q21" s="10">
        <f t="shared" si="9"/>
        <v>40.152530000000013</v>
      </c>
      <c r="R21" s="7">
        <f>'[3]Production Summary'!C81</f>
        <v>13352000</v>
      </c>
      <c r="S21" s="8">
        <f t="shared" si="10"/>
        <v>13.352</v>
      </c>
      <c r="T21" s="10">
        <f t="shared" si="11"/>
        <v>40.990639999999999</v>
      </c>
      <c r="U21" s="7">
        <f>'[3]Production Summary'!F81</f>
        <v>0</v>
      </c>
      <c r="V21" s="8">
        <f t="shared" si="12"/>
        <v>0</v>
      </c>
      <c r="W21" s="10">
        <f t="shared" si="13"/>
        <v>0</v>
      </c>
      <c r="X21" s="7">
        <f>'[3]Production Summary'!AA81</f>
        <v>266999.99999999593</v>
      </c>
      <c r="Y21" s="8">
        <f t="shared" si="14"/>
        <v>0.26699999999999591</v>
      </c>
      <c r="Z21" s="10">
        <f t="shared" si="15"/>
        <v>0.81968999999998737</v>
      </c>
      <c r="AA21" s="15"/>
      <c r="AB21" s="7">
        <f t="shared" si="16"/>
        <v>13079000.000000004</v>
      </c>
      <c r="AC21" s="8">
        <f t="shared" si="16"/>
        <v>13.079000000000004</v>
      </c>
      <c r="AD21" s="8">
        <f t="shared" si="16"/>
        <v>40.152530000000013</v>
      </c>
      <c r="AF21" s="8">
        <f t="shared" si="18"/>
        <v>1.8419999999998771E-2</v>
      </c>
    </row>
    <row r="22" spans="1:32" x14ac:dyDescent="0.2">
      <c r="A22" s="27">
        <v>43177</v>
      </c>
      <c r="B22" s="7">
        <f>'[3]Production Summary'!J82</f>
        <v>6000000</v>
      </c>
      <c r="C22" s="8">
        <f t="shared" si="1"/>
        <v>6</v>
      </c>
      <c r="D22" s="10">
        <f t="shared" si="0"/>
        <v>18.419999999999998</v>
      </c>
      <c r="E22" s="7">
        <f>'[3]Production Summary'!E82</f>
        <v>5000000</v>
      </c>
      <c r="F22" s="8">
        <f t="shared" si="2"/>
        <v>5</v>
      </c>
      <c r="G22" s="10">
        <f t="shared" si="3"/>
        <v>15.35</v>
      </c>
      <c r="H22" s="7">
        <f>'[3]Production Summary'!G82</f>
        <v>0</v>
      </c>
      <c r="I22" s="8">
        <f t="shared" si="4"/>
        <v>0</v>
      </c>
      <c r="J22" s="10">
        <f t="shared" si="5"/>
        <v>0</v>
      </c>
      <c r="K22" s="7">
        <f>'[3]Production Summary'!S82</f>
        <v>402307</v>
      </c>
      <c r="L22" s="8">
        <f t="shared" si="6"/>
        <v>0.40230700000000003</v>
      </c>
      <c r="M22" s="10">
        <f t="shared" si="7"/>
        <v>1.2350824899999999</v>
      </c>
      <c r="N22" s="21"/>
      <c r="O22" s="7">
        <f>'[3]Production Summary'!I82</f>
        <v>9788000.0000000093</v>
      </c>
      <c r="P22" s="8">
        <f t="shared" si="8"/>
        <v>9.7880000000000091</v>
      </c>
      <c r="Q22" s="10">
        <f t="shared" si="9"/>
        <v>30.049160000000025</v>
      </c>
      <c r="R22" s="7">
        <f>'[3]Production Summary'!C82</f>
        <v>10061000</v>
      </c>
      <c r="S22" s="8">
        <f t="shared" si="10"/>
        <v>10.061</v>
      </c>
      <c r="T22" s="10">
        <f t="shared" si="11"/>
        <v>30.887269999999997</v>
      </c>
      <c r="U22" s="7">
        <f>'[3]Production Summary'!F82</f>
        <v>0</v>
      </c>
      <c r="V22" s="8">
        <f t="shared" si="12"/>
        <v>0</v>
      </c>
      <c r="W22" s="10">
        <f t="shared" si="13"/>
        <v>0</v>
      </c>
      <c r="X22" s="7">
        <f>'[3]Production Summary'!AA82</f>
        <v>265999.99999999115</v>
      </c>
      <c r="Y22" s="8">
        <f t="shared" si="14"/>
        <v>0.26599999999999113</v>
      </c>
      <c r="Z22" s="10">
        <f t="shared" si="15"/>
        <v>0.8166199999999727</v>
      </c>
      <c r="AA22" s="15"/>
      <c r="AB22" s="7">
        <f t="shared" si="16"/>
        <v>15788000.000000009</v>
      </c>
      <c r="AC22" s="8">
        <f t="shared" si="16"/>
        <v>15.788000000000009</v>
      </c>
      <c r="AD22" s="8">
        <f t="shared" si="16"/>
        <v>48.469160000000024</v>
      </c>
      <c r="AF22" s="8">
        <f t="shared" si="18"/>
        <v>2.1489999999999232E-2</v>
      </c>
    </row>
    <row r="23" spans="1:32" x14ac:dyDescent="0.2">
      <c r="A23" s="27">
        <v>43178</v>
      </c>
      <c r="B23" s="7">
        <f>'[3]Production Summary'!J83</f>
        <v>6520000.0000004368</v>
      </c>
      <c r="C23" s="8">
        <f t="shared" si="1"/>
        <v>6.5200000000004366</v>
      </c>
      <c r="D23" s="10">
        <f t="shared" si="0"/>
        <v>20.01640000000134</v>
      </c>
      <c r="E23" s="7">
        <f>'[3]Production Summary'!E83</f>
        <v>5000000</v>
      </c>
      <c r="F23" s="8">
        <f t="shared" si="2"/>
        <v>5</v>
      </c>
      <c r="G23" s="10">
        <f t="shared" si="3"/>
        <v>15.35</v>
      </c>
      <c r="H23" s="7">
        <f>'[3]Production Summary'!G83</f>
        <v>0</v>
      </c>
      <c r="I23" s="8">
        <f t="shared" si="4"/>
        <v>0</v>
      </c>
      <c r="J23" s="10">
        <f t="shared" si="5"/>
        <v>0</v>
      </c>
      <c r="K23" s="7">
        <f>'[3]Production Summary'!S83</f>
        <v>459997</v>
      </c>
      <c r="L23" s="8">
        <f t="shared" si="6"/>
        <v>0.45999699999999999</v>
      </c>
      <c r="M23" s="10">
        <f t="shared" si="7"/>
        <v>1.4121907899999999</v>
      </c>
      <c r="N23" s="21"/>
      <c r="O23" s="7">
        <f>'[3]Production Summary'!I83</f>
        <v>6527999.9999999907</v>
      </c>
      <c r="P23" s="8">
        <f t="shared" si="8"/>
        <v>6.5279999999999907</v>
      </c>
      <c r="Q23" s="10">
        <f t="shared" si="9"/>
        <v>20.04095999999997</v>
      </c>
      <c r="R23" s="7">
        <f>'[3]Production Summary'!C83</f>
        <v>6664000</v>
      </c>
      <c r="S23" s="8">
        <f t="shared" si="10"/>
        <v>6.6639999999999997</v>
      </c>
      <c r="T23" s="10">
        <f t="shared" si="11"/>
        <v>20.458479999999998</v>
      </c>
      <c r="U23" s="7">
        <f>'[3]Production Summary'!F83</f>
        <v>0</v>
      </c>
      <c r="V23" s="8">
        <f t="shared" si="12"/>
        <v>0</v>
      </c>
      <c r="W23" s="10">
        <f t="shared" si="13"/>
        <v>0</v>
      </c>
      <c r="X23" s="7">
        <f>'[3]Production Summary'!AA83</f>
        <v>133000.00000000978</v>
      </c>
      <c r="Y23" s="8">
        <f t="shared" si="14"/>
        <v>0.13300000000000978</v>
      </c>
      <c r="Z23" s="10">
        <f t="shared" si="15"/>
        <v>0.40831000000002998</v>
      </c>
      <c r="AA23" s="15"/>
      <c r="AB23" s="7">
        <f t="shared" si="16"/>
        <v>13048000.000000428</v>
      </c>
      <c r="AC23" s="8">
        <f t="shared" si="16"/>
        <v>13.048000000000428</v>
      </c>
      <c r="AD23" s="8">
        <f t="shared" si="16"/>
        <v>40.05736000000131</v>
      </c>
      <c r="AF23" s="8">
        <f t="shared" si="18"/>
        <v>9.2099999999981086E-3</v>
      </c>
    </row>
    <row r="24" spans="1:32" x14ac:dyDescent="0.2">
      <c r="A24" s="27">
        <v>43179</v>
      </c>
      <c r="B24" s="7">
        <f>'[3]Production Summary'!J84</f>
        <v>4579999.9999999274</v>
      </c>
      <c r="C24" s="8">
        <f t="shared" si="1"/>
        <v>4.5799999999999272</v>
      </c>
      <c r="D24" s="10">
        <f t="shared" si="0"/>
        <v>14.060599999999775</v>
      </c>
      <c r="E24" s="7">
        <f>'[3]Production Summary'!E84</f>
        <v>6000000</v>
      </c>
      <c r="F24" s="8">
        <f t="shared" si="2"/>
        <v>6</v>
      </c>
      <c r="G24" s="10">
        <f t="shared" si="3"/>
        <v>18.419999999999998</v>
      </c>
      <c r="H24" s="7">
        <f>'[3]Production Summary'!G84</f>
        <v>0</v>
      </c>
      <c r="I24" s="8">
        <f t="shared" si="4"/>
        <v>0</v>
      </c>
      <c r="J24" s="10">
        <f t="shared" si="5"/>
        <v>0</v>
      </c>
      <c r="K24" s="7">
        <f>'[3]Production Summary'!S84</f>
        <v>487319</v>
      </c>
      <c r="L24" s="8">
        <f t="shared" si="6"/>
        <v>0.487319</v>
      </c>
      <c r="M24" s="10">
        <f t="shared" si="7"/>
        <v>1.4960693299999999</v>
      </c>
      <c r="N24" s="21"/>
      <c r="O24" s="7">
        <f>'[3]Production Summary'!I84</f>
        <v>6115999.9999999953</v>
      </c>
      <c r="P24" s="8">
        <f t="shared" si="8"/>
        <v>6.1159999999999952</v>
      </c>
      <c r="Q24" s="10">
        <f t="shared" si="9"/>
        <v>18.776119999999985</v>
      </c>
      <c r="R24" s="7">
        <f>'[3]Production Summary'!C84</f>
        <v>6251000</v>
      </c>
      <c r="S24" s="8">
        <f t="shared" si="10"/>
        <v>6.2510000000000003</v>
      </c>
      <c r="T24" s="10">
        <f t="shared" si="11"/>
        <v>19.190570000000001</v>
      </c>
      <c r="U24" s="7">
        <f>'[3]Production Summary'!F84</f>
        <v>0</v>
      </c>
      <c r="V24" s="8">
        <f t="shared" si="12"/>
        <v>0</v>
      </c>
      <c r="W24" s="10">
        <f t="shared" si="13"/>
        <v>0</v>
      </c>
      <c r="X24" s="7">
        <f>'[3]Production Summary'!AA84</f>
        <v>132000.00000000501</v>
      </c>
      <c r="Y24" s="8">
        <f t="shared" si="14"/>
        <v>0.132000000000005</v>
      </c>
      <c r="Z24" s="10">
        <f t="shared" si="15"/>
        <v>0.40524000000001531</v>
      </c>
      <c r="AA24" s="15"/>
      <c r="AB24" s="7">
        <f t="shared" si="16"/>
        <v>10695999.999999922</v>
      </c>
      <c r="AC24" s="8">
        <f t="shared" si="16"/>
        <v>10.695999999999923</v>
      </c>
      <c r="AD24" s="8">
        <f>D24+Q24</f>
        <v>32.836719999999758</v>
      </c>
      <c r="AF24" s="8">
        <f t="shared" si="18"/>
        <v>9.2100000000011062E-3</v>
      </c>
    </row>
    <row r="25" spans="1:32" x14ac:dyDescent="0.2">
      <c r="A25" s="27">
        <v>43180</v>
      </c>
      <c r="B25" s="7">
        <f>'[3]Production Summary'!J85</f>
        <v>4899999.9999996359</v>
      </c>
      <c r="C25" s="8">
        <f t="shared" si="1"/>
        <v>4.8999999999996362</v>
      </c>
      <c r="D25" s="10">
        <f t="shared" si="0"/>
        <v>15.042999999998882</v>
      </c>
      <c r="E25" s="7">
        <f>'[3]Production Summary'!E85</f>
        <v>5000000</v>
      </c>
      <c r="F25" s="8">
        <f t="shared" si="2"/>
        <v>5</v>
      </c>
      <c r="G25" s="10">
        <f t="shared" si="3"/>
        <v>15.35</v>
      </c>
      <c r="H25" s="7">
        <f>'[3]Production Summary'!G85</f>
        <v>0</v>
      </c>
      <c r="I25" s="8">
        <f t="shared" si="4"/>
        <v>0</v>
      </c>
      <c r="J25" s="10">
        <f t="shared" si="5"/>
        <v>0</v>
      </c>
      <c r="K25" s="7">
        <f>'[3]Production Summary'!S85</f>
        <v>514415</v>
      </c>
      <c r="L25" s="8">
        <f t="shared" si="6"/>
        <v>0.51441499999999996</v>
      </c>
      <c r="M25" s="10">
        <f t="shared" si="7"/>
        <v>1.5792540499999999</v>
      </c>
      <c r="N25" s="21"/>
      <c r="O25" s="7">
        <f>'[3]Production Summary'!I85</f>
        <v>4686999.9999999925</v>
      </c>
      <c r="P25" s="8">
        <f t="shared" si="8"/>
        <v>4.6869999999999923</v>
      </c>
      <c r="Q25" s="10">
        <f t="shared" si="9"/>
        <v>14.389089999999976</v>
      </c>
      <c r="R25" s="7">
        <f>'[3]Production Summary'!C85</f>
        <v>4890000</v>
      </c>
      <c r="S25" s="8">
        <f t="shared" si="10"/>
        <v>4.8899999999999997</v>
      </c>
      <c r="T25" s="10">
        <f t="shared" si="11"/>
        <v>15.012299999999998</v>
      </c>
      <c r="U25" s="7">
        <f>'[3]Production Summary'!F85</f>
        <v>0</v>
      </c>
      <c r="V25" s="8">
        <f t="shared" si="12"/>
        <v>0</v>
      </c>
      <c r="W25" s="10">
        <f t="shared" si="13"/>
        <v>0</v>
      </c>
      <c r="X25" s="7">
        <f>'[3]Production Summary'!AA85</f>
        <v>198000.00000000751</v>
      </c>
      <c r="Y25" s="8">
        <f t="shared" si="14"/>
        <v>0.1980000000000075</v>
      </c>
      <c r="Z25" s="10">
        <f t="shared" si="15"/>
        <v>0.60786000000002305</v>
      </c>
      <c r="AA25" s="15"/>
      <c r="AB25" s="7">
        <f t="shared" si="16"/>
        <v>9586999.9999996275</v>
      </c>
      <c r="AC25" s="8">
        <f t="shared" si="16"/>
        <v>9.5869999999996285</v>
      </c>
      <c r="AD25" s="8">
        <f t="shared" si="16"/>
        <v>29.432089999998858</v>
      </c>
      <c r="AF25" s="8">
        <f t="shared" si="18"/>
        <v>1.5349999999998531E-2</v>
      </c>
    </row>
    <row r="26" spans="1:32" x14ac:dyDescent="0.2">
      <c r="A26" s="27">
        <v>43181</v>
      </c>
      <c r="B26" s="7">
        <f>'[3]Production Summary'!J86</f>
        <v>5010000.0000002179</v>
      </c>
      <c r="C26" s="8">
        <f t="shared" si="1"/>
        <v>5.0100000000002183</v>
      </c>
      <c r="D26" s="10">
        <f t="shared" si="0"/>
        <v>15.380700000000669</v>
      </c>
      <c r="E26" s="7">
        <f>'[3]Production Summary'!E86</f>
        <v>5000000</v>
      </c>
      <c r="F26" s="8">
        <f t="shared" si="2"/>
        <v>5</v>
      </c>
      <c r="G26" s="10">
        <f t="shared" si="3"/>
        <v>15.35</v>
      </c>
      <c r="H26" s="7">
        <f>'[3]Production Summary'!G86</f>
        <v>0</v>
      </c>
      <c r="I26" s="8">
        <f t="shared" si="4"/>
        <v>0</v>
      </c>
      <c r="J26" s="10">
        <f t="shared" si="5"/>
        <v>0</v>
      </c>
      <c r="K26" s="7">
        <f>'[3]Production Summary'!S86</f>
        <v>615135</v>
      </c>
      <c r="L26" s="8">
        <f t="shared" si="6"/>
        <v>0.61513499999999999</v>
      </c>
      <c r="M26" s="10">
        <f t="shared" si="7"/>
        <v>1.8884644499999999</v>
      </c>
      <c r="N26" s="21"/>
      <c r="O26" s="7">
        <f>'[3]Production Summary'!I86</f>
        <v>4857000.0000000186</v>
      </c>
      <c r="P26" s="8">
        <f t="shared" si="8"/>
        <v>4.8570000000000189</v>
      </c>
      <c r="Q26" s="10">
        <f t="shared" si="9"/>
        <v>14.910990000000057</v>
      </c>
      <c r="R26" s="7">
        <f>'[3]Production Summary'!C86</f>
        <v>4993000</v>
      </c>
      <c r="S26" s="8">
        <f t="shared" si="10"/>
        <v>4.9930000000000003</v>
      </c>
      <c r="T26" s="10">
        <f t="shared" si="11"/>
        <v>15.32851</v>
      </c>
      <c r="U26" s="7">
        <f>'[3]Production Summary'!F86</f>
        <v>0</v>
      </c>
      <c r="V26" s="8">
        <f t="shared" si="12"/>
        <v>0</v>
      </c>
      <c r="W26" s="10">
        <f t="shared" si="13"/>
        <v>0</v>
      </c>
      <c r="X26" s="7">
        <f>'[3]Production Summary'!AA86</f>
        <v>132999.99999998134</v>
      </c>
      <c r="Y26" s="8">
        <f t="shared" si="14"/>
        <v>0.13299999999998136</v>
      </c>
      <c r="Z26" s="10">
        <f t="shared" si="15"/>
        <v>0.40830999999994272</v>
      </c>
      <c r="AA26" s="15"/>
      <c r="AB26" s="7">
        <f t="shared" si="16"/>
        <v>9867000.0000002366</v>
      </c>
      <c r="AC26" s="8">
        <f t="shared" si="16"/>
        <v>9.8670000000002371</v>
      </c>
      <c r="AD26" s="8">
        <f t="shared" si="16"/>
        <v>30.291690000000727</v>
      </c>
      <c r="AF26" s="8">
        <f t="shared" si="18"/>
        <v>9.210000000000107E-3</v>
      </c>
    </row>
    <row r="27" spans="1:32" x14ac:dyDescent="0.2">
      <c r="A27" s="27">
        <v>43182</v>
      </c>
      <c r="B27" s="7">
        <f>'[3]Production Summary'!J87</f>
        <v>6149999.9999996359</v>
      </c>
      <c r="C27" s="8">
        <f t="shared" si="1"/>
        <v>6.1499999999996362</v>
      </c>
      <c r="D27" s="10">
        <f t="shared" si="0"/>
        <v>18.880499999998882</v>
      </c>
      <c r="E27" s="7">
        <f>'[3]Production Summary'!E87</f>
        <v>7000000</v>
      </c>
      <c r="F27" s="8">
        <f t="shared" si="2"/>
        <v>7</v>
      </c>
      <c r="G27" s="10">
        <f t="shared" si="3"/>
        <v>21.49</v>
      </c>
      <c r="H27" s="7">
        <f>'[3]Production Summary'!G87</f>
        <v>0</v>
      </c>
      <c r="I27" s="8">
        <f t="shared" si="4"/>
        <v>0</v>
      </c>
      <c r="J27" s="10">
        <f t="shared" si="5"/>
        <v>0</v>
      </c>
      <c r="K27" s="7">
        <f>'[3]Production Summary'!S87</f>
        <v>765324</v>
      </c>
      <c r="L27" s="8">
        <f t="shared" si="6"/>
        <v>0.765324</v>
      </c>
      <c r="M27" s="10">
        <f t="shared" si="7"/>
        <v>2.3495446799999997</v>
      </c>
      <c r="N27" s="21"/>
      <c r="O27" s="7">
        <f>'[3]Production Summary'!I87</f>
        <v>4798999.9999999879</v>
      </c>
      <c r="P27" s="8">
        <f t="shared" si="8"/>
        <v>4.7989999999999879</v>
      </c>
      <c r="Q27" s="10">
        <f t="shared" si="9"/>
        <v>14.732929999999962</v>
      </c>
      <c r="R27" s="7">
        <f>'[3]Production Summary'!C87</f>
        <v>5003000</v>
      </c>
      <c r="S27" s="8">
        <f t="shared" si="10"/>
        <v>5.0030000000000001</v>
      </c>
      <c r="T27" s="10">
        <f t="shared" si="11"/>
        <v>15.359209999999999</v>
      </c>
      <c r="U27" s="7">
        <f>'[3]Production Summary'!F87</f>
        <v>0</v>
      </c>
      <c r="V27" s="8">
        <f t="shared" si="12"/>
        <v>0</v>
      </c>
      <c r="W27" s="10">
        <f t="shared" si="13"/>
        <v>0</v>
      </c>
      <c r="X27" s="7">
        <f>'[3]Production Summary'!AA87</f>
        <v>199000.00000001228</v>
      </c>
      <c r="Y27" s="8">
        <f t="shared" si="14"/>
        <v>0.19900000000001228</v>
      </c>
      <c r="Z27" s="10">
        <f t="shared" si="15"/>
        <v>0.61093000000003761</v>
      </c>
      <c r="AA27" s="15"/>
      <c r="AB27" s="7">
        <f t="shared" si="16"/>
        <v>10948999.999999624</v>
      </c>
      <c r="AC27" s="8">
        <f t="shared" si="16"/>
        <v>10.948999999999625</v>
      </c>
      <c r="AD27" s="8">
        <f t="shared" si="16"/>
        <v>33.613429999998843</v>
      </c>
      <c r="AF27" s="8">
        <f t="shared" si="18"/>
        <v>1.5349999999999198E-2</v>
      </c>
    </row>
    <row r="28" spans="1:32" x14ac:dyDescent="0.2">
      <c r="A28" s="27">
        <v>43183</v>
      </c>
      <c r="B28" s="7">
        <f>'[3]Production Summary'!J88</f>
        <v>5810000.0000004005</v>
      </c>
      <c r="C28" s="8">
        <f t="shared" si="1"/>
        <v>5.8100000000004002</v>
      </c>
      <c r="D28" s="10">
        <f t="shared" si="0"/>
        <v>17.836700000001226</v>
      </c>
      <c r="E28" s="7">
        <f>'[3]Production Summary'!E88</f>
        <v>7000000</v>
      </c>
      <c r="F28" s="8">
        <f t="shared" si="2"/>
        <v>7</v>
      </c>
      <c r="G28" s="10">
        <f t="shared" si="3"/>
        <v>21.49</v>
      </c>
      <c r="H28" s="7">
        <f>'[3]Production Summary'!G88</f>
        <v>0</v>
      </c>
      <c r="I28" s="8">
        <f t="shared" si="4"/>
        <v>0</v>
      </c>
      <c r="J28" s="10">
        <f t="shared" si="5"/>
        <v>0</v>
      </c>
      <c r="K28" s="7">
        <f>'[3]Production Summary'!S88</f>
        <v>633286</v>
      </c>
      <c r="L28" s="8">
        <f t="shared" si="6"/>
        <v>0.63328600000000002</v>
      </c>
      <c r="M28" s="10">
        <f t="shared" si="7"/>
        <v>1.9441880199999999</v>
      </c>
      <c r="N28" s="21"/>
      <c r="O28" s="7">
        <f>'[3]Production Summary'!I88</f>
        <v>5269999.9999999953</v>
      </c>
      <c r="P28" s="8">
        <f t="shared" si="8"/>
        <v>5.2699999999999951</v>
      </c>
      <c r="Q28" s="10">
        <f t="shared" si="9"/>
        <v>16.178899999999985</v>
      </c>
      <c r="R28" s="7">
        <f>'[3]Production Summary'!C88</f>
        <v>5405000</v>
      </c>
      <c r="S28" s="8">
        <f t="shared" si="10"/>
        <v>5.4050000000000002</v>
      </c>
      <c r="T28" s="10">
        <f t="shared" si="11"/>
        <v>16.593350000000001</v>
      </c>
      <c r="U28" s="7">
        <f>'[3]Production Summary'!F88</f>
        <v>0</v>
      </c>
      <c r="V28" s="8">
        <f t="shared" si="12"/>
        <v>0</v>
      </c>
      <c r="W28" s="10">
        <f t="shared" si="13"/>
        <v>0</v>
      </c>
      <c r="X28" s="7">
        <f>'[3]Production Summary'!AA88</f>
        <v>132000.00000000501</v>
      </c>
      <c r="Y28" s="8">
        <f t="shared" si="14"/>
        <v>0.132000000000005</v>
      </c>
      <c r="Z28" s="10">
        <f t="shared" si="15"/>
        <v>0.40524000000001531</v>
      </c>
      <c r="AA28" s="15"/>
      <c r="AB28" s="7">
        <f t="shared" si="16"/>
        <v>11080000.000000395</v>
      </c>
      <c r="AC28" s="8">
        <f t="shared" si="16"/>
        <v>11.080000000000396</v>
      </c>
      <c r="AD28" s="8">
        <f t="shared" si="16"/>
        <v>34.015600000001214</v>
      </c>
      <c r="AF28" s="8">
        <f t="shared" si="18"/>
        <v>9.2100000000011062E-3</v>
      </c>
    </row>
    <row r="29" spans="1:32" x14ac:dyDescent="0.2">
      <c r="A29" s="27">
        <v>43184</v>
      </c>
      <c r="B29" s="7">
        <f>'[3]Production Summary'!J89</f>
        <v>5920000.0000000726</v>
      </c>
      <c r="C29" s="8">
        <f t="shared" si="1"/>
        <v>5.9200000000000728</v>
      </c>
      <c r="D29" s="10">
        <f t="shared" si="0"/>
        <v>18.174400000000222</v>
      </c>
      <c r="E29" s="7">
        <f>'[3]Production Summary'!E89</f>
        <v>6000000</v>
      </c>
      <c r="F29" s="8">
        <f t="shared" si="2"/>
        <v>6</v>
      </c>
      <c r="G29" s="10">
        <f t="shared" si="3"/>
        <v>18.419999999999998</v>
      </c>
      <c r="H29" s="7">
        <f>'[3]Production Summary'!G89</f>
        <v>10000</v>
      </c>
      <c r="I29" s="8">
        <f t="shared" si="4"/>
        <v>0.01</v>
      </c>
      <c r="J29" s="10">
        <f t="shared" si="5"/>
        <v>3.0699999999999998E-2</v>
      </c>
      <c r="K29" s="7">
        <f>'[3]Production Summary'!S89</f>
        <v>600589</v>
      </c>
      <c r="L29" s="8">
        <f t="shared" si="6"/>
        <v>0.60058900000000004</v>
      </c>
      <c r="M29" s="10">
        <f t="shared" si="7"/>
        <v>1.84380823</v>
      </c>
      <c r="N29" s="21"/>
      <c r="O29" s="7">
        <f>'[3]Production Summary'!I89</f>
        <v>5893000.0000000186</v>
      </c>
      <c r="P29" s="8">
        <f t="shared" si="8"/>
        <v>5.8930000000000184</v>
      </c>
      <c r="Q29" s="10">
        <f t="shared" si="9"/>
        <v>18.091510000000056</v>
      </c>
      <c r="R29" s="7">
        <f>'[3]Production Summary'!C89</f>
        <v>6029000</v>
      </c>
      <c r="S29" s="8">
        <f t="shared" si="10"/>
        <v>6.0289999999999999</v>
      </c>
      <c r="T29" s="10">
        <f t="shared" si="11"/>
        <v>18.509029999999999</v>
      </c>
      <c r="U29" s="7">
        <f>'[3]Production Summary'!F89</f>
        <v>0</v>
      </c>
      <c r="V29" s="8">
        <f t="shared" si="12"/>
        <v>0</v>
      </c>
      <c r="W29" s="10">
        <f t="shared" si="13"/>
        <v>0</v>
      </c>
      <c r="X29" s="7">
        <f>'[3]Production Summary'!AA89</f>
        <v>132999.99999998134</v>
      </c>
      <c r="Y29" s="8">
        <f t="shared" si="14"/>
        <v>0.13299999999998136</v>
      </c>
      <c r="Z29" s="10">
        <f t="shared" si="15"/>
        <v>0.40830999999994272</v>
      </c>
      <c r="AA29" s="15"/>
      <c r="AB29" s="7">
        <f t="shared" si="16"/>
        <v>11813000.000000091</v>
      </c>
      <c r="AC29" s="8">
        <f t="shared" si="16"/>
        <v>11.813000000000091</v>
      </c>
      <c r="AD29" s="8">
        <f t="shared" si="16"/>
        <v>36.265910000000275</v>
      </c>
      <c r="AF29" s="8">
        <f t="shared" si="18"/>
        <v>9.210000000000107E-3</v>
      </c>
    </row>
    <row r="30" spans="1:32" x14ac:dyDescent="0.2">
      <c r="A30" s="27">
        <v>43185</v>
      </c>
      <c r="B30" s="7">
        <f>'[3]Production Summary'!J90</f>
        <v>4299999.9999992726</v>
      </c>
      <c r="C30" s="8">
        <f t="shared" si="1"/>
        <v>4.2999999999992724</v>
      </c>
      <c r="D30" s="10">
        <f t="shared" si="0"/>
        <v>13.200999999997766</v>
      </c>
      <c r="E30" s="7">
        <f>'[3]Production Summary'!E90</f>
        <v>6000000</v>
      </c>
      <c r="F30" s="8">
        <f t="shared" si="2"/>
        <v>6</v>
      </c>
      <c r="G30" s="10">
        <f t="shared" si="3"/>
        <v>18.419999999999998</v>
      </c>
      <c r="H30" s="7">
        <f>'[3]Production Summary'!G90</f>
        <v>0</v>
      </c>
      <c r="I30" s="8">
        <f t="shared" si="4"/>
        <v>0</v>
      </c>
      <c r="J30" s="10">
        <f t="shared" si="5"/>
        <v>0</v>
      </c>
      <c r="K30" s="7">
        <f>'[3]Production Summary'!S90</f>
        <v>745223</v>
      </c>
      <c r="L30" s="8">
        <f t="shared" si="6"/>
        <v>0.74522299999999997</v>
      </c>
      <c r="M30" s="10">
        <f t="shared" si="7"/>
        <v>2.28783461</v>
      </c>
      <c r="N30" s="21"/>
      <c r="O30" s="7">
        <f>'[3]Production Summary'!I90</f>
        <v>5770999.9999999972</v>
      </c>
      <c r="P30" s="8">
        <f t="shared" si="8"/>
        <v>5.7709999999999972</v>
      </c>
      <c r="Q30" s="10">
        <f t="shared" si="9"/>
        <v>17.716969999999989</v>
      </c>
      <c r="R30" s="7">
        <f>'[3]Production Summary'!C90</f>
        <v>5839000</v>
      </c>
      <c r="S30" s="8">
        <f t="shared" si="10"/>
        <v>5.8390000000000004</v>
      </c>
      <c r="T30" s="10">
        <f t="shared" si="11"/>
        <v>17.925730000000001</v>
      </c>
      <c r="U30" s="7">
        <f>'[3]Production Summary'!F90</f>
        <v>0</v>
      </c>
      <c r="V30" s="8">
        <f t="shared" si="12"/>
        <v>0</v>
      </c>
      <c r="W30" s="10">
        <f t="shared" si="13"/>
        <v>0</v>
      </c>
      <c r="X30" s="7">
        <f>'[3]Production Summary'!AA90</f>
        <v>66000.000000002503</v>
      </c>
      <c r="Y30" s="8">
        <f t="shared" si="14"/>
        <v>6.6000000000002501E-2</v>
      </c>
      <c r="Z30" s="10">
        <f t="shared" si="15"/>
        <v>0.20262000000000766</v>
      </c>
      <c r="AA30" s="15"/>
      <c r="AB30" s="7">
        <f t="shared" si="16"/>
        <v>10070999.99999927</v>
      </c>
      <c r="AC30" s="8">
        <f t="shared" si="16"/>
        <v>10.07099999999927</v>
      </c>
      <c r="AD30" s="8">
        <f>D30+Q30</f>
        <v>30.917969999997755</v>
      </c>
      <c r="AF30" s="8">
        <f t="shared" si="18"/>
        <v>6.140000000004614E-3</v>
      </c>
    </row>
    <row r="31" spans="1:32" x14ac:dyDescent="0.2">
      <c r="A31" s="27">
        <v>43186</v>
      </c>
      <c r="B31" s="7">
        <f>'[3]Production Summary'!J91</f>
        <v>5330000.0000008363</v>
      </c>
      <c r="C31" s="8">
        <f t="shared" si="1"/>
        <v>5.3300000000008367</v>
      </c>
      <c r="D31" s="10">
        <f t="shared" si="0"/>
        <v>16.363100000002568</v>
      </c>
      <c r="E31" s="7">
        <f>'[3]Production Summary'!E91</f>
        <v>6000000</v>
      </c>
      <c r="F31" s="8">
        <f t="shared" si="2"/>
        <v>6</v>
      </c>
      <c r="G31" s="10">
        <f t="shared" si="3"/>
        <v>18.419999999999998</v>
      </c>
      <c r="H31" s="7">
        <f>'[3]Production Summary'!G91</f>
        <v>0</v>
      </c>
      <c r="I31" s="8">
        <f t="shared" si="4"/>
        <v>0</v>
      </c>
      <c r="J31" s="10">
        <f t="shared" si="5"/>
        <v>0</v>
      </c>
      <c r="K31" s="7">
        <f>'[3]Production Summary'!S91</f>
        <v>716434</v>
      </c>
      <c r="L31" s="8">
        <f t="shared" si="6"/>
        <v>0.71643400000000002</v>
      </c>
      <c r="M31" s="10">
        <f t="shared" si="7"/>
        <v>2.1994523799999999</v>
      </c>
      <c r="N31" s="21"/>
      <c r="O31" s="7">
        <f>'[3]Production Summary'!I91</f>
        <v>5348999.9999999879</v>
      </c>
      <c r="P31" s="8">
        <f t="shared" si="8"/>
        <v>5.3489999999999878</v>
      </c>
      <c r="Q31" s="10">
        <f t="shared" si="9"/>
        <v>16.421429999999962</v>
      </c>
      <c r="R31" s="7">
        <f>'[3]Production Summary'!C91</f>
        <v>5553000</v>
      </c>
      <c r="S31" s="8">
        <f t="shared" si="10"/>
        <v>5.5529999999999999</v>
      </c>
      <c r="T31" s="10">
        <f t="shared" si="11"/>
        <v>17.047709999999999</v>
      </c>
      <c r="U31" s="7">
        <f>'[3]Production Summary'!F91</f>
        <v>0</v>
      </c>
      <c r="V31" s="8">
        <f t="shared" si="12"/>
        <v>0</v>
      </c>
      <c r="W31" s="10">
        <f t="shared" si="13"/>
        <v>0</v>
      </c>
      <c r="X31" s="7">
        <f>'[3]Production Summary'!AA91</f>
        <v>199000.00000001228</v>
      </c>
      <c r="Y31" s="8">
        <f t="shared" si="14"/>
        <v>0.19900000000001228</v>
      </c>
      <c r="Z31" s="10">
        <f t="shared" si="15"/>
        <v>0.61093000000003761</v>
      </c>
      <c r="AA31" s="15"/>
      <c r="AB31" s="7">
        <f t="shared" si="16"/>
        <v>10679000.000000823</v>
      </c>
      <c r="AC31" s="8">
        <f t="shared" si="16"/>
        <v>10.679000000000824</v>
      </c>
      <c r="AD31" s="8">
        <f t="shared" si="16"/>
        <v>32.784530000002533</v>
      </c>
      <c r="AF31" s="8">
        <f>T31-Q31-Z31</f>
        <v>1.5349999999999198E-2</v>
      </c>
    </row>
    <row r="32" spans="1:32" x14ac:dyDescent="0.2">
      <c r="A32" s="27">
        <v>43187</v>
      </c>
      <c r="B32" s="7">
        <f>'[3]Production Summary'!J92</f>
        <v>5389999.9999994179</v>
      </c>
      <c r="C32" s="8">
        <f t="shared" si="1"/>
        <v>5.3899999999994179</v>
      </c>
      <c r="D32" s="10">
        <f t="shared" si="0"/>
        <v>16.547299999998213</v>
      </c>
      <c r="E32" s="7">
        <f>'[3]Production Summary'!E92</f>
        <v>6000000</v>
      </c>
      <c r="F32" s="8">
        <f t="shared" si="2"/>
        <v>6</v>
      </c>
      <c r="G32" s="10">
        <f t="shared" si="3"/>
        <v>18.419999999999998</v>
      </c>
      <c r="H32" s="7">
        <f>'[3]Production Summary'!G92</f>
        <v>0</v>
      </c>
      <c r="I32" s="8">
        <f t="shared" si="4"/>
        <v>0</v>
      </c>
      <c r="J32" s="10">
        <f t="shared" si="5"/>
        <v>0</v>
      </c>
      <c r="K32" s="7">
        <f>'[3]Production Summary'!S92</f>
        <v>595502</v>
      </c>
      <c r="L32" s="8">
        <f t="shared" si="6"/>
        <v>0.59550199999999998</v>
      </c>
      <c r="M32" s="10">
        <f t="shared" si="7"/>
        <v>1.8281911399999999</v>
      </c>
      <c r="N32" s="21"/>
      <c r="O32" s="7">
        <f>'[3]Production Summary'!I92</f>
        <v>5191999.9999999953</v>
      </c>
      <c r="P32" s="8">
        <f t="shared" si="8"/>
        <v>5.1919999999999957</v>
      </c>
      <c r="Q32" s="10">
        <f t="shared" si="9"/>
        <v>15.939439999999985</v>
      </c>
      <c r="R32" s="7">
        <f>'[3]Production Summary'!C92</f>
        <v>5327000</v>
      </c>
      <c r="S32" s="8">
        <f t="shared" si="10"/>
        <v>5.327</v>
      </c>
      <c r="T32" s="10">
        <f t="shared" si="11"/>
        <v>16.35389</v>
      </c>
      <c r="U32" s="7">
        <f>'[3]Production Summary'!F92</f>
        <v>0</v>
      </c>
      <c r="V32" s="8">
        <f t="shared" si="12"/>
        <v>0</v>
      </c>
      <c r="W32" s="10">
        <f t="shared" si="13"/>
        <v>0</v>
      </c>
      <c r="X32" s="7">
        <f>'[3]Production Summary'!AA92</f>
        <v>132000.00000000501</v>
      </c>
      <c r="Y32" s="8">
        <f t="shared" si="14"/>
        <v>0.132000000000005</v>
      </c>
      <c r="Z32" s="10">
        <f t="shared" si="15"/>
        <v>0.40524000000001531</v>
      </c>
      <c r="AA32" s="15"/>
      <c r="AB32" s="7">
        <f t="shared" si="16"/>
        <v>10581999.999999413</v>
      </c>
      <c r="AC32" s="8">
        <f t="shared" si="16"/>
        <v>10.581999999999415</v>
      </c>
      <c r="AD32" s="8">
        <f t="shared" si="16"/>
        <v>32.4867399999982</v>
      </c>
      <c r="AF32" s="8">
        <f t="shared" si="18"/>
        <v>9.2099999999993298E-3</v>
      </c>
    </row>
    <row r="33" spans="1:32" x14ac:dyDescent="0.2">
      <c r="A33" s="27">
        <v>43188</v>
      </c>
      <c r="B33" s="7">
        <f>'[3]Production Summary'!J93</f>
        <v>5250000</v>
      </c>
      <c r="C33" s="8">
        <f t="shared" si="1"/>
        <v>5.25</v>
      </c>
      <c r="D33" s="10">
        <f t="shared" si="0"/>
        <v>16.1175</v>
      </c>
      <c r="E33" s="7">
        <f>'[3]Production Summary'!E93</f>
        <v>6000000</v>
      </c>
      <c r="F33" s="8">
        <f t="shared" si="2"/>
        <v>6</v>
      </c>
      <c r="G33" s="10">
        <f t="shared" si="3"/>
        <v>18.419999999999998</v>
      </c>
      <c r="H33" s="7">
        <f>'[3]Production Summary'!G93</f>
        <v>10000</v>
      </c>
      <c r="I33" s="8">
        <f t="shared" si="4"/>
        <v>0.01</v>
      </c>
      <c r="J33" s="10">
        <f t="shared" si="5"/>
        <v>3.0699999999999998E-2</v>
      </c>
      <c r="K33" s="7">
        <f>'[3]Production Summary'!S93</f>
        <v>514797</v>
      </c>
      <c r="L33" s="8">
        <f t="shared" si="6"/>
        <v>0.51479699999999995</v>
      </c>
      <c r="M33" s="10">
        <f t="shared" si="7"/>
        <v>1.5804267899999997</v>
      </c>
      <c r="N33" s="21"/>
      <c r="O33" s="7">
        <f>'[3]Production Summary'!I93</f>
        <v>5063000.0000000233</v>
      </c>
      <c r="P33" s="8">
        <f t="shared" si="8"/>
        <v>5.0630000000000237</v>
      </c>
      <c r="Q33" s="10">
        <f t="shared" si="9"/>
        <v>15.543410000000073</v>
      </c>
      <c r="R33" s="7">
        <f>'[3]Production Summary'!C93</f>
        <v>5198000</v>
      </c>
      <c r="S33" s="8">
        <f t="shared" si="10"/>
        <v>5.1980000000000004</v>
      </c>
      <c r="T33" s="10">
        <f t="shared" si="11"/>
        <v>15.95786</v>
      </c>
      <c r="U33" s="7">
        <f>'[3]Production Summary'!F93</f>
        <v>0</v>
      </c>
      <c r="V33" s="8">
        <f t="shared" si="12"/>
        <v>0</v>
      </c>
      <c r="W33" s="10">
        <f t="shared" si="13"/>
        <v>0</v>
      </c>
      <c r="X33" s="7">
        <f>'[3]Production Summary'!AA93</f>
        <v>131999.99999997657</v>
      </c>
      <c r="Y33" s="8">
        <f t="shared" si="14"/>
        <v>0.13199999999997658</v>
      </c>
      <c r="Z33" s="10">
        <f t="shared" si="15"/>
        <v>0.4052399999999281</v>
      </c>
      <c r="AA33" s="15"/>
      <c r="AB33" s="7">
        <f t="shared" si="16"/>
        <v>10313000.000000022</v>
      </c>
      <c r="AC33" s="8">
        <f t="shared" si="16"/>
        <v>10.313000000000024</v>
      </c>
      <c r="AD33" s="8">
        <f t="shared" si="16"/>
        <v>31.660910000000072</v>
      </c>
      <c r="AF33" s="8">
        <f t="shared" si="18"/>
        <v>9.2099999999994964E-3</v>
      </c>
    </row>
    <row r="34" spans="1:32" x14ac:dyDescent="0.2">
      <c r="A34" s="27">
        <v>43189</v>
      </c>
      <c r="B34" s="7">
        <f>'[3]Production Summary'!J94</f>
        <v>5860000.0000005821</v>
      </c>
      <c r="C34" s="8">
        <f t="shared" si="1"/>
        <v>5.8600000000005821</v>
      </c>
      <c r="D34" s="10">
        <f t="shared" si="0"/>
        <v>17.990200000001785</v>
      </c>
      <c r="E34" s="7">
        <f>'[3]Production Summary'!E94</f>
        <v>5000000</v>
      </c>
      <c r="F34" s="8">
        <f t="shared" si="2"/>
        <v>5</v>
      </c>
      <c r="G34" s="10">
        <f t="shared" si="3"/>
        <v>15.35</v>
      </c>
      <c r="H34" s="7">
        <f>'[3]Production Summary'!G94</f>
        <v>0</v>
      </c>
      <c r="I34" s="8">
        <f t="shared" si="4"/>
        <v>0</v>
      </c>
      <c r="J34" s="10">
        <f t="shared" si="5"/>
        <v>0</v>
      </c>
      <c r="K34" s="7">
        <f>'[3]Production Summary'!S94</f>
        <v>409626</v>
      </c>
      <c r="L34" s="8">
        <f t="shared" si="6"/>
        <v>0.40962599999999999</v>
      </c>
      <c r="M34" s="10">
        <f t="shared" si="7"/>
        <v>1.25755182</v>
      </c>
      <c r="N34" s="21"/>
      <c r="O34" s="7">
        <f>'[3]Production Summary'!I94</f>
        <v>4684999.9999999953</v>
      </c>
      <c r="P34" s="8">
        <f t="shared" si="8"/>
        <v>4.6849999999999952</v>
      </c>
      <c r="Q34" s="10">
        <f t="shared" si="9"/>
        <v>14.382949999999985</v>
      </c>
      <c r="R34" s="7">
        <f>'[3]Production Summary'!C94</f>
        <v>4821000</v>
      </c>
      <c r="S34" s="8">
        <f t="shared" si="10"/>
        <v>4.8209999999999997</v>
      </c>
      <c r="T34" s="10">
        <f t="shared" si="11"/>
        <v>14.800469999999999</v>
      </c>
      <c r="U34" s="7">
        <f>'[3]Production Summary'!F94</f>
        <v>0</v>
      </c>
      <c r="V34" s="8">
        <f t="shared" si="12"/>
        <v>0</v>
      </c>
      <c r="W34" s="10">
        <f t="shared" si="13"/>
        <v>0</v>
      </c>
      <c r="X34" s="7">
        <f>'[3]Production Summary'!AA94</f>
        <v>132000.00000000501</v>
      </c>
      <c r="Y34" s="8">
        <f t="shared" si="14"/>
        <v>0.132000000000005</v>
      </c>
      <c r="Z34" s="10">
        <f t="shared" si="15"/>
        <v>0.40524000000001531</v>
      </c>
      <c r="AA34" s="15"/>
      <c r="AB34" s="7">
        <f t="shared" si="16"/>
        <v>10545000.000000577</v>
      </c>
      <c r="AC34" s="8">
        <f t="shared" si="16"/>
        <v>10.545000000000577</v>
      </c>
      <c r="AD34" s="8">
        <f t="shared" si="16"/>
        <v>32.373150000001772</v>
      </c>
      <c r="AF34" s="8">
        <f t="shared" si="18"/>
        <v>1.227999999999857E-2</v>
      </c>
    </row>
    <row r="35" spans="1:32" ht="13.5" thickBot="1" x14ac:dyDescent="0.25">
      <c r="A35" s="27">
        <v>43190</v>
      </c>
      <c r="B35" s="7">
        <f>'[3]Production Summary'!J95</f>
        <v>5969999.9999993453</v>
      </c>
      <c r="C35" s="8">
        <f t="shared" si="1"/>
        <v>5.9699999999993452</v>
      </c>
      <c r="D35" s="10">
        <f t="shared" si="0"/>
        <v>18.327899999997989</v>
      </c>
      <c r="E35" s="7">
        <f>'[3]Production Summary'!E95</f>
        <v>7000000</v>
      </c>
      <c r="F35" s="8">
        <f t="shared" si="2"/>
        <v>7</v>
      </c>
      <c r="G35" s="10">
        <f t="shared" si="3"/>
        <v>21.49</v>
      </c>
      <c r="H35" s="7">
        <f>'[3]Production Summary'!G95</f>
        <v>0</v>
      </c>
      <c r="I35" s="8">
        <f t="shared" si="4"/>
        <v>0</v>
      </c>
      <c r="J35" s="10">
        <f t="shared" si="5"/>
        <v>0</v>
      </c>
      <c r="K35" s="7">
        <f>'[3]Production Summary'!S95</f>
        <v>494492</v>
      </c>
      <c r="L35" s="8">
        <f t="shared" si="6"/>
        <v>0.49449199999999999</v>
      </c>
      <c r="M35" s="10">
        <f t="shared" si="7"/>
        <v>1.5180904399999999</v>
      </c>
      <c r="N35" s="21"/>
      <c r="O35" s="7">
        <f>'[3]Production Summary'!I95</f>
        <v>4977999.9999999925</v>
      </c>
      <c r="P35" s="8">
        <f t="shared" si="8"/>
        <v>4.9779999999999927</v>
      </c>
      <c r="Q35" s="10">
        <f t="shared" si="9"/>
        <v>15.282459999999977</v>
      </c>
      <c r="R35" s="7">
        <f>'[3]Production Summary'!C95</f>
        <v>5046000</v>
      </c>
      <c r="S35" s="8">
        <f t="shared" si="10"/>
        <v>5.0460000000000003</v>
      </c>
      <c r="T35" s="10">
        <f t="shared" si="11"/>
        <v>15.49122</v>
      </c>
      <c r="U35" s="7">
        <f>'[3]Production Summary'!F95</f>
        <v>0</v>
      </c>
      <c r="V35" s="8">
        <f t="shared" si="12"/>
        <v>0</v>
      </c>
      <c r="W35" s="10">
        <f t="shared" si="13"/>
        <v>0</v>
      </c>
      <c r="X35" s="7">
        <f>'[3]Production Summary'!AA95</f>
        <v>67000.000000007276</v>
      </c>
      <c r="Y35" s="8">
        <f t="shared" si="14"/>
        <v>6.7000000000007276E-2</v>
      </c>
      <c r="Z35" s="10">
        <f t="shared" si="15"/>
        <v>0.20569000000002233</v>
      </c>
      <c r="AA35" s="15"/>
      <c r="AB35" s="7">
        <f t="shared" si="16"/>
        <v>10947999.999999337</v>
      </c>
      <c r="AC35" s="8">
        <f t="shared" si="16"/>
        <v>10.947999999999338</v>
      </c>
      <c r="AD35" s="8">
        <f t="shared" si="16"/>
        <v>33.610359999997968</v>
      </c>
      <c r="AF35" s="8">
        <f t="shared" si="18"/>
        <v>3.0700000000006E-3</v>
      </c>
    </row>
    <row r="36" spans="1:32" ht="13.5" thickBot="1" x14ac:dyDescent="0.25">
      <c r="A36" s="14"/>
      <c r="B36" s="37"/>
      <c r="C36" s="38">
        <f>SUM(C5:C35)</f>
        <v>76.989999999999782</v>
      </c>
      <c r="D36" s="38">
        <f t="shared" ref="D36:J36" si="19">SUM(D5:D35)</f>
        <v>236.35929999999931</v>
      </c>
      <c r="E36" s="37"/>
      <c r="F36" s="38">
        <f t="shared" si="19"/>
        <v>139</v>
      </c>
      <c r="G36" s="38">
        <f t="shared" si="19"/>
        <v>426.73</v>
      </c>
      <c r="H36" s="37"/>
      <c r="I36" s="38">
        <f t="shared" si="19"/>
        <v>0.02</v>
      </c>
      <c r="J36" s="38">
        <f t="shared" si="19"/>
        <v>6.1399999999999996E-2</v>
      </c>
      <c r="K36" s="37"/>
      <c r="L36" s="38">
        <f>SUM(L5:L35)</f>
        <v>7.9544460000000008</v>
      </c>
      <c r="M36" s="38">
        <f>SUM(M5:M35)</f>
        <v>24.420149219999999</v>
      </c>
      <c r="N36" s="14"/>
      <c r="O36" s="37"/>
      <c r="P36" s="38">
        <f>SUM(P5:P35)</f>
        <v>292.53800000000001</v>
      </c>
      <c r="Q36" s="38">
        <f>SUM(Q5:Q35)</f>
        <v>898.09166000000016</v>
      </c>
      <c r="R36" s="37"/>
      <c r="S36" s="38">
        <f>SUM(S5:S35)</f>
        <v>299.40099999999995</v>
      </c>
      <c r="T36" s="38">
        <f>SUM(T5:T35)</f>
        <v>919.16107000000011</v>
      </c>
      <c r="U36" s="37"/>
      <c r="V36" s="38">
        <f>SUM(V5:V35)</f>
        <v>0</v>
      </c>
      <c r="W36" s="38">
        <f>SUM(W5:W35)</f>
        <v>0</v>
      </c>
      <c r="X36" s="37"/>
      <c r="Y36" s="38">
        <f>SUM(Y5:Y35)</f>
        <v>6.7009999999999934</v>
      </c>
      <c r="Z36" s="38">
        <f>SUM(Z5:Z35)</f>
        <v>20.572069999999986</v>
      </c>
      <c r="AA36" s="14"/>
      <c r="AB36" s="37"/>
      <c r="AC36" s="38">
        <f>SUM(AC5:AC35)</f>
        <v>369.52799999999985</v>
      </c>
      <c r="AD36" s="38">
        <f>AC36*3.07</f>
        <v>1134.4509599999994</v>
      </c>
      <c r="AF36" s="38">
        <f>SUM(AF5:AF35)</f>
        <v>0.49733999999998224</v>
      </c>
    </row>
    <row r="37" spans="1:32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36"/>
  <sheetViews>
    <sheetView workbookViewId="0">
      <pane xSplit="1" ySplit="4" topLeftCell="B29" activePane="bottomRight" state="frozen"/>
      <selection activeCell="D6" sqref="D5:D6"/>
      <selection pane="topRight" activeCell="D6" sqref="D5:D6"/>
      <selection pane="bottomLeft" activeCell="D6" sqref="D5:D6"/>
      <selection pane="bottomRight" activeCell="C23" sqref="C23"/>
    </sheetView>
  </sheetViews>
  <sheetFormatPr defaultRowHeight="12.75" x14ac:dyDescent="0.2"/>
  <cols>
    <col min="2" max="2" width="13.28515625" customWidth="1"/>
    <col min="5" max="5" width="13.28515625" customWidth="1"/>
    <col min="7" max="7" width="9.28515625" bestFit="1" customWidth="1"/>
    <col min="8" max="8" width="15.28515625" customWidth="1"/>
    <col min="9" max="10" width="9.28515625" bestFit="1" customWidth="1"/>
    <col min="11" max="11" width="10.28515625" customWidth="1"/>
    <col min="12" max="12" width="11.7109375" bestFit="1" customWidth="1"/>
    <col min="15" max="15" width="10.7109375" customWidth="1"/>
    <col min="16" max="17" width="9.28515625" bestFit="1" customWidth="1"/>
    <col min="18" max="18" width="10.7109375" customWidth="1"/>
    <col min="19" max="20" width="9.28515625" bestFit="1" customWidth="1"/>
    <col min="21" max="21" width="10.42578125" customWidth="1"/>
    <col min="22" max="22" width="10.7109375" customWidth="1"/>
    <col min="23" max="23" width="9" bestFit="1" customWidth="1"/>
    <col min="24" max="24" width="12.28515625" customWidth="1"/>
    <col min="25" max="26" width="9" bestFit="1" customWidth="1"/>
    <col min="28" max="28" width="13.28515625" customWidth="1"/>
  </cols>
  <sheetData>
    <row r="1" spans="1:30" x14ac:dyDescent="0.2">
      <c r="A1" s="41" t="s">
        <v>17</v>
      </c>
      <c r="B1" s="53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27">
        <v>43191</v>
      </c>
      <c r="B5" s="7">
        <f>'[4]Production Summary'!J6</f>
        <v>9020000.0000004359</v>
      </c>
      <c r="C5" s="8">
        <f>B5/1000000</f>
        <v>9.0200000000004366</v>
      </c>
      <c r="D5" s="10">
        <f>C5*3.07</f>
        <v>27.691400000001337</v>
      </c>
      <c r="E5" s="7">
        <f>'[4]Production Summary'!E6</f>
        <v>10000000</v>
      </c>
      <c r="F5" s="8">
        <f>E5/1000000</f>
        <v>10</v>
      </c>
      <c r="G5" s="10">
        <f>F5*3.07</f>
        <v>30.7</v>
      </c>
      <c r="H5" s="7">
        <f>'[4]Production Summary'!G6</f>
        <v>0</v>
      </c>
      <c r="I5" s="8">
        <f t="shared" ref="I5:I34" si="0">H5/1000000</f>
        <v>0</v>
      </c>
      <c r="J5" s="10">
        <f>I5*3.07</f>
        <v>0</v>
      </c>
      <c r="K5" s="7">
        <f>'[4]Production Summary'!S6</f>
        <v>887738</v>
      </c>
      <c r="L5" s="8">
        <f>K5/1000000</f>
        <v>0.88773800000000003</v>
      </c>
      <c r="M5" s="10">
        <f>L5*3.07</f>
        <v>2.72535566</v>
      </c>
      <c r="N5" s="21"/>
      <c r="O5" s="7">
        <f>'[4]Production Summary'!I6</f>
        <v>5950000.0000000158</v>
      </c>
      <c r="P5" s="8">
        <f>O5/1000000</f>
        <v>5.9500000000000162</v>
      </c>
      <c r="Q5" s="10">
        <f>P5*3.07</f>
        <v>18.26650000000005</v>
      </c>
      <c r="R5" s="7">
        <f>'[4]Production Summary'!C6</f>
        <v>6154000</v>
      </c>
      <c r="S5" s="8">
        <f>R5/1000000</f>
        <v>6.1539999999999999</v>
      </c>
      <c r="T5" s="10">
        <f>S5*3.07</f>
        <v>18.892779999999998</v>
      </c>
      <c r="U5" s="7">
        <f>'[4]Production Summary'!F6</f>
        <v>0</v>
      </c>
      <c r="V5" s="8">
        <f>U5/1000000</f>
        <v>0</v>
      </c>
      <c r="W5" s="10">
        <f>V5*3.07</f>
        <v>0</v>
      </c>
      <c r="X5" s="7">
        <f>'[4]Production Summary'!AB6</f>
        <v>6154000</v>
      </c>
      <c r="Y5" s="8">
        <f>X5/1000000</f>
        <v>6.1539999999999999</v>
      </c>
      <c r="Z5" s="10">
        <f>Y5*3.07</f>
        <v>18.892779999999998</v>
      </c>
      <c r="AA5" s="15"/>
      <c r="AB5" s="7">
        <f>B5+O5</f>
        <v>14970000.000000451</v>
      </c>
      <c r="AC5" s="8">
        <f>C5+P5</f>
        <v>14.970000000000454</v>
      </c>
      <c r="AD5" s="8">
        <f>D5+Q5</f>
        <v>45.957900000001388</v>
      </c>
    </row>
    <row r="6" spans="1:30" x14ac:dyDescent="0.2">
      <c r="A6" s="27">
        <v>43192</v>
      </c>
      <c r="B6" s="7">
        <f>'[4]Production Summary'!J7</f>
        <v>7059999.9999994906</v>
      </c>
      <c r="C6" s="8">
        <f t="shared" ref="C6:C34" si="1">B6/1000000</f>
        <v>7.0599999999994907</v>
      </c>
      <c r="D6" s="10">
        <f t="shared" ref="D6:D34" si="2">C6*3.07</f>
        <v>21.674199999998436</v>
      </c>
      <c r="E6" s="7">
        <f>'[4]Production Summary'!E7</f>
        <v>8000000</v>
      </c>
      <c r="F6" s="8">
        <f t="shared" ref="F6:F34" si="3">E6/1000000</f>
        <v>8</v>
      </c>
      <c r="G6" s="10">
        <f t="shared" ref="G6:G34" si="4">F6*3.07</f>
        <v>24.56</v>
      </c>
      <c r="H6" s="7">
        <f>'[4]Production Summary'!G7</f>
        <v>0</v>
      </c>
      <c r="I6" s="8">
        <f t="shared" si="0"/>
        <v>0</v>
      </c>
      <c r="J6" s="10">
        <f t="shared" ref="J6:J34" si="5">I6*3.07</f>
        <v>0</v>
      </c>
      <c r="K6" s="7">
        <f>'[4]Production Summary'!S7</f>
        <v>750795</v>
      </c>
      <c r="L6" s="8">
        <f t="shared" ref="L6:L34" si="6">K6/1000000</f>
        <v>0.75079499999999999</v>
      </c>
      <c r="M6" s="10">
        <f t="shared" ref="M6:M34" si="7">L6*3.07</f>
        <v>2.3049406499999998</v>
      </c>
      <c r="N6" s="21"/>
      <c r="O6" s="7">
        <f>'[4]Production Summary'!I7</f>
        <v>5656999.9999999972</v>
      </c>
      <c r="P6" s="8">
        <f t="shared" ref="P6:P34" si="8">O6/1000000</f>
        <v>5.6569999999999974</v>
      </c>
      <c r="Q6" s="10">
        <f t="shared" ref="Q6:Q34" si="9">P6*3.07</f>
        <v>17.366989999999991</v>
      </c>
      <c r="R6" s="7">
        <f>'[4]Production Summary'!C7</f>
        <v>5858000</v>
      </c>
      <c r="S6" s="8">
        <f t="shared" ref="S6:S34" si="10">R6/1000000</f>
        <v>5.8579999999999997</v>
      </c>
      <c r="T6" s="10">
        <f t="shared" ref="T6:T34" si="11">S6*3.07</f>
        <v>17.984059999999999</v>
      </c>
      <c r="U6" s="7">
        <f>'[4]Production Summary'!F7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'[4]Production Summary'!AB7</f>
        <v>5858000</v>
      </c>
      <c r="Y6" s="8">
        <f t="shared" ref="Y6:Y34" si="14">X6/1000000</f>
        <v>5.8579999999999997</v>
      </c>
      <c r="Z6" s="10">
        <f t="shared" ref="Z6:Z34" si="15">Y6*3.07</f>
        <v>17.984059999999999</v>
      </c>
      <c r="AA6" s="15"/>
      <c r="AB6" s="7">
        <f t="shared" ref="AB6:AD35" si="16">B6+O6</f>
        <v>12716999.999999488</v>
      </c>
      <c r="AC6" s="8">
        <f t="shared" si="16"/>
        <v>12.716999999999487</v>
      </c>
      <c r="AD6" s="8">
        <f t="shared" si="16"/>
        <v>39.041189999998423</v>
      </c>
    </row>
    <row r="7" spans="1:30" x14ac:dyDescent="0.2">
      <c r="A7" s="27">
        <v>43193</v>
      </c>
      <c r="B7" s="7">
        <f>'[4]Production Summary'!J8</f>
        <v>7430000.0000002906</v>
      </c>
      <c r="C7" s="8">
        <f t="shared" si="1"/>
        <v>7.4300000000002902</v>
      </c>
      <c r="D7" s="10">
        <f t="shared" si="2"/>
        <v>22.81010000000089</v>
      </c>
      <c r="E7" s="7">
        <f>'[4]Production Summary'!E8</f>
        <v>7000000</v>
      </c>
      <c r="F7" s="8">
        <f t="shared" si="3"/>
        <v>7</v>
      </c>
      <c r="G7" s="10">
        <f t="shared" si="4"/>
        <v>21.49</v>
      </c>
      <c r="H7" s="7">
        <f>'[4]Production Summary'!G8</f>
        <v>10000</v>
      </c>
      <c r="I7" s="8">
        <f t="shared" si="0"/>
        <v>0.01</v>
      </c>
      <c r="J7" s="10">
        <f t="shared" si="5"/>
        <v>3.0699999999999998E-2</v>
      </c>
      <c r="K7" s="7">
        <f>'[4]Production Summary'!S8</f>
        <v>760243</v>
      </c>
      <c r="L7" s="8">
        <f t="shared" si="6"/>
        <v>0.760243</v>
      </c>
      <c r="M7" s="10">
        <f t="shared" si="7"/>
        <v>2.33394601</v>
      </c>
      <c r="N7" s="21"/>
      <c r="O7" s="7">
        <f>'[4]Production Summary'!I8</f>
        <v>5834999.9999999972</v>
      </c>
      <c r="P7" s="8">
        <f t="shared" si="8"/>
        <v>5.8349999999999973</v>
      </c>
      <c r="Q7" s="10">
        <f t="shared" si="9"/>
        <v>17.91344999999999</v>
      </c>
      <c r="R7" s="7">
        <f>'[4]Production Summary'!C8</f>
        <v>5903000</v>
      </c>
      <c r="S7" s="8">
        <f t="shared" si="10"/>
        <v>5.9029999999999996</v>
      </c>
      <c r="T7" s="10">
        <f t="shared" si="11"/>
        <v>18.122209999999999</v>
      </c>
      <c r="U7" s="7">
        <f>'[4]Production Summary'!F8</f>
        <v>0</v>
      </c>
      <c r="V7" s="8">
        <f t="shared" si="12"/>
        <v>0</v>
      </c>
      <c r="W7" s="10">
        <f t="shared" si="13"/>
        <v>0</v>
      </c>
      <c r="X7" s="7">
        <f>'[4]Production Summary'!AB8</f>
        <v>5903000</v>
      </c>
      <c r="Y7" s="8">
        <f t="shared" si="14"/>
        <v>5.9029999999999996</v>
      </c>
      <c r="Z7" s="10">
        <f t="shared" si="15"/>
        <v>18.122209999999999</v>
      </c>
      <c r="AA7" s="15"/>
      <c r="AB7" s="7">
        <f t="shared" si="16"/>
        <v>13265000.000000287</v>
      </c>
      <c r="AC7" s="8">
        <f t="shared" si="16"/>
        <v>13.265000000000288</v>
      </c>
      <c r="AD7" s="8">
        <f t="shared" si="16"/>
        <v>40.723550000000884</v>
      </c>
    </row>
    <row r="8" spans="1:30" x14ac:dyDescent="0.2">
      <c r="A8" s="27">
        <v>43194</v>
      </c>
      <c r="B8" s="7">
        <f>'[4]Production Summary'!J9</f>
        <v>6689999.9999995995</v>
      </c>
      <c r="C8" s="8">
        <f t="shared" si="1"/>
        <v>6.6899999999995998</v>
      </c>
      <c r="D8" s="10">
        <f t="shared" si="2"/>
        <v>20.53829999999877</v>
      </c>
      <c r="E8" s="7">
        <f>'[4]Production Summary'!E9</f>
        <v>7000000</v>
      </c>
      <c r="F8" s="8">
        <f t="shared" si="3"/>
        <v>7</v>
      </c>
      <c r="G8" s="10">
        <f t="shared" si="4"/>
        <v>21.49</v>
      </c>
      <c r="H8" s="7">
        <f>'[4]Production Summary'!G9</f>
        <v>0</v>
      </c>
      <c r="I8" s="8">
        <f t="shared" si="0"/>
        <v>0</v>
      </c>
      <c r="J8" s="10">
        <f t="shared" si="5"/>
        <v>0</v>
      </c>
      <c r="K8" s="7">
        <f>'[4]Production Summary'!S9</f>
        <v>575438</v>
      </c>
      <c r="L8" s="8">
        <f t="shared" si="6"/>
        <v>0.57543800000000001</v>
      </c>
      <c r="M8" s="10">
        <f t="shared" si="7"/>
        <v>1.76659466</v>
      </c>
      <c r="N8" s="21"/>
      <c r="O8" s="7">
        <f>'[4]Production Summary'!I9</f>
        <v>5701999.9999999925</v>
      </c>
      <c r="P8" s="8">
        <f t="shared" si="8"/>
        <v>5.7019999999999929</v>
      </c>
      <c r="Q8" s="10">
        <f t="shared" si="9"/>
        <v>17.505139999999976</v>
      </c>
      <c r="R8" s="7">
        <f>'[4]Production Summary'!C9</f>
        <v>5905000</v>
      </c>
      <c r="S8" s="8">
        <f t="shared" ref="S8:S16" si="17">R8/1000000</f>
        <v>5.9050000000000002</v>
      </c>
      <c r="T8" s="10">
        <f t="shared" ref="T8:T16" si="18">S8*3.07</f>
        <v>18.128350000000001</v>
      </c>
      <c r="U8" s="7">
        <f>'[4]Production Summary'!F9</f>
        <v>0</v>
      </c>
      <c r="V8" s="8">
        <f t="shared" si="12"/>
        <v>0</v>
      </c>
      <c r="W8" s="10">
        <f t="shared" si="13"/>
        <v>0</v>
      </c>
      <c r="X8" s="7">
        <f>'[4]Production Summary'!AB9</f>
        <v>5905000</v>
      </c>
      <c r="Y8" s="8">
        <f t="shared" si="14"/>
        <v>5.9050000000000002</v>
      </c>
      <c r="Z8" s="10">
        <f t="shared" si="15"/>
        <v>18.128350000000001</v>
      </c>
      <c r="AA8" s="15"/>
      <c r="AB8" s="7">
        <f t="shared" si="16"/>
        <v>12391999.999999592</v>
      </c>
      <c r="AC8" s="8">
        <f t="shared" si="16"/>
        <v>12.391999999999593</v>
      </c>
      <c r="AD8" s="8">
        <f>D8+Q8</f>
        <v>38.043439999998746</v>
      </c>
    </row>
    <row r="9" spans="1:30" x14ac:dyDescent="0.2">
      <c r="A9" s="27">
        <v>43195</v>
      </c>
      <c r="B9" s="7">
        <f>'[4]Production Summary'!J10</f>
        <v>7500000</v>
      </c>
      <c r="C9" s="8">
        <f t="shared" si="1"/>
        <v>7.5</v>
      </c>
      <c r="D9" s="10">
        <f t="shared" si="2"/>
        <v>23.024999999999999</v>
      </c>
      <c r="E9" s="7">
        <f>'[4]Production Summary'!E10</f>
        <v>7000000</v>
      </c>
      <c r="F9" s="8">
        <f t="shared" si="3"/>
        <v>7</v>
      </c>
      <c r="G9" s="10">
        <f t="shared" si="4"/>
        <v>21.49</v>
      </c>
      <c r="H9" s="7">
        <f>'[4]Production Summary'!G10</f>
        <v>0</v>
      </c>
      <c r="I9" s="8">
        <f t="shared" si="0"/>
        <v>0</v>
      </c>
      <c r="J9" s="10">
        <f t="shared" si="5"/>
        <v>0</v>
      </c>
      <c r="K9" s="7">
        <f>'[4]Production Summary'!S10</f>
        <v>804066</v>
      </c>
      <c r="L9" s="8">
        <f t="shared" si="6"/>
        <v>0.80406599999999995</v>
      </c>
      <c r="M9" s="10">
        <f t="shared" si="7"/>
        <v>2.4684826199999996</v>
      </c>
      <c r="N9" s="21"/>
      <c r="O9" s="7">
        <f>'[4]Production Summary'!I10</f>
        <v>6691000.0000000149</v>
      </c>
      <c r="P9" s="8">
        <f t="shared" ref="P9:P13" si="19">O9/1000000</f>
        <v>6.6910000000000149</v>
      </c>
      <c r="Q9" s="10">
        <f t="shared" ref="Q9:Q13" si="20">P9*3.07</f>
        <v>20.541370000000043</v>
      </c>
      <c r="R9" s="7">
        <f>'[4]Production Summary'!C10</f>
        <v>6760000</v>
      </c>
      <c r="S9" s="8">
        <f t="shared" si="17"/>
        <v>6.76</v>
      </c>
      <c r="T9" s="10">
        <f t="shared" si="18"/>
        <v>20.7532</v>
      </c>
      <c r="U9" s="7">
        <f>'[4]Production Summary'!F10</f>
        <v>0</v>
      </c>
      <c r="V9" s="8">
        <f t="shared" si="12"/>
        <v>0</v>
      </c>
      <c r="W9" s="10">
        <f t="shared" si="13"/>
        <v>0</v>
      </c>
      <c r="X9" s="7">
        <f>'[4]Production Summary'!AB10</f>
        <v>6760000</v>
      </c>
      <c r="Y9" s="8">
        <f t="shared" si="14"/>
        <v>6.76</v>
      </c>
      <c r="Z9" s="10">
        <f t="shared" si="15"/>
        <v>20.7532</v>
      </c>
      <c r="AA9" s="15"/>
      <c r="AB9" s="7">
        <f t="shared" si="16"/>
        <v>14191000.000000015</v>
      </c>
      <c r="AC9" s="8">
        <f t="shared" si="16"/>
        <v>14.191000000000015</v>
      </c>
      <c r="AD9" s="8">
        <f t="shared" si="16"/>
        <v>43.566370000000042</v>
      </c>
    </row>
    <row r="10" spans="1:30" x14ac:dyDescent="0.2">
      <c r="A10" s="27">
        <v>43196</v>
      </c>
      <c r="B10" s="7">
        <f>'[4]Production Summary'!J11</f>
        <v>7800000.0000001816</v>
      </c>
      <c r="C10" s="8">
        <f t="shared" si="1"/>
        <v>7.8000000000001819</v>
      </c>
      <c r="D10" s="10">
        <f t="shared" si="2"/>
        <v>23.946000000000556</v>
      </c>
      <c r="E10" s="7">
        <f>'[4]Production Summary'!E11</f>
        <v>8000000</v>
      </c>
      <c r="F10" s="8">
        <f t="shared" si="3"/>
        <v>8</v>
      </c>
      <c r="G10" s="10">
        <f t="shared" si="4"/>
        <v>24.56</v>
      </c>
      <c r="H10" s="7">
        <f>'[4]Production Summary'!G11</f>
        <v>0</v>
      </c>
      <c r="I10" s="8">
        <f t="shared" si="0"/>
        <v>0</v>
      </c>
      <c r="J10" s="10">
        <f t="shared" si="5"/>
        <v>0</v>
      </c>
      <c r="K10" s="7">
        <f>'[4]Production Summary'!S11</f>
        <v>509833</v>
      </c>
      <c r="L10" s="8">
        <f t="shared" si="6"/>
        <v>0.50983299999999998</v>
      </c>
      <c r="M10" s="10">
        <f t="shared" si="7"/>
        <v>1.5651873099999998</v>
      </c>
      <c r="N10" s="21"/>
      <c r="O10" s="7">
        <f>'[4]Production Summary'!I11</f>
        <v>7119999.9999999776</v>
      </c>
      <c r="P10" s="8">
        <f t="shared" si="19"/>
        <v>7.1199999999999779</v>
      </c>
      <c r="Q10" s="10">
        <f t="shared" si="20"/>
        <v>21.858399999999932</v>
      </c>
      <c r="R10" s="7">
        <f>'[4]Production Summary'!C11</f>
        <v>7254000</v>
      </c>
      <c r="S10" s="8">
        <f t="shared" si="17"/>
        <v>7.2539999999999996</v>
      </c>
      <c r="T10" s="10">
        <f t="shared" si="18"/>
        <v>22.269779999999997</v>
      </c>
      <c r="U10" s="7">
        <f>'[4]Production Summary'!F11</f>
        <v>0</v>
      </c>
      <c r="V10" s="8">
        <f t="shared" si="12"/>
        <v>0</v>
      </c>
      <c r="W10" s="10">
        <f t="shared" si="13"/>
        <v>0</v>
      </c>
      <c r="X10" s="7">
        <f>'[4]Production Summary'!AB11</f>
        <v>7254000</v>
      </c>
      <c r="Y10" s="8">
        <f t="shared" si="14"/>
        <v>7.2539999999999996</v>
      </c>
      <c r="Z10" s="10">
        <f t="shared" si="15"/>
        <v>22.269779999999997</v>
      </c>
      <c r="AA10" s="15"/>
      <c r="AB10" s="7">
        <f t="shared" si="16"/>
        <v>14920000.00000016</v>
      </c>
      <c r="AC10" s="8">
        <f t="shared" si="16"/>
        <v>14.92000000000016</v>
      </c>
      <c r="AD10" s="8">
        <f t="shared" si="16"/>
        <v>45.804400000000484</v>
      </c>
    </row>
    <row r="11" spans="1:30" x14ac:dyDescent="0.2">
      <c r="A11" s="27">
        <v>43197</v>
      </c>
      <c r="B11" s="7">
        <f>'[4]Production Summary'!J12</f>
        <v>8289999.9999999637</v>
      </c>
      <c r="C11" s="8">
        <f t="shared" si="1"/>
        <v>8.2899999999999636</v>
      </c>
      <c r="D11" s="10">
        <f t="shared" si="2"/>
        <v>25.450299999999888</v>
      </c>
      <c r="E11" s="7">
        <f>'[4]Production Summary'!E12</f>
        <v>9000000</v>
      </c>
      <c r="F11" s="8">
        <f t="shared" si="3"/>
        <v>9</v>
      </c>
      <c r="G11" s="10">
        <f t="shared" si="4"/>
        <v>27.63</v>
      </c>
      <c r="H11" s="7">
        <f>'[4]Production Summary'!G12</f>
        <v>0</v>
      </c>
      <c r="I11" s="8">
        <f t="shared" si="0"/>
        <v>0</v>
      </c>
      <c r="J11" s="10">
        <f t="shared" si="5"/>
        <v>0</v>
      </c>
      <c r="K11" s="7">
        <f>'[4]Production Summary'!S12</f>
        <v>930914</v>
      </c>
      <c r="L11" s="8">
        <f t="shared" ref="L11:L12" si="21">K11/1000000</f>
        <v>0.93091400000000002</v>
      </c>
      <c r="M11" s="10">
        <f t="shared" ref="M11:M12" si="22">L11*3.07</f>
        <v>2.85790598</v>
      </c>
      <c r="N11" s="21"/>
      <c r="O11" s="7">
        <f>'[4]Production Summary'!I12</f>
        <v>7676000.0000000158</v>
      </c>
      <c r="P11" s="8">
        <f t="shared" si="19"/>
        <v>7.6760000000000161</v>
      </c>
      <c r="Q11" s="10">
        <f t="shared" si="20"/>
        <v>23.56532000000005</v>
      </c>
      <c r="R11" s="7">
        <f>'[4]Production Summary'!C12</f>
        <v>7879000</v>
      </c>
      <c r="S11" s="8">
        <f t="shared" si="17"/>
        <v>7.8789999999999996</v>
      </c>
      <c r="T11" s="10">
        <f t="shared" si="18"/>
        <v>24.188529999999997</v>
      </c>
      <c r="U11" s="7">
        <f>'[4]Production Summary'!F12</f>
        <v>0</v>
      </c>
      <c r="V11" s="8">
        <f t="shared" si="12"/>
        <v>0</v>
      </c>
      <c r="W11" s="10">
        <f t="shared" si="13"/>
        <v>0</v>
      </c>
      <c r="X11" s="7">
        <f>'[4]Production Summary'!AB12</f>
        <v>7879000</v>
      </c>
      <c r="Y11" s="8">
        <f t="shared" si="14"/>
        <v>7.8789999999999996</v>
      </c>
      <c r="Z11" s="10">
        <f t="shared" si="15"/>
        <v>24.188529999999997</v>
      </c>
      <c r="AA11" s="15"/>
      <c r="AB11" s="7">
        <f t="shared" si="16"/>
        <v>15965999.99999998</v>
      </c>
      <c r="AC11" s="8">
        <f t="shared" si="16"/>
        <v>15.96599999999998</v>
      </c>
      <c r="AD11" s="8">
        <f t="shared" si="16"/>
        <v>49.015619999999942</v>
      </c>
    </row>
    <row r="12" spans="1:30" x14ac:dyDescent="0.2">
      <c r="A12" s="27">
        <v>43198</v>
      </c>
      <c r="B12" s="7">
        <f>'[4]Production Summary'!J13</f>
        <v>8239999.9999997821</v>
      </c>
      <c r="C12" s="8">
        <f t="shared" si="1"/>
        <v>8.2399999999997817</v>
      </c>
      <c r="D12" s="10">
        <f t="shared" si="2"/>
        <v>25.29679999999933</v>
      </c>
      <c r="E12" s="7">
        <f>'[4]Production Summary'!E13</f>
        <v>9000000</v>
      </c>
      <c r="F12" s="8">
        <f t="shared" si="3"/>
        <v>9</v>
      </c>
      <c r="G12" s="10">
        <f t="shared" si="4"/>
        <v>27.63</v>
      </c>
      <c r="H12" s="7">
        <f>'[4]Production Summary'!G13</f>
        <v>10000</v>
      </c>
      <c r="I12" s="8">
        <f t="shared" si="0"/>
        <v>0.01</v>
      </c>
      <c r="J12" s="10">
        <f t="shared" si="5"/>
        <v>3.0699999999999998E-2</v>
      </c>
      <c r="K12" s="7">
        <f>'[4]Production Summary'!S13</f>
        <v>800998</v>
      </c>
      <c r="L12" s="8">
        <f t="shared" si="21"/>
        <v>0.80099799999999999</v>
      </c>
      <c r="M12" s="10">
        <f t="shared" si="22"/>
        <v>2.4590638599999997</v>
      </c>
      <c r="N12" s="21"/>
      <c r="O12" s="7">
        <f>'[4]Production Summary'!I13</f>
        <v>6349000.0000000112</v>
      </c>
      <c r="P12" s="8">
        <f t="shared" si="19"/>
        <v>6.3490000000000109</v>
      </c>
      <c r="Q12" s="10">
        <f t="shared" si="20"/>
        <v>19.491430000000033</v>
      </c>
      <c r="R12" s="7">
        <f>'[4]Production Summary'!C13</f>
        <v>6548000</v>
      </c>
      <c r="S12" s="8">
        <f t="shared" si="17"/>
        <v>6.548</v>
      </c>
      <c r="T12" s="10">
        <f t="shared" si="18"/>
        <v>20.102359999999997</v>
      </c>
      <c r="U12" s="7">
        <f>'[4]Production Summary'!F13</f>
        <v>0</v>
      </c>
      <c r="V12" s="8">
        <f t="shared" si="12"/>
        <v>0</v>
      </c>
      <c r="W12" s="10">
        <f t="shared" si="13"/>
        <v>0</v>
      </c>
      <c r="X12" s="7">
        <f>'[4]Production Summary'!AB13</f>
        <v>6548000</v>
      </c>
      <c r="Y12" s="8">
        <f t="shared" si="14"/>
        <v>6.548</v>
      </c>
      <c r="Z12" s="10">
        <f t="shared" si="15"/>
        <v>20.102359999999997</v>
      </c>
      <c r="AA12" s="15"/>
      <c r="AB12" s="7">
        <f t="shared" si="16"/>
        <v>14588999.999999793</v>
      </c>
      <c r="AC12" s="8">
        <f t="shared" si="16"/>
        <v>14.588999999999793</v>
      </c>
      <c r="AD12" s="8">
        <f t="shared" si="16"/>
        <v>44.788229999999359</v>
      </c>
    </row>
    <row r="13" spans="1:30" x14ac:dyDescent="0.2">
      <c r="A13" s="27">
        <v>43199</v>
      </c>
      <c r="B13" s="7">
        <f>'[4]Production Summary'!J14</f>
        <v>8440000.0000005085</v>
      </c>
      <c r="C13" s="8">
        <f t="shared" si="1"/>
        <v>8.4400000000005093</v>
      </c>
      <c r="D13" s="10">
        <f t="shared" si="2"/>
        <v>25.910800000001561</v>
      </c>
      <c r="E13" s="7">
        <f>'[4]Production Summary'!E14</f>
        <v>9000000</v>
      </c>
      <c r="F13" s="8">
        <f t="shared" si="3"/>
        <v>9</v>
      </c>
      <c r="G13" s="10">
        <f t="shared" si="4"/>
        <v>27.63</v>
      </c>
      <c r="H13" s="7">
        <f>'[4]Production Summary'!G14</f>
        <v>0</v>
      </c>
      <c r="I13" s="8">
        <f t="shared" si="0"/>
        <v>0</v>
      </c>
      <c r="J13" s="10">
        <f t="shared" si="5"/>
        <v>0</v>
      </c>
      <c r="K13" s="7">
        <f>'[4]Production Summary'!S14</f>
        <v>784960</v>
      </c>
      <c r="L13" s="8">
        <f t="shared" si="6"/>
        <v>0.78495999999999999</v>
      </c>
      <c r="M13" s="10">
        <f t="shared" si="7"/>
        <v>2.4098272000000001</v>
      </c>
      <c r="N13" s="21"/>
      <c r="O13" s="7">
        <f>'[4]Production Summary'!I14</f>
        <v>5933999.9999999739</v>
      </c>
      <c r="P13" s="8">
        <f t="shared" si="19"/>
        <v>5.9339999999999735</v>
      </c>
      <c r="Q13" s="10">
        <f t="shared" si="20"/>
        <v>18.217379999999917</v>
      </c>
      <c r="R13" s="7">
        <f>'[4]Production Summary'!C14</f>
        <v>6007000</v>
      </c>
      <c r="S13" s="8">
        <f t="shared" si="17"/>
        <v>6.0069999999999997</v>
      </c>
      <c r="T13" s="10">
        <f t="shared" si="18"/>
        <v>18.441489999999998</v>
      </c>
      <c r="U13" s="7">
        <f>'[4]Production Summary'!F14</f>
        <v>0</v>
      </c>
      <c r="V13" s="8">
        <f t="shared" si="12"/>
        <v>0</v>
      </c>
      <c r="W13" s="10">
        <f t="shared" si="13"/>
        <v>0</v>
      </c>
      <c r="X13" s="7">
        <f>'[4]Production Summary'!AB14</f>
        <v>6007000</v>
      </c>
      <c r="Y13" s="8">
        <f t="shared" si="14"/>
        <v>6.0069999999999997</v>
      </c>
      <c r="Z13" s="10">
        <f t="shared" si="15"/>
        <v>18.441489999999998</v>
      </c>
      <c r="AA13" s="15"/>
      <c r="AB13" s="7">
        <f t="shared" si="16"/>
        <v>14374000.000000482</v>
      </c>
      <c r="AC13" s="8">
        <f t="shared" si="16"/>
        <v>14.374000000000482</v>
      </c>
      <c r="AD13" s="8">
        <f t="shared" si="16"/>
        <v>44.128180000001478</v>
      </c>
    </row>
    <row r="14" spans="1:30" x14ac:dyDescent="0.2">
      <c r="A14" s="27">
        <v>43200</v>
      </c>
      <c r="B14" s="7">
        <f>'[4]Production Summary'!J15</f>
        <v>7840000.0000001453</v>
      </c>
      <c r="C14" s="8">
        <f t="shared" si="1"/>
        <v>7.8400000000001455</v>
      </c>
      <c r="D14" s="10">
        <f t="shared" si="2"/>
        <v>24.068800000000447</v>
      </c>
      <c r="E14" s="7">
        <f>'[4]Production Summary'!E15</f>
        <v>10000000</v>
      </c>
      <c r="F14" s="8">
        <f t="shared" si="3"/>
        <v>10</v>
      </c>
      <c r="G14" s="10">
        <f t="shared" si="4"/>
        <v>30.7</v>
      </c>
      <c r="H14" s="7">
        <f>'[4]Production Summary'!G15</f>
        <v>0</v>
      </c>
      <c r="I14" s="8">
        <f t="shared" si="0"/>
        <v>0</v>
      </c>
      <c r="J14" s="10">
        <f t="shared" si="5"/>
        <v>0</v>
      </c>
      <c r="K14" s="7">
        <f>'[4]Production Summary'!S15</f>
        <v>747486</v>
      </c>
      <c r="L14" s="8">
        <f t="shared" si="6"/>
        <v>0.74748599999999998</v>
      </c>
      <c r="M14" s="10">
        <f t="shared" si="7"/>
        <v>2.29478202</v>
      </c>
      <c r="N14" s="21"/>
      <c r="O14" s="7">
        <f>'[4]Production Summary'!I15</f>
        <v>5847000.0000000233</v>
      </c>
      <c r="P14" s="8">
        <f t="shared" si="8"/>
        <v>5.8470000000000235</v>
      </c>
      <c r="Q14" s="10">
        <f t="shared" si="9"/>
        <v>17.95029000000007</v>
      </c>
      <c r="R14" s="7">
        <f>'[4]Production Summary'!C15</f>
        <v>5982000</v>
      </c>
      <c r="S14" s="8">
        <f t="shared" si="17"/>
        <v>5.9820000000000002</v>
      </c>
      <c r="T14" s="10">
        <f t="shared" si="18"/>
        <v>18.364740000000001</v>
      </c>
      <c r="U14" s="7">
        <f>'[4]Production Summary'!F15</f>
        <v>0</v>
      </c>
      <c r="V14" s="8">
        <f t="shared" si="12"/>
        <v>0</v>
      </c>
      <c r="W14" s="10">
        <f t="shared" si="13"/>
        <v>0</v>
      </c>
      <c r="X14" s="7">
        <f>'[4]Production Summary'!AB15</f>
        <v>5982000</v>
      </c>
      <c r="Y14" s="8">
        <f t="shared" si="14"/>
        <v>5.9820000000000002</v>
      </c>
      <c r="Z14" s="10">
        <f t="shared" si="15"/>
        <v>18.364740000000001</v>
      </c>
      <c r="AA14" s="15"/>
      <c r="AB14" s="7">
        <f t="shared" si="16"/>
        <v>13687000.000000168</v>
      </c>
      <c r="AC14" s="8">
        <f t="shared" si="16"/>
        <v>13.687000000000168</v>
      </c>
      <c r="AD14" s="8">
        <f t="shared" si="16"/>
        <v>42.019090000000517</v>
      </c>
    </row>
    <row r="15" spans="1:30" x14ac:dyDescent="0.2">
      <c r="A15" s="27">
        <v>43201</v>
      </c>
      <c r="B15" s="7">
        <f>'[4]Production Summary'!J16</f>
        <v>8829999.9999999274</v>
      </c>
      <c r="C15" s="8">
        <f t="shared" si="1"/>
        <v>8.8299999999999272</v>
      </c>
      <c r="D15" s="10">
        <f t="shared" si="2"/>
        <v>27.108099999999776</v>
      </c>
      <c r="E15" s="7">
        <f>'[4]Production Summary'!E16</f>
        <v>10000000</v>
      </c>
      <c r="F15" s="8">
        <f t="shared" si="3"/>
        <v>10</v>
      </c>
      <c r="G15" s="10">
        <f t="shared" si="4"/>
        <v>30.7</v>
      </c>
      <c r="H15" s="7">
        <f>'[4]Production Summary'!G16</f>
        <v>10000</v>
      </c>
      <c r="I15" s="8">
        <f t="shared" si="0"/>
        <v>0.01</v>
      </c>
      <c r="J15" s="10">
        <f t="shared" si="5"/>
        <v>3.0699999999999998E-2</v>
      </c>
      <c r="K15" s="7">
        <f>'[4]Production Summary'!S16</f>
        <v>930615</v>
      </c>
      <c r="L15" s="8">
        <f t="shared" si="6"/>
        <v>0.93061499999999997</v>
      </c>
      <c r="M15" s="10">
        <f t="shared" si="7"/>
        <v>2.8569880499999996</v>
      </c>
      <c r="N15" s="21"/>
      <c r="O15" s="7">
        <f>'[4]Production Summary'!I16</f>
        <v>6738999.9999999907</v>
      </c>
      <c r="P15" s="8">
        <f t="shared" si="8"/>
        <v>6.738999999999991</v>
      </c>
      <c r="Q15" s="10">
        <f t="shared" si="9"/>
        <v>20.688729999999971</v>
      </c>
      <c r="R15" s="7">
        <f>'[4]Production Summary'!C16</f>
        <v>6875000</v>
      </c>
      <c r="S15" s="8">
        <f t="shared" si="17"/>
        <v>6.875</v>
      </c>
      <c r="T15" s="10">
        <f t="shared" si="18"/>
        <v>21.106249999999999</v>
      </c>
      <c r="U15" s="7">
        <f>'[4]Production Summary'!F16</f>
        <v>0</v>
      </c>
      <c r="V15" s="8">
        <f t="shared" si="12"/>
        <v>0</v>
      </c>
      <c r="W15" s="10">
        <f t="shared" si="13"/>
        <v>0</v>
      </c>
      <c r="X15" s="7">
        <f>'[4]Production Summary'!AB16</f>
        <v>6875000</v>
      </c>
      <c r="Y15" s="8">
        <f t="shared" si="14"/>
        <v>6.875</v>
      </c>
      <c r="Z15" s="10">
        <f t="shared" si="15"/>
        <v>21.106249999999999</v>
      </c>
      <c r="AA15" s="15"/>
      <c r="AB15" s="7">
        <f t="shared" si="16"/>
        <v>15568999.999999918</v>
      </c>
      <c r="AC15" s="8">
        <f t="shared" si="16"/>
        <v>15.568999999999917</v>
      </c>
      <c r="AD15" s="8">
        <f t="shared" si="16"/>
        <v>47.796829999999744</v>
      </c>
    </row>
    <row r="16" spans="1:30" x14ac:dyDescent="0.2">
      <c r="A16" s="27">
        <v>43202</v>
      </c>
      <c r="B16" s="7">
        <f>'[4]Production Summary'!J17</f>
        <v>7619999.999999891</v>
      </c>
      <c r="C16" s="8">
        <f t="shared" si="1"/>
        <v>7.6199999999998909</v>
      </c>
      <c r="D16" s="10">
        <f t="shared" si="2"/>
        <v>23.393399999999662</v>
      </c>
      <c r="E16" s="7">
        <f>'[4]Production Summary'!E17</f>
        <v>8000000</v>
      </c>
      <c r="F16" s="8">
        <f t="shared" si="3"/>
        <v>8</v>
      </c>
      <c r="G16" s="10">
        <f t="shared" si="4"/>
        <v>24.56</v>
      </c>
      <c r="H16" s="7">
        <f>'[4]Production Summary'!G17</f>
        <v>0</v>
      </c>
      <c r="I16" s="8">
        <f t="shared" si="0"/>
        <v>0</v>
      </c>
      <c r="J16" s="10">
        <f t="shared" si="5"/>
        <v>0</v>
      </c>
      <c r="K16" s="7">
        <f>'[4]Production Summary'!S17</f>
        <v>769877</v>
      </c>
      <c r="L16" s="8">
        <f t="shared" si="6"/>
        <v>0.76987700000000003</v>
      </c>
      <c r="M16" s="10">
        <f t="shared" si="7"/>
        <v>2.36352239</v>
      </c>
      <c r="N16" s="21"/>
      <c r="O16" s="7">
        <f>'[4]Production Summary'!I17</f>
        <v>4961999.9999999879</v>
      </c>
      <c r="P16" s="8">
        <f t="shared" si="8"/>
        <v>4.9619999999999882</v>
      </c>
      <c r="Q16" s="10">
        <f t="shared" si="9"/>
        <v>15.233339999999963</v>
      </c>
      <c r="R16" s="7">
        <f>'[4]Production Summary'!C17</f>
        <v>5166000</v>
      </c>
      <c r="S16" s="8">
        <f t="shared" si="17"/>
        <v>5.1660000000000004</v>
      </c>
      <c r="T16" s="10">
        <f t="shared" si="18"/>
        <v>15.85962</v>
      </c>
      <c r="U16" s="7">
        <f>'[4]Production Summary'!F17</f>
        <v>0</v>
      </c>
      <c r="V16" s="8">
        <f t="shared" si="12"/>
        <v>0</v>
      </c>
      <c r="W16" s="10">
        <f t="shared" si="13"/>
        <v>0</v>
      </c>
      <c r="X16" s="7">
        <f>'[4]Production Summary'!AB17</f>
        <v>5166000</v>
      </c>
      <c r="Y16" s="8">
        <f t="shared" si="14"/>
        <v>5.1660000000000004</v>
      </c>
      <c r="Z16" s="10">
        <f t="shared" si="15"/>
        <v>15.85962</v>
      </c>
      <c r="AA16" s="15"/>
      <c r="AB16" s="7">
        <f t="shared" si="16"/>
        <v>12581999.999999879</v>
      </c>
      <c r="AC16" s="8">
        <f t="shared" si="16"/>
        <v>12.58199999999988</v>
      </c>
      <c r="AD16" s="8">
        <f t="shared" si="16"/>
        <v>38.626739999999629</v>
      </c>
    </row>
    <row r="17" spans="1:30" x14ac:dyDescent="0.2">
      <c r="A17" s="27">
        <v>43203</v>
      </c>
      <c r="B17" s="7">
        <f>'[4]Production Summary'!J18</f>
        <v>8019999.9999995269</v>
      </c>
      <c r="C17" s="8">
        <f t="shared" si="1"/>
        <v>8.0199999999995271</v>
      </c>
      <c r="D17" s="10">
        <f t="shared" si="2"/>
        <v>24.621399999998548</v>
      </c>
      <c r="E17" s="7">
        <f>'[4]Production Summary'!E18</f>
        <v>9000000</v>
      </c>
      <c r="F17" s="8">
        <f t="shared" si="3"/>
        <v>9</v>
      </c>
      <c r="G17" s="10">
        <f t="shared" si="4"/>
        <v>27.63</v>
      </c>
      <c r="H17" s="7">
        <f>'[4]Production Summary'!G18</f>
        <v>0</v>
      </c>
      <c r="I17" s="8">
        <f t="shared" si="0"/>
        <v>0</v>
      </c>
      <c r="J17" s="10">
        <f t="shared" si="5"/>
        <v>0</v>
      </c>
      <c r="K17" s="7">
        <f>'[4]Production Summary'!S18</f>
        <v>739447</v>
      </c>
      <c r="L17" s="8">
        <f t="shared" si="6"/>
        <v>0.73944699999999997</v>
      </c>
      <c r="M17" s="10">
        <f t="shared" si="7"/>
        <v>2.2701022899999996</v>
      </c>
      <c r="N17" s="21"/>
      <c r="O17" s="7">
        <f>'[4]Production Summary'!I18</f>
        <v>4703000.0000000233</v>
      </c>
      <c r="P17" s="8">
        <f t="shared" si="8"/>
        <v>4.7030000000000234</v>
      </c>
      <c r="Q17" s="10">
        <f t="shared" si="9"/>
        <v>14.438210000000071</v>
      </c>
      <c r="R17" s="7">
        <f>'[4]Production Summary'!C18</f>
        <v>4838000</v>
      </c>
      <c r="S17" s="8">
        <f t="shared" si="10"/>
        <v>4.8380000000000001</v>
      </c>
      <c r="T17" s="10">
        <f t="shared" si="11"/>
        <v>14.85266</v>
      </c>
      <c r="U17" s="7">
        <f>'[4]Production Summary'!F18</f>
        <v>0</v>
      </c>
      <c r="V17" s="8">
        <f t="shared" si="12"/>
        <v>0</v>
      </c>
      <c r="W17" s="10">
        <f t="shared" si="13"/>
        <v>0</v>
      </c>
      <c r="X17" s="7">
        <f>'[4]Production Summary'!AB18</f>
        <v>4838000</v>
      </c>
      <c r="Y17" s="8">
        <f t="shared" si="14"/>
        <v>4.8380000000000001</v>
      </c>
      <c r="Z17" s="10">
        <f t="shared" si="15"/>
        <v>14.85266</v>
      </c>
      <c r="AA17" s="15"/>
      <c r="AB17" s="7">
        <f t="shared" si="16"/>
        <v>12722999.999999549</v>
      </c>
      <c r="AC17" s="8">
        <f t="shared" si="16"/>
        <v>12.722999999999551</v>
      </c>
      <c r="AD17" s="8">
        <f t="shared" si="16"/>
        <v>39.059609999998621</v>
      </c>
    </row>
    <row r="18" spans="1:30" x14ac:dyDescent="0.2">
      <c r="A18" s="27">
        <v>43204</v>
      </c>
      <c r="B18" s="7">
        <f>'[4]Production Summary'!J19</f>
        <v>6900000.0000005458</v>
      </c>
      <c r="C18" s="8">
        <f t="shared" si="1"/>
        <v>6.9000000000005457</v>
      </c>
      <c r="D18" s="10">
        <f t="shared" si="2"/>
        <v>21.183000000001673</v>
      </c>
      <c r="E18" s="7">
        <f>'[4]Production Summary'!E19</f>
        <v>7000000</v>
      </c>
      <c r="F18" s="8">
        <f t="shared" si="3"/>
        <v>7</v>
      </c>
      <c r="G18" s="10">
        <f t="shared" si="4"/>
        <v>21.49</v>
      </c>
      <c r="H18" s="7">
        <f>'[4]Production Summary'!G19</f>
        <v>0</v>
      </c>
      <c r="I18" s="8">
        <f t="shared" si="0"/>
        <v>0</v>
      </c>
      <c r="J18" s="10">
        <f t="shared" si="5"/>
        <v>0</v>
      </c>
      <c r="K18" s="7">
        <f>'[4]Production Summary'!S19</f>
        <v>478700</v>
      </c>
      <c r="L18" s="8">
        <f t="shared" si="6"/>
        <v>0.47870000000000001</v>
      </c>
      <c r="M18" s="10">
        <f t="shared" si="7"/>
        <v>1.4696089999999999</v>
      </c>
      <c r="N18" s="21"/>
      <c r="O18" s="7">
        <f>'[4]Production Summary'!I19</f>
        <v>4641000</v>
      </c>
      <c r="P18" s="8">
        <f t="shared" si="8"/>
        <v>4.641</v>
      </c>
      <c r="Q18" s="10">
        <f t="shared" si="9"/>
        <v>14.247869999999999</v>
      </c>
      <c r="R18" s="7">
        <f>'[4]Production Summary'!C19</f>
        <v>4641000</v>
      </c>
      <c r="S18" s="8">
        <f t="shared" si="10"/>
        <v>4.641</v>
      </c>
      <c r="T18" s="10">
        <f t="shared" si="11"/>
        <v>14.247869999999999</v>
      </c>
      <c r="U18" s="7">
        <f>'[4]Production Summary'!F19</f>
        <v>0</v>
      </c>
      <c r="V18" s="8">
        <f t="shared" si="12"/>
        <v>0</v>
      </c>
      <c r="W18" s="10">
        <f t="shared" si="13"/>
        <v>0</v>
      </c>
      <c r="X18" s="7">
        <f>'[4]Production Summary'!AB19</f>
        <v>4641000</v>
      </c>
      <c r="Y18" s="8">
        <f t="shared" si="14"/>
        <v>4.641</v>
      </c>
      <c r="Z18" s="10">
        <f t="shared" si="15"/>
        <v>14.247869999999999</v>
      </c>
      <c r="AA18" s="15"/>
      <c r="AB18" s="7">
        <f t="shared" si="16"/>
        <v>11541000.000000546</v>
      </c>
      <c r="AC18" s="8">
        <f t="shared" si="16"/>
        <v>11.541000000000546</v>
      </c>
      <c r="AD18" s="8">
        <f t="shared" si="16"/>
        <v>35.430870000001676</v>
      </c>
    </row>
    <row r="19" spans="1:30" x14ac:dyDescent="0.2">
      <c r="A19" s="27">
        <v>43205</v>
      </c>
      <c r="B19" s="7">
        <f>'[4]Production Summary'!J20</f>
        <v>10849999.999999454</v>
      </c>
      <c r="C19" s="8">
        <f t="shared" si="1"/>
        <v>10.849999999999454</v>
      </c>
      <c r="D19" s="10">
        <f t="shared" si="2"/>
        <v>33.309499999998323</v>
      </c>
      <c r="E19" s="7">
        <f>'[4]Production Summary'!E20</f>
        <v>12000000</v>
      </c>
      <c r="F19" s="8">
        <f t="shared" si="3"/>
        <v>12</v>
      </c>
      <c r="G19" s="10">
        <f t="shared" si="4"/>
        <v>36.839999999999996</v>
      </c>
      <c r="H19" s="7">
        <f>'[4]Production Summary'!G20</f>
        <v>10000</v>
      </c>
      <c r="I19" s="8">
        <f t="shared" si="0"/>
        <v>0.01</v>
      </c>
      <c r="J19" s="10">
        <f t="shared" si="5"/>
        <v>3.0699999999999998E-2</v>
      </c>
      <c r="K19" s="7">
        <f>'[4]Production Summary'!S20</f>
        <v>937718</v>
      </c>
      <c r="L19" s="8">
        <f t="shared" si="6"/>
        <v>0.93771800000000005</v>
      </c>
      <c r="M19" s="10">
        <f t="shared" si="7"/>
        <v>2.8787942599999998</v>
      </c>
      <c r="N19" s="21"/>
      <c r="O19" s="7">
        <f>'[4]Production Summary'!I20</f>
        <v>2266999.9999999902</v>
      </c>
      <c r="P19" s="8">
        <f t="shared" si="8"/>
        <v>2.2669999999999901</v>
      </c>
      <c r="Q19" s="10">
        <f t="shared" si="9"/>
        <v>6.9596899999999691</v>
      </c>
      <c r="R19" s="7">
        <f>'[4]Production Summary'!C20</f>
        <v>2403000</v>
      </c>
      <c r="S19" s="8">
        <f t="shared" si="10"/>
        <v>2.403</v>
      </c>
      <c r="T19" s="10">
        <f t="shared" si="11"/>
        <v>7.3772099999999998</v>
      </c>
      <c r="U19" s="7">
        <f>'[4]Production Summary'!F20</f>
        <v>0</v>
      </c>
      <c r="V19" s="8">
        <f t="shared" si="12"/>
        <v>0</v>
      </c>
      <c r="W19" s="10">
        <f t="shared" si="13"/>
        <v>0</v>
      </c>
      <c r="X19" s="7">
        <f>'[4]Production Summary'!AB20</f>
        <v>2403000</v>
      </c>
      <c r="Y19" s="8">
        <f t="shared" si="14"/>
        <v>2.403</v>
      </c>
      <c r="Z19" s="10">
        <f t="shared" si="15"/>
        <v>7.3772099999999998</v>
      </c>
      <c r="AA19" s="15"/>
      <c r="AB19" s="7">
        <f t="shared" si="16"/>
        <v>13116999.999999445</v>
      </c>
      <c r="AC19" s="8">
        <f t="shared" si="16"/>
        <v>13.116999999999445</v>
      </c>
      <c r="AD19" s="8">
        <f>D19+Q19</f>
        <v>40.269189999998289</v>
      </c>
    </row>
    <row r="20" spans="1:30" x14ac:dyDescent="0.2">
      <c r="A20" s="27">
        <v>43206</v>
      </c>
      <c r="B20" s="7">
        <f>'[4]Production Summary'!J21</f>
        <v>14539999.999999963</v>
      </c>
      <c r="C20" s="8">
        <f t="shared" si="1"/>
        <v>14.539999999999964</v>
      </c>
      <c r="D20" s="10">
        <f t="shared" si="2"/>
        <v>44.637799999999885</v>
      </c>
      <c r="E20" s="7">
        <f>'[4]Production Summary'!E21</f>
        <v>15000000</v>
      </c>
      <c r="F20" s="8">
        <f t="shared" si="3"/>
        <v>15</v>
      </c>
      <c r="G20" s="10">
        <f t="shared" si="4"/>
        <v>46.05</v>
      </c>
      <c r="H20" s="7">
        <f>'[4]Production Summary'!G21</f>
        <v>0</v>
      </c>
      <c r="I20" s="8">
        <f t="shared" si="0"/>
        <v>0</v>
      </c>
      <c r="J20" s="10">
        <f t="shared" si="5"/>
        <v>0</v>
      </c>
      <c r="K20" s="7">
        <f>'[4]Production Summary'!S21</f>
        <v>1100251</v>
      </c>
      <c r="L20" s="8">
        <f t="shared" si="6"/>
        <v>1.1002510000000001</v>
      </c>
      <c r="M20" s="10">
        <f t="shared" si="7"/>
        <v>3.37777057</v>
      </c>
      <c r="N20" s="21"/>
      <c r="O20" s="7">
        <f>'[4]Production Summary'!I21</f>
        <v>0</v>
      </c>
      <c r="P20" s="8">
        <f t="shared" si="8"/>
        <v>0</v>
      </c>
      <c r="Q20" s="10">
        <f t="shared" si="9"/>
        <v>0</v>
      </c>
      <c r="R20" s="7">
        <f>'[4]Production Summary'!C21</f>
        <v>0</v>
      </c>
      <c r="S20" s="8">
        <f t="shared" si="10"/>
        <v>0</v>
      </c>
      <c r="T20" s="10">
        <f t="shared" si="11"/>
        <v>0</v>
      </c>
      <c r="U20" s="7">
        <f>'[4]Production Summary'!F21</f>
        <v>0</v>
      </c>
      <c r="V20" s="8">
        <f t="shared" si="12"/>
        <v>0</v>
      </c>
      <c r="W20" s="10">
        <f t="shared" si="13"/>
        <v>0</v>
      </c>
      <c r="X20" s="7">
        <f>'[4]Production Summary'!AB21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14539999.999999963</v>
      </c>
      <c r="AC20" s="8">
        <f t="shared" si="16"/>
        <v>14.539999999999964</v>
      </c>
      <c r="AD20" s="8">
        <f t="shared" si="16"/>
        <v>44.637799999999885</v>
      </c>
    </row>
    <row r="21" spans="1:30" x14ac:dyDescent="0.2">
      <c r="A21" s="27">
        <v>43207</v>
      </c>
      <c r="B21" s="7">
        <f>'[4]Production Summary'!J22</f>
        <v>10000000</v>
      </c>
      <c r="C21" s="8">
        <f t="shared" si="1"/>
        <v>10</v>
      </c>
      <c r="D21" s="10">
        <f t="shared" si="2"/>
        <v>30.7</v>
      </c>
      <c r="E21" s="7">
        <f>'[4]Production Summary'!E22</f>
        <v>11000000</v>
      </c>
      <c r="F21" s="8">
        <f t="shared" si="3"/>
        <v>11</v>
      </c>
      <c r="G21" s="10">
        <f t="shared" si="4"/>
        <v>33.769999999999996</v>
      </c>
      <c r="H21" s="7">
        <f>'[4]Production Summary'!G22</f>
        <v>0</v>
      </c>
      <c r="I21" s="8">
        <f t="shared" si="0"/>
        <v>0</v>
      </c>
      <c r="J21" s="10">
        <f t="shared" si="5"/>
        <v>0</v>
      </c>
      <c r="K21" s="7">
        <f>'[4]Production Summary'!S22</f>
        <v>919862</v>
      </c>
      <c r="L21" s="8">
        <f t="shared" si="6"/>
        <v>0.91986199999999996</v>
      </c>
      <c r="M21" s="10">
        <f t="shared" si="7"/>
        <v>2.8239763399999998</v>
      </c>
      <c r="N21" s="21"/>
      <c r="O21" s="7">
        <f>'[4]Production Summary'!I22</f>
        <v>0</v>
      </c>
      <c r="P21" s="8">
        <f t="shared" si="8"/>
        <v>0</v>
      </c>
      <c r="Q21" s="10">
        <f t="shared" si="9"/>
        <v>0</v>
      </c>
      <c r="R21" s="7">
        <f>'[4]Production Summary'!C22</f>
        <v>0</v>
      </c>
      <c r="S21" s="8">
        <f t="shared" si="10"/>
        <v>0</v>
      </c>
      <c r="T21" s="10">
        <f t="shared" si="11"/>
        <v>0</v>
      </c>
      <c r="U21" s="7">
        <f>'[4]Production Summary'!F22</f>
        <v>0</v>
      </c>
      <c r="V21" s="8">
        <f t="shared" si="12"/>
        <v>0</v>
      </c>
      <c r="W21" s="10">
        <f t="shared" si="13"/>
        <v>0</v>
      </c>
      <c r="X21" s="7">
        <f>'[4]Production Summary'!AB22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10000000</v>
      </c>
      <c r="AC21" s="8">
        <f t="shared" si="16"/>
        <v>10</v>
      </c>
      <c r="AD21" s="8">
        <f t="shared" si="16"/>
        <v>30.7</v>
      </c>
    </row>
    <row r="22" spans="1:30" x14ac:dyDescent="0.2">
      <c r="A22" s="27">
        <v>43208</v>
      </c>
      <c r="B22" s="7">
        <f>'[4]Production Summary'!J23</f>
        <v>11640000.000000328</v>
      </c>
      <c r="C22" s="8">
        <f t="shared" si="1"/>
        <v>11.640000000000327</v>
      </c>
      <c r="D22" s="10">
        <f t="shared" si="2"/>
        <v>35.734800000001002</v>
      </c>
      <c r="E22" s="7">
        <f>'[4]Production Summary'!E23</f>
        <v>13000000</v>
      </c>
      <c r="F22" s="8">
        <f t="shared" si="3"/>
        <v>13</v>
      </c>
      <c r="G22" s="10">
        <f t="shared" si="4"/>
        <v>39.909999999999997</v>
      </c>
      <c r="H22" s="7">
        <f>'[4]Production Summary'!G23</f>
        <v>0</v>
      </c>
      <c r="I22" s="8">
        <f t="shared" si="0"/>
        <v>0</v>
      </c>
      <c r="J22" s="10">
        <f t="shared" si="5"/>
        <v>0</v>
      </c>
      <c r="K22" s="7">
        <f>'[4]Production Summary'!S23</f>
        <v>933262</v>
      </c>
      <c r="L22" s="8">
        <f t="shared" si="6"/>
        <v>0.93326200000000004</v>
      </c>
      <c r="M22" s="10">
        <f t="shared" si="7"/>
        <v>2.8651143399999999</v>
      </c>
      <c r="N22" s="21"/>
      <c r="O22" s="7">
        <f>'[4]Production Summary'!I23</f>
        <v>0</v>
      </c>
      <c r="P22" s="8">
        <f t="shared" si="8"/>
        <v>0</v>
      </c>
      <c r="Q22" s="10">
        <f t="shared" si="9"/>
        <v>0</v>
      </c>
      <c r="R22" s="7">
        <f>'[4]Production Summary'!C23</f>
        <v>0</v>
      </c>
      <c r="S22" s="8">
        <f t="shared" si="10"/>
        <v>0</v>
      </c>
      <c r="T22" s="10">
        <f t="shared" si="11"/>
        <v>0</v>
      </c>
      <c r="U22" s="7">
        <f>'[4]Production Summary'!F23</f>
        <v>0</v>
      </c>
      <c r="V22" s="8">
        <f t="shared" si="12"/>
        <v>0</v>
      </c>
      <c r="W22" s="10">
        <f t="shared" si="13"/>
        <v>0</v>
      </c>
      <c r="X22" s="7">
        <f>'[4]Production Summary'!AB23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11640000.000000328</v>
      </c>
      <c r="AC22" s="8">
        <f t="shared" si="16"/>
        <v>11.640000000000327</v>
      </c>
      <c r="AD22" s="8">
        <f t="shared" si="16"/>
        <v>35.734800000001002</v>
      </c>
    </row>
    <row r="23" spans="1:30" x14ac:dyDescent="0.2">
      <c r="A23" s="27">
        <v>43209</v>
      </c>
      <c r="B23" s="7">
        <f>'[4]Production Summary'!J24</f>
        <v>15239999.999999782</v>
      </c>
      <c r="C23" s="8">
        <f t="shared" si="1"/>
        <v>15.239999999999782</v>
      </c>
      <c r="D23" s="10">
        <f t="shared" si="2"/>
        <v>46.786799999999324</v>
      </c>
      <c r="E23" s="7">
        <f>'[4]Production Summary'!E24</f>
        <v>16000000</v>
      </c>
      <c r="F23" s="8">
        <f t="shared" si="3"/>
        <v>16</v>
      </c>
      <c r="G23" s="10">
        <f t="shared" si="4"/>
        <v>49.12</v>
      </c>
      <c r="H23" s="7">
        <f>'[4]Production Summary'!G24</f>
        <v>0</v>
      </c>
      <c r="I23" s="8">
        <f t="shared" si="0"/>
        <v>0</v>
      </c>
      <c r="J23" s="10">
        <f t="shared" si="5"/>
        <v>0</v>
      </c>
      <c r="K23" s="7">
        <f>'[4]Production Summary'!S24</f>
        <v>1349944</v>
      </c>
      <c r="L23" s="8">
        <f t="shared" si="6"/>
        <v>1.349944</v>
      </c>
      <c r="M23" s="10">
        <f t="shared" si="7"/>
        <v>4.1443280800000002</v>
      </c>
      <c r="N23" s="21"/>
      <c r="O23" s="7">
        <f>'[4]Production Summary'!I24</f>
        <v>0</v>
      </c>
      <c r="P23" s="8">
        <f t="shared" si="8"/>
        <v>0</v>
      </c>
      <c r="Q23" s="10">
        <f t="shared" si="9"/>
        <v>0</v>
      </c>
      <c r="R23" s="7">
        <f>'[4]Production Summary'!C24</f>
        <v>0</v>
      </c>
      <c r="S23" s="8">
        <f t="shared" si="10"/>
        <v>0</v>
      </c>
      <c r="T23" s="10">
        <f t="shared" si="11"/>
        <v>0</v>
      </c>
      <c r="U23" s="7">
        <f>'[4]Production Summary'!F24</f>
        <v>0</v>
      </c>
      <c r="V23" s="8">
        <f t="shared" si="12"/>
        <v>0</v>
      </c>
      <c r="W23" s="10">
        <f t="shared" si="13"/>
        <v>0</v>
      </c>
      <c r="X23" s="7">
        <f>'[4]Production Summary'!AB24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15239999.999999782</v>
      </c>
      <c r="AC23" s="8">
        <f t="shared" si="16"/>
        <v>15.239999999999782</v>
      </c>
      <c r="AD23" s="8">
        <f t="shared" si="16"/>
        <v>46.786799999999324</v>
      </c>
    </row>
    <row r="24" spans="1:30" x14ac:dyDescent="0.2">
      <c r="A24" s="27">
        <v>43210</v>
      </c>
      <c r="B24" s="7">
        <f>'[4]Production Summary'!J25</f>
        <v>15340000.000000145</v>
      </c>
      <c r="C24" s="8">
        <f t="shared" si="1"/>
        <v>15.340000000000146</v>
      </c>
      <c r="D24" s="10">
        <f t="shared" si="2"/>
        <v>47.093800000000442</v>
      </c>
      <c r="E24" s="7">
        <f>'[4]Production Summary'!E25</f>
        <v>16000000</v>
      </c>
      <c r="F24" s="8">
        <f t="shared" si="3"/>
        <v>16</v>
      </c>
      <c r="G24" s="10">
        <f t="shared" si="4"/>
        <v>49.12</v>
      </c>
      <c r="H24" s="7">
        <f>'[4]Production Summary'!G25</f>
        <v>10000</v>
      </c>
      <c r="I24" s="8">
        <f t="shared" si="0"/>
        <v>0.01</v>
      </c>
      <c r="J24" s="10">
        <f t="shared" si="5"/>
        <v>3.0699999999999998E-2</v>
      </c>
      <c r="K24" s="7">
        <f>'[4]Production Summary'!S25</f>
        <v>1311527</v>
      </c>
      <c r="L24" s="8">
        <f t="shared" si="6"/>
        <v>1.3115270000000001</v>
      </c>
      <c r="M24" s="10">
        <f t="shared" si="7"/>
        <v>4.0263878900000005</v>
      </c>
      <c r="N24" s="21"/>
      <c r="O24" s="7">
        <f>'[4]Production Summary'!I25</f>
        <v>0</v>
      </c>
      <c r="P24" s="8">
        <f t="shared" si="8"/>
        <v>0</v>
      </c>
      <c r="Q24" s="10">
        <f t="shared" si="9"/>
        <v>0</v>
      </c>
      <c r="R24" s="7">
        <f>'[4]Production Summary'!C25</f>
        <v>0</v>
      </c>
      <c r="S24" s="8">
        <f t="shared" si="10"/>
        <v>0</v>
      </c>
      <c r="T24" s="10">
        <f t="shared" si="11"/>
        <v>0</v>
      </c>
      <c r="U24" s="7">
        <f>'[4]Production Summary'!F25</f>
        <v>0</v>
      </c>
      <c r="V24" s="8">
        <f t="shared" si="12"/>
        <v>0</v>
      </c>
      <c r="W24" s="10">
        <f t="shared" si="13"/>
        <v>0</v>
      </c>
      <c r="X24" s="7">
        <f>'[4]Production Summary'!AB25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15340000.000000145</v>
      </c>
      <c r="AC24" s="8">
        <f t="shared" si="16"/>
        <v>15.340000000000146</v>
      </c>
      <c r="AD24" s="8">
        <f>D24+Q24</f>
        <v>47.093800000000442</v>
      </c>
    </row>
    <row r="25" spans="1:30" x14ac:dyDescent="0.2">
      <c r="A25" s="27">
        <v>43211</v>
      </c>
      <c r="B25" s="7">
        <f>'[4]Production Summary'!J26</f>
        <v>13159999.999999855</v>
      </c>
      <c r="C25" s="8">
        <f t="shared" si="1"/>
        <v>13.159999999999854</v>
      </c>
      <c r="D25" s="10">
        <f t="shared" si="2"/>
        <v>40.401199999999548</v>
      </c>
      <c r="E25" s="7">
        <f>'[4]Production Summary'!E26</f>
        <v>15000000</v>
      </c>
      <c r="F25" s="8">
        <f t="shared" si="3"/>
        <v>15</v>
      </c>
      <c r="G25" s="10">
        <f t="shared" si="4"/>
        <v>46.05</v>
      </c>
      <c r="H25" s="7">
        <f>'[4]Production Summary'!G26</f>
        <v>0</v>
      </c>
      <c r="I25" s="8">
        <f t="shared" si="0"/>
        <v>0</v>
      </c>
      <c r="J25" s="10">
        <f t="shared" si="5"/>
        <v>0</v>
      </c>
      <c r="K25" s="7">
        <f>'[4]Production Summary'!S26</f>
        <v>1132071</v>
      </c>
      <c r="L25" s="8">
        <f t="shared" si="6"/>
        <v>1.132071</v>
      </c>
      <c r="M25" s="10">
        <f t="shared" si="7"/>
        <v>3.4754579699999999</v>
      </c>
      <c r="N25" s="21"/>
      <c r="O25" s="7">
        <f>'[4]Production Summary'!I26</f>
        <v>0</v>
      </c>
      <c r="P25" s="8">
        <f t="shared" si="8"/>
        <v>0</v>
      </c>
      <c r="Q25" s="10">
        <f t="shared" si="9"/>
        <v>0</v>
      </c>
      <c r="R25" s="7">
        <f>'[4]Production Summary'!C26</f>
        <v>0</v>
      </c>
      <c r="S25" s="8">
        <f t="shared" si="10"/>
        <v>0</v>
      </c>
      <c r="T25" s="10">
        <f t="shared" si="11"/>
        <v>0</v>
      </c>
      <c r="U25" s="7">
        <f>'[4]Production Summary'!F26</f>
        <v>0</v>
      </c>
      <c r="V25" s="8">
        <f t="shared" si="12"/>
        <v>0</v>
      </c>
      <c r="W25" s="10">
        <f t="shared" si="13"/>
        <v>0</v>
      </c>
      <c r="X25" s="7">
        <f>'[4]Production Summary'!AB26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13159999.999999855</v>
      </c>
      <c r="AC25" s="8">
        <f t="shared" si="16"/>
        <v>13.159999999999854</v>
      </c>
      <c r="AD25" s="8">
        <f t="shared" si="16"/>
        <v>40.401199999999548</v>
      </c>
    </row>
    <row r="26" spans="1:30" x14ac:dyDescent="0.2">
      <c r="A26" s="27">
        <v>43212</v>
      </c>
      <c r="B26" s="7">
        <f>'[4]Production Summary'!J27</f>
        <v>14360000.000000581</v>
      </c>
      <c r="C26" s="8">
        <f t="shared" si="1"/>
        <v>14.36000000000058</v>
      </c>
      <c r="D26" s="10">
        <f t="shared" si="2"/>
        <v>44.085200000001777</v>
      </c>
      <c r="E26" s="7">
        <f>'[4]Production Summary'!E27</f>
        <v>15000000</v>
      </c>
      <c r="F26" s="8">
        <f t="shared" si="3"/>
        <v>15</v>
      </c>
      <c r="G26" s="10">
        <f t="shared" si="4"/>
        <v>46.05</v>
      </c>
      <c r="H26" s="7">
        <f>'[4]Production Summary'!G27</f>
        <v>10000</v>
      </c>
      <c r="I26" s="8">
        <f t="shared" si="0"/>
        <v>0.01</v>
      </c>
      <c r="J26" s="10">
        <f t="shared" si="5"/>
        <v>3.0699999999999998E-2</v>
      </c>
      <c r="K26" s="7">
        <f>'[4]Production Summary'!S27</f>
        <v>1093397</v>
      </c>
      <c r="L26" s="8">
        <f t="shared" si="6"/>
        <v>1.093397</v>
      </c>
      <c r="M26" s="10">
        <f t="shared" si="7"/>
        <v>3.3567287899999996</v>
      </c>
      <c r="N26" s="21"/>
      <c r="O26" s="7">
        <f>'[4]Production Summary'!I27</f>
        <v>0</v>
      </c>
      <c r="P26" s="8">
        <f t="shared" si="8"/>
        <v>0</v>
      </c>
      <c r="Q26" s="10">
        <f t="shared" si="9"/>
        <v>0</v>
      </c>
      <c r="R26" s="7">
        <f>'[4]Production Summary'!C27</f>
        <v>0</v>
      </c>
      <c r="S26" s="8">
        <f t="shared" si="10"/>
        <v>0</v>
      </c>
      <c r="T26" s="10">
        <f t="shared" si="11"/>
        <v>0</v>
      </c>
      <c r="U26" s="7">
        <f>'[4]Production Summary'!F27</f>
        <v>0</v>
      </c>
      <c r="V26" s="8">
        <f t="shared" si="12"/>
        <v>0</v>
      </c>
      <c r="W26" s="10">
        <f t="shared" si="13"/>
        <v>0</v>
      </c>
      <c r="X26" s="7">
        <f>'[4]Production Summary'!AB27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14360000.000000581</v>
      </c>
      <c r="AC26" s="8">
        <f t="shared" si="16"/>
        <v>14.36000000000058</v>
      </c>
      <c r="AD26" s="8">
        <f t="shared" si="16"/>
        <v>44.085200000001777</v>
      </c>
    </row>
    <row r="27" spans="1:30" x14ac:dyDescent="0.2">
      <c r="A27" s="27">
        <v>43213</v>
      </c>
      <c r="B27" s="7">
        <f>'[4]Production Summary'!J28</f>
        <v>14019999.999999527</v>
      </c>
      <c r="C27" s="8">
        <f t="shared" si="1"/>
        <v>14.019999999999527</v>
      </c>
      <c r="D27" s="10">
        <f t="shared" si="2"/>
        <v>43.041399999998546</v>
      </c>
      <c r="E27" s="7">
        <f>'[4]Production Summary'!E28</f>
        <v>15000000</v>
      </c>
      <c r="F27" s="8">
        <f t="shared" si="3"/>
        <v>15</v>
      </c>
      <c r="G27" s="10">
        <f t="shared" si="4"/>
        <v>46.05</v>
      </c>
      <c r="H27" s="7">
        <f>'[4]Production Summary'!G28</f>
        <v>0</v>
      </c>
      <c r="I27" s="8">
        <f t="shared" si="0"/>
        <v>0</v>
      </c>
      <c r="J27" s="10">
        <f t="shared" si="5"/>
        <v>0</v>
      </c>
      <c r="K27" s="7">
        <f>'[4]Production Summary'!S28</f>
        <v>1204410</v>
      </c>
      <c r="L27" s="8">
        <f t="shared" si="6"/>
        <v>1.20441</v>
      </c>
      <c r="M27" s="10">
        <f t="shared" si="7"/>
        <v>3.6975387</v>
      </c>
      <c r="N27" s="21"/>
      <c r="O27" s="7">
        <f>'[4]Production Summary'!I28</f>
        <v>0</v>
      </c>
      <c r="P27" s="8">
        <f t="shared" si="8"/>
        <v>0</v>
      </c>
      <c r="Q27" s="10">
        <f t="shared" si="9"/>
        <v>0</v>
      </c>
      <c r="R27" s="7">
        <f>'[4]Production Summary'!C28</f>
        <v>0</v>
      </c>
      <c r="S27" s="8">
        <f t="shared" si="10"/>
        <v>0</v>
      </c>
      <c r="T27" s="10">
        <f t="shared" si="11"/>
        <v>0</v>
      </c>
      <c r="U27" s="7">
        <f>'[4]Production Summary'!F28</f>
        <v>0</v>
      </c>
      <c r="V27" s="8">
        <f t="shared" si="12"/>
        <v>0</v>
      </c>
      <c r="W27" s="10">
        <f t="shared" si="13"/>
        <v>0</v>
      </c>
      <c r="X27" s="7">
        <f>'[4]Production Summary'!AB28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14019999.999999527</v>
      </c>
      <c r="AC27" s="8">
        <f t="shared" si="16"/>
        <v>14.019999999999527</v>
      </c>
      <c r="AD27" s="8">
        <f t="shared" si="16"/>
        <v>43.041399999998546</v>
      </c>
    </row>
    <row r="28" spans="1:30" x14ac:dyDescent="0.2">
      <c r="A28" s="27">
        <v>43214</v>
      </c>
      <c r="B28" s="7">
        <f>'[4]Production Summary'!J29</f>
        <v>15670000.000000073</v>
      </c>
      <c r="C28" s="8">
        <f t="shared" si="1"/>
        <v>15.670000000000073</v>
      </c>
      <c r="D28" s="10">
        <f t="shared" si="2"/>
        <v>48.106900000000223</v>
      </c>
      <c r="E28" s="7">
        <f>'[4]Production Summary'!E29</f>
        <v>17000000</v>
      </c>
      <c r="F28" s="8">
        <f t="shared" si="3"/>
        <v>17</v>
      </c>
      <c r="G28" s="10">
        <f t="shared" si="4"/>
        <v>52.19</v>
      </c>
      <c r="H28" s="7">
        <f>'[4]Production Summary'!G29</f>
        <v>10000</v>
      </c>
      <c r="I28" s="8">
        <f t="shared" si="0"/>
        <v>0.01</v>
      </c>
      <c r="J28" s="10">
        <f t="shared" si="5"/>
        <v>3.0699999999999998E-2</v>
      </c>
      <c r="K28" s="7">
        <f>'[4]Production Summary'!S29</f>
        <v>1319149</v>
      </c>
      <c r="L28" s="8">
        <f t="shared" si="6"/>
        <v>1.3191489999999999</v>
      </c>
      <c r="M28" s="10">
        <f t="shared" si="7"/>
        <v>4.0497874299999994</v>
      </c>
      <c r="N28" s="21"/>
      <c r="O28" s="7">
        <f>'[4]Production Summary'!I29</f>
        <v>0</v>
      </c>
      <c r="P28" s="8">
        <f t="shared" si="8"/>
        <v>0</v>
      </c>
      <c r="Q28" s="10">
        <f t="shared" si="9"/>
        <v>0</v>
      </c>
      <c r="R28" s="7">
        <f>'[4]Production Summary'!C29</f>
        <v>0</v>
      </c>
      <c r="S28" s="8">
        <f t="shared" si="10"/>
        <v>0</v>
      </c>
      <c r="T28" s="10">
        <f t="shared" si="11"/>
        <v>0</v>
      </c>
      <c r="U28" s="7">
        <f>'[4]Production Summary'!F29</f>
        <v>0</v>
      </c>
      <c r="V28" s="8">
        <f t="shared" si="12"/>
        <v>0</v>
      </c>
      <c r="W28" s="10">
        <f t="shared" si="13"/>
        <v>0</v>
      </c>
      <c r="X28" s="7">
        <f>'[4]Production Summary'!AB29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15670000.000000073</v>
      </c>
      <c r="AC28" s="8">
        <f t="shared" si="16"/>
        <v>15.670000000000073</v>
      </c>
      <c r="AD28" s="8">
        <f t="shared" si="16"/>
        <v>48.106900000000223</v>
      </c>
    </row>
    <row r="29" spans="1:30" x14ac:dyDescent="0.2">
      <c r="A29" s="27">
        <v>43215</v>
      </c>
      <c r="B29" s="7">
        <f>'[4]Production Summary'!J30</f>
        <v>16909999.999999855</v>
      </c>
      <c r="C29" s="8">
        <f t="shared" si="1"/>
        <v>16.909999999999854</v>
      </c>
      <c r="D29" s="10">
        <f t="shared" si="2"/>
        <v>51.913699999999551</v>
      </c>
      <c r="E29" s="7">
        <f>'[4]Production Summary'!E30</f>
        <v>18000000</v>
      </c>
      <c r="F29" s="8">
        <f t="shared" si="3"/>
        <v>18</v>
      </c>
      <c r="G29" s="10">
        <f t="shared" si="4"/>
        <v>55.26</v>
      </c>
      <c r="H29" s="7">
        <f>'[4]Production Summary'!G30</f>
        <v>10000</v>
      </c>
      <c r="I29" s="8">
        <f t="shared" si="0"/>
        <v>0.01</v>
      </c>
      <c r="J29" s="10">
        <f t="shared" si="5"/>
        <v>3.0699999999999998E-2</v>
      </c>
      <c r="K29" s="7">
        <f>'[4]Production Summary'!S30</f>
        <v>1383756</v>
      </c>
      <c r="L29" s="8">
        <f t="shared" si="6"/>
        <v>1.383756</v>
      </c>
      <c r="M29" s="10">
        <f t="shared" si="7"/>
        <v>4.2481309199999995</v>
      </c>
      <c r="N29" s="21"/>
      <c r="O29" s="7">
        <f>'[4]Production Summary'!I30</f>
        <v>0</v>
      </c>
      <c r="P29" s="8">
        <f t="shared" si="8"/>
        <v>0</v>
      </c>
      <c r="Q29" s="10">
        <f t="shared" si="9"/>
        <v>0</v>
      </c>
      <c r="R29" s="7">
        <f>'[4]Production Summary'!C30</f>
        <v>0</v>
      </c>
      <c r="S29" s="8">
        <f t="shared" si="10"/>
        <v>0</v>
      </c>
      <c r="T29" s="10">
        <f t="shared" si="11"/>
        <v>0</v>
      </c>
      <c r="U29" s="7">
        <f>'[4]Production Summary'!F30</f>
        <v>0</v>
      </c>
      <c r="V29" s="8">
        <f t="shared" si="12"/>
        <v>0</v>
      </c>
      <c r="W29" s="10">
        <f t="shared" si="13"/>
        <v>0</v>
      </c>
      <c r="X29" s="7">
        <f>'[4]Production Summary'!AB30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16909999.999999855</v>
      </c>
      <c r="AC29" s="8">
        <f t="shared" si="16"/>
        <v>16.909999999999854</v>
      </c>
      <c r="AD29" s="8">
        <f t="shared" si="16"/>
        <v>51.913699999999551</v>
      </c>
    </row>
    <row r="30" spans="1:30" x14ac:dyDescent="0.2">
      <c r="A30" s="27">
        <v>43216</v>
      </c>
      <c r="B30" s="7">
        <f>'[4]Production Summary'!J31</f>
        <v>16860000.000000581</v>
      </c>
      <c r="C30" s="8">
        <f t="shared" si="1"/>
        <v>16.860000000000582</v>
      </c>
      <c r="D30" s="10">
        <f t="shared" si="2"/>
        <v>51.760200000001781</v>
      </c>
      <c r="E30" s="7">
        <f>'[4]Production Summary'!E31</f>
        <v>19000000</v>
      </c>
      <c r="F30" s="8">
        <f t="shared" si="3"/>
        <v>19</v>
      </c>
      <c r="G30" s="10">
        <f t="shared" si="4"/>
        <v>58.33</v>
      </c>
      <c r="H30" s="7">
        <f>'[4]Production Summary'!G31</f>
        <v>0</v>
      </c>
      <c r="I30" s="8">
        <f t="shared" si="0"/>
        <v>0</v>
      </c>
      <c r="J30" s="10">
        <f t="shared" si="5"/>
        <v>0</v>
      </c>
      <c r="K30" s="7">
        <f>'[4]Production Summary'!S31</f>
        <v>1340586</v>
      </c>
      <c r="L30" s="8">
        <f t="shared" si="6"/>
        <v>1.3405860000000001</v>
      </c>
      <c r="M30" s="10">
        <f t="shared" si="7"/>
        <v>4.1155990200000003</v>
      </c>
      <c r="N30" s="21"/>
      <c r="O30" s="7">
        <f>'[4]Production Summary'!I31</f>
        <v>0</v>
      </c>
      <c r="P30" s="8">
        <f t="shared" si="8"/>
        <v>0</v>
      </c>
      <c r="Q30" s="10">
        <f t="shared" si="9"/>
        <v>0</v>
      </c>
      <c r="R30" s="7">
        <f>'[4]Production Summary'!C31</f>
        <v>0</v>
      </c>
      <c r="S30" s="8">
        <f t="shared" si="10"/>
        <v>0</v>
      </c>
      <c r="T30" s="10">
        <f t="shared" si="11"/>
        <v>0</v>
      </c>
      <c r="U30" s="7">
        <f>'[4]Production Summary'!F31</f>
        <v>0</v>
      </c>
      <c r="V30" s="8">
        <f t="shared" si="12"/>
        <v>0</v>
      </c>
      <c r="W30" s="10">
        <f t="shared" si="13"/>
        <v>0</v>
      </c>
      <c r="X30" s="7">
        <f>'[4]Production Summary'!AB31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16860000.000000581</v>
      </c>
      <c r="AC30" s="8">
        <f t="shared" si="16"/>
        <v>16.860000000000582</v>
      </c>
      <c r="AD30" s="8">
        <f>D30+Q30</f>
        <v>51.760200000001781</v>
      </c>
    </row>
    <row r="31" spans="1:30" x14ac:dyDescent="0.2">
      <c r="A31" s="27">
        <v>43217</v>
      </c>
      <c r="B31" s="7">
        <f>'[4]Production Summary'!J32</f>
        <v>18629999.999999199</v>
      </c>
      <c r="C31" s="8">
        <f t="shared" si="1"/>
        <v>18.6299999999992</v>
      </c>
      <c r="D31" s="10">
        <f t="shared" si="2"/>
        <v>57.19409999999754</v>
      </c>
      <c r="E31" s="7">
        <f>'[4]Production Summary'!E32</f>
        <v>19000000</v>
      </c>
      <c r="F31" s="8">
        <f t="shared" si="3"/>
        <v>19</v>
      </c>
      <c r="G31" s="10">
        <f t="shared" si="4"/>
        <v>58.33</v>
      </c>
      <c r="H31" s="7">
        <f>'[4]Production Summary'!G32</f>
        <v>10000</v>
      </c>
      <c r="I31" s="8">
        <f t="shared" si="0"/>
        <v>0.01</v>
      </c>
      <c r="J31" s="10">
        <f t="shared" si="5"/>
        <v>3.0699999999999998E-2</v>
      </c>
      <c r="K31" s="7">
        <f>'[4]Production Summary'!S32</f>
        <v>1350310</v>
      </c>
      <c r="L31" s="8">
        <f t="shared" si="6"/>
        <v>1.3503099999999999</v>
      </c>
      <c r="M31" s="10">
        <f t="shared" si="7"/>
        <v>4.1454516999999997</v>
      </c>
      <c r="N31" s="21"/>
      <c r="O31" s="7">
        <f>'[4]Production Summary'!I32</f>
        <v>0</v>
      </c>
      <c r="P31" s="8">
        <f t="shared" si="8"/>
        <v>0</v>
      </c>
      <c r="Q31" s="10">
        <f t="shared" si="9"/>
        <v>0</v>
      </c>
      <c r="R31" s="7">
        <f>'[4]Production Summary'!C32</f>
        <v>0</v>
      </c>
      <c r="S31" s="8">
        <f t="shared" si="10"/>
        <v>0</v>
      </c>
      <c r="T31" s="10">
        <f t="shared" si="11"/>
        <v>0</v>
      </c>
      <c r="U31" s="7">
        <f>'[4]Production Summary'!F32</f>
        <v>0</v>
      </c>
      <c r="V31" s="8">
        <f t="shared" si="12"/>
        <v>0</v>
      </c>
      <c r="W31" s="10">
        <f t="shared" si="13"/>
        <v>0</v>
      </c>
      <c r="X31" s="7">
        <f>'[4]Production Summary'!AB32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18629999.999999199</v>
      </c>
      <c r="AC31" s="8">
        <f t="shared" si="16"/>
        <v>18.6299999999992</v>
      </c>
      <c r="AD31" s="8">
        <f t="shared" si="16"/>
        <v>57.19409999999754</v>
      </c>
    </row>
    <row r="32" spans="1:30" x14ac:dyDescent="0.2">
      <c r="A32" s="27">
        <v>43218</v>
      </c>
      <c r="B32" s="7">
        <f>'[4]Production Summary'!J33</f>
        <v>19570000.000000618</v>
      </c>
      <c r="C32" s="8">
        <f t="shared" si="1"/>
        <v>19.570000000000618</v>
      </c>
      <c r="D32" s="10">
        <f t="shared" si="2"/>
        <v>60.079900000001892</v>
      </c>
      <c r="E32" s="7">
        <f>'[4]Production Summary'!E33</f>
        <v>22000000</v>
      </c>
      <c r="F32" s="8">
        <f t="shared" si="3"/>
        <v>22</v>
      </c>
      <c r="G32" s="10">
        <f t="shared" si="4"/>
        <v>67.539999999999992</v>
      </c>
      <c r="H32" s="7">
        <f>'[4]Production Summary'!G33</f>
        <v>10000</v>
      </c>
      <c r="I32" s="8">
        <f t="shared" si="0"/>
        <v>0.01</v>
      </c>
      <c r="J32" s="10">
        <f t="shared" si="5"/>
        <v>3.0699999999999998E-2</v>
      </c>
      <c r="K32" s="7">
        <f>'[4]Production Summary'!S33</f>
        <v>1624425</v>
      </c>
      <c r="L32" s="8">
        <f t="shared" si="6"/>
        <v>1.624425</v>
      </c>
      <c r="M32" s="10">
        <f t="shared" si="7"/>
        <v>4.9869847499999995</v>
      </c>
      <c r="N32" s="21"/>
      <c r="O32" s="7">
        <f>'[4]Production Summary'!I33</f>
        <v>0</v>
      </c>
      <c r="P32" s="8">
        <f t="shared" si="8"/>
        <v>0</v>
      </c>
      <c r="Q32" s="10">
        <f t="shared" si="9"/>
        <v>0</v>
      </c>
      <c r="R32" s="7">
        <f>'[4]Production Summary'!C33</f>
        <v>0</v>
      </c>
      <c r="S32" s="8">
        <f t="shared" si="10"/>
        <v>0</v>
      </c>
      <c r="T32" s="10">
        <f t="shared" si="11"/>
        <v>0</v>
      </c>
      <c r="U32" s="7">
        <f>'[4]Production Summary'!F33</f>
        <v>0</v>
      </c>
      <c r="V32" s="8">
        <f t="shared" si="12"/>
        <v>0</v>
      </c>
      <c r="W32" s="10">
        <f t="shared" si="13"/>
        <v>0</v>
      </c>
      <c r="X32" s="7">
        <f>'[4]Production Summary'!AB33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19570000.000000618</v>
      </c>
      <c r="AC32" s="8">
        <f t="shared" si="16"/>
        <v>19.570000000000618</v>
      </c>
      <c r="AD32" s="8">
        <f t="shared" si="16"/>
        <v>60.079900000001892</v>
      </c>
    </row>
    <row r="33" spans="1:32" x14ac:dyDescent="0.2">
      <c r="A33" s="27">
        <v>43219</v>
      </c>
      <c r="B33" s="7">
        <f>'[4]Production Summary'!J34</f>
        <v>18979999.999999564</v>
      </c>
      <c r="C33" s="8">
        <f t="shared" si="1"/>
        <v>18.979999999999563</v>
      </c>
      <c r="D33" s="10">
        <f t="shared" si="2"/>
        <v>58.268599999998656</v>
      </c>
      <c r="E33" s="7">
        <f>'[4]Production Summary'!E34</f>
        <v>21000000</v>
      </c>
      <c r="F33" s="8">
        <f t="shared" si="3"/>
        <v>21</v>
      </c>
      <c r="G33" s="10">
        <f t="shared" si="4"/>
        <v>64.47</v>
      </c>
      <c r="H33" s="7">
        <f>'[4]Production Summary'!G34</f>
        <v>10000</v>
      </c>
      <c r="I33" s="8">
        <f t="shared" si="0"/>
        <v>0.01</v>
      </c>
      <c r="J33" s="10">
        <f t="shared" si="5"/>
        <v>3.0699999999999998E-2</v>
      </c>
      <c r="K33" s="7">
        <f>'[4]Production Summary'!S34</f>
        <v>1736472</v>
      </c>
      <c r="L33" s="8">
        <f t="shared" si="6"/>
        <v>1.736472</v>
      </c>
      <c r="M33" s="10">
        <f t="shared" si="7"/>
        <v>5.3309690399999994</v>
      </c>
      <c r="N33" s="21"/>
      <c r="O33" s="7">
        <f>'[4]Production Summary'!I34</f>
        <v>0</v>
      </c>
      <c r="P33" s="8">
        <f t="shared" si="8"/>
        <v>0</v>
      </c>
      <c r="Q33" s="10">
        <f t="shared" si="9"/>
        <v>0</v>
      </c>
      <c r="R33" s="7">
        <f>'[4]Production Summary'!C34</f>
        <v>0</v>
      </c>
      <c r="S33" s="8">
        <f t="shared" si="10"/>
        <v>0</v>
      </c>
      <c r="T33" s="10">
        <f t="shared" si="11"/>
        <v>0</v>
      </c>
      <c r="U33" s="7">
        <f>'[4]Production Summary'!F34</f>
        <v>0</v>
      </c>
      <c r="V33" s="8">
        <f t="shared" si="12"/>
        <v>0</v>
      </c>
      <c r="W33" s="10">
        <f t="shared" si="13"/>
        <v>0</v>
      </c>
      <c r="X33" s="7">
        <f>'[4]Production Summary'!AB34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18979999.999999564</v>
      </c>
      <c r="AC33" s="8">
        <f t="shared" si="16"/>
        <v>18.979999999999563</v>
      </c>
      <c r="AD33" s="8">
        <f t="shared" si="16"/>
        <v>58.268599999998656</v>
      </c>
    </row>
    <row r="34" spans="1:32" ht="13.5" thickBot="1" x14ac:dyDescent="0.25">
      <c r="A34" s="27">
        <v>43220</v>
      </c>
      <c r="B34" s="7">
        <f>'[4]Production Summary'!J35</f>
        <v>23070000.000000618</v>
      </c>
      <c r="C34" s="8">
        <f t="shared" si="1"/>
        <v>23.070000000000618</v>
      </c>
      <c r="D34" s="10">
        <f t="shared" si="2"/>
        <v>70.82490000000189</v>
      </c>
      <c r="E34" s="7">
        <f>'[4]Production Summary'!E35</f>
        <v>26000000</v>
      </c>
      <c r="F34" s="8">
        <f t="shared" si="3"/>
        <v>26</v>
      </c>
      <c r="G34" s="10">
        <f t="shared" si="4"/>
        <v>79.819999999999993</v>
      </c>
      <c r="H34" s="7">
        <f>'[4]Production Summary'!G35</f>
        <v>10000</v>
      </c>
      <c r="I34" s="8">
        <f t="shared" si="0"/>
        <v>0.01</v>
      </c>
      <c r="J34" s="10">
        <f t="shared" si="5"/>
        <v>3.0699999999999998E-2</v>
      </c>
      <c r="K34" s="7">
        <f>'[4]Production Summary'!S35</f>
        <v>1834924</v>
      </c>
      <c r="L34" s="8">
        <f t="shared" si="6"/>
        <v>1.834924</v>
      </c>
      <c r="M34" s="10">
        <f t="shared" si="7"/>
        <v>5.6332166799999994</v>
      </c>
      <c r="N34" s="21"/>
      <c r="O34" s="7">
        <f>'[4]Production Summary'!I35</f>
        <v>0</v>
      </c>
      <c r="P34" s="8">
        <f t="shared" si="8"/>
        <v>0</v>
      </c>
      <c r="Q34" s="10">
        <f t="shared" si="9"/>
        <v>0</v>
      </c>
      <c r="R34" s="7">
        <f>'[4]Production Summary'!C35</f>
        <v>0</v>
      </c>
      <c r="S34" s="8">
        <f t="shared" si="10"/>
        <v>0</v>
      </c>
      <c r="T34" s="10">
        <f t="shared" si="11"/>
        <v>0</v>
      </c>
      <c r="U34" s="7">
        <f>'[4]Production Summary'!F35</f>
        <v>0</v>
      </c>
      <c r="V34" s="8">
        <f t="shared" si="12"/>
        <v>0</v>
      </c>
      <c r="W34" s="10">
        <f t="shared" si="13"/>
        <v>0</v>
      </c>
      <c r="X34" s="7">
        <f>'[4]Production Summary'!AB35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23070000.000000618</v>
      </c>
      <c r="AC34" s="8">
        <f t="shared" si="16"/>
        <v>23.070000000000618</v>
      </c>
      <c r="AD34" s="8">
        <f t="shared" si="16"/>
        <v>70.82490000000189</v>
      </c>
    </row>
    <row r="35" spans="1:32" ht="13.5" thickBot="1" x14ac:dyDescent="0.25">
      <c r="A35" s="3"/>
      <c r="B35" s="37"/>
      <c r="C35" s="38">
        <f>SUM(C5:C34)</f>
        <v>358.52000000000044</v>
      </c>
      <c r="D35" s="38">
        <f>SUM(D5:D34)</f>
        <v>1100.6564000000014</v>
      </c>
      <c r="E35" s="37"/>
      <c r="F35" s="38">
        <f>SUM(F5:F34)</f>
        <v>388</v>
      </c>
      <c r="G35" s="38">
        <f>SUM(G5:G34)</f>
        <v>1191.1599999999999</v>
      </c>
      <c r="H35" s="38"/>
      <c r="I35" s="38">
        <f>SUM(I5:I34)</f>
        <v>0.11999999999999998</v>
      </c>
      <c r="J35" s="38">
        <f>SUM(J5:J34)</f>
        <v>0.36840000000000001</v>
      </c>
      <c r="K35" s="37"/>
      <c r="L35" s="38">
        <f>SUM(L5:L34)</f>
        <v>31.043173999999997</v>
      </c>
      <c r="M35" s="38">
        <f>SUM(M5:M34)</f>
        <v>95.302544179999998</v>
      </c>
      <c r="N35" s="14"/>
      <c r="O35" s="38"/>
      <c r="P35" s="38">
        <f>SUM(P5:P34)</f>
        <v>86.073000000000022</v>
      </c>
      <c r="Q35" s="38">
        <f>SUM(Q5:Q34)</f>
        <v>264.24411000000003</v>
      </c>
      <c r="R35" s="38"/>
      <c r="S35" s="38">
        <f>SUM(S5:S34)</f>
        <v>88.173000000000002</v>
      </c>
      <c r="T35" s="38">
        <f>SUM(T5:T34)</f>
        <v>270.69110999999992</v>
      </c>
      <c r="U35" s="38"/>
      <c r="V35" s="38">
        <f>SUM(V5:V34)</f>
        <v>0</v>
      </c>
      <c r="W35" s="38">
        <f>SUM(W5:W34)</f>
        <v>0</v>
      </c>
      <c r="X35" s="38"/>
      <c r="Y35" s="38">
        <f>SUM(Y5:Y34)</f>
        <v>88.173000000000002</v>
      </c>
      <c r="Z35" s="38">
        <f>SUM(Z5:Z34)</f>
        <v>270.69110999999992</v>
      </c>
      <c r="AA35" s="14"/>
      <c r="AB35" s="37">
        <f t="shared" si="16"/>
        <v>0</v>
      </c>
      <c r="AC35" s="38">
        <f t="shared" si="16"/>
        <v>444.59300000000047</v>
      </c>
      <c r="AD35" s="38">
        <f t="shared" si="16"/>
        <v>1364.9005100000015</v>
      </c>
      <c r="AF35" s="18"/>
    </row>
    <row r="36" spans="1:32" x14ac:dyDescent="0.2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38"/>
  <sheetViews>
    <sheetView workbookViewId="0">
      <pane xSplit="1" ySplit="4" topLeftCell="I5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X5" sqref="X5"/>
    </sheetView>
  </sheetViews>
  <sheetFormatPr defaultRowHeight="12.75" x14ac:dyDescent="0.2"/>
  <cols>
    <col min="2" max="2" width="11.42578125" customWidth="1"/>
    <col min="5" max="5" width="11.28515625" customWidth="1"/>
    <col min="8" max="8" width="14.42578125" bestFit="1" customWidth="1"/>
    <col min="11" max="11" width="10.28515625" customWidth="1"/>
    <col min="12" max="12" width="11" customWidth="1"/>
    <col min="15" max="15" width="11.7109375" customWidth="1"/>
    <col min="18" max="18" width="11.28515625" customWidth="1"/>
    <col min="22" max="22" width="10.42578125" customWidth="1"/>
    <col min="24" max="24" width="11.7109375" bestFit="1" customWidth="1"/>
    <col min="28" max="28" width="13.28515625" customWidth="1"/>
  </cols>
  <sheetData>
    <row r="1" spans="1:30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14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">
      <c r="A5" s="27">
        <v>43221</v>
      </c>
      <c r="B5" s="7">
        <f>'[4]Production Summary'!J36</f>
        <v>21920000.000000075</v>
      </c>
      <c r="C5" s="8">
        <f t="shared" ref="C5" si="0">B5/1000000</f>
        <v>21.920000000000073</v>
      </c>
      <c r="D5" s="10">
        <f t="shared" ref="D5" si="1">C5*3.07</f>
        <v>67.294400000000223</v>
      </c>
      <c r="E5" s="7">
        <f>'[4]Production Summary'!E36</f>
        <v>24000000</v>
      </c>
      <c r="F5" s="8">
        <f t="shared" ref="F5" si="2">E5/1000000</f>
        <v>24</v>
      </c>
      <c r="G5" s="10">
        <f t="shared" ref="G5" si="3">F5*3.07</f>
        <v>73.679999999999993</v>
      </c>
      <c r="H5" s="7">
        <f>'[4]Production Summary'!G36</f>
        <v>10000</v>
      </c>
      <c r="I5" s="8">
        <f t="shared" ref="I5" si="4">H5/1000000</f>
        <v>0.01</v>
      </c>
      <c r="J5" s="10">
        <f t="shared" ref="J5" si="5">I5*3.07</f>
        <v>3.0699999999999998E-2</v>
      </c>
      <c r="K5" s="7">
        <f>'[4]Production Summary'!S36</f>
        <v>1764718</v>
      </c>
      <c r="L5" s="8">
        <f t="shared" ref="L5" si="6">K5/1000000</f>
        <v>1.764718</v>
      </c>
      <c r="M5" s="10">
        <f t="shared" ref="M5" si="7">L5*3.07</f>
        <v>5.4176842599999997</v>
      </c>
      <c r="N5" s="21"/>
      <c r="O5" s="7">
        <f>'[4]Production Summary'!I36</f>
        <v>0</v>
      </c>
      <c r="P5" s="8">
        <f t="shared" ref="P5" si="8">O5/1000000</f>
        <v>0</v>
      </c>
      <c r="Q5" s="10">
        <f t="shared" ref="Q5" si="9">P5*3.07</f>
        <v>0</v>
      </c>
      <c r="R5" s="7">
        <f>'[4]Production Summary'!C36</f>
        <v>0</v>
      </c>
      <c r="S5" s="8">
        <f t="shared" ref="S5" si="10">R5/1000000</f>
        <v>0</v>
      </c>
      <c r="T5" s="10">
        <f t="shared" ref="T5" si="11">S5*3.07</f>
        <v>0</v>
      </c>
      <c r="U5" s="7">
        <f>'[4]Production Summary'!F36</f>
        <v>0</v>
      </c>
      <c r="V5" s="8">
        <f t="shared" ref="V5" si="12">U5/1000000</f>
        <v>0</v>
      </c>
      <c r="W5" s="10">
        <f t="shared" ref="W5" si="13">V5*3.07</f>
        <v>0</v>
      </c>
      <c r="X5" s="7">
        <f>'[4]Production Summary'!AB36</f>
        <v>0</v>
      </c>
      <c r="Y5" s="8">
        <f t="shared" ref="Y5" si="14">X5/1000000</f>
        <v>0</v>
      </c>
      <c r="Z5" s="10">
        <f t="shared" ref="Z5" si="15">Y5*3.07</f>
        <v>0</v>
      </c>
      <c r="AA5" s="15"/>
      <c r="AB5" s="7">
        <f t="shared" ref="AB5:AD5" si="16">B5+O5</f>
        <v>21920000.000000075</v>
      </c>
      <c r="AC5" s="8">
        <f t="shared" si="16"/>
        <v>21.920000000000073</v>
      </c>
      <c r="AD5" s="8">
        <f t="shared" si="16"/>
        <v>67.294400000000223</v>
      </c>
    </row>
    <row r="6" spans="1:30" x14ac:dyDescent="0.2">
      <c r="A6" s="27">
        <v>43222</v>
      </c>
      <c r="B6" s="7">
        <f>'[4]Production Summary'!J37</f>
        <v>21979999.999999564</v>
      </c>
      <c r="C6" s="8">
        <f t="shared" ref="C6:C35" si="17">B6/1000000</f>
        <v>21.979999999999563</v>
      </c>
      <c r="D6" s="10">
        <f t="shared" ref="D6:D35" si="18">C6*3.07</f>
        <v>67.47859999999865</v>
      </c>
      <c r="E6" s="7">
        <f>'[4]Production Summary'!E37</f>
        <v>24000000</v>
      </c>
      <c r="F6" s="8">
        <f t="shared" ref="F6:F35" si="19">E6/1000000</f>
        <v>24</v>
      </c>
      <c r="G6" s="10">
        <f t="shared" ref="G6:G35" si="20">F6*3.07</f>
        <v>73.679999999999993</v>
      </c>
      <c r="H6" s="7">
        <f>'[4]Production Summary'!G37</f>
        <v>10000</v>
      </c>
      <c r="I6" s="8">
        <f t="shared" ref="I6:I35" si="21">H6/1000000</f>
        <v>0.01</v>
      </c>
      <c r="J6" s="10">
        <f t="shared" ref="J6:J35" si="22">I6*3.07</f>
        <v>3.0699999999999998E-2</v>
      </c>
      <c r="K6" s="7">
        <f>'[4]Production Summary'!S37</f>
        <v>1687386</v>
      </c>
      <c r="L6" s="8">
        <f t="shared" ref="L6:L35" si="23">K6/1000000</f>
        <v>1.6873860000000001</v>
      </c>
      <c r="M6" s="10">
        <f t="shared" ref="M6:M35" si="24">L6*3.07</f>
        <v>5.1802750199999998</v>
      </c>
      <c r="N6" s="21"/>
      <c r="O6" s="7">
        <f>'[4]Production Summary'!I37</f>
        <v>0</v>
      </c>
      <c r="P6" s="8">
        <f t="shared" ref="P6:P35" si="25">O6/1000000</f>
        <v>0</v>
      </c>
      <c r="Q6" s="10">
        <f t="shared" ref="Q6:Q35" si="26">P6*3.07</f>
        <v>0</v>
      </c>
      <c r="R6" s="7">
        <f>'[4]Production Summary'!C37</f>
        <v>0</v>
      </c>
      <c r="S6" s="8">
        <f t="shared" ref="S6:S35" si="27">R6/1000000</f>
        <v>0</v>
      </c>
      <c r="T6" s="10">
        <f t="shared" ref="T6:T35" si="28">S6*3.07</f>
        <v>0</v>
      </c>
      <c r="U6" s="7">
        <f>'[4]Production Summary'!F37</f>
        <v>0</v>
      </c>
      <c r="V6" s="8">
        <f t="shared" ref="V6:V35" si="29">U6/1000000</f>
        <v>0</v>
      </c>
      <c r="W6" s="10">
        <f t="shared" ref="W6:W35" si="30">V6*3.07</f>
        <v>0</v>
      </c>
      <c r="X6" s="7">
        <f>'[4]Production Summary'!AB37</f>
        <v>0</v>
      </c>
      <c r="Y6" s="8">
        <f t="shared" ref="Y6:Y35" si="31">X6/1000000</f>
        <v>0</v>
      </c>
      <c r="Z6" s="10">
        <f t="shared" ref="Z6:Z35" si="32">Y6*3.07</f>
        <v>0</v>
      </c>
      <c r="AA6" s="15"/>
      <c r="AB6" s="7">
        <f t="shared" ref="AB6:AD35" si="33">B6+O6</f>
        <v>21979999.999999564</v>
      </c>
      <c r="AC6" s="8">
        <f t="shared" si="33"/>
        <v>21.979999999999563</v>
      </c>
      <c r="AD6" s="8">
        <f t="shared" si="33"/>
        <v>67.47859999999865</v>
      </c>
    </row>
    <row r="7" spans="1:30" x14ac:dyDescent="0.2">
      <c r="A7" s="27">
        <v>43223</v>
      </c>
      <c r="B7" s="7">
        <f>'[4]Production Summary'!J38</f>
        <v>18409999.999999855</v>
      </c>
      <c r="C7" s="8">
        <f t="shared" si="17"/>
        <v>18.409999999999854</v>
      </c>
      <c r="D7" s="10">
        <f t="shared" si="18"/>
        <v>56.518699999999548</v>
      </c>
      <c r="E7" s="7">
        <f>'[4]Production Summary'!E38</f>
        <v>20000000</v>
      </c>
      <c r="F7" s="8">
        <f t="shared" si="19"/>
        <v>20</v>
      </c>
      <c r="G7" s="10">
        <f t="shared" si="20"/>
        <v>61.4</v>
      </c>
      <c r="H7" s="7">
        <f>'[4]Production Summary'!G38</f>
        <v>0</v>
      </c>
      <c r="I7" s="8">
        <f t="shared" si="21"/>
        <v>0</v>
      </c>
      <c r="J7" s="10">
        <f t="shared" si="22"/>
        <v>0</v>
      </c>
      <c r="K7" s="7">
        <f>'[4]Production Summary'!S38</f>
        <v>1480922</v>
      </c>
      <c r="L7" s="8">
        <f t="shared" si="23"/>
        <v>1.4809220000000001</v>
      </c>
      <c r="M7" s="10">
        <f t="shared" si="24"/>
        <v>4.5464305400000002</v>
      </c>
      <c r="N7" s="21"/>
      <c r="O7" s="7">
        <f>'[4]Production Summary'!I38</f>
        <v>0</v>
      </c>
      <c r="P7" s="8">
        <f t="shared" si="25"/>
        <v>0</v>
      </c>
      <c r="Q7" s="10">
        <f t="shared" si="26"/>
        <v>0</v>
      </c>
      <c r="R7" s="7">
        <f>'[4]Production Summary'!C38</f>
        <v>0</v>
      </c>
      <c r="S7" s="8">
        <f t="shared" si="27"/>
        <v>0</v>
      </c>
      <c r="T7" s="10">
        <f t="shared" si="28"/>
        <v>0</v>
      </c>
      <c r="U7" s="7">
        <f>'[4]Production Summary'!F38</f>
        <v>0</v>
      </c>
      <c r="V7" s="8">
        <f t="shared" si="29"/>
        <v>0</v>
      </c>
      <c r="W7" s="10">
        <f t="shared" si="30"/>
        <v>0</v>
      </c>
      <c r="X7" s="7">
        <f>'[4]Production Summary'!AB38</f>
        <v>0</v>
      </c>
      <c r="Y7" s="8">
        <f t="shared" si="31"/>
        <v>0</v>
      </c>
      <c r="Z7" s="10">
        <f t="shared" si="32"/>
        <v>0</v>
      </c>
      <c r="AA7" s="15"/>
      <c r="AB7" s="7">
        <f t="shared" si="33"/>
        <v>18409999.999999855</v>
      </c>
      <c r="AC7" s="8">
        <f t="shared" si="33"/>
        <v>18.409999999999854</v>
      </c>
      <c r="AD7" s="8">
        <f t="shared" si="33"/>
        <v>56.518699999999548</v>
      </c>
    </row>
    <row r="8" spans="1:30" x14ac:dyDescent="0.2">
      <c r="A8" s="27">
        <v>43224</v>
      </c>
      <c r="B8" s="7">
        <f>'[4]Production Summary'!J39</f>
        <v>21250000</v>
      </c>
      <c r="C8" s="8">
        <f t="shared" si="17"/>
        <v>21.25</v>
      </c>
      <c r="D8" s="10">
        <f t="shared" si="18"/>
        <v>65.237499999999997</v>
      </c>
      <c r="E8" s="7">
        <f>'[4]Production Summary'!E39</f>
        <v>24000000</v>
      </c>
      <c r="F8" s="8">
        <f t="shared" si="19"/>
        <v>24</v>
      </c>
      <c r="G8" s="10">
        <f t="shared" si="20"/>
        <v>73.679999999999993</v>
      </c>
      <c r="H8" s="7">
        <f>'[4]Production Summary'!G39</f>
        <v>10000</v>
      </c>
      <c r="I8" s="8">
        <f t="shared" si="21"/>
        <v>0.01</v>
      </c>
      <c r="J8" s="10">
        <f t="shared" si="22"/>
        <v>3.0699999999999998E-2</v>
      </c>
      <c r="K8" s="7">
        <f>'[4]Production Summary'!S39</f>
        <v>1762009</v>
      </c>
      <c r="L8" s="8">
        <f t="shared" si="23"/>
        <v>1.7620089999999999</v>
      </c>
      <c r="M8" s="10">
        <f t="shared" si="24"/>
        <v>5.4093676299999993</v>
      </c>
      <c r="N8" s="21"/>
      <c r="O8" s="7">
        <f>'[4]Production Summary'!I39</f>
        <v>0</v>
      </c>
      <c r="P8" s="8">
        <f t="shared" si="25"/>
        <v>0</v>
      </c>
      <c r="Q8" s="10">
        <f t="shared" si="26"/>
        <v>0</v>
      </c>
      <c r="R8" s="7">
        <f>'[4]Production Summary'!C39</f>
        <v>0</v>
      </c>
      <c r="S8" s="8">
        <f t="shared" si="27"/>
        <v>0</v>
      </c>
      <c r="T8" s="10">
        <f t="shared" si="28"/>
        <v>0</v>
      </c>
      <c r="U8" s="7">
        <f>'[4]Production Summary'!F39</f>
        <v>0</v>
      </c>
      <c r="V8" s="8">
        <f t="shared" si="29"/>
        <v>0</v>
      </c>
      <c r="W8" s="10">
        <f t="shared" si="30"/>
        <v>0</v>
      </c>
      <c r="X8" s="7">
        <f>'[4]Production Summary'!AB39</f>
        <v>0</v>
      </c>
      <c r="Y8" s="8">
        <f t="shared" si="31"/>
        <v>0</v>
      </c>
      <c r="Z8" s="10">
        <f t="shared" si="32"/>
        <v>0</v>
      </c>
      <c r="AA8" s="15"/>
      <c r="AB8" s="7">
        <f t="shared" si="33"/>
        <v>21250000</v>
      </c>
      <c r="AC8" s="8">
        <f t="shared" si="33"/>
        <v>21.25</v>
      </c>
      <c r="AD8" s="8">
        <f t="shared" si="33"/>
        <v>65.237499999999997</v>
      </c>
    </row>
    <row r="9" spans="1:30" x14ac:dyDescent="0.2">
      <c r="A9" s="27">
        <v>43225</v>
      </c>
      <c r="B9" s="7">
        <f>'[4]Production Summary'!J40</f>
        <v>20989999.99999978</v>
      </c>
      <c r="C9" s="8">
        <f t="shared" si="17"/>
        <v>20.989999999999782</v>
      </c>
      <c r="D9" s="10">
        <f t="shared" si="18"/>
        <v>64.439299999999321</v>
      </c>
      <c r="E9" s="7">
        <f>'[4]Production Summary'!E40</f>
        <v>23000000</v>
      </c>
      <c r="F9" s="8">
        <f t="shared" si="19"/>
        <v>23</v>
      </c>
      <c r="G9" s="10">
        <f t="shared" si="20"/>
        <v>70.61</v>
      </c>
      <c r="H9" s="7">
        <f>'[4]Production Summary'!G40</f>
        <v>10000</v>
      </c>
      <c r="I9" s="8">
        <f t="shared" si="21"/>
        <v>0.01</v>
      </c>
      <c r="J9" s="10">
        <f t="shared" si="22"/>
        <v>3.0699999999999998E-2</v>
      </c>
      <c r="K9" s="7">
        <f>'[4]Production Summary'!S40</f>
        <v>1586004</v>
      </c>
      <c r="L9" s="8">
        <f t="shared" si="23"/>
        <v>1.586004</v>
      </c>
      <c r="M9" s="10">
        <f t="shared" si="24"/>
        <v>4.8690322799999999</v>
      </c>
      <c r="N9" s="21"/>
      <c r="O9" s="7">
        <f>'[4]Production Summary'!I40</f>
        <v>0</v>
      </c>
      <c r="P9" s="8">
        <f t="shared" si="25"/>
        <v>0</v>
      </c>
      <c r="Q9" s="10">
        <f t="shared" si="26"/>
        <v>0</v>
      </c>
      <c r="R9" s="7">
        <f>'[4]Production Summary'!C40</f>
        <v>0</v>
      </c>
      <c r="S9" s="8">
        <f t="shared" si="27"/>
        <v>0</v>
      </c>
      <c r="T9" s="10">
        <f t="shared" si="28"/>
        <v>0</v>
      </c>
      <c r="U9" s="7">
        <f>'[4]Production Summary'!F40</f>
        <v>0</v>
      </c>
      <c r="V9" s="8">
        <f t="shared" si="29"/>
        <v>0</v>
      </c>
      <c r="W9" s="10">
        <f t="shared" si="30"/>
        <v>0</v>
      </c>
      <c r="X9" s="7">
        <f>'[4]Production Summary'!AB40</f>
        <v>0</v>
      </c>
      <c r="Y9" s="8">
        <f t="shared" si="31"/>
        <v>0</v>
      </c>
      <c r="Z9" s="10">
        <f t="shared" si="32"/>
        <v>0</v>
      </c>
      <c r="AA9" s="15"/>
      <c r="AB9" s="7">
        <f t="shared" si="33"/>
        <v>20989999.99999978</v>
      </c>
      <c r="AC9" s="8">
        <f t="shared" si="33"/>
        <v>20.989999999999782</v>
      </c>
      <c r="AD9" s="8">
        <f t="shared" si="33"/>
        <v>64.439299999999321</v>
      </c>
    </row>
    <row r="10" spans="1:30" x14ac:dyDescent="0.2">
      <c r="A10" s="27">
        <v>43226</v>
      </c>
      <c r="B10" s="7">
        <f>'[4]Production Summary'!J41</f>
        <v>24980000.000000473</v>
      </c>
      <c r="C10" s="8">
        <f t="shared" si="17"/>
        <v>24.980000000000473</v>
      </c>
      <c r="D10" s="10">
        <f t="shared" si="18"/>
        <v>76.688600000001443</v>
      </c>
      <c r="E10" s="7">
        <f>'[4]Production Summary'!E41</f>
        <v>27000000</v>
      </c>
      <c r="F10" s="8">
        <f t="shared" si="19"/>
        <v>27</v>
      </c>
      <c r="G10" s="10">
        <f t="shared" si="20"/>
        <v>82.89</v>
      </c>
      <c r="H10" s="7">
        <f>'[4]Production Summary'!G41</f>
        <v>10000</v>
      </c>
      <c r="I10" s="8">
        <f t="shared" si="21"/>
        <v>0.01</v>
      </c>
      <c r="J10" s="10">
        <f t="shared" si="22"/>
        <v>3.0699999999999998E-2</v>
      </c>
      <c r="K10" s="7">
        <f>'[4]Production Summary'!S41</f>
        <v>1968041</v>
      </c>
      <c r="L10" s="8">
        <f t="shared" si="23"/>
        <v>1.9680409999999999</v>
      </c>
      <c r="M10" s="10">
        <f t="shared" si="24"/>
        <v>6.0418858699999998</v>
      </c>
      <c r="N10" s="21"/>
      <c r="O10" s="7">
        <f>'[4]Production Summary'!I41</f>
        <v>0</v>
      </c>
      <c r="P10" s="8">
        <f t="shared" si="25"/>
        <v>0</v>
      </c>
      <c r="Q10" s="10">
        <f t="shared" si="26"/>
        <v>0</v>
      </c>
      <c r="R10" s="7">
        <f>'[4]Production Summary'!C41</f>
        <v>0</v>
      </c>
      <c r="S10" s="8">
        <f t="shared" si="27"/>
        <v>0</v>
      </c>
      <c r="T10" s="10">
        <f t="shared" si="28"/>
        <v>0</v>
      </c>
      <c r="U10" s="7">
        <f>'[4]Production Summary'!F41</f>
        <v>0</v>
      </c>
      <c r="V10" s="8">
        <f t="shared" si="29"/>
        <v>0</v>
      </c>
      <c r="W10" s="10">
        <f t="shared" si="30"/>
        <v>0</v>
      </c>
      <c r="X10" s="7">
        <f>'[4]Production Summary'!AB41</f>
        <v>0</v>
      </c>
      <c r="Y10" s="8">
        <f t="shared" si="31"/>
        <v>0</v>
      </c>
      <c r="Z10" s="10">
        <f t="shared" si="32"/>
        <v>0</v>
      </c>
      <c r="AA10" s="15"/>
      <c r="AB10" s="7">
        <f t="shared" si="33"/>
        <v>24980000.000000473</v>
      </c>
      <c r="AC10" s="8">
        <f t="shared" si="33"/>
        <v>24.980000000000473</v>
      </c>
      <c r="AD10" s="8">
        <f t="shared" si="33"/>
        <v>76.688600000001443</v>
      </c>
    </row>
    <row r="11" spans="1:30" x14ac:dyDescent="0.2">
      <c r="A11" s="27">
        <v>43227</v>
      </c>
      <c r="B11" s="7">
        <f>'[4]Production Summary'!J42</f>
        <v>26699999.999999817</v>
      </c>
      <c r="C11" s="8">
        <f t="shared" si="17"/>
        <v>26.699999999999818</v>
      </c>
      <c r="D11" s="10">
        <f t="shared" si="18"/>
        <v>81.96899999999944</v>
      </c>
      <c r="E11" s="7">
        <f>'[4]Production Summary'!E42</f>
        <v>30000000</v>
      </c>
      <c r="F11" s="8">
        <f t="shared" si="19"/>
        <v>30</v>
      </c>
      <c r="G11" s="10">
        <f t="shared" si="20"/>
        <v>92.1</v>
      </c>
      <c r="H11" s="7">
        <f>'[4]Production Summary'!G42</f>
        <v>0</v>
      </c>
      <c r="I11" s="8">
        <f t="shared" si="21"/>
        <v>0</v>
      </c>
      <c r="J11" s="10">
        <f t="shared" si="22"/>
        <v>0</v>
      </c>
      <c r="K11" s="7">
        <f>'[4]Production Summary'!S42</f>
        <v>2199837</v>
      </c>
      <c r="L11" s="8">
        <f t="shared" si="23"/>
        <v>2.199837</v>
      </c>
      <c r="M11" s="10">
        <f t="shared" si="24"/>
        <v>6.7534995899999997</v>
      </c>
      <c r="N11" s="21"/>
      <c r="O11" s="7">
        <f>'[4]Production Summary'!I42</f>
        <v>0</v>
      </c>
      <c r="P11" s="8">
        <f t="shared" si="25"/>
        <v>0</v>
      </c>
      <c r="Q11" s="10">
        <f t="shared" si="26"/>
        <v>0</v>
      </c>
      <c r="R11" s="7">
        <f>'[4]Production Summary'!C42</f>
        <v>0</v>
      </c>
      <c r="S11" s="8">
        <f t="shared" si="27"/>
        <v>0</v>
      </c>
      <c r="T11" s="10">
        <f t="shared" si="28"/>
        <v>0</v>
      </c>
      <c r="U11" s="7">
        <f>'[4]Production Summary'!F42</f>
        <v>0</v>
      </c>
      <c r="V11" s="8">
        <f t="shared" si="29"/>
        <v>0</v>
      </c>
      <c r="W11" s="10">
        <f t="shared" si="30"/>
        <v>0</v>
      </c>
      <c r="X11" s="7">
        <f>'[4]Production Summary'!AB42</f>
        <v>0</v>
      </c>
      <c r="Y11" s="8">
        <f t="shared" si="31"/>
        <v>0</v>
      </c>
      <c r="Z11" s="10">
        <f t="shared" si="32"/>
        <v>0</v>
      </c>
      <c r="AA11" s="15"/>
      <c r="AB11" s="7">
        <f t="shared" si="33"/>
        <v>26699999.999999817</v>
      </c>
      <c r="AC11" s="8">
        <f t="shared" si="33"/>
        <v>26.699999999999818</v>
      </c>
      <c r="AD11" s="8">
        <f t="shared" si="33"/>
        <v>81.96899999999944</v>
      </c>
    </row>
    <row r="12" spans="1:30" x14ac:dyDescent="0.2">
      <c r="A12" s="27">
        <v>43228</v>
      </c>
      <c r="B12" s="7">
        <f>'[4]Production Summary'!J43</f>
        <v>28010000.00000022</v>
      </c>
      <c r="C12" s="8">
        <f t="shared" si="17"/>
        <v>28.010000000000218</v>
      </c>
      <c r="D12" s="10">
        <f t="shared" si="18"/>
        <v>85.990700000000672</v>
      </c>
      <c r="E12" s="7">
        <f>'[4]Production Summary'!E43</f>
        <v>30000000</v>
      </c>
      <c r="F12" s="8">
        <f t="shared" si="19"/>
        <v>30</v>
      </c>
      <c r="G12" s="10">
        <f t="shared" si="20"/>
        <v>92.1</v>
      </c>
      <c r="H12" s="7">
        <f>'[4]Production Summary'!G43</f>
        <v>10000</v>
      </c>
      <c r="I12" s="8">
        <f t="shared" si="21"/>
        <v>0.01</v>
      </c>
      <c r="J12" s="10">
        <f t="shared" si="22"/>
        <v>3.0699999999999998E-2</v>
      </c>
      <c r="K12" s="7">
        <f>'[4]Production Summary'!S43</f>
        <v>2124034</v>
      </c>
      <c r="L12" s="8">
        <f t="shared" si="23"/>
        <v>2.124034</v>
      </c>
      <c r="M12" s="10">
        <f t="shared" si="24"/>
        <v>6.5207843799999994</v>
      </c>
      <c r="N12" s="21"/>
      <c r="O12" s="7">
        <f>'[4]Production Summary'!I43</f>
        <v>0</v>
      </c>
      <c r="P12" s="8">
        <f t="shared" si="25"/>
        <v>0</v>
      </c>
      <c r="Q12" s="10">
        <f t="shared" si="26"/>
        <v>0</v>
      </c>
      <c r="R12" s="7">
        <f>'[4]Production Summary'!C43</f>
        <v>0</v>
      </c>
      <c r="S12" s="8">
        <f t="shared" si="27"/>
        <v>0</v>
      </c>
      <c r="T12" s="10">
        <f t="shared" si="28"/>
        <v>0</v>
      </c>
      <c r="U12" s="7">
        <f>'[4]Production Summary'!F43</f>
        <v>0</v>
      </c>
      <c r="V12" s="8">
        <f t="shared" si="29"/>
        <v>0</v>
      </c>
      <c r="W12" s="10">
        <f t="shared" si="30"/>
        <v>0</v>
      </c>
      <c r="X12" s="7">
        <f>'[4]Production Summary'!AB43</f>
        <v>0</v>
      </c>
      <c r="Y12" s="8">
        <f t="shared" si="31"/>
        <v>0</v>
      </c>
      <c r="Z12" s="10">
        <f t="shared" si="32"/>
        <v>0</v>
      </c>
      <c r="AA12" s="15"/>
      <c r="AB12" s="7">
        <f t="shared" si="33"/>
        <v>28010000.00000022</v>
      </c>
      <c r="AC12" s="8">
        <f t="shared" si="33"/>
        <v>28.010000000000218</v>
      </c>
      <c r="AD12" s="8">
        <f t="shared" si="33"/>
        <v>85.990700000000672</v>
      </c>
    </row>
    <row r="13" spans="1:30" x14ac:dyDescent="0.2">
      <c r="A13" s="27">
        <v>43229</v>
      </c>
      <c r="B13" s="7">
        <f>'[4]Production Summary'!J44</f>
        <v>24840000.000000145</v>
      </c>
      <c r="C13" s="8">
        <f t="shared" si="17"/>
        <v>24.840000000000146</v>
      </c>
      <c r="D13" s="10">
        <f t="shared" si="18"/>
        <v>76.258800000000448</v>
      </c>
      <c r="E13" s="7">
        <f>'[4]Production Summary'!E44</f>
        <v>28000000</v>
      </c>
      <c r="F13" s="8">
        <f t="shared" si="19"/>
        <v>28</v>
      </c>
      <c r="G13" s="10">
        <f t="shared" si="20"/>
        <v>85.96</v>
      </c>
      <c r="H13" s="7">
        <f>'[4]Production Summary'!G44</f>
        <v>10000</v>
      </c>
      <c r="I13" s="8">
        <f t="shared" si="21"/>
        <v>0.01</v>
      </c>
      <c r="J13" s="10">
        <f t="shared" si="22"/>
        <v>3.0699999999999998E-2</v>
      </c>
      <c r="K13" s="7">
        <f>'[4]Production Summary'!S44</f>
        <v>2041810</v>
      </c>
      <c r="L13" s="8">
        <f t="shared" si="23"/>
        <v>2.0418099999999999</v>
      </c>
      <c r="M13" s="10">
        <f t="shared" si="24"/>
        <v>6.2683566999999991</v>
      </c>
      <c r="N13" s="21"/>
      <c r="O13" s="7">
        <f>'[4]Production Summary'!I44</f>
        <v>0</v>
      </c>
      <c r="P13" s="8">
        <f t="shared" si="25"/>
        <v>0</v>
      </c>
      <c r="Q13" s="10">
        <f t="shared" si="26"/>
        <v>0</v>
      </c>
      <c r="R13" s="7">
        <f>'[4]Production Summary'!C44</f>
        <v>0</v>
      </c>
      <c r="S13" s="8">
        <f t="shared" si="27"/>
        <v>0</v>
      </c>
      <c r="T13" s="10">
        <f t="shared" si="28"/>
        <v>0</v>
      </c>
      <c r="U13" s="7">
        <f>'[4]Production Summary'!F44</f>
        <v>0</v>
      </c>
      <c r="V13" s="8">
        <f t="shared" si="29"/>
        <v>0</v>
      </c>
      <c r="W13" s="10">
        <f t="shared" si="30"/>
        <v>0</v>
      </c>
      <c r="X13" s="7">
        <f>'[4]Production Summary'!AB44</f>
        <v>0</v>
      </c>
      <c r="Y13" s="8">
        <f t="shared" si="31"/>
        <v>0</v>
      </c>
      <c r="Z13" s="10">
        <f t="shared" si="32"/>
        <v>0</v>
      </c>
      <c r="AA13" s="15"/>
      <c r="AB13" s="7">
        <f t="shared" si="33"/>
        <v>24840000.000000145</v>
      </c>
      <c r="AC13" s="8">
        <f t="shared" si="33"/>
        <v>24.840000000000146</v>
      </c>
      <c r="AD13" s="8">
        <f t="shared" si="33"/>
        <v>76.258800000000448</v>
      </c>
    </row>
    <row r="14" spans="1:30" x14ac:dyDescent="0.2">
      <c r="A14" s="27">
        <v>43230</v>
      </c>
      <c r="B14" s="7">
        <f>'[4]Production Summary'!J45</f>
        <v>24349999.999999456</v>
      </c>
      <c r="C14" s="8">
        <f t="shared" si="17"/>
        <v>24.349999999999458</v>
      </c>
      <c r="D14" s="10">
        <f t="shared" si="18"/>
        <v>74.75449999999833</v>
      </c>
      <c r="E14" s="7">
        <f>'[4]Production Summary'!E45</f>
        <v>26000000</v>
      </c>
      <c r="F14" s="8">
        <f t="shared" si="19"/>
        <v>26</v>
      </c>
      <c r="G14" s="10">
        <f t="shared" si="20"/>
        <v>79.819999999999993</v>
      </c>
      <c r="H14" s="7">
        <f>'[4]Production Summary'!G45</f>
        <v>10000</v>
      </c>
      <c r="I14" s="8">
        <f t="shared" si="21"/>
        <v>0.01</v>
      </c>
      <c r="J14" s="10">
        <f t="shared" si="22"/>
        <v>3.0699999999999998E-2</v>
      </c>
      <c r="K14" s="7">
        <f>'[4]Production Summary'!S45</f>
        <v>1970233</v>
      </c>
      <c r="L14" s="8">
        <f t="shared" si="23"/>
        <v>1.9702329999999999</v>
      </c>
      <c r="M14" s="10">
        <f t="shared" si="24"/>
        <v>6.0486153099999997</v>
      </c>
      <c r="N14" s="21"/>
      <c r="O14" s="7">
        <f>'[4]Production Summary'!I45</f>
        <v>0</v>
      </c>
      <c r="P14" s="8">
        <f t="shared" si="25"/>
        <v>0</v>
      </c>
      <c r="Q14" s="10">
        <f t="shared" si="26"/>
        <v>0</v>
      </c>
      <c r="R14" s="7">
        <f>'[4]Production Summary'!C45</f>
        <v>0</v>
      </c>
      <c r="S14" s="8">
        <f t="shared" si="27"/>
        <v>0</v>
      </c>
      <c r="T14" s="10">
        <f t="shared" si="28"/>
        <v>0</v>
      </c>
      <c r="U14" s="7">
        <f>'[4]Production Summary'!F45</f>
        <v>0</v>
      </c>
      <c r="V14" s="8">
        <f t="shared" si="29"/>
        <v>0</v>
      </c>
      <c r="W14" s="10">
        <f t="shared" si="30"/>
        <v>0</v>
      </c>
      <c r="X14" s="7">
        <f>'[4]Production Summary'!AB45</f>
        <v>0</v>
      </c>
      <c r="Y14" s="8">
        <f t="shared" si="31"/>
        <v>0</v>
      </c>
      <c r="Z14" s="10">
        <f t="shared" si="32"/>
        <v>0</v>
      </c>
      <c r="AA14" s="15"/>
      <c r="AB14" s="7">
        <f t="shared" si="33"/>
        <v>24349999.999999456</v>
      </c>
      <c r="AC14" s="8">
        <f t="shared" si="33"/>
        <v>24.349999999999458</v>
      </c>
      <c r="AD14" s="8">
        <f t="shared" si="33"/>
        <v>74.75449999999833</v>
      </c>
    </row>
    <row r="15" spans="1:30" x14ac:dyDescent="0.2">
      <c r="A15" s="27">
        <v>43231</v>
      </c>
      <c r="B15" s="7">
        <f>'[4]Production Summary'!J46</f>
        <v>24920000.000000075</v>
      </c>
      <c r="C15" s="8">
        <f t="shared" si="17"/>
        <v>24.920000000000073</v>
      </c>
      <c r="D15" s="10">
        <f t="shared" si="18"/>
        <v>76.504400000000217</v>
      </c>
      <c r="E15" s="7">
        <f>'[4]Production Summary'!E46</f>
        <v>28000000</v>
      </c>
      <c r="F15" s="8">
        <f t="shared" si="19"/>
        <v>28</v>
      </c>
      <c r="G15" s="10">
        <f t="shared" si="20"/>
        <v>85.96</v>
      </c>
      <c r="H15" s="7">
        <f>'[4]Production Summary'!G46</f>
        <v>0</v>
      </c>
      <c r="I15" s="8">
        <f t="shared" si="21"/>
        <v>0</v>
      </c>
      <c r="J15" s="10">
        <f t="shared" si="22"/>
        <v>0</v>
      </c>
      <c r="K15" s="7">
        <f>'[4]Production Summary'!S46</f>
        <v>1978732</v>
      </c>
      <c r="L15" s="8">
        <f t="shared" si="23"/>
        <v>1.9787319999999999</v>
      </c>
      <c r="M15" s="10">
        <f t="shared" si="24"/>
        <v>6.0747072399999995</v>
      </c>
      <c r="N15" s="21"/>
      <c r="O15" s="7">
        <f>'[4]Production Summary'!I46</f>
        <v>0</v>
      </c>
      <c r="P15" s="8">
        <f t="shared" si="25"/>
        <v>0</v>
      </c>
      <c r="Q15" s="10">
        <f t="shared" si="26"/>
        <v>0</v>
      </c>
      <c r="R15" s="7">
        <f>'[4]Production Summary'!C46</f>
        <v>0</v>
      </c>
      <c r="S15" s="8">
        <f t="shared" si="27"/>
        <v>0</v>
      </c>
      <c r="T15" s="10">
        <f t="shared" si="28"/>
        <v>0</v>
      </c>
      <c r="U15" s="7">
        <f>'[4]Production Summary'!F46</f>
        <v>0</v>
      </c>
      <c r="V15" s="8">
        <f t="shared" si="29"/>
        <v>0</v>
      </c>
      <c r="W15" s="10">
        <f t="shared" si="30"/>
        <v>0</v>
      </c>
      <c r="X15" s="7">
        <f>'[4]Production Summary'!AB46</f>
        <v>0</v>
      </c>
      <c r="Y15" s="8">
        <f t="shared" si="31"/>
        <v>0</v>
      </c>
      <c r="Z15" s="10">
        <f t="shared" si="32"/>
        <v>0</v>
      </c>
      <c r="AA15" s="15"/>
      <c r="AB15" s="7">
        <f t="shared" si="33"/>
        <v>24920000.000000075</v>
      </c>
      <c r="AC15" s="8">
        <f t="shared" si="33"/>
        <v>24.920000000000073</v>
      </c>
      <c r="AD15" s="8">
        <f t="shared" si="33"/>
        <v>76.504400000000217</v>
      </c>
    </row>
    <row r="16" spans="1:30" x14ac:dyDescent="0.2">
      <c r="A16" s="27">
        <v>43232</v>
      </c>
      <c r="B16" s="7">
        <f>'[4]Production Summary'!J47</f>
        <v>23230000.000000473</v>
      </c>
      <c r="C16" s="8">
        <f t="shared" si="17"/>
        <v>23.230000000000473</v>
      </c>
      <c r="D16" s="10">
        <f t="shared" si="18"/>
        <v>71.316100000001441</v>
      </c>
      <c r="E16" s="7">
        <f>'[4]Production Summary'!E47</f>
        <v>25000000</v>
      </c>
      <c r="F16" s="8">
        <f t="shared" si="19"/>
        <v>25</v>
      </c>
      <c r="G16" s="10">
        <f t="shared" si="20"/>
        <v>76.75</v>
      </c>
      <c r="H16" s="7">
        <f>'[4]Production Summary'!G47</f>
        <v>10000</v>
      </c>
      <c r="I16" s="8">
        <f t="shared" si="21"/>
        <v>0.01</v>
      </c>
      <c r="J16" s="10">
        <f t="shared" si="22"/>
        <v>3.0699999999999998E-2</v>
      </c>
      <c r="K16" s="7">
        <f>'[4]Production Summary'!S47</f>
        <v>1919223</v>
      </c>
      <c r="L16" s="8">
        <f t="shared" si="23"/>
        <v>1.9192229999999999</v>
      </c>
      <c r="M16" s="10">
        <f t="shared" si="24"/>
        <v>5.8920146099999995</v>
      </c>
      <c r="N16" s="21"/>
      <c r="O16" s="7">
        <f>'[4]Production Summary'!I47</f>
        <v>0</v>
      </c>
      <c r="P16" s="8">
        <f t="shared" si="25"/>
        <v>0</v>
      </c>
      <c r="Q16" s="10">
        <f t="shared" si="26"/>
        <v>0</v>
      </c>
      <c r="R16" s="7">
        <f>'[4]Production Summary'!C47</f>
        <v>0</v>
      </c>
      <c r="S16" s="8">
        <f t="shared" si="27"/>
        <v>0</v>
      </c>
      <c r="T16" s="10">
        <f t="shared" si="28"/>
        <v>0</v>
      </c>
      <c r="U16" s="7">
        <f>'[4]Production Summary'!F47</f>
        <v>0</v>
      </c>
      <c r="V16" s="8">
        <f t="shared" si="29"/>
        <v>0</v>
      </c>
      <c r="W16" s="10">
        <f t="shared" si="30"/>
        <v>0</v>
      </c>
      <c r="X16" s="7">
        <f>'[4]Production Summary'!AB47</f>
        <v>0</v>
      </c>
      <c r="Y16" s="8">
        <f t="shared" si="31"/>
        <v>0</v>
      </c>
      <c r="Z16" s="10">
        <f t="shared" si="32"/>
        <v>0</v>
      </c>
      <c r="AA16" s="15"/>
      <c r="AB16" s="7">
        <f t="shared" si="33"/>
        <v>23230000.000000473</v>
      </c>
      <c r="AC16" s="8">
        <f t="shared" si="33"/>
        <v>23.230000000000473</v>
      </c>
      <c r="AD16" s="8">
        <f t="shared" si="33"/>
        <v>71.316100000001441</v>
      </c>
    </row>
    <row r="17" spans="1:30" x14ac:dyDescent="0.2">
      <c r="A17" s="27">
        <v>43233</v>
      </c>
      <c r="B17" s="7">
        <f>'[4]Production Summary'!J48</f>
        <v>25889999.999999419</v>
      </c>
      <c r="C17" s="8">
        <f t="shared" si="17"/>
        <v>25.889999999999418</v>
      </c>
      <c r="D17" s="10">
        <f t="shared" si="18"/>
        <v>79.482299999998204</v>
      </c>
      <c r="E17" s="7">
        <f>'[4]Production Summary'!E48</f>
        <v>27000000</v>
      </c>
      <c r="F17" s="8">
        <f t="shared" si="19"/>
        <v>27</v>
      </c>
      <c r="G17" s="10">
        <f t="shared" si="20"/>
        <v>82.89</v>
      </c>
      <c r="H17" s="7">
        <f>'[4]Production Summary'!G48</f>
        <v>10000</v>
      </c>
      <c r="I17" s="8">
        <f t="shared" si="21"/>
        <v>0.01</v>
      </c>
      <c r="J17" s="10">
        <f t="shared" si="22"/>
        <v>3.0699999999999998E-2</v>
      </c>
      <c r="K17" s="7">
        <f>'[4]Production Summary'!S48</f>
        <v>2016749</v>
      </c>
      <c r="L17" s="8">
        <f t="shared" si="23"/>
        <v>2.0167489999999999</v>
      </c>
      <c r="M17" s="10">
        <f t="shared" si="24"/>
        <v>6.1914194299999989</v>
      </c>
      <c r="N17" s="21"/>
      <c r="O17" s="7">
        <f>'[4]Production Summary'!I48</f>
        <v>0</v>
      </c>
      <c r="P17" s="8">
        <f t="shared" si="25"/>
        <v>0</v>
      </c>
      <c r="Q17" s="10">
        <f t="shared" si="26"/>
        <v>0</v>
      </c>
      <c r="R17" s="7">
        <f>'[4]Production Summary'!C48</f>
        <v>0</v>
      </c>
      <c r="S17" s="8">
        <f t="shared" si="27"/>
        <v>0</v>
      </c>
      <c r="T17" s="10">
        <f t="shared" si="28"/>
        <v>0</v>
      </c>
      <c r="U17" s="7">
        <f>'[4]Production Summary'!F48</f>
        <v>0</v>
      </c>
      <c r="V17" s="8">
        <f t="shared" si="29"/>
        <v>0</v>
      </c>
      <c r="W17" s="10">
        <f t="shared" si="30"/>
        <v>0</v>
      </c>
      <c r="X17" s="7">
        <f>'[4]Production Summary'!AB48</f>
        <v>0</v>
      </c>
      <c r="Y17" s="8">
        <f t="shared" si="31"/>
        <v>0</v>
      </c>
      <c r="Z17" s="10">
        <f t="shared" si="32"/>
        <v>0</v>
      </c>
      <c r="AA17" s="15"/>
      <c r="AB17" s="7">
        <f t="shared" si="33"/>
        <v>25889999.999999419</v>
      </c>
      <c r="AC17" s="8">
        <f t="shared" si="33"/>
        <v>25.889999999999418</v>
      </c>
      <c r="AD17" s="8">
        <f t="shared" si="33"/>
        <v>79.482299999998204</v>
      </c>
    </row>
    <row r="18" spans="1:30" x14ac:dyDescent="0.2">
      <c r="A18" s="27">
        <v>43234</v>
      </c>
      <c r="B18" s="7">
        <f>'[4]Production Summary'!J49</f>
        <v>29100000.000000365</v>
      </c>
      <c r="C18" s="8">
        <f t="shared" si="17"/>
        <v>29.100000000000364</v>
      </c>
      <c r="D18" s="10">
        <f t="shared" si="18"/>
        <v>89.337000000001112</v>
      </c>
      <c r="E18" s="7">
        <f>'[4]Production Summary'!E49</f>
        <v>32000000</v>
      </c>
      <c r="F18" s="8">
        <f t="shared" si="19"/>
        <v>32</v>
      </c>
      <c r="G18" s="10">
        <f t="shared" si="20"/>
        <v>98.24</v>
      </c>
      <c r="H18" s="7">
        <f>'[4]Production Summary'!G49</f>
        <v>10000</v>
      </c>
      <c r="I18" s="8">
        <f t="shared" si="21"/>
        <v>0.01</v>
      </c>
      <c r="J18" s="10">
        <f t="shared" si="22"/>
        <v>3.0699999999999998E-2</v>
      </c>
      <c r="K18" s="7">
        <f>'[4]Production Summary'!S49</f>
        <v>2324718</v>
      </c>
      <c r="L18" s="8">
        <f t="shared" si="23"/>
        <v>2.3247179999999998</v>
      </c>
      <c r="M18" s="10">
        <f t="shared" si="24"/>
        <v>7.1368842599999995</v>
      </c>
      <c r="N18" s="21"/>
      <c r="O18" s="7">
        <f>'[4]Production Summary'!I49</f>
        <v>0</v>
      </c>
      <c r="P18" s="8">
        <f t="shared" si="25"/>
        <v>0</v>
      </c>
      <c r="Q18" s="10">
        <f t="shared" si="26"/>
        <v>0</v>
      </c>
      <c r="R18" s="7">
        <f>'[4]Production Summary'!C49</f>
        <v>0</v>
      </c>
      <c r="S18" s="8">
        <f t="shared" si="27"/>
        <v>0</v>
      </c>
      <c r="T18" s="10">
        <f t="shared" si="28"/>
        <v>0</v>
      </c>
      <c r="U18" s="7">
        <f>'[4]Production Summary'!F49</f>
        <v>0</v>
      </c>
      <c r="V18" s="8">
        <f t="shared" si="29"/>
        <v>0</v>
      </c>
      <c r="W18" s="10">
        <f t="shared" si="30"/>
        <v>0</v>
      </c>
      <c r="X18" s="7">
        <f>'[4]Production Summary'!AB49</f>
        <v>0</v>
      </c>
      <c r="Y18" s="8">
        <f t="shared" si="31"/>
        <v>0</v>
      </c>
      <c r="Z18" s="10">
        <f t="shared" si="32"/>
        <v>0</v>
      </c>
      <c r="AA18" s="15"/>
      <c r="AB18" s="7">
        <f t="shared" si="33"/>
        <v>29100000.000000365</v>
      </c>
      <c r="AC18" s="8">
        <f t="shared" si="33"/>
        <v>29.100000000000364</v>
      </c>
      <c r="AD18" s="8">
        <f t="shared" si="33"/>
        <v>89.337000000001112</v>
      </c>
    </row>
    <row r="19" spans="1:30" x14ac:dyDescent="0.2">
      <c r="A19" s="27">
        <v>43235</v>
      </c>
      <c r="B19" s="7">
        <f>'[4]Production Summary'!J50</f>
        <v>23279999.999999747</v>
      </c>
      <c r="C19" s="8">
        <f t="shared" si="17"/>
        <v>23.279999999999745</v>
      </c>
      <c r="D19" s="10">
        <f t="shared" si="18"/>
        <v>71.469599999999218</v>
      </c>
      <c r="E19" s="7">
        <f>'[4]Production Summary'!E50</f>
        <v>25000000</v>
      </c>
      <c r="F19" s="8">
        <f t="shared" si="19"/>
        <v>25</v>
      </c>
      <c r="G19" s="10">
        <f t="shared" si="20"/>
        <v>76.75</v>
      </c>
      <c r="H19" s="7">
        <f>'[4]Production Summary'!G50</f>
        <v>0</v>
      </c>
      <c r="I19" s="8">
        <f t="shared" si="21"/>
        <v>0</v>
      </c>
      <c r="J19" s="10">
        <f t="shared" si="22"/>
        <v>0</v>
      </c>
      <c r="K19" s="7">
        <f>'[4]Production Summary'!S50</f>
        <v>1723318</v>
      </c>
      <c r="L19" s="8">
        <f t="shared" si="23"/>
        <v>1.7233179999999999</v>
      </c>
      <c r="M19" s="10">
        <f t="shared" si="24"/>
        <v>5.2905862599999995</v>
      </c>
      <c r="N19" s="21"/>
      <c r="O19" s="7">
        <f>'[4]Production Summary'!I50</f>
        <v>0</v>
      </c>
      <c r="P19" s="8">
        <f t="shared" si="25"/>
        <v>0</v>
      </c>
      <c r="Q19" s="10">
        <f t="shared" si="26"/>
        <v>0</v>
      </c>
      <c r="R19" s="7">
        <f>'[4]Production Summary'!C50</f>
        <v>0</v>
      </c>
      <c r="S19" s="8">
        <f t="shared" si="27"/>
        <v>0</v>
      </c>
      <c r="T19" s="10">
        <f t="shared" si="28"/>
        <v>0</v>
      </c>
      <c r="U19" s="7">
        <f>'[4]Production Summary'!F50</f>
        <v>0</v>
      </c>
      <c r="V19" s="8">
        <f t="shared" si="29"/>
        <v>0</v>
      </c>
      <c r="W19" s="10">
        <f t="shared" si="30"/>
        <v>0</v>
      </c>
      <c r="X19" s="7">
        <f>'[4]Production Summary'!AB50</f>
        <v>0</v>
      </c>
      <c r="Y19" s="8">
        <f t="shared" si="31"/>
        <v>0</v>
      </c>
      <c r="Z19" s="10">
        <f t="shared" si="32"/>
        <v>0</v>
      </c>
      <c r="AA19" s="15"/>
      <c r="AB19" s="7">
        <f t="shared" si="33"/>
        <v>23279999.999999747</v>
      </c>
      <c r="AC19" s="8">
        <f t="shared" si="33"/>
        <v>23.279999999999745</v>
      </c>
      <c r="AD19" s="8">
        <f t="shared" si="33"/>
        <v>71.469599999999218</v>
      </c>
    </row>
    <row r="20" spans="1:30" x14ac:dyDescent="0.2">
      <c r="A20" s="27">
        <v>43236</v>
      </c>
      <c r="B20" s="7">
        <f>'[4]Production Summary'!J51</f>
        <v>24690000.00000051</v>
      </c>
      <c r="C20" s="8">
        <f t="shared" si="17"/>
        <v>24.690000000000509</v>
      </c>
      <c r="D20" s="10">
        <f t="shared" si="18"/>
        <v>75.798300000001561</v>
      </c>
      <c r="E20" s="7">
        <f>'[4]Production Summary'!E51</f>
        <v>26000000</v>
      </c>
      <c r="F20" s="8">
        <f t="shared" si="19"/>
        <v>26</v>
      </c>
      <c r="G20" s="10">
        <f t="shared" si="20"/>
        <v>79.819999999999993</v>
      </c>
      <c r="H20" s="7">
        <f>'[4]Production Summary'!G51</f>
        <v>10000</v>
      </c>
      <c r="I20" s="8">
        <f t="shared" si="21"/>
        <v>0.01</v>
      </c>
      <c r="J20" s="10">
        <f t="shared" si="22"/>
        <v>3.0699999999999998E-2</v>
      </c>
      <c r="K20" s="7">
        <f>'[4]Production Summary'!S51</f>
        <v>1842811</v>
      </c>
      <c r="L20" s="8">
        <f t="shared" si="23"/>
        <v>1.842811</v>
      </c>
      <c r="M20" s="10">
        <f t="shared" si="24"/>
        <v>5.6574297699999994</v>
      </c>
      <c r="N20" s="21"/>
      <c r="O20" s="7">
        <f>'[4]Production Summary'!I51</f>
        <v>0</v>
      </c>
      <c r="P20" s="8">
        <f t="shared" si="25"/>
        <v>0</v>
      </c>
      <c r="Q20" s="10">
        <f t="shared" si="26"/>
        <v>0</v>
      </c>
      <c r="R20" s="7">
        <f>'[4]Production Summary'!C51</f>
        <v>0</v>
      </c>
      <c r="S20" s="8">
        <f t="shared" si="27"/>
        <v>0</v>
      </c>
      <c r="T20" s="10">
        <f t="shared" si="28"/>
        <v>0</v>
      </c>
      <c r="U20" s="7">
        <f>'[4]Production Summary'!F51</f>
        <v>0</v>
      </c>
      <c r="V20" s="8">
        <f t="shared" si="29"/>
        <v>0</v>
      </c>
      <c r="W20" s="10">
        <f t="shared" si="30"/>
        <v>0</v>
      </c>
      <c r="X20" s="7">
        <f>'[4]Production Summary'!AB51</f>
        <v>0</v>
      </c>
      <c r="Y20" s="8">
        <f t="shared" si="31"/>
        <v>0</v>
      </c>
      <c r="Z20" s="10">
        <f t="shared" si="32"/>
        <v>0</v>
      </c>
      <c r="AA20" s="15"/>
      <c r="AB20" s="7">
        <f t="shared" si="33"/>
        <v>24690000.00000051</v>
      </c>
      <c r="AC20" s="8">
        <f t="shared" si="33"/>
        <v>24.690000000000509</v>
      </c>
      <c r="AD20" s="8">
        <f t="shared" si="33"/>
        <v>75.798300000001561</v>
      </c>
    </row>
    <row r="21" spans="1:30" x14ac:dyDescent="0.2">
      <c r="A21" s="27">
        <v>43237</v>
      </c>
      <c r="B21" s="7">
        <f>'[4]Production Summary'!J52</f>
        <v>26729999.999999564</v>
      </c>
      <c r="C21" s="8">
        <f t="shared" si="17"/>
        <v>26.729999999999563</v>
      </c>
      <c r="D21" s="10">
        <f t="shared" si="18"/>
        <v>82.06109999999866</v>
      </c>
      <c r="E21" s="7">
        <f>'[4]Production Summary'!E52</f>
        <v>29000000</v>
      </c>
      <c r="F21" s="8">
        <f t="shared" si="19"/>
        <v>29</v>
      </c>
      <c r="G21" s="10">
        <f t="shared" si="20"/>
        <v>89.03</v>
      </c>
      <c r="H21" s="7">
        <f>'[4]Production Summary'!G52</f>
        <v>10000</v>
      </c>
      <c r="I21" s="8">
        <f t="shared" si="21"/>
        <v>0.01</v>
      </c>
      <c r="J21" s="10">
        <f t="shared" si="22"/>
        <v>3.0699999999999998E-2</v>
      </c>
      <c r="K21" s="7">
        <f>'[4]Production Summary'!S52</f>
        <v>2269674</v>
      </c>
      <c r="L21" s="8">
        <f t="shared" si="23"/>
        <v>2.2696740000000002</v>
      </c>
      <c r="M21" s="10">
        <f t="shared" si="24"/>
        <v>6.9678991799999999</v>
      </c>
      <c r="N21" s="21"/>
      <c r="O21" s="7">
        <f>'[4]Production Summary'!I52</f>
        <v>0</v>
      </c>
      <c r="P21" s="8">
        <f t="shared" si="25"/>
        <v>0</v>
      </c>
      <c r="Q21" s="10">
        <f t="shared" si="26"/>
        <v>0</v>
      </c>
      <c r="R21" s="7">
        <f>'[4]Production Summary'!C52</f>
        <v>0</v>
      </c>
      <c r="S21" s="8">
        <f t="shared" si="27"/>
        <v>0</v>
      </c>
      <c r="T21" s="10">
        <f t="shared" si="28"/>
        <v>0</v>
      </c>
      <c r="U21" s="7">
        <f>'[4]Production Summary'!F52</f>
        <v>0</v>
      </c>
      <c r="V21" s="8">
        <f t="shared" si="29"/>
        <v>0</v>
      </c>
      <c r="W21" s="10">
        <f t="shared" si="30"/>
        <v>0</v>
      </c>
      <c r="X21" s="7">
        <f>'[4]Production Summary'!AB52</f>
        <v>0</v>
      </c>
      <c r="Y21" s="8">
        <f t="shared" si="31"/>
        <v>0</v>
      </c>
      <c r="Z21" s="10">
        <f t="shared" si="32"/>
        <v>0</v>
      </c>
      <c r="AA21" s="15"/>
      <c r="AB21" s="7">
        <f t="shared" si="33"/>
        <v>26729999.999999564</v>
      </c>
      <c r="AC21" s="8">
        <f t="shared" si="33"/>
        <v>26.729999999999563</v>
      </c>
      <c r="AD21" s="8">
        <f t="shared" si="33"/>
        <v>82.06109999999866</v>
      </c>
    </row>
    <row r="22" spans="1:30" x14ac:dyDescent="0.2">
      <c r="A22" s="27">
        <v>43238</v>
      </c>
      <c r="B22" s="7">
        <f>'[4]Production Summary'!J53</f>
        <v>27810000.000000399</v>
      </c>
      <c r="C22" s="8">
        <f t="shared" si="17"/>
        <v>27.8100000000004</v>
      </c>
      <c r="D22" s="10">
        <f t="shared" si="18"/>
        <v>85.376700000001222</v>
      </c>
      <c r="E22" s="7">
        <f>'[4]Production Summary'!E53</f>
        <v>30000000</v>
      </c>
      <c r="F22" s="8">
        <f t="shared" si="19"/>
        <v>30</v>
      </c>
      <c r="G22" s="10">
        <f t="shared" si="20"/>
        <v>92.1</v>
      </c>
      <c r="H22" s="7">
        <f>'[4]Production Summary'!G53</f>
        <v>10000</v>
      </c>
      <c r="I22" s="8">
        <f t="shared" si="21"/>
        <v>0.01</v>
      </c>
      <c r="J22" s="10">
        <f t="shared" si="22"/>
        <v>3.0699999999999998E-2</v>
      </c>
      <c r="K22" s="7">
        <f>'[4]Production Summary'!S53</f>
        <v>2154312</v>
      </c>
      <c r="L22" s="8">
        <f t="shared" si="23"/>
        <v>2.154312</v>
      </c>
      <c r="M22" s="10">
        <f t="shared" si="24"/>
        <v>6.6137378399999998</v>
      </c>
      <c r="N22" s="21"/>
      <c r="O22" s="7">
        <f>'[4]Production Summary'!I53</f>
        <v>4371999.9999999953</v>
      </c>
      <c r="P22" s="8">
        <f t="shared" si="25"/>
        <v>4.3719999999999954</v>
      </c>
      <c r="Q22" s="10">
        <f t="shared" si="26"/>
        <v>13.422039999999985</v>
      </c>
      <c r="R22" s="7">
        <f>'[4]Production Summary'!C53</f>
        <v>5252000</v>
      </c>
      <c r="S22" s="8">
        <f t="shared" si="27"/>
        <v>5.2519999999999998</v>
      </c>
      <c r="T22" s="10">
        <f t="shared" si="28"/>
        <v>16.123639999999998</v>
      </c>
      <c r="U22" s="7">
        <f>'[4]Production Summary'!F53</f>
        <v>1045000</v>
      </c>
      <c r="V22" s="8">
        <f t="shared" si="29"/>
        <v>1.0449999999999999</v>
      </c>
      <c r="W22" s="10">
        <f t="shared" si="30"/>
        <v>3.2081499999999998</v>
      </c>
      <c r="X22" s="7">
        <f>'[4]Production Summary'!AB53</f>
        <v>6297000</v>
      </c>
      <c r="Y22" s="8">
        <f t="shared" si="31"/>
        <v>6.2969999999999997</v>
      </c>
      <c r="Z22" s="10">
        <f t="shared" si="32"/>
        <v>19.331789999999998</v>
      </c>
      <c r="AA22" s="15"/>
      <c r="AB22" s="7">
        <f t="shared" si="33"/>
        <v>32182000.000000395</v>
      </c>
      <c r="AC22" s="8">
        <f t="shared" si="33"/>
        <v>32.182000000000393</v>
      </c>
      <c r="AD22" s="8">
        <f t="shared" si="33"/>
        <v>98.798740000001203</v>
      </c>
    </row>
    <row r="23" spans="1:30" x14ac:dyDescent="0.2">
      <c r="A23" s="27">
        <v>43239</v>
      </c>
      <c r="B23" s="7">
        <f>'[4]Production Summary'!J54</f>
        <v>21049999.999999274</v>
      </c>
      <c r="C23" s="8">
        <f t="shared" si="17"/>
        <v>21.049999999999272</v>
      </c>
      <c r="D23" s="10">
        <f t="shared" si="18"/>
        <v>64.623499999997762</v>
      </c>
      <c r="E23" s="7">
        <f>'[4]Production Summary'!E54</f>
        <v>23000000</v>
      </c>
      <c r="F23" s="8">
        <f t="shared" si="19"/>
        <v>23</v>
      </c>
      <c r="G23" s="10">
        <f t="shared" si="20"/>
        <v>70.61</v>
      </c>
      <c r="H23" s="7">
        <f>'[4]Production Summary'!G54</f>
        <v>20000</v>
      </c>
      <c r="I23" s="8">
        <f t="shared" ref="I23" si="34">H23/1000000</f>
        <v>0.02</v>
      </c>
      <c r="J23" s="10">
        <f t="shared" ref="J23" si="35">I23*3.07</f>
        <v>6.1399999999999996E-2</v>
      </c>
      <c r="K23" s="7">
        <f>'[4]Production Summary'!S54</f>
        <v>1479145</v>
      </c>
      <c r="L23" s="8">
        <f t="shared" si="23"/>
        <v>1.4791449999999999</v>
      </c>
      <c r="M23" s="10">
        <f t="shared" si="24"/>
        <v>4.5409751499999995</v>
      </c>
      <c r="N23" s="21"/>
      <c r="O23" s="7">
        <f>'[4]Production Summary'!I54</f>
        <v>11015000.000000011</v>
      </c>
      <c r="P23" s="8">
        <f t="shared" si="25"/>
        <v>11.015000000000011</v>
      </c>
      <c r="Q23" s="10">
        <f t="shared" si="26"/>
        <v>33.816050000000033</v>
      </c>
      <c r="R23" s="7">
        <f>'[4]Production Summary'!C54</f>
        <v>11220000</v>
      </c>
      <c r="S23" s="8">
        <f t="shared" si="27"/>
        <v>11.22</v>
      </c>
      <c r="T23" s="10">
        <f t="shared" si="28"/>
        <v>34.445399999999999</v>
      </c>
      <c r="U23" s="7">
        <f>'[4]Production Summary'!F54</f>
        <v>0</v>
      </c>
      <c r="V23" s="8">
        <f t="shared" si="29"/>
        <v>0</v>
      </c>
      <c r="W23" s="10">
        <f t="shared" si="30"/>
        <v>0</v>
      </c>
      <c r="X23" s="7">
        <f>'[4]Production Summary'!AB54</f>
        <v>11220000</v>
      </c>
      <c r="Y23" s="8">
        <f t="shared" si="31"/>
        <v>11.22</v>
      </c>
      <c r="Z23" s="10">
        <f t="shared" si="32"/>
        <v>34.445399999999999</v>
      </c>
      <c r="AA23" s="15"/>
      <c r="AB23" s="7">
        <f t="shared" si="33"/>
        <v>32064999.999999285</v>
      </c>
      <c r="AC23" s="8">
        <f t="shared" si="33"/>
        <v>32.064999999999287</v>
      </c>
      <c r="AD23" s="8">
        <f t="shared" si="33"/>
        <v>98.439549999997794</v>
      </c>
    </row>
    <row r="24" spans="1:30" x14ac:dyDescent="0.2">
      <c r="A24" s="27">
        <v>43240</v>
      </c>
      <c r="B24" s="7">
        <f>'[4]Production Summary'!J55</f>
        <v>25310000.000000399</v>
      </c>
      <c r="C24" s="8">
        <f t="shared" si="17"/>
        <v>25.3100000000004</v>
      </c>
      <c r="D24" s="10">
        <f t="shared" si="18"/>
        <v>77.701700000001225</v>
      </c>
      <c r="E24" s="7">
        <f>'[4]Production Summary'!E55</f>
        <v>27000000</v>
      </c>
      <c r="F24" s="8">
        <f t="shared" si="19"/>
        <v>27</v>
      </c>
      <c r="G24" s="10">
        <f t="shared" si="20"/>
        <v>82.89</v>
      </c>
      <c r="H24" s="7">
        <f>'[4]Production Summary'!G55</f>
        <v>10000</v>
      </c>
      <c r="I24" s="8">
        <f t="shared" si="21"/>
        <v>0.01</v>
      </c>
      <c r="J24" s="10">
        <f t="shared" si="22"/>
        <v>3.0699999999999998E-2</v>
      </c>
      <c r="K24" s="7">
        <f>'[4]Production Summary'!S55</f>
        <v>1507239</v>
      </c>
      <c r="L24" s="8">
        <f t="shared" si="23"/>
        <v>1.507239</v>
      </c>
      <c r="M24" s="10">
        <f t="shared" si="24"/>
        <v>4.6272237299999999</v>
      </c>
      <c r="N24" s="21"/>
      <c r="O24" s="7">
        <f>'[4]Production Summary'!I55</f>
        <v>13049999.999999983</v>
      </c>
      <c r="P24" s="8">
        <f t="shared" si="25"/>
        <v>13.049999999999983</v>
      </c>
      <c r="Q24" s="10">
        <f t="shared" si="26"/>
        <v>40.063499999999948</v>
      </c>
      <c r="R24" s="7">
        <f>'[4]Production Summary'!C55</f>
        <v>13248000</v>
      </c>
      <c r="S24" s="8">
        <f t="shared" si="27"/>
        <v>13.247999999999999</v>
      </c>
      <c r="T24" s="10">
        <f t="shared" si="28"/>
        <v>40.671359999999993</v>
      </c>
      <c r="U24" s="7">
        <f>'[4]Production Summary'!F55</f>
        <v>0</v>
      </c>
      <c r="V24" s="8">
        <f t="shared" si="29"/>
        <v>0</v>
      </c>
      <c r="W24" s="10">
        <f t="shared" si="30"/>
        <v>0</v>
      </c>
      <c r="X24" s="7">
        <f>'[4]Production Summary'!AB55</f>
        <v>13248000</v>
      </c>
      <c r="Y24" s="8">
        <f t="shared" si="31"/>
        <v>13.247999999999999</v>
      </c>
      <c r="Z24" s="10">
        <f t="shared" si="32"/>
        <v>40.671359999999993</v>
      </c>
      <c r="AA24" s="15"/>
      <c r="AB24" s="7">
        <f t="shared" si="33"/>
        <v>38360000.00000038</v>
      </c>
      <c r="AC24" s="8">
        <f t="shared" si="33"/>
        <v>38.360000000000383</v>
      </c>
      <c r="AD24" s="8">
        <f t="shared" si="33"/>
        <v>117.76520000000117</v>
      </c>
    </row>
    <row r="25" spans="1:30" x14ac:dyDescent="0.2">
      <c r="A25" s="27">
        <v>43241</v>
      </c>
      <c r="B25" s="7">
        <f>'[4]Production Summary'!J56</f>
        <v>23890000.000000328</v>
      </c>
      <c r="C25" s="8">
        <f t="shared" si="17"/>
        <v>23.890000000000327</v>
      </c>
      <c r="D25" s="10">
        <f t="shared" si="18"/>
        <v>73.342300000001003</v>
      </c>
      <c r="E25" s="7">
        <f>'[4]Production Summary'!E56</f>
        <v>26000000</v>
      </c>
      <c r="F25" s="8">
        <f t="shared" si="19"/>
        <v>26</v>
      </c>
      <c r="G25" s="10">
        <f t="shared" si="20"/>
        <v>79.819999999999993</v>
      </c>
      <c r="H25" s="7">
        <f>'[4]Production Summary'!G56</f>
        <v>30000</v>
      </c>
      <c r="I25" s="8">
        <f t="shared" si="21"/>
        <v>0.03</v>
      </c>
      <c r="J25" s="10">
        <f t="shared" si="22"/>
        <v>9.2099999999999987E-2</v>
      </c>
      <c r="K25" s="7">
        <f>'[4]Production Summary'!S56</f>
        <v>1854322</v>
      </c>
      <c r="L25" s="8">
        <f t="shared" si="23"/>
        <v>1.854322</v>
      </c>
      <c r="M25" s="10">
        <f t="shared" si="24"/>
        <v>5.6927685399999994</v>
      </c>
      <c r="N25" s="21"/>
      <c r="O25" s="7">
        <f>'[4]Production Summary'!I56</f>
        <v>11326000.000000009</v>
      </c>
      <c r="P25" s="8">
        <f t="shared" si="25"/>
        <v>11.326000000000009</v>
      </c>
      <c r="Q25" s="10">
        <f t="shared" si="26"/>
        <v>34.770820000000029</v>
      </c>
      <c r="R25" s="7">
        <f>'[4]Production Summary'!C56</f>
        <v>11595000</v>
      </c>
      <c r="S25" s="8">
        <f t="shared" si="27"/>
        <v>11.595000000000001</v>
      </c>
      <c r="T25" s="10">
        <f t="shared" si="28"/>
        <v>35.596649999999997</v>
      </c>
      <c r="U25" s="7">
        <f>'[4]Production Summary'!F56</f>
        <v>0</v>
      </c>
      <c r="V25" s="8">
        <f t="shared" si="29"/>
        <v>0</v>
      </c>
      <c r="W25" s="10">
        <f t="shared" si="30"/>
        <v>0</v>
      </c>
      <c r="X25" s="7">
        <f>'[4]Production Summary'!AB56</f>
        <v>11595000</v>
      </c>
      <c r="Y25" s="8">
        <f t="shared" si="31"/>
        <v>11.595000000000001</v>
      </c>
      <c r="Z25" s="10">
        <f t="shared" si="32"/>
        <v>35.596649999999997</v>
      </c>
      <c r="AA25" s="15"/>
      <c r="AB25" s="7">
        <f t="shared" si="33"/>
        <v>35216000.000000335</v>
      </c>
      <c r="AC25" s="8">
        <f t="shared" si="33"/>
        <v>35.216000000000335</v>
      </c>
      <c r="AD25" s="8">
        <f t="shared" si="33"/>
        <v>108.11312000000103</v>
      </c>
    </row>
    <row r="26" spans="1:30" x14ac:dyDescent="0.2">
      <c r="A26" s="27">
        <v>43242</v>
      </c>
      <c r="B26" s="7">
        <f>'[4]Production Summary'!J57</f>
        <v>23109999.999999672</v>
      </c>
      <c r="C26" s="8">
        <f t="shared" si="17"/>
        <v>23.109999999999673</v>
      </c>
      <c r="D26" s="10">
        <f t="shared" si="18"/>
        <v>70.947699999998989</v>
      </c>
      <c r="E26" s="7">
        <f>'[4]Production Summary'!E57</f>
        <v>26000000</v>
      </c>
      <c r="F26" s="8">
        <f t="shared" si="19"/>
        <v>26</v>
      </c>
      <c r="G26" s="10">
        <f t="shared" si="20"/>
        <v>79.819999999999993</v>
      </c>
      <c r="H26" s="7">
        <f>'[4]Production Summary'!G57</f>
        <v>10000</v>
      </c>
      <c r="I26" s="8">
        <f t="shared" si="21"/>
        <v>0.01</v>
      </c>
      <c r="J26" s="10">
        <f t="shared" si="22"/>
        <v>3.0699999999999998E-2</v>
      </c>
      <c r="K26" s="7">
        <f>'[4]Production Summary'!S57</f>
        <v>1824114</v>
      </c>
      <c r="L26" s="8">
        <f t="shared" si="23"/>
        <v>1.824114</v>
      </c>
      <c r="M26" s="10">
        <f t="shared" si="24"/>
        <v>5.6000299799999995</v>
      </c>
      <c r="N26" s="21"/>
      <c r="O26" s="7">
        <f>'[4]Production Summary'!I57</f>
        <v>11009000.000000009</v>
      </c>
      <c r="P26" s="8">
        <f t="shared" si="25"/>
        <v>11.009000000000009</v>
      </c>
      <c r="Q26" s="10">
        <f t="shared" si="26"/>
        <v>33.797630000000026</v>
      </c>
      <c r="R26" s="7">
        <f>'[4]Production Summary'!C57</f>
        <v>11273000</v>
      </c>
      <c r="S26" s="8">
        <f t="shared" si="27"/>
        <v>11.273</v>
      </c>
      <c r="T26" s="10">
        <f t="shared" si="28"/>
        <v>34.608109999999996</v>
      </c>
      <c r="U26" s="7">
        <f>'[4]Production Summary'!F57</f>
        <v>0</v>
      </c>
      <c r="V26" s="8">
        <f t="shared" si="29"/>
        <v>0</v>
      </c>
      <c r="W26" s="10">
        <f t="shared" si="30"/>
        <v>0</v>
      </c>
      <c r="X26" s="7">
        <f>'[4]Production Summary'!AB57</f>
        <v>11273000</v>
      </c>
      <c r="Y26" s="8">
        <f t="shared" si="31"/>
        <v>11.273</v>
      </c>
      <c r="Z26" s="10">
        <f t="shared" si="32"/>
        <v>34.608109999999996</v>
      </c>
      <c r="AA26" s="15"/>
      <c r="AB26" s="7">
        <f t="shared" si="33"/>
        <v>34118999.99999968</v>
      </c>
      <c r="AC26" s="8">
        <f t="shared" si="33"/>
        <v>34.11899999999968</v>
      </c>
      <c r="AD26" s="8">
        <f t="shared" si="33"/>
        <v>104.74532999999902</v>
      </c>
    </row>
    <row r="27" spans="1:30" x14ac:dyDescent="0.2">
      <c r="A27" s="27">
        <v>43243</v>
      </c>
      <c r="B27" s="7">
        <f>'[4]Production Summary'!J58</f>
        <v>24020000.000000436</v>
      </c>
      <c r="C27" s="8">
        <f t="shared" si="17"/>
        <v>24.020000000000437</v>
      </c>
      <c r="D27" s="10">
        <f t="shared" si="18"/>
        <v>73.741400000001335</v>
      </c>
      <c r="E27" s="7">
        <f>'[4]Production Summary'!E58</f>
        <v>26000000</v>
      </c>
      <c r="F27" s="8">
        <f t="shared" si="19"/>
        <v>26</v>
      </c>
      <c r="G27" s="10">
        <f t="shared" si="20"/>
        <v>79.819999999999993</v>
      </c>
      <c r="H27" s="7">
        <f>'[4]Production Summary'!G58</f>
        <v>20000</v>
      </c>
      <c r="I27" s="8">
        <f t="shared" si="21"/>
        <v>0.02</v>
      </c>
      <c r="J27" s="10">
        <f t="shared" si="22"/>
        <v>6.1399999999999996E-2</v>
      </c>
      <c r="K27" s="7">
        <f>'[4]Production Summary'!S58</f>
        <v>2283765</v>
      </c>
      <c r="L27" s="8">
        <f t="shared" si="23"/>
        <v>2.2837649999999998</v>
      </c>
      <c r="M27" s="10">
        <f t="shared" si="24"/>
        <v>7.0111585499999993</v>
      </c>
      <c r="N27" s="21"/>
      <c r="O27" s="7">
        <f>'[4]Production Summary'!I58</f>
        <v>9748999.9999999758</v>
      </c>
      <c r="P27" s="8">
        <f t="shared" si="25"/>
        <v>9.7489999999999757</v>
      </c>
      <c r="Q27" s="10">
        <f t="shared" si="26"/>
        <v>29.929429999999925</v>
      </c>
      <c r="R27" s="7">
        <f>'[4]Production Summary'!C58</f>
        <v>10017000</v>
      </c>
      <c r="S27" s="8">
        <f t="shared" si="27"/>
        <v>10.016999999999999</v>
      </c>
      <c r="T27" s="10">
        <f t="shared" si="28"/>
        <v>30.752189999999995</v>
      </c>
      <c r="U27" s="7">
        <f>'[4]Production Summary'!F58</f>
        <v>0</v>
      </c>
      <c r="V27" s="8">
        <f t="shared" si="29"/>
        <v>0</v>
      </c>
      <c r="W27" s="10">
        <f t="shared" si="30"/>
        <v>0</v>
      </c>
      <c r="X27" s="7">
        <f>'[4]Production Summary'!AB58</f>
        <v>10017000</v>
      </c>
      <c r="Y27" s="8">
        <f t="shared" si="31"/>
        <v>10.016999999999999</v>
      </c>
      <c r="Z27" s="10">
        <f t="shared" si="32"/>
        <v>30.752189999999995</v>
      </c>
      <c r="AA27" s="15"/>
      <c r="AB27" s="7">
        <f t="shared" si="33"/>
        <v>33769000.00000041</v>
      </c>
      <c r="AC27" s="8">
        <f t="shared" si="33"/>
        <v>33.76900000000041</v>
      </c>
      <c r="AD27" s="8">
        <f t="shared" si="33"/>
        <v>103.67083000000126</v>
      </c>
    </row>
    <row r="28" spans="1:30" x14ac:dyDescent="0.2">
      <c r="A28" s="27">
        <v>43244</v>
      </c>
      <c r="B28" s="7">
        <f>'[4]Production Summary'!J59</f>
        <v>19419999.999999162</v>
      </c>
      <c r="C28" s="8">
        <f t="shared" si="17"/>
        <v>19.419999999999163</v>
      </c>
      <c r="D28" s="10">
        <f t="shared" si="18"/>
        <v>59.619399999997427</v>
      </c>
      <c r="E28" s="7">
        <f>'[4]Production Summary'!E59</f>
        <v>22000000</v>
      </c>
      <c r="F28" s="8">
        <f t="shared" si="19"/>
        <v>22</v>
      </c>
      <c r="G28" s="10">
        <f t="shared" si="20"/>
        <v>67.539999999999992</v>
      </c>
      <c r="H28" s="7">
        <f>'[4]Production Summary'!G59</f>
        <v>10000</v>
      </c>
      <c r="I28" s="8">
        <f t="shared" si="21"/>
        <v>0.01</v>
      </c>
      <c r="J28" s="10">
        <f t="shared" si="22"/>
        <v>3.0699999999999998E-2</v>
      </c>
      <c r="K28" s="7">
        <f>'[4]Production Summary'!S59</f>
        <v>1564081</v>
      </c>
      <c r="L28" s="8">
        <f t="shared" si="23"/>
        <v>1.5640810000000001</v>
      </c>
      <c r="M28" s="10">
        <f t="shared" si="24"/>
        <v>4.8017286700000001</v>
      </c>
      <c r="N28" s="21"/>
      <c r="O28" s="7">
        <f>'[4]Production Summary'!I59</f>
        <v>7903000.0000000019</v>
      </c>
      <c r="P28" s="8">
        <f t="shared" si="25"/>
        <v>7.9030000000000022</v>
      </c>
      <c r="Q28" s="10">
        <f t="shared" si="26"/>
        <v>24.262210000000007</v>
      </c>
      <c r="R28" s="7">
        <f>'[4]Production Summary'!C59</f>
        <v>8104000</v>
      </c>
      <c r="S28" s="8">
        <f t="shared" si="27"/>
        <v>8.1039999999999992</v>
      </c>
      <c r="T28" s="10">
        <f t="shared" si="28"/>
        <v>24.879279999999998</v>
      </c>
      <c r="U28" s="7">
        <f>'[4]Production Summary'!F59</f>
        <v>0</v>
      </c>
      <c r="V28" s="8">
        <f t="shared" si="29"/>
        <v>0</v>
      </c>
      <c r="W28" s="10">
        <f t="shared" si="30"/>
        <v>0</v>
      </c>
      <c r="X28" s="7">
        <f>'[4]Production Summary'!AB59</f>
        <v>8104000</v>
      </c>
      <c r="Y28" s="8">
        <f t="shared" si="31"/>
        <v>8.1039999999999992</v>
      </c>
      <c r="Z28" s="10">
        <f t="shared" si="32"/>
        <v>24.879279999999998</v>
      </c>
      <c r="AA28" s="15"/>
      <c r="AB28" s="7">
        <f t="shared" si="33"/>
        <v>27322999.999999166</v>
      </c>
      <c r="AC28" s="8">
        <f t="shared" si="33"/>
        <v>27.322999999999166</v>
      </c>
      <c r="AD28" s="8">
        <f t="shared" si="33"/>
        <v>83.881609999997437</v>
      </c>
    </row>
    <row r="29" spans="1:30" x14ac:dyDescent="0.2">
      <c r="A29" s="27">
        <v>43245</v>
      </c>
      <c r="B29" s="7">
        <f>'[4]Production Summary'!J60</f>
        <v>16950000.000000726</v>
      </c>
      <c r="C29" s="8">
        <f t="shared" si="17"/>
        <v>16.950000000000728</v>
      </c>
      <c r="D29" s="10">
        <f t="shared" si="18"/>
        <v>52.036500000002228</v>
      </c>
      <c r="E29" s="7">
        <f>'[4]Production Summary'!E60</f>
        <v>18000000</v>
      </c>
      <c r="F29" s="8">
        <f t="shared" si="19"/>
        <v>18</v>
      </c>
      <c r="G29" s="10">
        <f t="shared" si="20"/>
        <v>55.26</v>
      </c>
      <c r="H29" s="7">
        <f>'[4]Production Summary'!G60</f>
        <v>10000</v>
      </c>
      <c r="I29" s="8">
        <f t="shared" si="21"/>
        <v>0.01</v>
      </c>
      <c r="J29" s="10">
        <f t="shared" si="22"/>
        <v>3.0699999999999998E-2</v>
      </c>
      <c r="K29" s="7">
        <f>'[4]Production Summary'!S60</f>
        <v>1540610</v>
      </c>
      <c r="L29" s="8">
        <f t="shared" si="23"/>
        <v>1.54061</v>
      </c>
      <c r="M29" s="10">
        <f t="shared" si="24"/>
        <v>4.7296727000000001</v>
      </c>
      <c r="N29" s="21"/>
      <c r="O29" s="7">
        <f>'[4]Production Summary'!I60</f>
        <v>5804000.0000000112</v>
      </c>
      <c r="P29" s="8">
        <f t="shared" si="25"/>
        <v>5.8040000000000109</v>
      </c>
      <c r="Q29" s="10">
        <f t="shared" si="26"/>
        <v>17.818280000000033</v>
      </c>
      <c r="R29" s="7">
        <f>'[4]Production Summary'!C60</f>
        <v>6003000</v>
      </c>
      <c r="S29" s="8">
        <f t="shared" si="27"/>
        <v>6.0030000000000001</v>
      </c>
      <c r="T29" s="10">
        <f t="shared" si="28"/>
        <v>18.429209999999998</v>
      </c>
      <c r="U29" s="7">
        <f>'[4]Production Summary'!F60</f>
        <v>0</v>
      </c>
      <c r="V29" s="8">
        <f t="shared" si="29"/>
        <v>0</v>
      </c>
      <c r="W29" s="10">
        <f t="shared" si="30"/>
        <v>0</v>
      </c>
      <c r="X29" s="7">
        <f>'[4]Production Summary'!AB60</f>
        <v>6003000</v>
      </c>
      <c r="Y29" s="8">
        <f t="shared" si="31"/>
        <v>6.0030000000000001</v>
      </c>
      <c r="Z29" s="10">
        <f t="shared" si="32"/>
        <v>18.429209999999998</v>
      </c>
      <c r="AA29" s="15"/>
      <c r="AB29" s="7">
        <f t="shared" si="33"/>
        <v>22754000.000000738</v>
      </c>
      <c r="AC29" s="8">
        <f t="shared" si="33"/>
        <v>22.754000000000737</v>
      </c>
      <c r="AD29" s="8">
        <f t="shared" si="33"/>
        <v>69.854780000002265</v>
      </c>
    </row>
    <row r="30" spans="1:30" x14ac:dyDescent="0.2">
      <c r="A30" s="27">
        <v>43246</v>
      </c>
      <c r="B30" s="7">
        <f>'[4]Production Summary'!J61</f>
        <v>21039999.999999963</v>
      </c>
      <c r="C30" s="8">
        <f t="shared" si="17"/>
        <v>21.039999999999964</v>
      </c>
      <c r="D30" s="10">
        <f t="shared" si="18"/>
        <v>64.592799999999883</v>
      </c>
      <c r="E30" s="7">
        <f>'[4]Production Summary'!E61</f>
        <v>24000000</v>
      </c>
      <c r="F30" s="8">
        <f t="shared" si="19"/>
        <v>24</v>
      </c>
      <c r="G30" s="10">
        <f t="shared" si="20"/>
        <v>73.679999999999993</v>
      </c>
      <c r="H30" s="7">
        <f>'[4]Production Summary'!G61</f>
        <v>10000</v>
      </c>
      <c r="I30" s="8">
        <f t="shared" si="21"/>
        <v>0.01</v>
      </c>
      <c r="J30" s="10">
        <f t="shared" si="22"/>
        <v>3.0699999999999998E-2</v>
      </c>
      <c r="K30" s="7">
        <f>'[4]Production Summary'!S61</f>
        <v>1861199</v>
      </c>
      <c r="L30" s="8">
        <f t="shared" si="23"/>
        <v>1.861199</v>
      </c>
      <c r="M30" s="10">
        <f t="shared" si="24"/>
        <v>5.7138809300000002</v>
      </c>
      <c r="N30" s="21"/>
      <c r="O30" s="7">
        <f>'[4]Production Summary'!I61</f>
        <v>7908000</v>
      </c>
      <c r="P30" s="8">
        <f t="shared" si="25"/>
        <v>7.9080000000000004</v>
      </c>
      <c r="Q30" s="10">
        <f t="shared" si="26"/>
        <v>24.277560000000001</v>
      </c>
      <c r="R30" s="7">
        <f>'[4]Production Summary'!C61</f>
        <v>8042000</v>
      </c>
      <c r="S30" s="8">
        <f t="shared" si="27"/>
        <v>8.0419999999999998</v>
      </c>
      <c r="T30" s="10">
        <f t="shared" si="28"/>
        <v>24.688939999999999</v>
      </c>
      <c r="U30" s="7">
        <f>'[4]Production Summary'!F61</f>
        <v>0</v>
      </c>
      <c r="V30" s="8">
        <f t="shared" si="29"/>
        <v>0</v>
      </c>
      <c r="W30" s="10">
        <f t="shared" si="30"/>
        <v>0</v>
      </c>
      <c r="X30" s="7">
        <f>'[4]Production Summary'!AB61</f>
        <v>8042000</v>
      </c>
      <c r="Y30" s="8">
        <f t="shared" si="31"/>
        <v>8.0419999999999998</v>
      </c>
      <c r="Z30" s="10">
        <f t="shared" si="32"/>
        <v>24.688939999999999</v>
      </c>
      <c r="AA30" s="15"/>
      <c r="AB30" s="7">
        <f t="shared" si="33"/>
        <v>28947999.999999963</v>
      </c>
      <c r="AC30" s="8">
        <f t="shared" si="33"/>
        <v>28.947999999999965</v>
      </c>
      <c r="AD30" s="8">
        <f t="shared" si="33"/>
        <v>88.870359999999891</v>
      </c>
    </row>
    <row r="31" spans="1:30" x14ac:dyDescent="0.2">
      <c r="A31" s="27">
        <v>43247</v>
      </c>
      <c r="B31" s="7">
        <f>'[4]Production Summary'!J62</f>
        <v>23889999.999999419</v>
      </c>
      <c r="C31" s="8">
        <f t="shared" si="17"/>
        <v>23.889999999999418</v>
      </c>
      <c r="D31" s="10">
        <f t="shared" si="18"/>
        <v>73.342299999998204</v>
      </c>
      <c r="E31" s="7">
        <f>'[4]Production Summary'!E62</f>
        <v>22000000</v>
      </c>
      <c r="F31" s="8">
        <f t="shared" si="19"/>
        <v>22</v>
      </c>
      <c r="G31" s="10">
        <f t="shared" si="20"/>
        <v>67.539999999999992</v>
      </c>
      <c r="H31" s="7">
        <f>'[4]Production Summary'!G62</f>
        <v>3680000</v>
      </c>
      <c r="I31" s="8">
        <f t="shared" si="21"/>
        <v>3.68</v>
      </c>
      <c r="J31" s="10">
        <f t="shared" si="22"/>
        <v>11.297599999999999</v>
      </c>
      <c r="K31" s="7">
        <f>'[4]Production Summary'!S62</f>
        <v>2067130</v>
      </c>
      <c r="L31" s="8">
        <f t="shared" si="23"/>
        <v>2.0671300000000001</v>
      </c>
      <c r="M31" s="10">
        <f t="shared" si="24"/>
        <v>6.3460891000000004</v>
      </c>
      <c r="N31" s="21"/>
      <c r="O31" s="7">
        <f>'[4]Production Summary'!I62</f>
        <v>9762000.0000000019</v>
      </c>
      <c r="P31" s="8">
        <f t="shared" si="25"/>
        <v>9.7620000000000022</v>
      </c>
      <c r="Q31" s="10">
        <f t="shared" si="26"/>
        <v>29.969340000000006</v>
      </c>
      <c r="R31" s="7">
        <f>'[4]Production Summary'!C62</f>
        <v>9963000</v>
      </c>
      <c r="S31" s="8">
        <f t="shared" si="27"/>
        <v>9.9629999999999992</v>
      </c>
      <c r="T31" s="10">
        <f t="shared" si="28"/>
        <v>30.586409999999997</v>
      </c>
      <c r="U31" s="7">
        <f>'[4]Production Summary'!F62</f>
        <v>0</v>
      </c>
      <c r="V31" s="8">
        <f t="shared" si="29"/>
        <v>0</v>
      </c>
      <c r="W31" s="10">
        <f t="shared" si="30"/>
        <v>0</v>
      </c>
      <c r="X31" s="7">
        <f>'[4]Production Summary'!AB62</f>
        <v>9963000</v>
      </c>
      <c r="Y31" s="8">
        <f t="shared" si="31"/>
        <v>9.9629999999999992</v>
      </c>
      <c r="Z31" s="10">
        <f t="shared" si="32"/>
        <v>30.586409999999997</v>
      </c>
      <c r="AA31" s="15"/>
      <c r="AB31" s="7">
        <f t="shared" si="33"/>
        <v>33651999.999999419</v>
      </c>
      <c r="AC31" s="8">
        <f t="shared" si="33"/>
        <v>33.651999999999418</v>
      </c>
      <c r="AD31" s="8">
        <f t="shared" si="33"/>
        <v>103.31163999999821</v>
      </c>
    </row>
    <row r="32" spans="1:30" x14ac:dyDescent="0.2">
      <c r="A32" s="27">
        <v>43248</v>
      </c>
      <c r="B32" s="7">
        <f>'[4]Production Summary'!J63</f>
        <v>21820000.000000618</v>
      </c>
      <c r="C32" s="8">
        <f t="shared" si="17"/>
        <v>21.820000000000618</v>
      </c>
      <c r="D32" s="10">
        <f t="shared" si="18"/>
        <v>66.987400000001898</v>
      </c>
      <c r="E32" s="7">
        <f>'[4]Production Summary'!E63</f>
        <v>19000000</v>
      </c>
      <c r="F32" s="8">
        <f t="shared" si="19"/>
        <v>19</v>
      </c>
      <c r="G32" s="10">
        <f t="shared" si="20"/>
        <v>58.33</v>
      </c>
      <c r="H32" s="7">
        <f>'[4]Production Summary'!G63</f>
        <v>5320000</v>
      </c>
      <c r="I32" s="8">
        <f t="shared" si="21"/>
        <v>5.32</v>
      </c>
      <c r="J32" s="10">
        <f t="shared" si="22"/>
        <v>16.3324</v>
      </c>
      <c r="K32" s="7">
        <f>'[4]Production Summary'!S63</f>
        <v>1835966</v>
      </c>
      <c r="L32" s="8">
        <f t="shared" si="23"/>
        <v>1.835966</v>
      </c>
      <c r="M32" s="10">
        <f t="shared" si="24"/>
        <v>5.6364156199999993</v>
      </c>
      <c r="N32" s="21"/>
      <c r="O32" s="7">
        <f>'[4]Production Summary'!I63</f>
        <v>9914000.0000000112</v>
      </c>
      <c r="P32" s="8">
        <f t="shared" si="25"/>
        <v>9.9140000000000104</v>
      </c>
      <c r="Q32" s="10">
        <f t="shared" si="26"/>
        <v>30.435980000000029</v>
      </c>
      <c r="R32" s="7">
        <f>'[4]Production Summary'!C63</f>
        <v>10112000</v>
      </c>
      <c r="S32" s="8">
        <f t="shared" si="27"/>
        <v>10.112</v>
      </c>
      <c r="T32" s="10">
        <f t="shared" si="28"/>
        <v>31.043839999999999</v>
      </c>
      <c r="U32" s="7">
        <f>'[4]Production Summary'!F63</f>
        <v>0</v>
      </c>
      <c r="V32" s="8">
        <f t="shared" si="29"/>
        <v>0</v>
      </c>
      <c r="W32" s="10">
        <f t="shared" si="30"/>
        <v>0</v>
      </c>
      <c r="X32" s="7">
        <f>'[4]Production Summary'!AB63</f>
        <v>10112000</v>
      </c>
      <c r="Y32" s="8">
        <f t="shared" si="31"/>
        <v>10.112</v>
      </c>
      <c r="Z32" s="10">
        <f t="shared" si="32"/>
        <v>31.043839999999999</v>
      </c>
      <c r="AA32" s="15"/>
      <c r="AB32" s="7">
        <f t="shared" si="33"/>
        <v>31734000.00000063</v>
      </c>
      <c r="AC32" s="8">
        <f t="shared" si="33"/>
        <v>31.734000000000627</v>
      </c>
      <c r="AD32" s="8">
        <f t="shared" si="33"/>
        <v>97.423380000001927</v>
      </c>
    </row>
    <row r="33" spans="1:30" x14ac:dyDescent="0.2">
      <c r="A33" s="27">
        <v>43249</v>
      </c>
      <c r="B33" s="7">
        <f>'[4]Production Summary'!J64</f>
        <v>22670000.000000075</v>
      </c>
      <c r="C33" s="8">
        <f t="shared" si="17"/>
        <v>22.670000000000073</v>
      </c>
      <c r="D33" s="10">
        <f t="shared" si="18"/>
        <v>69.596900000000218</v>
      </c>
      <c r="E33" s="7">
        <f>'[4]Production Summary'!E64</f>
        <v>20000000</v>
      </c>
      <c r="F33" s="8">
        <f t="shared" si="19"/>
        <v>20</v>
      </c>
      <c r="G33" s="10">
        <f t="shared" si="20"/>
        <v>61.4</v>
      </c>
      <c r="H33" s="7">
        <f>'[4]Production Summary'!G64</f>
        <v>5280000</v>
      </c>
      <c r="I33" s="8">
        <f t="shared" si="21"/>
        <v>5.28</v>
      </c>
      <c r="J33" s="10">
        <f t="shared" si="22"/>
        <v>16.209599999999998</v>
      </c>
      <c r="K33" s="7">
        <f>'[4]Production Summary'!S64</f>
        <v>1860635</v>
      </c>
      <c r="L33" s="8">
        <f t="shared" si="23"/>
        <v>1.860635</v>
      </c>
      <c r="M33" s="10">
        <f t="shared" si="24"/>
        <v>5.7121494500000001</v>
      </c>
      <c r="N33" s="21"/>
      <c r="O33" s="7">
        <f>'[4]Production Summary'!I64</f>
        <v>10272999.999999981</v>
      </c>
      <c r="P33" s="8">
        <f t="shared" si="25"/>
        <v>10.272999999999982</v>
      </c>
      <c r="Q33" s="10">
        <f t="shared" si="26"/>
        <v>31.538109999999943</v>
      </c>
      <c r="R33" s="7">
        <f>'[4]Production Summary'!C64</f>
        <v>10540000</v>
      </c>
      <c r="S33" s="8">
        <f t="shared" si="27"/>
        <v>10.54</v>
      </c>
      <c r="T33" s="10">
        <f t="shared" si="28"/>
        <v>32.357799999999997</v>
      </c>
      <c r="U33" s="7">
        <f>'[4]Production Summary'!F64</f>
        <v>0</v>
      </c>
      <c r="V33" s="8">
        <f t="shared" si="29"/>
        <v>0</v>
      </c>
      <c r="W33" s="10">
        <f t="shared" si="30"/>
        <v>0</v>
      </c>
      <c r="X33" s="7">
        <f>'[4]Production Summary'!AB64</f>
        <v>10540000</v>
      </c>
      <c r="Y33" s="8">
        <f t="shared" si="31"/>
        <v>10.54</v>
      </c>
      <c r="Z33" s="10">
        <f t="shared" si="32"/>
        <v>32.357799999999997</v>
      </c>
      <c r="AA33" s="15"/>
      <c r="AB33" s="7">
        <f t="shared" si="33"/>
        <v>32943000.000000056</v>
      </c>
      <c r="AC33" s="8">
        <f t="shared" si="33"/>
        <v>32.943000000000055</v>
      </c>
      <c r="AD33" s="8">
        <f t="shared" si="33"/>
        <v>101.13501000000016</v>
      </c>
    </row>
    <row r="34" spans="1:30" x14ac:dyDescent="0.2">
      <c r="A34" s="27">
        <v>43250</v>
      </c>
      <c r="B34" s="7">
        <f>'[4]Production Summary'!J65</f>
        <v>26059999.99999949</v>
      </c>
      <c r="C34" s="8">
        <f t="shared" si="17"/>
        <v>26.059999999999491</v>
      </c>
      <c r="D34" s="10">
        <f t="shared" si="18"/>
        <v>80.004199999998434</v>
      </c>
      <c r="E34" s="7">
        <f>'[4]Production Summary'!E65</f>
        <v>23000000</v>
      </c>
      <c r="F34" s="8">
        <f t="shared" si="19"/>
        <v>23</v>
      </c>
      <c r="G34" s="10">
        <f t="shared" si="20"/>
        <v>70.61</v>
      </c>
      <c r="H34" s="7">
        <f>'[4]Production Summary'!G65</f>
        <v>4990000</v>
      </c>
      <c r="I34" s="8">
        <f t="shared" si="21"/>
        <v>4.99</v>
      </c>
      <c r="J34" s="10">
        <f t="shared" si="22"/>
        <v>15.3193</v>
      </c>
      <c r="K34" s="7">
        <f>'[4]Production Summary'!S65</f>
        <v>2353189</v>
      </c>
      <c r="L34" s="8">
        <f t="shared" si="23"/>
        <v>2.353189</v>
      </c>
      <c r="M34" s="10">
        <f t="shared" si="24"/>
        <v>7.2242902299999994</v>
      </c>
      <c r="N34" s="21"/>
      <c r="O34" s="7">
        <f>'[4]Production Summary'!I65</f>
        <v>6421000</v>
      </c>
      <c r="P34" s="8">
        <f t="shared" si="25"/>
        <v>6.4210000000000003</v>
      </c>
      <c r="Q34" s="10">
        <f t="shared" si="26"/>
        <v>19.71247</v>
      </c>
      <c r="R34" s="7">
        <f>'[4]Production Summary'!C65</f>
        <v>6555000</v>
      </c>
      <c r="S34" s="8">
        <f t="shared" si="27"/>
        <v>6.5549999999999997</v>
      </c>
      <c r="T34" s="10">
        <f t="shared" si="28"/>
        <v>20.123849999999997</v>
      </c>
      <c r="U34" s="7">
        <f>'[4]Production Summary'!F65</f>
        <v>0</v>
      </c>
      <c r="V34" s="8">
        <f t="shared" si="29"/>
        <v>0</v>
      </c>
      <c r="W34" s="10">
        <f t="shared" si="30"/>
        <v>0</v>
      </c>
      <c r="X34" s="7">
        <f>'[4]Production Summary'!AB65</f>
        <v>6555000</v>
      </c>
      <c r="Y34" s="8">
        <f t="shared" si="31"/>
        <v>6.5549999999999997</v>
      </c>
      <c r="Z34" s="10">
        <f t="shared" si="32"/>
        <v>20.123849999999997</v>
      </c>
      <c r="AA34" s="15"/>
      <c r="AB34" s="7">
        <f t="shared" si="33"/>
        <v>32480999.99999949</v>
      </c>
      <c r="AC34" s="8">
        <f t="shared" si="33"/>
        <v>32.48099999999949</v>
      </c>
      <c r="AD34" s="8">
        <f t="shared" si="33"/>
        <v>99.71666999999843</v>
      </c>
    </row>
    <row r="35" spans="1:30" ht="13.5" thickBot="1" x14ac:dyDescent="0.25">
      <c r="A35" s="27">
        <v>43251</v>
      </c>
      <c r="B35" s="7">
        <f>'[4]Production Summary'!J66</f>
        <v>27569999.999999709</v>
      </c>
      <c r="C35" s="8">
        <f t="shared" si="17"/>
        <v>27.569999999999709</v>
      </c>
      <c r="D35" s="10">
        <f t="shared" si="18"/>
        <v>84.639899999999102</v>
      </c>
      <c r="E35" s="7">
        <f>'[4]Production Summary'!E66</f>
        <v>25000000</v>
      </c>
      <c r="F35" s="8">
        <f t="shared" si="19"/>
        <v>25</v>
      </c>
      <c r="G35" s="10">
        <f t="shared" si="20"/>
        <v>76.75</v>
      </c>
      <c r="H35" s="7">
        <f>'[4]Production Summary'!G66</f>
        <v>5000000</v>
      </c>
      <c r="I35" s="8">
        <f t="shared" si="21"/>
        <v>5</v>
      </c>
      <c r="J35" s="10">
        <f t="shared" si="22"/>
        <v>15.35</v>
      </c>
      <c r="K35" s="7">
        <f>'[4]Production Summary'!S66</f>
        <v>2282666</v>
      </c>
      <c r="L35" s="8">
        <f t="shared" si="23"/>
        <v>2.2826659999999999</v>
      </c>
      <c r="M35" s="10">
        <f t="shared" si="24"/>
        <v>7.0077846199999989</v>
      </c>
      <c r="N35" s="21"/>
      <c r="O35" s="7">
        <f>'[4]Production Summary'!I66</f>
        <v>6356000.0000000019</v>
      </c>
      <c r="P35" s="8">
        <f t="shared" si="25"/>
        <v>6.3560000000000016</v>
      </c>
      <c r="Q35" s="10">
        <f t="shared" si="26"/>
        <v>19.512920000000005</v>
      </c>
      <c r="R35" s="7">
        <f>'[4]Production Summary'!C66</f>
        <v>6423000</v>
      </c>
      <c r="S35" s="8">
        <f t="shared" si="27"/>
        <v>6.423</v>
      </c>
      <c r="T35" s="10">
        <f t="shared" si="28"/>
        <v>19.718609999999998</v>
      </c>
      <c r="U35" s="7">
        <f>'[4]Production Summary'!F66</f>
        <v>0</v>
      </c>
      <c r="V35" s="8">
        <f t="shared" si="29"/>
        <v>0</v>
      </c>
      <c r="W35" s="10">
        <f t="shared" si="30"/>
        <v>0</v>
      </c>
      <c r="X35" s="7">
        <f>'[4]Production Summary'!AB66</f>
        <v>6423000</v>
      </c>
      <c r="Y35" s="8">
        <f t="shared" si="31"/>
        <v>6.423</v>
      </c>
      <c r="Z35" s="10">
        <f t="shared" si="32"/>
        <v>19.718609999999998</v>
      </c>
      <c r="AA35" s="15"/>
      <c r="AB35" s="7">
        <f t="shared" si="33"/>
        <v>33925999.999999709</v>
      </c>
      <c r="AC35" s="8">
        <f t="shared" si="33"/>
        <v>33.925999999999711</v>
      </c>
      <c r="AD35" s="8">
        <f t="shared" si="33"/>
        <v>104.15281999999911</v>
      </c>
    </row>
    <row r="36" spans="1:30" s="18" customFormat="1" ht="13.5" thickBot="1" x14ac:dyDescent="0.25">
      <c r="A36" s="15"/>
      <c r="B36" s="37"/>
      <c r="C36" s="38">
        <f>SUM(C5:C35)</f>
        <v>735.8799999999992</v>
      </c>
      <c r="D36" s="38">
        <f t="shared" ref="D36" si="36">C36*3.07</f>
        <v>2259.1515999999974</v>
      </c>
      <c r="E36" s="37"/>
      <c r="F36" s="38">
        <f>SUM(F5:F35)</f>
        <v>779</v>
      </c>
      <c r="G36" s="38">
        <f t="shared" ref="G36" si="37">F36*3.07</f>
        <v>2391.5299999999997</v>
      </c>
      <c r="H36" s="37"/>
      <c r="I36" s="38">
        <f>SUM(I5:I35)</f>
        <v>24.53</v>
      </c>
      <c r="J36" s="38">
        <f t="shared" ref="J36" si="38">I36*3.07</f>
        <v>75.307100000000005</v>
      </c>
      <c r="K36" s="37"/>
      <c r="L36" s="38">
        <f>SUM(L5:L35)</f>
        <v>59.128592000000012</v>
      </c>
      <c r="M36" s="38">
        <f>L36*3.07</f>
        <v>181.52477744000004</v>
      </c>
      <c r="N36" s="14"/>
      <c r="O36" s="37"/>
      <c r="P36" s="38">
        <f>SUM(P5:P35)</f>
        <v>124.86199999999999</v>
      </c>
      <c r="Q36" s="38">
        <f t="shared" ref="Q36" si="39">P36*3.07</f>
        <v>383.32633999999996</v>
      </c>
      <c r="R36" s="37"/>
      <c r="S36" s="38">
        <f>SUM(S5:S35)</f>
        <v>128.34699999999998</v>
      </c>
      <c r="T36" s="38">
        <f t="shared" ref="T36" si="40">S36*3.07</f>
        <v>394.02528999999993</v>
      </c>
      <c r="U36" s="37"/>
      <c r="V36" s="38">
        <f>SUM(V5:V35)</f>
        <v>1.0449999999999999</v>
      </c>
      <c r="W36" s="38">
        <f>V36*3.07</f>
        <v>3.2081499999999998</v>
      </c>
      <c r="X36" s="37"/>
      <c r="Y36" s="38">
        <f>SUM(Y5:Y35)</f>
        <v>129.392</v>
      </c>
      <c r="Z36" s="38">
        <f>Y36*3.07</f>
        <v>397.23343999999997</v>
      </c>
      <c r="AA36" s="14"/>
      <c r="AB36" s="37"/>
      <c r="AC36" s="38">
        <f>SUM(AC5:AC35)</f>
        <v>860.74199999999939</v>
      </c>
      <c r="AD36" s="38">
        <f>AC36*3.07</f>
        <v>2642.4779399999979</v>
      </c>
    </row>
    <row r="37" spans="1:30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29"/>
    </row>
    <row r="38" spans="1:30" x14ac:dyDescent="0.2">
      <c r="F38" s="18">
        <f>G36-330</f>
        <v>2061.5299999999997</v>
      </c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D43"/>
  <sheetViews>
    <sheetView workbookViewId="0">
      <pane xSplit="1" ySplit="4" topLeftCell="B5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R5" sqref="R5"/>
    </sheetView>
  </sheetViews>
  <sheetFormatPr defaultRowHeight="12.75" x14ac:dyDescent="0.2"/>
  <cols>
    <col min="2" max="2" width="11.28515625" customWidth="1"/>
    <col min="5" max="5" width="15.28515625" customWidth="1"/>
    <col min="7" max="7" width="11.42578125" customWidth="1"/>
    <col min="8" max="8" width="13.7109375" customWidth="1"/>
    <col min="11" max="11" width="11.7109375" bestFit="1" customWidth="1"/>
    <col min="12" max="12" width="11" customWidth="1"/>
    <col min="15" max="15" width="13.42578125" bestFit="1" customWidth="1"/>
    <col min="18" max="18" width="10.28515625" customWidth="1"/>
    <col min="19" max="21" width="9.28515625" customWidth="1"/>
    <col min="22" max="22" width="11.28515625" customWidth="1"/>
    <col min="23" max="23" width="9.28515625" customWidth="1"/>
    <col min="28" max="28" width="12.28515625" customWidth="1"/>
  </cols>
  <sheetData>
    <row r="1" spans="1:30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14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">
      <c r="A5" s="27">
        <v>43252</v>
      </c>
      <c r="B5" s="7">
        <f>'[4]Production Summary'!J67</f>
        <v>22310000.000000399</v>
      </c>
      <c r="C5" s="8">
        <f t="shared" ref="C5" si="0">B5/1000000</f>
        <v>22.3100000000004</v>
      </c>
      <c r="D5" s="10">
        <f t="shared" ref="D5" si="1">C5*3.07</f>
        <v>68.491700000001231</v>
      </c>
      <c r="E5" s="7">
        <f>'[4]Production Summary'!E67</f>
        <v>19000000</v>
      </c>
      <c r="F5" s="8">
        <f t="shared" ref="F5" si="2">E5/1000000</f>
        <v>19</v>
      </c>
      <c r="G5" s="10">
        <f t="shared" ref="G5" si="3">F5*3.07</f>
        <v>58.33</v>
      </c>
      <c r="H5" s="7">
        <f>'[4]Production Summary'!G67</f>
        <v>5760000</v>
      </c>
      <c r="I5" s="8">
        <f t="shared" ref="I5" si="4">H5/1000000</f>
        <v>5.76</v>
      </c>
      <c r="J5" s="10">
        <f t="shared" ref="J5" si="5">I5*3.07</f>
        <v>17.683199999999999</v>
      </c>
      <c r="K5" s="7">
        <f>'[4]Production Summary'!S67</f>
        <v>1866801</v>
      </c>
      <c r="L5" s="8">
        <f t="shared" ref="L5" si="6">K5/1000000</f>
        <v>1.8668009999999999</v>
      </c>
      <c r="M5" s="10">
        <f t="shared" ref="M5" si="7">L5*3.07</f>
        <v>5.7310790699999998</v>
      </c>
      <c r="N5" s="21"/>
      <c r="O5" s="7">
        <f>'[4]Production Summary'!I67</f>
        <v>12128000.000000004</v>
      </c>
      <c r="P5" s="8">
        <f t="shared" ref="P5" si="8">O5/1000000</f>
        <v>12.128000000000004</v>
      </c>
      <c r="Q5" s="10">
        <f t="shared" ref="Q5" si="9">P5*3.07</f>
        <v>37.232960000000013</v>
      </c>
      <c r="R5" s="7">
        <f>'[4]Production Summary'!C67</f>
        <v>12261000</v>
      </c>
      <c r="S5" s="8">
        <f t="shared" ref="S5" si="10">R5/1000000</f>
        <v>12.260999999999999</v>
      </c>
      <c r="T5" s="10">
        <f t="shared" ref="T5" si="11">S5*3.07</f>
        <v>37.641269999999999</v>
      </c>
      <c r="U5" s="7">
        <f>'[4]Production Summary'!F67</f>
        <v>0</v>
      </c>
      <c r="V5" s="8">
        <f t="shared" ref="V5" si="12">U5/1000000</f>
        <v>0</v>
      </c>
      <c r="W5" s="10">
        <f t="shared" ref="W5" si="13">V5*3.07</f>
        <v>0</v>
      </c>
      <c r="X5" s="7">
        <f>'[4]Production Summary'!AA67</f>
        <v>129999.99999999546</v>
      </c>
      <c r="Y5" s="8">
        <f t="shared" ref="Y5" si="14">X5/1000000</f>
        <v>0.12999999999999545</v>
      </c>
      <c r="Z5" s="10">
        <f t="shared" ref="Z5" si="15">Y5*3.07</f>
        <v>0.39909999999998602</v>
      </c>
      <c r="AA5" s="15"/>
      <c r="AB5" s="7">
        <f>B5+O5</f>
        <v>34438000.000000402</v>
      </c>
      <c r="AC5" s="8">
        <f>C5+P5</f>
        <v>34.4380000000004</v>
      </c>
      <c r="AD5" s="8">
        <f>D5+Q5</f>
        <v>105.72466000000125</v>
      </c>
    </row>
    <row r="6" spans="1:30" x14ac:dyDescent="0.2">
      <c r="A6" s="27">
        <v>43253</v>
      </c>
      <c r="B6" s="7">
        <f>'[4]Production Summary'!J68</f>
        <v>27060000.000000399</v>
      </c>
      <c r="C6" s="8">
        <f t="shared" ref="C6:C34" si="16">B6/1000000</f>
        <v>27.0600000000004</v>
      </c>
      <c r="D6" s="10">
        <f t="shared" ref="D6:D34" si="17">C6*3.07</f>
        <v>83.074200000001227</v>
      </c>
      <c r="E6" s="7">
        <f>'[4]Production Summary'!E68</f>
        <v>23000000</v>
      </c>
      <c r="F6" s="8">
        <f t="shared" ref="F6:F34" si="18">E6/1000000</f>
        <v>23</v>
      </c>
      <c r="G6" s="10">
        <f t="shared" ref="G6:G34" si="19">F6*3.07</f>
        <v>70.61</v>
      </c>
      <c r="H6" s="7">
        <f>'[4]Production Summary'!G68</f>
        <v>5920000</v>
      </c>
      <c r="I6" s="8">
        <f t="shared" ref="I6:I34" si="20">H6/1000000</f>
        <v>5.92</v>
      </c>
      <c r="J6" s="10">
        <f t="shared" ref="J6:J34" si="21">I6*3.07</f>
        <v>18.174399999999999</v>
      </c>
      <c r="K6" s="7">
        <f>'[4]Production Summary'!S68</f>
        <v>1867830</v>
      </c>
      <c r="L6" s="8">
        <f t="shared" ref="L6:L34" si="22">K6/1000000</f>
        <v>1.8678300000000001</v>
      </c>
      <c r="M6" s="10">
        <f t="shared" ref="M6:M34" si="23">L6*3.07</f>
        <v>5.7342380999999998</v>
      </c>
      <c r="N6" s="21"/>
      <c r="O6" s="7">
        <f>'[4]Production Summary'!I68</f>
        <v>12171999.999999994</v>
      </c>
      <c r="P6" s="8">
        <f t="shared" ref="P6:P34" si="24">O6/1000000</f>
        <v>12.171999999999995</v>
      </c>
      <c r="Q6" s="10">
        <f t="shared" ref="Q6:Q34" si="25">P6*3.07</f>
        <v>37.368039999999986</v>
      </c>
      <c r="R6" s="7">
        <f>'[4]Production Summary'!C68</f>
        <v>12576000</v>
      </c>
      <c r="S6" s="8">
        <f t="shared" ref="S6:S34" si="26">R6/1000000</f>
        <v>12.576000000000001</v>
      </c>
      <c r="T6" s="10">
        <f t="shared" ref="T6:T34" si="27">S6*3.07</f>
        <v>38.608319999999999</v>
      </c>
      <c r="U6" s="7">
        <f>'[4]Production Summary'!F68</f>
        <v>0</v>
      </c>
      <c r="V6" s="8">
        <f t="shared" ref="V6:V34" si="28">U6/1000000</f>
        <v>0</v>
      </c>
      <c r="W6" s="10">
        <f t="shared" ref="W6:W34" si="29">V6*3.07</f>
        <v>0</v>
      </c>
      <c r="X6" s="7">
        <f>'[4]Production Summary'!AA68</f>
        <v>394000.00000000547</v>
      </c>
      <c r="Y6" s="8">
        <f t="shared" ref="Y6:Y34" si="30">X6/1000000</f>
        <v>0.39400000000000546</v>
      </c>
      <c r="Z6" s="10">
        <f t="shared" ref="Z6:Z34" si="31">Y6*3.07</f>
        <v>1.2095800000000168</v>
      </c>
      <c r="AA6" s="15"/>
      <c r="AB6" s="7">
        <f t="shared" ref="AB6:AB34" si="32">B6+O6</f>
        <v>39232000.000000395</v>
      </c>
      <c r="AC6" s="8">
        <f t="shared" ref="AC6:AC34" si="33">C6+P6</f>
        <v>39.232000000000397</v>
      </c>
      <c r="AD6" s="8">
        <f t="shared" ref="AD6:AD34" si="34">D6+Q6</f>
        <v>120.44224000000122</v>
      </c>
    </row>
    <row r="7" spans="1:30" x14ac:dyDescent="0.2">
      <c r="A7" s="27">
        <v>43254</v>
      </c>
      <c r="B7" s="7">
        <f>'[4]Production Summary'!J69</f>
        <v>26259999.999999307</v>
      </c>
      <c r="C7" s="8">
        <f t="shared" si="16"/>
        <v>26.259999999999309</v>
      </c>
      <c r="D7" s="10">
        <f t="shared" si="17"/>
        <v>80.61819999999787</v>
      </c>
      <c r="E7" s="7">
        <f>'[4]Production Summary'!E69</f>
        <v>22000000</v>
      </c>
      <c r="F7" s="8">
        <f t="shared" si="18"/>
        <v>22</v>
      </c>
      <c r="G7" s="10">
        <f t="shared" si="19"/>
        <v>67.539999999999992</v>
      </c>
      <c r="H7" s="7">
        <f>'[4]Production Summary'!G69</f>
        <v>7200000</v>
      </c>
      <c r="I7" s="8">
        <f t="shared" si="20"/>
        <v>7.2</v>
      </c>
      <c r="J7" s="10">
        <f t="shared" si="21"/>
        <v>22.103999999999999</v>
      </c>
      <c r="K7" s="7">
        <f>'[4]Production Summary'!S69</f>
        <v>1834818</v>
      </c>
      <c r="L7" s="8">
        <f t="shared" si="22"/>
        <v>1.8348180000000001</v>
      </c>
      <c r="M7" s="10">
        <f t="shared" si="23"/>
        <v>5.6328912600000001</v>
      </c>
      <c r="N7" s="21"/>
      <c r="O7" s="7">
        <f>'[4]Production Summary'!I69</f>
        <v>9615000.0000000093</v>
      </c>
      <c r="P7" s="8">
        <f t="shared" si="24"/>
        <v>9.6150000000000091</v>
      </c>
      <c r="Q7" s="10">
        <f t="shared" si="25"/>
        <v>29.518050000000027</v>
      </c>
      <c r="R7" s="7">
        <f>'[4]Production Summary'!C69</f>
        <v>9881000</v>
      </c>
      <c r="S7" s="8">
        <f t="shared" si="26"/>
        <v>9.8810000000000002</v>
      </c>
      <c r="T7" s="10">
        <f t="shared" si="27"/>
        <v>30.334669999999999</v>
      </c>
      <c r="U7" s="7">
        <f>'[4]Production Summary'!F69</f>
        <v>0</v>
      </c>
      <c r="V7" s="8">
        <f t="shared" si="28"/>
        <v>0</v>
      </c>
      <c r="W7" s="10">
        <f t="shared" si="29"/>
        <v>0</v>
      </c>
      <c r="X7" s="7">
        <f>'[4]Production Summary'!AA69</f>
        <v>259999.99999999092</v>
      </c>
      <c r="Y7" s="8">
        <f t="shared" si="30"/>
        <v>0.25999999999999091</v>
      </c>
      <c r="Z7" s="10">
        <f t="shared" si="31"/>
        <v>0.79819999999997204</v>
      </c>
      <c r="AA7" s="15"/>
      <c r="AB7" s="7">
        <f t="shared" si="32"/>
        <v>35874999.999999315</v>
      </c>
      <c r="AC7" s="8">
        <f t="shared" si="33"/>
        <v>35.874999999999318</v>
      </c>
      <c r="AD7" s="8">
        <f t="shared" si="34"/>
        <v>110.1362499999979</v>
      </c>
    </row>
    <row r="8" spans="1:30" x14ac:dyDescent="0.2">
      <c r="A8" s="27">
        <v>43255</v>
      </c>
      <c r="B8" s="7">
        <f>'[4]Production Summary'!J70</f>
        <v>27610000.000000581</v>
      </c>
      <c r="C8" s="8">
        <f t="shared" si="16"/>
        <v>27.610000000000582</v>
      </c>
      <c r="D8" s="10">
        <f t="shared" si="17"/>
        <v>84.762700000001786</v>
      </c>
      <c r="E8" s="7">
        <f>'[4]Production Summary'!E70</f>
        <v>19000000</v>
      </c>
      <c r="F8" s="8">
        <f t="shared" si="18"/>
        <v>19</v>
      </c>
      <c r="G8" s="10">
        <f t="shared" si="19"/>
        <v>58.33</v>
      </c>
      <c r="H8" s="7">
        <f>'[4]Production Summary'!G70</f>
        <v>9870000</v>
      </c>
      <c r="I8" s="8">
        <f t="shared" si="20"/>
        <v>9.8699999999999992</v>
      </c>
      <c r="J8" s="10">
        <f t="shared" si="21"/>
        <v>30.300899999999995</v>
      </c>
      <c r="K8" s="7">
        <f>'[4]Production Summary'!S70</f>
        <v>1821483</v>
      </c>
      <c r="L8" s="8">
        <f t="shared" si="22"/>
        <v>1.821483</v>
      </c>
      <c r="M8" s="10">
        <f t="shared" si="23"/>
        <v>5.5919528099999996</v>
      </c>
      <c r="N8" s="21"/>
      <c r="O8" s="7">
        <f>'[4]Production Summary'!I70</f>
        <v>9632000.0000000093</v>
      </c>
      <c r="P8" s="8">
        <f t="shared" si="24"/>
        <v>9.6320000000000086</v>
      </c>
      <c r="Q8" s="10">
        <f t="shared" si="25"/>
        <v>29.570240000000023</v>
      </c>
      <c r="R8" s="7">
        <f>'[4]Production Summary'!C70</f>
        <v>9899000</v>
      </c>
      <c r="S8" s="8">
        <f t="shared" si="26"/>
        <v>9.8989999999999991</v>
      </c>
      <c r="T8" s="10">
        <f t="shared" si="27"/>
        <v>30.389929999999996</v>
      </c>
      <c r="U8" s="7">
        <f>'[4]Production Summary'!F70</f>
        <v>0</v>
      </c>
      <c r="V8" s="8">
        <f t="shared" si="28"/>
        <v>0</v>
      </c>
      <c r="W8" s="10">
        <f t="shared" si="29"/>
        <v>0</v>
      </c>
      <c r="X8" s="7">
        <f>'[4]Production Summary'!AA70</f>
        <v>259999.99999999092</v>
      </c>
      <c r="Y8" s="8">
        <f t="shared" si="30"/>
        <v>0.25999999999999091</v>
      </c>
      <c r="Z8" s="10">
        <f t="shared" si="31"/>
        <v>0.79819999999997204</v>
      </c>
      <c r="AA8" s="15"/>
      <c r="AB8" s="7">
        <f t="shared" si="32"/>
        <v>37242000.000000589</v>
      </c>
      <c r="AC8" s="8">
        <f t="shared" si="33"/>
        <v>37.242000000000587</v>
      </c>
      <c r="AD8" s="8">
        <f t="shared" si="34"/>
        <v>114.33294000000181</v>
      </c>
    </row>
    <row r="9" spans="1:30" x14ac:dyDescent="0.2">
      <c r="A9" s="27">
        <v>43256</v>
      </c>
      <c r="B9" s="7">
        <f>'[4]Production Summary'!J71</f>
        <v>28019999.999999527</v>
      </c>
      <c r="C9" s="8">
        <f t="shared" si="16"/>
        <v>28.019999999999527</v>
      </c>
      <c r="D9" s="10">
        <f t="shared" si="17"/>
        <v>86.02139999999855</v>
      </c>
      <c r="E9" s="7">
        <f>'[4]Production Summary'!E71</f>
        <v>22000000</v>
      </c>
      <c r="F9" s="8">
        <f t="shared" si="18"/>
        <v>22</v>
      </c>
      <c r="G9" s="10">
        <f t="shared" si="19"/>
        <v>67.539999999999992</v>
      </c>
      <c r="H9" s="7">
        <f>'[4]Production Summary'!G71</f>
        <v>8970000</v>
      </c>
      <c r="I9" s="8">
        <f t="shared" si="20"/>
        <v>8.9700000000000006</v>
      </c>
      <c r="J9" s="10">
        <f t="shared" si="21"/>
        <v>27.5379</v>
      </c>
      <c r="K9" s="7">
        <f>'[4]Production Summary'!S71</f>
        <v>2754905</v>
      </c>
      <c r="L9" s="8">
        <f t="shared" si="22"/>
        <v>2.7549049999999999</v>
      </c>
      <c r="M9" s="10">
        <f t="shared" si="23"/>
        <v>8.4575583499999993</v>
      </c>
      <c r="N9" s="21"/>
      <c r="O9" s="7">
        <f>'[4]Production Summary'!I71</f>
        <v>10372999.999999978</v>
      </c>
      <c r="P9" s="8">
        <f t="shared" si="24"/>
        <v>10.372999999999978</v>
      </c>
      <c r="Q9" s="10">
        <f t="shared" si="25"/>
        <v>31.845109999999931</v>
      </c>
      <c r="R9" s="7">
        <f>'[4]Production Summary'!C71</f>
        <v>10573000</v>
      </c>
      <c r="S9" s="8">
        <f t="shared" si="26"/>
        <v>10.573</v>
      </c>
      <c r="T9" s="10">
        <f t="shared" si="27"/>
        <v>32.459110000000003</v>
      </c>
      <c r="U9" s="7">
        <f>'[4]Production Summary'!F71</f>
        <v>0</v>
      </c>
      <c r="V9" s="8">
        <f t="shared" si="28"/>
        <v>0</v>
      </c>
      <c r="W9" s="10">
        <f t="shared" si="29"/>
        <v>0</v>
      </c>
      <c r="X9" s="7">
        <f>'[4]Production Summary'!AA71</f>
        <v>195000.0000000216</v>
      </c>
      <c r="Y9" s="8">
        <f t="shared" si="30"/>
        <v>0.1950000000000216</v>
      </c>
      <c r="Z9" s="10">
        <f t="shared" si="31"/>
        <v>0.5986500000000663</v>
      </c>
      <c r="AA9" s="15"/>
      <c r="AB9" s="7">
        <f t="shared" si="32"/>
        <v>38392999.999999508</v>
      </c>
      <c r="AC9" s="8">
        <f t="shared" si="33"/>
        <v>38.392999999999503</v>
      </c>
      <c r="AD9" s="8">
        <f t="shared" si="34"/>
        <v>117.86650999999848</v>
      </c>
    </row>
    <row r="10" spans="1:30" x14ac:dyDescent="0.2">
      <c r="A10" s="27">
        <v>43257</v>
      </c>
      <c r="B10" s="7">
        <f>'[4]Production Summary'!J72</f>
        <v>23199999.999999817</v>
      </c>
      <c r="C10" s="8">
        <f t="shared" si="16"/>
        <v>23.199999999999818</v>
      </c>
      <c r="D10" s="10">
        <f t="shared" si="17"/>
        <v>71.223999999999435</v>
      </c>
      <c r="E10" s="7">
        <f>'[4]Production Summary'!E72</f>
        <v>18000000</v>
      </c>
      <c r="F10" s="8">
        <f t="shared" si="18"/>
        <v>18</v>
      </c>
      <c r="G10" s="10">
        <f t="shared" si="19"/>
        <v>55.26</v>
      </c>
      <c r="H10" s="7">
        <f>'[4]Production Summary'!G72</f>
        <v>7390000</v>
      </c>
      <c r="I10" s="8">
        <f t="shared" si="20"/>
        <v>7.39</v>
      </c>
      <c r="J10" s="10">
        <f t="shared" si="21"/>
        <v>22.687299999999997</v>
      </c>
      <c r="K10" s="7">
        <f>'[4]Production Summary'!S72</f>
        <v>2332357</v>
      </c>
      <c r="L10" s="8">
        <f t="shared" si="22"/>
        <v>2.332357</v>
      </c>
      <c r="M10" s="10">
        <f t="shared" si="23"/>
        <v>7.1603359900000001</v>
      </c>
      <c r="N10" s="21"/>
      <c r="O10" s="7">
        <f>'[4]Production Summary'!I72</f>
        <v>10005000.000000002</v>
      </c>
      <c r="P10" s="8">
        <f t="shared" si="24"/>
        <v>10.005000000000003</v>
      </c>
      <c r="Q10" s="10">
        <f t="shared" si="25"/>
        <v>30.715350000000008</v>
      </c>
      <c r="R10" s="7">
        <f>'[4]Production Summary'!C72</f>
        <v>10222000</v>
      </c>
      <c r="S10" s="8">
        <f t="shared" si="26"/>
        <v>10.222</v>
      </c>
      <c r="T10" s="10">
        <f t="shared" si="27"/>
        <v>31.381539999999998</v>
      </c>
      <c r="U10" s="7">
        <f>'[4]Production Summary'!F72</f>
        <v>0</v>
      </c>
      <c r="V10" s="8">
        <f t="shared" si="28"/>
        <v>0</v>
      </c>
      <c r="W10" s="10">
        <f t="shared" si="29"/>
        <v>0</v>
      </c>
      <c r="X10" s="7">
        <f>'[4]Production Summary'!AA72</f>
        <v>213999.99999999863</v>
      </c>
      <c r="Y10" s="8">
        <f t="shared" si="30"/>
        <v>0.21399999999999864</v>
      </c>
      <c r="Z10" s="10">
        <f t="shared" si="31"/>
        <v>0.65697999999999579</v>
      </c>
      <c r="AA10" s="15"/>
      <c r="AB10" s="7">
        <f t="shared" si="32"/>
        <v>33204999.999999821</v>
      </c>
      <c r="AC10" s="8">
        <f t="shared" si="33"/>
        <v>33.204999999999821</v>
      </c>
      <c r="AD10" s="8">
        <f t="shared" si="34"/>
        <v>101.93934999999945</v>
      </c>
    </row>
    <row r="11" spans="1:30" x14ac:dyDescent="0.2">
      <c r="A11" s="27">
        <v>43258</v>
      </c>
      <c r="B11" s="7">
        <f>'[4]Production Summary'!J73</f>
        <v>26400000.000000544</v>
      </c>
      <c r="C11" s="8">
        <f t="shared" si="16"/>
        <v>26.400000000000542</v>
      </c>
      <c r="D11" s="10">
        <f t="shared" si="17"/>
        <v>81.048000000001664</v>
      </c>
      <c r="E11" s="7">
        <f>'[4]Production Summary'!E73</f>
        <v>20000000</v>
      </c>
      <c r="F11" s="8">
        <f t="shared" si="18"/>
        <v>20</v>
      </c>
      <c r="G11" s="10">
        <f t="shared" si="19"/>
        <v>61.4</v>
      </c>
      <c r="H11" s="7">
        <f>'[4]Production Summary'!G73</f>
        <v>7770000</v>
      </c>
      <c r="I11" s="8">
        <f t="shared" si="20"/>
        <v>7.77</v>
      </c>
      <c r="J11" s="10">
        <f t="shared" si="21"/>
        <v>23.853899999999996</v>
      </c>
      <c r="K11" s="7">
        <f>'[4]Production Summary'!S73</f>
        <v>2585235</v>
      </c>
      <c r="L11" s="8">
        <f t="shared" si="22"/>
        <v>2.5852349999999999</v>
      </c>
      <c r="M11" s="10">
        <f t="shared" si="23"/>
        <v>7.9366714499999995</v>
      </c>
      <c r="N11" s="21"/>
      <c r="O11" s="7">
        <f>'[4]Production Summary'!I73</f>
        <v>8475000.0000000112</v>
      </c>
      <c r="P11" s="8">
        <f t="shared" si="24"/>
        <v>8.4750000000000103</v>
      </c>
      <c r="Q11" s="10">
        <f t="shared" si="25"/>
        <v>26.01825000000003</v>
      </c>
      <c r="R11" s="7">
        <f>'[4]Production Summary'!C73</f>
        <v>8791000</v>
      </c>
      <c r="S11" s="8">
        <f t="shared" si="26"/>
        <v>8.7910000000000004</v>
      </c>
      <c r="T11" s="10">
        <f t="shared" si="27"/>
        <v>26.98837</v>
      </c>
      <c r="U11" s="7">
        <f>'[4]Production Summary'!F73</f>
        <v>0</v>
      </c>
      <c r="V11" s="8">
        <f t="shared" si="28"/>
        <v>0</v>
      </c>
      <c r="W11" s="10">
        <f t="shared" si="29"/>
        <v>0</v>
      </c>
      <c r="X11" s="7">
        <f>'[4]Production Summary'!AA73</f>
        <v>306999.99999998795</v>
      </c>
      <c r="Y11" s="8">
        <f t="shared" si="30"/>
        <v>0.30699999999998795</v>
      </c>
      <c r="Z11" s="10">
        <f t="shared" si="31"/>
        <v>0.94248999999996297</v>
      </c>
      <c r="AA11" s="15"/>
      <c r="AB11" s="7">
        <f t="shared" si="32"/>
        <v>34875000.000000551</v>
      </c>
      <c r="AC11" s="8">
        <f t="shared" si="33"/>
        <v>34.875000000000554</v>
      </c>
      <c r="AD11" s="8">
        <f t="shared" si="34"/>
        <v>107.0662500000017</v>
      </c>
    </row>
    <row r="12" spans="1:30" x14ac:dyDescent="0.2">
      <c r="A12" s="27">
        <v>43259</v>
      </c>
      <c r="B12" s="7">
        <f>'[4]Production Summary'!J74</f>
        <v>25260000.00000022</v>
      </c>
      <c r="C12" s="8">
        <f t="shared" si="16"/>
        <v>25.260000000000218</v>
      </c>
      <c r="D12" s="10">
        <f t="shared" si="17"/>
        <v>77.548200000000662</v>
      </c>
      <c r="E12" s="7">
        <f>'[4]Production Summary'!E74</f>
        <v>20000000</v>
      </c>
      <c r="F12" s="8">
        <f t="shared" si="18"/>
        <v>20</v>
      </c>
      <c r="G12" s="10">
        <f t="shared" si="19"/>
        <v>61.4</v>
      </c>
      <c r="H12" s="7">
        <f>'[4]Production Summary'!G74</f>
        <v>8230000</v>
      </c>
      <c r="I12" s="8">
        <f t="shared" si="20"/>
        <v>8.23</v>
      </c>
      <c r="J12" s="10">
        <f t="shared" si="21"/>
        <v>25.266100000000002</v>
      </c>
      <c r="K12" s="7">
        <f>'[4]Production Summary'!S74</f>
        <v>2549112</v>
      </c>
      <c r="L12" s="8">
        <f t="shared" si="22"/>
        <v>2.549112</v>
      </c>
      <c r="M12" s="10">
        <f t="shared" si="23"/>
        <v>7.8257738400000001</v>
      </c>
      <c r="N12" s="21"/>
      <c r="O12" s="7">
        <f>'[4]Production Summary'!I74</f>
        <v>10193000.000000006</v>
      </c>
      <c r="P12" s="8">
        <f t="shared" si="24"/>
        <v>10.193000000000005</v>
      </c>
      <c r="Q12" s="10">
        <f t="shared" si="25"/>
        <v>31.292510000000014</v>
      </c>
      <c r="R12" s="7">
        <f>'[4]Production Summary'!C74</f>
        <v>10291000</v>
      </c>
      <c r="S12" s="8">
        <f t="shared" si="26"/>
        <v>10.291</v>
      </c>
      <c r="T12" s="10">
        <f t="shared" si="27"/>
        <v>31.59337</v>
      </c>
      <c r="U12" s="7">
        <f>'[4]Production Summary'!F74</f>
        <v>0</v>
      </c>
      <c r="V12" s="8">
        <f t="shared" si="28"/>
        <v>0</v>
      </c>
      <c r="W12" s="10">
        <f t="shared" si="29"/>
        <v>0</v>
      </c>
      <c r="X12" s="7">
        <f>'[4]Production Summary'!AA74</f>
        <v>93999.999999994092</v>
      </c>
      <c r="Y12" s="8">
        <f t="shared" si="30"/>
        <v>9.3999999999994088E-2</v>
      </c>
      <c r="Z12" s="10">
        <f t="shared" si="31"/>
        <v>0.28857999999998185</v>
      </c>
      <c r="AA12" s="15"/>
      <c r="AB12" s="7">
        <f t="shared" si="32"/>
        <v>35453000.000000224</v>
      </c>
      <c r="AC12" s="8">
        <f t="shared" si="33"/>
        <v>35.453000000000223</v>
      </c>
      <c r="AD12" s="8">
        <f t="shared" si="34"/>
        <v>108.84071000000068</v>
      </c>
    </row>
    <row r="13" spans="1:30" x14ac:dyDescent="0.2">
      <c r="A13" s="27">
        <v>43260</v>
      </c>
      <c r="B13" s="7">
        <f>'[4]Production Summary'!J75</f>
        <v>17989999.99999978</v>
      </c>
      <c r="C13" s="8">
        <f t="shared" si="16"/>
        <v>17.989999999999782</v>
      </c>
      <c r="D13" s="10">
        <f t="shared" si="17"/>
        <v>55.229299999999327</v>
      </c>
      <c r="E13" s="7">
        <f>'[4]Production Summary'!E75</f>
        <v>13000000</v>
      </c>
      <c r="F13" s="8">
        <f t="shared" si="18"/>
        <v>13</v>
      </c>
      <c r="G13" s="10">
        <f t="shared" si="19"/>
        <v>39.909999999999997</v>
      </c>
      <c r="H13" s="7">
        <f>'[4]Production Summary'!G75</f>
        <v>5880000</v>
      </c>
      <c r="I13" s="8">
        <f t="shared" si="20"/>
        <v>5.88</v>
      </c>
      <c r="J13" s="10">
        <f t="shared" si="21"/>
        <v>18.051599999999997</v>
      </c>
      <c r="K13" s="7">
        <f>'[4]Production Summary'!S75</f>
        <v>21764</v>
      </c>
      <c r="L13" s="8">
        <f t="shared" si="22"/>
        <v>2.1763999999999999E-2</v>
      </c>
      <c r="M13" s="10">
        <f t="shared" si="23"/>
        <v>6.6815479999999997E-2</v>
      </c>
      <c r="N13" s="21"/>
      <c r="O13" s="7">
        <f>'[4]Production Summary'!I75</f>
        <v>7465000</v>
      </c>
      <c r="P13" s="8">
        <f t="shared" si="24"/>
        <v>7.4649999999999999</v>
      </c>
      <c r="Q13" s="10">
        <f t="shared" si="25"/>
        <v>22.917549999999999</v>
      </c>
      <c r="R13" s="7">
        <f>'[4]Production Summary'!C75</f>
        <v>7470000</v>
      </c>
      <c r="S13" s="8">
        <f t="shared" si="26"/>
        <v>7.47</v>
      </c>
      <c r="T13" s="10">
        <f t="shared" si="27"/>
        <v>22.932899999999997</v>
      </c>
      <c r="U13" s="7">
        <f>'[4]Production Summary'!F75</f>
        <v>0</v>
      </c>
      <c r="V13" s="8">
        <f t="shared" si="28"/>
        <v>0</v>
      </c>
      <c r="W13" s="10">
        <f t="shared" si="29"/>
        <v>0</v>
      </c>
      <c r="X13" s="58">
        <f>'[4]Production Summary'!AA75</f>
        <v>0</v>
      </c>
      <c r="Y13" s="8">
        <f t="shared" si="30"/>
        <v>0</v>
      </c>
      <c r="Z13" s="10">
        <f t="shared" si="31"/>
        <v>0</v>
      </c>
      <c r="AA13" s="15"/>
      <c r="AB13" s="7">
        <f t="shared" si="32"/>
        <v>25454999.99999978</v>
      </c>
      <c r="AC13" s="8">
        <f t="shared" si="33"/>
        <v>25.454999999999782</v>
      </c>
      <c r="AD13" s="8">
        <f t="shared" si="34"/>
        <v>78.146849999999318</v>
      </c>
    </row>
    <row r="14" spans="1:30" x14ac:dyDescent="0.2">
      <c r="A14" s="27">
        <v>43261</v>
      </c>
      <c r="B14" s="7">
        <f>'[4]Production Summary'!J76</f>
        <v>19939999.999999601</v>
      </c>
      <c r="C14" s="8">
        <f t="shared" si="16"/>
        <v>19.9399999999996</v>
      </c>
      <c r="D14" s="10">
        <f t="shared" si="17"/>
        <v>61.215799999998765</v>
      </c>
      <c r="E14" s="7">
        <f>'[4]Production Summary'!E76</f>
        <v>13000000</v>
      </c>
      <c r="F14" s="8">
        <f t="shared" si="18"/>
        <v>13</v>
      </c>
      <c r="G14" s="10">
        <f t="shared" si="19"/>
        <v>39.909999999999997</v>
      </c>
      <c r="H14" s="7">
        <f>'[4]Production Summary'!G76</f>
        <v>9690000</v>
      </c>
      <c r="I14" s="8">
        <f t="shared" si="20"/>
        <v>9.69</v>
      </c>
      <c r="J14" s="10">
        <f t="shared" si="21"/>
        <v>29.748299999999997</v>
      </c>
      <c r="K14" s="7">
        <f>'[4]Production Summary'!S76</f>
        <v>2096031</v>
      </c>
      <c r="L14" s="8">
        <f t="shared" si="22"/>
        <v>2.096031</v>
      </c>
      <c r="M14" s="10">
        <f t="shared" si="23"/>
        <v>6.4348151699999994</v>
      </c>
      <c r="N14" s="21"/>
      <c r="O14" s="7">
        <f>'[4]Production Summary'!I76</f>
        <v>10576000</v>
      </c>
      <c r="P14" s="8">
        <f t="shared" si="24"/>
        <v>10.576000000000001</v>
      </c>
      <c r="Q14" s="10">
        <f t="shared" si="25"/>
        <v>32.468319999999999</v>
      </c>
      <c r="R14" s="7">
        <f>'[4]Production Summary'!C76</f>
        <v>10581000</v>
      </c>
      <c r="S14" s="8">
        <f t="shared" si="26"/>
        <v>10.581</v>
      </c>
      <c r="T14" s="10">
        <f t="shared" si="27"/>
        <v>32.483669999999996</v>
      </c>
      <c r="U14" s="7">
        <f>'[4]Production Summary'!F76</f>
        <v>0</v>
      </c>
      <c r="V14" s="8">
        <f t="shared" si="28"/>
        <v>0</v>
      </c>
      <c r="W14" s="10">
        <f t="shared" si="29"/>
        <v>0</v>
      </c>
      <c r="X14" s="58">
        <f>'[4]Production Summary'!AA76</f>
        <v>0</v>
      </c>
      <c r="Y14" s="8">
        <f t="shared" si="30"/>
        <v>0</v>
      </c>
      <c r="Z14" s="10">
        <f t="shared" si="31"/>
        <v>0</v>
      </c>
      <c r="AA14" s="15"/>
      <c r="AB14" s="7">
        <f t="shared" si="32"/>
        <v>30515999.999999601</v>
      </c>
      <c r="AC14" s="8">
        <f t="shared" si="33"/>
        <v>30.5159999999996</v>
      </c>
      <c r="AD14" s="8">
        <f t="shared" si="34"/>
        <v>93.684119999998757</v>
      </c>
    </row>
    <row r="15" spans="1:30" x14ac:dyDescent="0.2">
      <c r="A15" s="27">
        <v>43262</v>
      </c>
      <c r="B15" s="7">
        <f>'[4]Production Summary'!J77</f>
        <v>24860000.000000581</v>
      </c>
      <c r="C15" s="8">
        <f t="shared" si="16"/>
        <v>24.860000000000582</v>
      </c>
      <c r="D15" s="10">
        <f t="shared" si="17"/>
        <v>76.320200000001776</v>
      </c>
      <c r="E15" s="7">
        <f>'[4]Production Summary'!E77</f>
        <v>16000000</v>
      </c>
      <c r="F15" s="8">
        <f t="shared" si="18"/>
        <v>16</v>
      </c>
      <c r="G15" s="10">
        <f t="shared" si="19"/>
        <v>49.12</v>
      </c>
      <c r="H15" s="7">
        <f>'[4]Production Summary'!G77</f>
        <v>11920000</v>
      </c>
      <c r="I15" s="8">
        <f t="shared" si="20"/>
        <v>11.92</v>
      </c>
      <c r="J15" s="10">
        <f t="shared" si="21"/>
        <v>36.5944</v>
      </c>
      <c r="K15" s="7">
        <f>'[4]Production Summary'!S77</f>
        <v>2560532</v>
      </c>
      <c r="L15" s="8">
        <f t="shared" si="22"/>
        <v>2.5605319999999998</v>
      </c>
      <c r="M15" s="10">
        <f t="shared" si="23"/>
        <v>7.8608332399999989</v>
      </c>
      <c r="N15" s="21"/>
      <c r="O15" s="7">
        <f>'[4]Production Summary'!I77</f>
        <v>9952000</v>
      </c>
      <c r="P15" s="8">
        <f t="shared" si="24"/>
        <v>9.952</v>
      </c>
      <c r="Q15" s="10">
        <f t="shared" si="25"/>
        <v>30.552639999999997</v>
      </c>
      <c r="R15" s="7">
        <f>'[4]Production Summary'!C77</f>
        <v>9960000</v>
      </c>
      <c r="S15" s="8">
        <f t="shared" si="26"/>
        <v>9.9600000000000009</v>
      </c>
      <c r="T15" s="10">
        <f t="shared" si="27"/>
        <v>30.577200000000001</v>
      </c>
      <c r="U15" s="7">
        <f>'[4]Production Summary'!F77</f>
        <v>0</v>
      </c>
      <c r="V15" s="8">
        <f t="shared" si="28"/>
        <v>0</v>
      </c>
      <c r="W15" s="10">
        <f t="shared" si="29"/>
        <v>0</v>
      </c>
      <c r="X15" s="58">
        <f>'[4]Production Summary'!AA77</f>
        <v>0</v>
      </c>
      <c r="Y15" s="8">
        <f t="shared" si="30"/>
        <v>0</v>
      </c>
      <c r="Z15" s="10">
        <f t="shared" si="31"/>
        <v>0</v>
      </c>
      <c r="AA15" s="15"/>
      <c r="AB15" s="7">
        <f t="shared" si="32"/>
        <v>34812000.000000581</v>
      </c>
      <c r="AC15" s="8">
        <f t="shared" si="33"/>
        <v>34.81200000000058</v>
      </c>
      <c r="AD15" s="8">
        <f t="shared" si="34"/>
        <v>106.87284000000177</v>
      </c>
    </row>
    <row r="16" spans="1:30" x14ac:dyDescent="0.2">
      <c r="A16" s="27">
        <v>43263</v>
      </c>
      <c r="B16" s="7">
        <f>'[4]Production Summary'!J78</f>
        <v>27439999.999999601</v>
      </c>
      <c r="C16" s="8">
        <f t="shared" si="16"/>
        <v>27.4399999999996</v>
      </c>
      <c r="D16" s="10">
        <f t="shared" si="17"/>
        <v>84.240799999998771</v>
      </c>
      <c r="E16" s="7">
        <f>'[4]Production Summary'!E78</f>
        <v>21000000</v>
      </c>
      <c r="F16" s="8">
        <f t="shared" si="18"/>
        <v>21</v>
      </c>
      <c r="G16" s="10">
        <f t="shared" si="19"/>
        <v>64.47</v>
      </c>
      <c r="H16" s="7">
        <f>'[4]Production Summary'!G78</f>
        <v>9010000</v>
      </c>
      <c r="I16" s="8">
        <f t="shared" si="20"/>
        <v>9.01</v>
      </c>
      <c r="J16" s="10">
        <f t="shared" si="21"/>
        <v>27.660699999999999</v>
      </c>
      <c r="K16" s="7">
        <f>'[4]Production Summary'!S78</f>
        <v>2406784</v>
      </c>
      <c r="L16" s="8">
        <f t="shared" si="22"/>
        <v>2.406784</v>
      </c>
      <c r="M16" s="10">
        <f t="shared" si="23"/>
        <v>7.3888268799999999</v>
      </c>
      <c r="N16" s="21"/>
      <c r="O16" s="7">
        <f>'[4]Production Summary'!I78</f>
        <v>8975000</v>
      </c>
      <c r="P16" s="8">
        <f t="shared" si="24"/>
        <v>8.9749999999999996</v>
      </c>
      <c r="Q16" s="10">
        <f t="shared" si="25"/>
        <v>27.553249999999998</v>
      </c>
      <c r="R16" s="7">
        <f>'[4]Production Summary'!C78</f>
        <v>8980000</v>
      </c>
      <c r="S16" s="8">
        <f t="shared" si="26"/>
        <v>8.98</v>
      </c>
      <c r="T16" s="10">
        <f t="shared" si="27"/>
        <v>27.5686</v>
      </c>
      <c r="U16" s="7">
        <f>'[4]Production Summary'!F78</f>
        <v>0</v>
      </c>
      <c r="V16" s="8">
        <f t="shared" si="28"/>
        <v>0</v>
      </c>
      <c r="W16" s="10">
        <f t="shared" si="29"/>
        <v>0</v>
      </c>
      <c r="X16" s="58">
        <f>'[4]Production Summary'!AA78</f>
        <v>0</v>
      </c>
      <c r="Y16" s="8">
        <f t="shared" si="30"/>
        <v>0</v>
      </c>
      <c r="Z16" s="10">
        <f t="shared" si="31"/>
        <v>0</v>
      </c>
      <c r="AA16" s="15"/>
      <c r="AB16" s="7">
        <f t="shared" si="32"/>
        <v>36414999.999999598</v>
      </c>
      <c r="AC16" s="8">
        <f t="shared" si="33"/>
        <v>36.414999999999601</v>
      </c>
      <c r="AD16" s="8">
        <f t="shared" si="34"/>
        <v>111.79404999999878</v>
      </c>
    </row>
    <row r="17" spans="1:30" x14ac:dyDescent="0.2">
      <c r="A17" s="27">
        <v>43264</v>
      </c>
      <c r="B17" s="7">
        <f>'[4]Production Summary'!J79</f>
        <v>26329999.999999925</v>
      </c>
      <c r="C17" s="8">
        <f t="shared" si="16"/>
        <v>26.329999999999927</v>
      </c>
      <c r="D17" s="10">
        <f t="shared" si="17"/>
        <v>80.833099999999774</v>
      </c>
      <c r="E17" s="7">
        <f>'[4]Production Summary'!E79</f>
        <v>21000000</v>
      </c>
      <c r="F17" s="8">
        <f t="shared" si="18"/>
        <v>21</v>
      </c>
      <c r="G17" s="10">
        <f t="shared" si="19"/>
        <v>64.47</v>
      </c>
      <c r="H17" s="7">
        <f>'[4]Production Summary'!G79</f>
        <v>8600000</v>
      </c>
      <c r="I17" s="8">
        <f t="shared" si="20"/>
        <v>8.6</v>
      </c>
      <c r="J17" s="10">
        <f t="shared" si="21"/>
        <v>26.401999999999997</v>
      </c>
      <c r="K17" s="7">
        <f>'[4]Production Summary'!S79</f>
        <v>2456592</v>
      </c>
      <c r="L17" s="8">
        <f t="shared" si="22"/>
        <v>2.4565920000000001</v>
      </c>
      <c r="M17" s="10">
        <f t="shared" si="23"/>
        <v>7.5417374400000003</v>
      </c>
      <c r="N17" s="21"/>
      <c r="O17" s="7">
        <f>'[4]Production Summary'!I79</f>
        <v>9856000</v>
      </c>
      <c r="P17" s="8">
        <f t="shared" si="24"/>
        <v>9.8559999999999999</v>
      </c>
      <c r="Q17" s="10">
        <f t="shared" si="25"/>
        <v>30.257919999999999</v>
      </c>
      <c r="R17" s="7">
        <f>'[4]Production Summary'!C79</f>
        <v>9859000</v>
      </c>
      <c r="S17" s="8">
        <f t="shared" si="26"/>
        <v>9.859</v>
      </c>
      <c r="T17" s="10">
        <f t="shared" si="27"/>
        <v>30.267129999999998</v>
      </c>
      <c r="U17" s="7">
        <f>'[4]Production Summary'!F79</f>
        <v>0</v>
      </c>
      <c r="V17" s="8">
        <f t="shared" si="28"/>
        <v>0</v>
      </c>
      <c r="W17" s="10">
        <f t="shared" si="29"/>
        <v>0</v>
      </c>
      <c r="X17" s="58">
        <f>'[4]Production Summary'!AA79</f>
        <v>0</v>
      </c>
      <c r="Y17" s="8">
        <f t="shared" si="30"/>
        <v>0</v>
      </c>
      <c r="Z17" s="10">
        <f t="shared" si="31"/>
        <v>0</v>
      </c>
      <c r="AA17" s="15"/>
      <c r="AB17" s="7">
        <f t="shared" si="32"/>
        <v>36185999.999999925</v>
      </c>
      <c r="AC17" s="8">
        <f t="shared" si="33"/>
        <v>36.185999999999929</v>
      </c>
      <c r="AD17" s="8">
        <f t="shared" si="34"/>
        <v>111.09101999999977</v>
      </c>
    </row>
    <row r="18" spans="1:30" x14ac:dyDescent="0.2">
      <c r="A18" s="27">
        <v>43265</v>
      </c>
      <c r="B18" s="7">
        <f>'[4]Production Summary'!J80</f>
        <v>27180000.000000291</v>
      </c>
      <c r="C18" s="8">
        <f t="shared" si="16"/>
        <v>27.180000000000291</v>
      </c>
      <c r="D18" s="10">
        <f t="shared" si="17"/>
        <v>83.442600000000894</v>
      </c>
      <c r="E18" s="7">
        <f>'[4]Production Summary'!E80</f>
        <v>20000000</v>
      </c>
      <c r="F18" s="8">
        <f t="shared" si="18"/>
        <v>20</v>
      </c>
      <c r="G18" s="10">
        <f t="shared" si="19"/>
        <v>61.4</v>
      </c>
      <c r="H18" s="7">
        <f>'[4]Production Summary'!G80</f>
        <v>9980000</v>
      </c>
      <c r="I18" s="8">
        <f t="shared" si="20"/>
        <v>9.98</v>
      </c>
      <c r="J18" s="10">
        <f t="shared" si="21"/>
        <v>30.6386</v>
      </c>
      <c r="K18" s="7">
        <f>'[4]Production Summary'!S80</f>
        <v>2789611</v>
      </c>
      <c r="L18" s="8">
        <f t="shared" si="22"/>
        <v>2.7896109999999998</v>
      </c>
      <c r="M18" s="10">
        <f t="shared" si="23"/>
        <v>8.5641057699999994</v>
      </c>
      <c r="N18" s="21"/>
      <c r="O18" s="7">
        <f>'[4]Production Summary'!I80</f>
        <v>9996000</v>
      </c>
      <c r="P18" s="8">
        <f t="shared" si="24"/>
        <v>9.9960000000000004</v>
      </c>
      <c r="Q18" s="10">
        <f t="shared" si="25"/>
        <v>30.687719999999999</v>
      </c>
      <c r="R18" s="7">
        <f>'[4]Production Summary'!C80</f>
        <v>10003000</v>
      </c>
      <c r="S18" s="8">
        <f t="shared" si="26"/>
        <v>10.003</v>
      </c>
      <c r="T18" s="10">
        <f t="shared" si="27"/>
        <v>30.709209999999999</v>
      </c>
      <c r="U18" s="7">
        <f>'[4]Production Summary'!F80</f>
        <v>0</v>
      </c>
      <c r="V18" s="8">
        <f t="shared" si="28"/>
        <v>0</v>
      </c>
      <c r="W18" s="10">
        <f t="shared" si="29"/>
        <v>0</v>
      </c>
      <c r="X18" s="58">
        <f>'[4]Production Summary'!AA80</f>
        <v>0</v>
      </c>
      <c r="Y18" s="8">
        <f t="shared" si="30"/>
        <v>0</v>
      </c>
      <c r="Z18" s="10">
        <f t="shared" si="31"/>
        <v>0</v>
      </c>
      <c r="AA18" s="15"/>
      <c r="AB18" s="7">
        <f t="shared" si="32"/>
        <v>37176000.000000291</v>
      </c>
      <c r="AC18" s="8">
        <f t="shared" si="33"/>
        <v>37.176000000000293</v>
      </c>
      <c r="AD18" s="8">
        <f t="shared" si="34"/>
        <v>114.13032000000089</v>
      </c>
    </row>
    <row r="19" spans="1:30" x14ac:dyDescent="0.2">
      <c r="A19" s="27">
        <v>43266</v>
      </c>
      <c r="B19" s="7">
        <f>'[4]Production Summary'!J81</f>
        <v>27949999.999999817</v>
      </c>
      <c r="C19" s="8">
        <f t="shared" si="16"/>
        <v>27.949999999999818</v>
      </c>
      <c r="D19" s="10">
        <f t="shared" si="17"/>
        <v>85.806499999999431</v>
      </c>
      <c r="E19" s="7">
        <f>'[4]Production Summary'!E81</f>
        <v>21000000</v>
      </c>
      <c r="F19" s="8">
        <f t="shared" si="18"/>
        <v>21</v>
      </c>
      <c r="G19" s="10">
        <f t="shared" si="19"/>
        <v>64.47</v>
      </c>
      <c r="H19" s="7">
        <f>'[4]Production Summary'!G81</f>
        <v>9930000</v>
      </c>
      <c r="I19" s="8">
        <f t="shared" si="20"/>
        <v>9.93</v>
      </c>
      <c r="J19" s="10">
        <f t="shared" si="21"/>
        <v>30.485099999999999</v>
      </c>
      <c r="K19" s="7">
        <f>'[4]Production Summary'!S81</f>
        <v>2850771</v>
      </c>
      <c r="L19" s="8">
        <f t="shared" si="22"/>
        <v>2.8507709999999999</v>
      </c>
      <c r="M19" s="10">
        <f t="shared" si="23"/>
        <v>8.75186697</v>
      </c>
      <c r="N19" s="21"/>
      <c r="O19" s="7">
        <f>'[4]Production Summary'!I81</f>
        <v>9986000</v>
      </c>
      <c r="P19" s="8">
        <f t="shared" si="24"/>
        <v>9.9860000000000007</v>
      </c>
      <c r="Q19" s="10">
        <f t="shared" si="25"/>
        <v>30.657019999999999</v>
      </c>
      <c r="R19" s="7">
        <f>'[4]Production Summary'!C81</f>
        <v>9992000</v>
      </c>
      <c r="S19" s="8">
        <f t="shared" si="26"/>
        <v>9.9920000000000009</v>
      </c>
      <c r="T19" s="10">
        <f t="shared" si="27"/>
        <v>30.675440000000002</v>
      </c>
      <c r="U19" s="7">
        <f>'[4]Production Summary'!F81</f>
        <v>0</v>
      </c>
      <c r="V19" s="8">
        <f t="shared" si="28"/>
        <v>0</v>
      </c>
      <c r="W19" s="10">
        <f t="shared" si="29"/>
        <v>0</v>
      </c>
      <c r="X19" s="58">
        <f>'[4]Production Summary'!AA81</f>
        <v>0</v>
      </c>
      <c r="Y19" s="8">
        <f t="shared" si="30"/>
        <v>0</v>
      </c>
      <c r="Z19" s="10">
        <f t="shared" si="31"/>
        <v>0</v>
      </c>
      <c r="AA19" s="15"/>
      <c r="AB19" s="7">
        <f t="shared" si="32"/>
        <v>37935999.999999821</v>
      </c>
      <c r="AC19" s="8">
        <f t="shared" si="33"/>
        <v>37.935999999999822</v>
      </c>
      <c r="AD19" s="8">
        <f t="shared" si="34"/>
        <v>116.46351999999943</v>
      </c>
    </row>
    <row r="20" spans="1:30" x14ac:dyDescent="0.2">
      <c r="A20" s="27">
        <v>43267</v>
      </c>
      <c r="B20" s="7">
        <f>'[4]Production Summary'!J82</f>
        <v>26350000.000000365</v>
      </c>
      <c r="C20" s="8">
        <f t="shared" si="16"/>
        <v>26.350000000000364</v>
      </c>
      <c r="D20" s="10">
        <f t="shared" si="17"/>
        <v>80.894500000001116</v>
      </c>
      <c r="E20" s="7">
        <f>'[4]Production Summary'!E82</f>
        <v>20000000</v>
      </c>
      <c r="F20" s="8">
        <f t="shared" si="18"/>
        <v>20</v>
      </c>
      <c r="G20" s="10">
        <f t="shared" si="19"/>
        <v>61.4</v>
      </c>
      <c r="H20" s="7">
        <f>'[4]Production Summary'!G82</f>
        <v>8990000</v>
      </c>
      <c r="I20" s="8">
        <f t="shared" si="20"/>
        <v>8.99</v>
      </c>
      <c r="J20" s="10">
        <f t="shared" si="21"/>
        <v>27.599299999999999</v>
      </c>
      <c r="K20" s="7">
        <f>'[4]Production Summary'!S82</f>
        <v>2875084</v>
      </c>
      <c r="L20" s="8">
        <f t="shared" si="22"/>
        <v>2.8750840000000002</v>
      </c>
      <c r="M20" s="10">
        <f t="shared" si="23"/>
        <v>8.8265078799999994</v>
      </c>
      <c r="N20" s="21"/>
      <c r="O20" s="7">
        <f>'[4]Production Summary'!I82</f>
        <v>12658000</v>
      </c>
      <c r="P20" s="8">
        <f t="shared" si="24"/>
        <v>12.657999999999999</v>
      </c>
      <c r="Q20" s="10">
        <f t="shared" si="25"/>
        <v>38.860059999999997</v>
      </c>
      <c r="R20" s="7">
        <f>'[4]Production Summary'!C82</f>
        <v>12662000</v>
      </c>
      <c r="S20" s="8">
        <f t="shared" si="26"/>
        <v>12.662000000000001</v>
      </c>
      <c r="T20" s="10">
        <f t="shared" si="27"/>
        <v>38.872340000000001</v>
      </c>
      <c r="U20" s="7">
        <f>'[4]Production Summary'!F82</f>
        <v>0</v>
      </c>
      <c r="V20" s="8">
        <f t="shared" si="28"/>
        <v>0</v>
      </c>
      <c r="W20" s="10">
        <f t="shared" si="29"/>
        <v>0</v>
      </c>
      <c r="X20" s="58">
        <f>'[4]Production Summary'!AA82</f>
        <v>0</v>
      </c>
      <c r="Y20" s="8">
        <f t="shared" si="30"/>
        <v>0</v>
      </c>
      <c r="Z20" s="10">
        <f t="shared" si="31"/>
        <v>0</v>
      </c>
      <c r="AA20" s="15"/>
      <c r="AB20" s="7">
        <f t="shared" si="32"/>
        <v>39008000.000000365</v>
      </c>
      <c r="AC20" s="8">
        <f t="shared" si="33"/>
        <v>39.008000000000365</v>
      </c>
      <c r="AD20" s="8">
        <f t="shared" si="34"/>
        <v>119.75456000000111</v>
      </c>
    </row>
    <row r="21" spans="1:30" x14ac:dyDescent="0.2">
      <c r="A21" s="27">
        <v>43268</v>
      </c>
      <c r="B21" s="7">
        <f>'[4]Production Summary'!J83</f>
        <v>29089999.999999236</v>
      </c>
      <c r="C21" s="8">
        <f t="shared" si="16"/>
        <v>29.089999999999236</v>
      </c>
      <c r="D21" s="10">
        <f t="shared" si="17"/>
        <v>89.306299999997648</v>
      </c>
      <c r="E21" s="7">
        <f>'[4]Production Summary'!E83</f>
        <v>23000000</v>
      </c>
      <c r="F21" s="8">
        <f t="shared" si="18"/>
        <v>23</v>
      </c>
      <c r="G21" s="10">
        <f t="shared" si="19"/>
        <v>70.61</v>
      </c>
      <c r="H21" s="7">
        <f>'[4]Production Summary'!G83</f>
        <v>9610000</v>
      </c>
      <c r="I21" s="8">
        <f t="shared" si="20"/>
        <v>9.61</v>
      </c>
      <c r="J21" s="10">
        <f t="shared" si="21"/>
        <v>29.502699999999997</v>
      </c>
      <c r="K21" s="7">
        <f>'[4]Production Summary'!S83</f>
        <v>2883693</v>
      </c>
      <c r="L21" s="8">
        <f t="shared" si="22"/>
        <v>2.8836930000000001</v>
      </c>
      <c r="M21" s="10">
        <f t="shared" si="23"/>
        <v>8.8529375100000003</v>
      </c>
      <c r="N21" s="21"/>
      <c r="O21" s="7">
        <f>'[4]Production Summary'!I83</f>
        <v>12791000</v>
      </c>
      <c r="P21" s="8">
        <f t="shared" si="24"/>
        <v>12.791</v>
      </c>
      <c r="Q21" s="10">
        <f t="shared" si="25"/>
        <v>39.268369999999997</v>
      </c>
      <c r="R21" s="7">
        <f>'[4]Production Summary'!C83</f>
        <v>12799000</v>
      </c>
      <c r="S21" s="8">
        <f t="shared" si="26"/>
        <v>12.798999999999999</v>
      </c>
      <c r="T21" s="10">
        <f t="shared" si="27"/>
        <v>39.292929999999998</v>
      </c>
      <c r="U21" s="7">
        <f>'[4]Production Summary'!F83</f>
        <v>0</v>
      </c>
      <c r="V21" s="8">
        <f t="shared" si="28"/>
        <v>0</v>
      </c>
      <c r="W21" s="10">
        <f t="shared" si="29"/>
        <v>0</v>
      </c>
      <c r="X21" s="58">
        <f>'[4]Production Summary'!AA83</f>
        <v>0</v>
      </c>
      <c r="Y21" s="8">
        <f t="shared" si="30"/>
        <v>0</v>
      </c>
      <c r="Z21" s="10">
        <f t="shared" si="31"/>
        <v>0</v>
      </c>
      <c r="AA21" s="15"/>
      <c r="AB21" s="7">
        <f t="shared" si="32"/>
        <v>41880999.99999924</v>
      </c>
      <c r="AC21" s="8">
        <f t="shared" si="33"/>
        <v>41.880999999999233</v>
      </c>
      <c r="AD21" s="8">
        <f t="shared" si="34"/>
        <v>128.57466999999764</v>
      </c>
    </row>
    <row r="22" spans="1:30" x14ac:dyDescent="0.2">
      <c r="A22" s="27">
        <v>43269</v>
      </c>
      <c r="B22" s="7">
        <f>'[4]Production Summary'!J84</f>
        <v>21420000.000000075</v>
      </c>
      <c r="C22" s="8">
        <f t="shared" si="16"/>
        <v>21.420000000000073</v>
      </c>
      <c r="D22" s="10">
        <f t="shared" si="17"/>
        <v>65.759400000000227</v>
      </c>
      <c r="E22" s="7">
        <f>'[4]Production Summary'!E84</f>
        <v>16000000</v>
      </c>
      <c r="F22" s="8">
        <f t="shared" si="18"/>
        <v>16</v>
      </c>
      <c r="G22" s="10">
        <f t="shared" si="19"/>
        <v>49.12</v>
      </c>
      <c r="H22" s="7">
        <f>'[4]Production Summary'!G84</f>
        <v>7300000</v>
      </c>
      <c r="I22" s="8">
        <f t="shared" si="20"/>
        <v>7.3</v>
      </c>
      <c r="J22" s="10">
        <f t="shared" si="21"/>
        <v>22.410999999999998</v>
      </c>
      <c r="K22" s="7">
        <f>'[4]Production Summary'!S84</f>
        <v>2353744</v>
      </c>
      <c r="L22" s="8">
        <f t="shared" si="22"/>
        <v>2.3537439999999998</v>
      </c>
      <c r="M22" s="10">
        <f t="shared" si="23"/>
        <v>7.2259940799999995</v>
      </c>
      <c r="N22" s="21"/>
      <c r="O22" s="7">
        <f>'[4]Production Summary'!I84</f>
        <v>10085000</v>
      </c>
      <c r="P22" s="8">
        <f t="shared" si="24"/>
        <v>10.085000000000001</v>
      </c>
      <c r="Q22" s="10">
        <f t="shared" si="25"/>
        <v>30.96095</v>
      </c>
      <c r="R22" s="7">
        <f>'[4]Production Summary'!C84</f>
        <v>10091000</v>
      </c>
      <c r="S22" s="8">
        <f t="shared" si="26"/>
        <v>10.090999999999999</v>
      </c>
      <c r="T22" s="10">
        <f t="shared" si="27"/>
        <v>30.979369999999996</v>
      </c>
      <c r="U22" s="7">
        <f>'[4]Production Summary'!F84</f>
        <v>0</v>
      </c>
      <c r="V22" s="8">
        <f t="shared" si="28"/>
        <v>0</v>
      </c>
      <c r="W22" s="10">
        <f t="shared" si="29"/>
        <v>0</v>
      </c>
      <c r="X22" s="58">
        <f>'[4]Production Summary'!AA84</f>
        <v>0</v>
      </c>
      <c r="Y22" s="8">
        <f t="shared" si="30"/>
        <v>0</v>
      </c>
      <c r="Z22" s="10">
        <f t="shared" si="31"/>
        <v>0</v>
      </c>
      <c r="AA22" s="15"/>
      <c r="AB22" s="7">
        <f t="shared" si="32"/>
        <v>31505000.000000075</v>
      </c>
      <c r="AC22" s="8">
        <f t="shared" si="33"/>
        <v>31.505000000000074</v>
      </c>
      <c r="AD22" s="8">
        <f t="shared" si="34"/>
        <v>96.720350000000224</v>
      </c>
    </row>
    <row r="23" spans="1:30" x14ac:dyDescent="0.2">
      <c r="A23" s="27">
        <v>43270</v>
      </c>
      <c r="B23" s="7">
        <f>'[4]Production Summary'!J85</f>
        <v>24620000.000000801</v>
      </c>
      <c r="C23" s="8">
        <f t="shared" si="16"/>
        <v>24.6200000000008</v>
      </c>
      <c r="D23" s="10">
        <f t="shared" si="17"/>
        <v>75.583400000002456</v>
      </c>
      <c r="E23" s="7">
        <f>'[4]Production Summary'!E85</f>
        <v>20000000</v>
      </c>
      <c r="F23" s="8">
        <f t="shared" si="18"/>
        <v>20</v>
      </c>
      <c r="G23" s="10">
        <f t="shared" si="19"/>
        <v>61.4</v>
      </c>
      <c r="H23" s="7">
        <f>'[4]Production Summary'!G85</f>
        <v>7880000</v>
      </c>
      <c r="I23" s="8">
        <f t="shared" si="20"/>
        <v>7.88</v>
      </c>
      <c r="J23" s="10">
        <f t="shared" si="21"/>
        <v>24.191599999999998</v>
      </c>
      <c r="K23" s="7">
        <f>'[4]Production Summary'!S85</f>
        <v>2574411</v>
      </c>
      <c r="L23" s="8">
        <f t="shared" si="22"/>
        <v>2.574411</v>
      </c>
      <c r="M23" s="10">
        <f t="shared" si="23"/>
        <v>7.9034417699999997</v>
      </c>
      <c r="N23" s="21"/>
      <c r="O23" s="7">
        <f>'[4]Production Summary'!I85</f>
        <v>8913000</v>
      </c>
      <c r="P23" s="8">
        <f t="shared" si="24"/>
        <v>8.9130000000000003</v>
      </c>
      <c r="Q23" s="10">
        <f t="shared" si="25"/>
        <v>27.362909999999999</v>
      </c>
      <c r="R23" s="7">
        <f>'[4]Production Summary'!C85</f>
        <v>8918000</v>
      </c>
      <c r="S23" s="8">
        <f t="shared" si="26"/>
        <v>8.9179999999999993</v>
      </c>
      <c r="T23" s="10">
        <f t="shared" si="27"/>
        <v>27.378259999999997</v>
      </c>
      <c r="U23" s="7">
        <f>'[4]Production Summary'!F85</f>
        <v>0</v>
      </c>
      <c r="V23" s="8">
        <f t="shared" si="28"/>
        <v>0</v>
      </c>
      <c r="W23" s="10">
        <f t="shared" si="29"/>
        <v>0</v>
      </c>
      <c r="X23" s="58">
        <f>'[4]Production Summary'!AA85</f>
        <v>0</v>
      </c>
      <c r="Y23" s="8">
        <f t="shared" si="30"/>
        <v>0</v>
      </c>
      <c r="Z23" s="10">
        <f t="shared" si="31"/>
        <v>0</v>
      </c>
      <c r="AA23" s="15"/>
      <c r="AB23" s="7">
        <f t="shared" si="32"/>
        <v>33533000.000000801</v>
      </c>
      <c r="AC23" s="8">
        <f t="shared" si="33"/>
        <v>33.533000000000797</v>
      </c>
      <c r="AD23" s="8">
        <f t="shared" si="34"/>
        <v>102.94631000000246</v>
      </c>
    </row>
    <row r="24" spans="1:30" x14ac:dyDescent="0.2">
      <c r="A24" s="27">
        <v>43271</v>
      </c>
      <c r="B24" s="7">
        <f>'[4]Production Summary'!J86</f>
        <v>21509999.999999307</v>
      </c>
      <c r="C24" s="8">
        <f t="shared" si="16"/>
        <v>21.509999999999309</v>
      </c>
      <c r="D24" s="10">
        <f t="shared" si="17"/>
        <v>66.035699999997874</v>
      </c>
      <c r="E24" s="7">
        <f>'[4]Production Summary'!E86</f>
        <v>16000000</v>
      </c>
      <c r="F24" s="8">
        <f t="shared" si="18"/>
        <v>16</v>
      </c>
      <c r="G24" s="10">
        <f t="shared" si="19"/>
        <v>49.12</v>
      </c>
      <c r="H24" s="7">
        <f>'[4]Production Summary'!G86</f>
        <v>7010000</v>
      </c>
      <c r="I24" s="8">
        <f t="shared" si="20"/>
        <v>7.01</v>
      </c>
      <c r="J24" s="10">
        <f t="shared" si="21"/>
        <v>21.520699999999998</v>
      </c>
      <c r="K24" s="7">
        <f>'[4]Production Summary'!S86</f>
        <v>1845857</v>
      </c>
      <c r="L24" s="8">
        <f t="shared" si="22"/>
        <v>1.8458570000000001</v>
      </c>
      <c r="M24" s="10">
        <f t="shared" si="23"/>
        <v>5.6667809900000004</v>
      </c>
      <c r="N24" s="21"/>
      <c r="O24" s="7">
        <f>'[4]Production Summary'!I86</f>
        <v>12322000</v>
      </c>
      <c r="P24" s="8">
        <f t="shared" si="24"/>
        <v>12.321999999999999</v>
      </c>
      <c r="Q24" s="10">
        <f t="shared" si="25"/>
        <v>37.828539999999997</v>
      </c>
      <c r="R24" s="7">
        <f>'[4]Production Summary'!C86</f>
        <v>12328000</v>
      </c>
      <c r="S24" s="8">
        <f t="shared" si="26"/>
        <v>12.327999999999999</v>
      </c>
      <c r="T24" s="10">
        <f t="shared" si="27"/>
        <v>37.846959999999996</v>
      </c>
      <c r="U24" s="7">
        <f>'[4]Production Summary'!F86</f>
        <v>0</v>
      </c>
      <c r="V24" s="8">
        <f t="shared" si="28"/>
        <v>0</v>
      </c>
      <c r="W24" s="10">
        <f t="shared" si="29"/>
        <v>0</v>
      </c>
      <c r="X24" s="58">
        <f>'[4]Production Summary'!AA86</f>
        <v>0</v>
      </c>
      <c r="Y24" s="8">
        <f t="shared" si="30"/>
        <v>0</v>
      </c>
      <c r="Z24" s="10">
        <f t="shared" si="31"/>
        <v>0</v>
      </c>
      <c r="AA24" s="15"/>
      <c r="AB24" s="7">
        <f t="shared" si="32"/>
        <v>33831999.999999307</v>
      </c>
      <c r="AC24" s="8">
        <f t="shared" si="33"/>
        <v>33.831999999999312</v>
      </c>
      <c r="AD24" s="8">
        <f t="shared" si="34"/>
        <v>103.86423999999786</v>
      </c>
    </row>
    <row r="25" spans="1:30" x14ac:dyDescent="0.2">
      <c r="A25" s="27">
        <v>43272</v>
      </c>
      <c r="B25" s="7">
        <f>'[4]Production Summary'!J87</f>
        <v>21350000.000000365</v>
      </c>
      <c r="C25" s="8">
        <f t="shared" si="16"/>
        <v>21.350000000000364</v>
      </c>
      <c r="D25" s="10">
        <f t="shared" si="17"/>
        <v>65.544500000001108</v>
      </c>
      <c r="E25" s="7">
        <f>'[4]Production Summary'!E87</f>
        <v>17000000</v>
      </c>
      <c r="F25" s="8">
        <f t="shared" si="18"/>
        <v>17</v>
      </c>
      <c r="G25" s="10">
        <f t="shared" si="19"/>
        <v>52.19</v>
      </c>
      <c r="H25" s="7">
        <f>'[4]Production Summary'!G87</f>
        <v>7050000</v>
      </c>
      <c r="I25" s="8">
        <f t="shared" si="20"/>
        <v>7.05</v>
      </c>
      <c r="J25" s="10">
        <f t="shared" si="21"/>
        <v>21.6435</v>
      </c>
      <c r="K25" s="7">
        <f>'[4]Production Summary'!S87</f>
        <v>2176887</v>
      </c>
      <c r="L25" s="8">
        <f t="shared" si="22"/>
        <v>2.1768869999999998</v>
      </c>
      <c r="M25" s="10">
        <f t="shared" si="23"/>
        <v>6.6830430899999991</v>
      </c>
      <c r="N25" s="21"/>
      <c r="O25" s="7">
        <f>'[4]Production Summary'!I87</f>
        <v>13799000</v>
      </c>
      <c r="P25" s="8">
        <f t="shared" si="24"/>
        <v>13.798999999999999</v>
      </c>
      <c r="Q25" s="10">
        <f t="shared" si="25"/>
        <v>42.362929999999999</v>
      </c>
      <c r="R25" s="7">
        <f>'[4]Production Summary'!C87</f>
        <v>13809000</v>
      </c>
      <c r="S25" s="8">
        <f t="shared" si="26"/>
        <v>13.808999999999999</v>
      </c>
      <c r="T25" s="10">
        <f t="shared" si="27"/>
        <v>42.393629999999995</v>
      </c>
      <c r="U25" s="7">
        <f>'[4]Production Summary'!F87</f>
        <v>0</v>
      </c>
      <c r="V25" s="8">
        <f t="shared" si="28"/>
        <v>0</v>
      </c>
      <c r="W25" s="10">
        <f t="shared" si="29"/>
        <v>0</v>
      </c>
      <c r="X25" s="58">
        <f>'[4]Production Summary'!AA87</f>
        <v>0</v>
      </c>
      <c r="Y25" s="8">
        <f t="shared" si="30"/>
        <v>0</v>
      </c>
      <c r="Z25" s="10">
        <f t="shared" si="31"/>
        <v>0</v>
      </c>
      <c r="AA25" s="15"/>
      <c r="AB25" s="7">
        <f t="shared" si="32"/>
        <v>35149000.000000365</v>
      </c>
      <c r="AC25" s="8">
        <f t="shared" si="33"/>
        <v>35.149000000000363</v>
      </c>
      <c r="AD25" s="8">
        <f t="shared" si="34"/>
        <v>107.90743000000111</v>
      </c>
    </row>
    <row r="26" spans="1:30" x14ac:dyDescent="0.2">
      <c r="A26" s="27">
        <v>43273</v>
      </c>
      <c r="B26" s="7">
        <f>'[4]Production Summary'!J88</f>
        <v>25090000.000000145</v>
      </c>
      <c r="C26" s="8">
        <f t="shared" si="16"/>
        <v>25.090000000000146</v>
      </c>
      <c r="D26" s="10">
        <f t="shared" si="17"/>
        <v>77.026300000000447</v>
      </c>
      <c r="E26" s="7">
        <f>'[4]Production Summary'!E88</f>
        <v>19000000</v>
      </c>
      <c r="F26" s="8">
        <f t="shared" si="18"/>
        <v>19</v>
      </c>
      <c r="G26" s="10">
        <f t="shared" si="19"/>
        <v>58.33</v>
      </c>
      <c r="H26" s="7">
        <f>'[4]Production Summary'!G88</f>
        <v>8290000</v>
      </c>
      <c r="I26" s="8">
        <f t="shared" si="20"/>
        <v>8.2899999999999991</v>
      </c>
      <c r="J26" s="10">
        <f t="shared" si="21"/>
        <v>25.450299999999995</v>
      </c>
      <c r="K26" s="7">
        <f>'[4]Production Summary'!S88</f>
        <v>2628386</v>
      </c>
      <c r="L26" s="8">
        <f t="shared" si="22"/>
        <v>2.6283859999999999</v>
      </c>
      <c r="M26" s="10">
        <f t="shared" si="23"/>
        <v>8.0691450199999988</v>
      </c>
      <c r="N26" s="21"/>
      <c r="O26" s="7">
        <f>'[4]Production Summary'!I88</f>
        <v>11076000</v>
      </c>
      <c r="P26" s="8">
        <f t="shared" si="24"/>
        <v>11.076000000000001</v>
      </c>
      <c r="Q26" s="10">
        <f t="shared" si="25"/>
        <v>34.003320000000002</v>
      </c>
      <c r="R26" s="7">
        <f>'[4]Production Summary'!C88</f>
        <v>11084000</v>
      </c>
      <c r="S26" s="8">
        <f t="shared" si="26"/>
        <v>11.084</v>
      </c>
      <c r="T26" s="10">
        <f t="shared" si="27"/>
        <v>34.027879999999996</v>
      </c>
      <c r="U26" s="7">
        <f>'[4]Production Summary'!F88</f>
        <v>0</v>
      </c>
      <c r="V26" s="8">
        <f t="shared" si="28"/>
        <v>0</v>
      </c>
      <c r="W26" s="10">
        <f t="shared" si="29"/>
        <v>0</v>
      </c>
      <c r="X26" s="58">
        <f>'[4]Production Summary'!AA88</f>
        <v>0</v>
      </c>
      <c r="Y26" s="8">
        <f t="shared" si="30"/>
        <v>0</v>
      </c>
      <c r="Z26" s="10">
        <f t="shared" si="31"/>
        <v>0</v>
      </c>
      <c r="AA26" s="15"/>
      <c r="AB26" s="7">
        <f t="shared" si="32"/>
        <v>36166000.000000149</v>
      </c>
      <c r="AC26" s="8">
        <f t="shared" si="33"/>
        <v>36.166000000000146</v>
      </c>
      <c r="AD26" s="8">
        <f t="shared" si="34"/>
        <v>111.02962000000045</v>
      </c>
    </row>
    <row r="27" spans="1:30" x14ac:dyDescent="0.2">
      <c r="A27" s="27">
        <v>43274</v>
      </c>
      <c r="B27" s="7">
        <f>'[4]Production Summary'!J89</f>
        <v>26439999.999999601</v>
      </c>
      <c r="C27" s="8">
        <f t="shared" si="16"/>
        <v>26.4399999999996</v>
      </c>
      <c r="D27" s="10">
        <f t="shared" si="17"/>
        <v>81.170799999998763</v>
      </c>
      <c r="E27" s="7">
        <f>'[4]Production Summary'!E89</f>
        <v>21000000</v>
      </c>
      <c r="F27" s="8">
        <f t="shared" si="18"/>
        <v>21</v>
      </c>
      <c r="G27" s="10">
        <f t="shared" si="19"/>
        <v>64.47</v>
      </c>
      <c r="H27" s="7">
        <f>'[4]Production Summary'!G89</f>
        <v>8650000</v>
      </c>
      <c r="I27" s="8">
        <f t="shared" si="20"/>
        <v>8.65</v>
      </c>
      <c r="J27" s="10">
        <f t="shared" si="21"/>
        <v>26.555499999999999</v>
      </c>
      <c r="K27" s="7">
        <f>'[4]Production Summary'!S89</f>
        <v>2820300</v>
      </c>
      <c r="L27" s="8">
        <f t="shared" si="22"/>
        <v>2.8203</v>
      </c>
      <c r="M27" s="10">
        <f t="shared" si="23"/>
        <v>8.658320999999999</v>
      </c>
      <c r="N27" s="21"/>
      <c r="O27" s="7">
        <f>'[4]Production Summary'!I89</f>
        <v>10301000</v>
      </c>
      <c r="P27" s="8">
        <f t="shared" si="24"/>
        <v>10.301</v>
      </c>
      <c r="Q27" s="10">
        <f t="shared" si="25"/>
        <v>31.62407</v>
      </c>
      <c r="R27" s="7">
        <f>'[4]Production Summary'!C89</f>
        <v>10303000</v>
      </c>
      <c r="S27" s="8">
        <f t="shared" si="26"/>
        <v>10.303000000000001</v>
      </c>
      <c r="T27" s="10">
        <f t="shared" si="27"/>
        <v>31.630210000000002</v>
      </c>
      <c r="U27" s="7">
        <f>'[4]Production Summary'!F89</f>
        <v>0</v>
      </c>
      <c r="V27" s="8">
        <f t="shared" si="28"/>
        <v>0</v>
      </c>
      <c r="W27" s="10">
        <f t="shared" si="29"/>
        <v>0</v>
      </c>
      <c r="X27" s="58">
        <f>'[4]Production Summary'!AA89</f>
        <v>0</v>
      </c>
      <c r="Y27" s="8">
        <f t="shared" si="30"/>
        <v>0</v>
      </c>
      <c r="Z27" s="10">
        <f t="shared" si="31"/>
        <v>0</v>
      </c>
      <c r="AA27" s="15"/>
      <c r="AB27" s="7">
        <f t="shared" si="32"/>
        <v>36740999.999999598</v>
      </c>
      <c r="AC27" s="8">
        <f t="shared" si="33"/>
        <v>36.740999999999602</v>
      </c>
      <c r="AD27" s="8">
        <f t="shared" si="34"/>
        <v>112.79486999999877</v>
      </c>
    </row>
    <row r="28" spans="1:30" x14ac:dyDescent="0.2">
      <c r="A28" s="27">
        <v>43275</v>
      </c>
      <c r="B28" s="7">
        <f>'[4]Production Summary'!J90</f>
        <v>26529999.999999747</v>
      </c>
      <c r="C28" s="8">
        <f t="shared" si="16"/>
        <v>26.529999999999745</v>
      </c>
      <c r="D28" s="10">
        <f t="shared" si="17"/>
        <v>81.44709999999921</v>
      </c>
      <c r="E28" s="7">
        <f>'[4]Production Summary'!E90</f>
        <v>20000000</v>
      </c>
      <c r="F28" s="8">
        <f t="shared" si="18"/>
        <v>20</v>
      </c>
      <c r="G28" s="10">
        <f t="shared" si="19"/>
        <v>61.4</v>
      </c>
      <c r="H28" s="7">
        <f>'[4]Production Summary'!G90</f>
        <v>8200000</v>
      </c>
      <c r="I28" s="8">
        <f t="shared" si="20"/>
        <v>8.1999999999999993</v>
      </c>
      <c r="J28" s="10">
        <f t="shared" si="21"/>
        <v>25.173999999999996</v>
      </c>
      <c r="K28" s="7">
        <f>'[4]Production Summary'!S90</f>
        <v>2490676</v>
      </c>
      <c r="L28" s="8">
        <f t="shared" si="22"/>
        <v>2.4906760000000001</v>
      </c>
      <c r="M28" s="10">
        <f t="shared" si="23"/>
        <v>7.6463753199999998</v>
      </c>
      <c r="N28" s="21"/>
      <c r="O28" s="7">
        <f>'[4]Production Summary'!I90</f>
        <v>13403000</v>
      </c>
      <c r="P28" s="8">
        <f t="shared" si="24"/>
        <v>13.403</v>
      </c>
      <c r="Q28" s="10">
        <f t="shared" si="25"/>
        <v>41.147210000000001</v>
      </c>
      <c r="R28" s="7">
        <f>'[4]Production Summary'!C90</f>
        <v>13409000</v>
      </c>
      <c r="S28" s="8">
        <f t="shared" si="26"/>
        <v>13.409000000000001</v>
      </c>
      <c r="T28" s="10">
        <f t="shared" si="27"/>
        <v>41.16563</v>
      </c>
      <c r="U28" s="7">
        <f>'[4]Production Summary'!F90</f>
        <v>0</v>
      </c>
      <c r="V28" s="8">
        <f t="shared" si="28"/>
        <v>0</v>
      </c>
      <c r="W28" s="10">
        <f t="shared" si="29"/>
        <v>0</v>
      </c>
      <c r="X28" s="58">
        <f>'[4]Production Summary'!AA90</f>
        <v>0</v>
      </c>
      <c r="Y28" s="8">
        <f t="shared" si="30"/>
        <v>0</v>
      </c>
      <c r="Z28" s="10">
        <f t="shared" si="31"/>
        <v>0</v>
      </c>
      <c r="AA28" s="15"/>
      <c r="AB28" s="7">
        <f t="shared" si="32"/>
        <v>39932999.999999747</v>
      </c>
      <c r="AC28" s="8">
        <f t="shared" si="33"/>
        <v>39.932999999999744</v>
      </c>
      <c r="AD28" s="8">
        <f t="shared" si="34"/>
        <v>122.59430999999921</v>
      </c>
    </row>
    <row r="29" spans="1:30" x14ac:dyDescent="0.2">
      <c r="A29" s="27">
        <v>43276</v>
      </c>
      <c r="B29" s="7">
        <f>'[4]Production Summary'!J91</f>
        <v>24700000.000000726</v>
      </c>
      <c r="C29" s="8">
        <f t="shared" si="16"/>
        <v>24.700000000000728</v>
      </c>
      <c r="D29" s="10">
        <f t="shared" si="17"/>
        <v>75.829000000002225</v>
      </c>
      <c r="E29" s="7">
        <f>'[4]Production Summary'!E91</f>
        <v>19000000</v>
      </c>
      <c r="F29" s="8">
        <f t="shared" si="18"/>
        <v>19</v>
      </c>
      <c r="G29" s="10">
        <f t="shared" si="19"/>
        <v>58.33</v>
      </c>
      <c r="H29" s="7">
        <f>'[4]Production Summary'!G91</f>
        <v>7820000</v>
      </c>
      <c r="I29" s="8">
        <f t="shared" si="20"/>
        <v>7.82</v>
      </c>
      <c r="J29" s="10">
        <f t="shared" si="21"/>
        <v>24.007400000000001</v>
      </c>
      <c r="K29" s="7">
        <f>'[4]Production Summary'!S91</f>
        <v>2560428</v>
      </c>
      <c r="L29" s="8">
        <f t="shared" si="22"/>
        <v>2.5604279999999999</v>
      </c>
      <c r="M29" s="10">
        <f t="shared" si="23"/>
        <v>7.8605139599999996</v>
      </c>
      <c r="N29" s="21"/>
      <c r="O29" s="7">
        <f>'[4]Production Summary'!I91</f>
        <v>14397000</v>
      </c>
      <c r="P29" s="8">
        <f t="shared" si="24"/>
        <v>14.397</v>
      </c>
      <c r="Q29" s="10">
        <f t="shared" si="25"/>
        <v>44.198789999999995</v>
      </c>
      <c r="R29" s="7">
        <f>'[4]Production Summary'!C91</f>
        <v>14405000</v>
      </c>
      <c r="S29" s="8">
        <f t="shared" si="26"/>
        <v>14.404999999999999</v>
      </c>
      <c r="T29" s="10">
        <f t="shared" si="27"/>
        <v>44.223349999999996</v>
      </c>
      <c r="U29" s="7">
        <f>'[4]Production Summary'!F91</f>
        <v>0</v>
      </c>
      <c r="V29" s="8">
        <f t="shared" si="28"/>
        <v>0</v>
      </c>
      <c r="W29" s="10">
        <f t="shared" si="29"/>
        <v>0</v>
      </c>
      <c r="X29" s="58">
        <f>'[4]Production Summary'!AA91</f>
        <v>0</v>
      </c>
      <c r="Y29" s="8">
        <f t="shared" si="30"/>
        <v>0</v>
      </c>
      <c r="Z29" s="10">
        <f t="shared" si="31"/>
        <v>0</v>
      </c>
      <c r="AA29" s="15"/>
      <c r="AB29" s="7">
        <f t="shared" si="32"/>
        <v>39097000.00000073</v>
      </c>
      <c r="AC29" s="8">
        <f t="shared" si="33"/>
        <v>39.097000000000726</v>
      </c>
      <c r="AD29" s="8">
        <f t="shared" si="34"/>
        <v>120.02779000000223</v>
      </c>
    </row>
    <row r="30" spans="1:30" x14ac:dyDescent="0.2">
      <c r="A30" s="27">
        <v>43277</v>
      </c>
      <c r="B30" s="7">
        <f>'[4]Production Summary'!J92</f>
        <v>23819999.999999709</v>
      </c>
      <c r="C30" s="8">
        <f t="shared" si="16"/>
        <v>23.819999999999709</v>
      </c>
      <c r="D30" s="10">
        <f t="shared" si="17"/>
        <v>73.127399999999099</v>
      </c>
      <c r="E30" s="7">
        <f>'[4]Production Summary'!E92</f>
        <v>17000000</v>
      </c>
      <c r="F30" s="8">
        <f t="shared" si="18"/>
        <v>17</v>
      </c>
      <c r="G30" s="10">
        <f t="shared" si="19"/>
        <v>52.19</v>
      </c>
      <c r="H30" s="7">
        <f>'[4]Production Summary'!G92</f>
        <v>7310000</v>
      </c>
      <c r="I30" s="8">
        <f t="shared" si="20"/>
        <v>7.31</v>
      </c>
      <c r="J30" s="10">
        <f t="shared" si="21"/>
        <v>22.441699999999997</v>
      </c>
      <c r="K30" s="7">
        <f>'[4]Production Summary'!S92</f>
        <v>2647725</v>
      </c>
      <c r="L30" s="8">
        <f t="shared" si="22"/>
        <v>2.6477249999999999</v>
      </c>
      <c r="M30" s="10">
        <f t="shared" si="23"/>
        <v>8.12851575</v>
      </c>
      <c r="N30" s="21"/>
      <c r="O30" s="7">
        <f>'[4]Production Summary'!I92</f>
        <v>12195000</v>
      </c>
      <c r="P30" s="8">
        <f t="shared" si="24"/>
        <v>12.195</v>
      </c>
      <c r="Q30" s="10">
        <f t="shared" si="25"/>
        <v>37.438649999999996</v>
      </c>
      <c r="R30" s="7">
        <f>'[4]Production Summary'!C92</f>
        <v>12204000</v>
      </c>
      <c r="S30" s="8">
        <f t="shared" si="26"/>
        <v>12.204000000000001</v>
      </c>
      <c r="T30" s="10">
        <f t="shared" si="27"/>
        <v>37.466279999999998</v>
      </c>
      <c r="U30" s="7">
        <f>'[4]Production Summary'!F92</f>
        <v>0</v>
      </c>
      <c r="V30" s="8">
        <f t="shared" si="28"/>
        <v>0</v>
      </c>
      <c r="W30" s="10">
        <f t="shared" si="29"/>
        <v>0</v>
      </c>
      <c r="X30" s="58">
        <f>'[4]Production Summary'!AA92</f>
        <v>0</v>
      </c>
      <c r="Y30" s="8">
        <f t="shared" si="30"/>
        <v>0</v>
      </c>
      <c r="Z30" s="10">
        <f t="shared" si="31"/>
        <v>0</v>
      </c>
      <c r="AA30" s="15"/>
      <c r="AB30" s="7">
        <f t="shared" si="32"/>
        <v>36014999.999999709</v>
      </c>
      <c r="AC30" s="8">
        <f t="shared" si="33"/>
        <v>36.014999999999709</v>
      </c>
      <c r="AD30" s="8">
        <f t="shared" si="34"/>
        <v>110.56604999999909</v>
      </c>
    </row>
    <row r="31" spans="1:30" x14ac:dyDescent="0.2">
      <c r="A31" s="27">
        <v>43278</v>
      </c>
      <c r="B31" s="7">
        <f>'[4]Production Summary'!J93</f>
        <v>23979999.999999564</v>
      </c>
      <c r="C31" s="8">
        <f t="shared" si="16"/>
        <v>23.979999999999563</v>
      </c>
      <c r="D31" s="10">
        <f t="shared" si="17"/>
        <v>73.618599999998651</v>
      </c>
      <c r="E31" s="7">
        <f>'[4]Production Summary'!E93</f>
        <v>19000000</v>
      </c>
      <c r="F31" s="8">
        <f t="shared" si="18"/>
        <v>19</v>
      </c>
      <c r="G31" s="10">
        <f t="shared" si="19"/>
        <v>58.33</v>
      </c>
      <c r="H31" s="7">
        <f>'[4]Production Summary'!G93</f>
        <v>7400000</v>
      </c>
      <c r="I31" s="8">
        <f t="shared" si="20"/>
        <v>7.4</v>
      </c>
      <c r="J31" s="10">
        <f t="shared" si="21"/>
        <v>22.718</v>
      </c>
      <c r="K31" s="7">
        <f>'[4]Production Summary'!S93</f>
        <v>2555738</v>
      </c>
      <c r="L31" s="8">
        <f t="shared" si="22"/>
        <v>2.5557379999999998</v>
      </c>
      <c r="M31" s="10">
        <f t="shared" si="23"/>
        <v>7.8461156599999988</v>
      </c>
      <c r="N31" s="21"/>
      <c r="O31" s="7">
        <f>'[4]Production Summary'!I93</f>
        <v>9985000</v>
      </c>
      <c r="P31" s="8">
        <f t="shared" si="24"/>
        <v>9.9849999999999994</v>
      </c>
      <c r="Q31" s="10">
        <f t="shared" si="25"/>
        <v>30.653949999999998</v>
      </c>
      <c r="R31" s="7">
        <f>'[4]Production Summary'!C93</f>
        <v>9990000</v>
      </c>
      <c r="S31" s="8">
        <f t="shared" si="26"/>
        <v>9.99</v>
      </c>
      <c r="T31" s="10">
        <f t="shared" si="27"/>
        <v>30.6693</v>
      </c>
      <c r="U31" s="7">
        <f>'[4]Production Summary'!F93</f>
        <v>0</v>
      </c>
      <c r="V31" s="8">
        <f t="shared" si="28"/>
        <v>0</v>
      </c>
      <c r="W31" s="10">
        <f t="shared" si="29"/>
        <v>0</v>
      </c>
      <c r="X31" s="58">
        <f>'[4]Production Summary'!AA93</f>
        <v>0</v>
      </c>
      <c r="Y31" s="8">
        <f t="shared" si="30"/>
        <v>0</v>
      </c>
      <c r="Z31" s="10">
        <f t="shared" si="31"/>
        <v>0</v>
      </c>
      <c r="AA31" s="15"/>
      <c r="AB31" s="7">
        <f t="shared" si="32"/>
        <v>33964999.999999568</v>
      </c>
      <c r="AC31" s="8">
        <f t="shared" si="33"/>
        <v>33.964999999999563</v>
      </c>
      <c r="AD31" s="8">
        <f t="shared" si="34"/>
        <v>104.27254999999865</v>
      </c>
    </row>
    <row r="32" spans="1:30" x14ac:dyDescent="0.2">
      <c r="A32" s="27">
        <v>43279</v>
      </c>
      <c r="B32" s="7">
        <f>'[4]Production Summary'!J94</f>
        <v>25930000.000000291</v>
      </c>
      <c r="C32" s="8">
        <f t="shared" si="16"/>
        <v>25.930000000000291</v>
      </c>
      <c r="D32" s="10">
        <f t="shared" si="17"/>
        <v>79.605100000000888</v>
      </c>
      <c r="E32" s="7">
        <f>'[4]Production Summary'!E94</f>
        <v>21000000</v>
      </c>
      <c r="F32" s="8">
        <f t="shared" si="18"/>
        <v>21</v>
      </c>
      <c r="G32" s="10">
        <f t="shared" si="19"/>
        <v>64.47</v>
      </c>
      <c r="H32" s="7">
        <f>'[4]Production Summary'!G94</f>
        <v>7510000</v>
      </c>
      <c r="I32" s="8">
        <f t="shared" si="20"/>
        <v>7.51</v>
      </c>
      <c r="J32" s="10">
        <f t="shared" si="21"/>
        <v>23.055699999999998</v>
      </c>
      <c r="K32" s="7">
        <f>'[4]Production Summary'!S94</f>
        <v>2577309</v>
      </c>
      <c r="L32" s="8">
        <f t="shared" si="22"/>
        <v>2.5773090000000001</v>
      </c>
      <c r="M32" s="10">
        <f t="shared" si="23"/>
        <v>7.9123386299999998</v>
      </c>
      <c r="N32" s="21"/>
      <c r="O32" s="7">
        <f>'[4]Production Summary'!I94</f>
        <v>10604000</v>
      </c>
      <c r="P32" s="8">
        <f t="shared" si="24"/>
        <v>10.603999999999999</v>
      </c>
      <c r="Q32" s="10">
        <f t="shared" si="25"/>
        <v>32.554279999999999</v>
      </c>
      <c r="R32" s="7">
        <f>'[4]Production Summary'!C94</f>
        <v>10610000</v>
      </c>
      <c r="S32" s="8">
        <f t="shared" si="26"/>
        <v>10.61</v>
      </c>
      <c r="T32" s="10">
        <f t="shared" si="27"/>
        <v>32.572699999999998</v>
      </c>
      <c r="U32" s="7">
        <f>'[4]Production Summary'!F94</f>
        <v>0</v>
      </c>
      <c r="V32" s="8">
        <f t="shared" si="28"/>
        <v>0</v>
      </c>
      <c r="W32" s="10">
        <f t="shared" si="29"/>
        <v>0</v>
      </c>
      <c r="X32" s="58">
        <f>'[4]Production Summary'!AA94</f>
        <v>0</v>
      </c>
      <c r="Y32" s="8">
        <f t="shared" si="30"/>
        <v>0</v>
      </c>
      <c r="Z32" s="10">
        <f t="shared" si="31"/>
        <v>0</v>
      </c>
      <c r="AA32" s="15"/>
      <c r="AB32" s="7">
        <f t="shared" si="32"/>
        <v>36534000.000000291</v>
      </c>
      <c r="AC32" s="8">
        <f t="shared" si="33"/>
        <v>36.53400000000029</v>
      </c>
      <c r="AD32" s="8">
        <f t="shared" si="34"/>
        <v>112.15938000000088</v>
      </c>
    </row>
    <row r="33" spans="1:30" x14ac:dyDescent="0.2">
      <c r="A33" s="27">
        <v>43280</v>
      </c>
      <c r="B33" s="7">
        <f>'[4]Production Summary'!J95</f>
        <v>28699999.999999817</v>
      </c>
      <c r="C33" s="8">
        <f t="shared" si="16"/>
        <v>28.699999999999818</v>
      </c>
      <c r="D33" s="10">
        <f t="shared" si="17"/>
        <v>88.10899999999944</v>
      </c>
      <c r="E33" s="7">
        <f>'[4]Production Summary'!E95</f>
        <v>21000000</v>
      </c>
      <c r="F33" s="8">
        <f t="shared" si="18"/>
        <v>21</v>
      </c>
      <c r="G33" s="10">
        <f t="shared" si="19"/>
        <v>64.47</v>
      </c>
      <c r="H33" s="7">
        <f>'[4]Production Summary'!G95</f>
        <v>9020000</v>
      </c>
      <c r="I33" s="8">
        <f t="shared" si="20"/>
        <v>9.02</v>
      </c>
      <c r="J33" s="10">
        <f t="shared" si="21"/>
        <v>27.691399999999998</v>
      </c>
      <c r="K33" s="7">
        <f>'[4]Production Summary'!S95</f>
        <v>2905173</v>
      </c>
      <c r="L33" s="8">
        <f t="shared" si="22"/>
        <v>2.905173</v>
      </c>
      <c r="M33" s="10">
        <f t="shared" si="23"/>
        <v>8.9188811099999992</v>
      </c>
      <c r="N33" s="21"/>
      <c r="O33" s="7">
        <f>'[4]Production Summary'!I95</f>
        <v>13850000</v>
      </c>
      <c r="P33" s="8">
        <f t="shared" si="24"/>
        <v>13.85</v>
      </c>
      <c r="Q33" s="10">
        <f t="shared" si="25"/>
        <v>42.519499999999994</v>
      </c>
      <c r="R33" s="7">
        <f>'[4]Production Summary'!C95</f>
        <v>13857000</v>
      </c>
      <c r="S33" s="8">
        <f t="shared" si="26"/>
        <v>13.856999999999999</v>
      </c>
      <c r="T33" s="10">
        <f t="shared" si="27"/>
        <v>42.540989999999994</v>
      </c>
      <c r="U33" s="7">
        <f>'[4]Production Summary'!F95</f>
        <v>0</v>
      </c>
      <c r="V33" s="8">
        <f t="shared" si="28"/>
        <v>0</v>
      </c>
      <c r="W33" s="10">
        <f t="shared" si="29"/>
        <v>0</v>
      </c>
      <c r="X33" s="58">
        <f>'[4]Production Summary'!AA95</f>
        <v>0</v>
      </c>
      <c r="Y33" s="8">
        <f t="shared" si="30"/>
        <v>0</v>
      </c>
      <c r="Z33" s="10">
        <f t="shared" si="31"/>
        <v>0</v>
      </c>
      <c r="AA33" s="15"/>
      <c r="AB33" s="7">
        <f t="shared" si="32"/>
        <v>42549999.999999821</v>
      </c>
      <c r="AC33" s="8">
        <f t="shared" si="33"/>
        <v>42.54999999999982</v>
      </c>
      <c r="AD33" s="8">
        <f t="shared" si="34"/>
        <v>130.62849999999943</v>
      </c>
    </row>
    <row r="34" spans="1:30" ht="13.5" thickBot="1" x14ac:dyDescent="0.25">
      <c r="A34" s="27">
        <v>43281</v>
      </c>
      <c r="B34" s="7">
        <f>'[4]Production Summary'!J96</f>
        <v>24930000.000000291</v>
      </c>
      <c r="C34" s="8">
        <f t="shared" si="16"/>
        <v>24.930000000000291</v>
      </c>
      <c r="D34" s="10">
        <f t="shared" si="17"/>
        <v>76.535100000000895</v>
      </c>
      <c r="E34" s="7">
        <f>'[4]Production Summary'!E96</f>
        <v>20000000</v>
      </c>
      <c r="F34" s="8">
        <f t="shared" si="18"/>
        <v>20</v>
      </c>
      <c r="G34" s="10">
        <f t="shared" si="19"/>
        <v>61.4</v>
      </c>
      <c r="H34" s="7">
        <f>'[4]Production Summary'!G96</f>
        <v>7870000</v>
      </c>
      <c r="I34" s="8">
        <f t="shared" si="20"/>
        <v>7.87</v>
      </c>
      <c r="J34" s="10">
        <f t="shared" si="21"/>
        <v>24.160899999999998</v>
      </c>
      <c r="K34" s="7">
        <f>'[4]Production Summary'!S96</f>
        <v>2650000</v>
      </c>
      <c r="L34" s="8">
        <f t="shared" si="22"/>
        <v>2.65</v>
      </c>
      <c r="M34" s="10">
        <f t="shared" si="23"/>
        <v>8.1354999999999986</v>
      </c>
      <c r="N34" s="21"/>
      <c r="O34" s="7">
        <f>'[4]Production Summary'!I96</f>
        <v>13320000</v>
      </c>
      <c r="P34" s="8">
        <f t="shared" si="24"/>
        <v>13.32</v>
      </c>
      <c r="Q34" s="10">
        <f t="shared" si="25"/>
        <v>40.892400000000002</v>
      </c>
      <c r="R34" s="7">
        <f>'[4]Production Summary'!C96</f>
        <v>13330000</v>
      </c>
      <c r="S34" s="8">
        <f t="shared" si="26"/>
        <v>13.33</v>
      </c>
      <c r="T34" s="10">
        <f t="shared" si="27"/>
        <v>40.923099999999998</v>
      </c>
      <c r="U34" s="7">
        <f>'[4]Production Summary'!F96</f>
        <v>0</v>
      </c>
      <c r="V34" s="8">
        <f t="shared" si="28"/>
        <v>0</v>
      </c>
      <c r="W34" s="10">
        <f t="shared" si="29"/>
        <v>0</v>
      </c>
      <c r="X34" s="58">
        <f>'[4]Production Summary'!AA96</f>
        <v>0</v>
      </c>
      <c r="Y34" s="8">
        <f t="shared" si="30"/>
        <v>0</v>
      </c>
      <c r="Z34" s="10">
        <f t="shared" si="31"/>
        <v>0</v>
      </c>
      <c r="AA34" s="15"/>
      <c r="AB34" s="7">
        <f t="shared" si="32"/>
        <v>38250000.000000291</v>
      </c>
      <c r="AC34" s="8">
        <f t="shared" si="33"/>
        <v>38.250000000000291</v>
      </c>
      <c r="AD34" s="8">
        <f t="shared" si="34"/>
        <v>117.42750000000089</v>
      </c>
    </row>
    <row r="35" spans="1:30" ht="13.5" thickBot="1" x14ac:dyDescent="0.25">
      <c r="A35" s="3"/>
      <c r="B35" s="37"/>
      <c r="C35" s="38">
        <f>SUM(C5:C34)</f>
        <v>752.27000000000044</v>
      </c>
      <c r="D35" s="38">
        <f t="shared" ref="D35" si="35">C35*3.07</f>
        <v>2309.4689000000012</v>
      </c>
      <c r="E35" s="37"/>
      <c r="F35" s="38">
        <f>SUM(F5:F34)</f>
        <v>577</v>
      </c>
      <c r="G35" s="38">
        <f t="shared" ref="G35" si="36">F35*3.07</f>
        <v>1771.3899999999999</v>
      </c>
      <c r="H35" s="37"/>
      <c r="I35" s="38">
        <f>SUM(I5:I34)</f>
        <v>246.03000000000003</v>
      </c>
      <c r="J35" s="38">
        <f t="shared" ref="J35" si="37">I35*3.07</f>
        <v>755.3121000000001</v>
      </c>
      <c r="K35" s="37"/>
      <c r="L35" s="38">
        <f>SUM(L5:L34)</f>
        <v>71.340037000000024</v>
      </c>
      <c r="M35" s="38">
        <f t="shared" ref="M35" si="38">L35*3.07</f>
        <v>219.01391359000007</v>
      </c>
      <c r="N35" s="14"/>
      <c r="O35" s="37"/>
      <c r="P35" s="38">
        <f>SUM(P5:P34)</f>
        <v>329.09800000000001</v>
      </c>
      <c r="Q35" s="38">
        <f t="shared" ref="Q35" si="39">P35*3.07</f>
        <v>1010.33086</v>
      </c>
      <c r="R35" s="37"/>
      <c r="S35" s="38">
        <f>SUM(S5:S34)</f>
        <v>331.13799999999998</v>
      </c>
      <c r="T35" s="38">
        <f t="shared" ref="T35" si="40">S35*3.07</f>
        <v>1016.5936599999999</v>
      </c>
      <c r="U35" s="37"/>
      <c r="V35" s="38">
        <f>SUM(V5:V34)</f>
        <v>0</v>
      </c>
      <c r="W35" s="38">
        <f t="shared" ref="W35" si="41">V35*3.07</f>
        <v>0</v>
      </c>
      <c r="X35" s="37"/>
      <c r="Y35" s="38">
        <f>SUM(Y5:Y34)</f>
        <v>1.853999999999985</v>
      </c>
      <c r="Z35" s="38">
        <f t="shared" ref="Z35" si="42">Y35*3.07</f>
        <v>5.6917799999999534</v>
      </c>
      <c r="AA35" s="14"/>
      <c r="AB35" s="37"/>
      <c r="AC35" s="38">
        <f>SUM(AC5:AC34)</f>
        <v>1081.3680000000006</v>
      </c>
      <c r="AD35" s="38">
        <f>AC35*3.07</f>
        <v>3319.7997600000017</v>
      </c>
    </row>
    <row r="36" spans="1:30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</row>
    <row r="42" spans="1:30" x14ac:dyDescent="0.2">
      <c r="G42" s="18">
        <f>F19+I19-L19</f>
        <v>28.079228999999998</v>
      </c>
    </row>
    <row r="43" spans="1:30" x14ac:dyDescent="0.2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I38"/>
  <sheetViews>
    <sheetView workbookViewId="0">
      <pane xSplit="1" ySplit="4" topLeftCell="B5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B5" sqref="B5:B35"/>
    </sheetView>
  </sheetViews>
  <sheetFormatPr defaultRowHeight="12.75" x14ac:dyDescent="0.2"/>
  <cols>
    <col min="2" max="2" width="11.28515625" customWidth="1"/>
    <col min="5" max="5" width="11.28515625" customWidth="1"/>
    <col min="8" max="8" width="13.5703125" customWidth="1"/>
    <col min="9" max="9" width="9.7109375" customWidth="1"/>
    <col min="10" max="10" width="11.5703125" customWidth="1"/>
    <col min="11" max="11" width="13.42578125" bestFit="1" customWidth="1"/>
    <col min="12" max="12" width="11.42578125" customWidth="1"/>
    <col min="14" max="14" width="19.7109375" customWidth="1"/>
    <col min="15" max="15" width="11.28515625" customWidth="1"/>
    <col min="18" max="18" width="11.28515625" customWidth="1"/>
    <col min="21" max="21" width="10.7109375" bestFit="1" customWidth="1"/>
    <col min="22" max="22" width="10.5703125" customWidth="1"/>
    <col min="24" max="24" width="12.5703125" customWidth="1"/>
    <col min="27" max="27" width="4.42578125" customWidth="1"/>
    <col min="28" max="28" width="10.7109375" customWidth="1"/>
    <col min="29" max="29" width="11.28515625" customWidth="1"/>
    <col min="30" max="30" width="10.7109375" customWidth="1"/>
    <col min="31" max="31" width="4.7109375" customWidth="1"/>
    <col min="32" max="32" width="12.28515625" customWidth="1"/>
  </cols>
  <sheetData>
    <row r="1" spans="1:34" s="3" customFormat="1" x14ac:dyDescent="0.2">
      <c r="A1" s="41" t="s">
        <v>17</v>
      </c>
      <c r="B1" s="39"/>
      <c r="C1" s="25"/>
      <c r="D1" s="25"/>
      <c r="E1" s="25"/>
      <c r="F1" s="25"/>
      <c r="K1" s="14"/>
      <c r="U1" s="14"/>
    </row>
    <row r="2" spans="1:34" s="3" customFormat="1" ht="13.5" thickBot="1" x14ac:dyDescent="0.25">
      <c r="C2" s="24"/>
      <c r="K2" s="14"/>
      <c r="U2" s="14"/>
    </row>
    <row r="3" spans="1:34" s="3" customFormat="1" ht="60.75" customHeight="1" thickBot="1" x14ac:dyDescent="0.25"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14</v>
      </c>
      <c r="V3" s="65"/>
      <c r="W3" s="66"/>
      <c r="X3" s="64" t="s">
        <v>7</v>
      </c>
      <c r="Y3" s="65"/>
      <c r="Z3" s="66"/>
      <c r="AA3" s="19"/>
      <c r="AB3" s="61" t="s">
        <v>5</v>
      </c>
      <c r="AC3" s="62"/>
      <c r="AD3" s="63"/>
      <c r="AF3" s="64" t="s">
        <v>8</v>
      </c>
      <c r="AG3" s="65"/>
      <c r="AH3" s="66"/>
    </row>
    <row r="4" spans="1:34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4" t="s">
        <v>0</v>
      </c>
      <c r="AG4" s="35" t="s">
        <v>1</v>
      </c>
      <c r="AH4" s="36" t="s">
        <v>2</v>
      </c>
    </row>
    <row r="5" spans="1:34" x14ac:dyDescent="0.2">
      <c r="A5" s="27">
        <v>43282</v>
      </c>
      <c r="B5" s="7">
        <f>'[5]Production Summary'!$K6</f>
        <v>26869999.999999892</v>
      </c>
      <c r="C5" s="8">
        <f t="shared" ref="C5" si="0">B5/1000000</f>
        <v>26.869999999999891</v>
      </c>
      <c r="D5" s="10">
        <f t="shared" ref="D5" si="1">C5*3.07</f>
        <v>82.490899999999655</v>
      </c>
      <c r="E5" s="7">
        <f>'[5]Production Summary'!$E6</f>
        <v>20000000</v>
      </c>
      <c r="F5" s="8">
        <f t="shared" ref="F5" si="2">E5/1000000</f>
        <v>20</v>
      </c>
      <c r="G5" s="10">
        <f t="shared" ref="G5" si="3">F5*3.07</f>
        <v>61.4</v>
      </c>
      <c r="H5" s="7">
        <f>'[5]Production Summary'!$G6</f>
        <v>8470000</v>
      </c>
      <c r="I5" s="8">
        <f t="shared" ref="I5" si="4">H5/1000000</f>
        <v>8.4700000000000006</v>
      </c>
      <c r="J5" s="10">
        <f t="shared" ref="J5" si="5">I5*3.07</f>
        <v>26.0029</v>
      </c>
      <c r="K5" s="7">
        <f>'[5]Production Summary'!$S6</f>
        <v>27099999.999998543</v>
      </c>
      <c r="L5" s="8">
        <f t="shared" ref="L5" si="6">K5/1000000</f>
        <v>27.099999999998545</v>
      </c>
      <c r="M5" s="10">
        <f t="shared" ref="M5" si="7">L5*3.07</f>
        <v>83.196999999995526</v>
      </c>
      <c r="N5" s="21"/>
      <c r="O5" s="7">
        <f>'[5]Production Summary'!$I6</f>
        <v>12374000</v>
      </c>
      <c r="P5" s="8">
        <f t="shared" ref="P5" si="8">O5/1000000</f>
        <v>12.374000000000001</v>
      </c>
      <c r="Q5" s="10">
        <f t="shared" ref="Q5" si="9">P5*3.07</f>
        <v>37.98818</v>
      </c>
      <c r="R5" s="7">
        <f>'[5]Production Summary'!$C6</f>
        <v>12379000</v>
      </c>
      <c r="S5" s="8">
        <f t="shared" ref="S5" si="10">R5/1000000</f>
        <v>12.379</v>
      </c>
      <c r="T5" s="10">
        <f t="shared" ref="T5" si="11">S5*3.07</f>
        <v>38.003529999999998</v>
      </c>
      <c r="U5" s="7">
        <f>'[5]Production Summary'!$F6</f>
        <v>0</v>
      </c>
      <c r="V5" s="8">
        <f t="shared" ref="V5" si="12">U5/1000000</f>
        <v>0</v>
      </c>
      <c r="W5" s="10">
        <f t="shared" ref="W5" si="13">V5*3.07</f>
        <v>0</v>
      </c>
      <c r="X5" s="7">
        <f>'[5]Production Summary'!$AB6</f>
        <v>0</v>
      </c>
      <c r="Y5" s="8">
        <f t="shared" ref="Y5" si="14">X5/1000000</f>
        <v>0</v>
      </c>
      <c r="Z5" s="10">
        <f t="shared" ref="Z5" si="15">Y5*3.07</f>
        <v>0</v>
      </c>
      <c r="AA5" s="15"/>
      <c r="AB5" s="7">
        <v>0</v>
      </c>
      <c r="AC5" s="8">
        <f t="shared" ref="AC5:AC18" si="16">AB5/1000000</f>
        <v>0</v>
      </c>
      <c r="AD5" s="10">
        <f t="shared" ref="AD5:AD36" si="17">AC5*3.07</f>
        <v>0</v>
      </c>
      <c r="AF5" s="7">
        <f t="shared" ref="AF5:AF35" si="18">B5+O5</f>
        <v>39243999.999999896</v>
      </c>
      <c r="AG5" s="8">
        <f t="shared" ref="AG5:AG35" si="19">C5+P5</f>
        <v>39.243999999999893</v>
      </c>
      <c r="AH5" s="8">
        <f t="shared" ref="AH5:AH35" si="20">D5+Q5</f>
        <v>120.47907999999966</v>
      </c>
    </row>
    <row r="6" spans="1:34" x14ac:dyDescent="0.2">
      <c r="A6" s="27">
        <v>43283</v>
      </c>
      <c r="B6" s="7">
        <f>'[5]Production Summary'!$K7</f>
        <v>28720000.000000253</v>
      </c>
      <c r="C6" s="8">
        <f t="shared" ref="C6:C35" si="21">B6/1000000</f>
        <v>28.720000000000255</v>
      </c>
      <c r="D6" s="10">
        <f t="shared" ref="D6:D35" si="22">C6*3.07</f>
        <v>88.170400000000782</v>
      </c>
      <c r="E6" s="7">
        <f>'[5]Production Summary'!$E7</f>
        <v>22000000</v>
      </c>
      <c r="F6" s="8">
        <f t="shared" ref="F6:F35" si="23">E6/1000000</f>
        <v>22</v>
      </c>
      <c r="G6" s="10">
        <f t="shared" ref="G6:G35" si="24">F6*3.07</f>
        <v>67.539999999999992</v>
      </c>
      <c r="H6" s="7">
        <f>'[5]Production Summary'!$G7</f>
        <v>9120000</v>
      </c>
      <c r="I6" s="8">
        <f t="shared" ref="I6:I35" si="25">H6/1000000</f>
        <v>9.1199999999999992</v>
      </c>
      <c r="J6" s="10">
        <f t="shared" ref="J6:J35" si="26">I6*3.07</f>
        <v>27.998399999999997</v>
      </c>
      <c r="K6" s="7">
        <f>'[5]Production Summary'!$S7</f>
        <v>29299999.999995634</v>
      </c>
      <c r="L6" s="8">
        <f t="shared" ref="L6:L35" si="27">K6/1000000</f>
        <v>29.299999999995634</v>
      </c>
      <c r="M6" s="10">
        <f t="shared" ref="M6:M35" si="28">L6*3.07</f>
        <v>89.950999999986593</v>
      </c>
      <c r="N6" s="21"/>
      <c r="O6" s="7">
        <f>'[5]Production Summary'!$I7</f>
        <v>11704000</v>
      </c>
      <c r="P6" s="8">
        <f t="shared" ref="P6:P35" si="29">O6/1000000</f>
        <v>11.704000000000001</v>
      </c>
      <c r="Q6" s="10">
        <f t="shared" ref="Q6:Q35" si="30">P6*3.07</f>
        <v>35.931280000000001</v>
      </c>
      <c r="R6" s="7">
        <f>'[5]Production Summary'!$C7</f>
        <v>11710000</v>
      </c>
      <c r="S6" s="8">
        <f t="shared" ref="S6:S35" si="31">R6/1000000</f>
        <v>11.71</v>
      </c>
      <c r="T6" s="10">
        <f t="shared" ref="T6:T35" si="32">S6*3.07</f>
        <v>35.9497</v>
      </c>
      <c r="U6" s="7">
        <f>'[5]Production Summary'!$F7</f>
        <v>0</v>
      </c>
      <c r="V6" s="8">
        <f t="shared" ref="V6:V35" si="33">U6/1000000</f>
        <v>0</v>
      </c>
      <c r="W6" s="10">
        <f t="shared" ref="W6:W35" si="34">V6*3.07</f>
        <v>0</v>
      </c>
      <c r="X6" s="7">
        <f>'[5]Production Summary'!$AB7</f>
        <v>0</v>
      </c>
      <c r="Y6" s="8">
        <f t="shared" ref="Y6:Y35" si="35">X6/1000000</f>
        <v>0</v>
      </c>
      <c r="Z6" s="10">
        <f t="shared" ref="Z6:Z35" si="36">Y6*3.07</f>
        <v>0</v>
      </c>
      <c r="AA6" s="15"/>
      <c r="AB6" s="7">
        <v>0</v>
      </c>
      <c r="AC6" s="8">
        <f t="shared" si="16"/>
        <v>0</v>
      </c>
      <c r="AD6" s="10">
        <f t="shared" si="17"/>
        <v>0</v>
      </c>
      <c r="AF6" s="7">
        <f t="shared" si="18"/>
        <v>40424000.000000253</v>
      </c>
      <c r="AG6" s="8">
        <f t="shared" si="19"/>
        <v>40.424000000000255</v>
      </c>
      <c r="AH6" s="8">
        <f t="shared" si="20"/>
        <v>124.10168000000078</v>
      </c>
    </row>
    <row r="7" spans="1:34" x14ac:dyDescent="0.2">
      <c r="A7" s="27">
        <v>43284</v>
      </c>
      <c r="B7" s="7">
        <f>'[5]Production Summary'!$K8</f>
        <v>29239999.99999978</v>
      </c>
      <c r="C7" s="8">
        <f t="shared" si="21"/>
        <v>29.239999999999782</v>
      </c>
      <c r="D7" s="10">
        <f t="shared" si="22"/>
        <v>89.766799999999321</v>
      </c>
      <c r="E7" s="7">
        <f>'[5]Production Summary'!$E8</f>
        <v>22000000</v>
      </c>
      <c r="F7" s="8">
        <f t="shared" si="23"/>
        <v>22</v>
      </c>
      <c r="G7" s="10">
        <f t="shared" si="24"/>
        <v>67.539999999999992</v>
      </c>
      <c r="H7" s="7">
        <f>'[5]Production Summary'!$G8</f>
        <v>9890000</v>
      </c>
      <c r="I7" s="8">
        <f t="shared" si="25"/>
        <v>9.89</v>
      </c>
      <c r="J7" s="10">
        <f t="shared" si="26"/>
        <v>30.362300000000001</v>
      </c>
      <c r="K7" s="7">
        <f>'[5]Production Summary'!$S8</f>
        <v>29800000.000002909</v>
      </c>
      <c r="L7" s="8">
        <f t="shared" si="27"/>
        <v>29.80000000000291</v>
      </c>
      <c r="M7" s="10">
        <f t="shared" si="28"/>
        <v>91.486000000008929</v>
      </c>
      <c r="N7" s="21"/>
      <c r="O7" s="7">
        <f>'[5]Production Summary'!$I8</f>
        <v>12995000</v>
      </c>
      <c r="P7" s="8">
        <f t="shared" si="29"/>
        <v>12.994999999999999</v>
      </c>
      <c r="Q7" s="10">
        <f t="shared" si="30"/>
        <v>39.894649999999999</v>
      </c>
      <c r="R7" s="7">
        <f>'[5]Production Summary'!$C8</f>
        <v>13002000</v>
      </c>
      <c r="S7" s="8">
        <f t="shared" si="31"/>
        <v>13.002000000000001</v>
      </c>
      <c r="T7" s="10">
        <f t="shared" si="32"/>
        <v>39.916139999999999</v>
      </c>
      <c r="U7" s="7">
        <f>'[5]Production Summary'!$F8</f>
        <v>0</v>
      </c>
      <c r="V7" s="8">
        <f t="shared" si="33"/>
        <v>0</v>
      </c>
      <c r="W7" s="10">
        <f t="shared" si="34"/>
        <v>0</v>
      </c>
      <c r="X7" s="7">
        <f>'[5]Production Summary'!$AB8</f>
        <v>0</v>
      </c>
      <c r="Y7" s="8">
        <f t="shared" si="35"/>
        <v>0</v>
      </c>
      <c r="Z7" s="10">
        <f t="shared" si="36"/>
        <v>0</v>
      </c>
      <c r="AA7" s="15"/>
      <c r="AB7" s="7">
        <v>0</v>
      </c>
      <c r="AC7" s="8">
        <f t="shared" si="16"/>
        <v>0</v>
      </c>
      <c r="AD7" s="10">
        <f t="shared" si="17"/>
        <v>0</v>
      </c>
      <c r="AF7" s="7">
        <f t="shared" si="18"/>
        <v>42234999.999999776</v>
      </c>
      <c r="AG7" s="8">
        <f t="shared" si="19"/>
        <v>42.234999999999779</v>
      </c>
      <c r="AH7" s="8">
        <f t="shared" si="20"/>
        <v>129.66144999999932</v>
      </c>
    </row>
    <row r="8" spans="1:34" x14ac:dyDescent="0.2">
      <c r="A8" s="27">
        <v>43285</v>
      </c>
      <c r="B8" s="7">
        <f>'[5]Production Summary'!$K9</f>
        <v>26579999.999999925</v>
      </c>
      <c r="C8" s="8">
        <f t="shared" si="21"/>
        <v>26.579999999999927</v>
      </c>
      <c r="D8" s="10">
        <f t="shared" si="22"/>
        <v>81.600599999999773</v>
      </c>
      <c r="E8" s="7">
        <f>'[5]Production Summary'!$E9</f>
        <v>20000000</v>
      </c>
      <c r="F8" s="8">
        <f t="shared" si="23"/>
        <v>20</v>
      </c>
      <c r="G8" s="10">
        <f t="shared" si="24"/>
        <v>61.4</v>
      </c>
      <c r="H8" s="7">
        <f>'[5]Production Summary'!$G9</f>
        <v>8780000</v>
      </c>
      <c r="I8" s="8">
        <f t="shared" si="25"/>
        <v>8.7799999999999994</v>
      </c>
      <c r="J8" s="10">
        <f t="shared" si="26"/>
        <v>26.954599999999996</v>
      </c>
      <c r="K8" s="7">
        <f>'[5]Production Summary'!$S9</f>
        <v>27500000</v>
      </c>
      <c r="L8" s="8">
        <f t="shared" si="27"/>
        <v>27.5</v>
      </c>
      <c r="M8" s="10">
        <f t="shared" si="28"/>
        <v>84.424999999999997</v>
      </c>
      <c r="N8" s="21"/>
      <c r="O8" s="7">
        <f>'[5]Production Summary'!$I9</f>
        <v>13391000</v>
      </c>
      <c r="P8" s="8">
        <f t="shared" si="29"/>
        <v>13.391</v>
      </c>
      <c r="Q8" s="10">
        <f t="shared" si="30"/>
        <v>41.110369999999996</v>
      </c>
      <c r="R8" s="7">
        <f>'[5]Production Summary'!$C9</f>
        <v>13399000</v>
      </c>
      <c r="S8" s="8">
        <f t="shared" si="31"/>
        <v>13.398999999999999</v>
      </c>
      <c r="T8" s="10">
        <f t="shared" si="32"/>
        <v>41.134929999999997</v>
      </c>
      <c r="U8" s="7">
        <f>'[5]Production Summary'!$F9</f>
        <v>0</v>
      </c>
      <c r="V8" s="8">
        <f t="shared" si="33"/>
        <v>0</v>
      </c>
      <c r="W8" s="10">
        <f t="shared" si="34"/>
        <v>0</v>
      </c>
      <c r="X8" s="7">
        <f>'[5]Production Summary'!$AB9</f>
        <v>0</v>
      </c>
      <c r="Y8" s="8">
        <f t="shared" si="35"/>
        <v>0</v>
      </c>
      <c r="Z8" s="10">
        <f t="shared" si="36"/>
        <v>0</v>
      </c>
      <c r="AA8" s="15"/>
      <c r="AB8" s="7">
        <v>0</v>
      </c>
      <c r="AC8" s="8">
        <f t="shared" si="16"/>
        <v>0</v>
      </c>
      <c r="AD8" s="10">
        <f t="shared" si="17"/>
        <v>0</v>
      </c>
      <c r="AF8" s="7">
        <f t="shared" si="18"/>
        <v>39970999.999999925</v>
      </c>
      <c r="AG8" s="8">
        <f t="shared" si="19"/>
        <v>39.970999999999925</v>
      </c>
      <c r="AH8" s="8">
        <f t="shared" si="20"/>
        <v>122.71096999999978</v>
      </c>
    </row>
    <row r="9" spans="1:34" x14ac:dyDescent="0.2">
      <c r="A9" s="27">
        <v>43286</v>
      </c>
      <c r="B9" s="7">
        <f>'[5]Production Summary'!$K10</f>
        <v>24119999.999999892</v>
      </c>
      <c r="C9" s="8">
        <f t="shared" si="21"/>
        <v>24.119999999999891</v>
      </c>
      <c r="D9" s="10">
        <f t="shared" si="22"/>
        <v>74.04839999999966</v>
      </c>
      <c r="E9" s="7">
        <f>'[5]Production Summary'!$E10</f>
        <v>17000000</v>
      </c>
      <c r="F9" s="8">
        <f t="shared" si="23"/>
        <v>17</v>
      </c>
      <c r="G9" s="10">
        <f t="shared" si="24"/>
        <v>52.19</v>
      </c>
      <c r="H9" s="7">
        <f>'[5]Production Summary'!$G10</f>
        <v>7300000</v>
      </c>
      <c r="I9" s="8">
        <f t="shared" si="25"/>
        <v>7.3</v>
      </c>
      <c r="J9" s="10">
        <f t="shared" si="26"/>
        <v>22.410999999999998</v>
      </c>
      <c r="K9" s="7">
        <f>'[5]Production Summary'!$S10</f>
        <v>22800000.000002909</v>
      </c>
      <c r="L9" s="8">
        <f t="shared" si="27"/>
        <v>22.80000000000291</v>
      </c>
      <c r="M9" s="10">
        <f t="shared" si="28"/>
        <v>69.996000000008934</v>
      </c>
      <c r="N9" s="21"/>
      <c r="O9" s="7">
        <f>'[5]Production Summary'!$I10</f>
        <v>13722000</v>
      </c>
      <c r="P9" s="8">
        <f t="shared" si="29"/>
        <v>13.722</v>
      </c>
      <c r="Q9" s="10">
        <f t="shared" si="30"/>
        <v>42.126539999999999</v>
      </c>
      <c r="R9" s="7">
        <f>'[5]Production Summary'!$C10</f>
        <v>13731000</v>
      </c>
      <c r="S9" s="8">
        <f t="shared" si="31"/>
        <v>13.731</v>
      </c>
      <c r="T9" s="10">
        <f t="shared" si="32"/>
        <v>42.154170000000001</v>
      </c>
      <c r="U9" s="7">
        <f>'[5]Production Summary'!$F10</f>
        <v>0</v>
      </c>
      <c r="V9" s="8">
        <f t="shared" si="33"/>
        <v>0</v>
      </c>
      <c r="W9" s="10">
        <f t="shared" si="34"/>
        <v>0</v>
      </c>
      <c r="X9" s="7">
        <f>'[5]Production Summary'!$AB10</f>
        <v>0</v>
      </c>
      <c r="Y9" s="8">
        <f t="shared" si="35"/>
        <v>0</v>
      </c>
      <c r="Z9" s="10">
        <f t="shared" si="36"/>
        <v>0</v>
      </c>
      <c r="AA9" s="15"/>
      <c r="AB9" s="7">
        <v>0</v>
      </c>
      <c r="AC9" s="8">
        <f t="shared" si="16"/>
        <v>0</v>
      </c>
      <c r="AD9" s="10">
        <f t="shared" si="17"/>
        <v>0</v>
      </c>
      <c r="AF9" s="7">
        <f t="shared" si="18"/>
        <v>37841999.999999896</v>
      </c>
      <c r="AG9" s="8">
        <f t="shared" si="19"/>
        <v>37.841999999999892</v>
      </c>
      <c r="AH9" s="8">
        <f t="shared" si="20"/>
        <v>116.17493999999965</v>
      </c>
    </row>
    <row r="10" spans="1:34" x14ac:dyDescent="0.2">
      <c r="A10" s="27">
        <v>43287</v>
      </c>
      <c r="B10" s="7">
        <f>'[5]Production Summary'!$K11</f>
        <v>28310000.000000399</v>
      </c>
      <c r="C10" s="8">
        <f t="shared" si="21"/>
        <v>28.3100000000004</v>
      </c>
      <c r="D10" s="10">
        <f t="shared" si="22"/>
        <v>86.911700000001218</v>
      </c>
      <c r="E10" s="7">
        <f>'[5]Production Summary'!$E11</f>
        <v>21000000</v>
      </c>
      <c r="F10" s="8">
        <f t="shared" si="23"/>
        <v>21</v>
      </c>
      <c r="G10" s="10">
        <f t="shared" si="24"/>
        <v>64.47</v>
      </c>
      <c r="H10" s="7">
        <f>'[5]Production Summary'!$G11</f>
        <v>9180000</v>
      </c>
      <c r="I10" s="8">
        <f t="shared" si="25"/>
        <v>9.18</v>
      </c>
      <c r="J10" s="10">
        <f t="shared" si="26"/>
        <v>28.182599999999997</v>
      </c>
      <c r="K10" s="7">
        <f>'[5]Production Summary'!$S11</f>
        <v>28299999.999995634</v>
      </c>
      <c r="L10" s="8">
        <f t="shared" si="27"/>
        <v>28.299999999995634</v>
      </c>
      <c r="M10" s="10">
        <f t="shared" si="28"/>
        <v>86.880999999986599</v>
      </c>
      <c r="N10" s="21"/>
      <c r="O10" s="7">
        <f>'[5]Production Summary'!$I11</f>
        <v>13016000</v>
      </c>
      <c r="P10" s="8">
        <f t="shared" si="29"/>
        <v>13.016</v>
      </c>
      <c r="Q10" s="10">
        <f t="shared" si="30"/>
        <v>39.959119999999999</v>
      </c>
      <c r="R10" s="7">
        <f>'[5]Production Summary'!$C11</f>
        <v>13021000</v>
      </c>
      <c r="S10" s="8">
        <f t="shared" si="31"/>
        <v>13.021000000000001</v>
      </c>
      <c r="T10" s="10">
        <f t="shared" si="32"/>
        <v>39.974470000000004</v>
      </c>
      <c r="U10" s="7">
        <f>'[5]Production Summary'!$F11</f>
        <v>0</v>
      </c>
      <c r="V10" s="8">
        <f t="shared" si="33"/>
        <v>0</v>
      </c>
      <c r="W10" s="10">
        <f t="shared" si="34"/>
        <v>0</v>
      </c>
      <c r="X10" s="7">
        <f>'[5]Production Summary'!$AB11</f>
        <v>0</v>
      </c>
      <c r="Y10" s="8">
        <f t="shared" si="35"/>
        <v>0</v>
      </c>
      <c r="Z10" s="10">
        <f t="shared" si="36"/>
        <v>0</v>
      </c>
      <c r="AA10" s="15"/>
      <c r="AB10" s="7">
        <v>0</v>
      </c>
      <c r="AC10" s="8">
        <f t="shared" si="16"/>
        <v>0</v>
      </c>
      <c r="AD10" s="10">
        <f t="shared" si="17"/>
        <v>0</v>
      </c>
      <c r="AF10" s="7">
        <f t="shared" si="18"/>
        <v>41326000.000000402</v>
      </c>
      <c r="AG10" s="8">
        <f t="shared" si="19"/>
        <v>41.326000000000398</v>
      </c>
      <c r="AH10" s="8">
        <f t="shared" si="20"/>
        <v>126.87082000000122</v>
      </c>
    </row>
    <row r="11" spans="1:34" x14ac:dyDescent="0.2">
      <c r="A11" s="27">
        <v>43288</v>
      </c>
      <c r="B11" s="7">
        <f>'[5]Production Summary'!$K12</f>
        <v>28090000.000000145</v>
      </c>
      <c r="C11" s="8">
        <f t="shared" si="21"/>
        <v>28.090000000000146</v>
      </c>
      <c r="D11" s="10">
        <f t="shared" si="22"/>
        <v>86.23630000000044</v>
      </c>
      <c r="E11" s="7">
        <f>'[5]Production Summary'!$E12</f>
        <v>21000000</v>
      </c>
      <c r="F11" s="8">
        <f t="shared" si="23"/>
        <v>21</v>
      </c>
      <c r="G11" s="10">
        <f t="shared" si="24"/>
        <v>64.47</v>
      </c>
      <c r="H11" s="7">
        <f>'[5]Production Summary'!$G12</f>
        <v>10030000</v>
      </c>
      <c r="I11" s="8">
        <f t="shared" si="25"/>
        <v>10.029999999999999</v>
      </c>
      <c r="J11" s="10">
        <f t="shared" si="26"/>
        <v>30.792099999999998</v>
      </c>
      <c r="K11" s="7">
        <f>'[5]Production Summary'!$S12</f>
        <v>28900000.000001457</v>
      </c>
      <c r="L11" s="8">
        <f t="shared" si="27"/>
        <v>28.900000000001455</v>
      </c>
      <c r="M11" s="10">
        <f t="shared" si="28"/>
        <v>88.723000000004461</v>
      </c>
      <c r="N11" s="21"/>
      <c r="O11" s="7">
        <f>'[5]Production Summary'!$I12</f>
        <v>12576000</v>
      </c>
      <c r="P11" s="8">
        <f t="shared" si="29"/>
        <v>12.576000000000001</v>
      </c>
      <c r="Q11" s="10">
        <f t="shared" si="30"/>
        <v>38.608319999999999</v>
      </c>
      <c r="R11" s="7">
        <f>'[5]Production Summary'!$C12</f>
        <v>12582000</v>
      </c>
      <c r="S11" s="8">
        <f t="shared" si="31"/>
        <v>12.582000000000001</v>
      </c>
      <c r="T11" s="10">
        <f t="shared" si="32"/>
        <v>38.626739999999998</v>
      </c>
      <c r="U11" s="7">
        <f>'[5]Production Summary'!$F12</f>
        <v>0</v>
      </c>
      <c r="V11" s="8">
        <f t="shared" si="33"/>
        <v>0</v>
      </c>
      <c r="W11" s="10">
        <f t="shared" si="34"/>
        <v>0</v>
      </c>
      <c r="X11" s="7">
        <f>'[5]Production Summary'!$AB12</f>
        <v>0</v>
      </c>
      <c r="Y11" s="8">
        <f t="shared" si="35"/>
        <v>0</v>
      </c>
      <c r="Z11" s="10">
        <f t="shared" si="36"/>
        <v>0</v>
      </c>
      <c r="AA11" s="15"/>
      <c r="AB11" s="7">
        <v>0</v>
      </c>
      <c r="AC11" s="8">
        <f t="shared" si="16"/>
        <v>0</v>
      </c>
      <c r="AD11" s="10">
        <f t="shared" si="17"/>
        <v>0</v>
      </c>
      <c r="AF11" s="7">
        <f t="shared" si="18"/>
        <v>40666000.000000149</v>
      </c>
      <c r="AG11" s="8">
        <f t="shared" si="19"/>
        <v>40.666000000000146</v>
      </c>
      <c r="AH11" s="8">
        <f t="shared" si="20"/>
        <v>124.84462000000045</v>
      </c>
    </row>
    <row r="12" spans="1:34" x14ac:dyDescent="0.2">
      <c r="A12" s="27">
        <v>43289</v>
      </c>
      <c r="B12" s="7">
        <f>'[5]Production Summary'!$K13</f>
        <v>32429999.999999382</v>
      </c>
      <c r="C12" s="8">
        <f t="shared" si="21"/>
        <v>32.429999999999382</v>
      </c>
      <c r="D12" s="10">
        <f t="shared" si="22"/>
        <v>99.560099999998101</v>
      </c>
      <c r="E12" s="7">
        <f>'[5]Production Summary'!$E13</f>
        <v>24000000</v>
      </c>
      <c r="F12" s="8">
        <f t="shared" si="23"/>
        <v>24</v>
      </c>
      <c r="G12" s="10">
        <f t="shared" si="24"/>
        <v>73.679999999999993</v>
      </c>
      <c r="H12" s="7">
        <f>'[5]Production Summary'!$G13</f>
        <v>11460000</v>
      </c>
      <c r="I12" s="8">
        <f t="shared" si="25"/>
        <v>11.46</v>
      </c>
      <c r="J12" s="10">
        <f t="shared" si="26"/>
        <v>35.182200000000002</v>
      </c>
      <c r="K12" s="7">
        <f>'[5]Production Summary'!$S13</f>
        <v>33599999.999998547</v>
      </c>
      <c r="L12" s="8">
        <f t="shared" si="27"/>
        <v>33.599999999998545</v>
      </c>
      <c r="M12" s="10">
        <f t="shared" si="28"/>
        <v>103.15199999999552</v>
      </c>
      <c r="N12" s="21"/>
      <c r="O12" s="7">
        <f>'[5]Production Summary'!$I13</f>
        <v>13800000</v>
      </c>
      <c r="P12" s="8">
        <f t="shared" si="29"/>
        <v>13.8</v>
      </c>
      <c r="Q12" s="10">
        <f t="shared" si="30"/>
        <v>42.366</v>
      </c>
      <c r="R12" s="7">
        <f>'[5]Production Summary'!$C13</f>
        <v>13807000</v>
      </c>
      <c r="S12" s="8">
        <f t="shared" si="31"/>
        <v>13.807</v>
      </c>
      <c r="T12" s="10">
        <f t="shared" si="32"/>
        <v>42.38749</v>
      </c>
      <c r="U12" s="7">
        <f>'[5]Production Summary'!$F13</f>
        <v>0</v>
      </c>
      <c r="V12" s="8">
        <f t="shared" si="33"/>
        <v>0</v>
      </c>
      <c r="W12" s="10">
        <f t="shared" si="34"/>
        <v>0</v>
      </c>
      <c r="X12" s="7">
        <f>'[5]Production Summary'!$AB13</f>
        <v>0</v>
      </c>
      <c r="Y12" s="8">
        <f t="shared" si="35"/>
        <v>0</v>
      </c>
      <c r="Z12" s="10">
        <f t="shared" si="36"/>
        <v>0</v>
      </c>
      <c r="AA12" s="15"/>
      <c r="AB12" s="7">
        <v>0</v>
      </c>
      <c r="AC12" s="8">
        <f t="shared" si="16"/>
        <v>0</v>
      </c>
      <c r="AD12" s="10">
        <f t="shared" si="17"/>
        <v>0</v>
      </c>
      <c r="AF12" s="7">
        <f t="shared" si="18"/>
        <v>46229999.999999382</v>
      </c>
      <c r="AG12" s="8">
        <f t="shared" si="19"/>
        <v>46.229999999999379</v>
      </c>
      <c r="AH12" s="8">
        <f t="shared" si="20"/>
        <v>141.92609999999809</v>
      </c>
    </row>
    <row r="13" spans="1:34" x14ac:dyDescent="0.2">
      <c r="A13" s="27">
        <v>43290</v>
      </c>
      <c r="B13" s="7">
        <f>'[5]Production Summary'!$K14</f>
        <v>28390000.000000328</v>
      </c>
      <c r="C13" s="8">
        <f t="shared" si="21"/>
        <v>28.390000000000327</v>
      </c>
      <c r="D13" s="10">
        <f t="shared" si="22"/>
        <v>87.157300000001001</v>
      </c>
      <c r="E13" s="7">
        <f>'[5]Production Summary'!$E14</f>
        <v>21000000</v>
      </c>
      <c r="F13" s="8">
        <f t="shared" si="23"/>
        <v>21</v>
      </c>
      <c r="G13" s="10">
        <f t="shared" si="24"/>
        <v>64.47</v>
      </c>
      <c r="H13" s="7">
        <f>'[5]Production Summary'!$G14</f>
        <v>8990000</v>
      </c>
      <c r="I13" s="8">
        <f t="shared" si="25"/>
        <v>8.99</v>
      </c>
      <c r="J13" s="10">
        <f t="shared" si="26"/>
        <v>27.599299999999999</v>
      </c>
      <c r="K13" s="7">
        <f>'[5]Production Summary'!$S14</f>
        <v>29200000.000004366</v>
      </c>
      <c r="L13" s="8">
        <f t="shared" si="27"/>
        <v>29.200000000004366</v>
      </c>
      <c r="M13" s="10">
        <f t="shared" si="28"/>
        <v>89.644000000013392</v>
      </c>
      <c r="N13" s="21"/>
      <c r="O13" s="7">
        <f>'[5]Production Summary'!$I14</f>
        <v>13635699.999999993</v>
      </c>
      <c r="P13" s="8">
        <f t="shared" si="29"/>
        <v>13.635699999999993</v>
      </c>
      <c r="Q13" s="10">
        <f t="shared" si="30"/>
        <v>41.861598999999977</v>
      </c>
      <c r="R13" s="7">
        <f>'[5]Production Summary'!$C14</f>
        <v>13955000</v>
      </c>
      <c r="S13" s="8">
        <f t="shared" si="31"/>
        <v>13.955</v>
      </c>
      <c r="T13" s="10">
        <f t="shared" si="32"/>
        <v>42.841850000000001</v>
      </c>
      <c r="U13" s="7">
        <f>'[5]Production Summary'!$F14</f>
        <v>0</v>
      </c>
      <c r="V13" s="8">
        <f t="shared" si="33"/>
        <v>0</v>
      </c>
      <c r="W13" s="10">
        <f t="shared" si="34"/>
        <v>0</v>
      </c>
      <c r="X13" s="7">
        <f>'[5]Production Summary'!$AB14</f>
        <v>309300.00000000745</v>
      </c>
      <c r="Y13" s="8">
        <f t="shared" si="35"/>
        <v>0.30930000000000746</v>
      </c>
      <c r="Z13" s="10">
        <f t="shared" si="36"/>
        <v>0.94955100000002279</v>
      </c>
      <c r="AA13" s="15"/>
      <c r="AB13" s="7">
        <v>0</v>
      </c>
      <c r="AC13" s="8">
        <f t="shared" si="16"/>
        <v>0</v>
      </c>
      <c r="AD13" s="10">
        <f t="shared" si="17"/>
        <v>0</v>
      </c>
      <c r="AF13" s="7">
        <f t="shared" si="18"/>
        <v>42025700.00000032</v>
      </c>
      <c r="AG13" s="8">
        <f t="shared" si="19"/>
        <v>42.02570000000032</v>
      </c>
      <c r="AH13" s="8">
        <f t="shared" si="20"/>
        <v>129.01889900000097</v>
      </c>
    </row>
    <row r="14" spans="1:34" x14ac:dyDescent="0.2">
      <c r="A14" s="27">
        <v>43291</v>
      </c>
      <c r="B14" s="7">
        <f>'[5]Production Summary'!$K15</f>
        <v>29380000.000000108</v>
      </c>
      <c r="C14" s="8">
        <f t="shared" si="21"/>
        <v>29.380000000000109</v>
      </c>
      <c r="D14" s="10">
        <f t="shared" si="22"/>
        <v>90.196600000000331</v>
      </c>
      <c r="E14" s="7">
        <f>'[5]Production Summary'!$E15</f>
        <v>22000000</v>
      </c>
      <c r="F14" s="8">
        <f t="shared" si="23"/>
        <v>22</v>
      </c>
      <c r="G14" s="10">
        <f t="shared" si="24"/>
        <v>67.539999999999992</v>
      </c>
      <c r="H14" s="7">
        <f>'[5]Production Summary'!$G15</f>
        <v>10130000</v>
      </c>
      <c r="I14" s="8">
        <f t="shared" si="25"/>
        <v>10.130000000000001</v>
      </c>
      <c r="J14" s="10">
        <f t="shared" si="26"/>
        <v>31.0991</v>
      </c>
      <c r="K14" s="7">
        <f>'[5]Production Summary'!$S15</f>
        <v>29799999.999995634</v>
      </c>
      <c r="L14" s="8">
        <f t="shared" si="27"/>
        <v>29.799999999995634</v>
      </c>
      <c r="M14" s="10">
        <f t="shared" si="28"/>
        <v>91.485999999986589</v>
      </c>
      <c r="N14" s="21"/>
      <c r="O14" s="7">
        <f>'[5]Production Summary'!$I15</f>
        <v>13333800.000000004</v>
      </c>
      <c r="P14" s="8">
        <f t="shared" si="29"/>
        <v>13.333800000000004</v>
      </c>
      <c r="Q14" s="10">
        <f t="shared" si="30"/>
        <v>40.93476600000001</v>
      </c>
      <c r="R14" s="7">
        <f>'[5]Production Summary'!$C15</f>
        <v>13688000</v>
      </c>
      <c r="S14" s="8">
        <f t="shared" si="31"/>
        <v>13.688000000000001</v>
      </c>
      <c r="T14" s="10">
        <f t="shared" si="32"/>
        <v>42.02216</v>
      </c>
      <c r="U14" s="7">
        <f>'[5]Production Summary'!$F15</f>
        <v>0</v>
      </c>
      <c r="V14" s="8">
        <f t="shared" si="33"/>
        <v>0</v>
      </c>
      <c r="W14" s="10">
        <f t="shared" si="34"/>
        <v>0</v>
      </c>
      <c r="X14" s="7">
        <f>'[5]Production Summary'!$AB15</f>
        <v>349199.99999999616</v>
      </c>
      <c r="Y14" s="8">
        <f t="shared" si="35"/>
        <v>0.34919999999999618</v>
      </c>
      <c r="Z14" s="10">
        <f t="shared" si="36"/>
        <v>1.0720439999999882</v>
      </c>
      <c r="AA14" s="15"/>
      <c r="AB14" s="7">
        <v>0</v>
      </c>
      <c r="AC14" s="8">
        <f t="shared" si="16"/>
        <v>0</v>
      </c>
      <c r="AD14" s="10">
        <f t="shared" si="17"/>
        <v>0</v>
      </c>
      <c r="AF14" s="7">
        <f t="shared" si="18"/>
        <v>42713800.000000112</v>
      </c>
      <c r="AG14" s="8">
        <f t="shared" si="19"/>
        <v>42.713800000000113</v>
      </c>
      <c r="AH14" s="8">
        <f t="shared" si="20"/>
        <v>131.13136600000036</v>
      </c>
    </row>
    <row r="15" spans="1:34" x14ac:dyDescent="0.2">
      <c r="A15" s="27">
        <v>43292</v>
      </c>
      <c r="B15" s="7">
        <f>'[5]Production Summary'!$K16</f>
        <v>31739999.99999978</v>
      </c>
      <c r="C15" s="8">
        <f t="shared" si="21"/>
        <v>31.739999999999782</v>
      </c>
      <c r="D15" s="10">
        <f t="shared" si="22"/>
        <v>97.441799999999319</v>
      </c>
      <c r="E15" s="7">
        <f>'[5]Production Summary'!$E16</f>
        <v>23000000</v>
      </c>
      <c r="F15" s="8">
        <f t="shared" si="23"/>
        <v>23</v>
      </c>
      <c r="G15" s="10">
        <f t="shared" si="24"/>
        <v>70.61</v>
      </c>
      <c r="H15" s="7">
        <f>'[5]Production Summary'!$G16</f>
        <v>11250000</v>
      </c>
      <c r="I15" s="8">
        <f t="shared" si="25"/>
        <v>11.25</v>
      </c>
      <c r="J15" s="10">
        <f t="shared" si="26"/>
        <v>34.537500000000001</v>
      </c>
      <c r="K15" s="7">
        <f>'[5]Production Summary'!$S16</f>
        <v>32400000.000001457</v>
      </c>
      <c r="L15" s="8">
        <f t="shared" si="27"/>
        <v>32.400000000001455</v>
      </c>
      <c r="M15" s="10">
        <f t="shared" si="28"/>
        <v>99.468000000004466</v>
      </c>
      <c r="N15" s="21"/>
      <c r="O15" s="7">
        <f>'[5]Production Summary'!$I16</f>
        <v>13219499.999999991</v>
      </c>
      <c r="P15" s="8">
        <f t="shared" si="29"/>
        <v>13.219499999999991</v>
      </c>
      <c r="Q15" s="10">
        <f t="shared" si="30"/>
        <v>40.583864999999967</v>
      </c>
      <c r="R15" s="7">
        <f>'[5]Production Summary'!$C16</f>
        <v>13648000</v>
      </c>
      <c r="S15" s="8">
        <f t="shared" si="31"/>
        <v>13.648</v>
      </c>
      <c r="T15" s="10">
        <f t="shared" si="32"/>
        <v>41.899359999999994</v>
      </c>
      <c r="U15" s="7">
        <f>'[5]Production Summary'!$F16</f>
        <v>0</v>
      </c>
      <c r="V15" s="8">
        <f t="shared" si="33"/>
        <v>0</v>
      </c>
      <c r="W15" s="10">
        <f t="shared" si="34"/>
        <v>0</v>
      </c>
      <c r="X15" s="7">
        <f>'[5]Production Summary'!$AB16</f>
        <v>421500.00000000885</v>
      </c>
      <c r="Y15" s="8">
        <f t="shared" si="35"/>
        <v>0.42150000000000887</v>
      </c>
      <c r="Z15" s="10">
        <f t="shared" si="36"/>
        <v>1.2940050000000272</v>
      </c>
      <c r="AA15" s="15"/>
      <c r="AB15" s="7">
        <v>0</v>
      </c>
      <c r="AC15" s="8">
        <f t="shared" si="16"/>
        <v>0</v>
      </c>
      <c r="AD15" s="10">
        <f t="shared" si="17"/>
        <v>0</v>
      </c>
      <c r="AF15" s="7">
        <f t="shared" si="18"/>
        <v>44959499.999999769</v>
      </c>
      <c r="AG15" s="8">
        <f t="shared" si="19"/>
        <v>44.959499999999771</v>
      </c>
      <c r="AH15" s="8">
        <f t="shared" si="20"/>
        <v>138.02566499999929</v>
      </c>
    </row>
    <row r="16" spans="1:34" x14ac:dyDescent="0.2">
      <c r="A16" s="27">
        <v>43293</v>
      </c>
      <c r="B16" s="7">
        <f>'[5]Production Summary'!$K17</f>
        <v>30880000.000000108</v>
      </c>
      <c r="C16" s="8">
        <f t="shared" si="21"/>
        <v>30.880000000000109</v>
      </c>
      <c r="D16" s="10">
        <f t="shared" si="22"/>
        <v>94.801600000000334</v>
      </c>
      <c r="E16" s="7">
        <f>'[5]Production Summary'!$E17</f>
        <v>24000000</v>
      </c>
      <c r="F16" s="8">
        <f t="shared" si="23"/>
        <v>24</v>
      </c>
      <c r="G16" s="10">
        <f t="shared" si="24"/>
        <v>73.679999999999993</v>
      </c>
      <c r="H16" s="7">
        <f>'[5]Production Summary'!$G17</f>
        <v>10510000</v>
      </c>
      <c r="I16" s="8">
        <f t="shared" si="25"/>
        <v>10.51</v>
      </c>
      <c r="J16" s="10">
        <f t="shared" si="26"/>
        <v>32.265699999999995</v>
      </c>
      <c r="K16" s="7">
        <f>'[5]Production Summary'!$S17</f>
        <v>32099999.999998543</v>
      </c>
      <c r="L16" s="8">
        <f t="shared" si="27"/>
        <v>32.099999999998545</v>
      </c>
      <c r="M16" s="10">
        <f t="shared" si="28"/>
        <v>98.546999999995521</v>
      </c>
      <c r="N16" s="21"/>
      <c r="O16" s="7">
        <f>'[5]Production Summary'!$I17</f>
        <v>11834200.000000011</v>
      </c>
      <c r="P16" s="8">
        <f t="shared" si="29"/>
        <v>11.834200000000012</v>
      </c>
      <c r="Q16" s="10">
        <f t="shared" si="30"/>
        <v>36.330994000000032</v>
      </c>
      <c r="R16" s="7">
        <f>'[5]Production Summary'!$C17</f>
        <v>12359000</v>
      </c>
      <c r="S16" s="8">
        <f t="shared" si="31"/>
        <v>12.359</v>
      </c>
      <c r="T16" s="10">
        <f t="shared" si="32"/>
        <v>37.942129999999999</v>
      </c>
      <c r="U16" s="7">
        <f>'[5]Production Summary'!$F17</f>
        <v>0</v>
      </c>
      <c r="V16" s="8">
        <f t="shared" si="33"/>
        <v>0</v>
      </c>
      <c r="W16" s="10">
        <f t="shared" si="34"/>
        <v>0</v>
      </c>
      <c r="X16" s="7">
        <f>'[5]Production Summary'!$AB17</f>
        <v>516799.99999998929</v>
      </c>
      <c r="Y16" s="8">
        <f t="shared" si="35"/>
        <v>0.51679999999998927</v>
      </c>
      <c r="Z16" s="10">
        <f t="shared" si="36"/>
        <v>1.5865759999999669</v>
      </c>
      <c r="AA16" s="15"/>
      <c r="AB16" s="7">
        <v>0</v>
      </c>
      <c r="AC16" s="8">
        <f t="shared" si="16"/>
        <v>0</v>
      </c>
      <c r="AD16" s="10">
        <f t="shared" si="17"/>
        <v>0</v>
      </c>
      <c r="AF16" s="7">
        <f t="shared" si="18"/>
        <v>42714200.000000119</v>
      </c>
      <c r="AG16" s="8">
        <f t="shared" si="19"/>
        <v>42.714200000000119</v>
      </c>
      <c r="AH16" s="8">
        <f t="shared" si="20"/>
        <v>131.13259400000038</v>
      </c>
    </row>
    <row r="17" spans="1:35" x14ac:dyDescent="0.2">
      <c r="A17" s="27">
        <v>43294</v>
      </c>
      <c r="B17" s="7">
        <f>'[5]Production Summary'!$K18</f>
        <v>31539999.999999963</v>
      </c>
      <c r="C17" s="8">
        <f t="shared" si="21"/>
        <v>31.539999999999964</v>
      </c>
      <c r="D17" s="10">
        <f t="shared" si="22"/>
        <v>96.827799999999883</v>
      </c>
      <c r="E17" s="7">
        <f>'[5]Production Summary'!$E18</f>
        <v>23000000</v>
      </c>
      <c r="F17" s="8">
        <f t="shared" si="23"/>
        <v>23</v>
      </c>
      <c r="G17" s="10">
        <f t="shared" si="24"/>
        <v>70.61</v>
      </c>
      <c r="H17" s="7">
        <f>'[5]Production Summary'!$G18</f>
        <v>11320000</v>
      </c>
      <c r="I17" s="8">
        <f t="shared" si="25"/>
        <v>11.32</v>
      </c>
      <c r="J17" s="10">
        <f t="shared" si="26"/>
        <v>34.752400000000002</v>
      </c>
      <c r="K17" s="7">
        <f>'[5]Production Summary'!$S18</f>
        <v>32700000.000004366</v>
      </c>
      <c r="L17" s="8">
        <f t="shared" si="27"/>
        <v>32.700000000004366</v>
      </c>
      <c r="M17" s="10">
        <f t="shared" si="28"/>
        <v>100.3890000000134</v>
      </c>
      <c r="N17" s="21"/>
      <c r="O17" s="7">
        <f>'[5]Production Summary'!$I18</f>
        <v>12194399.999999981</v>
      </c>
      <c r="P17" s="8">
        <f t="shared" si="29"/>
        <v>12.194399999999982</v>
      </c>
      <c r="Q17" s="10">
        <f t="shared" si="30"/>
        <v>37.436807999999942</v>
      </c>
      <c r="R17" s="7">
        <f>'[5]Production Summary'!$C18</f>
        <v>12661000</v>
      </c>
      <c r="S17" s="8">
        <f t="shared" si="31"/>
        <v>12.661</v>
      </c>
      <c r="T17" s="10">
        <f t="shared" si="32"/>
        <v>38.86927</v>
      </c>
      <c r="U17" s="7">
        <f>'[5]Production Summary'!$F18</f>
        <v>0</v>
      </c>
      <c r="V17" s="8">
        <f t="shared" si="33"/>
        <v>0</v>
      </c>
      <c r="W17" s="10">
        <f t="shared" si="34"/>
        <v>0</v>
      </c>
      <c r="X17" s="7">
        <f>'[5]Production Summary'!$AB18</f>
        <v>458600.00000001834</v>
      </c>
      <c r="Y17" s="8">
        <f t="shared" si="35"/>
        <v>0.45860000000001833</v>
      </c>
      <c r="Z17" s="10">
        <f t="shared" si="36"/>
        <v>1.4079020000000562</v>
      </c>
      <c r="AA17" s="15"/>
      <c r="AB17" s="7">
        <v>0</v>
      </c>
      <c r="AC17" s="8">
        <f t="shared" si="16"/>
        <v>0</v>
      </c>
      <c r="AD17" s="10">
        <f t="shared" si="17"/>
        <v>0</v>
      </c>
      <c r="AF17" s="7">
        <f t="shared" si="18"/>
        <v>43734399.99999994</v>
      </c>
      <c r="AG17" s="8">
        <f t="shared" si="19"/>
        <v>43.734399999999944</v>
      </c>
      <c r="AH17" s="8">
        <f t="shared" si="20"/>
        <v>134.26460799999984</v>
      </c>
    </row>
    <row r="18" spans="1:35" x14ac:dyDescent="0.2">
      <c r="A18" s="27">
        <v>43295</v>
      </c>
      <c r="B18" s="7">
        <f>'[5]Production Summary'!$K19</f>
        <v>26909999.999999855</v>
      </c>
      <c r="C18" s="8">
        <f t="shared" si="21"/>
        <v>26.909999999999854</v>
      </c>
      <c r="D18" s="10">
        <f t="shared" si="22"/>
        <v>82.613699999999554</v>
      </c>
      <c r="E18" s="7">
        <f>'[5]Production Summary'!$E19</f>
        <v>21000000</v>
      </c>
      <c r="F18" s="8">
        <f t="shared" si="23"/>
        <v>21</v>
      </c>
      <c r="G18" s="10">
        <f t="shared" si="24"/>
        <v>64.47</v>
      </c>
      <c r="H18" s="7">
        <f>'[5]Production Summary'!$G19</f>
        <v>8300000</v>
      </c>
      <c r="I18" s="8">
        <f t="shared" si="25"/>
        <v>8.3000000000000007</v>
      </c>
      <c r="J18" s="10">
        <f t="shared" si="26"/>
        <v>25.481000000000002</v>
      </c>
      <c r="K18" s="7">
        <f>'[5]Production Summary'!$S19</f>
        <v>27399999.999994181</v>
      </c>
      <c r="L18" s="8">
        <f t="shared" si="27"/>
        <v>27.399999999994183</v>
      </c>
      <c r="M18" s="10">
        <f t="shared" si="28"/>
        <v>84.117999999982132</v>
      </c>
      <c r="N18" s="21"/>
      <c r="O18" s="7">
        <f>'[5]Production Summary'!$I19</f>
        <v>10579900.000000007</v>
      </c>
      <c r="P18" s="8">
        <f t="shared" si="29"/>
        <v>10.579900000000007</v>
      </c>
      <c r="Q18" s="10">
        <f t="shared" si="30"/>
        <v>32.480293000000025</v>
      </c>
      <c r="R18" s="7">
        <f>'[5]Production Summary'!$C19</f>
        <v>10934000</v>
      </c>
      <c r="S18" s="8">
        <f t="shared" si="31"/>
        <v>10.933999999999999</v>
      </c>
      <c r="T18" s="10">
        <f t="shared" si="32"/>
        <v>33.567379999999993</v>
      </c>
      <c r="U18" s="7">
        <f>'[5]Production Summary'!$F19</f>
        <v>0</v>
      </c>
      <c r="V18" s="8">
        <f t="shared" si="33"/>
        <v>0</v>
      </c>
      <c r="W18" s="10">
        <f t="shared" si="34"/>
        <v>0</v>
      </c>
      <c r="X18" s="7">
        <f>'[5]Production Summary'!$AB19</f>
        <v>349099.99999999284</v>
      </c>
      <c r="Y18" s="8">
        <f t="shared" si="35"/>
        <v>0.34909999999999286</v>
      </c>
      <c r="Z18" s="10">
        <f t="shared" si="36"/>
        <v>1.071736999999978</v>
      </c>
      <c r="AA18" s="15"/>
      <c r="AB18" s="7">
        <v>0</v>
      </c>
      <c r="AC18" s="8">
        <f t="shared" si="16"/>
        <v>0</v>
      </c>
      <c r="AD18" s="10">
        <f t="shared" si="17"/>
        <v>0</v>
      </c>
      <c r="AF18" s="7">
        <f t="shared" si="18"/>
        <v>37489899.999999866</v>
      </c>
      <c r="AG18" s="8">
        <f t="shared" si="19"/>
        <v>37.489899999999864</v>
      </c>
      <c r="AH18" s="8">
        <f t="shared" si="20"/>
        <v>115.09399299999959</v>
      </c>
    </row>
    <row r="19" spans="1:35" x14ac:dyDescent="0.2">
      <c r="A19" s="27">
        <v>43296</v>
      </c>
      <c r="B19" s="7">
        <f>'[5]Production Summary'!$K20</f>
        <v>29360000.000000581</v>
      </c>
      <c r="C19" s="8">
        <f t="shared" si="21"/>
        <v>29.360000000000582</v>
      </c>
      <c r="D19" s="10">
        <f t="shared" si="22"/>
        <v>90.135200000001788</v>
      </c>
      <c r="E19" s="7">
        <f>'[5]Production Summary'!$E20</f>
        <v>22000000</v>
      </c>
      <c r="F19" s="8">
        <f t="shared" si="23"/>
        <v>22</v>
      </c>
      <c r="G19" s="10">
        <f t="shared" si="24"/>
        <v>67.539999999999992</v>
      </c>
      <c r="H19" s="7">
        <f>'[5]Production Summary'!$G20</f>
        <v>9340000</v>
      </c>
      <c r="I19" s="8">
        <f t="shared" si="25"/>
        <v>9.34</v>
      </c>
      <c r="J19" s="10">
        <f t="shared" si="26"/>
        <v>28.673799999999996</v>
      </c>
      <c r="K19" s="7">
        <f>'[5]Production Summary'!$S20</f>
        <v>30200000.000004366</v>
      </c>
      <c r="L19" s="8">
        <f t="shared" si="27"/>
        <v>30.200000000004366</v>
      </c>
      <c r="M19" s="10">
        <f t="shared" si="28"/>
        <v>92.714000000013399</v>
      </c>
      <c r="N19" s="21"/>
      <c r="O19" s="7">
        <f>'[5]Production Summary'!$I20</f>
        <v>11674000.000000011</v>
      </c>
      <c r="P19" s="8">
        <f t="shared" si="29"/>
        <v>11.674000000000012</v>
      </c>
      <c r="Q19" s="10">
        <f t="shared" si="30"/>
        <v>35.839180000000034</v>
      </c>
      <c r="R19" s="7">
        <f>'[5]Production Summary'!$C20</f>
        <v>12151000</v>
      </c>
      <c r="S19" s="8">
        <f t="shared" si="31"/>
        <v>12.151</v>
      </c>
      <c r="T19" s="10">
        <f t="shared" si="32"/>
        <v>37.303570000000001</v>
      </c>
      <c r="U19" s="7">
        <f>'[5]Production Summary'!$F20</f>
        <v>0</v>
      </c>
      <c r="V19" s="8">
        <f t="shared" si="33"/>
        <v>0</v>
      </c>
      <c r="W19" s="10">
        <f t="shared" si="34"/>
        <v>0</v>
      </c>
      <c r="X19" s="7">
        <f>'[5]Production Summary'!$AB20</f>
        <v>467999.99999998929</v>
      </c>
      <c r="Y19" s="8">
        <f t="shared" si="35"/>
        <v>0.46799999999998931</v>
      </c>
      <c r="Z19" s="10">
        <f t="shared" si="36"/>
        <v>1.4367599999999672</v>
      </c>
      <c r="AA19" s="15"/>
      <c r="AB19" s="7">
        <v>0</v>
      </c>
      <c r="AC19" s="8">
        <f t="shared" ref="AC19:AC35" si="37">AB19/1000000</f>
        <v>0</v>
      </c>
      <c r="AD19" s="10">
        <f t="shared" ref="AD19:AD35" si="38">AC19*3.07</f>
        <v>0</v>
      </c>
      <c r="AF19" s="7">
        <f t="shared" si="18"/>
        <v>41034000.000000596</v>
      </c>
      <c r="AG19" s="8">
        <f t="shared" si="19"/>
        <v>41.034000000000596</v>
      </c>
      <c r="AH19" s="8">
        <f t="shared" si="20"/>
        <v>125.97438000000182</v>
      </c>
    </row>
    <row r="20" spans="1:35" x14ac:dyDescent="0.2">
      <c r="A20" s="27">
        <v>43297</v>
      </c>
      <c r="B20" s="7">
        <f>'[5]Production Summary'!$K21</f>
        <v>31929999.999999382</v>
      </c>
      <c r="C20" s="8">
        <f t="shared" si="21"/>
        <v>31.929999999999382</v>
      </c>
      <c r="D20" s="10">
        <f t="shared" si="22"/>
        <v>98.025099999998091</v>
      </c>
      <c r="E20" s="7">
        <f>'[5]Production Summary'!$E21</f>
        <v>21000000</v>
      </c>
      <c r="F20" s="8">
        <f t="shared" si="23"/>
        <v>21</v>
      </c>
      <c r="G20" s="10">
        <f t="shared" si="24"/>
        <v>64.47</v>
      </c>
      <c r="H20" s="7">
        <f>'[5]Production Summary'!$G21</f>
        <v>11110000</v>
      </c>
      <c r="I20" s="8">
        <f t="shared" si="25"/>
        <v>11.11</v>
      </c>
      <c r="J20" s="10">
        <f t="shared" si="26"/>
        <v>34.107699999999994</v>
      </c>
      <c r="K20" s="7">
        <f>'[5]Production Summary'!$S21</f>
        <v>30000000</v>
      </c>
      <c r="L20" s="8">
        <f t="shared" si="27"/>
        <v>30</v>
      </c>
      <c r="M20" s="10">
        <f t="shared" si="28"/>
        <v>92.1</v>
      </c>
      <c r="N20" s="21"/>
      <c r="O20" s="7">
        <f>'[5]Production Summary'!$I21</f>
        <v>11257200.000000002</v>
      </c>
      <c r="P20" s="8">
        <f t="shared" si="29"/>
        <v>11.257200000000001</v>
      </c>
      <c r="Q20" s="10">
        <f t="shared" si="30"/>
        <v>34.559604</v>
      </c>
      <c r="R20" s="7">
        <f>'[5]Production Summary'!$C21</f>
        <v>11657000</v>
      </c>
      <c r="S20" s="8">
        <f t="shared" si="31"/>
        <v>11.657</v>
      </c>
      <c r="T20" s="10">
        <f t="shared" si="32"/>
        <v>35.786989999999996</v>
      </c>
      <c r="U20" s="7">
        <f>'[5]Production Summary'!$F21</f>
        <v>0</v>
      </c>
      <c r="V20" s="8">
        <f t="shared" si="33"/>
        <v>0</v>
      </c>
      <c r="W20" s="10">
        <f t="shared" si="34"/>
        <v>0</v>
      </c>
      <c r="X20" s="7">
        <f>'[5]Production Summary'!$AB21</f>
        <v>393799.99999999884</v>
      </c>
      <c r="Y20" s="8">
        <f t="shared" si="35"/>
        <v>0.39379999999999882</v>
      </c>
      <c r="Z20" s="10">
        <f t="shared" si="36"/>
        <v>1.2089659999999962</v>
      </c>
      <c r="AA20" s="15"/>
      <c r="AB20" s="7">
        <v>0</v>
      </c>
      <c r="AC20" s="8">
        <f t="shared" si="37"/>
        <v>0</v>
      </c>
      <c r="AD20" s="10">
        <f t="shared" si="38"/>
        <v>0</v>
      </c>
      <c r="AF20" s="7">
        <f t="shared" si="18"/>
        <v>43187199.999999382</v>
      </c>
      <c r="AG20" s="8">
        <f t="shared" si="19"/>
        <v>43.187199999999379</v>
      </c>
      <c r="AH20" s="8">
        <f t="shared" si="20"/>
        <v>132.58470399999808</v>
      </c>
    </row>
    <row r="21" spans="1:35" x14ac:dyDescent="0.2">
      <c r="A21" s="27">
        <v>43298</v>
      </c>
      <c r="B21" s="7">
        <f>'[5]Production Summary'!$K22</f>
        <v>27920000.000000075</v>
      </c>
      <c r="C21" s="8">
        <f t="shared" si="21"/>
        <v>27.920000000000073</v>
      </c>
      <c r="D21" s="10">
        <f t="shared" si="22"/>
        <v>85.714400000000225</v>
      </c>
      <c r="E21" s="7">
        <f>'[5]Production Summary'!$E22</f>
        <v>20000000</v>
      </c>
      <c r="F21" s="8">
        <f t="shared" si="23"/>
        <v>20</v>
      </c>
      <c r="G21" s="10">
        <f t="shared" si="24"/>
        <v>61.4</v>
      </c>
      <c r="H21" s="7">
        <f>'[5]Production Summary'!$G22</f>
        <v>13330000</v>
      </c>
      <c r="I21" s="8">
        <f t="shared" si="25"/>
        <v>13.33</v>
      </c>
      <c r="J21" s="10">
        <f t="shared" si="26"/>
        <v>40.923099999999998</v>
      </c>
      <c r="K21" s="7">
        <f>'[5]Production Summary'!$S22</f>
        <v>32099999.999998543</v>
      </c>
      <c r="L21" s="8">
        <f t="shared" si="27"/>
        <v>32.099999999998545</v>
      </c>
      <c r="M21" s="10">
        <f t="shared" si="28"/>
        <v>98.546999999995521</v>
      </c>
      <c r="N21" s="21"/>
      <c r="O21" s="7">
        <f>'[5]Production Summary'!$I22</f>
        <v>10427999.999999978</v>
      </c>
      <c r="P21" s="8">
        <f t="shared" si="29"/>
        <v>10.427999999999978</v>
      </c>
      <c r="Q21" s="10">
        <f t="shared" si="30"/>
        <v>32.013959999999933</v>
      </c>
      <c r="R21" s="7">
        <f>'[5]Production Summary'!$C22</f>
        <v>10886000</v>
      </c>
      <c r="S21" s="8">
        <f t="shared" si="31"/>
        <v>10.885999999999999</v>
      </c>
      <c r="T21" s="10">
        <f t="shared" si="32"/>
        <v>33.420019999999994</v>
      </c>
      <c r="U21" s="7">
        <f>'[5]Production Summary'!$F22</f>
        <v>0</v>
      </c>
      <c r="V21" s="8">
        <f t="shared" si="33"/>
        <v>0</v>
      </c>
      <c r="W21" s="10">
        <f t="shared" si="34"/>
        <v>0</v>
      </c>
      <c r="X21" s="7">
        <f>'[5]Production Summary'!$AB22</f>
        <v>451000.00000002183</v>
      </c>
      <c r="Y21" s="8">
        <f t="shared" si="35"/>
        <v>0.45100000000002183</v>
      </c>
      <c r="Z21" s="10">
        <f t="shared" si="36"/>
        <v>1.3845700000000669</v>
      </c>
      <c r="AA21" s="15"/>
      <c r="AB21" s="7">
        <v>0</v>
      </c>
      <c r="AC21" s="8">
        <f t="shared" si="37"/>
        <v>0</v>
      </c>
      <c r="AD21" s="10">
        <f t="shared" si="38"/>
        <v>0</v>
      </c>
      <c r="AF21" s="7">
        <f t="shared" si="18"/>
        <v>38348000.000000052</v>
      </c>
      <c r="AG21" s="8">
        <f t="shared" si="19"/>
        <v>38.348000000000049</v>
      </c>
      <c r="AH21" s="8">
        <f t="shared" si="20"/>
        <v>117.72836000000015</v>
      </c>
    </row>
    <row r="22" spans="1:35" x14ac:dyDescent="0.2">
      <c r="A22" s="27">
        <v>43299</v>
      </c>
      <c r="B22" s="7">
        <f>'[5]Production Summary'!$K23</f>
        <v>30909999.999999855</v>
      </c>
      <c r="C22" s="8">
        <f t="shared" si="21"/>
        <v>30.909999999999854</v>
      </c>
      <c r="D22" s="10">
        <f t="shared" si="22"/>
        <v>94.893699999999555</v>
      </c>
      <c r="E22" s="7">
        <f>'[5]Production Summary'!$E23</f>
        <v>20000000</v>
      </c>
      <c r="F22" s="8">
        <f t="shared" si="23"/>
        <v>20</v>
      </c>
      <c r="G22" s="10">
        <f t="shared" si="24"/>
        <v>61.4</v>
      </c>
      <c r="H22" s="7">
        <f>'[5]Production Summary'!$G23</f>
        <v>13280000</v>
      </c>
      <c r="I22" s="8">
        <f t="shared" si="25"/>
        <v>13.28</v>
      </c>
      <c r="J22" s="10">
        <f t="shared" si="26"/>
        <v>40.769599999999997</v>
      </c>
      <c r="K22" s="7">
        <f>'[5]Production Summary'!$S23</f>
        <v>31599999.999998543</v>
      </c>
      <c r="L22" s="8">
        <f t="shared" si="27"/>
        <v>31.599999999998545</v>
      </c>
      <c r="M22" s="10">
        <f t="shared" si="28"/>
        <v>97.011999999995524</v>
      </c>
      <c r="N22" s="21"/>
      <c r="O22" s="7">
        <f>'[5]Production Summary'!$I23</f>
        <v>11493400.000000011</v>
      </c>
      <c r="P22" s="8">
        <f t="shared" si="29"/>
        <v>11.493400000000012</v>
      </c>
      <c r="Q22" s="10">
        <f t="shared" si="30"/>
        <v>35.284738000000033</v>
      </c>
      <c r="R22" s="7">
        <f>'[5]Production Summary'!$C23</f>
        <v>11946000</v>
      </c>
      <c r="S22" s="8">
        <f t="shared" si="31"/>
        <v>11.946</v>
      </c>
      <c r="T22" s="10">
        <f t="shared" si="32"/>
        <v>36.674219999999998</v>
      </c>
      <c r="U22" s="7">
        <f>'[5]Production Summary'!$F23</f>
        <v>0</v>
      </c>
      <c r="V22" s="8">
        <f t="shared" si="33"/>
        <v>0</v>
      </c>
      <c r="W22" s="10">
        <f t="shared" si="34"/>
        <v>0</v>
      </c>
      <c r="X22" s="7">
        <f>'[5]Production Summary'!$AB23</f>
        <v>446599.99999998946</v>
      </c>
      <c r="Y22" s="8">
        <f t="shared" si="35"/>
        <v>0.44659999999998945</v>
      </c>
      <c r="Z22" s="10">
        <f t="shared" si="36"/>
        <v>1.3710619999999676</v>
      </c>
      <c r="AA22" s="15"/>
      <c r="AB22" s="7">
        <v>0</v>
      </c>
      <c r="AC22" s="8">
        <f t="shared" si="37"/>
        <v>0</v>
      </c>
      <c r="AD22" s="10">
        <f t="shared" si="38"/>
        <v>0</v>
      </c>
      <c r="AF22" s="7">
        <f t="shared" si="18"/>
        <v>42403399.999999866</v>
      </c>
      <c r="AG22" s="8">
        <f t="shared" si="19"/>
        <v>42.403399999999863</v>
      </c>
      <c r="AH22" s="8">
        <f t="shared" si="20"/>
        <v>130.17843799999957</v>
      </c>
      <c r="AI22" s="18"/>
    </row>
    <row r="23" spans="1:35" x14ac:dyDescent="0.2">
      <c r="A23" s="27">
        <v>43300</v>
      </c>
      <c r="B23" s="7">
        <f>'[5]Production Summary'!$K24</f>
        <v>30200000.000000726</v>
      </c>
      <c r="C23" s="8">
        <f t="shared" si="21"/>
        <v>30.200000000000728</v>
      </c>
      <c r="D23" s="10">
        <f t="shared" si="22"/>
        <v>92.71400000000223</v>
      </c>
      <c r="E23" s="7">
        <f>'[5]Production Summary'!$E24</f>
        <v>21000000</v>
      </c>
      <c r="F23" s="8">
        <f t="shared" si="23"/>
        <v>21</v>
      </c>
      <c r="G23" s="10">
        <f t="shared" si="24"/>
        <v>64.47</v>
      </c>
      <c r="H23" s="7">
        <f>'[5]Production Summary'!$G24</f>
        <v>12700000</v>
      </c>
      <c r="I23" s="8">
        <f t="shared" si="25"/>
        <v>12.7</v>
      </c>
      <c r="J23" s="10">
        <f t="shared" si="26"/>
        <v>38.988999999999997</v>
      </c>
      <c r="K23" s="7">
        <f>'[5]Production Summary'!$S24</f>
        <v>31000000</v>
      </c>
      <c r="L23" s="8">
        <f t="shared" si="27"/>
        <v>31</v>
      </c>
      <c r="M23" s="10">
        <f t="shared" si="28"/>
        <v>95.17</v>
      </c>
      <c r="N23" s="21"/>
      <c r="O23" s="7">
        <f>'[5]Production Summary'!$I24</f>
        <v>11570299.999999993</v>
      </c>
      <c r="P23" s="8">
        <f t="shared" si="29"/>
        <v>11.570299999999992</v>
      </c>
      <c r="Q23" s="10">
        <f t="shared" si="30"/>
        <v>35.520820999999977</v>
      </c>
      <c r="R23" s="7">
        <f>'[5]Production Summary'!$C24</f>
        <v>12027000</v>
      </c>
      <c r="S23" s="8">
        <f t="shared" si="31"/>
        <v>12.026999999999999</v>
      </c>
      <c r="T23" s="10">
        <f t="shared" si="32"/>
        <v>36.922889999999995</v>
      </c>
      <c r="U23" s="7">
        <f>'[5]Production Summary'!$F24</f>
        <v>0</v>
      </c>
      <c r="V23" s="8">
        <f t="shared" si="33"/>
        <v>0</v>
      </c>
      <c r="W23" s="10">
        <f t="shared" si="34"/>
        <v>0</v>
      </c>
      <c r="X23" s="7">
        <f>'[5]Production Summary'!$AB24</f>
        <v>449700.0000000071</v>
      </c>
      <c r="Y23" s="8">
        <f t="shared" si="35"/>
        <v>0.44970000000000709</v>
      </c>
      <c r="Z23" s="10">
        <f t="shared" si="36"/>
        <v>1.3805790000000218</v>
      </c>
      <c r="AA23" s="15"/>
      <c r="AB23" s="7">
        <v>0</v>
      </c>
      <c r="AC23" s="8">
        <f t="shared" si="37"/>
        <v>0</v>
      </c>
      <c r="AD23" s="10">
        <f t="shared" si="38"/>
        <v>0</v>
      </c>
      <c r="AF23" s="7">
        <f t="shared" si="18"/>
        <v>41770300.000000715</v>
      </c>
      <c r="AG23" s="8">
        <f t="shared" si="19"/>
        <v>41.770300000000717</v>
      </c>
      <c r="AH23" s="8">
        <f t="shared" si="20"/>
        <v>128.2348210000022</v>
      </c>
    </row>
    <row r="24" spans="1:35" x14ac:dyDescent="0.2">
      <c r="A24" s="27">
        <v>43301</v>
      </c>
      <c r="B24" s="7">
        <f>'[5]Production Summary'!$K25</f>
        <v>31579999.999999925</v>
      </c>
      <c r="C24" s="8">
        <f t="shared" si="21"/>
        <v>31.579999999999927</v>
      </c>
      <c r="D24" s="10">
        <f t="shared" si="22"/>
        <v>96.950599999999767</v>
      </c>
      <c r="E24" s="7">
        <f>'[5]Production Summary'!$E25</f>
        <v>20000000</v>
      </c>
      <c r="F24" s="8">
        <f t="shared" si="23"/>
        <v>20</v>
      </c>
      <c r="G24" s="10">
        <f t="shared" si="24"/>
        <v>61.4</v>
      </c>
      <c r="H24" s="7">
        <f>'[5]Production Summary'!$G25</f>
        <v>14140000</v>
      </c>
      <c r="I24" s="8">
        <f t="shared" si="25"/>
        <v>14.14</v>
      </c>
      <c r="J24" s="10">
        <f t="shared" si="26"/>
        <v>43.409799999999997</v>
      </c>
      <c r="K24" s="7">
        <f>'[5]Production Summary'!$S25</f>
        <v>33099999.999998543</v>
      </c>
      <c r="L24" s="8">
        <f t="shared" si="27"/>
        <v>33.099999999998545</v>
      </c>
      <c r="M24" s="10">
        <f t="shared" si="28"/>
        <v>101.61699999999553</v>
      </c>
      <c r="N24" s="21"/>
      <c r="O24" s="7">
        <f>'[5]Production Summary'!$I25</f>
        <v>10667300.000000019</v>
      </c>
      <c r="P24" s="8">
        <f t="shared" si="29"/>
        <v>10.667300000000019</v>
      </c>
      <c r="Q24" s="10">
        <f t="shared" si="30"/>
        <v>32.748611000000054</v>
      </c>
      <c r="R24" s="7">
        <f>'[5]Production Summary'!$C25</f>
        <v>11089000</v>
      </c>
      <c r="S24" s="8">
        <f t="shared" si="31"/>
        <v>11.089</v>
      </c>
      <c r="T24" s="10">
        <f t="shared" si="32"/>
        <v>34.043230000000001</v>
      </c>
      <c r="U24" s="7">
        <f>'[5]Production Summary'!$F25</f>
        <v>0</v>
      </c>
      <c r="V24" s="8">
        <f t="shared" si="33"/>
        <v>0</v>
      </c>
      <c r="W24" s="10">
        <f t="shared" si="34"/>
        <v>0</v>
      </c>
      <c r="X24" s="7">
        <f>'[5]Production Summary'!$AB25</f>
        <v>414699.99999998207</v>
      </c>
      <c r="Y24" s="8">
        <f t="shared" si="35"/>
        <v>0.41469999999998208</v>
      </c>
      <c r="Z24" s="10">
        <f t="shared" si="36"/>
        <v>1.2731289999999449</v>
      </c>
      <c r="AA24" s="15"/>
      <c r="AB24" s="7">
        <v>0</v>
      </c>
      <c r="AC24" s="8">
        <f t="shared" si="37"/>
        <v>0</v>
      </c>
      <c r="AD24" s="10">
        <f t="shared" si="38"/>
        <v>0</v>
      </c>
      <c r="AF24" s="7">
        <f>B24+O24+AB24</f>
        <v>42247299.99999994</v>
      </c>
      <c r="AG24" s="8">
        <f>C24+P24+AC24</f>
        <v>42.247299999999946</v>
      </c>
      <c r="AH24" s="8">
        <f>D24+Q24+AD24</f>
        <v>129.69921099999982</v>
      </c>
    </row>
    <row r="25" spans="1:35" x14ac:dyDescent="0.2">
      <c r="A25" s="27">
        <v>43302</v>
      </c>
      <c r="B25" s="7">
        <f>'[5]Production Summary'!$K26</f>
        <v>30869999.999999892</v>
      </c>
      <c r="C25" s="8">
        <f t="shared" si="21"/>
        <v>30.869999999999891</v>
      </c>
      <c r="D25" s="10">
        <f t="shared" si="22"/>
        <v>94.770899999999656</v>
      </c>
      <c r="E25" s="7">
        <f>'[5]Production Summary'!$E26</f>
        <v>20000000</v>
      </c>
      <c r="F25" s="8">
        <f t="shared" si="23"/>
        <v>20</v>
      </c>
      <c r="G25" s="10">
        <f t="shared" si="24"/>
        <v>61.4</v>
      </c>
      <c r="H25" s="7">
        <f>'[5]Production Summary'!$G26</f>
        <v>13650000</v>
      </c>
      <c r="I25" s="8">
        <f t="shared" si="25"/>
        <v>13.65</v>
      </c>
      <c r="J25" s="10">
        <f t="shared" si="26"/>
        <v>41.905499999999996</v>
      </c>
      <c r="K25" s="7">
        <f>'[5]Production Summary'!$S26</f>
        <v>31600000.000005819</v>
      </c>
      <c r="L25" s="8">
        <f t="shared" si="27"/>
        <v>31.600000000005817</v>
      </c>
      <c r="M25" s="10">
        <f t="shared" si="28"/>
        <v>97.012000000017849</v>
      </c>
      <c r="N25" s="21"/>
      <c r="O25" s="7">
        <f>'[5]Production Summary'!$I26</f>
        <v>12009099.999999991</v>
      </c>
      <c r="P25" s="8">
        <f t="shared" si="29"/>
        <v>12.009099999999991</v>
      </c>
      <c r="Q25" s="10">
        <f t="shared" si="30"/>
        <v>36.867936999999969</v>
      </c>
      <c r="R25" s="7">
        <f>'[5]Production Summary'!$C26</f>
        <v>12488000</v>
      </c>
      <c r="S25" s="8">
        <f t="shared" si="31"/>
        <v>12.488</v>
      </c>
      <c r="T25" s="10">
        <f t="shared" si="32"/>
        <v>38.338159999999995</v>
      </c>
      <c r="U25" s="7">
        <f>'[5]Production Summary'!$F26</f>
        <v>2000</v>
      </c>
      <c r="V25" s="8">
        <f t="shared" si="33"/>
        <v>2E-3</v>
      </c>
      <c r="W25" s="10">
        <f t="shared" si="34"/>
        <v>6.1399999999999996E-3</v>
      </c>
      <c r="X25" s="7">
        <f>'[5]Production Summary'!$AB26</f>
        <v>472900.0000000099</v>
      </c>
      <c r="Y25" s="8">
        <f t="shared" si="35"/>
        <v>0.47290000000000987</v>
      </c>
      <c r="Z25" s="10">
        <f t="shared" si="36"/>
        <v>1.4518030000000302</v>
      </c>
      <c r="AA25" s="15"/>
      <c r="AB25" s="7">
        <v>0</v>
      </c>
      <c r="AC25" s="8">
        <f t="shared" si="37"/>
        <v>0</v>
      </c>
      <c r="AD25" s="10">
        <f t="shared" si="38"/>
        <v>0</v>
      </c>
      <c r="AF25" s="7">
        <f t="shared" ref="AF25:AF27" si="39">B25+O25+AB25</f>
        <v>42879099.999999881</v>
      </c>
      <c r="AG25" s="8">
        <f t="shared" ref="AG25:AG27" si="40">C25+P25+AC25</f>
        <v>42.87909999999988</v>
      </c>
      <c r="AH25" s="8">
        <f t="shared" ref="AH25:AH27" si="41">D25+Q25+AD25</f>
        <v>131.63883699999963</v>
      </c>
    </row>
    <row r="26" spans="1:35" x14ac:dyDescent="0.2">
      <c r="A26" s="27">
        <v>43303</v>
      </c>
      <c r="B26" s="7">
        <f>'[5]Production Summary'!$K27</f>
        <v>30719999.999999344</v>
      </c>
      <c r="C26" s="8">
        <f t="shared" si="21"/>
        <v>30.719999999999345</v>
      </c>
      <c r="D26" s="10">
        <f t="shared" si="22"/>
        <v>94.310399999997983</v>
      </c>
      <c r="E26" s="7">
        <f>'[5]Production Summary'!$E27</f>
        <v>20000000</v>
      </c>
      <c r="F26" s="8">
        <f t="shared" si="23"/>
        <v>20</v>
      </c>
      <c r="G26" s="10">
        <f t="shared" si="24"/>
        <v>61.4</v>
      </c>
      <c r="H26" s="7">
        <f>'[5]Production Summary'!$G27</f>
        <v>13150000</v>
      </c>
      <c r="I26" s="8">
        <f t="shared" si="25"/>
        <v>13.15</v>
      </c>
      <c r="J26" s="10">
        <f t="shared" si="26"/>
        <v>40.3705</v>
      </c>
      <c r="K26" s="7">
        <f>'[5]Production Summary'!$S27</f>
        <v>31599999.999998543</v>
      </c>
      <c r="L26" s="8">
        <f t="shared" si="27"/>
        <v>31.599999999998545</v>
      </c>
      <c r="M26" s="10">
        <f t="shared" si="28"/>
        <v>97.011999999995524</v>
      </c>
      <c r="N26" s="21"/>
      <c r="O26" s="7">
        <f>'[5]Production Summary'!$I27</f>
        <v>11185199.999999994</v>
      </c>
      <c r="P26" s="8">
        <f t="shared" si="29"/>
        <v>11.185199999999995</v>
      </c>
      <c r="Q26" s="10">
        <f t="shared" si="30"/>
        <v>34.338563999999984</v>
      </c>
      <c r="R26" s="7">
        <f>'[5]Production Summary'!$C27</f>
        <v>11756000</v>
      </c>
      <c r="S26" s="8">
        <f t="shared" si="31"/>
        <v>11.756</v>
      </c>
      <c r="T26" s="10">
        <f t="shared" si="32"/>
        <v>36.090919999999997</v>
      </c>
      <c r="U26" s="7">
        <f>'[5]Production Summary'!$F27</f>
        <v>0</v>
      </c>
      <c r="V26" s="8">
        <f t="shared" si="33"/>
        <v>0</v>
      </c>
      <c r="W26" s="10">
        <f t="shared" si="34"/>
        <v>0</v>
      </c>
      <c r="X26" s="7">
        <f>'[5]Production Summary'!$AB27</f>
        <v>561800.00000000524</v>
      </c>
      <c r="Y26" s="8">
        <f t="shared" si="35"/>
        <v>0.56180000000000518</v>
      </c>
      <c r="Z26" s="10">
        <f t="shared" si="36"/>
        <v>1.7247260000000157</v>
      </c>
      <c r="AA26" s="15"/>
      <c r="AB26" s="7">
        <v>0</v>
      </c>
      <c r="AC26" s="8">
        <f t="shared" si="37"/>
        <v>0</v>
      </c>
      <c r="AD26" s="10">
        <f t="shared" si="38"/>
        <v>0</v>
      </c>
      <c r="AF26" s="7">
        <f t="shared" si="39"/>
        <v>41905199.999999337</v>
      </c>
      <c r="AG26" s="8">
        <f t="shared" si="40"/>
        <v>41.90519999999934</v>
      </c>
      <c r="AH26" s="8">
        <f t="shared" si="41"/>
        <v>128.64896399999796</v>
      </c>
    </row>
    <row r="27" spans="1:35" x14ac:dyDescent="0.2">
      <c r="A27" s="27">
        <v>43304</v>
      </c>
      <c r="B27" s="7">
        <f>'[5]Production Summary'!$K28</f>
        <v>29280000.000000656</v>
      </c>
      <c r="C27" s="8">
        <f t="shared" si="21"/>
        <v>29.280000000000655</v>
      </c>
      <c r="D27" s="10">
        <f t="shared" si="22"/>
        <v>89.889600000002005</v>
      </c>
      <c r="E27" s="7">
        <f>'[5]Production Summary'!$E28</f>
        <v>20000000</v>
      </c>
      <c r="F27" s="8">
        <f t="shared" si="23"/>
        <v>20</v>
      </c>
      <c r="G27" s="10">
        <f t="shared" si="24"/>
        <v>61.4</v>
      </c>
      <c r="H27" s="7">
        <f>'[5]Production Summary'!$G28</f>
        <v>12770000</v>
      </c>
      <c r="I27" s="8">
        <f t="shared" si="25"/>
        <v>12.77</v>
      </c>
      <c r="J27" s="10">
        <f t="shared" si="26"/>
        <v>39.203899999999997</v>
      </c>
      <c r="K27" s="7">
        <f>'[5]Production Summary'!$S28</f>
        <v>30699999.999997091</v>
      </c>
      <c r="L27" s="8">
        <f t="shared" si="27"/>
        <v>30.69999999999709</v>
      </c>
      <c r="M27" s="10">
        <f t="shared" si="28"/>
        <v>94.248999999991057</v>
      </c>
      <c r="N27" s="21"/>
      <c r="O27" s="7">
        <f>'[5]Production Summary'!$I28</f>
        <v>10362399.999999994</v>
      </c>
      <c r="P27" s="8">
        <f t="shared" si="29"/>
        <v>10.362399999999994</v>
      </c>
      <c r="Q27" s="10">
        <f t="shared" si="30"/>
        <v>31.812567999999981</v>
      </c>
      <c r="R27" s="7">
        <f>'[5]Production Summary'!$C28</f>
        <v>10850000</v>
      </c>
      <c r="S27" s="8">
        <f t="shared" si="31"/>
        <v>10.85</v>
      </c>
      <c r="T27" s="10">
        <f t="shared" si="32"/>
        <v>33.3095</v>
      </c>
      <c r="U27" s="7">
        <f>'[5]Production Summary'!$F28</f>
        <v>1249000</v>
      </c>
      <c r="V27" s="8">
        <f t="shared" si="33"/>
        <v>1.2490000000000001</v>
      </c>
      <c r="W27" s="10">
        <f t="shared" si="34"/>
        <v>3.8344300000000002</v>
      </c>
      <c r="X27" s="7">
        <f>'[5]Production Summary'!$AB28</f>
        <v>479600.00000000489</v>
      </c>
      <c r="Y27" s="8">
        <f t="shared" si="35"/>
        <v>0.47960000000000491</v>
      </c>
      <c r="Z27" s="10">
        <f t="shared" si="36"/>
        <v>1.4723720000000149</v>
      </c>
      <c r="AA27" s="15"/>
      <c r="AB27" s="7">
        <v>0</v>
      </c>
      <c r="AC27" s="8">
        <f t="shared" si="37"/>
        <v>0</v>
      </c>
      <c r="AD27" s="10">
        <f t="shared" si="38"/>
        <v>0</v>
      </c>
      <c r="AF27" s="7">
        <f t="shared" si="39"/>
        <v>39642400.000000648</v>
      </c>
      <c r="AG27" s="8">
        <f t="shared" si="40"/>
        <v>39.642400000000649</v>
      </c>
      <c r="AH27" s="8">
        <f t="shared" si="41"/>
        <v>121.70216800000199</v>
      </c>
    </row>
    <row r="28" spans="1:35" x14ac:dyDescent="0.2">
      <c r="A28" s="27">
        <v>43305</v>
      </c>
      <c r="B28" s="7">
        <f>'[5]Production Summary'!$K29</f>
        <v>32279999.999999747</v>
      </c>
      <c r="C28" s="8">
        <f t="shared" si="21"/>
        <v>32.279999999999745</v>
      </c>
      <c r="D28" s="10">
        <f t="shared" si="22"/>
        <v>99.099599999999214</v>
      </c>
      <c r="E28" s="7">
        <f>'[5]Production Summary'!$E29</f>
        <v>21000000</v>
      </c>
      <c r="F28" s="8">
        <f t="shared" si="23"/>
        <v>21</v>
      </c>
      <c r="G28" s="10">
        <f t="shared" si="24"/>
        <v>64.47</v>
      </c>
      <c r="H28" s="7">
        <f>'[5]Production Summary'!$G29</f>
        <v>13930000</v>
      </c>
      <c r="I28" s="8">
        <f t="shared" si="25"/>
        <v>13.93</v>
      </c>
      <c r="J28" s="10">
        <f t="shared" si="26"/>
        <v>42.765099999999997</v>
      </c>
      <c r="K28" s="7">
        <f>'[5]Production Summary'!$S29</f>
        <v>32900000.000001457</v>
      </c>
      <c r="L28" s="8">
        <f t="shared" si="27"/>
        <v>32.900000000001455</v>
      </c>
      <c r="M28" s="10">
        <f t="shared" si="28"/>
        <v>101.00300000000446</v>
      </c>
      <c r="N28" s="21"/>
      <c r="O28" s="7">
        <f>'[5]Production Summary'!$I29</f>
        <v>10993000.000000015</v>
      </c>
      <c r="P28" s="8">
        <f t="shared" si="29"/>
        <v>10.993000000000015</v>
      </c>
      <c r="Q28" s="10">
        <f t="shared" si="30"/>
        <v>33.748510000000046</v>
      </c>
      <c r="R28" s="7">
        <f>'[5]Production Summary'!$C29</f>
        <v>11338000</v>
      </c>
      <c r="S28" s="8">
        <f t="shared" si="31"/>
        <v>11.337999999999999</v>
      </c>
      <c r="T28" s="10">
        <f t="shared" si="32"/>
        <v>34.807659999999998</v>
      </c>
      <c r="U28" s="7">
        <f>'[5]Production Summary'!$F29</f>
        <v>0</v>
      </c>
      <c r="V28" s="8">
        <f t="shared" si="33"/>
        <v>0</v>
      </c>
      <c r="W28" s="10">
        <f t="shared" si="34"/>
        <v>0</v>
      </c>
      <c r="X28" s="7">
        <f>'[5]Production Summary'!$AB29</f>
        <v>341999.99999998452</v>
      </c>
      <c r="Y28" s="8">
        <f t="shared" si="35"/>
        <v>0.34199999999998454</v>
      </c>
      <c r="Z28" s="10">
        <f t="shared" si="36"/>
        <v>1.0499399999999526</v>
      </c>
      <c r="AA28" s="15"/>
      <c r="AB28" s="7">
        <v>0</v>
      </c>
      <c r="AC28" s="8">
        <f t="shared" si="37"/>
        <v>0</v>
      </c>
      <c r="AD28" s="10">
        <f t="shared" si="38"/>
        <v>0</v>
      </c>
      <c r="AF28" s="7">
        <f t="shared" si="18"/>
        <v>43272999.999999762</v>
      </c>
      <c r="AG28" s="8">
        <f t="shared" si="19"/>
        <v>43.272999999999762</v>
      </c>
      <c r="AH28" s="8">
        <f t="shared" si="20"/>
        <v>132.84810999999925</v>
      </c>
    </row>
    <row r="29" spans="1:35" x14ac:dyDescent="0.2">
      <c r="A29" s="27">
        <v>43306</v>
      </c>
      <c r="B29" s="7">
        <f>'[5]Production Summary'!$K30</f>
        <v>27220000.000000253</v>
      </c>
      <c r="C29" s="8">
        <f t="shared" si="21"/>
        <v>27.220000000000255</v>
      </c>
      <c r="D29" s="10">
        <f t="shared" si="22"/>
        <v>83.565400000000778</v>
      </c>
      <c r="E29" s="7">
        <f>'[5]Production Summary'!$E30</f>
        <v>18000000</v>
      </c>
      <c r="F29" s="8">
        <f t="shared" si="23"/>
        <v>18</v>
      </c>
      <c r="G29" s="10">
        <f t="shared" si="24"/>
        <v>55.26</v>
      </c>
      <c r="H29" s="7">
        <f>'[5]Production Summary'!$G30</f>
        <v>11750000</v>
      </c>
      <c r="I29" s="8">
        <f t="shared" si="25"/>
        <v>11.75</v>
      </c>
      <c r="J29" s="10">
        <f t="shared" si="26"/>
        <v>36.072499999999998</v>
      </c>
      <c r="K29" s="7">
        <f>'[5]Production Summary'!$S30</f>
        <v>28000000</v>
      </c>
      <c r="L29" s="8">
        <f t="shared" si="27"/>
        <v>28</v>
      </c>
      <c r="M29" s="10">
        <f t="shared" si="28"/>
        <v>85.96</v>
      </c>
      <c r="N29" s="21"/>
      <c r="O29" s="7">
        <f>'[5]Production Summary'!$I30</f>
        <v>8555399.9999999981</v>
      </c>
      <c r="P29" s="8">
        <f t="shared" si="29"/>
        <v>8.5553999999999988</v>
      </c>
      <c r="Q29" s="10">
        <f t="shared" si="30"/>
        <v>26.265077999999995</v>
      </c>
      <c r="R29" s="7">
        <f>'[5]Production Summary'!$C30</f>
        <v>8982000</v>
      </c>
      <c r="S29" s="8">
        <f t="shared" si="31"/>
        <v>8.9819999999999993</v>
      </c>
      <c r="T29" s="10">
        <f t="shared" si="32"/>
        <v>27.574739999999995</v>
      </c>
      <c r="U29" s="7">
        <f>'[5]Production Summary'!$F30</f>
        <v>0</v>
      </c>
      <c r="V29" s="8">
        <f t="shared" si="33"/>
        <v>0</v>
      </c>
      <c r="W29" s="10">
        <f t="shared" si="34"/>
        <v>0</v>
      </c>
      <c r="X29" s="7">
        <f>'[5]Production Summary'!$AB30</f>
        <v>419600.00000000262</v>
      </c>
      <c r="Y29" s="8">
        <f t="shared" si="35"/>
        <v>0.41960000000000264</v>
      </c>
      <c r="Z29" s="10">
        <f t="shared" si="36"/>
        <v>1.2881720000000081</v>
      </c>
      <c r="AA29" s="15"/>
      <c r="AB29" s="7">
        <v>0</v>
      </c>
      <c r="AC29" s="8">
        <f t="shared" si="37"/>
        <v>0</v>
      </c>
      <c r="AD29" s="10">
        <f t="shared" si="38"/>
        <v>0</v>
      </c>
      <c r="AF29" s="7">
        <f t="shared" si="18"/>
        <v>35775400.000000253</v>
      </c>
      <c r="AG29" s="8">
        <f t="shared" si="19"/>
        <v>35.775400000000253</v>
      </c>
      <c r="AH29" s="8">
        <f t="shared" si="20"/>
        <v>109.83047800000077</v>
      </c>
    </row>
    <row r="30" spans="1:35" x14ac:dyDescent="0.2">
      <c r="A30" s="27">
        <v>43307</v>
      </c>
      <c r="B30" s="7">
        <f>'[5]Production Summary'!$K31</f>
        <v>26679999.999999382</v>
      </c>
      <c r="C30" s="8">
        <f t="shared" si="21"/>
        <v>26.679999999999382</v>
      </c>
      <c r="D30" s="10">
        <f t="shared" si="22"/>
        <v>81.907599999998098</v>
      </c>
      <c r="E30" s="7">
        <f>'[5]Production Summary'!$E31</f>
        <v>17000000</v>
      </c>
      <c r="F30" s="8">
        <f t="shared" si="23"/>
        <v>17</v>
      </c>
      <c r="G30" s="10">
        <f t="shared" si="24"/>
        <v>52.19</v>
      </c>
      <c r="H30" s="7">
        <f>'[5]Production Summary'!$G31</f>
        <v>11620000</v>
      </c>
      <c r="I30" s="8">
        <f t="shared" si="25"/>
        <v>11.62</v>
      </c>
      <c r="J30" s="10">
        <f t="shared" si="26"/>
        <v>35.673399999999994</v>
      </c>
      <c r="K30" s="7">
        <f>'[5]Production Summary'!$S31</f>
        <v>27699999.999997091</v>
      </c>
      <c r="L30" s="8">
        <f t="shared" si="27"/>
        <v>27.69999999999709</v>
      </c>
      <c r="M30" s="10">
        <f t="shared" si="28"/>
        <v>85.038999999991063</v>
      </c>
      <c r="N30" s="21"/>
      <c r="O30" s="7">
        <f>'[5]Production Summary'!$I31</f>
        <v>10120000.000000004</v>
      </c>
      <c r="P30" s="8">
        <f t="shared" si="29"/>
        <v>10.120000000000005</v>
      </c>
      <c r="Q30" s="10">
        <f t="shared" si="30"/>
        <v>31.068400000000011</v>
      </c>
      <c r="R30" s="7">
        <f>'[5]Production Summary'!$C31</f>
        <v>10543000</v>
      </c>
      <c r="S30" s="8">
        <f t="shared" si="31"/>
        <v>10.542999999999999</v>
      </c>
      <c r="T30" s="10">
        <f t="shared" si="32"/>
        <v>32.367009999999993</v>
      </c>
      <c r="U30" s="7">
        <f>'[5]Production Summary'!$F31</f>
        <v>0</v>
      </c>
      <c r="V30" s="8">
        <f t="shared" si="33"/>
        <v>0</v>
      </c>
      <c r="W30" s="10">
        <f t="shared" si="34"/>
        <v>0</v>
      </c>
      <c r="X30" s="7">
        <f>'[5]Production Summary'!$AB31</f>
        <v>415999.9999999968</v>
      </c>
      <c r="Y30" s="8">
        <f t="shared" si="35"/>
        <v>0.41599999999999682</v>
      </c>
      <c r="Z30" s="10">
        <f t="shared" si="36"/>
        <v>1.2771199999999903</v>
      </c>
      <c r="AA30" s="15"/>
      <c r="AB30" s="7">
        <v>0</v>
      </c>
      <c r="AC30" s="8">
        <f t="shared" si="37"/>
        <v>0</v>
      </c>
      <c r="AD30" s="10">
        <f t="shared" si="38"/>
        <v>0</v>
      </c>
      <c r="AF30" s="7">
        <f t="shared" si="18"/>
        <v>36799999.999999389</v>
      </c>
      <c r="AG30" s="8">
        <f t="shared" si="19"/>
        <v>36.799999999999386</v>
      </c>
      <c r="AH30" s="8">
        <f t="shared" si="20"/>
        <v>112.97599999999811</v>
      </c>
    </row>
    <row r="31" spans="1:35" x14ac:dyDescent="0.2">
      <c r="A31" s="27">
        <v>43308</v>
      </c>
      <c r="B31" s="7">
        <f>'[5]Production Summary'!$K32</f>
        <v>30380000.000000108</v>
      </c>
      <c r="C31" s="8">
        <f t="shared" si="21"/>
        <v>30.380000000000109</v>
      </c>
      <c r="D31" s="10">
        <f t="shared" si="22"/>
        <v>93.266600000000324</v>
      </c>
      <c r="E31" s="7">
        <f>'[5]Production Summary'!$E32</f>
        <v>20000000</v>
      </c>
      <c r="F31" s="8">
        <f t="shared" si="23"/>
        <v>20</v>
      </c>
      <c r="G31" s="10">
        <f t="shared" si="24"/>
        <v>61.4</v>
      </c>
      <c r="H31" s="7">
        <f>'[5]Production Summary'!$G32</f>
        <v>12880000</v>
      </c>
      <c r="I31" s="8">
        <f t="shared" si="25"/>
        <v>12.88</v>
      </c>
      <c r="J31" s="10">
        <f t="shared" si="26"/>
        <v>39.541600000000003</v>
      </c>
      <c r="K31" s="7">
        <f>'[5]Production Summary'!$S32</f>
        <v>31100000.000005819</v>
      </c>
      <c r="L31" s="8">
        <f t="shared" si="27"/>
        <v>31.100000000005817</v>
      </c>
      <c r="M31" s="10">
        <f t="shared" si="28"/>
        <v>95.477000000017853</v>
      </c>
      <c r="N31" s="21"/>
      <c r="O31" s="7">
        <f>'[5]Production Summary'!$I32</f>
        <v>10405999.999999993</v>
      </c>
      <c r="P31" s="8">
        <f t="shared" si="29"/>
        <v>10.405999999999992</v>
      </c>
      <c r="Q31" s="10">
        <f t="shared" si="30"/>
        <v>31.946419999999971</v>
      </c>
      <c r="R31" s="7">
        <f>'[5]Production Summary'!$C32</f>
        <v>10860000</v>
      </c>
      <c r="S31" s="8">
        <f t="shared" si="31"/>
        <v>10.86</v>
      </c>
      <c r="T31" s="10">
        <f t="shared" si="32"/>
        <v>33.340199999999996</v>
      </c>
      <c r="U31" s="7">
        <f>'[5]Production Summary'!$F32</f>
        <v>0</v>
      </c>
      <c r="V31" s="8">
        <f t="shared" si="33"/>
        <v>0</v>
      </c>
      <c r="W31" s="10">
        <f t="shared" si="34"/>
        <v>0</v>
      </c>
      <c r="X31" s="7">
        <f>'[5]Production Summary'!$AB32</f>
        <v>448000.00000000751</v>
      </c>
      <c r="Y31" s="8">
        <f t="shared" si="35"/>
        <v>0.4480000000000075</v>
      </c>
      <c r="Z31" s="10">
        <f t="shared" si="36"/>
        <v>1.375360000000023</v>
      </c>
      <c r="AA31" s="15"/>
      <c r="AB31" s="7">
        <v>0</v>
      </c>
      <c r="AC31" s="8">
        <f t="shared" si="37"/>
        <v>0</v>
      </c>
      <c r="AD31" s="10">
        <f t="shared" si="38"/>
        <v>0</v>
      </c>
      <c r="AF31" s="7">
        <f t="shared" si="18"/>
        <v>40786000.000000104</v>
      </c>
      <c r="AG31" s="8">
        <f t="shared" si="19"/>
        <v>40.786000000000101</v>
      </c>
      <c r="AH31" s="8">
        <f t="shared" si="20"/>
        <v>125.2130200000003</v>
      </c>
    </row>
    <row r="32" spans="1:35" x14ac:dyDescent="0.2">
      <c r="A32" s="27">
        <v>43309</v>
      </c>
      <c r="B32" s="7">
        <f>'[5]Production Summary'!$K33</f>
        <v>28550000.000000183</v>
      </c>
      <c r="C32" s="8">
        <f t="shared" si="21"/>
        <v>28.550000000000182</v>
      </c>
      <c r="D32" s="10">
        <f t="shared" si="22"/>
        <v>87.648500000000553</v>
      </c>
      <c r="E32" s="7">
        <f>'[5]Production Summary'!$E33</f>
        <v>19000000</v>
      </c>
      <c r="F32" s="8">
        <f t="shared" si="23"/>
        <v>19</v>
      </c>
      <c r="G32" s="10">
        <f t="shared" si="24"/>
        <v>58.33</v>
      </c>
      <c r="H32" s="7">
        <f>'[5]Production Summary'!$G33</f>
        <v>12370000</v>
      </c>
      <c r="I32" s="8">
        <f t="shared" si="25"/>
        <v>12.37</v>
      </c>
      <c r="J32" s="10">
        <f t="shared" si="26"/>
        <v>37.975899999999996</v>
      </c>
      <c r="K32" s="7">
        <f>'[5]Production Summary'!$S33</f>
        <v>30000000</v>
      </c>
      <c r="L32" s="8">
        <f t="shared" si="27"/>
        <v>30</v>
      </c>
      <c r="M32" s="10">
        <f t="shared" si="28"/>
        <v>92.1</v>
      </c>
      <c r="N32" s="21"/>
      <c r="O32" s="7">
        <f>'[5]Production Summary'!$I33</f>
        <v>10715799.999999989</v>
      </c>
      <c r="P32" s="8">
        <f t="shared" si="29"/>
        <v>10.715799999999989</v>
      </c>
      <c r="Q32" s="10">
        <f t="shared" si="30"/>
        <v>32.897505999999964</v>
      </c>
      <c r="R32" s="7">
        <f>'[5]Production Summary'!$C33</f>
        <v>11081000</v>
      </c>
      <c r="S32" s="8">
        <f t="shared" si="31"/>
        <v>11.081</v>
      </c>
      <c r="T32" s="10">
        <f t="shared" si="32"/>
        <v>34.01867</v>
      </c>
      <c r="U32" s="7">
        <f>'[5]Production Summary'!$F33</f>
        <v>0</v>
      </c>
      <c r="V32" s="8">
        <f t="shared" si="33"/>
        <v>0</v>
      </c>
      <c r="W32" s="10">
        <f t="shared" si="34"/>
        <v>0</v>
      </c>
      <c r="X32" s="7">
        <f>'[5]Production Summary'!$AB33</f>
        <v>358200.00000001071</v>
      </c>
      <c r="Y32" s="8">
        <f t="shared" si="35"/>
        <v>0.35820000000001073</v>
      </c>
      <c r="Z32" s="10">
        <f t="shared" si="36"/>
        <v>1.0996740000000329</v>
      </c>
      <c r="AA32" s="15"/>
      <c r="AB32" s="7">
        <v>0</v>
      </c>
      <c r="AC32" s="8">
        <f t="shared" si="37"/>
        <v>0</v>
      </c>
      <c r="AD32" s="10">
        <f t="shared" si="38"/>
        <v>0</v>
      </c>
      <c r="AF32" s="7">
        <f t="shared" si="18"/>
        <v>39265800.000000171</v>
      </c>
      <c r="AG32" s="8">
        <f t="shared" si="19"/>
        <v>39.265800000000169</v>
      </c>
      <c r="AH32" s="8">
        <f t="shared" si="20"/>
        <v>120.54600600000052</v>
      </c>
    </row>
    <row r="33" spans="1:34" x14ac:dyDescent="0.2">
      <c r="A33" s="27">
        <v>43310</v>
      </c>
      <c r="B33" s="7">
        <f>'[5]Production Summary'!$K34</f>
        <v>28420000.000000075</v>
      </c>
      <c r="C33" s="8">
        <f t="shared" si="21"/>
        <v>28.420000000000073</v>
      </c>
      <c r="D33" s="10">
        <f t="shared" si="22"/>
        <v>87.249400000000222</v>
      </c>
      <c r="E33" s="7">
        <f>'[5]Production Summary'!$E34</f>
        <v>18000000</v>
      </c>
      <c r="F33" s="8">
        <f t="shared" si="23"/>
        <v>18</v>
      </c>
      <c r="G33" s="10">
        <f t="shared" si="24"/>
        <v>55.26</v>
      </c>
      <c r="H33" s="7">
        <f>'[5]Production Summary'!$G34</f>
        <v>12080000</v>
      </c>
      <c r="I33" s="8">
        <f t="shared" si="25"/>
        <v>12.08</v>
      </c>
      <c r="J33" s="10">
        <f t="shared" si="26"/>
        <v>37.085599999999999</v>
      </c>
      <c r="K33" s="7">
        <f>'[5]Production Summary'!$S34</f>
        <v>28799999.999995634</v>
      </c>
      <c r="L33" s="8">
        <f t="shared" si="27"/>
        <v>28.799999999995634</v>
      </c>
      <c r="M33" s="10">
        <f t="shared" si="28"/>
        <v>88.415999999986596</v>
      </c>
      <c r="N33" s="21"/>
      <c r="O33" s="7">
        <f>'[5]Production Summary'!$I34</f>
        <v>10467300.000000013</v>
      </c>
      <c r="P33" s="8">
        <f t="shared" si="29"/>
        <v>10.467300000000012</v>
      </c>
      <c r="Q33" s="10">
        <f t="shared" si="30"/>
        <v>32.134611000000035</v>
      </c>
      <c r="R33" s="7">
        <f>'[5]Production Summary'!$C34</f>
        <v>10909000</v>
      </c>
      <c r="S33" s="8">
        <f t="shared" si="31"/>
        <v>10.909000000000001</v>
      </c>
      <c r="T33" s="10">
        <f t="shared" si="32"/>
        <v>33.490630000000003</v>
      </c>
      <c r="U33" s="7">
        <f>'[5]Production Summary'!$F34</f>
        <v>0</v>
      </c>
      <c r="V33" s="8">
        <f t="shared" si="33"/>
        <v>0</v>
      </c>
      <c r="W33" s="10">
        <f t="shared" si="34"/>
        <v>0</v>
      </c>
      <c r="X33" s="7">
        <f>'[5]Production Summary'!$AB34</f>
        <v>433699.99999998754</v>
      </c>
      <c r="Y33" s="8">
        <f t="shared" si="35"/>
        <v>0.43369999999998754</v>
      </c>
      <c r="Z33" s="10">
        <f t="shared" si="36"/>
        <v>1.3314589999999618</v>
      </c>
      <c r="AA33" s="15"/>
      <c r="AB33" s="7">
        <v>0</v>
      </c>
      <c r="AC33" s="8">
        <f t="shared" si="37"/>
        <v>0</v>
      </c>
      <c r="AD33" s="10">
        <f t="shared" si="38"/>
        <v>0</v>
      </c>
      <c r="AF33" s="7">
        <f t="shared" si="18"/>
        <v>38887300.000000089</v>
      </c>
      <c r="AG33" s="8">
        <f t="shared" si="19"/>
        <v>38.887300000000081</v>
      </c>
      <c r="AH33" s="8">
        <f t="shared" si="20"/>
        <v>119.38401100000026</v>
      </c>
    </row>
    <row r="34" spans="1:34" x14ac:dyDescent="0.2">
      <c r="A34" s="27">
        <v>43311</v>
      </c>
      <c r="B34" s="7">
        <f>'[5]Production Summary'!$K35</f>
        <v>29840000.000000145</v>
      </c>
      <c r="C34" s="8">
        <f t="shared" si="21"/>
        <v>29.840000000000146</v>
      </c>
      <c r="D34" s="10">
        <f t="shared" si="22"/>
        <v>91.608800000000443</v>
      </c>
      <c r="E34" s="7">
        <f>'[5]Production Summary'!$E35</f>
        <v>19000000</v>
      </c>
      <c r="F34" s="8">
        <f t="shared" si="23"/>
        <v>19</v>
      </c>
      <c r="G34" s="10">
        <f t="shared" si="24"/>
        <v>58.33</v>
      </c>
      <c r="H34" s="7">
        <f>'[5]Production Summary'!$G35</f>
        <v>13670000</v>
      </c>
      <c r="I34" s="8">
        <f t="shared" si="25"/>
        <v>13.67</v>
      </c>
      <c r="J34" s="10">
        <f t="shared" si="26"/>
        <v>41.966899999999995</v>
      </c>
      <c r="K34" s="7">
        <f>'[5]Production Summary'!$S35</f>
        <v>31300000.000002909</v>
      </c>
      <c r="L34" s="8">
        <f t="shared" si="27"/>
        <v>31.30000000000291</v>
      </c>
      <c r="M34" s="10">
        <f t="shared" si="28"/>
        <v>96.091000000008933</v>
      </c>
      <c r="N34" s="21"/>
      <c r="O34" s="7">
        <f>'[5]Production Summary'!$I35</f>
        <v>10547899.999999993</v>
      </c>
      <c r="P34" s="8">
        <f t="shared" si="29"/>
        <v>10.547899999999993</v>
      </c>
      <c r="Q34" s="10">
        <f t="shared" si="30"/>
        <v>32.382052999999978</v>
      </c>
      <c r="R34" s="7">
        <f>'[5]Production Summary'!$C35</f>
        <v>10893000</v>
      </c>
      <c r="S34" s="8">
        <f t="shared" si="31"/>
        <v>10.893000000000001</v>
      </c>
      <c r="T34" s="10">
        <f t="shared" si="32"/>
        <v>33.441510000000001</v>
      </c>
      <c r="U34" s="7">
        <f>'[5]Production Summary'!$F35</f>
        <v>0</v>
      </c>
      <c r="V34" s="8">
        <f t="shared" si="33"/>
        <v>0</v>
      </c>
      <c r="W34" s="10">
        <f t="shared" si="34"/>
        <v>0</v>
      </c>
      <c r="X34" s="7">
        <f>'[5]Production Summary'!$AB35</f>
        <v>340100.00000000675</v>
      </c>
      <c r="Y34" s="8">
        <f t="shared" si="35"/>
        <v>0.34010000000000673</v>
      </c>
      <c r="Z34" s="10">
        <f t="shared" si="36"/>
        <v>1.0441070000000205</v>
      </c>
      <c r="AA34" s="15"/>
      <c r="AB34" s="7">
        <v>0</v>
      </c>
      <c r="AC34" s="8">
        <f t="shared" si="37"/>
        <v>0</v>
      </c>
      <c r="AD34" s="10">
        <f t="shared" si="38"/>
        <v>0</v>
      </c>
      <c r="AF34" s="7">
        <f t="shared" si="18"/>
        <v>40387900.000000134</v>
      </c>
      <c r="AG34" s="8">
        <f t="shared" si="19"/>
        <v>40.387900000000137</v>
      </c>
      <c r="AH34" s="8">
        <f t="shared" si="20"/>
        <v>123.99085300000041</v>
      </c>
    </row>
    <row r="35" spans="1:34" ht="13.5" thickBot="1" x14ac:dyDescent="0.25">
      <c r="A35" s="27">
        <v>43312</v>
      </c>
      <c r="B35" s="7">
        <f>'[5]Production Summary'!$K36</f>
        <v>28250000</v>
      </c>
      <c r="C35" s="8">
        <f t="shared" si="21"/>
        <v>28.25</v>
      </c>
      <c r="D35" s="10">
        <f t="shared" si="22"/>
        <v>86.727499999999992</v>
      </c>
      <c r="E35" s="7">
        <f>'[5]Production Summary'!$E36</f>
        <v>19000000</v>
      </c>
      <c r="F35" s="8">
        <f t="shared" si="23"/>
        <v>19</v>
      </c>
      <c r="G35" s="10">
        <f t="shared" si="24"/>
        <v>58.33</v>
      </c>
      <c r="H35" s="7">
        <f>'[5]Production Summary'!$G36</f>
        <v>12090000</v>
      </c>
      <c r="I35" s="8">
        <f t="shared" si="25"/>
        <v>12.09</v>
      </c>
      <c r="J35" s="10">
        <f t="shared" si="26"/>
        <v>37.116299999999995</v>
      </c>
      <c r="K35" s="7">
        <f>'[5]Production Summary'!$S36</f>
        <v>29099999.999998543</v>
      </c>
      <c r="L35" s="8">
        <f t="shared" si="27"/>
        <v>29.099999999998545</v>
      </c>
      <c r="M35" s="10">
        <f t="shared" si="28"/>
        <v>89.336999999995527</v>
      </c>
      <c r="N35" s="21"/>
      <c r="O35" s="7">
        <f>'[5]Production Summary'!$I36</f>
        <v>10326099.999999994</v>
      </c>
      <c r="P35" s="8">
        <f t="shared" si="29"/>
        <v>10.326099999999995</v>
      </c>
      <c r="Q35" s="10">
        <f t="shared" si="30"/>
        <v>31.701126999999982</v>
      </c>
      <c r="R35" s="7">
        <f>'[5]Production Summary'!$C36</f>
        <v>10692000</v>
      </c>
      <c r="S35" s="8">
        <f t="shared" si="31"/>
        <v>10.692</v>
      </c>
      <c r="T35" s="10">
        <f t="shared" si="32"/>
        <v>32.824439999999996</v>
      </c>
      <c r="U35" s="7">
        <f>'[5]Production Summary'!$F36</f>
        <v>0</v>
      </c>
      <c r="V35" s="8">
        <f t="shared" si="33"/>
        <v>0</v>
      </c>
      <c r="W35" s="10">
        <f t="shared" si="34"/>
        <v>0</v>
      </c>
      <c r="X35" s="7">
        <f>'[5]Production Summary'!$AB36</f>
        <v>358900.00000000553</v>
      </c>
      <c r="Y35" s="8">
        <f t="shared" si="35"/>
        <v>0.35890000000000555</v>
      </c>
      <c r="Z35" s="10">
        <f t="shared" si="36"/>
        <v>1.1018230000000169</v>
      </c>
      <c r="AA35" s="15"/>
      <c r="AB35" s="7">
        <v>0</v>
      </c>
      <c r="AC35" s="8">
        <f t="shared" si="37"/>
        <v>0</v>
      </c>
      <c r="AD35" s="10">
        <f t="shared" si="38"/>
        <v>0</v>
      </c>
      <c r="AF35" s="7">
        <f t="shared" si="18"/>
        <v>38576099.999999993</v>
      </c>
      <c r="AG35" s="8">
        <f t="shared" si="19"/>
        <v>38.576099999999997</v>
      </c>
      <c r="AH35" s="8">
        <f t="shared" si="20"/>
        <v>118.42862699999998</v>
      </c>
    </row>
    <row r="36" spans="1:34" ht="13.5" thickBot="1" x14ac:dyDescent="0.25">
      <c r="A36" s="14"/>
      <c r="B36" s="37"/>
      <c r="C36" s="38">
        <f>SUM(C5:C35)</f>
        <v>907.59000000000015</v>
      </c>
      <c r="D36" s="38">
        <f t="shared" ref="D36" si="42">C36*3.07</f>
        <v>2786.3013000000001</v>
      </c>
      <c r="E36" s="37"/>
      <c r="F36" s="38">
        <f>SUM(F5:F35)</f>
        <v>636</v>
      </c>
      <c r="G36" s="38">
        <f t="shared" ref="G36" si="43">F36*3.07</f>
        <v>1952.52</v>
      </c>
      <c r="H36" s="37"/>
      <c r="I36" s="38">
        <f>SUM(I5:I35)</f>
        <v>348.59</v>
      </c>
      <c r="J36" s="38">
        <f t="shared" ref="J36" si="44">I36*3.07</f>
        <v>1070.1713</v>
      </c>
      <c r="K36" s="37"/>
      <c r="L36" s="38">
        <f>SUM(L5:L35)</f>
        <v>931.69999999999709</v>
      </c>
      <c r="M36" s="38">
        <f t="shared" ref="M36" si="45">L36*3.07</f>
        <v>2860.3189999999909</v>
      </c>
      <c r="N36" s="14"/>
      <c r="O36" s="37"/>
      <c r="P36" s="38">
        <f>SUM(P5:P35)</f>
        <v>361.15389999999996</v>
      </c>
      <c r="Q36" s="38">
        <f t="shared" ref="Q36" si="46">P36*3.07</f>
        <v>1108.7424729999998</v>
      </c>
      <c r="R36" s="37"/>
      <c r="S36" s="38">
        <f>SUM(S5:S35)</f>
        <v>371.02400000000011</v>
      </c>
      <c r="T36" s="38">
        <f t="shared" ref="T36" si="47">S36*3.07</f>
        <v>1139.0436800000002</v>
      </c>
      <c r="U36" s="37"/>
      <c r="V36" s="38">
        <f>SUM(V5:V35)</f>
        <v>1.2510000000000001</v>
      </c>
      <c r="W36" s="38">
        <f t="shared" ref="W36" si="48">V36*3.07</f>
        <v>3.84057</v>
      </c>
      <c r="X36" s="37"/>
      <c r="Y36" s="38">
        <f>SUM(Y5:Y35)</f>
        <v>9.6591000000000236</v>
      </c>
      <c r="Z36" s="38">
        <f t="shared" ref="Z36" si="49">Y36*3.07</f>
        <v>29.653437000000071</v>
      </c>
      <c r="AA36" s="14"/>
      <c r="AB36" s="37"/>
      <c r="AC36" s="38">
        <f>SUM(AC5:AC35)</f>
        <v>0</v>
      </c>
      <c r="AD36" s="38">
        <f t="shared" si="17"/>
        <v>0</v>
      </c>
      <c r="AF36" s="37"/>
      <c r="AG36" s="38">
        <f>SUM(AG5:AG35)</f>
        <v>1268.7439000000004</v>
      </c>
      <c r="AH36" s="38">
        <f>AG36*3.07</f>
        <v>3895.0437730000008</v>
      </c>
    </row>
    <row r="37" spans="1:34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4" x14ac:dyDescent="0.2">
      <c r="J38" s="18"/>
    </row>
  </sheetData>
  <mergeCells count="10">
    <mergeCell ref="U3:W3"/>
    <mergeCell ref="X3:Z3"/>
    <mergeCell ref="AB3:AD3"/>
    <mergeCell ref="AF3:AH3"/>
    <mergeCell ref="B3:D3"/>
    <mergeCell ref="E3:G3"/>
    <mergeCell ref="H3:J3"/>
    <mergeCell ref="K3:M3"/>
    <mergeCell ref="O3:Q3"/>
    <mergeCell ref="R3:T3"/>
  </mergeCells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38"/>
  <sheetViews>
    <sheetView workbookViewId="0">
      <pane xSplit="1" ySplit="4" topLeftCell="J5" activePane="bottomRight" state="frozen"/>
      <selection pane="topRight" activeCell="B1" sqref="B1"/>
      <selection pane="bottomLeft" activeCell="A5" sqref="A5"/>
      <selection pane="bottomRight" activeCell="R1" sqref="R1:T1048576"/>
    </sheetView>
  </sheetViews>
  <sheetFormatPr defaultRowHeight="12.75" x14ac:dyDescent="0.2"/>
  <cols>
    <col min="2" max="2" width="14.42578125" bestFit="1" customWidth="1"/>
    <col min="5" max="5" width="12.7109375" customWidth="1"/>
    <col min="8" max="8" width="11" customWidth="1"/>
    <col min="11" max="11" width="11" customWidth="1"/>
    <col min="12" max="12" width="10.7109375" customWidth="1"/>
    <col min="15" max="15" width="11.28515625" customWidth="1"/>
    <col min="18" max="18" width="10.5703125" customWidth="1"/>
    <col min="21" max="21" width="10.7109375" bestFit="1" customWidth="1"/>
    <col min="22" max="22" width="10.5703125" customWidth="1"/>
    <col min="24" max="24" width="10.140625" bestFit="1" customWidth="1"/>
    <col min="28" max="28" width="10.7109375" customWidth="1"/>
  </cols>
  <sheetData>
    <row r="1" spans="1:32" s="3" customFormat="1" x14ac:dyDescent="0.2">
      <c r="A1" s="41" t="s">
        <v>17</v>
      </c>
      <c r="B1" s="39"/>
      <c r="C1" s="25"/>
      <c r="D1" s="25"/>
      <c r="E1" s="25"/>
      <c r="F1" s="25"/>
      <c r="K1" s="14"/>
      <c r="U1" s="14"/>
    </row>
    <row r="2" spans="1:32" s="3" customFormat="1" ht="13.5" thickBot="1" x14ac:dyDescent="0.25">
      <c r="C2" s="24"/>
      <c r="K2" s="14"/>
      <c r="U2" s="14"/>
    </row>
    <row r="3" spans="1:32" s="3" customFormat="1" ht="60.75" customHeight="1" thickBot="1" x14ac:dyDescent="0.25"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20</v>
      </c>
      <c r="P3" s="65"/>
      <c r="Q3" s="66"/>
      <c r="R3" s="64" t="s">
        <v>3</v>
      </c>
      <c r="S3" s="65"/>
      <c r="T3" s="66"/>
      <c r="U3" s="64" t="s">
        <v>16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  <c r="AF3" s="50" t="s">
        <v>9</v>
      </c>
    </row>
    <row r="4" spans="1:32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2">
      <c r="A5" s="27">
        <v>43313</v>
      </c>
      <c r="B5" s="7">
        <f>'[5]Production Summary'!$K37</f>
        <v>30519999.999999527</v>
      </c>
      <c r="C5" s="8">
        <f t="shared" ref="C5" si="0">B5/1000000</f>
        <v>30.519999999999527</v>
      </c>
      <c r="D5" s="10">
        <f t="shared" ref="D5" si="1">C5*3.07</f>
        <v>93.696399999998548</v>
      </c>
      <c r="E5" s="7">
        <f>'[5]Production Summary'!$E37</f>
        <v>20000000</v>
      </c>
      <c r="F5" s="8">
        <f t="shared" ref="F5" si="2">E5/1000000</f>
        <v>20</v>
      </c>
      <c r="G5" s="10">
        <f t="shared" ref="G5" si="3">F5*3.07</f>
        <v>61.4</v>
      </c>
      <c r="H5" s="7">
        <f>'[5]Production Summary'!$G37</f>
        <v>13260000</v>
      </c>
      <c r="I5" s="8">
        <f t="shared" ref="I5" si="4">H5/1000000</f>
        <v>13.26</v>
      </c>
      <c r="J5" s="10">
        <f t="shared" ref="J5" si="5">I5*3.07</f>
        <v>40.708199999999998</v>
      </c>
      <c r="K5" s="7">
        <f>'[5]Production Summary'!$S37</f>
        <v>31699999.999997091</v>
      </c>
      <c r="L5" s="8">
        <f t="shared" ref="L5" si="6">K5/1000000</f>
        <v>31.69999999999709</v>
      </c>
      <c r="M5" s="10">
        <f t="shared" ref="M5" si="7">L5*3.07</f>
        <v>97.318999999991064</v>
      </c>
      <c r="N5" s="21"/>
      <c r="O5" s="7">
        <f>'[5]Production Summary'!$I37</f>
        <v>10177800.000000004</v>
      </c>
      <c r="P5" s="8">
        <f t="shared" ref="P5" si="8">O5/1000000</f>
        <v>10.177800000000003</v>
      </c>
      <c r="Q5" s="10">
        <f t="shared" ref="Q5" si="9">P5*3.07</f>
        <v>31.245846000000007</v>
      </c>
      <c r="R5" s="7">
        <f>'[5]Production Summary'!$C37</f>
        <v>10678000</v>
      </c>
      <c r="S5" s="8">
        <f t="shared" ref="S5" si="10">R5/1000000</f>
        <v>10.678000000000001</v>
      </c>
      <c r="T5" s="10">
        <f t="shared" ref="T5" si="11">S5*3.07</f>
        <v>32.781460000000003</v>
      </c>
      <c r="U5" s="7">
        <f>'[5]Production Summary'!$F37</f>
        <v>0</v>
      </c>
      <c r="V5" s="8">
        <f t="shared" ref="V5" si="12">U5/1000000</f>
        <v>0</v>
      </c>
      <c r="W5" s="10">
        <f t="shared" ref="W5" si="13">V5*3.07</f>
        <v>0</v>
      </c>
      <c r="X5" s="7">
        <f>'[5]Production Summary'!$AB37</f>
        <v>492199.99999999686</v>
      </c>
      <c r="Y5" s="8">
        <f t="shared" ref="Y5" si="14">X5/1000000</f>
        <v>0.49219999999999686</v>
      </c>
      <c r="Z5" s="10">
        <f t="shared" ref="Z5" si="15">Y5*3.07</f>
        <v>1.5110539999999903</v>
      </c>
      <c r="AA5" s="15"/>
      <c r="AB5" s="7">
        <f t="shared" ref="AB5:AB35" si="16">B5+O5</f>
        <v>40697799.999999531</v>
      </c>
      <c r="AC5" s="8">
        <f t="shared" ref="AC5:AC35" si="17">C5+P5</f>
        <v>40.697799999999532</v>
      </c>
      <c r="AD5" s="8">
        <f t="shared" ref="AD5:AD35" si="18">D5+Q5</f>
        <v>124.94224599999856</v>
      </c>
      <c r="AF5" s="8">
        <f t="shared" ref="AF5:AF35" si="19">T5-Q5-Z5</f>
        <v>2.4560000000005022E-2</v>
      </c>
    </row>
    <row r="6" spans="1:32" x14ac:dyDescent="0.2">
      <c r="A6" s="27">
        <v>43314</v>
      </c>
      <c r="B6" s="7">
        <f>'[5]Production Summary'!$K38</f>
        <v>31820000.000000618</v>
      </c>
      <c r="C6" s="8">
        <f t="shared" ref="C6:C35" si="20">B6/1000000</f>
        <v>31.820000000000618</v>
      </c>
      <c r="D6" s="10">
        <f t="shared" ref="D6:D35" si="21">C6*3.07</f>
        <v>97.687400000001887</v>
      </c>
      <c r="E6" s="7">
        <f>'[5]Production Summary'!$E38</f>
        <v>21000000</v>
      </c>
      <c r="F6" s="8">
        <f t="shared" ref="F6:F35" si="22">E6/1000000</f>
        <v>21</v>
      </c>
      <c r="G6" s="10">
        <f t="shared" ref="G6:G35" si="23">F6*3.07</f>
        <v>64.47</v>
      </c>
      <c r="H6" s="7">
        <f>'[5]Production Summary'!$G38</f>
        <v>13840000</v>
      </c>
      <c r="I6" s="8">
        <f t="shared" ref="I6:I35" si="24">H6/1000000</f>
        <v>13.84</v>
      </c>
      <c r="J6" s="10">
        <f t="shared" ref="J6:J35" si="25">I6*3.07</f>
        <v>42.488799999999998</v>
      </c>
      <c r="K6" s="7">
        <f>'[5]Production Summary'!$S38</f>
        <v>32900000.000001457</v>
      </c>
      <c r="L6" s="8">
        <f t="shared" ref="L6:L35" si="26">K6/1000000</f>
        <v>32.900000000001455</v>
      </c>
      <c r="M6" s="10">
        <f t="shared" ref="M6:M35" si="27">L6*3.07</f>
        <v>101.00300000000446</v>
      </c>
      <c r="N6" s="21"/>
      <c r="O6" s="7">
        <f>'[5]Production Summary'!$I38</f>
        <v>9235900.0000000056</v>
      </c>
      <c r="P6" s="8">
        <f t="shared" ref="P6:P35" si="28">O6/1000000</f>
        <v>9.2359000000000062</v>
      </c>
      <c r="Q6" s="10">
        <f t="shared" ref="Q6:Q35" si="29">P6*3.07</f>
        <v>28.354213000000019</v>
      </c>
      <c r="R6" s="7">
        <f>'[5]Production Summary'!$C38</f>
        <v>9525000</v>
      </c>
      <c r="S6" s="8">
        <f t="shared" ref="S6:S35" si="30">R6/1000000</f>
        <v>9.5250000000000004</v>
      </c>
      <c r="T6" s="10">
        <f t="shared" ref="T6:T35" si="31">S6*3.07</f>
        <v>29.24175</v>
      </c>
      <c r="U6" s="7">
        <f>'[5]Production Summary'!$F38</f>
        <v>0</v>
      </c>
      <c r="V6" s="8">
        <f t="shared" ref="V6:V35" si="32">U6/1000000</f>
        <v>0</v>
      </c>
      <c r="W6" s="10">
        <f t="shared" ref="W6:W35" si="33">V6*3.07</f>
        <v>0</v>
      </c>
      <c r="X6" s="7">
        <f>'[5]Production Summary'!$AB38</f>
        <v>284099.99999999511</v>
      </c>
      <c r="Y6" s="8">
        <f t="shared" ref="Y6:Y35" si="34">X6/1000000</f>
        <v>0.28409999999999513</v>
      </c>
      <c r="Z6" s="10">
        <f t="shared" ref="Z6:Z35" si="35">Y6*3.07</f>
        <v>0.87218699999998506</v>
      </c>
      <c r="AA6" s="15"/>
      <c r="AB6" s="7">
        <f t="shared" si="16"/>
        <v>41055900.000000626</v>
      </c>
      <c r="AC6" s="8">
        <f t="shared" si="17"/>
        <v>41.055900000000626</v>
      </c>
      <c r="AD6" s="8">
        <f t="shared" si="18"/>
        <v>126.0416130000019</v>
      </c>
      <c r="AF6" s="8">
        <f t="shared" si="19"/>
        <v>1.5349999999995423E-2</v>
      </c>
    </row>
    <row r="7" spans="1:32" x14ac:dyDescent="0.2">
      <c r="A7" s="27">
        <v>43315</v>
      </c>
      <c r="B7" s="7">
        <f>'[5]Production Summary'!$K39</f>
        <v>29590000.000000145</v>
      </c>
      <c r="C7" s="8">
        <f t="shared" si="20"/>
        <v>29.590000000000146</v>
      </c>
      <c r="D7" s="10">
        <f t="shared" si="21"/>
        <v>90.841300000000444</v>
      </c>
      <c r="E7" s="7">
        <f>'[5]Production Summary'!$E39</f>
        <v>18000000</v>
      </c>
      <c r="F7" s="8">
        <f t="shared" si="22"/>
        <v>18</v>
      </c>
      <c r="G7" s="10">
        <f t="shared" si="23"/>
        <v>55.26</v>
      </c>
      <c r="H7" s="7">
        <f>'[5]Production Summary'!$G39</f>
        <v>12910000</v>
      </c>
      <c r="I7" s="8">
        <f t="shared" si="24"/>
        <v>12.91</v>
      </c>
      <c r="J7" s="10">
        <f t="shared" si="25"/>
        <v>39.633699999999997</v>
      </c>
      <c r="K7" s="7">
        <f>'[5]Production Summary'!$S39</f>
        <v>30300000.000002909</v>
      </c>
      <c r="L7" s="8">
        <f t="shared" si="26"/>
        <v>30.30000000000291</v>
      </c>
      <c r="M7" s="10">
        <f t="shared" si="27"/>
        <v>93.021000000008925</v>
      </c>
      <c r="N7" s="21"/>
      <c r="O7" s="7">
        <f>'[5]Production Summary'!$I39</f>
        <v>11809000.000000007</v>
      </c>
      <c r="P7" s="8">
        <f t="shared" si="28"/>
        <v>11.809000000000008</v>
      </c>
      <c r="Q7" s="10">
        <f t="shared" si="29"/>
        <v>36.253630000000022</v>
      </c>
      <c r="R7" s="7">
        <f>'[5]Production Summary'!$C39</f>
        <v>12231000</v>
      </c>
      <c r="S7" s="8">
        <f t="shared" si="30"/>
        <v>12.231</v>
      </c>
      <c r="T7" s="10">
        <f t="shared" si="31"/>
        <v>37.549169999999997</v>
      </c>
      <c r="U7" s="7">
        <f>'[5]Production Summary'!$F39</f>
        <v>0</v>
      </c>
      <c r="V7" s="8">
        <f t="shared" si="32"/>
        <v>0</v>
      </c>
      <c r="W7" s="10">
        <f t="shared" si="33"/>
        <v>0</v>
      </c>
      <c r="X7" s="7">
        <f>'[5]Production Summary'!$AB39</f>
        <v>414999.99999999203</v>
      </c>
      <c r="Y7" s="8">
        <f t="shared" si="34"/>
        <v>0.41499999999999204</v>
      </c>
      <c r="Z7" s="10">
        <f t="shared" si="35"/>
        <v>1.2740499999999755</v>
      </c>
      <c r="AA7" s="15"/>
      <c r="AB7" s="7">
        <f t="shared" si="16"/>
        <v>41399000.000000149</v>
      </c>
      <c r="AC7" s="8">
        <f t="shared" si="17"/>
        <v>41.399000000000157</v>
      </c>
      <c r="AD7" s="8">
        <f t="shared" si="18"/>
        <v>127.09493000000046</v>
      </c>
      <c r="AF7" s="8">
        <f t="shared" si="19"/>
        <v>2.1489999999998677E-2</v>
      </c>
    </row>
    <row r="8" spans="1:32" x14ac:dyDescent="0.2">
      <c r="A8" s="27">
        <v>43316</v>
      </c>
      <c r="B8" s="7">
        <f>'[5]Production Summary'!$K40</f>
        <v>27489999.99999978</v>
      </c>
      <c r="C8" s="8">
        <f t="shared" si="20"/>
        <v>27.489999999999782</v>
      </c>
      <c r="D8" s="10">
        <f t="shared" si="21"/>
        <v>84.394299999999319</v>
      </c>
      <c r="E8" s="7">
        <f>'[5]Production Summary'!$E40</f>
        <v>17000000</v>
      </c>
      <c r="F8" s="8">
        <f t="shared" si="22"/>
        <v>17</v>
      </c>
      <c r="G8" s="10">
        <f t="shared" si="23"/>
        <v>52.19</v>
      </c>
      <c r="H8" s="7">
        <f>'[5]Production Summary'!$G40</f>
        <v>13120000</v>
      </c>
      <c r="I8" s="8">
        <f t="shared" si="24"/>
        <v>13.12</v>
      </c>
      <c r="J8" s="10">
        <f t="shared" si="25"/>
        <v>40.278399999999998</v>
      </c>
      <c r="K8" s="7">
        <f>'[5]Production Summary'!$S40</f>
        <v>28699999.999997091</v>
      </c>
      <c r="L8" s="8">
        <f t="shared" si="26"/>
        <v>28.69999999999709</v>
      </c>
      <c r="M8" s="10">
        <f t="shared" si="27"/>
        <v>88.108999999991056</v>
      </c>
      <c r="N8" s="21"/>
      <c r="O8" s="7">
        <f>'[5]Production Summary'!$I40</f>
        <v>11694099.999999985</v>
      </c>
      <c r="P8" s="8">
        <f t="shared" si="28"/>
        <v>11.694099999999985</v>
      </c>
      <c r="Q8" s="10">
        <f t="shared" si="29"/>
        <v>35.900886999999948</v>
      </c>
      <c r="R8" s="7">
        <f>'[5]Production Summary'!$C40</f>
        <v>12081000</v>
      </c>
      <c r="S8" s="8">
        <f t="shared" si="30"/>
        <v>12.081</v>
      </c>
      <c r="T8" s="10">
        <f t="shared" si="31"/>
        <v>37.088669999999993</v>
      </c>
      <c r="U8" s="56">
        <f>'[5]Production Summary'!$F40</f>
        <v>1627000</v>
      </c>
      <c r="V8" s="8">
        <f t="shared" si="32"/>
        <v>1.627</v>
      </c>
      <c r="W8" s="10">
        <f t="shared" si="33"/>
        <v>4.9948899999999998</v>
      </c>
      <c r="X8" s="7">
        <f>'[5]Production Summary'!$AB40</f>
        <v>378900.00000001577</v>
      </c>
      <c r="Y8" s="8">
        <f t="shared" si="34"/>
        <v>0.37890000000001578</v>
      </c>
      <c r="Z8" s="10">
        <f t="shared" si="35"/>
        <v>1.1632230000000483</v>
      </c>
      <c r="AA8" s="15"/>
      <c r="AB8" s="7">
        <f t="shared" si="16"/>
        <v>39184099.999999762</v>
      </c>
      <c r="AC8" s="8">
        <f t="shared" si="17"/>
        <v>39.184099999999766</v>
      </c>
      <c r="AD8" s="8">
        <f t="shared" si="18"/>
        <v>120.29518699999926</v>
      </c>
      <c r="AF8" s="8">
        <f t="shared" si="19"/>
        <v>2.4559999999997473E-2</v>
      </c>
    </row>
    <row r="9" spans="1:32" x14ac:dyDescent="0.2">
      <c r="A9" s="27">
        <v>43317</v>
      </c>
      <c r="B9" s="7">
        <f>'[5]Production Summary'!$K41</f>
        <v>31500000</v>
      </c>
      <c r="C9" s="8">
        <f t="shared" si="20"/>
        <v>31.5</v>
      </c>
      <c r="D9" s="10">
        <f t="shared" si="21"/>
        <v>96.704999999999998</v>
      </c>
      <c r="E9" s="7">
        <f>'[5]Production Summary'!$E41</f>
        <v>20000000</v>
      </c>
      <c r="F9" s="8">
        <f t="shared" si="22"/>
        <v>20</v>
      </c>
      <c r="G9" s="10">
        <f t="shared" si="23"/>
        <v>61.4</v>
      </c>
      <c r="H9" s="7">
        <f>'[5]Production Summary'!$G41</f>
        <v>13440000</v>
      </c>
      <c r="I9" s="8">
        <f t="shared" si="24"/>
        <v>13.44</v>
      </c>
      <c r="J9" s="10">
        <f t="shared" si="25"/>
        <v>41.260799999999996</v>
      </c>
      <c r="K9" s="7">
        <f>'[5]Production Summary'!$S41</f>
        <v>32000000</v>
      </c>
      <c r="L9" s="8">
        <f t="shared" si="26"/>
        <v>32</v>
      </c>
      <c r="M9" s="10">
        <f t="shared" si="27"/>
        <v>98.24</v>
      </c>
      <c r="N9" s="21"/>
      <c r="O9" s="7">
        <f>'[5]Production Summary'!$I41</f>
        <v>11641500.00000002</v>
      </c>
      <c r="P9" s="8">
        <f t="shared" si="28"/>
        <v>11.64150000000002</v>
      </c>
      <c r="Q9" s="10">
        <f t="shared" si="29"/>
        <v>35.739405000000062</v>
      </c>
      <c r="R9" s="7">
        <f>'[5]Production Summary'!$C41</f>
        <v>12064000</v>
      </c>
      <c r="S9" s="8">
        <f t="shared" si="30"/>
        <v>12.064</v>
      </c>
      <c r="T9" s="10">
        <f t="shared" si="31"/>
        <v>37.036479999999997</v>
      </c>
      <c r="U9" s="7">
        <f>'[5]Production Summary'!$F41</f>
        <v>0</v>
      </c>
      <c r="V9" s="8">
        <f t="shared" si="32"/>
        <v>0</v>
      </c>
      <c r="W9" s="10">
        <f t="shared" si="33"/>
        <v>0</v>
      </c>
      <c r="X9" s="7">
        <f>'[5]Production Summary'!$AB41</f>
        <v>415499.99999998021</v>
      </c>
      <c r="Y9" s="8">
        <f t="shared" si="34"/>
        <v>0.41549999999998022</v>
      </c>
      <c r="Z9" s="10">
        <f t="shared" si="35"/>
        <v>1.2755849999999391</v>
      </c>
      <c r="AA9" s="15"/>
      <c r="AB9" s="7">
        <f t="shared" si="16"/>
        <v>43141500.000000022</v>
      </c>
      <c r="AC9" s="8">
        <f t="shared" si="17"/>
        <v>43.141500000000022</v>
      </c>
      <c r="AD9" s="8">
        <f t="shared" si="18"/>
        <v>132.44440500000007</v>
      </c>
      <c r="AF9" s="8">
        <f t="shared" si="19"/>
        <v>2.1489999999996456E-2</v>
      </c>
    </row>
    <row r="10" spans="1:32" x14ac:dyDescent="0.2">
      <c r="A10" s="27">
        <v>43318</v>
      </c>
      <c r="B10" s="7">
        <f>'[5]Production Summary'!$K42</f>
        <v>28699999.999999817</v>
      </c>
      <c r="C10" s="8">
        <f t="shared" si="20"/>
        <v>28.699999999999818</v>
      </c>
      <c r="D10" s="10">
        <f t="shared" si="21"/>
        <v>88.10899999999944</v>
      </c>
      <c r="E10" s="7">
        <f>'[5]Production Summary'!$E42</f>
        <v>20000000</v>
      </c>
      <c r="F10" s="8">
        <f t="shared" si="22"/>
        <v>20</v>
      </c>
      <c r="G10" s="10">
        <f t="shared" si="23"/>
        <v>61.4</v>
      </c>
      <c r="H10" s="7">
        <f>'[5]Production Summary'!$G42</f>
        <v>12380000</v>
      </c>
      <c r="I10" s="8">
        <f t="shared" si="24"/>
        <v>12.38</v>
      </c>
      <c r="J10" s="10">
        <f t="shared" si="25"/>
        <v>38.006599999999999</v>
      </c>
      <c r="K10" s="7">
        <f>'[5]Production Summary'!$S42</f>
        <v>29900000.000001457</v>
      </c>
      <c r="L10" s="8">
        <f t="shared" si="26"/>
        <v>29.900000000001455</v>
      </c>
      <c r="M10" s="10">
        <f t="shared" si="27"/>
        <v>91.793000000004469</v>
      </c>
      <c r="N10" s="21"/>
      <c r="O10" s="7">
        <f>'[5]Production Summary'!$I42</f>
        <v>10205499.999999991</v>
      </c>
      <c r="P10" s="8">
        <f t="shared" si="28"/>
        <v>10.20549999999999</v>
      </c>
      <c r="Q10" s="10">
        <f t="shared" si="29"/>
        <v>31.330884999999967</v>
      </c>
      <c r="R10" s="7">
        <f>'[5]Production Summary'!$C42</f>
        <v>10627000</v>
      </c>
      <c r="S10" s="8">
        <f t="shared" si="30"/>
        <v>10.627000000000001</v>
      </c>
      <c r="T10" s="10">
        <f t="shared" si="31"/>
        <v>32.624890000000001</v>
      </c>
      <c r="U10" s="56">
        <f>'[5]Production Summary'!$F42</f>
        <v>611000</v>
      </c>
      <c r="V10" s="8">
        <f t="shared" si="32"/>
        <v>0.61099999999999999</v>
      </c>
      <c r="W10" s="10">
        <f t="shared" si="33"/>
        <v>1.8757699999999999</v>
      </c>
      <c r="X10" s="7">
        <f>'[5]Production Summary'!$AB42</f>
        <v>415500.00000000861</v>
      </c>
      <c r="Y10" s="8">
        <f t="shared" si="34"/>
        <v>0.41550000000000864</v>
      </c>
      <c r="Z10" s="10">
        <f t="shared" si="35"/>
        <v>1.2755850000000264</v>
      </c>
      <c r="AA10" s="15"/>
      <c r="AB10" s="7">
        <f t="shared" si="16"/>
        <v>38905499.999999806</v>
      </c>
      <c r="AC10" s="8">
        <f t="shared" si="17"/>
        <v>38.905499999999805</v>
      </c>
      <c r="AD10" s="8">
        <f t="shared" si="18"/>
        <v>119.43988499999941</v>
      </c>
      <c r="AF10" s="8">
        <f t="shared" si="19"/>
        <v>1.8420000000007652E-2</v>
      </c>
    </row>
    <row r="11" spans="1:32" x14ac:dyDescent="0.2">
      <c r="A11" s="27">
        <v>43319</v>
      </c>
      <c r="B11" s="7">
        <f>'[5]Production Summary'!$K43</f>
        <v>30329999.999999925</v>
      </c>
      <c r="C11" s="8">
        <f t="shared" si="20"/>
        <v>30.329999999999927</v>
      </c>
      <c r="D11" s="10">
        <f t="shared" si="21"/>
        <v>93.113099999999775</v>
      </c>
      <c r="E11" s="7">
        <f>'[5]Production Summary'!$E43</f>
        <v>19000000</v>
      </c>
      <c r="F11" s="8">
        <f t="shared" si="22"/>
        <v>19</v>
      </c>
      <c r="G11" s="10">
        <f t="shared" si="23"/>
        <v>58.33</v>
      </c>
      <c r="H11" s="7">
        <f>'[5]Production Summary'!$G43</f>
        <v>13330000</v>
      </c>
      <c r="I11" s="8">
        <f t="shared" si="24"/>
        <v>13.33</v>
      </c>
      <c r="J11" s="10">
        <f t="shared" si="25"/>
        <v>40.923099999999998</v>
      </c>
      <c r="K11" s="7">
        <f>'[5]Production Summary'!$S43</f>
        <v>31300000.000002909</v>
      </c>
      <c r="L11" s="8">
        <f t="shared" si="26"/>
        <v>31.30000000000291</v>
      </c>
      <c r="M11" s="10">
        <f t="shared" si="27"/>
        <v>96.091000000008933</v>
      </c>
      <c r="N11" s="21"/>
      <c r="O11" s="7">
        <f>'[5]Production Summary'!$I43</f>
        <v>11796899.999999996</v>
      </c>
      <c r="P11" s="8">
        <f t="shared" si="28"/>
        <v>11.796899999999996</v>
      </c>
      <c r="Q11" s="10">
        <f t="shared" si="29"/>
        <v>36.216482999999982</v>
      </c>
      <c r="R11" s="7">
        <f>'[5]Production Summary'!$C43</f>
        <v>12210000</v>
      </c>
      <c r="S11" s="8">
        <f t="shared" si="30"/>
        <v>12.21</v>
      </c>
      <c r="T11" s="10">
        <f t="shared" si="31"/>
        <v>37.484700000000004</v>
      </c>
      <c r="U11" s="7">
        <f>'[5]Production Summary'!$F43</f>
        <v>0</v>
      </c>
      <c r="V11" s="8">
        <f t="shared" si="32"/>
        <v>0</v>
      </c>
      <c r="W11" s="10">
        <f t="shared" si="33"/>
        <v>0</v>
      </c>
      <c r="X11" s="7">
        <f>'[5]Production Summary'!$AB43</f>
        <v>405100.00000000448</v>
      </c>
      <c r="Y11" s="8">
        <f t="shared" si="34"/>
        <v>0.40510000000000446</v>
      </c>
      <c r="Z11" s="10">
        <f t="shared" si="35"/>
        <v>1.2436570000000136</v>
      </c>
      <c r="AA11" s="15"/>
      <c r="AB11" s="7">
        <f t="shared" si="16"/>
        <v>42126899.999999925</v>
      </c>
      <c r="AC11" s="8">
        <f t="shared" si="17"/>
        <v>42.126899999999921</v>
      </c>
      <c r="AD11" s="8">
        <f t="shared" si="18"/>
        <v>129.32958299999976</v>
      </c>
      <c r="AF11" s="8">
        <f t="shared" si="19"/>
        <v>2.4560000000007687E-2</v>
      </c>
    </row>
    <row r="12" spans="1:32" x14ac:dyDescent="0.2">
      <c r="A12" s="27">
        <v>43320</v>
      </c>
      <c r="B12" s="7">
        <f>'[5]Production Summary'!$K44</f>
        <v>30689999.999999601</v>
      </c>
      <c r="C12" s="8">
        <f t="shared" si="20"/>
        <v>30.6899999999996</v>
      </c>
      <c r="D12" s="10">
        <f t="shared" si="21"/>
        <v>94.218299999998763</v>
      </c>
      <c r="E12" s="7">
        <f>'[5]Production Summary'!$E44</f>
        <v>19000000</v>
      </c>
      <c r="F12" s="8">
        <f t="shared" si="22"/>
        <v>19</v>
      </c>
      <c r="G12" s="10">
        <f t="shared" si="23"/>
        <v>58.33</v>
      </c>
      <c r="H12" s="7">
        <f>'[5]Production Summary'!$G44</f>
        <v>14550000</v>
      </c>
      <c r="I12" s="8">
        <f t="shared" si="24"/>
        <v>14.55</v>
      </c>
      <c r="J12" s="10">
        <f t="shared" si="25"/>
        <v>44.668500000000002</v>
      </c>
      <c r="K12" s="7">
        <f>'[5]Production Summary'!$S44</f>
        <v>31500000</v>
      </c>
      <c r="L12" s="8">
        <f t="shared" si="26"/>
        <v>31.5</v>
      </c>
      <c r="M12" s="10">
        <f t="shared" si="27"/>
        <v>96.704999999999998</v>
      </c>
      <c r="N12" s="21"/>
      <c r="O12" s="7">
        <f>'[5]Production Summary'!$I44</f>
        <v>11619600</v>
      </c>
      <c r="P12" s="8">
        <f t="shared" si="28"/>
        <v>11.6196</v>
      </c>
      <c r="Q12" s="10">
        <f t="shared" si="29"/>
        <v>35.672171999999996</v>
      </c>
      <c r="R12" s="7">
        <f>'[5]Production Summary'!$C44</f>
        <v>11908000</v>
      </c>
      <c r="S12" s="8">
        <f t="shared" si="30"/>
        <v>11.907999999999999</v>
      </c>
      <c r="T12" s="10">
        <f t="shared" si="31"/>
        <v>36.557559999999995</v>
      </c>
      <c r="U12" s="7">
        <f>'[5]Production Summary'!$F44</f>
        <v>0</v>
      </c>
      <c r="V12" s="8">
        <f t="shared" si="32"/>
        <v>0</v>
      </c>
      <c r="W12" s="10">
        <f t="shared" si="33"/>
        <v>0</v>
      </c>
      <c r="X12" s="7">
        <f>'[5]Production Summary'!$AB44</f>
        <v>283400.00000000029</v>
      </c>
      <c r="Y12" s="8">
        <f t="shared" si="34"/>
        <v>0.28340000000000032</v>
      </c>
      <c r="Z12" s="10">
        <f t="shared" si="35"/>
        <v>0.87003800000000098</v>
      </c>
      <c r="AA12" s="15"/>
      <c r="AB12" s="7">
        <f t="shared" si="16"/>
        <v>42309599.999999598</v>
      </c>
      <c r="AC12" s="8">
        <f t="shared" si="17"/>
        <v>42.309599999999598</v>
      </c>
      <c r="AD12" s="8">
        <f t="shared" si="18"/>
        <v>129.89047199999877</v>
      </c>
      <c r="AF12" s="8">
        <f t="shared" si="19"/>
        <v>1.5349999999997976E-2</v>
      </c>
    </row>
    <row r="13" spans="1:32" x14ac:dyDescent="0.2">
      <c r="A13" s="27">
        <v>43321</v>
      </c>
      <c r="B13" s="7">
        <f>'[5]Production Summary'!$K45</f>
        <v>31290000.000000872</v>
      </c>
      <c r="C13" s="8">
        <f t="shared" si="20"/>
        <v>31.290000000000873</v>
      </c>
      <c r="D13" s="10">
        <f t="shared" si="21"/>
        <v>96.06030000000267</v>
      </c>
      <c r="E13" s="7">
        <f>'[5]Production Summary'!$E45</f>
        <v>19000000</v>
      </c>
      <c r="F13" s="8">
        <f t="shared" si="22"/>
        <v>19</v>
      </c>
      <c r="G13" s="10">
        <f t="shared" si="23"/>
        <v>58.33</v>
      </c>
      <c r="H13" s="7">
        <f>'[5]Production Summary'!$G45</f>
        <v>15460000</v>
      </c>
      <c r="I13" s="8">
        <f t="shared" si="24"/>
        <v>15.46</v>
      </c>
      <c r="J13" s="10">
        <f t="shared" si="25"/>
        <v>47.462200000000003</v>
      </c>
      <c r="K13" s="7">
        <f>'[5]Production Summary'!$S45</f>
        <v>32899999.999994181</v>
      </c>
      <c r="L13" s="8">
        <f t="shared" si="26"/>
        <v>32.899999999994179</v>
      </c>
      <c r="M13" s="10">
        <f t="shared" si="27"/>
        <v>101.00299999998212</v>
      </c>
      <c r="N13" s="21"/>
      <c r="O13" s="7">
        <f>'[5]Production Summary'!$I45</f>
        <v>12083700.000000009</v>
      </c>
      <c r="P13" s="8">
        <f t="shared" si="28"/>
        <v>12.083700000000009</v>
      </c>
      <c r="Q13" s="10">
        <f t="shared" si="29"/>
        <v>37.096959000000027</v>
      </c>
      <c r="R13" s="7">
        <f>'[5]Production Summary'!$C45</f>
        <v>12450000</v>
      </c>
      <c r="S13" s="8">
        <f t="shared" si="30"/>
        <v>12.45</v>
      </c>
      <c r="T13" s="10">
        <f t="shared" si="31"/>
        <v>38.221499999999999</v>
      </c>
      <c r="U13" s="7">
        <f>'[5]Production Summary'!$F45</f>
        <v>0</v>
      </c>
      <c r="V13" s="8">
        <f t="shared" si="32"/>
        <v>0</v>
      </c>
      <c r="W13" s="10">
        <f t="shared" si="33"/>
        <v>0</v>
      </c>
      <c r="X13" s="7">
        <f>'[5]Production Summary'!$AB45</f>
        <v>359299.9999999904</v>
      </c>
      <c r="Y13" s="8">
        <f t="shared" si="34"/>
        <v>0.3592999999999904</v>
      </c>
      <c r="Z13" s="10">
        <f t="shared" si="35"/>
        <v>1.1030509999999705</v>
      </c>
      <c r="AA13" s="15"/>
      <c r="AB13" s="7">
        <f t="shared" si="16"/>
        <v>43373700.000000879</v>
      </c>
      <c r="AC13" s="8">
        <f t="shared" si="17"/>
        <v>43.373700000000881</v>
      </c>
      <c r="AD13" s="8">
        <f t="shared" si="18"/>
        <v>133.15725900000268</v>
      </c>
      <c r="AF13" s="8">
        <f t="shared" si="19"/>
        <v>2.1490000000001785E-2</v>
      </c>
    </row>
    <row r="14" spans="1:32" x14ac:dyDescent="0.2">
      <c r="A14" s="27">
        <v>43322</v>
      </c>
      <c r="B14" s="7">
        <f>'[5]Production Summary'!$K46</f>
        <v>30319999.999999709</v>
      </c>
      <c r="C14" s="8">
        <f t="shared" si="20"/>
        <v>30.319999999999709</v>
      </c>
      <c r="D14" s="10">
        <f t="shared" si="21"/>
        <v>93.082399999999097</v>
      </c>
      <c r="E14" s="7">
        <f>'[5]Production Summary'!$E46</f>
        <v>19000000</v>
      </c>
      <c r="F14" s="8">
        <f t="shared" si="22"/>
        <v>19</v>
      </c>
      <c r="G14" s="10">
        <f t="shared" si="23"/>
        <v>58.33</v>
      </c>
      <c r="H14" s="7">
        <f>'[5]Production Summary'!$G46</f>
        <v>14040000</v>
      </c>
      <c r="I14" s="8">
        <f t="shared" si="24"/>
        <v>14.04</v>
      </c>
      <c r="J14" s="10">
        <f t="shared" si="25"/>
        <v>43.102799999999995</v>
      </c>
      <c r="K14" s="7">
        <f>'[5]Production Summary'!$S46</f>
        <v>31600000.000005819</v>
      </c>
      <c r="L14" s="8">
        <f t="shared" si="26"/>
        <v>31.600000000005817</v>
      </c>
      <c r="M14" s="10">
        <f t="shared" si="27"/>
        <v>97.012000000017849</v>
      </c>
      <c r="N14" s="21"/>
      <c r="O14" s="7">
        <f>'[5]Production Summary'!$I46</f>
        <v>9763600.0000000056</v>
      </c>
      <c r="P14" s="8">
        <f t="shared" si="28"/>
        <v>9.7636000000000056</v>
      </c>
      <c r="Q14" s="10">
        <f t="shared" si="29"/>
        <v>29.974252000000014</v>
      </c>
      <c r="R14" s="7">
        <f>'[5]Production Summary'!$C46</f>
        <v>10131000</v>
      </c>
      <c r="S14" s="8">
        <f t="shared" si="30"/>
        <v>10.131</v>
      </c>
      <c r="T14" s="10">
        <f t="shared" si="31"/>
        <v>31.102169999999997</v>
      </c>
      <c r="U14" s="56">
        <f>'[5]Production Summary'!$F46</f>
        <v>752000</v>
      </c>
      <c r="V14" s="8">
        <f t="shared" si="32"/>
        <v>0.752</v>
      </c>
      <c r="W14" s="10">
        <f t="shared" si="33"/>
        <v>2.30864</v>
      </c>
      <c r="X14" s="7">
        <f>'[5]Production Summary'!$AB46</f>
        <v>359399.99999999371</v>
      </c>
      <c r="Y14" s="8">
        <f t="shared" si="34"/>
        <v>0.35939999999999372</v>
      </c>
      <c r="Z14" s="10">
        <f t="shared" si="35"/>
        <v>1.1033579999999807</v>
      </c>
      <c r="AA14" s="15"/>
      <c r="AB14" s="7">
        <f t="shared" si="16"/>
        <v>40083599.999999717</v>
      </c>
      <c r="AC14" s="8">
        <f t="shared" si="17"/>
        <v>40.083599999999713</v>
      </c>
      <c r="AD14" s="8">
        <f t="shared" si="18"/>
        <v>123.0566519999991</v>
      </c>
      <c r="AF14" s="8">
        <f t="shared" si="19"/>
        <v>2.456000000000258E-2</v>
      </c>
    </row>
    <row r="15" spans="1:32" x14ac:dyDescent="0.2">
      <c r="A15" s="27">
        <v>43323</v>
      </c>
      <c r="B15" s="7">
        <f>'[5]Production Summary'!$K47</f>
        <v>31159999.999999855</v>
      </c>
      <c r="C15" s="8">
        <f t="shared" si="20"/>
        <v>31.159999999999854</v>
      </c>
      <c r="D15" s="10">
        <f t="shared" si="21"/>
        <v>95.661199999999553</v>
      </c>
      <c r="E15" s="7">
        <f>'[5]Production Summary'!$E47</f>
        <v>21000000</v>
      </c>
      <c r="F15" s="8">
        <f t="shared" si="22"/>
        <v>21</v>
      </c>
      <c r="G15" s="10">
        <f t="shared" si="23"/>
        <v>64.47</v>
      </c>
      <c r="H15" s="7">
        <f>'[5]Production Summary'!$G47</f>
        <v>13310000</v>
      </c>
      <c r="I15" s="8">
        <f t="shared" si="24"/>
        <v>13.31</v>
      </c>
      <c r="J15" s="10">
        <f t="shared" si="25"/>
        <v>40.861699999999999</v>
      </c>
      <c r="K15" s="7">
        <f>'[5]Production Summary'!$S47</f>
        <v>32699999.999997091</v>
      </c>
      <c r="L15" s="8">
        <f t="shared" si="26"/>
        <v>32.69999999999709</v>
      </c>
      <c r="M15" s="10">
        <f t="shared" si="27"/>
        <v>100.38899999999106</v>
      </c>
      <c r="N15" s="21"/>
      <c r="O15" s="7">
        <f>'[5]Production Summary'!$I47</f>
        <v>11248299.999999996</v>
      </c>
      <c r="P15" s="8">
        <f t="shared" si="28"/>
        <v>11.248299999999997</v>
      </c>
      <c r="Q15" s="10">
        <f t="shared" si="29"/>
        <v>34.53228099999999</v>
      </c>
      <c r="R15" s="7">
        <f>'[5]Production Summary'!$C47</f>
        <v>11609000</v>
      </c>
      <c r="S15" s="8">
        <f t="shared" si="30"/>
        <v>11.609</v>
      </c>
      <c r="T15" s="10">
        <f t="shared" si="31"/>
        <v>35.639629999999997</v>
      </c>
      <c r="U15" s="7">
        <f>'[5]Production Summary'!$F47</f>
        <v>0</v>
      </c>
      <c r="V15" s="8">
        <f t="shared" si="32"/>
        <v>0</v>
      </c>
      <c r="W15" s="10">
        <f t="shared" si="33"/>
        <v>0</v>
      </c>
      <c r="X15" s="7">
        <f>'[5]Production Summary'!$AB47</f>
        <v>353700.00000000343</v>
      </c>
      <c r="Y15" s="8">
        <f t="shared" si="34"/>
        <v>0.35370000000000346</v>
      </c>
      <c r="Z15" s="10">
        <f t="shared" si="35"/>
        <v>1.0858590000000106</v>
      </c>
      <c r="AA15" s="15"/>
      <c r="AB15" s="7">
        <f t="shared" si="16"/>
        <v>42408299.999999851</v>
      </c>
      <c r="AC15" s="8">
        <f t="shared" si="17"/>
        <v>42.408299999999855</v>
      </c>
      <c r="AD15" s="8">
        <f t="shared" si="18"/>
        <v>130.19348099999954</v>
      </c>
      <c r="AF15" s="8">
        <f t="shared" si="19"/>
        <v>2.148999999999579E-2</v>
      </c>
    </row>
    <row r="16" spans="1:32" x14ac:dyDescent="0.2">
      <c r="A16" s="27">
        <v>43324</v>
      </c>
      <c r="B16" s="7">
        <f>'[5]Production Summary'!$K48</f>
        <v>31939999.999999601</v>
      </c>
      <c r="C16" s="8">
        <f t="shared" si="20"/>
        <v>31.9399999999996</v>
      </c>
      <c r="D16" s="10">
        <f t="shared" si="21"/>
        <v>98.055799999998769</v>
      </c>
      <c r="E16" s="7">
        <f>'[5]Production Summary'!$E48</f>
        <v>20000000</v>
      </c>
      <c r="F16" s="8">
        <f t="shared" si="22"/>
        <v>20</v>
      </c>
      <c r="G16" s="10">
        <f t="shared" si="23"/>
        <v>61.4</v>
      </c>
      <c r="H16" s="7">
        <f>'[5]Production Summary'!$G48</f>
        <v>14020000</v>
      </c>
      <c r="I16" s="8">
        <f t="shared" si="24"/>
        <v>14.02</v>
      </c>
      <c r="J16" s="10">
        <f t="shared" si="25"/>
        <v>43.041399999999996</v>
      </c>
      <c r="K16" s="7">
        <f>'[5]Production Summary'!$S48</f>
        <v>33199999.999997091</v>
      </c>
      <c r="L16" s="8">
        <f t="shared" si="26"/>
        <v>33.19999999999709</v>
      </c>
      <c r="M16" s="10">
        <f t="shared" si="27"/>
        <v>101.92399999999105</v>
      </c>
      <c r="N16" s="21"/>
      <c r="O16" s="7">
        <f>'[5]Production Summary'!$I48</f>
        <v>12072699.999999987</v>
      </c>
      <c r="P16" s="8">
        <f t="shared" si="28"/>
        <v>12.072699999999987</v>
      </c>
      <c r="Q16" s="10">
        <f t="shared" si="29"/>
        <v>37.063188999999959</v>
      </c>
      <c r="R16" s="7">
        <f>'[5]Production Summary'!$C48</f>
        <v>12516000</v>
      </c>
      <c r="S16" s="8">
        <f t="shared" si="30"/>
        <v>12.516</v>
      </c>
      <c r="T16" s="10">
        <f t="shared" si="31"/>
        <v>38.424119999999995</v>
      </c>
      <c r="U16" s="7">
        <f>'[5]Production Summary'!$F48</f>
        <v>0</v>
      </c>
      <c r="V16" s="8">
        <f t="shared" si="32"/>
        <v>0</v>
      </c>
      <c r="W16" s="10">
        <f t="shared" si="33"/>
        <v>0</v>
      </c>
      <c r="X16" s="7">
        <f>'[5]Production Summary'!$AB48</f>
        <v>435300.00000001222</v>
      </c>
      <c r="Y16" s="8">
        <f t="shared" si="34"/>
        <v>0.43530000000001223</v>
      </c>
      <c r="Z16" s="10">
        <f t="shared" si="35"/>
        <v>1.3363710000000375</v>
      </c>
      <c r="AA16" s="15"/>
      <c r="AB16" s="7">
        <f t="shared" si="16"/>
        <v>44012699.99999959</v>
      </c>
      <c r="AC16" s="8">
        <f t="shared" si="17"/>
        <v>44.012699999999583</v>
      </c>
      <c r="AD16" s="8">
        <f t="shared" si="18"/>
        <v>135.11898899999872</v>
      </c>
      <c r="AF16" s="8">
        <f t="shared" si="19"/>
        <v>2.4559999999998805E-2</v>
      </c>
    </row>
    <row r="17" spans="1:32" x14ac:dyDescent="0.2">
      <c r="A17" s="27">
        <v>43325</v>
      </c>
      <c r="B17" s="7">
        <f>'[5]Production Summary'!$K49</f>
        <v>34500000</v>
      </c>
      <c r="C17" s="8">
        <f t="shared" si="20"/>
        <v>34.5</v>
      </c>
      <c r="D17" s="10">
        <f t="shared" si="21"/>
        <v>105.91499999999999</v>
      </c>
      <c r="E17" s="7">
        <f>'[5]Production Summary'!$E49</f>
        <v>21000000</v>
      </c>
      <c r="F17" s="8">
        <f t="shared" si="22"/>
        <v>21</v>
      </c>
      <c r="G17" s="10">
        <f t="shared" si="23"/>
        <v>64.47</v>
      </c>
      <c r="H17" s="7">
        <f>'[5]Production Summary'!$G49</f>
        <v>15830000</v>
      </c>
      <c r="I17" s="8">
        <f t="shared" si="24"/>
        <v>15.83</v>
      </c>
      <c r="J17" s="10">
        <f t="shared" si="25"/>
        <v>48.598099999999995</v>
      </c>
      <c r="K17" s="7">
        <f>'[5]Production Summary'!$S49</f>
        <v>35600000.000005819</v>
      </c>
      <c r="L17" s="8">
        <f t="shared" si="26"/>
        <v>35.600000000005821</v>
      </c>
      <c r="M17" s="10">
        <f t="shared" si="27"/>
        <v>109.29200000001786</v>
      </c>
      <c r="N17" s="21"/>
      <c r="O17" s="7">
        <f>'[5]Production Summary'!$I49</f>
        <v>8372700.0000000158</v>
      </c>
      <c r="P17" s="8">
        <f t="shared" si="28"/>
        <v>8.372700000000016</v>
      </c>
      <c r="Q17" s="10">
        <f t="shared" si="29"/>
        <v>25.704189000000049</v>
      </c>
      <c r="R17" s="7">
        <f>'[5]Production Summary'!$C49</f>
        <v>8816000</v>
      </c>
      <c r="S17" s="8">
        <f t="shared" si="30"/>
        <v>8.8160000000000007</v>
      </c>
      <c r="T17" s="10">
        <f t="shared" si="31"/>
        <v>27.06512</v>
      </c>
      <c r="U17" s="7">
        <f>'[5]Production Summary'!$F49</f>
        <v>0</v>
      </c>
      <c r="V17" s="8">
        <f t="shared" si="32"/>
        <v>0</v>
      </c>
      <c r="W17" s="10">
        <f t="shared" si="33"/>
        <v>0</v>
      </c>
      <c r="X17" s="7">
        <f>'[5]Production Summary'!$AB49</f>
        <v>435299.99999998382</v>
      </c>
      <c r="Y17" s="8">
        <f t="shared" si="34"/>
        <v>0.43529999999998381</v>
      </c>
      <c r="Z17" s="10">
        <f t="shared" si="35"/>
        <v>1.3363709999999502</v>
      </c>
      <c r="AA17" s="15"/>
      <c r="AB17" s="7">
        <f t="shared" si="16"/>
        <v>42872700.000000015</v>
      </c>
      <c r="AC17" s="8">
        <f t="shared" si="17"/>
        <v>42.872700000000016</v>
      </c>
      <c r="AD17" s="8">
        <f t="shared" si="18"/>
        <v>131.61918900000003</v>
      </c>
      <c r="AF17" s="8">
        <f t="shared" si="19"/>
        <v>2.4560000000000803E-2</v>
      </c>
    </row>
    <row r="18" spans="1:32" x14ac:dyDescent="0.2">
      <c r="A18" s="27">
        <v>43326</v>
      </c>
      <c r="B18" s="7">
        <f>'[5]Production Summary'!$K50</f>
        <v>37560000.000000402</v>
      </c>
      <c r="C18" s="8">
        <f t="shared" si="20"/>
        <v>37.5600000000004</v>
      </c>
      <c r="D18" s="10">
        <f t="shared" si="21"/>
        <v>115.30920000000123</v>
      </c>
      <c r="E18" s="7">
        <f>'[5]Production Summary'!$E50</f>
        <v>24000000</v>
      </c>
      <c r="F18" s="8">
        <f t="shared" si="22"/>
        <v>24</v>
      </c>
      <c r="G18" s="10">
        <f t="shared" si="23"/>
        <v>73.679999999999993</v>
      </c>
      <c r="H18" s="7">
        <f>'[5]Production Summary'!$G50</f>
        <v>16500000</v>
      </c>
      <c r="I18" s="8">
        <f t="shared" si="24"/>
        <v>16.5</v>
      </c>
      <c r="J18" s="10">
        <f t="shared" si="25"/>
        <v>50.654999999999994</v>
      </c>
      <c r="K18" s="7">
        <f>'[5]Production Summary'!$S50</f>
        <v>38000000</v>
      </c>
      <c r="L18" s="8">
        <f t="shared" si="26"/>
        <v>38</v>
      </c>
      <c r="M18" s="10">
        <f t="shared" si="27"/>
        <v>116.66</v>
      </c>
      <c r="N18" s="21"/>
      <c r="O18" s="7">
        <f>'[5]Production Summary'!$I50</f>
        <v>7094099.9999999823</v>
      </c>
      <c r="P18" s="8">
        <f t="shared" si="28"/>
        <v>7.0940999999999823</v>
      </c>
      <c r="Q18" s="10">
        <f t="shared" si="29"/>
        <v>21.778886999999944</v>
      </c>
      <c r="R18" s="7">
        <f>'[5]Production Summary'!$C50</f>
        <v>7285000</v>
      </c>
      <c r="S18" s="8">
        <f t="shared" si="30"/>
        <v>7.2850000000000001</v>
      </c>
      <c r="T18" s="10">
        <f t="shared" si="31"/>
        <v>22.36495</v>
      </c>
      <c r="U18" s="7">
        <f>'[5]Production Summary'!$F50</f>
        <v>0</v>
      </c>
      <c r="V18" s="8">
        <f t="shared" si="32"/>
        <v>0</v>
      </c>
      <c r="W18" s="10">
        <f t="shared" si="33"/>
        <v>0</v>
      </c>
      <c r="X18" s="7">
        <f>'[5]Production Summary'!$AB50</f>
        <v>188900.00000001804</v>
      </c>
      <c r="Y18" s="8">
        <f t="shared" si="34"/>
        <v>0.18890000000001805</v>
      </c>
      <c r="Z18" s="10">
        <f t="shared" si="35"/>
        <v>0.57992300000005537</v>
      </c>
      <c r="AA18" s="15"/>
      <c r="AB18" s="7">
        <f t="shared" si="16"/>
        <v>44654100.000000387</v>
      </c>
      <c r="AC18" s="8">
        <f t="shared" si="17"/>
        <v>44.654100000000383</v>
      </c>
      <c r="AD18" s="8">
        <f t="shared" si="18"/>
        <v>137.08808700000117</v>
      </c>
      <c r="AF18" s="8">
        <f t="shared" si="19"/>
        <v>6.1400000000008115E-3</v>
      </c>
    </row>
    <row r="19" spans="1:32" x14ac:dyDescent="0.2">
      <c r="A19" s="27">
        <v>43327</v>
      </c>
      <c r="B19" s="7">
        <f>'[5]Production Summary'!$K51</f>
        <v>32029999.999999747</v>
      </c>
      <c r="C19" s="8">
        <f t="shared" si="20"/>
        <v>32.029999999999745</v>
      </c>
      <c r="D19" s="10">
        <f t="shared" si="21"/>
        <v>98.332099999999215</v>
      </c>
      <c r="E19" s="7">
        <f>'[5]Production Summary'!$E51</f>
        <v>21000000</v>
      </c>
      <c r="F19" s="8">
        <f t="shared" si="22"/>
        <v>21</v>
      </c>
      <c r="G19" s="10">
        <f t="shared" si="23"/>
        <v>64.47</v>
      </c>
      <c r="H19" s="7">
        <f>'[5]Production Summary'!$G51</f>
        <v>14360000</v>
      </c>
      <c r="I19" s="8">
        <f t="shared" si="24"/>
        <v>14.36</v>
      </c>
      <c r="J19" s="10">
        <f t="shared" si="25"/>
        <v>44.085199999999993</v>
      </c>
      <c r="K19" s="7">
        <f>'[5]Production Summary'!$S51</f>
        <v>33699999.999997087</v>
      </c>
      <c r="L19" s="8">
        <f t="shared" si="26"/>
        <v>33.69999999999709</v>
      </c>
      <c r="M19" s="10">
        <f t="shared" si="27"/>
        <v>103.45899999999106</v>
      </c>
      <c r="N19" s="21"/>
      <c r="O19" s="7">
        <f>'[5]Production Summary'!$I51</f>
        <v>10185800.000000002</v>
      </c>
      <c r="P19" s="8">
        <f t="shared" si="28"/>
        <v>10.185800000000002</v>
      </c>
      <c r="Q19" s="10">
        <f t="shared" si="29"/>
        <v>31.270406000000005</v>
      </c>
      <c r="R19" s="7">
        <f>'[5]Production Summary'!$C51</f>
        <v>10570000</v>
      </c>
      <c r="S19" s="8">
        <f t="shared" si="30"/>
        <v>10.57</v>
      </c>
      <c r="T19" s="10">
        <f t="shared" si="31"/>
        <v>32.4499</v>
      </c>
      <c r="U19" s="7">
        <f>'[5]Production Summary'!$F51</f>
        <v>0</v>
      </c>
      <c r="V19" s="8">
        <f t="shared" si="32"/>
        <v>0</v>
      </c>
      <c r="W19" s="10">
        <f t="shared" si="33"/>
        <v>0</v>
      </c>
      <c r="X19" s="7">
        <f>'[5]Production Summary'!$AB51</f>
        <v>379199.99999999732</v>
      </c>
      <c r="Y19" s="8">
        <f t="shared" si="34"/>
        <v>0.37919999999999732</v>
      </c>
      <c r="Z19" s="10">
        <f t="shared" si="35"/>
        <v>1.1641439999999916</v>
      </c>
      <c r="AA19" s="15"/>
      <c r="AB19" s="7">
        <f t="shared" si="16"/>
        <v>42215799.999999747</v>
      </c>
      <c r="AC19" s="8">
        <f t="shared" si="17"/>
        <v>42.215799999999746</v>
      </c>
      <c r="AD19" s="8">
        <f t="shared" si="18"/>
        <v>129.60250599999921</v>
      </c>
      <c r="AF19" s="8">
        <f t="shared" si="19"/>
        <v>1.5350000000003083E-2</v>
      </c>
    </row>
    <row r="20" spans="1:32" x14ac:dyDescent="0.2">
      <c r="A20" s="27">
        <v>43328</v>
      </c>
      <c r="B20" s="7">
        <f>'[5]Production Summary'!$K52</f>
        <v>32600000.000000365</v>
      </c>
      <c r="C20" s="8">
        <f t="shared" si="20"/>
        <v>32.600000000000364</v>
      </c>
      <c r="D20" s="10">
        <f t="shared" si="21"/>
        <v>100.08200000000112</v>
      </c>
      <c r="E20" s="7">
        <f>'[5]Production Summary'!$E52</f>
        <v>21000000</v>
      </c>
      <c r="F20" s="8">
        <f t="shared" si="22"/>
        <v>21</v>
      </c>
      <c r="G20" s="10">
        <f t="shared" si="23"/>
        <v>64.47</v>
      </c>
      <c r="H20" s="7">
        <f>'[5]Production Summary'!$G52</f>
        <v>14290000</v>
      </c>
      <c r="I20" s="8">
        <f t="shared" si="24"/>
        <v>14.29</v>
      </c>
      <c r="J20" s="10">
        <f t="shared" si="25"/>
        <v>43.870299999999993</v>
      </c>
      <c r="K20" s="7">
        <f>'[5]Production Summary'!$S52</f>
        <v>34000000</v>
      </c>
      <c r="L20" s="8">
        <f t="shared" si="26"/>
        <v>34</v>
      </c>
      <c r="M20" s="10">
        <f t="shared" si="27"/>
        <v>104.38</v>
      </c>
      <c r="N20" s="21"/>
      <c r="O20" s="7">
        <f>'[5]Production Summary'!$I52</f>
        <v>10644799.999999996</v>
      </c>
      <c r="P20" s="8">
        <f t="shared" si="28"/>
        <v>10.644799999999996</v>
      </c>
      <c r="Q20" s="10">
        <f t="shared" si="29"/>
        <v>32.679535999999985</v>
      </c>
      <c r="R20" s="7">
        <f>'[5]Production Summary'!$C52</f>
        <v>10955000</v>
      </c>
      <c r="S20" s="8">
        <f t="shared" si="30"/>
        <v>10.955</v>
      </c>
      <c r="T20" s="10">
        <f t="shared" si="31"/>
        <v>33.63185</v>
      </c>
      <c r="U20" s="7">
        <f>'[5]Production Summary'!$F52</f>
        <v>0</v>
      </c>
      <c r="V20" s="8">
        <f t="shared" si="32"/>
        <v>0</v>
      </c>
      <c r="W20" s="10">
        <f t="shared" si="33"/>
        <v>0</v>
      </c>
      <c r="X20" s="7">
        <f>'[5]Production Summary'!$AB52</f>
        <v>303200.0000000039</v>
      </c>
      <c r="Y20" s="8">
        <f t="shared" si="34"/>
        <v>0.30320000000000391</v>
      </c>
      <c r="Z20" s="10">
        <f t="shared" si="35"/>
        <v>0.93082400000001198</v>
      </c>
      <c r="AA20" s="15"/>
      <c r="AB20" s="7">
        <f t="shared" si="16"/>
        <v>43244800.000000358</v>
      </c>
      <c r="AC20" s="8">
        <f t="shared" si="17"/>
        <v>43.24480000000036</v>
      </c>
      <c r="AD20" s="8">
        <f t="shared" si="18"/>
        <v>132.76153600000112</v>
      </c>
      <c r="AF20" s="8">
        <f t="shared" si="19"/>
        <v>2.1490000000003451E-2</v>
      </c>
    </row>
    <row r="21" spans="1:32" x14ac:dyDescent="0.2">
      <c r="A21" s="27">
        <v>43329</v>
      </c>
      <c r="B21" s="7">
        <f>'[5]Production Summary'!$K53</f>
        <v>31920000.000000075</v>
      </c>
      <c r="C21" s="8">
        <f t="shared" si="20"/>
        <v>31.920000000000073</v>
      </c>
      <c r="D21" s="10">
        <f t="shared" si="21"/>
        <v>97.994400000000212</v>
      </c>
      <c r="E21" s="7">
        <f>'[5]Production Summary'!$E53</f>
        <v>21000000</v>
      </c>
      <c r="F21" s="8">
        <f t="shared" si="22"/>
        <v>21</v>
      </c>
      <c r="G21" s="10">
        <f t="shared" si="23"/>
        <v>64.47</v>
      </c>
      <c r="H21" s="7">
        <f>'[5]Production Summary'!$G53</f>
        <v>14180000</v>
      </c>
      <c r="I21" s="8">
        <f t="shared" si="24"/>
        <v>14.18</v>
      </c>
      <c r="J21" s="10">
        <f t="shared" si="25"/>
        <v>43.532599999999995</v>
      </c>
      <c r="K21" s="7">
        <f>'[5]Production Summary'!$S53</f>
        <v>33300000.000002909</v>
      </c>
      <c r="L21" s="8">
        <f t="shared" si="26"/>
        <v>33.30000000000291</v>
      </c>
      <c r="M21" s="10">
        <f t="shared" si="27"/>
        <v>102.23100000000893</v>
      </c>
      <c r="N21" s="21"/>
      <c r="O21" s="7">
        <f>'[5]Production Summary'!$I53</f>
        <v>10081800.000000019</v>
      </c>
      <c r="P21" s="8">
        <f t="shared" si="28"/>
        <v>10.081800000000019</v>
      </c>
      <c r="Q21" s="10">
        <f t="shared" si="29"/>
        <v>30.951126000000055</v>
      </c>
      <c r="R21" s="7">
        <f>'[5]Production Summary'!$C53</f>
        <v>10433000</v>
      </c>
      <c r="S21" s="8">
        <f t="shared" si="30"/>
        <v>10.433</v>
      </c>
      <c r="T21" s="10">
        <f t="shared" si="31"/>
        <v>32.029309999999995</v>
      </c>
      <c r="U21" s="7">
        <f>'[5]Production Summary'!$F53</f>
        <v>0</v>
      </c>
      <c r="V21" s="8">
        <f t="shared" si="32"/>
        <v>0</v>
      </c>
      <c r="W21" s="10">
        <f t="shared" si="33"/>
        <v>0</v>
      </c>
      <c r="X21" s="7">
        <f>'[5]Production Summary'!$AB53</f>
        <v>346199.99999998184</v>
      </c>
      <c r="Y21" s="8">
        <f t="shared" si="34"/>
        <v>0.34619999999998186</v>
      </c>
      <c r="Z21" s="10">
        <f t="shared" si="35"/>
        <v>1.0628339999999443</v>
      </c>
      <c r="AA21" s="15"/>
      <c r="AB21" s="7">
        <f t="shared" si="16"/>
        <v>42001800.000000089</v>
      </c>
      <c r="AC21" s="8">
        <f t="shared" si="17"/>
        <v>42.001800000000088</v>
      </c>
      <c r="AD21" s="8">
        <f t="shared" si="18"/>
        <v>128.94552600000026</v>
      </c>
      <c r="AF21" s="8">
        <f t="shared" si="19"/>
        <v>1.5349999999995534E-2</v>
      </c>
    </row>
    <row r="22" spans="1:32" x14ac:dyDescent="0.2">
      <c r="A22" s="27">
        <v>43330</v>
      </c>
      <c r="B22" s="7">
        <f>'[5]Production Summary'!$K54</f>
        <v>34479999.99999956</v>
      </c>
      <c r="C22" s="8">
        <f t="shared" si="20"/>
        <v>34.479999999999563</v>
      </c>
      <c r="D22" s="10">
        <f t="shared" si="21"/>
        <v>105.85359999999865</v>
      </c>
      <c r="E22" s="7">
        <f>'[5]Production Summary'!$E54</f>
        <v>22000000</v>
      </c>
      <c r="F22" s="8">
        <f t="shared" si="22"/>
        <v>22</v>
      </c>
      <c r="G22" s="10">
        <f t="shared" si="23"/>
        <v>67.539999999999992</v>
      </c>
      <c r="H22" s="7">
        <f>'[5]Production Summary'!$G54</f>
        <v>15950000</v>
      </c>
      <c r="I22" s="8">
        <f t="shared" si="24"/>
        <v>15.95</v>
      </c>
      <c r="J22" s="10">
        <f t="shared" si="25"/>
        <v>48.966499999999996</v>
      </c>
      <c r="K22" s="7">
        <f>'[5]Production Summary'!$S54</f>
        <v>36000000</v>
      </c>
      <c r="L22" s="8">
        <f t="shared" si="26"/>
        <v>36</v>
      </c>
      <c r="M22" s="10">
        <f t="shared" si="27"/>
        <v>110.52</v>
      </c>
      <c r="N22" s="21"/>
      <c r="O22" s="7">
        <f>'[5]Production Summary'!$I54</f>
        <v>7553999.9999999888</v>
      </c>
      <c r="P22" s="8">
        <f t="shared" si="28"/>
        <v>7.5539999999999887</v>
      </c>
      <c r="Q22" s="10">
        <f t="shared" si="29"/>
        <v>23.190779999999965</v>
      </c>
      <c r="R22" s="7">
        <f>'[5]Production Summary'!$C54</f>
        <v>7865000</v>
      </c>
      <c r="S22" s="8">
        <f t="shared" si="30"/>
        <v>7.8650000000000002</v>
      </c>
      <c r="T22" s="10">
        <f t="shared" si="31"/>
        <v>24.14555</v>
      </c>
      <c r="U22" s="7">
        <f>'[5]Production Summary'!$F54</f>
        <v>0</v>
      </c>
      <c r="V22" s="8">
        <f t="shared" si="32"/>
        <v>0</v>
      </c>
      <c r="W22" s="10">
        <f t="shared" si="33"/>
        <v>0</v>
      </c>
      <c r="X22" s="7">
        <f>'[5]Production Summary'!$AB54</f>
        <v>306000.00000001158</v>
      </c>
      <c r="Y22" s="8">
        <f t="shared" si="34"/>
        <v>0.3060000000000116</v>
      </c>
      <c r="Z22" s="10">
        <f t="shared" si="35"/>
        <v>0.93942000000003556</v>
      </c>
      <c r="AA22" s="15"/>
      <c r="AB22" s="7">
        <f t="shared" si="16"/>
        <v>42033999.999999553</v>
      </c>
      <c r="AC22" s="8">
        <f t="shared" si="17"/>
        <v>42.033999999999551</v>
      </c>
      <c r="AD22" s="8">
        <f t="shared" si="18"/>
        <v>129.04437999999863</v>
      </c>
      <c r="AF22" s="8">
        <f t="shared" si="19"/>
        <v>1.5349999999999864E-2</v>
      </c>
    </row>
    <row r="23" spans="1:32" x14ac:dyDescent="0.2">
      <c r="A23" s="27">
        <v>43331</v>
      </c>
      <c r="B23" s="7">
        <f>'[5]Production Summary'!$K55</f>
        <v>36600000.000000365</v>
      </c>
      <c r="C23" s="8">
        <f t="shared" si="20"/>
        <v>36.600000000000364</v>
      </c>
      <c r="D23" s="10">
        <f t="shared" si="21"/>
        <v>112.36200000000112</v>
      </c>
      <c r="E23" s="7">
        <f>'[5]Production Summary'!$E55</f>
        <v>23000000</v>
      </c>
      <c r="F23" s="8">
        <f t="shared" si="22"/>
        <v>23</v>
      </c>
      <c r="G23" s="10">
        <f t="shared" si="23"/>
        <v>70.61</v>
      </c>
      <c r="H23" s="7">
        <f>'[5]Production Summary'!$G55</f>
        <v>16590000</v>
      </c>
      <c r="I23" s="8">
        <f t="shared" si="24"/>
        <v>16.59</v>
      </c>
      <c r="J23" s="10">
        <f t="shared" si="25"/>
        <v>50.9313</v>
      </c>
      <c r="K23" s="7">
        <f>'[5]Production Summary'!$S55</f>
        <v>37199999.999997087</v>
      </c>
      <c r="L23" s="8">
        <f t="shared" si="26"/>
        <v>37.19999999999709</v>
      </c>
      <c r="M23" s="10">
        <f t="shared" si="27"/>
        <v>114.20399999999105</v>
      </c>
      <c r="N23" s="21"/>
      <c r="O23" s="7">
        <f>'[5]Production Summary'!$I55</f>
        <v>9676500.0000000149</v>
      </c>
      <c r="P23" s="8">
        <f t="shared" si="28"/>
        <v>9.676500000000015</v>
      </c>
      <c r="Q23" s="10">
        <f t="shared" si="29"/>
        <v>29.706855000000044</v>
      </c>
      <c r="R23" s="7">
        <f>'[5]Production Summary'!$C55</f>
        <v>10081000</v>
      </c>
      <c r="S23" s="8">
        <f t="shared" si="30"/>
        <v>10.081</v>
      </c>
      <c r="T23" s="10">
        <f t="shared" si="31"/>
        <v>30.948669999999996</v>
      </c>
      <c r="U23" s="7">
        <f>'[5]Production Summary'!$F55</f>
        <v>0</v>
      </c>
      <c r="V23" s="8">
        <f t="shared" si="32"/>
        <v>0</v>
      </c>
      <c r="W23" s="10">
        <f t="shared" si="33"/>
        <v>0</v>
      </c>
      <c r="X23" s="7">
        <f>'[5]Production Summary'!$AB55</f>
        <v>398499.99999998428</v>
      </c>
      <c r="Y23" s="8">
        <f t="shared" si="34"/>
        <v>0.39849999999998431</v>
      </c>
      <c r="Z23" s="10">
        <f t="shared" si="35"/>
        <v>1.2233949999999518</v>
      </c>
      <c r="AA23" s="15"/>
      <c r="AB23" s="7">
        <f t="shared" si="16"/>
        <v>46276500.00000038</v>
      </c>
      <c r="AC23" s="8">
        <f t="shared" si="17"/>
        <v>46.276500000000382</v>
      </c>
      <c r="AD23" s="8">
        <f t="shared" si="18"/>
        <v>142.06885500000115</v>
      </c>
      <c r="AF23" s="8">
        <f t="shared" si="19"/>
        <v>1.8420000000000991E-2</v>
      </c>
    </row>
    <row r="24" spans="1:32" x14ac:dyDescent="0.2">
      <c r="A24" s="27">
        <v>43332</v>
      </c>
      <c r="B24" s="7">
        <f>'[5]Production Summary'!$K56</f>
        <v>32819999.999999709</v>
      </c>
      <c r="C24" s="8">
        <f t="shared" si="20"/>
        <v>32.819999999999709</v>
      </c>
      <c r="D24" s="10">
        <f t="shared" si="21"/>
        <v>100.75739999999909</v>
      </c>
      <c r="E24" s="7">
        <f>'[5]Production Summary'!$E56</f>
        <v>22000000</v>
      </c>
      <c r="F24" s="8">
        <f t="shared" si="22"/>
        <v>22</v>
      </c>
      <c r="G24" s="10">
        <f t="shared" si="23"/>
        <v>67.539999999999992</v>
      </c>
      <c r="H24" s="7">
        <f>'[5]Production Summary'!$G56</f>
        <v>15000000</v>
      </c>
      <c r="I24" s="8">
        <f t="shared" si="24"/>
        <v>15</v>
      </c>
      <c r="J24" s="10">
        <f t="shared" si="25"/>
        <v>46.05</v>
      </c>
      <c r="K24" s="7">
        <f>'[5]Production Summary'!$S56</f>
        <v>35199999.999997087</v>
      </c>
      <c r="L24" s="8">
        <f t="shared" si="26"/>
        <v>35.19999999999709</v>
      </c>
      <c r="M24" s="10">
        <f t="shared" si="27"/>
        <v>108.06399999999105</v>
      </c>
      <c r="N24" s="21"/>
      <c r="O24" s="7">
        <f>'[5]Production Summary'!$I56</f>
        <v>7621299.9999999749</v>
      </c>
      <c r="P24" s="8">
        <f t="shared" si="28"/>
        <v>7.6212999999999749</v>
      </c>
      <c r="Q24" s="10">
        <f t="shared" si="29"/>
        <v>23.397390999999921</v>
      </c>
      <c r="R24" s="7">
        <f>'[5]Production Summary'!$C56</f>
        <v>8047000</v>
      </c>
      <c r="S24" s="8">
        <f t="shared" si="30"/>
        <v>8.0470000000000006</v>
      </c>
      <c r="T24" s="10">
        <f t="shared" si="31"/>
        <v>24.70429</v>
      </c>
      <c r="U24" s="7">
        <f>'[5]Production Summary'!$F56</f>
        <v>0</v>
      </c>
      <c r="V24" s="8">
        <f t="shared" si="32"/>
        <v>0</v>
      </c>
      <c r="W24" s="10">
        <f t="shared" si="33"/>
        <v>0</v>
      </c>
      <c r="X24" s="7">
        <f>'[5]Production Summary'!$AB56</f>
        <v>417700.00000002485</v>
      </c>
      <c r="Y24" s="8">
        <f t="shared" si="34"/>
        <v>0.41770000000002483</v>
      </c>
      <c r="Z24" s="10">
        <f t="shared" si="35"/>
        <v>1.2823390000000761</v>
      </c>
      <c r="AA24" s="15"/>
      <c r="AB24" s="7">
        <f t="shared" si="16"/>
        <v>40441299.999999687</v>
      </c>
      <c r="AC24" s="8">
        <f t="shared" si="17"/>
        <v>40.441299999999686</v>
      </c>
      <c r="AD24" s="8">
        <f t="shared" si="18"/>
        <v>124.15479099999902</v>
      </c>
      <c r="AF24" s="8">
        <f t="shared" si="19"/>
        <v>2.4560000000003468E-2</v>
      </c>
    </row>
    <row r="25" spans="1:32" x14ac:dyDescent="0.2">
      <c r="A25" s="27">
        <v>43333</v>
      </c>
      <c r="B25" s="7">
        <f>'[5]Production Summary'!$K57</f>
        <v>32070000.000000618</v>
      </c>
      <c r="C25" s="8">
        <f t="shared" si="20"/>
        <v>32.070000000000618</v>
      </c>
      <c r="D25" s="10">
        <f t="shared" si="21"/>
        <v>98.454900000001899</v>
      </c>
      <c r="E25" s="7">
        <f>'[5]Production Summary'!$E57</f>
        <v>21000000</v>
      </c>
      <c r="F25" s="8">
        <f t="shared" si="22"/>
        <v>21</v>
      </c>
      <c r="G25" s="10">
        <f t="shared" si="23"/>
        <v>64.47</v>
      </c>
      <c r="H25" s="7">
        <f>'[5]Production Summary'!$G57</f>
        <v>14290000</v>
      </c>
      <c r="I25" s="8">
        <f t="shared" si="24"/>
        <v>14.29</v>
      </c>
      <c r="J25" s="10">
        <f t="shared" si="25"/>
        <v>43.870299999999993</v>
      </c>
      <c r="K25" s="7">
        <f>'[5]Production Summary'!$S57</f>
        <v>33400000.000001457</v>
      </c>
      <c r="L25" s="8">
        <f t="shared" si="26"/>
        <v>33.400000000001455</v>
      </c>
      <c r="M25" s="10">
        <f t="shared" si="27"/>
        <v>102.53800000000446</v>
      </c>
      <c r="N25" s="21"/>
      <c r="O25" s="7">
        <f>'[5]Production Summary'!$I57</f>
        <v>8092899.9999999972</v>
      </c>
      <c r="P25" s="8">
        <f t="shared" si="28"/>
        <v>8.0928999999999967</v>
      </c>
      <c r="Q25" s="10">
        <f t="shared" si="29"/>
        <v>24.845202999999987</v>
      </c>
      <c r="R25" s="7">
        <f>'[5]Production Summary'!$C57</f>
        <v>8329000</v>
      </c>
      <c r="S25" s="8">
        <f t="shared" si="30"/>
        <v>8.3290000000000006</v>
      </c>
      <c r="T25" s="10">
        <f t="shared" si="31"/>
        <v>25.570029999999999</v>
      </c>
      <c r="U25" s="7">
        <f>'[5]Production Summary'!$F57</f>
        <v>0</v>
      </c>
      <c r="V25" s="8">
        <f t="shared" si="32"/>
        <v>0</v>
      </c>
      <c r="W25" s="10">
        <f t="shared" si="33"/>
        <v>0</v>
      </c>
      <c r="X25" s="7">
        <f>'[5]Production Summary'!$AB57</f>
        <v>232100.00000000265</v>
      </c>
      <c r="Y25" s="8">
        <f t="shared" si="34"/>
        <v>0.23210000000000264</v>
      </c>
      <c r="Z25" s="10">
        <f t="shared" si="35"/>
        <v>0.71254700000000804</v>
      </c>
      <c r="AA25" s="15"/>
      <c r="AB25" s="7">
        <f t="shared" si="16"/>
        <v>40162900.000000618</v>
      </c>
      <c r="AC25" s="8">
        <f t="shared" si="17"/>
        <v>40.162900000000619</v>
      </c>
      <c r="AD25" s="8">
        <f t="shared" si="18"/>
        <v>123.30010300000188</v>
      </c>
      <c r="AF25" s="8">
        <f t="shared" si="19"/>
        <v>1.2280000000003843E-2</v>
      </c>
    </row>
    <row r="26" spans="1:32" x14ac:dyDescent="0.2">
      <c r="A26" s="27">
        <v>43334</v>
      </c>
      <c r="B26" s="7">
        <f>'[5]Production Summary'!$K58</f>
        <v>33059999.99999949</v>
      </c>
      <c r="C26" s="8">
        <f t="shared" si="20"/>
        <v>33.059999999999491</v>
      </c>
      <c r="D26" s="10">
        <f t="shared" si="21"/>
        <v>101.49419999999843</v>
      </c>
      <c r="E26" s="7">
        <f>'[5]Production Summary'!$E58</f>
        <v>21000000</v>
      </c>
      <c r="F26" s="8">
        <f t="shared" si="22"/>
        <v>21</v>
      </c>
      <c r="G26" s="10">
        <f t="shared" si="23"/>
        <v>64.47</v>
      </c>
      <c r="H26" s="7">
        <f>'[5]Production Summary'!$G58</f>
        <v>15610000</v>
      </c>
      <c r="I26" s="8">
        <f t="shared" si="24"/>
        <v>15.61</v>
      </c>
      <c r="J26" s="10">
        <f t="shared" si="25"/>
        <v>47.922699999999999</v>
      </c>
      <c r="K26" s="7">
        <f>'[5]Production Summary'!$S58</f>
        <v>34900000.000001453</v>
      </c>
      <c r="L26" s="8">
        <f t="shared" si="26"/>
        <v>34.900000000001455</v>
      </c>
      <c r="M26" s="10">
        <f t="shared" si="27"/>
        <v>107.14300000000446</v>
      </c>
      <c r="N26" s="21"/>
      <c r="O26" s="7">
        <f>'[5]Production Summary'!$I58</f>
        <v>8708300.0000000075</v>
      </c>
      <c r="P26" s="8">
        <f t="shared" si="28"/>
        <v>8.7083000000000066</v>
      </c>
      <c r="Q26" s="10">
        <f t="shared" si="29"/>
        <v>26.73448100000002</v>
      </c>
      <c r="R26" s="7">
        <f>'[5]Production Summary'!$C58</f>
        <v>9048000</v>
      </c>
      <c r="S26" s="8">
        <f t="shared" si="30"/>
        <v>9.048</v>
      </c>
      <c r="T26" s="10">
        <f t="shared" si="31"/>
        <v>27.777359999999998</v>
      </c>
      <c r="U26" s="7">
        <f>'[5]Production Summary'!$F58</f>
        <v>0</v>
      </c>
      <c r="V26" s="8">
        <f t="shared" si="32"/>
        <v>0</v>
      </c>
      <c r="W26" s="10">
        <f t="shared" si="33"/>
        <v>0</v>
      </c>
      <c r="X26" s="7">
        <f>'[5]Production Summary'!$AB58</f>
        <v>333699.99999999325</v>
      </c>
      <c r="Y26" s="8">
        <f t="shared" si="34"/>
        <v>0.33369999999999322</v>
      </c>
      <c r="Z26" s="10">
        <f t="shared" si="35"/>
        <v>1.0244589999999791</v>
      </c>
      <c r="AA26" s="15"/>
      <c r="AB26" s="7">
        <f t="shared" si="16"/>
        <v>41768299.999999493</v>
      </c>
      <c r="AC26" s="8">
        <f t="shared" si="17"/>
        <v>41.768299999999499</v>
      </c>
      <c r="AD26" s="8">
        <f t="shared" si="18"/>
        <v>128.22868099999846</v>
      </c>
      <c r="AF26" s="8">
        <f t="shared" si="19"/>
        <v>1.8419999999998771E-2</v>
      </c>
    </row>
    <row r="27" spans="1:32" x14ac:dyDescent="0.2">
      <c r="A27" s="27">
        <v>43335</v>
      </c>
      <c r="B27" s="7">
        <f>'[5]Production Summary'!$K59</f>
        <v>31060000.000000399</v>
      </c>
      <c r="C27" s="8">
        <f t="shared" si="20"/>
        <v>31.0600000000004</v>
      </c>
      <c r="D27" s="10">
        <f t="shared" si="21"/>
        <v>95.354200000001228</v>
      </c>
      <c r="E27" s="7">
        <f>'[5]Production Summary'!$E59</f>
        <v>19000000</v>
      </c>
      <c r="F27" s="8">
        <f t="shared" si="22"/>
        <v>19</v>
      </c>
      <c r="G27" s="10">
        <f t="shared" si="23"/>
        <v>58.33</v>
      </c>
      <c r="H27" s="7">
        <f>'[5]Production Summary'!$G59</f>
        <v>15790000</v>
      </c>
      <c r="I27" s="8">
        <f t="shared" si="24"/>
        <v>15.79</v>
      </c>
      <c r="J27" s="10">
        <f t="shared" si="25"/>
        <v>48.475299999999997</v>
      </c>
      <c r="K27" s="7">
        <f>'[5]Production Summary'!$S59</f>
        <v>32400000.000001457</v>
      </c>
      <c r="L27" s="8">
        <f t="shared" si="26"/>
        <v>32.400000000001455</v>
      </c>
      <c r="M27" s="10">
        <f t="shared" si="27"/>
        <v>99.468000000004466</v>
      </c>
      <c r="N27" s="21"/>
      <c r="O27" s="7">
        <f>'[5]Production Summary'!$I59</f>
        <v>8535999.9999999944</v>
      </c>
      <c r="P27" s="8">
        <f t="shared" si="28"/>
        <v>8.5359999999999943</v>
      </c>
      <c r="Q27" s="10">
        <f t="shared" si="29"/>
        <v>26.205519999999982</v>
      </c>
      <c r="R27" s="7">
        <f>'[5]Production Summary'!$C59</f>
        <v>8943000</v>
      </c>
      <c r="S27" s="8">
        <f t="shared" si="30"/>
        <v>8.9429999999999996</v>
      </c>
      <c r="T27" s="10">
        <f t="shared" si="31"/>
        <v>27.455009999999998</v>
      </c>
      <c r="U27" s="7">
        <f>'[5]Production Summary'!$F59</f>
        <v>0</v>
      </c>
      <c r="V27" s="8">
        <f t="shared" si="32"/>
        <v>0</v>
      </c>
      <c r="W27" s="10">
        <f t="shared" si="33"/>
        <v>0</v>
      </c>
      <c r="X27" s="7">
        <f>'[5]Production Summary'!$AB59</f>
        <v>400000.0000000057</v>
      </c>
      <c r="Y27" s="8">
        <f t="shared" si="34"/>
        <v>0.40000000000000568</v>
      </c>
      <c r="Z27" s="10">
        <f t="shared" si="35"/>
        <v>1.2280000000000173</v>
      </c>
      <c r="AA27" s="15"/>
      <c r="AB27" s="7">
        <f t="shared" si="16"/>
        <v>39596000.000000395</v>
      </c>
      <c r="AC27" s="8">
        <f t="shared" si="17"/>
        <v>39.596000000000394</v>
      </c>
      <c r="AD27" s="8">
        <f t="shared" si="18"/>
        <v>121.55972000000121</v>
      </c>
      <c r="AF27" s="8">
        <f t="shared" si="19"/>
        <v>2.1489999999998455E-2</v>
      </c>
    </row>
    <row r="28" spans="1:32" x14ac:dyDescent="0.2">
      <c r="A28" s="27">
        <v>43336</v>
      </c>
      <c r="B28" s="7">
        <f>'[5]Production Summary'!$K60</f>
        <v>35139999.999999419</v>
      </c>
      <c r="C28" s="8">
        <f t="shared" si="20"/>
        <v>35.139999999999418</v>
      </c>
      <c r="D28" s="10">
        <f t="shared" si="21"/>
        <v>107.87979999999821</v>
      </c>
      <c r="E28" s="7">
        <f>'[5]Production Summary'!$E60</f>
        <v>22000000</v>
      </c>
      <c r="F28" s="8">
        <f t="shared" si="22"/>
        <v>22</v>
      </c>
      <c r="G28" s="10">
        <f t="shared" si="23"/>
        <v>67.539999999999992</v>
      </c>
      <c r="H28" s="7">
        <f>'[5]Production Summary'!$G60</f>
        <v>16320000</v>
      </c>
      <c r="I28" s="8">
        <f t="shared" si="24"/>
        <v>16.32</v>
      </c>
      <c r="J28" s="10">
        <f t="shared" si="25"/>
        <v>50.102399999999996</v>
      </c>
      <c r="K28" s="7">
        <f>'[5]Production Summary'!$S60</f>
        <v>36799999.999995634</v>
      </c>
      <c r="L28" s="8">
        <f t="shared" si="26"/>
        <v>36.799999999995634</v>
      </c>
      <c r="M28" s="10">
        <f t="shared" si="27"/>
        <v>112.9759999999866</v>
      </c>
      <c r="N28" s="21"/>
      <c r="O28" s="7">
        <f>'[5]Production Summary'!$I60</f>
        <v>8541600.0000000168</v>
      </c>
      <c r="P28" s="8">
        <f t="shared" si="28"/>
        <v>8.5416000000000167</v>
      </c>
      <c r="Q28" s="10">
        <f t="shared" si="29"/>
        <v>26.222712000000051</v>
      </c>
      <c r="R28" s="7">
        <f>'[5]Production Summary'!$C60</f>
        <v>8862000</v>
      </c>
      <c r="S28" s="8">
        <f t="shared" si="30"/>
        <v>8.8620000000000001</v>
      </c>
      <c r="T28" s="10">
        <f t="shared" si="31"/>
        <v>27.206339999999997</v>
      </c>
      <c r="U28" s="7">
        <f>'[5]Production Summary'!$F60</f>
        <v>0</v>
      </c>
      <c r="V28" s="8">
        <f t="shared" si="32"/>
        <v>0</v>
      </c>
      <c r="W28" s="10">
        <f t="shared" si="33"/>
        <v>0</v>
      </c>
      <c r="X28" s="7">
        <f>'[5]Production Summary'!$AB60</f>
        <v>315399.9999999826</v>
      </c>
      <c r="Y28" s="8">
        <f t="shared" si="34"/>
        <v>0.31539999999998258</v>
      </c>
      <c r="Z28" s="10">
        <f t="shared" si="35"/>
        <v>0.96827799999994646</v>
      </c>
      <c r="AA28" s="15"/>
      <c r="AB28" s="7">
        <f t="shared" si="16"/>
        <v>43681599.999999434</v>
      </c>
      <c r="AC28" s="8">
        <f t="shared" si="17"/>
        <v>43.681599999999435</v>
      </c>
      <c r="AD28" s="8">
        <f t="shared" si="18"/>
        <v>134.10251199999826</v>
      </c>
      <c r="AF28" s="8">
        <f t="shared" si="19"/>
        <v>1.5349999999999753E-2</v>
      </c>
    </row>
    <row r="29" spans="1:32" x14ac:dyDescent="0.2">
      <c r="A29" s="27">
        <v>43337</v>
      </c>
      <c r="B29" s="7">
        <f>'[5]Production Summary'!$K61</f>
        <v>34980000.000000469</v>
      </c>
      <c r="C29" s="8">
        <f t="shared" si="20"/>
        <v>34.980000000000473</v>
      </c>
      <c r="D29" s="10">
        <f t="shared" si="21"/>
        <v>107.38860000000145</v>
      </c>
      <c r="E29" s="7">
        <f>'[5]Production Summary'!$E61</f>
        <v>23000000</v>
      </c>
      <c r="F29" s="8">
        <f t="shared" si="22"/>
        <v>23</v>
      </c>
      <c r="G29" s="10">
        <f t="shared" si="23"/>
        <v>70.61</v>
      </c>
      <c r="H29" s="7">
        <f>'[5]Production Summary'!$G61</f>
        <v>15250000</v>
      </c>
      <c r="I29" s="8">
        <f t="shared" si="24"/>
        <v>15.25</v>
      </c>
      <c r="J29" s="10">
        <f t="shared" si="25"/>
        <v>46.817499999999995</v>
      </c>
      <c r="K29" s="7">
        <f>'[5]Production Summary'!$S61</f>
        <v>36200000.000004366</v>
      </c>
      <c r="L29" s="8">
        <f t="shared" si="26"/>
        <v>36.200000000004366</v>
      </c>
      <c r="M29" s="10">
        <f t="shared" si="27"/>
        <v>111.1340000000134</v>
      </c>
      <c r="N29" s="21"/>
      <c r="O29" s="7">
        <f>'[5]Production Summary'!$I61</f>
        <v>8476099.9999999851</v>
      </c>
      <c r="P29" s="8">
        <f t="shared" si="28"/>
        <v>8.4760999999999846</v>
      </c>
      <c r="Q29" s="10">
        <f t="shared" si="29"/>
        <v>26.021626999999953</v>
      </c>
      <c r="R29" s="7">
        <f>'[5]Production Summary'!$C61</f>
        <v>8860000</v>
      </c>
      <c r="S29" s="8">
        <f t="shared" si="30"/>
        <v>8.86</v>
      </c>
      <c r="T29" s="10">
        <f t="shared" si="31"/>
        <v>27.200199999999995</v>
      </c>
      <c r="U29" s="7">
        <f>'[5]Production Summary'!$F61</f>
        <v>0</v>
      </c>
      <c r="V29" s="8">
        <f t="shared" si="32"/>
        <v>0</v>
      </c>
      <c r="W29" s="10">
        <f t="shared" si="33"/>
        <v>0</v>
      </c>
      <c r="X29" s="7">
        <f>'[5]Production Summary'!$AB61</f>
        <v>378900.00000001577</v>
      </c>
      <c r="Y29" s="8">
        <f t="shared" si="34"/>
        <v>0.37890000000001578</v>
      </c>
      <c r="Z29" s="10">
        <f t="shared" si="35"/>
        <v>1.1632230000000483</v>
      </c>
      <c r="AA29" s="15"/>
      <c r="AB29" s="7">
        <f t="shared" si="16"/>
        <v>43456100.000000454</v>
      </c>
      <c r="AC29" s="8">
        <f t="shared" si="17"/>
        <v>43.456100000000461</v>
      </c>
      <c r="AD29" s="8">
        <f t="shared" si="18"/>
        <v>133.41022700000138</v>
      </c>
      <c r="AF29" s="8">
        <f t="shared" si="19"/>
        <v>1.5349999999994424E-2</v>
      </c>
    </row>
    <row r="30" spans="1:32" x14ac:dyDescent="0.2">
      <c r="A30" s="27">
        <v>43338</v>
      </c>
      <c r="B30" s="7">
        <f>'[5]Production Summary'!$K62</f>
        <v>31779999.999999747</v>
      </c>
      <c r="C30" s="8">
        <f t="shared" si="20"/>
        <v>31.779999999999745</v>
      </c>
      <c r="D30" s="10">
        <f t="shared" si="21"/>
        <v>97.564599999999217</v>
      </c>
      <c r="E30" s="7">
        <f>'[5]Production Summary'!$E62</f>
        <v>21000000</v>
      </c>
      <c r="F30" s="8">
        <f t="shared" si="22"/>
        <v>21</v>
      </c>
      <c r="G30" s="10">
        <f t="shared" si="23"/>
        <v>64.47</v>
      </c>
      <c r="H30" s="7">
        <f>'[5]Production Summary'!$G62</f>
        <v>14600000</v>
      </c>
      <c r="I30" s="8">
        <f t="shared" si="24"/>
        <v>14.6</v>
      </c>
      <c r="J30" s="10">
        <f t="shared" si="25"/>
        <v>44.821999999999996</v>
      </c>
      <c r="K30" s="7">
        <f>'[5]Production Summary'!$S62</f>
        <v>34099999.999998547</v>
      </c>
      <c r="L30" s="8">
        <f t="shared" si="26"/>
        <v>34.099999999998545</v>
      </c>
      <c r="M30" s="10">
        <f t="shared" si="27"/>
        <v>104.68699999999552</v>
      </c>
      <c r="N30" s="21"/>
      <c r="O30" s="7">
        <f>'[5]Production Summary'!$I62</f>
        <v>7644600.000000014</v>
      </c>
      <c r="P30" s="8">
        <f t="shared" si="28"/>
        <v>7.6446000000000138</v>
      </c>
      <c r="Q30" s="10">
        <f t="shared" si="29"/>
        <v>23.468922000000042</v>
      </c>
      <c r="R30" s="7">
        <f>'[5]Production Summary'!$C62</f>
        <v>7816000</v>
      </c>
      <c r="S30" s="8">
        <f t="shared" si="30"/>
        <v>7.8159999999999998</v>
      </c>
      <c r="T30" s="10">
        <f t="shared" si="31"/>
        <v>23.99512</v>
      </c>
      <c r="U30" s="7">
        <f>'[5]Production Summary'!$F62</f>
        <v>0</v>
      </c>
      <c r="V30" s="8">
        <f t="shared" si="32"/>
        <v>0</v>
      </c>
      <c r="W30" s="10">
        <f t="shared" si="33"/>
        <v>0</v>
      </c>
      <c r="X30" s="7">
        <f>'[5]Production Summary'!$AB62</f>
        <v>167399.99999998644</v>
      </c>
      <c r="Y30" s="8">
        <f t="shared" si="34"/>
        <v>0.16739999999998645</v>
      </c>
      <c r="Z30" s="10">
        <f t="shared" si="35"/>
        <v>0.51391799999995835</v>
      </c>
      <c r="AA30" s="15"/>
      <c r="AB30" s="7">
        <f t="shared" si="16"/>
        <v>39424599.999999762</v>
      </c>
      <c r="AC30" s="8">
        <f t="shared" si="17"/>
        <v>39.424599999999757</v>
      </c>
      <c r="AD30" s="8">
        <f t="shared" si="18"/>
        <v>121.03352199999927</v>
      </c>
      <c r="AF30" s="8">
        <f t="shared" si="19"/>
        <v>1.2279999999999847E-2</v>
      </c>
    </row>
    <row r="31" spans="1:32" x14ac:dyDescent="0.2">
      <c r="A31" s="27">
        <v>43339</v>
      </c>
      <c r="B31" s="7">
        <f>'[5]Production Summary'!$K63</f>
        <v>28890000.000000328</v>
      </c>
      <c r="C31" s="8">
        <f t="shared" si="20"/>
        <v>28.890000000000327</v>
      </c>
      <c r="D31" s="10">
        <f t="shared" si="21"/>
        <v>88.692300000000998</v>
      </c>
      <c r="E31" s="7">
        <f>'[5]Production Summary'!$E63</f>
        <v>17000000</v>
      </c>
      <c r="F31" s="8">
        <f t="shared" si="22"/>
        <v>17</v>
      </c>
      <c r="G31" s="10">
        <f t="shared" si="23"/>
        <v>52.19</v>
      </c>
      <c r="H31" s="7">
        <f>'[5]Production Summary'!$G63</f>
        <v>14260000</v>
      </c>
      <c r="I31" s="8">
        <f t="shared" si="24"/>
        <v>14.26</v>
      </c>
      <c r="J31" s="10">
        <f t="shared" si="25"/>
        <v>43.778199999999998</v>
      </c>
      <c r="K31" s="7">
        <f>'[5]Production Summary'!$S63</f>
        <v>30000000</v>
      </c>
      <c r="L31" s="8">
        <f t="shared" si="26"/>
        <v>30</v>
      </c>
      <c r="M31" s="10">
        <f t="shared" si="27"/>
        <v>92.1</v>
      </c>
      <c r="N31" s="21"/>
      <c r="O31" s="7">
        <f>'[5]Production Summary'!$I63</f>
        <v>7097399.999999986</v>
      </c>
      <c r="P31" s="8">
        <f t="shared" si="28"/>
        <v>7.0973999999999862</v>
      </c>
      <c r="Q31" s="10">
        <f t="shared" si="29"/>
        <v>21.789017999999956</v>
      </c>
      <c r="R31" s="7">
        <f>'[5]Production Summary'!$C63</f>
        <v>7567000</v>
      </c>
      <c r="S31" s="8">
        <f t="shared" si="30"/>
        <v>7.5670000000000002</v>
      </c>
      <c r="T31" s="10">
        <f t="shared" si="31"/>
        <v>23.230689999999999</v>
      </c>
      <c r="U31" s="7">
        <f>'[5]Production Summary'!$F63</f>
        <v>0</v>
      </c>
      <c r="V31" s="8">
        <f t="shared" si="32"/>
        <v>0</v>
      </c>
      <c r="W31" s="10">
        <f t="shared" si="33"/>
        <v>0</v>
      </c>
      <c r="X31" s="7">
        <f>'[5]Production Summary'!$AB63</f>
        <v>463600.0000000138</v>
      </c>
      <c r="Y31" s="8">
        <f t="shared" si="34"/>
        <v>0.46360000000001378</v>
      </c>
      <c r="Z31" s="10">
        <f t="shared" si="35"/>
        <v>1.4232520000000422</v>
      </c>
      <c r="AA31" s="15"/>
      <c r="AB31" s="7">
        <f t="shared" si="16"/>
        <v>35987400.000000313</v>
      </c>
      <c r="AC31" s="8">
        <f t="shared" si="17"/>
        <v>35.987400000000314</v>
      </c>
      <c r="AD31" s="8">
        <f t="shared" si="18"/>
        <v>110.48131800000095</v>
      </c>
      <c r="AF31" s="8">
        <f t="shared" si="19"/>
        <v>1.8420000000000991E-2</v>
      </c>
    </row>
    <row r="32" spans="1:32" x14ac:dyDescent="0.2">
      <c r="A32" s="27">
        <v>43340</v>
      </c>
      <c r="B32" s="7">
        <f>'[5]Production Summary'!$K64</f>
        <v>36500000</v>
      </c>
      <c r="C32" s="8">
        <f t="shared" si="20"/>
        <v>36.5</v>
      </c>
      <c r="D32" s="10">
        <f t="shared" si="21"/>
        <v>112.05499999999999</v>
      </c>
      <c r="E32" s="7">
        <f>'[5]Production Summary'!$E64</f>
        <v>23000000</v>
      </c>
      <c r="F32" s="8">
        <f t="shared" si="22"/>
        <v>23</v>
      </c>
      <c r="G32" s="10">
        <f t="shared" si="23"/>
        <v>70.61</v>
      </c>
      <c r="H32" s="7">
        <f>'[5]Production Summary'!$G64</f>
        <v>17340000</v>
      </c>
      <c r="I32" s="8">
        <f t="shared" si="24"/>
        <v>17.34</v>
      </c>
      <c r="J32" s="10">
        <f t="shared" si="25"/>
        <v>53.233799999999995</v>
      </c>
      <c r="K32" s="7">
        <f>'[5]Production Summary'!$S64</f>
        <v>37400000.000001453</v>
      </c>
      <c r="L32" s="8">
        <f t="shared" si="26"/>
        <v>37.400000000001455</v>
      </c>
      <c r="M32" s="10">
        <f t="shared" si="27"/>
        <v>114.81800000000446</v>
      </c>
      <c r="N32" s="21"/>
      <c r="O32" s="7">
        <f>'[5]Production Summary'!$I64</f>
        <v>5489600.0000000112</v>
      </c>
      <c r="P32" s="8">
        <f t="shared" si="28"/>
        <v>5.4896000000000109</v>
      </c>
      <c r="Q32" s="10">
        <f t="shared" si="29"/>
        <v>16.853072000000033</v>
      </c>
      <c r="R32" s="7">
        <f>'[5]Production Summary'!$C64</f>
        <v>5974000</v>
      </c>
      <c r="S32" s="8">
        <f t="shared" si="30"/>
        <v>5.9740000000000002</v>
      </c>
      <c r="T32" s="10">
        <f t="shared" si="31"/>
        <v>18.34018</v>
      </c>
      <c r="U32" s="7">
        <f>'[5]Production Summary'!$F64</f>
        <v>0</v>
      </c>
      <c r="V32" s="8">
        <f t="shared" si="32"/>
        <v>0</v>
      </c>
      <c r="W32" s="10">
        <f t="shared" si="33"/>
        <v>0</v>
      </c>
      <c r="X32" s="7">
        <f>'[5]Production Summary'!$AB64</f>
        <v>477399.99999998871</v>
      </c>
      <c r="Y32" s="8">
        <f t="shared" si="34"/>
        <v>0.47739999999998872</v>
      </c>
      <c r="Z32" s="10">
        <f t="shared" si="35"/>
        <v>1.4656179999999652</v>
      </c>
      <c r="AA32" s="15"/>
      <c r="AB32" s="7">
        <f t="shared" si="16"/>
        <v>41989600.000000015</v>
      </c>
      <c r="AC32" s="8">
        <f t="shared" si="17"/>
        <v>41.98960000000001</v>
      </c>
      <c r="AD32" s="8">
        <f t="shared" si="18"/>
        <v>128.90807200000003</v>
      </c>
      <c r="AF32" s="8">
        <f t="shared" si="19"/>
        <v>2.1490000000002007E-2</v>
      </c>
    </row>
    <row r="33" spans="1:32" x14ac:dyDescent="0.2">
      <c r="A33" s="27">
        <v>43341</v>
      </c>
      <c r="B33" s="7">
        <f>'[5]Production Summary'!$K65</f>
        <v>27559999.99999949</v>
      </c>
      <c r="C33" s="8">
        <f t="shared" si="20"/>
        <v>27.559999999999491</v>
      </c>
      <c r="D33" s="10">
        <f t="shared" si="21"/>
        <v>84.609199999998438</v>
      </c>
      <c r="E33" s="7">
        <f>'[5]Production Summary'!$E65</f>
        <v>19000000</v>
      </c>
      <c r="F33" s="8">
        <f t="shared" si="22"/>
        <v>19</v>
      </c>
      <c r="G33" s="10">
        <f t="shared" si="23"/>
        <v>58.33</v>
      </c>
      <c r="H33" s="7">
        <f>'[5]Production Summary'!$G65</f>
        <v>12380000</v>
      </c>
      <c r="I33" s="8">
        <f t="shared" si="24"/>
        <v>12.38</v>
      </c>
      <c r="J33" s="10">
        <f t="shared" si="25"/>
        <v>38.006599999999999</v>
      </c>
      <c r="K33" s="7">
        <f>'[5]Production Summary'!$S65</f>
        <v>29299999.999995634</v>
      </c>
      <c r="L33" s="8">
        <f t="shared" si="26"/>
        <v>29.299999999995634</v>
      </c>
      <c r="M33" s="10">
        <f t="shared" si="27"/>
        <v>89.950999999986593</v>
      </c>
      <c r="N33" s="21"/>
      <c r="O33" s="7">
        <f>'[5]Production Summary'!$I65</f>
        <v>6012700.0000000047</v>
      </c>
      <c r="P33" s="8">
        <f t="shared" si="28"/>
        <v>6.012700000000005</v>
      </c>
      <c r="Q33" s="10">
        <f t="shared" si="29"/>
        <v>18.458989000000013</v>
      </c>
      <c r="R33" s="7">
        <f>'[5]Production Summary'!$C65</f>
        <v>5998000</v>
      </c>
      <c r="S33" s="8">
        <f t="shared" si="30"/>
        <v>5.9980000000000002</v>
      </c>
      <c r="T33" s="10">
        <f t="shared" si="31"/>
        <v>18.41386</v>
      </c>
      <c r="U33" s="7">
        <f>'[5]Production Summary'!$F65</f>
        <v>0</v>
      </c>
      <c r="V33" s="8">
        <f t="shared" si="32"/>
        <v>0</v>
      </c>
      <c r="W33" s="10">
        <f t="shared" si="33"/>
        <v>0</v>
      </c>
      <c r="X33" s="7">
        <f>'[5]Production Summary'!$AB65</f>
        <v>-14700.00000000482</v>
      </c>
      <c r="Y33" s="8">
        <f t="shared" si="34"/>
        <v>-1.470000000000482E-2</v>
      </c>
      <c r="Z33" s="10">
        <f t="shared" si="35"/>
        <v>-4.5129000000014796E-2</v>
      </c>
      <c r="AA33" s="15"/>
      <c r="AB33" s="7">
        <f t="shared" si="16"/>
        <v>33572699.999999493</v>
      </c>
      <c r="AC33" s="8">
        <f t="shared" si="17"/>
        <v>33.572699999999493</v>
      </c>
      <c r="AD33" s="8">
        <f t="shared" si="18"/>
        <v>103.06818899999845</v>
      </c>
      <c r="AF33" s="8">
        <f t="shared" si="19"/>
        <v>1.27675647831893E-15</v>
      </c>
    </row>
    <row r="34" spans="1:32" x14ac:dyDescent="0.2">
      <c r="A34" s="27">
        <v>43342</v>
      </c>
      <c r="B34" s="7">
        <f>'[5]Production Summary'!$K66</f>
        <v>31200000.000000726</v>
      </c>
      <c r="C34" s="8">
        <f t="shared" si="20"/>
        <v>31.200000000000728</v>
      </c>
      <c r="D34" s="10">
        <f t="shared" si="21"/>
        <v>95.784000000002223</v>
      </c>
      <c r="E34" s="7">
        <f>'[5]Production Summary'!$E66</f>
        <v>20000000</v>
      </c>
      <c r="F34" s="8">
        <f t="shared" si="22"/>
        <v>20</v>
      </c>
      <c r="G34" s="10">
        <f t="shared" si="23"/>
        <v>61.4</v>
      </c>
      <c r="H34" s="7">
        <f>'[5]Production Summary'!$G66</f>
        <v>13690000</v>
      </c>
      <c r="I34" s="8">
        <f t="shared" si="24"/>
        <v>13.69</v>
      </c>
      <c r="J34" s="10">
        <f t="shared" si="25"/>
        <v>42.028299999999994</v>
      </c>
      <c r="K34" s="7">
        <f>'[5]Production Summary'!$S66</f>
        <v>32700000.000004366</v>
      </c>
      <c r="L34" s="8">
        <f t="shared" si="26"/>
        <v>32.700000000004366</v>
      </c>
      <c r="M34" s="10">
        <f t="shared" si="27"/>
        <v>100.3890000000134</v>
      </c>
      <c r="N34" s="21"/>
      <c r="O34" s="7">
        <f>'[5]Production Summary'!$I66</f>
        <v>5750599.999999987</v>
      </c>
      <c r="P34" s="8">
        <f t="shared" si="28"/>
        <v>5.7505999999999871</v>
      </c>
      <c r="Q34" s="10">
        <f t="shared" si="29"/>
        <v>17.654341999999961</v>
      </c>
      <c r="R34" s="7">
        <f>'[5]Production Summary'!$C66</f>
        <v>6006000</v>
      </c>
      <c r="S34" s="8">
        <f t="shared" si="30"/>
        <v>6.0060000000000002</v>
      </c>
      <c r="T34" s="10">
        <f t="shared" si="31"/>
        <v>18.438420000000001</v>
      </c>
      <c r="U34" s="7">
        <f>'[5]Production Summary'!$F66</f>
        <v>0</v>
      </c>
      <c r="V34" s="8">
        <f t="shared" si="32"/>
        <v>0</v>
      </c>
      <c r="W34" s="10">
        <f t="shared" si="33"/>
        <v>0</v>
      </c>
      <c r="X34" s="7">
        <f>'[5]Production Summary'!$AB66</f>
        <v>250400.00000001327</v>
      </c>
      <c r="Y34" s="8">
        <f t="shared" si="34"/>
        <v>0.25040000000001328</v>
      </c>
      <c r="Z34" s="10">
        <f t="shared" si="35"/>
        <v>0.76872800000004071</v>
      </c>
      <c r="AA34" s="15"/>
      <c r="AB34" s="7">
        <f t="shared" si="16"/>
        <v>36950600.000000715</v>
      </c>
      <c r="AC34" s="8">
        <f t="shared" si="17"/>
        <v>36.950600000000712</v>
      </c>
      <c r="AD34" s="8">
        <f t="shared" si="18"/>
        <v>113.43834200000218</v>
      </c>
      <c r="AF34" s="8">
        <f t="shared" si="19"/>
        <v>1.5349999999999309E-2</v>
      </c>
    </row>
    <row r="35" spans="1:32" ht="13.5" thickBot="1" x14ac:dyDescent="0.25">
      <c r="A35" s="27">
        <v>43343</v>
      </c>
      <c r="B35" s="7">
        <f>'[5]Production Summary'!$K67</f>
        <v>30879999.999999199</v>
      </c>
      <c r="C35" s="8">
        <f t="shared" si="20"/>
        <v>30.8799999999992</v>
      </c>
      <c r="D35" s="10">
        <f t="shared" si="21"/>
        <v>94.801599999997535</v>
      </c>
      <c r="E35" s="7">
        <f>'[5]Production Summary'!$E67</f>
        <v>20000000</v>
      </c>
      <c r="F35" s="8">
        <f t="shared" si="22"/>
        <v>20</v>
      </c>
      <c r="G35" s="10">
        <f t="shared" si="23"/>
        <v>61.4</v>
      </c>
      <c r="H35" s="7">
        <f>'[5]Production Summary'!$G67</f>
        <v>14230000</v>
      </c>
      <c r="I35" s="8">
        <f t="shared" si="24"/>
        <v>14.23</v>
      </c>
      <c r="J35" s="10">
        <f t="shared" si="25"/>
        <v>43.686099999999996</v>
      </c>
      <c r="K35" s="7">
        <f>'[5]Production Summary'!$S67</f>
        <v>32599999.999998543</v>
      </c>
      <c r="L35" s="8">
        <f t="shared" si="26"/>
        <v>32.599999999998545</v>
      </c>
      <c r="M35" s="10">
        <f t="shared" si="27"/>
        <v>100.08199999999553</v>
      </c>
      <c r="N35" s="21"/>
      <c r="O35" s="7">
        <f>'[5]Production Summary'!$I67</f>
        <v>6118899.9999999991</v>
      </c>
      <c r="P35" s="8">
        <f t="shared" si="28"/>
        <v>6.1188999999999991</v>
      </c>
      <c r="Q35" s="10">
        <f t="shared" si="29"/>
        <v>18.785022999999995</v>
      </c>
      <c r="R35" s="7">
        <f>'[5]Production Summary'!$C67</f>
        <v>6439000</v>
      </c>
      <c r="S35" s="8">
        <f t="shared" si="30"/>
        <v>6.4390000000000001</v>
      </c>
      <c r="T35" s="10">
        <f t="shared" si="31"/>
        <v>19.76773</v>
      </c>
      <c r="U35" s="7">
        <f>'[5]Production Summary'!$F67</f>
        <v>0</v>
      </c>
      <c r="V35" s="8">
        <f t="shared" si="32"/>
        <v>0</v>
      </c>
      <c r="W35" s="10">
        <f t="shared" si="33"/>
        <v>0</v>
      </c>
      <c r="X35" s="7">
        <f>'[5]Production Summary'!$AB67</f>
        <v>315100.00000000105</v>
      </c>
      <c r="Y35" s="8">
        <f t="shared" si="34"/>
        <v>0.31510000000000105</v>
      </c>
      <c r="Z35" s="10">
        <f t="shared" si="35"/>
        <v>0.96735700000000313</v>
      </c>
      <c r="AA35" s="15"/>
      <c r="AB35" s="7">
        <f t="shared" si="16"/>
        <v>36998899.999999195</v>
      </c>
      <c r="AC35" s="8">
        <f t="shared" si="17"/>
        <v>36.998899999999196</v>
      </c>
      <c r="AD35" s="8">
        <f t="shared" si="18"/>
        <v>113.58662299999753</v>
      </c>
      <c r="AF35" s="8">
        <f t="shared" si="19"/>
        <v>1.5350000000001751E-2</v>
      </c>
    </row>
    <row r="36" spans="1:32" ht="13.5" thickBot="1" x14ac:dyDescent="0.25">
      <c r="A36" s="14"/>
      <c r="B36" s="37"/>
      <c r="C36" s="38">
        <f>SUM(C5:C35)</f>
        <v>990.97999999999956</v>
      </c>
      <c r="D36" s="38">
        <f t="shared" ref="D36" si="36">C36*3.07</f>
        <v>3042.3085999999985</v>
      </c>
      <c r="E36" s="37"/>
      <c r="F36" s="38">
        <f>SUM(F5:F35)</f>
        <v>634</v>
      </c>
      <c r="G36" s="38">
        <f t="shared" ref="G36" si="37">F36*3.07</f>
        <v>1946.3799999999999</v>
      </c>
      <c r="H36" s="37"/>
      <c r="I36" s="38">
        <f>SUM(I5:I35)</f>
        <v>450.12000000000006</v>
      </c>
      <c r="J36" s="38">
        <f t="shared" ref="J36" si="38">I36*3.07</f>
        <v>1381.8684000000001</v>
      </c>
      <c r="K36" s="37"/>
      <c r="L36" s="38">
        <f>SUM(L5:L35)</f>
        <v>1031.5</v>
      </c>
      <c r="M36" s="38">
        <f t="shared" ref="M36" si="39">L36*3.07</f>
        <v>3166.7049999999999</v>
      </c>
      <c r="N36" s="14"/>
      <c r="O36" s="37"/>
      <c r="P36" s="38">
        <f>SUM(P5:P35)</f>
        <v>285.04829999999993</v>
      </c>
      <c r="Q36" s="38">
        <f t="shared" ref="Q36" si="40">P36*3.07</f>
        <v>875.0982809999997</v>
      </c>
      <c r="R36" s="37"/>
      <c r="S36" s="38">
        <f>SUM(S5:S35)</f>
        <v>295.92400000000004</v>
      </c>
      <c r="T36" s="38">
        <f t="shared" ref="T36" si="41">S36*3.07</f>
        <v>908.48668000000009</v>
      </c>
      <c r="U36" s="37"/>
      <c r="V36" s="38">
        <f>SUM(V5:V35)</f>
        <v>2.99</v>
      </c>
      <c r="W36" s="38">
        <f t="shared" ref="W36" si="42">V36*3.07</f>
        <v>9.1792999999999996</v>
      </c>
      <c r="X36" s="37"/>
      <c r="Y36" s="38">
        <f>SUM(Y5:Y35)</f>
        <v>10.691699999999997</v>
      </c>
      <c r="Z36" s="38">
        <f t="shared" ref="Z36" si="43">Y36*3.07</f>
        <v>32.82351899999999</v>
      </c>
      <c r="AA36" s="14"/>
      <c r="AB36" s="37"/>
      <c r="AC36" s="38">
        <f>SUM(AC5:AC35)</f>
        <v>1276.0282999999997</v>
      </c>
      <c r="AD36" s="38">
        <f>AC36*3.07</f>
        <v>3917.406880999999</v>
      </c>
      <c r="AF36" s="38">
        <f>SUM(AF5:AF35)</f>
        <v>0.56488000000001382</v>
      </c>
    </row>
    <row r="37" spans="1:32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2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R38"/>
  <sheetViews>
    <sheetView workbookViewId="0">
      <pane xSplit="1" ySplit="4" topLeftCell="B5" activePane="bottomRight" state="frozen"/>
      <selection activeCell="T39" sqref="T39"/>
      <selection pane="topRight" activeCell="T39" sqref="T39"/>
      <selection pane="bottomLeft" activeCell="T39" sqref="T39"/>
      <selection pane="bottomRight" activeCell="Z35" activeCellId="1" sqref="W35 Z35"/>
    </sheetView>
  </sheetViews>
  <sheetFormatPr defaultRowHeight="12.75" x14ac:dyDescent="0.2"/>
  <cols>
    <col min="2" max="2" width="12.5703125" customWidth="1"/>
    <col min="5" max="5" width="11.28515625" customWidth="1"/>
    <col min="8" max="8" width="11.28515625" customWidth="1"/>
    <col min="11" max="11" width="14.42578125" customWidth="1"/>
    <col min="12" max="12" width="10.42578125" customWidth="1"/>
    <col min="13" max="13" width="10.28515625" customWidth="1"/>
    <col min="15" max="15" width="13.5703125" customWidth="1"/>
    <col min="18" max="18" width="10.140625" bestFit="1" customWidth="1"/>
    <col min="21" max="21" width="11.28515625" customWidth="1"/>
    <col min="24" max="24" width="10.140625" bestFit="1" customWidth="1"/>
    <col min="31" max="31" width="11" customWidth="1"/>
    <col min="40" max="40" width="11.28515625" customWidth="1"/>
  </cols>
  <sheetData>
    <row r="1" spans="1:44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14"/>
      <c r="AE1" s="3"/>
      <c r="AF1" s="3"/>
      <c r="AG1" s="3"/>
    </row>
    <row r="2" spans="1:44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14"/>
      <c r="AE2" s="3"/>
      <c r="AF2" s="3"/>
      <c r="AG2" s="3"/>
    </row>
    <row r="3" spans="1:44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20</v>
      </c>
      <c r="P3" s="65"/>
      <c r="Q3" s="66"/>
      <c r="R3" s="64" t="s">
        <v>21</v>
      </c>
      <c r="S3" s="65"/>
      <c r="T3" s="66"/>
      <c r="U3" s="64" t="s">
        <v>24</v>
      </c>
      <c r="V3" s="65"/>
      <c r="W3" s="66"/>
      <c r="X3" s="64" t="s">
        <v>25</v>
      </c>
      <c r="Y3" s="65"/>
      <c r="Z3" s="66"/>
      <c r="AA3" s="64" t="s">
        <v>26</v>
      </c>
      <c r="AB3" s="65"/>
      <c r="AC3" s="66"/>
      <c r="AD3" s="64" t="s">
        <v>16</v>
      </c>
      <c r="AE3" s="65"/>
      <c r="AF3" s="66"/>
      <c r="AG3" s="64" t="s">
        <v>22</v>
      </c>
      <c r="AH3" s="65"/>
      <c r="AI3" s="66"/>
      <c r="AJ3" s="64" t="s">
        <v>23</v>
      </c>
      <c r="AK3" s="65"/>
      <c r="AL3" s="66"/>
      <c r="AM3" s="19"/>
      <c r="AN3" s="61" t="s">
        <v>8</v>
      </c>
      <c r="AO3" s="62"/>
      <c r="AP3" s="63"/>
      <c r="AR3" s="33" t="s">
        <v>9</v>
      </c>
    </row>
    <row r="4" spans="1:44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4" t="s">
        <v>0</v>
      </c>
      <c r="AB4" s="5" t="s">
        <v>1</v>
      </c>
      <c r="AC4" s="6" t="s">
        <v>2</v>
      </c>
      <c r="AD4" s="4" t="s">
        <v>0</v>
      </c>
      <c r="AE4" s="5" t="s">
        <v>1</v>
      </c>
      <c r="AF4" s="6" t="s">
        <v>2</v>
      </c>
      <c r="AG4" s="4" t="s">
        <v>0</v>
      </c>
      <c r="AH4" s="5" t="s">
        <v>1</v>
      </c>
      <c r="AI4" s="6" t="s">
        <v>2</v>
      </c>
      <c r="AJ4" s="4" t="s">
        <v>0</v>
      </c>
      <c r="AK4" s="5" t="s">
        <v>1</v>
      </c>
      <c r="AL4" s="6" t="s">
        <v>2</v>
      </c>
      <c r="AM4" s="19"/>
      <c r="AN4" s="30" t="s">
        <v>0</v>
      </c>
      <c r="AO4" s="31" t="s">
        <v>1</v>
      </c>
      <c r="AP4" s="32" t="s">
        <v>2</v>
      </c>
      <c r="AR4" s="5" t="s">
        <v>2</v>
      </c>
    </row>
    <row r="5" spans="1:44" x14ac:dyDescent="0.2">
      <c r="A5" s="27">
        <v>43344</v>
      </c>
      <c r="B5" s="7">
        <f>'[5]Production Summary'!$K68</f>
        <v>28770000.000000436</v>
      </c>
      <c r="C5" s="8">
        <f t="shared" ref="C5" si="0">B5/1000000</f>
        <v>28.770000000000437</v>
      </c>
      <c r="D5" s="10">
        <f t="shared" ref="D5" si="1">C5*3.07</f>
        <v>88.323900000001331</v>
      </c>
      <c r="E5" s="7">
        <f>'[5]Production Summary'!$E68</f>
        <v>18000000</v>
      </c>
      <c r="F5" s="8">
        <f t="shared" ref="F5" si="2">E5/1000000</f>
        <v>18</v>
      </c>
      <c r="G5" s="10">
        <f t="shared" ref="G5" si="3">F5*3.07</f>
        <v>55.26</v>
      </c>
      <c r="H5" s="7">
        <f>'[5]Production Summary'!$G68</f>
        <v>13450000</v>
      </c>
      <c r="I5" s="8">
        <f t="shared" ref="I5" si="4">H5/1000000</f>
        <v>13.45</v>
      </c>
      <c r="J5" s="10">
        <f t="shared" ref="J5" si="5">I5*3.07</f>
        <v>41.291499999999999</v>
      </c>
      <c r="K5" s="7">
        <f>'[5]Production Summary'!$T68</f>
        <v>2824475</v>
      </c>
      <c r="L5" s="8">
        <f t="shared" ref="L5" si="6">K5/1000000</f>
        <v>2.8244750000000001</v>
      </c>
      <c r="M5" s="10">
        <f t="shared" ref="M5" si="7">L5*3.07</f>
        <v>8.6711382500000003</v>
      </c>
      <c r="N5" s="21"/>
      <c r="O5" s="7">
        <f>'[5]Production Summary'!$I68</f>
        <v>5048600.0000000121</v>
      </c>
      <c r="P5" s="8">
        <f t="shared" ref="P5" si="8">O5/1000000</f>
        <v>5.048600000000012</v>
      </c>
      <c r="Q5" s="10">
        <f t="shared" ref="Q5" si="9">P5*3.07</f>
        <v>15.499202000000036</v>
      </c>
      <c r="R5" s="7">
        <f>'[5]Production Summary'!$J68</f>
        <v>0</v>
      </c>
      <c r="S5" s="8">
        <f t="shared" ref="S5:S34" si="10">R5/1000000</f>
        <v>0</v>
      </c>
      <c r="T5" s="10">
        <f t="shared" ref="T5:T34" si="11">S5*3.07</f>
        <v>0</v>
      </c>
      <c r="U5" s="7">
        <f>'[5]Production Summary'!$C68</f>
        <v>5390000</v>
      </c>
      <c r="V5" s="8">
        <f t="shared" ref="V5" si="12">U5/1000000</f>
        <v>5.39</v>
      </c>
      <c r="W5" s="10">
        <f t="shared" ref="W5" si="13">V5*3.07</f>
        <v>16.5473</v>
      </c>
      <c r="X5" s="7">
        <f>'[5]Production Summary'!$AE68</f>
        <v>1</v>
      </c>
      <c r="Y5" s="8">
        <f t="shared" ref="Y5:Y34" si="14">X5/1000000</f>
        <v>9.9999999999999995E-7</v>
      </c>
      <c r="Z5" s="10">
        <f t="shared" ref="Z5:Z34" si="15">Y5*3.07</f>
        <v>3.0699999999999998E-6</v>
      </c>
      <c r="AA5" s="7">
        <f>'[5]Production Summary'!$AF68</f>
        <v>845587</v>
      </c>
      <c r="AB5" s="8">
        <f t="shared" ref="AB5:AB34" si="16">AA5/1000000</f>
        <v>0.84558699999999998</v>
      </c>
      <c r="AC5" s="10">
        <f t="shared" ref="AC5:AC34" si="17">AB5*3.07</f>
        <v>2.5959520899999999</v>
      </c>
      <c r="AD5" s="7">
        <f>'[5]Production Summary'!$AF68</f>
        <v>845587</v>
      </c>
      <c r="AE5" s="8">
        <f t="shared" ref="AE5" si="18">AD5/1000000</f>
        <v>0.84558699999999998</v>
      </c>
      <c r="AF5" s="10">
        <f t="shared" ref="AF5" si="19">AE5*3.07</f>
        <v>2.5959520899999999</v>
      </c>
      <c r="AG5" s="7">
        <f>'[5]Production Summary'!$AB68</f>
        <v>334399.99999998807</v>
      </c>
      <c r="AH5" s="8">
        <f t="shared" ref="AH5" si="20">AG5/1000000</f>
        <v>0.33439999999998804</v>
      </c>
      <c r="AI5" s="10">
        <f t="shared" ref="AI5" si="21">AH5*3.07</f>
        <v>1.0266079999999633</v>
      </c>
      <c r="AJ5" s="7">
        <f>'[5]Production Summary'!$AJ68</f>
        <v>491006</v>
      </c>
      <c r="AK5" s="8">
        <f>AJ5/1000000</f>
        <v>0.491006</v>
      </c>
      <c r="AL5" s="10">
        <f>AK5*3.07</f>
        <v>1.5073884199999998</v>
      </c>
      <c r="AM5" s="15"/>
      <c r="AN5" s="7">
        <f>B5+O5+R5</f>
        <v>33818600.000000447</v>
      </c>
      <c r="AO5" s="8">
        <f t="shared" ref="AO5:AO35" si="22">C5+P5</f>
        <v>33.818600000000451</v>
      </c>
      <c r="AP5" s="8">
        <f>D5+Q5+T5</f>
        <v>103.82310200000137</v>
      </c>
      <c r="AR5" s="8">
        <f>W5-Q5-AI5</f>
        <v>2.1490000000000675E-2</v>
      </c>
    </row>
    <row r="6" spans="1:44" x14ac:dyDescent="0.2">
      <c r="A6" s="27">
        <v>43345</v>
      </c>
      <c r="B6" s="7">
        <f>'[5]Production Summary'!$K69</f>
        <v>34719999.999999344</v>
      </c>
      <c r="C6" s="8">
        <f t="shared" ref="C6:C34" si="23">B6/1000000</f>
        <v>34.719999999999345</v>
      </c>
      <c r="D6" s="10">
        <f t="shared" ref="D6:D34" si="24">C6*3.07</f>
        <v>106.59039999999798</v>
      </c>
      <c r="E6" s="7">
        <f>'[5]Production Summary'!$E69</f>
        <v>21000000</v>
      </c>
      <c r="F6" s="8">
        <f t="shared" ref="F6:F34" si="25">E6/1000000</f>
        <v>21</v>
      </c>
      <c r="G6" s="10">
        <f t="shared" ref="G6:G34" si="26">F6*3.07</f>
        <v>64.47</v>
      </c>
      <c r="H6" s="7">
        <f>'[5]Production Summary'!$G69</f>
        <v>16760000</v>
      </c>
      <c r="I6" s="8">
        <f t="shared" ref="I6:I34" si="27">H6/1000000</f>
        <v>16.760000000000002</v>
      </c>
      <c r="J6" s="10">
        <f t="shared" ref="J6:J34" si="28">I6*3.07</f>
        <v>51.453200000000002</v>
      </c>
      <c r="K6" s="7">
        <f>'[5]Production Summary'!$T69</f>
        <v>3632197</v>
      </c>
      <c r="L6" s="8">
        <f t="shared" ref="L6:L34" si="29">K6/1000000</f>
        <v>3.6321970000000001</v>
      </c>
      <c r="M6" s="10">
        <f t="shared" ref="M6:M34" si="30">L6*3.07</f>
        <v>11.150844789999999</v>
      </c>
      <c r="N6" s="21"/>
      <c r="O6" s="7">
        <f>'[5]Production Summary'!$I69</f>
        <v>4650800</v>
      </c>
      <c r="P6" s="8">
        <f t="shared" ref="P6:P34" si="31">O6/1000000</f>
        <v>4.6508000000000003</v>
      </c>
      <c r="Q6" s="10">
        <f t="shared" ref="Q6:Q34" si="32">P6*3.07</f>
        <v>14.277956</v>
      </c>
      <c r="R6" s="7">
        <f>'[5]Production Summary'!$J69</f>
        <v>0</v>
      </c>
      <c r="S6" s="8">
        <f t="shared" si="10"/>
        <v>0</v>
      </c>
      <c r="T6" s="10">
        <f t="shared" si="11"/>
        <v>0</v>
      </c>
      <c r="U6" s="7">
        <f>'[5]Production Summary'!$C69</f>
        <v>4715000</v>
      </c>
      <c r="V6" s="8">
        <f t="shared" ref="V6:V34" si="33">U6/1000000</f>
        <v>4.7149999999999999</v>
      </c>
      <c r="W6" s="10">
        <f t="shared" ref="W6:W34" si="34">V6*3.07</f>
        <v>14.47505</v>
      </c>
      <c r="X6" s="7">
        <f>'[5]Production Summary'!$AE69</f>
        <v>109997</v>
      </c>
      <c r="Y6" s="8">
        <f t="shared" si="14"/>
        <v>0.109997</v>
      </c>
      <c r="Z6" s="10">
        <f t="shared" si="15"/>
        <v>0.33769078999999996</v>
      </c>
      <c r="AA6" s="7">
        <f>'[5]Production Summary'!$AF69</f>
        <v>0</v>
      </c>
      <c r="AB6" s="8">
        <f t="shared" si="16"/>
        <v>0</v>
      </c>
      <c r="AC6" s="10">
        <f t="shared" si="17"/>
        <v>0</v>
      </c>
      <c r="AD6" s="7">
        <f>'[5]Production Summary'!$AF69</f>
        <v>0</v>
      </c>
      <c r="AE6" s="8">
        <f t="shared" ref="AE6:AE34" si="35">AD6/1000000</f>
        <v>0</v>
      </c>
      <c r="AF6" s="10">
        <f t="shared" ref="AF6:AF34" si="36">AE6*3.07</f>
        <v>0</v>
      </c>
      <c r="AG6" s="7">
        <f>'[5]Production Summary'!$AB69</f>
        <v>64199.999999999593</v>
      </c>
      <c r="AH6" s="8">
        <f t="shared" ref="AH6:AH34" si="37">AG6/1000000</f>
        <v>6.4199999999999591E-2</v>
      </c>
      <c r="AI6" s="10">
        <f t="shared" ref="AI6:AI34" si="38">AH6*3.07</f>
        <v>0.19709399999999874</v>
      </c>
      <c r="AJ6" s="7">
        <f>'[5]Production Summary'!$AJ69</f>
        <v>0</v>
      </c>
      <c r="AK6" s="8">
        <f t="shared" ref="AK6:AK34" si="39">AJ6/1000000</f>
        <v>0</v>
      </c>
      <c r="AL6" s="10">
        <f t="shared" ref="AL6:AL35" si="40">AK6*3.07</f>
        <v>0</v>
      </c>
      <c r="AM6" s="15"/>
      <c r="AN6" s="7">
        <f t="shared" ref="AN6:AN34" si="41">B6+O6+R6</f>
        <v>39370799.999999344</v>
      </c>
      <c r="AO6" s="8">
        <f t="shared" si="22"/>
        <v>39.370799999999349</v>
      </c>
      <c r="AP6" s="8">
        <f t="shared" ref="AP6:AP34" si="42">D6+Q6+T6</f>
        <v>120.86835599999799</v>
      </c>
      <c r="AR6" s="8">
        <f t="shared" ref="AR6:AR14" si="43">W6-Q6-AI6</f>
        <v>1.1379786002407855E-15</v>
      </c>
    </row>
    <row r="7" spans="1:44" x14ac:dyDescent="0.2">
      <c r="A7" s="27">
        <v>43346</v>
      </c>
      <c r="B7" s="7">
        <f>'[5]Production Summary'!$K70</f>
        <v>32569999.999999709</v>
      </c>
      <c r="C7" s="8">
        <f t="shared" si="23"/>
        <v>32.569999999999709</v>
      </c>
      <c r="D7" s="10">
        <f t="shared" si="24"/>
        <v>99.989899999999096</v>
      </c>
      <c r="E7" s="7">
        <f>'[5]Production Summary'!$E70</f>
        <v>21000000</v>
      </c>
      <c r="F7" s="8">
        <f t="shared" si="25"/>
        <v>21</v>
      </c>
      <c r="G7" s="10">
        <f t="shared" si="26"/>
        <v>64.47</v>
      </c>
      <c r="H7" s="7">
        <f>'[5]Production Summary'!$G70</f>
        <v>13890000</v>
      </c>
      <c r="I7" s="8">
        <f t="shared" si="27"/>
        <v>13.89</v>
      </c>
      <c r="J7" s="10">
        <f t="shared" si="28"/>
        <v>42.642299999999999</v>
      </c>
      <c r="K7" s="7">
        <f>'[5]Production Summary'!$T70</f>
        <v>3301532</v>
      </c>
      <c r="L7" s="8">
        <f t="shared" si="29"/>
        <v>3.3015319999999999</v>
      </c>
      <c r="M7" s="10">
        <f t="shared" si="30"/>
        <v>10.13570324</v>
      </c>
      <c r="N7" s="21"/>
      <c r="O7" s="7">
        <f>'[5]Production Summary'!$I70</f>
        <v>4449300.0000000056</v>
      </c>
      <c r="P7" s="8">
        <f t="shared" si="31"/>
        <v>4.4493000000000054</v>
      </c>
      <c r="Q7" s="10">
        <f t="shared" si="32"/>
        <v>13.659351000000015</v>
      </c>
      <c r="R7" s="7">
        <f>'[5]Production Summary'!$J70</f>
        <v>0</v>
      </c>
      <c r="S7" s="8">
        <f t="shared" si="10"/>
        <v>0</v>
      </c>
      <c r="T7" s="10">
        <f t="shared" si="11"/>
        <v>0</v>
      </c>
      <c r="U7" s="7">
        <f>'[5]Production Summary'!$C70</f>
        <v>4704000</v>
      </c>
      <c r="V7" s="8">
        <f t="shared" si="33"/>
        <v>4.7039999999999997</v>
      </c>
      <c r="W7" s="10">
        <f t="shared" si="34"/>
        <v>14.441279999999999</v>
      </c>
      <c r="X7" s="7">
        <f>'[5]Production Summary'!$AE70</f>
        <v>281959</v>
      </c>
      <c r="Y7" s="8">
        <f t="shared" si="14"/>
        <v>0.28195900000000002</v>
      </c>
      <c r="Z7" s="10">
        <f t="shared" si="15"/>
        <v>0.86561412999999998</v>
      </c>
      <c r="AA7" s="7">
        <f>'[5]Production Summary'!$AF70</f>
        <v>0</v>
      </c>
      <c r="AB7" s="8">
        <f t="shared" si="16"/>
        <v>0</v>
      </c>
      <c r="AC7" s="10">
        <f t="shared" si="17"/>
        <v>0</v>
      </c>
      <c r="AD7" s="7">
        <f>'[5]Production Summary'!$AF70</f>
        <v>0</v>
      </c>
      <c r="AE7" s="8">
        <f t="shared" si="35"/>
        <v>0</v>
      </c>
      <c r="AF7" s="10">
        <f t="shared" si="36"/>
        <v>0</v>
      </c>
      <c r="AG7" s="7">
        <f>'[5]Production Summary'!$AB70</f>
        <v>250699.99999999482</v>
      </c>
      <c r="AH7" s="8">
        <f t="shared" si="37"/>
        <v>0.25069999999999482</v>
      </c>
      <c r="AI7" s="10">
        <f t="shared" si="38"/>
        <v>0.76964899999998404</v>
      </c>
      <c r="AJ7" s="7">
        <f>'[5]Production Summary'!$AJ70</f>
        <v>0</v>
      </c>
      <c r="AK7" s="8">
        <f t="shared" si="39"/>
        <v>0</v>
      </c>
      <c r="AL7" s="10">
        <f t="shared" si="40"/>
        <v>0</v>
      </c>
      <c r="AM7" s="15"/>
      <c r="AN7" s="7">
        <f t="shared" si="41"/>
        <v>37019299.999999717</v>
      </c>
      <c r="AO7" s="8">
        <f t="shared" si="22"/>
        <v>37.019299999999717</v>
      </c>
      <c r="AP7" s="8">
        <f t="shared" si="42"/>
        <v>113.64925099999911</v>
      </c>
      <c r="AR7" s="8">
        <f t="shared" si="43"/>
        <v>1.2279999999999847E-2</v>
      </c>
    </row>
    <row r="8" spans="1:44" x14ac:dyDescent="0.2">
      <c r="A8" s="27">
        <v>43347</v>
      </c>
      <c r="B8" s="7">
        <f>'[5]Production Summary'!$K71</f>
        <v>34370000.000000797</v>
      </c>
      <c r="C8" s="8">
        <f t="shared" si="23"/>
        <v>34.3700000000008</v>
      </c>
      <c r="D8" s="10">
        <f t="shared" si="24"/>
        <v>105.51590000000245</v>
      </c>
      <c r="E8" s="7">
        <f>'[5]Production Summary'!$E71</f>
        <v>23000000</v>
      </c>
      <c r="F8" s="8">
        <f t="shared" si="25"/>
        <v>23</v>
      </c>
      <c r="G8" s="10">
        <f t="shared" si="26"/>
        <v>70.61</v>
      </c>
      <c r="H8" s="7">
        <f>'[5]Production Summary'!$G71</f>
        <v>15050000</v>
      </c>
      <c r="I8" s="8">
        <f t="shared" si="27"/>
        <v>15.05</v>
      </c>
      <c r="J8" s="10">
        <f t="shared" si="28"/>
        <v>46.203499999999998</v>
      </c>
      <c r="K8" s="7">
        <f>'[5]Production Summary'!$T71</f>
        <v>3442905</v>
      </c>
      <c r="L8" s="8">
        <f t="shared" si="29"/>
        <v>3.4429050000000001</v>
      </c>
      <c r="M8" s="10">
        <f t="shared" si="30"/>
        <v>10.56971835</v>
      </c>
      <c r="N8" s="21"/>
      <c r="O8" s="7">
        <f>'[5]Production Summary'!$I71</f>
        <v>4479700.0000000009</v>
      </c>
      <c r="P8" s="8">
        <f t="shared" si="31"/>
        <v>4.4797000000000011</v>
      </c>
      <c r="Q8" s="10">
        <f t="shared" si="32"/>
        <v>13.752679000000002</v>
      </c>
      <c r="R8" s="7">
        <f>'[5]Production Summary'!$J71</f>
        <v>0</v>
      </c>
      <c r="S8" s="8">
        <f t="shared" si="10"/>
        <v>0</v>
      </c>
      <c r="T8" s="10">
        <f t="shared" si="11"/>
        <v>0</v>
      </c>
      <c r="U8" s="7">
        <f>'[5]Production Summary'!$C71</f>
        <v>4830000</v>
      </c>
      <c r="V8" s="8">
        <f t="shared" si="33"/>
        <v>4.83</v>
      </c>
      <c r="W8" s="10">
        <f t="shared" si="34"/>
        <v>14.828099999999999</v>
      </c>
      <c r="X8" s="7">
        <f>'[5]Production Summary'!$AE71</f>
        <v>229705</v>
      </c>
      <c r="Y8" s="8">
        <f t="shared" si="14"/>
        <v>0.22970499999999999</v>
      </c>
      <c r="Z8" s="10">
        <f t="shared" si="15"/>
        <v>0.70519434999999997</v>
      </c>
      <c r="AA8" s="7">
        <f>'[5]Production Summary'!$AF71</f>
        <v>0</v>
      </c>
      <c r="AB8" s="8">
        <f t="shared" si="16"/>
        <v>0</v>
      </c>
      <c r="AC8" s="10">
        <f t="shared" si="17"/>
        <v>0</v>
      </c>
      <c r="AD8" s="7">
        <f>'[5]Production Summary'!$AF71</f>
        <v>0</v>
      </c>
      <c r="AE8" s="8">
        <f t="shared" si="35"/>
        <v>0</v>
      </c>
      <c r="AF8" s="10">
        <f t="shared" si="36"/>
        <v>0</v>
      </c>
      <c r="AG8" s="7">
        <f>'[5]Production Summary'!$AB71</f>
        <v>343299.9999999993</v>
      </c>
      <c r="AH8" s="8">
        <f t="shared" si="37"/>
        <v>0.34329999999999933</v>
      </c>
      <c r="AI8" s="10">
        <f t="shared" si="38"/>
        <v>1.053930999999998</v>
      </c>
      <c r="AJ8" s="7">
        <f>'[5]Production Summary'!$AJ71</f>
        <v>78484</v>
      </c>
      <c r="AK8" s="8">
        <f t="shared" si="39"/>
        <v>7.8483999999999998E-2</v>
      </c>
      <c r="AL8" s="10">
        <f t="shared" si="40"/>
        <v>0.24094587999999997</v>
      </c>
      <c r="AM8" s="15"/>
      <c r="AN8" s="7">
        <f t="shared" si="41"/>
        <v>38849700.000000797</v>
      </c>
      <c r="AO8" s="8">
        <f t="shared" si="22"/>
        <v>38.849700000000801</v>
      </c>
      <c r="AP8" s="8">
        <f t="shared" si="42"/>
        <v>119.26857900000245</v>
      </c>
      <c r="AR8" s="8">
        <f t="shared" si="43"/>
        <v>2.1489999999998899E-2</v>
      </c>
    </row>
    <row r="9" spans="1:44" x14ac:dyDescent="0.2">
      <c r="A9" s="27">
        <v>43348</v>
      </c>
      <c r="B9" s="7">
        <f>'[5]Production Summary'!$K72</f>
        <v>32510000.00000022</v>
      </c>
      <c r="C9" s="8">
        <f t="shared" si="23"/>
        <v>32.510000000000218</v>
      </c>
      <c r="D9" s="10">
        <f t="shared" si="24"/>
        <v>99.80570000000067</v>
      </c>
      <c r="E9" s="7">
        <f>'[5]Production Summary'!$E72</f>
        <v>21000000</v>
      </c>
      <c r="F9" s="8">
        <f t="shared" si="25"/>
        <v>21</v>
      </c>
      <c r="G9" s="10">
        <f t="shared" si="26"/>
        <v>64.47</v>
      </c>
      <c r="H9" s="7">
        <f>'[5]Production Summary'!$G72</f>
        <v>14090000</v>
      </c>
      <c r="I9" s="8">
        <f t="shared" si="27"/>
        <v>14.09</v>
      </c>
      <c r="J9" s="10">
        <f t="shared" si="28"/>
        <v>43.256299999999996</v>
      </c>
      <c r="K9" s="7">
        <f>'[5]Production Summary'!$T72</f>
        <v>3401425</v>
      </c>
      <c r="L9" s="8">
        <f t="shared" si="29"/>
        <v>3.4014250000000001</v>
      </c>
      <c r="M9" s="10">
        <f t="shared" si="30"/>
        <v>10.442374749999999</v>
      </c>
      <c r="N9" s="21"/>
      <c r="O9" s="7">
        <f>'[5]Production Summary'!$I72</f>
        <v>4499599.999999987</v>
      </c>
      <c r="P9" s="8">
        <f t="shared" si="31"/>
        <v>4.4995999999999867</v>
      </c>
      <c r="Q9" s="10">
        <f t="shared" si="32"/>
        <v>13.813771999999959</v>
      </c>
      <c r="R9" s="7">
        <f>'[5]Production Summary'!$J72</f>
        <v>0</v>
      </c>
      <c r="S9" s="8">
        <f t="shared" si="10"/>
        <v>0</v>
      </c>
      <c r="T9" s="10">
        <f t="shared" si="11"/>
        <v>0</v>
      </c>
      <c r="U9" s="7">
        <f>'[5]Production Summary'!$C72</f>
        <v>4742000</v>
      </c>
      <c r="V9" s="8">
        <f t="shared" si="33"/>
        <v>4.742</v>
      </c>
      <c r="W9" s="10">
        <f t="shared" si="34"/>
        <v>14.557939999999999</v>
      </c>
      <c r="X9" s="7">
        <f>'[5]Production Summary'!$AE72</f>
        <v>280219</v>
      </c>
      <c r="Y9" s="8">
        <f t="shared" si="14"/>
        <v>0.280219</v>
      </c>
      <c r="Z9" s="10">
        <f t="shared" si="15"/>
        <v>0.86027232999999992</v>
      </c>
      <c r="AA9" s="7">
        <f>'[5]Production Summary'!$AF72</f>
        <v>0</v>
      </c>
      <c r="AB9" s="8">
        <f t="shared" si="16"/>
        <v>0</v>
      </c>
      <c r="AC9" s="10">
        <f t="shared" si="17"/>
        <v>0</v>
      </c>
      <c r="AD9" s="7">
        <f>'[5]Production Summary'!$AF72</f>
        <v>0</v>
      </c>
      <c r="AE9" s="8">
        <f t="shared" si="35"/>
        <v>0</v>
      </c>
      <c r="AF9" s="10">
        <f t="shared" si="36"/>
        <v>0</v>
      </c>
      <c r="AG9" s="7">
        <f>'[5]Production Summary'!$AB72</f>
        <v>238400.00000001283</v>
      </c>
      <c r="AH9" s="8">
        <f t="shared" si="37"/>
        <v>0.23840000000001282</v>
      </c>
      <c r="AI9" s="10">
        <f t="shared" si="38"/>
        <v>0.73188800000003928</v>
      </c>
      <c r="AJ9" s="7">
        <f>'[5]Production Summary'!$AJ72</f>
        <v>239003</v>
      </c>
      <c r="AK9" s="8">
        <f t="shared" si="39"/>
        <v>0.23900299999999999</v>
      </c>
      <c r="AL9" s="10">
        <f t="shared" si="40"/>
        <v>0.73373920999999998</v>
      </c>
      <c r="AM9" s="15"/>
      <c r="AN9" s="7">
        <f t="shared" si="41"/>
        <v>37009600.000000209</v>
      </c>
      <c r="AO9" s="8">
        <f t="shared" si="22"/>
        <v>37.009600000000205</v>
      </c>
      <c r="AP9" s="8">
        <f t="shared" si="42"/>
        <v>113.61947200000063</v>
      </c>
      <c r="AR9" s="8">
        <f t="shared" si="43"/>
        <v>1.2279999999999958E-2</v>
      </c>
    </row>
    <row r="10" spans="1:44" x14ac:dyDescent="0.2">
      <c r="A10" s="27">
        <v>43349</v>
      </c>
      <c r="B10" s="7">
        <f>'[5]Production Summary'!$K73</f>
        <v>32850000.000000365</v>
      </c>
      <c r="C10" s="8">
        <f t="shared" si="23"/>
        <v>32.850000000000364</v>
      </c>
      <c r="D10" s="10">
        <f t="shared" si="24"/>
        <v>100.84950000000111</v>
      </c>
      <c r="E10" s="7">
        <f>'[5]Production Summary'!$E73</f>
        <v>22000000</v>
      </c>
      <c r="F10" s="8">
        <f t="shared" si="25"/>
        <v>22</v>
      </c>
      <c r="G10" s="10">
        <f t="shared" si="26"/>
        <v>67.539999999999992</v>
      </c>
      <c r="H10" s="7">
        <f>'[5]Production Summary'!$G73</f>
        <v>14220000</v>
      </c>
      <c r="I10" s="8">
        <f t="shared" si="27"/>
        <v>14.22</v>
      </c>
      <c r="J10" s="10">
        <f t="shared" si="28"/>
        <v>43.6554</v>
      </c>
      <c r="K10" s="7">
        <f>'[5]Production Summary'!$T73</f>
        <v>3321646</v>
      </c>
      <c r="L10" s="8">
        <f t="shared" si="29"/>
        <v>3.3216459999999999</v>
      </c>
      <c r="M10" s="10">
        <f t="shared" si="30"/>
        <v>10.19745322</v>
      </c>
      <c r="N10" s="21"/>
      <c r="O10" s="7">
        <f>'[5]Production Summary'!$I73</f>
        <v>4463100.0000000037</v>
      </c>
      <c r="P10" s="8">
        <f t="shared" si="31"/>
        <v>4.4631000000000034</v>
      </c>
      <c r="Q10" s="10">
        <f t="shared" si="32"/>
        <v>13.701717000000009</v>
      </c>
      <c r="R10" s="7">
        <f>'[5]Production Summary'!$J73</f>
        <v>0</v>
      </c>
      <c r="S10" s="8">
        <f t="shared" si="10"/>
        <v>0</v>
      </c>
      <c r="T10" s="10">
        <f t="shared" si="11"/>
        <v>0</v>
      </c>
      <c r="U10" s="7">
        <f>'[5]Production Summary'!$C73</f>
        <v>4698000</v>
      </c>
      <c r="V10" s="8">
        <f t="shared" si="33"/>
        <v>4.6980000000000004</v>
      </c>
      <c r="W10" s="10">
        <f t="shared" si="34"/>
        <v>14.42286</v>
      </c>
      <c r="X10" s="7">
        <f>'[5]Production Summary'!$AE73</f>
        <v>298982</v>
      </c>
      <c r="Y10" s="8">
        <f t="shared" si="14"/>
        <v>0.29898200000000003</v>
      </c>
      <c r="Z10" s="10">
        <f t="shared" si="15"/>
        <v>0.91787474000000002</v>
      </c>
      <c r="AA10" s="7">
        <f>'[5]Production Summary'!$AF73</f>
        <v>0</v>
      </c>
      <c r="AB10" s="8">
        <f t="shared" si="16"/>
        <v>0</v>
      </c>
      <c r="AC10" s="10">
        <f t="shared" si="17"/>
        <v>0</v>
      </c>
      <c r="AD10" s="7">
        <f>'[5]Production Summary'!$AF73</f>
        <v>0</v>
      </c>
      <c r="AE10" s="8">
        <f t="shared" si="35"/>
        <v>0</v>
      </c>
      <c r="AF10" s="10">
        <f t="shared" si="36"/>
        <v>0</v>
      </c>
      <c r="AG10" s="7">
        <f>'[5]Production Summary'!$AB73</f>
        <v>231899.99999999598</v>
      </c>
      <c r="AH10" s="8">
        <f t="shared" si="37"/>
        <v>0.23189999999999597</v>
      </c>
      <c r="AI10" s="10">
        <f t="shared" si="38"/>
        <v>0.7119329999999876</v>
      </c>
      <c r="AJ10" s="7">
        <f>'[5]Production Summary'!$AJ73</f>
        <v>0</v>
      </c>
      <c r="AK10" s="8">
        <f t="shared" si="39"/>
        <v>0</v>
      </c>
      <c r="AL10" s="10">
        <f t="shared" si="40"/>
        <v>0</v>
      </c>
      <c r="AM10" s="15"/>
      <c r="AN10" s="7">
        <f t="shared" si="41"/>
        <v>37313100.000000373</v>
      </c>
      <c r="AO10" s="8">
        <f t="shared" si="22"/>
        <v>37.313100000000368</v>
      </c>
      <c r="AP10" s="8">
        <f t="shared" si="42"/>
        <v>114.55121700000112</v>
      </c>
      <c r="AR10" s="8">
        <f t="shared" si="43"/>
        <v>9.2100000000031601E-3</v>
      </c>
    </row>
    <row r="11" spans="1:44" x14ac:dyDescent="0.2">
      <c r="A11" s="27">
        <v>43350</v>
      </c>
      <c r="B11" s="7">
        <f>'[5]Production Summary'!$K74</f>
        <v>32979999.999999564</v>
      </c>
      <c r="C11" s="8">
        <f t="shared" si="23"/>
        <v>32.979999999999563</v>
      </c>
      <c r="D11" s="10">
        <f t="shared" si="24"/>
        <v>101.24859999999866</v>
      </c>
      <c r="E11" s="7">
        <f>'[5]Production Summary'!$E74</f>
        <v>21000000</v>
      </c>
      <c r="F11" s="8">
        <f t="shared" si="25"/>
        <v>21</v>
      </c>
      <c r="G11" s="10">
        <f t="shared" si="26"/>
        <v>64.47</v>
      </c>
      <c r="H11" s="7">
        <f>'[5]Production Summary'!$G74</f>
        <v>13900000</v>
      </c>
      <c r="I11" s="8">
        <f t="shared" si="27"/>
        <v>13.9</v>
      </c>
      <c r="J11" s="10">
        <f t="shared" si="28"/>
        <v>42.673000000000002</v>
      </c>
      <c r="K11" s="7">
        <f>'[5]Production Summary'!$T74</f>
        <v>3189319</v>
      </c>
      <c r="L11" s="8">
        <f t="shared" si="29"/>
        <v>3.1893189999999998</v>
      </c>
      <c r="M11" s="10">
        <f t="shared" si="30"/>
        <v>9.7912093299999992</v>
      </c>
      <c r="N11" s="21"/>
      <c r="O11" s="7">
        <f>'[5]Production Summary'!$I74</f>
        <v>4684100.0000000056</v>
      </c>
      <c r="P11" s="8">
        <f t="shared" si="31"/>
        <v>4.6841000000000053</v>
      </c>
      <c r="Q11" s="10">
        <f t="shared" si="32"/>
        <v>14.380187000000015</v>
      </c>
      <c r="R11" s="7">
        <f>'[5]Production Summary'!$J74</f>
        <v>0</v>
      </c>
      <c r="S11" s="8">
        <f t="shared" si="10"/>
        <v>0</v>
      </c>
      <c r="T11" s="10">
        <f t="shared" si="11"/>
        <v>0</v>
      </c>
      <c r="U11" s="7">
        <f>'[5]Production Summary'!$C74</f>
        <v>4749000</v>
      </c>
      <c r="V11" s="8">
        <f t="shared" si="33"/>
        <v>4.7489999999999997</v>
      </c>
      <c r="W11" s="10">
        <f t="shared" si="34"/>
        <v>14.579429999999999</v>
      </c>
      <c r="X11" s="7">
        <f>'[5]Production Summary'!$AE74</f>
        <v>299454</v>
      </c>
      <c r="Y11" s="8">
        <f t="shared" si="14"/>
        <v>0.299454</v>
      </c>
      <c r="Z11" s="10">
        <f t="shared" si="15"/>
        <v>0.91932377999999992</v>
      </c>
      <c r="AA11" s="7">
        <f>'[5]Production Summary'!$AF74</f>
        <v>0</v>
      </c>
      <c r="AB11" s="8">
        <f t="shared" si="16"/>
        <v>0</v>
      </c>
      <c r="AC11" s="10">
        <f t="shared" si="17"/>
        <v>0</v>
      </c>
      <c r="AD11" s="7">
        <f>'[5]Production Summary'!$AF74</f>
        <v>0</v>
      </c>
      <c r="AE11" s="8">
        <f t="shared" si="35"/>
        <v>0</v>
      </c>
      <c r="AF11" s="10">
        <f t="shared" si="36"/>
        <v>0</v>
      </c>
      <c r="AG11" s="7">
        <f>'[5]Production Summary'!$AB74</f>
        <v>64899.999999994405</v>
      </c>
      <c r="AH11" s="8">
        <f t="shared" si="37"/>
        <v>6.4899999999994407E-2</v>
      </c>
      <c r="AI11" s="10">
        <f t="shared" si="38"/>
        <v>0.19924299999998282</v>
      </c>
      <c r="AJ11" s="7">
        <f>'[5]Production Summary'!$AJ74</f>
        <v>0</v>
      </c>
      <c r="AK11" s="8">
        <f t="shared" si="39"/>
        <v>0</v>
      </c>
      <c r="AL11" s="10">
        <f t="shared" si="40"/>
        <v>0</v>
      </c>
      <c r="AM11" s="15"/>
      <c r="AN11" s="7">
        <f t="shared" si="41"/>
        <v>37664099.999999568</v>
      </c>
      <c r="AO11" s="8">
        <f t="shared" si="22"/>
        <v>37.664099999999571</v>
      </c>
      <c r="AP11" s="8">
        <f t="shared" si="42"/>
        <v>115.62878699999868</v>
      </c>
      <c r="AR11" s="8">
        <f t="shared" si="43"/>
        <v>3.6082248300317588E-16</v>
      </c>
    </row>
    <row r="12" spans="1:44" x14ac:dyDescent="0.2">
      <c r="A12" s="27">
        <v>43351</v>
      </c>
      <c r="B12" s="7">
        <f>'[5]Production Summary'!$K75</f>
        <v>16350000.000000363</v>
      </c>
      <c r="C12" s="8">
        <f t="shared" si="23"/>
        <v>16.350000000000364</v>
      </c>
      <c r="D12" s="10">
        <f t="shared" si="24"/>
        <v>50.194500000001113</v>
      </c>
      <c r="E12" s="7">
        <f>'[5]Production Summary'!$E75</f>
        <v>12000000</v>
      </c>
      <c r="F12" s="8">
        <f t="shared" si="25"/>
        <v>12</v>
      </c>
      <c r="G12" s="10">
        <f t="shared" si="26"/>
        <v>36.839999999999996</v>
      </c>
      <c r="H12" s="7">
        <f>'[5]Production Summary'!$G75</f>
        <v>5200000</v>
      </c>
      <c r="I12" s="8">
        <f t="shared" si="27"/>
        <v>5.2</v>
      </c>
      <c r="J12" s="10">
        <f t="shared" si="28"/>
        <v>15.964</v>
      </c>
      <c r="K12" s="56">
        <f>'[5]Production Summary'!$T75</f>
        <v>0</v>
      </c>
      <c r="L12" s="59">
        <f t="shared" si="29"/>
        <v>0</v>
      </c>
      <c r="M12" s="60">
        <f t="shared" si="30"/>
        <v>0</v>
      </c>
      <c r="N12" s="21"/>
      <c r="O12" s="7">
        <f>'[5]Production Summary'!$I75</f>
        <v>4611799.9999999991</v>
      </c>
      <c r="P12" s="8">
        <f t="shared" si="31"/>
        <v>4.6117999999999988</v>
      </c>
      <c r="Q12" s="10">
        <f t="shared" si="32"/>
        <v>14.158225999999996</v>
      </c>
      <c r="R12" s="7">
        <f>'[5]Production Summary'!$J75</f>
        <v>0</v>
      </c>
      <c r="S12" s="8">
        <f t="shared" si="10"/>
        <v>0</v>
      </c>
      <c r="T12" s="10">
        <f t="shared" si="11"/>
        <v>0</v>
      </c>
      <c r="U12" s="7">
        <f>'[5]Production Summary'!$C75</f>
        <v>4846000</v>
      </c>
      <c r="V12" s="8">
        <f t="shared" si="33"/>
        <v>4.8460000000000001</v>
      </c>
      <c r="W12" s="10">
        <f t="shared" si="34"/>
        <v>14.877219999999999</v>
      </c>
      <c r="X12" s="7">
        <f>'[5]Production Summary'!$AE75</f>
        <v>951140</v>
      </c>
      <c r="Y12" s="8">
        <f t="shared" si="14"/>
        <v>0.95113999999999999</v>
      </c>
      <c r="Z12" s="10">
        <f t="shared" si="15"/>
        <v>2.9199997999999998</v>
      </c>
      <c r="AA12" s="7">
        <f>'[5]Production Summary'!$AF75</f>
        <v>0</v>
      </c>
      <c r="AB12" s="8">
        <f t="shared" si="16"/>
        <v>0</v>
      </c>
      <c r="AC12" s="10">
        <f t="shared" si="17"/>
        <v>0</v>
      </c>
      <c r="AD12" s="7">
        <f>'[5]Production Summary'!$AF75</f>
        <v>0</v>
      </c>
      <c r="AE12" s="8">
        <f t="shared" si="35"/>
        <v>0</v>
      </c>
      <c r="AF12" s="10">
        <f t="shared" si="36"/>
        <v>0</v>
      </c>
      <c r="AG12" s="7">
        <f>'[5]Production Summary'!$AB75</f>
        <v>231200.00000000119</v>
      </c>
      <c r="AH12" s="8">
        <f t="shared" si="37"/>
        <v>0.23120000000000118</v>
      </c>
      <c r="AI12" s="10">
        <f t="shared" si="38"/>
        <v>0.70978400000000363</v>
      </c>
      <c r="AJ12" s="7">
        <f>'[5]Production Summary'!$AJ75</f>
        <v>0</v>
      </c>
      <c r="AK12" s="8">
        <f t="shared" si="39"/>
        <v>0</v>
      </c>
      <c r="AL12" s="10">
        <f t="shared" si="40"/>
        <v>0</v>
      </c>
      <c r="AM12" s="15"/>
      <c r="AN12" s="7">
        <f t="shared" si="41"/>
        <v>20961800.000000361</v>
      </c>
      <c r="AO12" s="8">
        <f t="shared" si="22"/>
        <v>20.961800000000363</v>
      </c>
      <c r="AP12" s="8">
        <f t="shared" si="42"/>
        <v>64.352726000001113</v>
      </c>
      <c r="AR12" s="8">
        <f t="shared" si="43"/>
        <v>9.2100000000002735E-3</v>
      </c>
    </row>
    <row r="13" spans="1:44" x14ac:dyDescent="0.2">
      <c r="A13" s="27">
        <v>43352</v>
      </c>
      <c r="B13" s="7">
        <f>'[5]Production Summary'!$K76</f>
        <v>11850000.000000363</v>
      </c>
      <c r="C13" s="8">
        <f t="shared" si="23"/>
        <v>11.850000000000364</v>
      </c>
      <c r="D13" s="10">
        <f t="shared" si="24"/>
        <v>36.379500000001116</v>
      </c>
      <c r="E13" s="7">
        <f>'[5]Production Summary'!$E76</f>
        <v>7000000</v>
      </c>
      <c r="F13" s="8">
        <f t="shared" si="25"/>
        <v>7</v>
      </c>
      <c r="G13" s="10">
        <f t="shared" si="26"/>
        <v>21.49</v>
      </c>
      <c r="H13" s="7">
        <f>'[5]Production Summary'!$G76</f>
        <v>5490000</v>
      </c>
      <c r="I13" s="8">
        <f t="shared" si="27"/>
        <v>5.49</v>
      </c>
      <c r="J13" s="10">
        <f t="shared" si="28"/>
        <v>16.854299999999999</v>
      </c>
      <c r="K13" s="7">
        <f>'[5]Production Summary'!$T76</f>
        <v>1089493</v>
      </c>
      <c r="L13" s="8">
        <f t="shared" si="29"/>
        <v>1.089493</v>
      </c>
      <c r="M13" s="10">
        <f t="shared" si="30"/>
        <v>3.3447435099999998</v>
      </c>
      <c r="N13" s="21"/>
      <c r="O13" s="7">
        <f>'[5]Production Summary'!$I76</f>
        <v>4685100.0000000019</v>
      </c>
      <c r="P13" s="8">
        <f t="shared" si="31"/>
        <v>4.685100000000002</v>
      </c>
      <c r="Q13" s="10">
        <f t="shared" si="32"/>
        <v>14.383257000000006</v>
      </c>
      <c r="R13" s="7">
        <f>'[5]Production Summary'!$J76</f>
        <v>0</v>
      </c>
      <c r="S13" s="8">
        <f t="shared" si="10"/>
        <v>0</v>
      </c>
      <c r="T13" s="10">
        <f t="shared" si="11"/>
        <v>0</v>
      </c>
      <c r="U13" s="7">
        <f>'[5]Production Summary'!$C76</f>
        <v>4856000</v>
      </c>
      <c r="V13" s="8">
        <f t="shared" si="33"/>
        <v>4.8559999999999999</v>
      </c>
      <c r="W13" s="10">
        <f t="shared" si="34"/>
        <v>14.907919999999999</v>
      </c>
      <c r="X13" s="7">
        <f>'[5]Production Summary'!$AE76</f>
        <v>268162</v>
      </c>
      <c r="Y13" s="8">
        <f t="shared" si="14"/>
        <v>0.26816200000000001</v>
      </c>
      <c r="Z13" s="10">
        <f t="shared" si="15"/>
        <v>0.82325733999999995</v>
      </c>
      <c r="AA13" s="7">
        <f>'[5]Production Summary'!$AF76</f>
        <v>0</v>
      </c>
      <c r="AB13" s="8">
        <f t="shared" si="16"/>
        <v>0</v>
      </c>
      <c r="AC13" s="10">
        <f t="shared" si="17"/>
        <v>0</v>
      </c>
      <c r="AD13" s="7">
        <f>'[5]Production Summary'!$AF76</f>
        <v>0</v>
      </c>
      <c r="AE13" s="8">
        <f t="shared" si="35"/>
        <v>0</v>
      </c>
      <c r="AF13" s="10">
        <f t="shared" si="36"/>
        <v>0</v>
      </c>
      <c r="AG13" s="7">
        <f>'[5]Production Summary'!$AB76</f>
        <v>166899.99999999828</v>
      </c>
      <c r="AH13" s="8">
        <f t="shared" si="37"/>
        <v>0.16689999999999827</v>
      </c>
      <c r="AI13" s="10">
        <f t="shared" si="38"/>
        <v>0.5123829999999947</v>
      </c>
      <c r="AJ13" s="7">
        <f>'[5]Production Summary'!$AJ76</f>
        <v>158628</v>
      </c>
      <c r="AK13" s="8">
        <f t="shared" si="39"/>
        <v>0.15862799999999999</v>
      </c>
      <c r="AL13" s="10">
        <f t="shared" si="40"/>
        <v>0.48698795999999994</v>
      </c>
      <c r="AM13" s="15"/>
      <c r="AN13" s="7">
        <f t="shared" si="41"/>
        <v>16535100.000000365</v>
      </c>
      <c r="AO13" s="8">
        <f t="shared" si="22"/>
        <v>16.535100000000366</v>
      </c>
      <c r="AP13" s="8">
        <f t="shared" si="42"/>
        <v>50.762757000001123</v>
      </c>
      <c r="AR13" s="8">
        <f t="shared" si="43"/>
        <v>1.2279999999998514E-2</v>
      </c>
    </row>
    <row r="14" spans="1:44" x14ac:dyDescent="0.2">
      <c r="A14" s="27">
        <v>43353</v>
      </c>
      <c r="B14" s="7">
        <f>'[5]Production Summary'!$K77</f>
        <v>11559999.999999491</v>
      </c>
      <c r="C14" s="8">
        <f t="shared" si="23"/>
        <v>11.559999999999491</v>
      </c>
      <c r="D14" s="10">
        <f t="shared" si="24"/>
        <v>35.489199999998434</v>
      </c>
      <c r="E14" s="7">
        <f>'[5]Production Summary'!$E77</f>
        <v>7000000</v>
      </c>
      <c r="F14" s="8">
        <f t="shared" si="25"/>
        <v>7</v>
      </c>
      <c r="G14" s="10">
        <f t="shared" si="26"/>
        <v>21.49</v>
      </c>
      <c r="H14" s="7">
        <f>'[5]Production Summary'!$G77</f>
        <v>5500000</v>
      </c>
      <c r="I14" s="8">
        <f t="shared" si="27"/>
        <v>5.5</v>
      </c>
      <c r="J14" s="10">
        <f t="shared" si="28"/>
        <v>16.884999999999998</v>
      </c>
      <c r="K14" s="7">
        <f>'[5]Production Summary'!$T77</f>
        <v>1359524</v>
      </c>
      <c r="L14" s="8">
        <f t="shared" si="29"/>
        <v>1.359524</v>
      </c>
      <c r="M14" s="10">
        <f t="shared" si="30"/>
        <v>4.1737386799999996</v>
      </c>
      <c r="N14" s="21"/>
      <c r="O14" s="7">
        <f>'[5]Production Summary'!$I77</f>
        <v>4551100.0000000037</v>
      </c>
      <c r="P14" s="8">
        <f t="shared" si="31"/>
        <v>4.5511000000000035</v>
      </c>
      <c r="Q14" s="10">
        <f t="shared" si="32"/>
        <v>13.97187700000001</v>
      </c>
      <c r="R14" s="7">
        <f>'[5]Production Summary'!$J77</f>
        <v>0</v>
      </c>
      <c r="S14" s="8">
        <f t="shared" si="10"/>
        <v>0</v>
      </c>
      <c r="T14" s="10">
        <f t="shared" si="11"/>
        <v>0</v>
      </c>
      <c r="U14" s="7">
        <f>'[5]Production Summary'!$C77</f>
        <v>4786000</v>
      </c>
      <c r="V14" s="8">
        <f t="shared" si="33"/>
        <v>4.7859999999999996</v>
      </c>
      <c r="W14" s="10">
        <f t="shared" si="34"/>
        <v>14.693019999999997</v>
      </c>
      <c r="X14" s="7">
        <f>'[5]Production Summary'!$AE77</f>
        <v>270227</v>
      </c>
      <c r="Y14" s="8">
        <f t="shared" si="14"/>
        <v>0.27022699999999999</v>
      </c>
      <c r="Z14" s="10">
        <f t="shared" si="15"/>
        <v>0.82959688999999992</v>
      </c>
      <c r="AA14" s="7">
        <f>'[5]Production Summary'!$AF77</f>
        <v>0</v>
      </c>
      <c r="AB14" s="8">
        <f t="shared" si="16"/>
        <v>0</v>
      </c>
      <c r="AC14" s="10">
        <f t="shared" si="17"/>
        <v>0</v>
      </c>
      <c r="AD14" s="7">
        <f>'[5]Production Summary'!$AF77</f>
        <v>0</v>
      </c>
      <c r="AE14" s="8">
        <f t="shared" si="35"/>
        <v>0</v>
      </c>
      <c r="AF14" s="10">
        <f t="shared" si="36"/>
        <v>0</v>
      </c>
      <c r="AG14" s="7">
        <f>'[5]Production Summary'!$AB77</f>
        <v>231899.99999999598</v>
      </c>
      <c r="AH14" s="8">
        <f t="shared" si="37"/>
        <v>0.23189999999999597</v>
      </c>
      <c r="AI14" s="10">
        <f t="shared" si="38"/>
        <v>0.7119329999999876</v>
      </c>
      <c r="AJ14" s="7">
        <f>'[5]Production Summary'!$AJ77</f>
        <v>321325</v>
      </c>
      <c r="AK14" s="8">
        <f t="shared" si="39"/>
        <v>0.32132500000000003</v>
      </c>
      <c r="AL14" s="10">
        <f t="shared" si="40"/>
        <v>0.98646775000000009</v>
      </c>
      <c r="AM14" s="15"/>
      <c r="AN14" s="7">
        <f t="shared" si="41"/>
        <v>16111099.999999495</v>
      </c>
      <c r="AO14" s="8">
        <f t="shared" si="22"/>
        <v>16.111099999999496</v>
      </c>
      <c r="AP14" s="8">
        <f t="shared" si="42"/>
        <v>49.46107699999844</v>
      </c>
      <c r="AR14" s="8">
        <f t="shared" si="43"/>
        <v>9.2099999999996074E-3</v>
      </c>
    </row>
    <row r="15" spans="1:44" x14ac:dyDescent="0.2">
      <c r="A15" s="27">
        <v>43354</v>
      </c>
      <c r="B15" s="7">
        <f>'[5]Production Summary'!$K78</f>
        <v>13760000.000000218</v>
      </c>
      <c r="C15" s="8">
        <f t="shared" si="23"/>
        <v>13.760000000000218</v>
      </c>
      <c r="D15" s="10">
        <f t="shared" si="24"/>
        <v>42.24320000000067</v>
      </c>
      <c r="E15" s="7">
        <f>'[5]Production Summary'!$E78</f>
        <v>9000000</v>
      </c>
      <c r="F15" s="8">
        <f t="shared" si="25"/>
        <v>9</v>
      </c>
      <c r="G15" s="10">
        <f t="shared" si="26"/>
        <v>27.63</v>
      </c>
      <c r="H15" s="7">
        <f>'[5]Production Summary'!$G78</f>
        <v>5510000</v>
      </c>
      <c r="I15" s="8">
        <f t="shared" si="27"/>
        <v>5.51</v>
      </c>
      <c r="J15" s="10">
        <f t="shared" si="28"/>
        <v>16.915699999999998</v>
      </c>
      <c r="K15" s="7">
        <f>'[5]Production Summary'!$T78</f>
        <v>1220277</v>
      </c>
      <c r="L15" s="8">
        <f t="shared" si="29"/>
        <v>1.2202770000000001</v>
      </c>
      <c r="M15" s="10">
        <f t="shared" si="30"/>
        <v>3.7462503900000002</v>
      </c>
      <c r="N15" s="21"/>
      <c r="O15" s="7">
        <f>'[5]Production Summary'!$I78</f>
        <v>4531699.9999999972</v>
      </c>
      <c r="P15" s="8">
        <f t="shared" si="31"/>
        <v>4.5316999999999972</v>
      </c>
      <c r="Q15" s="10">
        <f t="shared" si="32"/>
        <v>13.912318999999991</v>
      </c>
      <c r="R15" s="7">
        <f>'[5]Production Summary'!$J78</f>
        <v>0</v>
      </c>
      <c r="S15" s="8">
        <f t="shared" si="10"/>
        <v>0</v>
      </c>
      <c r="T15" s="10">
        <f t="shared" si="11"/>
        <v>0</v>
      </c>
      <c r="U15" s="7">
        <f>'[5]Production Summary'!$C78</f>
        <v>4710000</v>
      </c>
      <c r="V15" s="8">
        <f t="shared" si="33"/>
        <v>4.71</v>
      </c>
      <c r="W15" s="10">
        <f t="shared" si="34"/>
        <v>14.4597</v>
      </c>
      <c r="X15" s="7">
        <f>'[5]Production Summary'!$AE78</f>
        <v>814805</v>
      </c>
      <c r="Y15" s="8">
        <f t="shared" si="14"/>
        <v>0.814805</v>
      </c>
      <c r="Z15" s="10">
        <f t="shared" si="15"/>
        <v>2.50145135</v>
      </c>
      <c r="AA15" s="7">
        <f>'[5]Production Summary'!$AF78</f>
        <v>0</v>
      </c>
      <c r="AB15" s="8">
        <f t="shared" si="16"/>
        <v>0</v>
      </c>
      <c r="AC15" s="10">
        <f t="shared" si="17"/>
        <v>0</v>
      </c>
      <c r="AD15" s="7">
        <f>'[5]Production Summary'!$AF78</f>
        <v>0</v>
      </c>
      <c r="AE15" s="8">
        <f t="shared" si="35"/>
        <v>0</v>
      </c>
      <c r="AF15" s="10">
        <f t="shared" si="36"/>
        <v>0</v>
      </c>
      <c r="AG15" s="7">
        <f>'[5]Production Summary'!$AB78</f>
        <v>177300.00000000244</v>
      </c>
      <c r="AH15" s="8">
        <f t="shared" si="37"/>
        <v>0.17730000000000246</v>
      </c>
      <c r="AI15" s="10">
        <f t="shared" si="38"/>
        <v>0.54431100000000754</v>
      </c>
      <c r="AJ15" s="7">
        <f>'[5]Production Summary'!$AJ78</f>
        <v>0</v>
      </c>
      <c r="AK15" s="8">
        <f t="shared" si="39"/>
        <v>0</v>
      </c>
      <c r="AL15" s="10">
        <f t="shared" si="40"/>
        <v>0</v>
      </c>
      <c r="AM15" s="15"/>
      <c r="AN15" s="7">
        <f t="shared" si="41"/>
        <v>18291700.000000216</v>
      </c>
      <c r="AO15" s="8">
        <f t="shared" si="22"/>
        <v>18.291700000000215</v>
      </c>
      <c r="AP15" s="8">
        <f t="shared" si="42"/>
        <v>56.155519000000659</v>
      </c>
      <c r="AR15" s="8">
        <f>W15-Q15-AI15</f>
        <v>3.0700000000010164E-3</v>
      </c>
    </row>
    <row r="16" spans="1:44" x14ac:dyDescent="0.2">
      <c r="A16" s="27">
        <v>43355</v>
      </c>
      <c r="B16" s="7">
        <f>'[5]Production Summary'!$K79</f>
        <v>18369999.999998983</v>
      </c>
      <c r="C16" s="8">
        <f t="shared" si="23"/>
        <v>18.369999999998981</v>
      </c>
      <c r="D16" s="10">
        <f t="shared" si="24"/>
        <v>56.395899999996871</v>
      </c>
      <c r="E16" s="7">
        <f>'[5]Production Summary'!$E79</f>
        <v>12000000</v>
      </c>
      <c r="F16" s="8">
        <f t="shared" si="25"/>
        <v>12</v>
      </c>
      <c r="G16" s="10">
        <f t="shared" si="26"/>
        <v>36.839999999999996</v>
      </c>
      <c r="H16" s="7">
        <f>'[5]Production Summary'!$G79</f>
        <v>8120000</v>
      </c>
      <c r="I16" s="8">
        <f t="shared" si="27"/>
        <v>8.1199999999999992</v>
      </c>
      <c r="J16" s="10">
        <f t="shared" si="28"/>
        <v>24.928399999999996</v>
      </c>
      <c r="K16" s="7">
        <f>'[5]Production Summary'!$T79</f>
        <v>2013515</v>
      </c>
      <c r="L16" s="8">
        <f t="shared" si="29"/>
        <v>2.0135149999999999</v>
      </c>
      <c r="M16" s="10">
        <f t="shared" si="30"/>
        <v>6.1814910499999991</v>
      </c>
      <c r="N16" s="21"/>
      <c r="O16" s="7">
        <f>'[5]Production Summary'!$I79</f>
        <v>4595200.0000000028</v>
      </c>
      <c r="P16" s="8">
        <f t="shared" si="31"/>
        <v>4.5952000000000028</v>
      </c>
      <c r="Q16" s="10">
        <f t="shared" si="32"/>
        <v>14.107264000000008</v>
      </c>
      <c r="R16" s="7">
        <f>'[5]Production Summary'!$J79</f>
        <v>0</v>
      </c>
      <c r="S16" s="8">
        <f t="shared" si="10"/>
        <v>0</v>
      </c>
      <c r="T16" s="10">
        <f t="shared" si="11"/>
        <v>0</v>
      </c>
      <c r="U16" s="7">
        <f>'[5]Production Summary'!$C79</f>
        <v>4832000</v>
      </c>
      <c r="V16" s="8">
        <f t="shared" si="33"/>
        <v>4.8319999999999999</v>
      </c>
      <c r="W16" s="10">
        <f t="shared" si="34"/>
        <v>14.834239999999999</v>
      </c>
      <c r="X16" s="7">
        <f>'[5]Production Summary'!$AE79</f>
        <v>270479</v>
      </c>
      <c r="Y16" s="8">
        <f t="shared" si="14"/>
        <v>0.27047900000000002</v>
      </c>
      <c r="Z16" s="10">
        <f t="shared" si="15"/>
        <v>0.83037053000000005</v>
      </c>
      <c r="AA16" s="7">
        <f>'[5]Production Summary'!$AF79</f>
        <v>0</v>
      </c>
      <c r="AB16" s="8">
        <f t="shared" si="16"/>
        <v>0</v>
      </c>
      <c r="AC16" s="10">
        <f t="shared" si="17"/>
        <v>0</v>
      </c>
      <c r="AD16" s="7">
        <f>'[5]Production Summary'!$AF79</f>
        <v>0</v>
      </c>
      <c r="AE16" s="8">
        <f t="shared" si="35"/>
        <v>0</v>
      </c>
      <c r="AF16" s="10">
        <f t="shared" si="36"/>
        <v>0</v>
      </c>
      <c r="AG16" s="7">
        <f>'[5]Production Summary'!$AB79</f>
        <v>232799.99999999744</v>
      </c>
      <c r="AH16" s="8">
        <f t="shared" si="37"/>
        <v>0.23279999999999743</v>
      </c>
      <c r="AI16" s="10">
        <f t="shared" si="38"/>
        <v>0.714695999999992</v>
      </c>
      <c r="AJ16" s="7">
        <f>'[5]Production Summary'!$AJ79</f>
        <v>0</v>
      </c>
      <c r="AK16" s="8">
        <f t="shared" si="39"/>
        <v>0</v>
      </c>
      <c r="AL16" s="10">
        <f t="shared" si="40"/>
        <v>0</v>
      </c>
      <c r="AM16" s="15"/>
      <c r="AN16" s="7">
        <f t="shared" si="41"/>
        <v>22965199.999998987</v>
      </c>
      <c r="AO16" s="8">
        <f t="shared" si="22"/>
        <v>22.965199999998983</v>
      </c>
      <c r="AP16" s="8">
        <f t="shared" si="42"/>
        <v>70.503163999996872</v>
      </c>
      <c r="AR16" s="8">
        <f>W16-Q16-AI16</f>
        <v>1.2279999999999625E-2</v>
      </c>
    </row>
    <row r="17" spans="1:44" x14ac:dyDescent="0.2">
      <c r="A17" s="27">
        <v>43356</v>
      </c>
      <c r="B17" s="7">
        <f>'[5]Production Summary'!$K80</f>
        <v>22920000.000000075</v>
      </c>
      <c r="C17" s="8">
        <f t="shared" si="23"/>
        <v>22.920000000000073</v>
      </c>
      <c r="D17" s="10">
        <f t="shared" si="24"/>
        <v>70.364400000000217</v>
      </c>
      <c r="E17" s="7">
        <f>'[5]Production Summary'!$E80</f>
        <v>15000000</v>
      </c>
      <c r="F17" s="8">
        <f t="shared" si="25"/>
        <v>15</v>
      </c>
      <c r="G17" s="10">
        <f t="shared" si="26"/>
        <v>46.05</v>
      </c>
      <c r="H17" s="7">
        <f>'[5]Production Summary'!$G80</f>
        <v>9740000</v>
      </c>
      <c r="I17" s="8">
        <f t="shared" si="27"/>
        <v>9.74</v>
      </c>
      <c r="J17" s="10">
        <f t="shared" si="28"/>
        <v>29.901799999999998</v>
      </c>
      <c r="K17" s="7">
        <f>'[5]Production Summary'!$T80</f>
        <v>1853655</v>
      </c>
      <c r="L17" s="8">
        <f t="shared" si="29"/>
        <v>1.8536550000000001</v>
      </c>
      <c r="M17" s="10">
        <f t="shared" si="30"/>
        <v>5.6907208499999999</v>
      </c>
      <c r="N17" s="21"/>
      <c r="O17" s="7">
        <f>'[5]Production Summary'!$I80</f>
        <v>4534299.9999999823</v>
      </c>
      <c r="P17" s="8">
        <f t="shared" si="31"/>
        <v>4.5342999999999822</v>
      </c>
      <c r="Q17" s="10">
        <f t="shared" si="32"/>
        <v>13.920300999999945</v>
      </c>
      <c r="R17" s="7">
        <f>'[5]Production Summary'!$J80</f>
        <v>0</v>
      </c>
      <c r="S17" s="8">
        <f t="shared" si="10"/>
        <v>0</v>
      </c>
      <c r="T17" s="10">
        <f t="shared" si="11"/>
        <v>0</v>
      </c>
      <c r="U17" s="7">
        <f>'[5]Production Summary'!$C80</f>
        <v>4769000</v>
      </c>
      <c r="V17" s="8">
        <f t="shared" si="33"/>
        <v>4.7690000000000001</v>
      </c>
      <c r="W17" s="10">
        <f t="shared" si="34"/>
        <v>14.640829999999999</v>
      </c>
      <c r="X17" s="7">
        <f>'[5]Production Summary'!$AE80</f>
        <v>270964</v>
      </c>
      <c r="Y17" s="8">
        <f t="shared" si="14"/>
        <v>0.27096399999999998</v>
      </c>
      <c r="Z17" s="10">
        <f t="shared" si="15"/>
        <v>0.83185947999999987</v>
      </c>
      <c r="AA17" s="7">
        <f>'[5]Production Summary'!$AF80</f>
        <v>0</v>
      </c>
      <c r="AB17" s="8">
        <f t="shared" si="16"/>
        <v>0</v>
      </c>
      <c r="AC17" s="10">
        <f t="shared" si="17"/>
        <v>0</v>
      </c>
      <c r="AD17" s="7">
        <f>'[5]Production Summary'!$AF80</f>
        <v>0</v>
      </c>
      <c r="AE17" s="8">
        <f t="shared" si="35"/>
        <v>0</v>
      </c>
      <c r="AF17" s="10">
        <f t="shared" si="36"/>
        <v>0</v>
      </c>
      <c r="AG17" s="7">
        <f>'[5]Production Summary'!$AB80</f>
        <v>231700.00000001778</v>
      </c>
      <c r="AH17" s="8">
        <f t="shared" si="37"/>
        <v>0.23170000000001778</v>
      </c>
      <c r="AI17" s="10">
        <f t="shared" si="38"/>
        <v>0.71131900000005455</v>
      </c>
      <c r="AJ17" s="7">
        <f>'[5]Production Summary'!$AJ80</f>
        <v>0</v>
      </c>
      <c r="AK17" s="8">
        <f t="shared" si="39"/>
        <v>0</v>
      </c>
      <c r="AL17" s="10">
        <f t="shared" si="40"/>
        <v>0</v>
      </c>
      <c r="AM17" s="15"/>
      <c r="AN17" s="7">
        <f t="shared" si="41"/>
        <v>27454300.000000056</v>
      </c>
      <c r="AO17" s="8">
        <f t="shared" si="22"/>
        <v>27.454300000000053</v>
      </c>
      <c r="AP17" s="8">
        <f t="shared" si="42"/>
        <v>84.284701000000155</v>
      </c>
      <c r="AR17" s="8">
        <f>W17-Q17-AI17</f>
        <v>9.2099999999996074E-3</v>
      </c>
    </row>
    <row r="18" spans="1:44" x14ac:dyDescent="0.2">
      <c r="A18" s="27">
        <v>43357</v>
      </c>
      <c r="B18" s="7">
        <f>'[5]Production Summary'!$K81</f>
        <v>25760000.00000022</v>
      </c>
      <c r="C18" s="8">
        <f t="shared" si="23"/>
        <v>25.760000000000218</v>
      </c>
      <c r="D18" s="10">
        <f t="shared" si="24"/>
        <v>79.083200000000673</v>
      </c>
      <c r="E18" s="7">
        <f>'[5]Production Summary'!$E81</f>
        <v>16000000</v>
      </c>
      <c r="F18" s="8">
        <f t="shared" si="25"/>
        <v>16</v>
      </c>
      <c r="G18" s="10">
        <f t="shared" si="26"/>
        <v>49.12</v>
      </c>
      <c r="H18" s="7">
        <f>'[5]Production Summary'!$G81</f>
        <v>11230000</v>
      </c>
      <c r="I18" s="8">
        <f t="shared" si="27"/>
        <v>11.23</v>
      </c>
      <c r="J18" s="10">
        <f t="shared" si="28"/>
        <v>34.476100000000002</v>
      </c>
      <c r="K18" s="7">
        <f>'[5]Production Summary'!$T81</f>
        <v>2573414</v>
      </c>
      <c r="L18" s="8">
        <f t="shared" si="29"/>
        <v>2.5734140000000001</v>
      </c>
      <c r="M18" s="10">
        <f>L18*3.07</f>
        <v>7.9003809799999996</v>
      </c>
      <c r="N18" s="21"/>
      <c r="O18" s="7">
        <f>'[5]Production Summary'!$I81</f>
        <v>4467600.0000000158</v>
      </c>
      <c r="P18" s="8">
        <f t="shared" si="31"/>
        <v>4.467600000000016</v>
      </c>
      <c r="Q18" s="10">
        <f t="shared" si="32"/>
        <v>13.715532000000048</v>
      </c>
      <c r="R18" s="7">
        <f>'[5]Production Summary'!$J81</f>
        <v>0</v>
      </c>
      <c r="S18" s="8">
        <f t="shared" si="10"/>
        <v>0</v>
      </c>
      <c r="T18" s="10">
        <f t="shared" si="11"/>
        <v>0</v>
      </c>
      <c r="U18" s="7">
        <f>'[5]Production Summary'!$C81</f>
        <v>4703000</v>
      </c>
      <c r="V18" s="8">
        <f t="shared" si="33"/>
        <v>4.7030000000000003</v>
      </c>
      <c r="W18" s="10">
        <f t="shared" si="34"/>
        <v>14.43821</v>
      </c>
      <c r="X18" s="7">
        <f>'[5]Production Summary'!$AE81</f>
        <v>2704367</v>
      </c>
      <c r="Y18" s="8">
        <f t="shared" si="14"/>
        <v>2.704367</v>
      </c>
      <c r="Z18" s="10">
        <f t="shared" si="15"/>
        <v>8.3024066899999998</v>
      </c>
      <c r="AA18" s="7">
        <f>'[5]Production Summary'!$AF81</f>
        <v>0</v>
      </c>
      <c r="AB18" s="8">
        <f t="shared" si="16"/>
        <v>0</v>
      </c>
      <c r="AC18" s="10">
        <f t="shared" si="17"/>
        <v>0</v>
      </c>
      <c r="AD18" s="7">
        <f>'[5]Production Summary'!$AF81</f>
        <v>0</v>
      </c>
      <c r="AE18" s="8">
        <f t="shared" si="35"/>
        <v>0</v>
      </c>
      <c r="AF18" s="10">
        <f t="shared" si="36"/>
        <v>0</v>
      </c>
      <c r="AG18" s="7">
        <f>'[5]Production Summary'!$AB81</f>
        <v>232399.99999998417</v>
      </c>
      <c r="AH18" s="8">
        <f t="shared" si="37"/>
        <v>0.23239999999998417</v>
      </c>
      <c r="AI18" s="10">
        <f t="shared" si="38"/>
        <v>0.71346799999995136</v>
      </c>
      <c r="AJ18" s="7">
        <f>'[5]Production Summary'!$AJ81</f>
        <v>0</v>
      </c>
      <c r="AK18" s="8">
        <f t="shared" si="39"/>
        <v>0</v>
      </c>
      <c r="AL18" s="10">
        <f t="shared" si="40"/>
        <v>0</v>
      </c>
      <c r="AM18" s="15"/>
      <c r="AN18" s="7">
        <f t="shared" si="41"/>
        <v>30227600.000000235</v>
      </c>
      <c r="AO18" s="8">
        <f t="shared" si="22"/>
        <v>30.227600000000233</v>
      </c>
      <c r="AP18" s="8">
        <f t="shared" si="42"/>
        <v>92.798732000000726</v>
      </c>
      <c r="AR18" s="8">
        <f>W18-Q18-AI18</f>
        <v>9.2100000000008286E-3</v>
      </c>
    </row>
    <row r="19" spans="1:44" x14ac:dyDescent="0.2">
      <c r="A19" s="27">
        <v>43358</v>
      </c>
      <c r="B19" s="7">
        <f>'[5]Production Summary'!$K82</f>
        <v>26350000.000000365</v>
      </c>
      <c r="C19" s="8">
        <f t="shared" si="23"/>
        <v>26.350000000000364</v>
      </c>
      <c r="D19" s="10">
        <f t="shared" si="24"/>
        <v>80.894500000001116</v>
      </c>
      <c r="E19" s="7">
        <f>'[5]Production Summary'!$E82</f>
        <v>17000000</v>
      </c>
      <c r="F19" s="8">
        <f t="shared" si="25"/>
        <v>17</v>
      </c>
      <c r="G19" s="10">
        <f t="shared" si="26"/>
        <v>52.19</v>
      </c>
      <c r="H19" s="7">
        <f>'[5]Production Summary'!$G82</f>
        <v>11590000</v>
      </c>
      <c r="I19" s="8">
        <f t="shared" si="27"/>
        <v>11.59</v>
      </c>
      <c r="J19" s="10">
        <f t="shared" si="28"/>
        <v>35.581299999999999</v>
      </c>
      <c r="K19" s="7">
        <f>'[5]Production Summary'!$T82</f>
        <v>2708361</v>
      </c>
      <c r="L19" s="8">
        <f t="shared" si="29"/>
        <v>2.708361</v>
      </c>
      <c r="M19" s="10">
        <f t="shared" si="30"/>
        <v>8.3146682700000003</v>
      </c>
      <c r="N19" s="21"/>
      <c r="O19" s="7">
        <f>'[5]Production Summary'!$I82</f>
        <v>4635899.9999999972</v>
      </c>
      <c r="P19" s="8">
        <f t="shared" si="31"/>
        <v>4.6358999999999968</v>
      </c>
      <c r="Q19" s="10">
        <f t="shared" si="32"/>
        <v>14.232212999999989</v>
      </c>
      <c r="R19" s="7">
        <f>'[5]Production Summary'!$J82</f>
        <v>0</v>
      </c>
      <c r="S19" s="8">
        <f t="shared" si="10"/>
        <v>0</v>
      </c>
      <c r="T19" s="10">
        <f t="shared" si="11"/>
        <v>0</v>
      </c>
      <c r="U19" s="7">
        <f>'[5]Production Summary'!$C82</f>
        <v>4751000</v>
      </c>
      <c r="V19" s="8">
        <f t="shared" si="33"/>
        <v>4.7510000000000003</v>
      </c>
      <c r="W19" s="10">
        <f t="shared" si="34"/>
        <v>14.585570000000001</v>
      </c>
      <c r="X19" s="7">
        <f>'[5]Production Summary'!$AE82</f>
        <v>3543654</v>
      </c>
      <c r="Y19" s="8">
        <f t="shared" si="14"/>
        <v>3.5436540000000001</v>
      </c>
      <c r="Z19" s="10">
        <f t="shared" si="15"/>
        <v>10.87901778</v>
      </c>
      <c r="AA19" s="7">
        <f>'[5]Production Summary'!$AF82</f>
        <v>0</v>
      </c>
      <c r="AB19" s="8">
        <f t="shared" si="16"/>
        <v>0</v>
      </c>
      <c r="AC19" s="10">
        <f t="shared" si="17"/>
        <v>0</v>
      </c>
      <c r="AD19" s="7">
        <f>'[5]Production Summary'!$AF82</f>
        <v>0</v>
      </c>
      <c r="AE19" s="8">
        <f t="shared" si="35"/>
        <v>0</v>
      </c>
      <c r="AF19" s="10">
        <f t="shared" si="36"/>
        <v>0</v>
      </c>
      <c r="AG19" s="7">
        <f>'[5]Production Summary'!$AB82</f>
        <v>113100.00000000287</v>
      </c>
      <c r="AH19" s="8">
        <f t="shared" si="37"/>
        <v>0.11310000000000286</v>
      </c>
      <c r="AI19" s="10">
        <f t="shared" si="38"/>
        <v>0.34721700000000877</v>
      </c>
      <c r="AJ19" s="7">
        <f>'[5]Production Summary'!$AJ82</f>
        <v>231732</v>
      </c>
      <c r="AK19" s="8">
        <f t="shared" si="39"/>
        <v>0.23173199999999999</v>
      </c>
      <c r="AL19" s="10">
        <f t="shared" si="40"/>
        <v>0.71141723999999995</v>
      </c>
      <c r="AM19" s="15"/>
      <c r="AN19" s="7">
        <f t="shared" si="41"/>
        <v>30985900.000000361</v>
      </c>
      <c r="AO19" s="8">
        <f t="shared" si="22"/>
        <v>30.98590000000036</v>
      </c>
      <c r="AP19" s="8">
        <f t="shared" si="42"/>
        <v>95.126713000001104</v>
      </c>
      <c r="AR19" s="8">
        <f>W19-Q19-AI19</f>
        <v>6.1400000000026989E-3</v>
      </c>
    </row>
    <row r="20" spans="1:44" x14ac:dyDescent="0.2">
      <c r="A20" s="27">
        <v>43359</v>
      </c>
      <c r="B20" s="7">
        <f>'[5]Production Summary'!$K83</f>
        <v>26979999.999999564</v>
      </c>
      <c r="C20" s="8">
        <f t="shared" si="23"/>
        <v>26.979999999999563</v>
      </c>
      <c r="D20" s="10">
        <f t="shared" si="24"/>
        <v>82.828599999998659</v>
      </c>
      <c r="E20" s="7">
        <f>'[5]Production Summary'!$E83</f>
        <v>16000000</v>
      </c>
      <c r="F20" s="8">
        <f t="shared" si="25"/>
        <v>16</v>
      </c>
      <c r="G20" s="10">
        <f t="shared" si="26"/>
        <v>49.12</v>
      </c>
      <c r="H20" s="7">
        <f>'[5]Production Summary'!$G83</f>
        <v>12330000</v>
      </c>
      <c r="I20" s="8">
        <f t="shared" si="27"/>
        <v>12.33</v>
      </c>
      <c r="J20" s="10">
        <f t="shared" si="28"/>
        <v>37.853099999999998</v>
      </c>
      <c r="K20" s="7">
        <f>'[5]Production Summary'!$T83</f>
        <v>2614332</v>
      </c>
      <c r="L20" s="8">
        <f t="shared" si="29"/>
        <v>2.6143320000000001</v>
      </c>
      <c r="M20" s="10">
        <f t="shared" si="30"/>
        <v>8.0259992399999991</v>
      </c>
      <c r="N20" s="21"/>
      <c r="O20" s="7">
        <f>'[5]Production Summary'!$I83</f>
        <v>4527499.9999999898</v>
      </c>
      <c r="P20" s="8">
        <f t="shared" si="31"/>
        <v>4.5274999999999901</v>
      </c>
      <c r="Q20" s="10">
        <f t="shared" si="32"/>
        <v>13.899424999999969</v>
      </c>
      <c r="R20" s="7">
        <f>'[5]Production Summary'!$J83</f>
        <v>0</v>
      </c>
      <c r="S20" s="8">
        <f t="shared" si="10"/>
        <v>0</v>
      </c>
      <c r="T20" s="10">
        <f t="shared" si="11"/>
        <v>0</v>
      </c>
      <c r="U20" s="7">
        <f>'[5]Production Summary'!$C83</f>
        <v>4732000</v>
      </c>
      <c r="V20" s="8">
        <f t="shared" si="33"/>
        <v>4.7320000000000002</v>
      </c>
      <c r="W20" s="10">
        <f t="shared" si="34"/>
        <v>14.527239999999999</v>
      </c>
      <c r="X20" s="7">
        <f>'[5]Production Summary'!$AE83</f>
        <v>2436928</v>
      </c>
      <c r="Y20" s="8">
        <f t="shared" si="14"/>
        <v>2.436928</v>
      </c>
      <c r="Z20" s="10">
        <f t="shared" si="15"/>
        <v>7.4813689599999993</v>
      </c>
      <c r="AA20" s="7">
        <f>'[5]Production Summary'!$AF83</f>
        <v>0</v>
      </c>
      <c r="AB20" s="8">
        <f t="shared" si="16"/>
        <v>0</v>
      </c>
      <c r="AC20" s="10">
        <f t="shared" si="17"/>
        <v>0</v>
      </c>
      <c r="AD20" s="7">
        <f>'[5]Production Summary'!$AF83</f>
        <v>0</v>
      </c>
      <c r="AE20" s="8">
        <f t="shared" si="35"/>
        <v>0</v>
      </c>
      <c r="AF20" s="10">
        <f t="shared" si="36"/>
        <v>0</v>
      </c>
      <c r="AG20" s="7">
        <f>'[5]Production Summary'!$AB83</f>
        <v>201500.00000001001</v>
      </c>
      <c r="AH20" s="8">
        <f t="shared" si="37"/>
        <v>0.20150000000001</v>
      </c>
      <c r="AI20" s="10">
        <f t="shared" si="38"/>
        <v>0.61860500000003071</v>
      </c>
      <c r="AJ20" s="7">
        <f>'[5]Production Summary'!$AJ83</f>
        <v>44216</v>
      </c>
      <c r="AK20" s="8">
        <f t="shared" si="39"/>
        <v>4.4215999999999998E-2</v>
      </c>
      <c r="AL20" s="10">
        <f t="shared" si="40"/>
        <v>0.13574311999999999</v>
      </c>
      <c r="AM20" s="15"/>
      <c r="AN20" s="7">
        <f t="shared" si="41"/>
        <v>31507499.999999553</v>
      </c>
      <c r="AO20" s="8">
        <f t="shared" si="22"/>
        <v>31.507499999999553</v>
      </c>
      <c r="AP20" s="8">
        <f t="shared" si="42"/>
        <v>96.728024999998624</v>
      </c>
      <c r="AR20" s="8">
        <f t="shared" ref="AR20:AR35" si="44">W20-Q20-AI20</f>
        <v>9.2099999999994964E-3</v>
      </c>
    </row>
    <row r="21" spans="1:44" x14ac:dyDescent="0.2">
      <c r="A21" s="27">
        <v>43360</v>
      </c>
      <c r="B21" s="7">
        <f>'[5]Production Summary'!$K84</f>
        <v>27090000.000000145</v>
      </c>
      <c r="C21" s="8">
        <f t="shared" si="23"/>
        <v>27.090000000000146</v>
      </c>
      <c r="D21" s="10">
        <f t="shared" si="24"/>
        <v>83.166300000000447</v>
      </c>
      <c r="E21" s="7">
        <f>'[5]Production Summary'!$E84</f>
        <v>18000000</v>
      </c>
      <c r="F21" s="8">
        <f t="shared" si="25"/>
        <v>18</v>
      </c>
      <c r="G21" s="10">
        <f t="shared" si="26"/>
        <v>55.26</v>
      </c>
      <c r="H21" s="7">
        <f>'[5]Production Summary'!$G84</f>
        <v>12010000</v>
      </c>
      <c r="I21" s="8">
        <f t="shared" si="27"/>
        <v>12.01</v>
      </c>
      <c r="J21" s="10">
        <f t="shared" si="28"/>
        <v>36.870699999999999</v>
      </c>
      <c r="K21" s="7">
        <f>'[5]Production Summary'!$T84</f>
        <v>2825346</v>
      </c>
      <c r="L21" s="8">
        <f t="shared" si="29"/>
        <v>2.8253460000000001</v>
      </c>
      <c r="M21" s="10">
        <f t="shared" si="30"/>
        <v>8.6738122200000003</v>
      </c>
      <c r="N21" s="21"/>
      <c r="O21" s="7">
        <f>'[5]Production Summary'!$I84</f>
        <v>4693100.0000000037</v>
      </c>
      <c r="P21" s="8">
        <f t="shared" si="31"/>
        <v>4.6931000000000038</v>
      </c>
      <c r="Q21" s="10">
        <f t="shared" si="32"/>
        <v>14.40781700000001</v>
      </c>
      <c r="R21" s="7">
        <f>'[5]Production Summary'!$J84</f>
        <v>0</v>
      </c>
      <c r="S21" s="8">
        <f t="shared" si="10"/>
        <v>0</v>
      </c>
      <c r="T21" s="10">
        <f t="shared" si="11"/>
        <v>0</v>
      </c>
      <c r="U21" s="7">
        <f>'[5]Production Summary'!$C84</f>
        <v>4928000</v>
      </c>
      <c r="V21" s="8">
        <f t="shared" si="33"/>
        <v>4.9279999999999999</v>
      </c>
      <c r="W21" s="10">
        <f t="shared" si="34"/>
        <v>15.128959999999999</v>
      </c>
      <c r="X21" s="7">
        <f>'[5]Production Summary'!$AE84</f>
        <v>2435006</v>
      </c>
      <c r="Y21" s="8">
        <f t="shared" si="14"/>
        <v>2.435006</v>
      </c>
      <c r="Z21" s="10">
        <f t="shared" si="15"/>
        <v>7.4754684199999994</v>
      </c>
      <c r="AA21" s="7">
        <f>'[5]Production Summary'!$AF84</f>
        <v>0</v>
      </c>
      <c r="AB21" s="8">
        <f t="shared" si="16"/>
        <v>0</v>
      </c>
      <c r="AC21" s="10">
        <f t="shared" si="17"/>
        <v>0</v>
      </c>
      <c r="AD21" s="7">
        <f>'[5]Production Summary'!$AF84</f>
        <v>0</v>
      </c>
      <c r="AE21" s="8">
        <f t="shared" si="35"/>
        <v>0</v>
      </c>
      <c r="AF21" s="10">
        <f t="shared" si="36"/>
        <v>0</v>
      </c>
      <c r="AG21" s="7">
        <f>'[5]Production Summary'!$AB84</f>
        <v>231899.99999999598</v>
      </c>
      <c r="AH21" s="8">
        <f t="shared" si="37"/>
        <v>0.23189999999999597</v>
      </c>
      <c r="AI21" s="10">
        <f t="shared" si="38"/>
        <v>0.7119329999999876</v>
      </c>
      <c r="AJ21" s="7">
        <f>'[5]Production Summary'!$AJ84</f>
        <v>160472</v>
      </c>
      <c r="AK21" s="8">
        <f t="shared" si="39"/>
        <v>0.160472</v>
      </c>
      <c r="AL21" s="10">
        <f t="shared" si="40"/>
        <v>0.49264903999999998</v>
      </c>
      <c r="AM21" s="15"/>
      <c r="AN21" s="7">
        <f t="shared" si="41"/>
        <v>31783100.000000149</v>
      </c>
      <c r="AO21" s="8">
        <f t="shared" si="22"/>
        <v>31.78310000000015</v>
      </c>
      <c r="AP21" s="8">
        <f t="shared" si="42"/>
        <v>97.574117000000456</v>
      </c>
      <c r="AR21" s="8">
        <f t="shared" si="44"/>
        <v>9.2100000000013837E-3</v>
      </c>
    </row>
    <row r="22" spans="1:44" x14ac:dyDescent="0.2">
      <c r="A22" s="27">
        <v>43361</v>
      </c>
      <c r="B22" s="7">
        <f>'[5]Production Summary'!$K85</f>
        <v>27969999.999999344</v>
      </c>
      <c r="C22" s="8">
        <f t="shared" si="23"/>
        <v>27.969999999999345</v>
      </c>
      <c r="D22" s="10">
        <f t="shared" si="24"/>
        <v>85.867899999997988</v>
      </c>
      <c r="E22" s="7">
        <f>'[5]Production Summary'!$E85</f>
        <v>18000000</v>
      </c>
      <c r="F22" s="8">
        <f t="shared" si="25"/>
        <v>18</v>
      </c>
      <c r="G22" s="10">
        <f t="shared" si="26"/>
        <v>55.26</v>
      </c>
      <c r="H22" s="7">
        <f>'[5]Production Summary'!$G85</f>
        <v>12070000</v>
      </c>
      <c r="I22" s="8">
        <f t="shared" si="27"/>
        <v>12.07</v>
      </c>
      <c r="J22" s="10">
        <f t="shared" si="28"/>
        <v>37.054899999999996</v>
      </c>
      <c r="K22" s="7">
        <f>'[5]Production Summary'!$T85</f>
        <v>2774741</v>
      </c>
      <c r="L22" s="8">
        <f t="shared" si="29"/>
        <v>2.7747410000000001</v>
      </c>
      <c r="M22" s="10">
        <f t="shared" si="30"/>
        <v>8.5184548699999993</v>
      </c>
      <c r="N22" s="21"/>
      <c r="O22" s="7">
        <f>'[5]Production Summary'!$I85</f>
        <v>4223900.0000000009</v>
      </c>
      <c r="P22" s="8">
        <f t="shared" si="31"/>
        <v>4.2239000000000013</v>
      </c>
      <c r="Q22" s="10">
        <f t="shared" si="32"/>
        <v>12.967373000000004</v>
      </c>
      <c r="R22" s="7">
        <f>'[5]Production Summary'!$J85</f>
        <v>1000000</v>
      </c>
      <c r="S22" s="8">
        <f t="shared" si="10"/>
        <v>1</v>
      </c>
      <c r="T22" s="10">
        <f t="shared" si="11"/>
        <v>3.07</v>
      </c>
      <c r="U22" s="7">
        <f>'[5]Production Summary'!$C85</f>
        <v>4374000</v>
      </c>
      <c r="V22" s="8">
        <f t="shared" si="33"/>
        <v>4.3739999999999997</v>
      </c>
      <c r="W22" s="10">
        <f t="shared" si="34"/>
        <v>13.428179999999998</v>
      </c>
      <c r="X22" s="7">
        <f>'[5]Production Summary'!$AE85</f>
        <v>3173400</v>
      </c>
      <c r="Y22" s="8">
        <f t="shared" si="14"/>
        <v>3.1734</v>
      </c>
      <c r="Z22" s="10">
        <f t="shared" si="15"/>
        <v>9.7423380000000002</v>
      </c>
      <c r="AA22" s="7">
        <f>'[5]Production Summary'!$AF85</f>
        <v>0</v>
      </c>
      <c r="AB22" s="8">
        <f t="shared" si="16"/>
        <v>0</v>
      </c>
      <c r="AC22" s="10">
        <f t="shared" si="17"/>
        <v>0</v>
      </c>
      <c r="AD22" s="7">
        <f>'[5]Production Summary'!$AF85</f>
        <v>0</v>
      </c>
      <c r="AE22" s="8">
        <f t="shared" si="35"/>
        <v>0</v>
      </c>
      <c r="AF22" s="10">
        <f t="shared" si="36"/>
        <v>0</v>
      </c>
      <c r="AG22" s="7">
        <f>'[5]Production Summary'!$AB85</f>
        <v>148099.99999999945</v>
      </c>
      <c r="AH22" s="8">
        <f t="shared" si="37"/>
        <v>0.14809999999999945</v>
      </c>
      <c r="AI22" s="10">
        <f t="shared" si="38"/>
        <v>0.45466699999999832</v>
      </c>
      <c r="AJ22" s="7">
        <f>'[5]Production Summary'!$AJ85</f>
        <v>223883</v>
      </c>
      <c r="AK22" s="8">
        <f t="shared" si="39"/>
        <v>0.223883</v>
      </c>
      <c r="AL22" s="10">
        <f t="shared" si="40"/>
        <v>0.68732081</v>
      </c>
      <c r="AM22" s="15"/>
      <c r="AN22" s="7">
        <f t="shared" si="41"/>
        <v>33193899.999999344</v>
      </c>
      <c r="AO22" s="8">
        <f t="shared" si="22"/>
        <v>32.193899999999346</v>
      </c>
      <c r="AP22" s="8">
        <f t="shared" si="42"/>
        <v>101.90527299999799</v>
      </c>
      <c r="AR22" s="8">
        <f t="shared" si="44"/>
        <v>6.1399999999954269E-3</v>
      </c>
    </row>
    <row r="23" spans="1:44" x14ac:dyDescent="0.2">
      <c r="A23" s="27">
        <v>43362</v>
      </c>
      <c r="B23" s="7">
        <f>'[5]Production Summary'!$K86</f>
        <v>28200000.000000726</v>
      </c>
      <c r="C23" s="8">
        <f t="shared" si="23"/>
        <v>28.200000000000728</v>
      </c>
      <c r="D23" s="10">
        <f t="shared" si="24"/>
        <v>86.574000000002229</v>
      </c>
      <c r="E23" s="7">
        <f>'[5]Production Summary'!$E86</f>
        <v>17000000</v>
      </c>
      <c r="F23" s="8">
        <f t="shared" si="25"/>
        <v>17</v>
      </c>
      <c r="G23" s="10">
        <f t="shared" si="26"/>
        <v>52.19</v>
      </c>
      <c r="H23" s="7">
        <f>'[5]Production Summary'!$G86</f>
        <v>12570000</v>
      </c>
      <c r="I23" s="8">
        <f t="shared" si="27"/>
        <v>12.57</v>
      </c>
      <c r="J23" s="10">
        <f t="shared" si="28"/>
        <v>38.5899</v>
      </c>
      <c r="K23" s="7">
        <f>'[5]Production Summary'!$T86</f>
        <v>3031552</v>
      </c>
      <c r="L23" s="8">
        <f t="shared" si="29"/>
        <v>3.031552</v>
      </c>
      <c r="M23" s="10">
        <f t="shared" si="30"/>
        <v>9.3068646399999988</v>
      </c>
      <c r="N23" s="21"/>
      <c r="O23" s="7">
        <f>'[5]Production Summary'!$I86</f>
        <v>4246799.9999999888</v>
      </c>
      <c r="P23" s="8">
        <f t="shared" si="31"/>
        <v>4.2467999999999888</v>
      </c>
      <c r="Q23" s="10">
        <f t="shared" si="32"/>
        <v>13.037675999999966</v>
      </c>
      <c r="R23" s="7">
        <f>'[5]Production Summary'!$J86</f>
        <v>0</v>
      </c>
      <c r="S23" s="8">
        <f t="shared" si="10"/>
        <v>0</v>
      </c>
      <c r="T23" s="10">
        <f t="shared" si="11"/>
        <v>0</v>
      </c>
      <c r="U23" s="7">
        <f>'[5]Production Summary'!$C86</f>
        <v>4483000</v>
      </c>
      <c r="V23" s="8">
        <f t="shared" si="33"/>
        <v>4.4829999999999997</v>
      </c>
      <c r="W23" s="10">
        <f t="shared" si="34"/>
        <v>13.762809999999998</v>
      </c>
      <c r="X23" s="7">
        <f>'[5]Production Summary'!$AE86</f>
        <v>706618</v>
      </c>
      <c r="Y23" s="8">
        <f t="shared" si="14"/>
        <v>0.70661799999999997</v>
      </c>
      <c r="Z23" s="10">
        <f t="shared" si="15"/>
        <v>2.1693172599999997</v>
      </c>
      <c r="AA23" s="7">
        <f>'[5]Production Summary'!$AF86</f>
        <v>0</v>
      </c>
      <c r="AB23" s="8">
        <f t="shared" si="16"/>
        <v>0</v>
      </c>
      <c r="AC23" s="10">
        <f t="shared" si="17"/>
        <v>0</v>
      </c>
      <c r="AD23" s="7">
        <f>'[5]Production Summary'!$AF86</f>
        <v>0</v>
      </c>
      <c r="AE23" s="8">
        <f t="shared" si="35"/>
        <v>0</v>
      </c>
      <c r="AF23" s="10">
        <f t="shared" si="36"/>
        <v>0</v>
      </c>
      <c r="AG23" s="7">
        <f>'[5]Production Summary'!$AB86</f>
        <v>233200.00000001074</v>
      </c>
      <c r="AH23" s="8">
        <f t="shared" si="37"/>
        <v>0.23320000000001073</v>
      </c>
      <c r="AI23" s="10">
        <f t="shared" si="38"/>
        <v>0.71592400000003287</v>
      </c>
      <c r="AJ23" s="7">
        <f>'[5]Production Summary'!$AJ86</f>
        <v>223883</v>
      </c>
      <c r="AK23" s="8">
        <f t="shared" si="39"/>
        <v>0.223883</v>
      </c>
      <c r="AL23" s="10">
        <f t="shared" si="40"/>
        <v>0.68732081</v>
      </c>
      <c r="AM23" s="15"/>
      <c r="AN23" s="7">
        <f t="shared" si="41"/>
        <v>32446800.000000715</v>
      </c>
      <c r="AO23" s="8">
        <f t="shared" si="22"/>
        <v>32.446800000000714</v>
      </c>
      <c r="AP23" s="8">
        <f t="shared" si="42"/>
        <v>99.611676000002191</v>
      </c>
      <c r="AR23" s="8">
        <f t="shared" si="44"/>
        <v>9.2099999999997184E-3</v>
      </c>
    </row>
    <row r="24" spans="1:44" x14ac:dyDescent="0.2">
      <c r="A24" s="27">
        <v>43363</v>
      </c>
      <c r="B24" s="7">
        <f>'[5]Production Summary'!$K87</f>
        <v>28409999.999999855</v>
      </c>
      <c r="C24" s="8">
        <f t="shared" si="23"/>
        <v>28.409999999999854</v>
      </c>
      <c r="D24" s="10">
        <f t="shared" si="24"/>
        <v>87.218699999999544</v>
      </c>
      <c r="E24" s="7">
        <f>'[5]Production Summary'!$E87</f>
        <v>19000000</v>
      </c>
      <c r="F24" s="8">
        <f t="shared" si="25"/>
        <v>19</v>
      </c>
      <c r="G24" s="10">
        <f t="shared" si="26"/>
        <v>58.33</v>
      </c>
      <c r="H24" s="7">
        <f>'[5]Production Summary'!$G87</f>
        <v>12580000</v>
      </c>
      <c r="I24" s="8">
        <f t="shared" si="27"/>
        <v>12.58</v>
      </c>
      <c r="J24" s="10">
        <f t="shared" si="28"/>
        <v>38.620599999999996</v>
      </c>
      <c r="K24" s="7">
        <f>'[5]Production Summary'!$T87</f>
        <v>2858822</v>
      </c>
      <c r="L24" s="8">
        <f t="shared" si="29"/>
        <v>2.858822</v>
      </c>
      <c r="M24" s="10">
        <f t="shared" si="30"/>
        <v>8.776583539999999</v>
      </c>
      <c r="N24" s="21"/>
      <c r="O24" s="7">
        <f>'[5]Production Summary'!$I87</f>
        <v>4242700.0000000224</v>
      </c>
      <c r="P24" s="8">
        <f t="shared" si="31"/>
        <v>4.2427000000000223</v>
      </c>
      <c r="Q24" s="10">
        <f t="shared" si="32"/>
        <v>13.025089000000069</v>
      </c>
      <c r="R24" s="7">
        <f>'[5]Production Summary'!$J87</f>
        <v>864459</v>
      </c>
      <c r="S24" s="8">
        <f t="shared" si="10"/>
        <v>0.86445899999999998</v>
      </c>
      <c r="T24" s="10">
        <f t="shared" si="11"/>
        <v>2.6538891299999996</v>
      </c>
      <c r="U24" s="7">
        <f>'[5]Production Summary'!$C87</f>
        <v>4394000</v>
      </c>
      <c r="V24" s="8">
        <f t="shared" si="33"/>
        <v>4.3940000000000001</v>
      </c>
      <c r="W24" s="10">
        <f t="shared" si="34"/>
        <v>13.48958</v>
      </c>
      <c r="X24" s="7">
        <f>'[5]Production Summary'!$AE87</f>
        <v>3002398</v>
      </c>
      <c r="Y24" s="8">
        <f t="shared" si="14"/>
        <v>3.0023979999999999</v>
      </c>
      <c r="Z24" s="10">
        <f t="shared" si="15"/>
        <v>9.2173618599999987</v>
      </c>
      <c r="AA24" s="7">
        <f>'[5]Production Summary'!$AF87</f>
        <v>0</v>
      </c>
      <c r="AB24" s="8">
        <f t="shared" si="16"/>
        <v>0</v>
      </c>
      <c r="AC24" s="10">
        <f t="shared" si="17"/>
        <v>0</v>
      </c>
      <c r="AD24" s="7">
        <f>'[5]Production Summary'!$AF87</f>
        <v>0</v>
      </c>
      <c r="AE24" s="8">
        <f t="shared" si="35"/>
        <v>0</v>
      </c>
      <c r="AF24" s="10">
        <f t="shared" si="36"/>
        <v>0</v>
      </c>
      <c r="AG24" s="7">
        <f>'[5]Production Summary'!$AB87</f>
        <v>148299.99999997768</v>
      </c>
      <c r="AH24" s="8">
        <f t="shared" si="37"/>
        <v>0.14829999999997767</v>
      </c>
      <c r="AI24" s="10">
        <f t="shared" si="38"/>
        <v>0.45528099999993143</v>
      </c>
      <c r="AJ24" s="7">
        <f>'[5]Production Summary'!$AJ87</f>
        <v>566</v>
      </c>
      <c r="AK24" s="8">
        <f t="shared" si="39"/>
        <v>5.6599999999999999E-4</v>
      </c>
      <c r="AL24" s="10">
        <f t="shared" si="40"/>
        <v>1.7376199999999998E-3</v>
      </c>
      <c r="AM24" s="15"/>
      <c r="AN24" s="7">
        <f t="shared" si="41"/>
        <v>33517158.999999877</v>
      </c>
      <c r="AO24" s="8">
        <f t="shared" si="22"/>
        <v>32.652699999999875</v>
      </c>
      <c r="AP24" s="8">
        <f t="shared" si="42"/>
        <v>102.8976781299996</v>
      </c>
      <c r="AR24" s="8">
        <f t="shared" si="44"/>
        <v>9.2099999999999405E-3</v>
      </c>
    </row>
    <row r="25" spans="1:44" x14ac:dyDescent="0.2">
      <c r="A25" s="27">
        <v>43364</v>
      </c>
      <c r="B25" s="7">
        <f>'[5]Production Summary'!$K88</f>
        <v>27260000.00000022</v>
      </c>
      <c r="C25" s="8">
        <f t="shared" si="23"/>
        <v>27.260000000000218</v>
      </c>
      <c r="D25" s="10">
        <f t="shared" si="24"/>
        <v>83.688200000000663</v>
      </c>
      <c r="E25" s="7">
        <f>'[5]Production Summary'!$E88</f>
        <v>17000000</v>
      </c>
      <c r="F25" s="8">
        <f t="shared" si="25"/>
        <v>17</v>
      </c>
      <c r="G25" s="10">
        <f t="shared" si="26"/>
        <v>52.19</v>
      </c>
      <c r="H25" s="7">
        <f>'[5]Production Summary'!$G88</f>
        <v>11770000</v>
      </c>
      <c r="I25" s="8">
        <f t="shared" si="27"/>
        <v>11.77</v>
      </c>
      <c r="J25" s="10">
        <f t="shared" si="28"/>
        <v>36.133899999999997</v>
      </c>
      <c r="K25" s="7">
        <f>'[5]Production Summary'!$T88</f>
        <v>2890952</v>
      </c>
      <c r="L25" s="8">
        <f t="shared" si="29"/>
        <v>2.890952</v>
      </c>
      <c r="M25" s="10">
        <f t="shared" si="30"/>
        <v>8.8752226399999987</v>
      </c>
      <c r="N25" s="21"/>
      <c r="O25" s="7">
        <f>'[5]Production Summary'!$I88</f>
        <v>4150199.9999999944</v>
      </c>
      <c r="P25" s="8">
        <f t="shared" si="31"/>
        <v>4.1501999999999946</v>
      </c>
      <c r="Q25" s="10">
        <f t="shared" si="32"/>
        <v>12.741113999999982</v>
      </c>
      <c r="R25" s="7">
        <f>'[5]Production Summary'!$J88</f>
        <v>1930</v>
      </c>
      <c r="S25" s="8">
        <f t="shared" si="10"/>
        <v>1.9300000000000001E-3</v>
      </c>
      <c r="T25" s="10">
        <f t="shared" si="11"/>
        <v>5.9251E-3</v>
      </c>
      <c r="U25" s="7">
        <f>'[5]Production Summary'!$C88</f>
        <v>4472000</v>
      </c>
      <c r="V25" s="8">
        <f t="shared" si="33"/>
        <v>4.4720000000000004</v>
      </c>
      <c r="W25" s="10">
        <f t="shared" si="34"/>
        <v>13.729040000000001</v>
      </c>
      <c r="X25" s="7">
        <f>'[5]Production Summary'!$AE88</f>
        <v>1333372</v>
      </c>
      <c r="Y25" s="8">
        <f t="shared" si="14"/>
        <v>1.333372</v>
      </c>
      <c r="Z25" s="10">
        <f t="shared" si="15"/>
        <v>4.0934520399999998</v>
      </c>
      <c r="AA25" s="7">
        <f>'[5]Production Summary'!$AF88</f>
        <v>0</v>
      </c>
      <c r="AB25" s="8">
        <f t="shared" si="16"/>
        <v>0</v>
      </c>
      <c r="AC25" s="10">
        <f t="shared" si="17"/>
        <v>0</v>
      </c>
      <c r="AD25" s="7">
        <f>'[5]Production Summary'!$AF88</f>
        <v>0</v>
      </c>
      <c r="AE25" s="8">
        <f t="shared" si="35"/>
        <v>0</v>
      </c>
      <c r="AF25" s="10">
        <f t="shared" si="36"/>
        <v>0</v>
      </c>
      <c r="AG25" s="7">
        <f>'[5]Production Summary'!$AB88</f>
        <v>317800.00000000541</v>
      </c>
      <c r="AH25" s="8">
        <f t="shared" si="37"/>
        <v>0.31780000000000541</v>
      </c>
      <c r="AI25" s="10">
        <f t="shared" si="38"/>
        <v>0.97564600000001656</v>
      </c>
      <c r="AJ25" s="7">
        <f>'[5]Production Summary'!$AJ88</f>
        <v>0</v>
      </c>
      <c r="AK25" s="8">
        <f t="shared" si="39"/>
        <v>0</v>
      </c>
      <c r="AL25" s="10">
        <f t="shared" si="40"/>
        <v>0</v>
      </c>
      <c r="AM25" s="15"/>
      <c r="AN25" s="7">
        <f t="shared" si="41"/>
        <v>31412130.000000216</v>
      </c>
      <c r="AO25" s="8">
        <f t="shared" si="22"/>
        <v>31.410200000000213</v>
      </c>
      <c r="AP25" s="8">
        <f t="shared" si="42"/>
        <v>96.435239100000643</v>
      </c>
      <c r="AR25" s="8">
        <f t="shared" si="44"/>
        <v>1.2280000000002844E-2</v>
      </c>
    </row>
    <row r="26" spans="1:44" x14ac:dyDescent="0.2">
      <c r="A26" s="27">
        <v>43365</v>
      </c>
      <c r="B26" s="7">
        <f>'[5]Production Summary'!$K89</f>
        <v>25229999.999999564</v>
      </c>
      <c r="C26" s="8">
        <f t="shared" si="23"/>
        <v>25.229999999999563</v>
      </c>
      <c r="D26" s="10">
        <f t="shared" si="24"/>
        <v>77.456099999998656</v>
      </c>
      <c r="E26" s="7">
        <f>'[5]Production Summary'!$E89</f>
        <v>16000000</v>
      </c>
      <c r="F26" s="8">
        <f t="shared" si="25"/>
        <v>16</v>
      </c>
      <c r="G26" s="10">
        <f t="shared" si="26"/>
        <v>49.12</v>
      </c>
      <c r="H26" s="7">
        <f>'[5]Production Summary'!$G89</f>
        <v>11050000</v>
      </c>
      <c r="I26" s="8">
        <f t="shared" si="27"/>
        <v>11.05</v>
      </c>
      <c r="J26" s="10">
        <f t="shared" si="28"/>
        <v>33.923499999999997</v>
      </c>
      <c r="K26" s="7">
        <f>'[5]Production Summary'!$T89</f>
        <v>2629554</v>
      </c>
      <c r="L26" s="8">
        <f t="shared" si="29"/>
        <v>2.6295540000000002</v>
      </c>
      <c r="M26" s="10">
        <f t="shared" si="30"/>
        <v>8.0727307800000005</v>
      </c>
      <c r="N26" s="21"/>
      <c r="O26" s="7">
        <f>'[5]Production Summary'!$I89</f>
        <v>4241299.9999999804</v>
      </c>
      <c r="P26" s="8">
        <f t="shared" si="31"/>
        <v>4.2412999999999803</v>
      </c>
      <c r="Q26" s="10">
        <f t="shared" si="32"/>
        <v>13.020790999999939</v>
      </c>
      <c r="R26" s="7">
        <f>'[5]Production Summary'!$J89</f>
        <v>2881592</v>
      </c>
      <c r="S26" s="8">
        <f t="shared" si="10"/>
        <v>2.8815919999999999</v>
      </c>
      <c r="T26" s="10">
        <f t="shared" si="11"/>
        <v>8.8464874399999989</v>
      </c>
      <c r="U26" s="7">
        <f>'[5]Production Summary'!$C89</f>
        <v>4392000</v>
      </c>
      <c r="V26" s="8">
        <f t="shared" si="33"/>
        <v>4.3920000000000003</v>
      </c>
      <c r="W26" s="10">
        <f t="shared" si="34"/>
        <v>13.48344</v>
      </c>
      <c r="X26" s="7">
        <f>'[5]Production Summary'!$AE89</f>
        <v>3654241</v>
      </c>
      <c r="Y26" s="8">
        <f t="shared" si="14"/>
        <v>3.6542409999999999</v>
      </c>
      <c r="Z26" s="10">
        <f t="shared" si="15"/>
        <v>11.21851987</v>
      </c>
      <c r="AA26" s="7">
        <f>'[5]Production Summary'!$AF89</f>
        <v>0</v>
      </c>
      <c r="AB26" s="8">
        <f t="shared" si="16"/>
        <v>0</v>
      </c>
      <c r="AC26" s="10">
        <f t="shared" si="17"/>
        <v>0</v>
      </c>
      <c r="AD26" s="7">
        <f>'[5]Production Summary'!$AF89</f>
        <v>0</v>
      </c>
      <c r="AE26" s="8">
        <f t="shared" si="35"/>
        <v>0</v>
      </c>
      <c r="AF26" s="10">
        <f t="shared" si="36"/>
        <v>0</v>
      </c>
      <c r="AG26" s="7">
        <f>'[5]Production Summary'!$AB89</f>
        <v>148700.00000001938</v>
      </c>
      <c r="AH26" s="8">
        <f t="shared" si="37"/>
        <v>0.14870000000001937</v>
      </c>
      <c r="AI26" s="10">
        <f t="shared" si="38"/>
        <v>0.45650900000005945</v>
      </c>
      <c r="AJ26" s="7">
        <f>'[5]Production Summary'!$AJ89</f>
        <v>107898</v>
      </c>
      <c r="AK26" s="8">
        <f t="shared" si="39"/>
        <v>0.10789799999999999</v>
      </c>
      <c r="AL26" s="10">
        <f t="shared" si="40"/>
        <v>0.33124685999999998</v>
      </c>
      <c r="AM26" s="15"/>
      <c r="AN26" s="7">
        <f t="shared" si="41"/>
        <v>32352891.999999546</v>
      </c>
      <c r="AO26" s="8">
        <f t="shared" si="22"/>
        <v>29.471299999999545</v>
      </c>
      <c r="AP26" s="8">
        <f t="shared" si="42"/>
        <v>99.323378439998606</v>
      </c>
      <c r="AR26" s="8">
        <f t="shared" si="44"/>
        <v>6.1400000000016997E-3</v>
      </c>
    </row>
    <row r="27" spans="1:44" x14ac:dyDescent="0.2">
      <c r="A27" s="27">
        <v>43366</v>
      </c>
      <c r="B27" s="7">
        <f>'[5]Production Summary'!$K90</f>
        <v>26159999.999999855</v>
      </c>
      <c r="C27" s="8">
        <f t="shared" si="23"/>
        <v>26.159999999999854</v>
      </c>
      <c r="D27" s="10">
        <f t="shared" si="24"/>
        <v>80.311199999999545</v>
      </c>
      <c r="E27" s="7">
        <f>'[5]Production Summary'!$E90</f>
        <v>17000000</v>
      </c>
      <c r="F27" s="8">
        <f t="shared" si="25"/>
        <v>17</v>
      </c>
      <c r="G27" s="10">
        <f t="shared" si="26"/>
        <v>52.19</v>
      </c>
      <c r="H27" s="7">
        <f>'[5]Production Summary'!$G90</f>
        <v>11030000</v>
      </c>
      <c r="I27" s="8">
        <f t="shared" si="27"/>
        <v>11.03</v>
      </c>
      <c r="J27" s="10">
        <f t="shared" si="28"/>
        <v>33.862099999999998</v>
      </c>
      <c r="K27" s="7">
        <f>'[5]Production Summary'!$T90</f>
        <v>2627179</v>
      </c>
      <c r="L27" s="8">
        <f t="shared" si="29"/>
        <v>2.6271789999999999</v>
      </c>
      <c r="M27" s="10">
        <f t="shared" si="30"/>
        <v>8.065439529999999</v>
      </c>
      <c r="N27" s="21"/>
      <c r="O27" s="7">
        <f>'[5]Production Summary'!$I90</f>
        <v>4211800.0000000177</v>
      </c>
      <c r="P27" s="8">
        <f t="shared" si="31"/>
        <v>4.211800000000018</v>
      </c>
      <c r="Q27" s="10">
        <f t="shared" si="32"/>
        <v>12.930226000000054</v>
      </c>
      <c r="R27" s="7">
        <f>'[5]Production Summary'!$J90</f>
        <v>4525963</v>
      </c>
      <c r="S27" s="8">
        <f t="shared" si="10"/>
        <v>4.525963</v>
      </c>
      <c r="T27" s="10">
        <f t="shared" si="11"/>
        <v>13.89470641</v>
      </c>
      <c r="U27" s="7">
        <f>'[5]Production Summary'!$C90</f>
        <v>4448000</v>
      </c>
      <c r="V27" s="8">
        <f t="shared" si="33"/>
        <v>4.4480000000000004</v>
      </c>
      <c r="W27" s="10">
        <f t="shared" si="34"/>
        <v>13.65536</v>
      </c>
      <c r="X27" s="7">
        <f>'[5]Production Summary'!$AE90</f>
        <v>5379422</v>
      </c>
      <c r="Y27" s="8">
        <f t="shared" si="14"/>
        <v>5.3794219999999999</v>
      </c>
      <c r="Z27" s="10">
        <f t="shared" si="15"/>
        <v>16.51482554</v>
      </c>
      <c r="AA27" s="7">
        <f>'[5]Production Summary'!$AF90</f>
        <v>0</v>
      </c>
      <c r="AB27" s="8">
        <f t="shared" si="16"/>
        <v>0</v>
      </c>
      <c r="AC27" s="10">
        <f t="shared" si="17"/>
        <v>0</v>
      </c>
      <c r="AD27" s="7">
        <f>'[5]Production Summary'!$AF90</f>
        <v>0</v>
      </c>
      <c r="AE27" s="8">
        <f t="shared" si="35"/>
        <v>0</v>
      </c>
      <c r="AF27" s="10">
        <f t="shared" si="36"/>
        <v>0</v>
      </c>
      <c r="AG27" s="7">
        <f>'[5]Production Summary'!$AB90</f>
        <v>233199.9999999823</v>
      </c>
      <c r="AH27" s="8">
        <f t="shared" si="37"/>
        <v>0.23319999999998231</v>
      </c>
      <c r="AI27" s="10">
        <f t="shared" si="38"/>
        <v>0.7159239999999456</v>
      </c>
      <c r="AJ27" s="7">
        <f>'[5]Production Summary'!$AJ90</f>
        <v>143248</v>
      </c>
      <c r="AK27" s="8">
        <f t="shared" si="39"/>
        <v>0.14324799999999999</v>
      </c>
      <c r="AL27" s="10">
        <f t="shared" si="40"/>
        <v>0.43977135999999994</v>
      </c>
      <c r="AM27" s="15"/>
      <c r="AN27" s="7">
        <f t="shared" si="41"/>
        <v>34897762.999999873</v>
      </c>
      <c r="AO27" s="8">
        <f t="shared" si="22"/>
        <v>30.371799999999872</v>
      </c>
      <c r="AP27" s="8">
        <f t="shared" si="42"/>
        <v>107.13613240999959</v>
      </c>
      <c r="AR27" s="8">
        <f t="shared" si="44"/>
        <v>9.2099999999999405E-3</v>
      </c>
    </row>
    <row r="28" spans="1:44" x14ac:dyDescent="0.2">
      <c r="A28" s="27">
        <v>43367</v>
      </c>
      <c r="B28" s="7">
        <f>'[5]Production Summary'!$K91</f>
        <v>23489999.99999978</v>
      </c>
      <c r="C28" s="8">
        <f t="shared" si="23"/>
        <v>23.489999999999782</v>
      </c>
      <c r="D28" s="10">
        <f t="shared" si="24"/>
        <v>72.114299999999332</v>
      </c>
      <c r="E28" s="7">
        <f>'[5]Production Summary'!$E91</f>
        <v>14000000</v>
      </c>
      <c r="F28" s="8">
        <f t="shared" si="25"/>
        <v>14</v>
      </c>
      <c r="G28" s="10">
        <f t="shared" si="26"/>
        <v>42.98</v>
      </c>
      <c r="H28" s="7">
        <f>'[5]Production Summary'!$G91</f>
        <v>10150000</v>
      </c>
      <c r="I28" s="8">
        <f t="shared" si="27"/>
        <v>10.15</v>
      </c>
      <c r="J28" s="10">
        <f t="shared" si="28"/>
        <v>31.160499999999999</v>
      </c>
      <c r="K28" s="7">
        <f>'[5]Production Summary'!$T91</f>
        <v>2330949</v>
      </c>
      <c r="L28" s="8">
        <f t="shared" si="29"/>
        <v>2.3309489999999999</v>
      </c>
      <c r="M28" s="10">
        <f t="shared" si="30"/>
        <v>7.1560134299999998</v>
      </c>
      <c r="N28" s="21"/>
      <c r="O28" s="7">
        <f>'[5]Production Summary'!$I91</f>
        <v>2689799.9999999902</v>
      </c>
      <c r="P28" s="8">
        <f t="shared" si="31"/>
        <v>2.6897999999999902</v>
      </c>
      <c r="Q28" s="10">
        <f t="shared" si="32"/>
        <v>8.2576859999999694</v>
      </c>
      <c r="R28" s="7">
        <f>'[5]Production Summary'!$J91</f>
        <v>4305192</v>
      </c>
      <c r="S28" s="8">
        <f t="shared" si="10"/>
        <v>4.3051919999999999</v>
      </c>
      <c r="T28" s="10">
        <f t="shared" si="11"/>
        <v>13.216939439999999</v>
      </c>
      <c r="U28" s="7">
        <f>'[5]Production Summary'!$C91</f>
        <v>2776000</v>
      </c>
      <c r="V28" s="8">
        <f t="shared" si="33"/>
        <v>2.7759999999999998</v>
      </c>
      <c r="W28" s="10">
        <f t="shared" si="34"/>
        <v>8.5223199999999988</v>
      </c>
      <c r="X28" s="7">
        <f>'[5]Production Summary'!$AE91</f>
        <v>5512299</v>
      </c>
      <c r="Y28" s="8">
        <f t="shared" si="14"/>
        <v>5.5122989999999996</v>
      </c>
      <c r="Z28" s="10">
        <f t="shared" si="15"/>
        <v>16.92275793</v>
      </c>
      <c r="AA28" s="7">
        <f>'[5]Production Summary'!$AF91</f>
        <v>0</v>
      </c>
      <c r="AB28" s="8">
        <f t="shared" si="16"/>
        <v>0</v>
      </c>
      <c r="AC28" s="10">
        <f t="shared" si="17"/>
        <v>0</v>
      </c>
      <c r="AD28" s="7">
        <f>'[5]Production Summary'!$AF91</f>
        <v>0</v>
      </c>
      <c r="AE28" s="8">
        <f t="shared" si="35"/>
        <v>0</v>
      </c>
      <c r="AF28" s="10">
        <f t="shared" si="36"/>
        <v>0</v>
      </c>
      <c r="AG28" s="7">
        <f>'[5]Production Summary'!$AB91</f>
        <v>84200.000000009823</v>
      </c>
      <c r="AH28" s="8">
        <f t="shared" si="37"/>
        <v>8.4200000000009823E-2</v>
      </c>
      <c r="AI28" s="10">
        <f t="shared" si="38"/>
        <v>0.25849400000003014</v>
      </c>
      <c r="AJ28" s="7">
        <f>'[5]Production Summary'!$AJ91</f>
        <v>223621</v>
      </c>
      <c r="AK28" s="8">
        <f t="shared" si="39"/>
        <v>0.22362099999999999</v>
      </c>
      <c r="AL28" s="10">
        <f t="shared" si="40"/>
        <v>0.68651646999999993</v>
      </c>
      <c r="AM28" s="15"/>
      <c r="AN28" s="7">
        <f t="shared" si="41"/>
        <v>30484991.999999769</v>
      </c>
      <c r="AO28" s="8">
        <f t="shared" si="22"/>
        <v>26.179799999999773</v>
      </c>
      <c r="AP28" s="8">
        <f t="shared" si="42"/>
        <v>93.588925439999301</v>
      </c>
      <c r="AR28" s="8">
        <f t="shared" si="44"/>
        <v>6.1399999999992017E-3</v>
      </c>
    </row>
    <row r="29" spans="1:44" x14ac:dyDescent="0.2">
      <c r="A29" s="27">
        <v>43368</v>
      </c>
      <c r="B29" s="7">
        <f>'[5]Production Summary'!$K92</f>
        <v>27990000.000001602</v>
      </c>
      <c r="C29" s="8">
        <f t="shared" si="23"/>
        <v>27.990000000001601</v>
      </c>
      <c r="D29" s="10">
        <f t="shared" si="24"/>
        <v>85.929300000004915</v>
      </c>
      <c r="E29" s="7">
        <f>'[5]Production Summary'!$E92</f>
        <v>19000000</v>
      </c>
      <c r="F29" s="8">
        <f t="shared" si="25"/>
        <v>19</v>
      </c>
      <c r="G29" s="10">
        <f t="shared" si="26"/>
        <v>58.33</v>
      </c>
      <c r="H29" s="7">
        <f>'[5]Production Summary'!$G92</f>
        <v>12570000</v>
      </c>
      <c r="I29" s="8">
        <f t="shared" si="27"/>
        <v>12.57</v>
      </c>
      <c r="J29" s="10">
        <f t="shared" si="28"/>
        <v>38.5899</v>
      </c>
      <c r="K29" s="7">
        <f>'[5]Production Summary'!$T92</f>
        <v>2938662</v>
      </c>
      <c r="L29" s="8">
        <f t="shared" si="29"/>
        <v>2.9386619999999999</v>
      </c>
      <c r="M29" s="10">
        <f t="shared" si="30"/>
        <v>9.0216923399999995</v>
      </c>
      <c r="N29" s="21"/>
      <c r="O29" s="7">
        <f>'[5]Production Summary'!$I92</f>
        <v>0</v>
      </c>
      <c r="P29" s="8">
        <f t="shared" si="31"/>
        <v>0</v>
      </c>
      <c r="Q29" s="10">
        <f t="shared" si="32"/>
        <v>0</v>
      </c>
      <c r="R29" s="7">
        <f>'[5]Production Summary'!$J92</f>
        <v>4235019</v>
      </c>
      <c r="S29" s="8">
        <f t="shared" si="10"/>
        <v>4.2350190000000003</v>
      </c>
      <c r="T29" s="10">
        <f t="shared" si="11"/>
        <v>13.00150833</v>
      </c>
      <c r="U29" s="7">
        <f>'[5]Production Summary'!$C92</f>
        <v>0</v>
      </c>
      <c r="V29" s="8">
        <f t="shared" si="33"/>
        <v>0</v>
      </c>
      <c r="W29" s="10">
        <f t="shared" si="34"/>
        <v>0</v>
      </c>
      <c r="X29" s="7">
        <f>'[5]Production Summary'!$AE92</f>
        <v>5763106</v>
      </c>
      <c r="Y29" s="8">
        <f t="shared" si="14"/>
        <v>5.7631059999999996</v>
      </c>
      <c r="Z29" s="10">
        <f t="shared" si="15"/>
        <v>17.692735419999998</v>
      </c>
      <c r="AA29" s="7">
        <f>'[5]Production Summary'!$AF92</f>
        <v>0</v>
      </c>
      <c r="AB29" s="8">
        <f t="shared" si="16"/>
        <v>0</v>
      </c>
      <c r="AC29" s="10">
        <f t="shared" si="17"/>
        <v>0</v>
      </c>
      <c r="AD29" s="7">
        <f>'[5]Production Summary'!$AF92</f>
        <v>0</v>
      </c>
      <c r="AE29" s="8">
        <f t="shared" si="35"/>
        <v>0</v>
      </c>
      <c r="AF29" s="10">
        <f t="shared" si="36"/>
        <v>0</v>
      </c>
      <c r="AG29" s="7">
        <f>'[5]Production Summary'!$AB92</f>
        <v>0</v>
      </c>
      <c r="AH29" s="8">
        <f t="shared" si="37"/>
        <v>0</v>
      </c>
      <c r="AI29" s="10">
        <f t="shared" si="38"/>
        <v>0</v>
      </c>
      <c r="AJ29" s="7">
        <f>'[5]Production Summary'!$AJ92</f>
        <v>455611</v>
      </c>
      <c r="AK29" s="8">
        <f t="shared" si="39"/>
        <v>0.45561099999999999</v>
      </c>
      <c r="AL29" s="10">
        <f t="shared" si="40"/>
        <v>1.39872577</v>
      </c>
      <c r="AM29" s="15"/>
      <c r="AN29" s="7">
        <f t="shared" si="41"/>
        <v>32225019.000001602</v>
      </c>
      <c r="AO29" s="8">
        <f t="shared" si="22"/>
        <v>27.990000000001601</v>
      </c>
      <c r="AP29" s="8">
        <f t="shared" si="42"/>
        <v>98.930808330004908</v>
      </c>
      <c r="AR29" s="8">
        <f t="shared" si="44"/>
        <v>0</v>
      </c>
    </row>
    <row r="30" spans="1:44" x14ac:dyDescent="0.2">
      <c r="A30" s="27">
        <v>43369</v>
      </c>
      <c r="B30" s="7">
        <f>'[5]Production Summary'!$K93</f>
        <v>25309999.99999949</v>
      </c>
      <c r="C30" s="8">
        <f t="shared" si="23"/>
        <v>25.309999999999491</v>
      </c>
      <c r="D30" s="10">
        <f t="shared" si="24"/>
        <v>77.701699999998439</v>
      </c>
      <c r="E30" s="7">
        <f>'[5]Production Summary'!$E93</f>
        <v>16000000</v>
      </c>
      <c r="F30" s="8">
        <f t="shared" si="25"/>
        <v>16</v>
      </c>
      <c r="G30" s="10">
        <f t="shared" si="26"/>
        <v>49.12</v>
      </c>
      <c r="H30" s="7">
        <f>'[5]Production Summary'!$G93</f>
        <v>11300000</v>
      </c>
      <c r="I30" s="8">
        <f t="shared" si="27"/>
        <v>11.3</v>
      </c>
      <c r="J30" s="10">
        <f t="shared" si="28"/>
        <v>34.691000000000003</v>
      </c>
      <c r="K30" s="7">
        <f>'[5]Production Summary'!$T93</f>
        <v>2687542</v>
      </c>
      <c r="L30" s="8">
        <f t="shared" si="29"/>
        <v>2.6875420000000001</v>
      </c>
      <c r="M30" s="10">
        <f t="shared" si="30"/>
        <v>8.2507539399999992</v>
      </c>
      <c r="N30" s="21"/>
      <c r="O30" s="7">
        <f>'[5]Production Summary'!$I93</f>
        <v>0</v>
      </c>
      <c r="P30" s="8">
        <f t="shared" si="31"/>
        <v>0</v>
      </c>
      <c r="Q30" s="10">
        <f t="shared" si="32"/>
        <v>0</v>
      </c>
      <c r="R30" s="7">
        <f>'[5]Production Summary'!$J93</f>
        <v>4470005</v>
      </c>
      <c r="S30" s="8">
        <f t="shared" si="10"/>
        <v>4.4700049999999996</v>
      </c>
      <c r="T30" s="10">
        <f t="shared" si="11"/>
        <v>13.722915349999997</v>
      </c>
      <c r="U30" s="7">
        <f>'[5]Production Summary'!$C93</f>
        <v>0</v>
      </c>
      <c r="V30" s="8">
        <f t="shared" si="33"/>
        <v>0</v>
      </c>
      <c r="W30" s="10">
        <f t="shared" si="34"/>
        <v>0</v>
      </c>
      <c r="X30" s="7">
        <f>'[5]Production Summary'!$AE93</f>
        <v>5476408</v>
      </c>
      <c r="Y30" s="8">
        <f t="shared" si="14"/>
        <v>5.4764080000000002</v>
      </c>
      <c r="Z30" s="10">
        <f t="shared" si="15"/>
        <v>16.81257256</v>
      </c>
      <c r="AA30" s="7">
        <f>'[5]Production Summary'!$AF93</f>
        <v>0</v>
      </c>
      <c r="AB30" s="8">
        <f t="shared" si="16"/>
        <v>0</v>
      </c>
      <c r="AC30" s="10">
        <f t="shared" si="17"/>
        <v>0</v>
      </c>
      <c r="AD30" s="7">
        <f>'[5]Production Summary'!$AF93</f>
        <v>0</v>
      </c>
      <c r="AE30" s="8">
        <f t="shared" si="35"/>
        <v>0</v>
      </c>
      <c r="AF30" s="10">
        <f t="shared" si="36"/>
        <v>0</v>
      </c>
      <c r="AG30" s="7">
        <f>'[5]Production Summary'!$AB93</f>
        <v>0</v>
      </c>
      <c r="AH30" s="8">
        <f t="shared" si="37"/>
        <v>0</v>
      </c>
      <c r="AI30" s="10">
        <f t="shared" si="38"/>
        <v>0</v>
      </c>
      <c r="AJ30" s="7">
        <f>'[5]Production Summary'!$AJ93</f>
        <v>135056</v>
      </c>
      <c r="AK30" s="8">
        <f t="shared" si="39"/>
        <v>0.13505600000000001</v>
      </c>
      <c r="AL30" s="10">
        <f t="shared" si="40"/>
        <v>0.41462192000000003</v>
      </c>
      <c r="AM30" s="15"/>
      <c r="AN30" s="7">
        <f t="shared" si="41"/>
        <v>29780004.99999949</v>
      </c>
      <c r="AO30" s="8">
        <f t="shared" si="22"/>
        <v>25.309999999999491</v>
      </c>
      <c r="AP30" s="8">
        <f t="shared" si="42"/>
        <v>91.424615349998433</v>
      </c>
      <c r="AR30" s="8">
        <f t="shared" si="44"/>
        <v>0</v>
      </c>
    </row>
    <row r="31" spans="1:44" x14ac:dyDescent="0.2">
      <c r="A31" s="27">
        <v>43370</v>
      </c>
      <c r="B31" s="7">
        <f>'[5]Production Summary'!$K94</f>
        <v>24440000.00000051</v>
      </c>
      <c r="C31" s="8">
        <f t="shared" si="23"/>
        <v>24.440000000000509</v>
      </c>
      <c r="D31" s="10">
        <f t="shared" si="24"/>
        <v>75.030800000001562</v>
      </c>
      <c r="E31" s="7">
        <f>'[5]Production Summary'!$E94</f>
        <v>16000000</v>
      </c>
      <c r="F31" s="8">
        <f t="shared" si="25"/>
        <v>16</v>
      </c>
      <c r="G31" s="10">
        <f t="shared" si="26"/>
        <v>49.12</v>
      </c>
      <c r="H31" s="7">
        <f>'[5]Production Summary'!$G94</f>
        <v>10740000</v>
      </c>
      <c r="I31" s="8">
        <f t="shared" si="27"/>
        <v>10.74</v>
      </c>
      <c r="J31" s="10">
        <f t="shared" si="28"/>
        <v>32.971800000000002</v>
      </c>
      <c r="K31" s="7">
        <f>'[5]Production Summary'!$T94</f>
        <v>2546838</v>
      </c>
      <c r="L31" s="8">
        <f t="shared" si="29"/>
        <v>2.5468380000000002</v>
      </c>
      <c r="M31" s="10">
        <f t="shared" si="30"/>
        <v>7.8187926599999997</v>
      </c>
      <c r="N31" s="21"/>
      <c r="O31" s="7">
        <f>'[5]Production Summary'!$I94</f>
        <v>0</v>
      </c>
      <c r="P31" s="8">
        <f t="shared" si="31"/>
        <v>0</v>
      </c>
      <c r="Q31" s="10">
        <f t="shared" si="32"/>
        <v>0</v>
      </c>
      <c r="R31" s="7">
        <f>'[5]Production Summary'!$J94</f>
        <v>4484165</v>
      </c>
      <c r="S31" s="8">
        <f t="shared" si="10"/>
        <v>4.484165</v>
      </c>
      <c r="T31" s="10">
        <f t="shared" si="11"/>
        <v>13.76638655</v>
      </c>
      <c r="U31" s="7">
        <f>'[5]Production Summary'!$C94</f>
        <v>0</v>
      </c>
      <c r="V31" s="8">
        <f t="shared" si="33"/>
        <v>0</v>
      </c>
      <c r="W31" s="10">
        <f t="shared" si="34"/>
        <v>0</v>
      </c>
      <c r="X31" s="7">
        <f>'[5]Production Summary'!$AE94</f>
        <v>5515497</v>
      </c>
      <c r="Y31" s="8">
        <f t="shared" si="14"/>
        <v>5.5154969999999999</v>
      </c>
      <c r="Z31" s="10">
        <f t="shared" si="15"/>
        <v>16.932575789999998</v>
      </c>
      <c r="AA31" s="7">
        <f>'[5]Production Summary'!$AF94</f>
        <v>0</v>
      </c>
      <c r="AB31" s="8">
        <f t="shared" si="16"/>
        <v>0</v>
      </c>
      <c r="AC31" s="10">
        <f t="shared" si="17"/>
        <v>0</v>
      </c>
      <c r="AD31" s="7">
        <f>'[5]Production Summary'!$AF94</f>
        <v>0</v>
      </c>
      <c r="AE31" s="8">
        <f t="shared" si="35"/>
        <v>0</v>
      </c>
      <c r="AF31" s="10">
        <f t="shared" si="36"/>
        <v>0</v>
      </c>
      <c r="AG31" s="7">
        <f>'[5]Production Summary'!$AB94</f>
        <v>95499.999999987034</v>
      </c>
      <c r="AH31" s="8">
        <f t="shared" si="37"/>
        <v>9.549999999998704E-2</v>
      </c>
      <c r="AI31" s="10">
        <f t="shared" si="38"/>
        <v>0.29318499999996017</v>
      </c>
      <c r="AJ31" s="7">
        <f>'[5]Production Summary'!$AJ94</f>
        <v>106340</v>
      </c>
      <c r="AK31" s="8">
        <f t="shared" si="39"/>
        <v>0.10634</v>
      </c>
      <c r="AL31" s="10">
        <f t="shared" si="40"/>
        <v>0.32646379999999997</v>
      </c>
      <c r="AM31" s="15"/>
      <c r="AN31" s="7">
        <f t="shared" si="41"/>
        <v>28924165.00000051</v>
      </c>
      <c r="AO31" s="8">
        <f t="shared" si="22"/>
        <v>24.440000000000509</v>
      </c>
      <c r="AP31" s="8">
        <f t="shared" si="42"/>
        <v>88.797186550001555</v>
      </c>
      <c r="AR31" s="8">
        <f>W31-Q31-AI31</f>
        <v>-0.29318499999996017</v>
      </c>
    </row>
    <row r="32" spans="1:44" x14ac:dyDescent="0.2">
      <c r="A32" s="27">
        <v>43371</v>
      </c>
      <c r="B32" s="7">
        <f>'[5]Production Summary'!$K95</f>
        <v>21059999.99999949</v>
      </c>
      <c r="C32" s="8">
        <f t="shared" si="23"/>
        <v>21.059999999999491</v>
      </c>
      <c r="D32" s="10">
        <f t="shared" si="24"/>
        <v>64.65419999999844</v>
      </c>
      <c r="E32" s="7">
        <f>'[5]Production Summary'!$E95</f>
        <v>13000000</v>
      </c>
      <c r="F32" s="8">
        <f t="shared" si="25"/>
        <v>13</v>
      </c>
      <c r="G32" s="10">
        <f t="shared" si="26"/>
        <v>39.909999999999997</v>
      </c>
      <c r="H32" s="7">
        <f>'[5]Production Summary'!$G95</f>
        <v>8740000</v>
      </c>
      <c r="I32" s="8">
        <f t="shared" si="27"/>
        <v>8.74</v>
      </c>
      <c r="J32" s="10">
        <f t="shared" si="28"/>
        <v>26.831799999999998</v>
      </c>
      <c r="K32" s="7">
        <f>'[5]Production Summary'!$T95</f>
        <v>2166096</v>
      </c>
      <c r="L32" s="8">
        <f t="shared" si="29"/>
        <v>2.166096</v>
      </c>
      <c r="M32" s="10">
        <f t="shared" si="30"/>
        <v>6.6499147199999999</v>
      </c>
      <c r="N32" s="21"/>
      <c r="O32" s="7">
        <f>'[5]Production Summary'!$I95</f>
        <v>0</v>
      </c>
      <c r="P32" s="8">
        <f t="shared" si="31"/>
        <v>0</v>
      </c>
      <c r="Q32" s="10">
        <f t="shared" si="32"/>
        <v>0</v>
      </c>
      <c r="R32" s="7">
        <f>'[5]Production Summary'!$J95</f>
        <v>7100708</v>
      </c>
      <c r="S32" s="8">
        <f t="shared" si="10"/>
        <v>7.100708</v>
      </c>
      <c r="T32" s="10">
        <f t="shared" si="11"/>
        <v>21.79917356</v>
      </c>
      <c r="U32" s="7">
        <f>'[5]Production Summary'!$C95</f>
        <v>0</v>
      </c>
      <c r="V32" s="8">
        <f t="shared" si="33"/>
        <v>0</v>
      </c>
      <c r="W32" s="10">
        <f t="shared" si="34"/>
        <v>0</v>
      </c>
      <c r="X32" s="7">
        <f>'[5]Production Summary'!$AE95</f>
        <v>9442550</v>
      </c>
      <c r="Y32" s="8">
        <f t="shared" si="14"/>
        <v>9.4425500000000007</v>
      </c>
      <c r="Z32" s="10">
        <f t="shared" si="15"/>
        <v>28.988628500000001</v>
      </c>
      <c r="AA32" s="7">
        <f>'[5]Production Summary'!$AF95</f>
        <v>0</v>
      </c>
      <c r="AB32" s="8">
        <f t="shared" si="16"/>
        <v>0</v>
      </c>
      <c r="AC32" s="10">
        <f t="shared" si="17"/>
        <v>0</v>
      </c>
      <c r="AD32" s="7">
        <f>'[5]Production Summary'!$AF95</f>
        <v>0</v>
      </c>
      <c r="AE32" s="8">
        <f t="shared" si="35"/>
        <v>0</v>
      </c>
      <c r="AF32" s="10">
        <f t="shared" si="36"/>
        <v>0</v>
      </c>
      <c r="AG32" s="7">
        <f>'[5]Production Summary'!$AB95</f>
        <v>0</v>
      </c>
      <c r="AH32" s="8">
        <f t="shared" si="37"/>
        <v>0</v>
      </c>
      <c r="AI32" s="10">
        <f t="shared" si="38"/>
        <v>0</v>
      </c>
      <c r="AJ32" s="7">
        <f>'[5]Production Summary'!$AJ95</f>
        <v>229012</v>
      </c>
      <c r="AK32" s="8">
        <f t="shared" si="39"/>
        <v>0.22901199999999999</v>
      </c>
      <c r="AL32" s="10">
        <f t="shared" si="40"/>
        <v>0.70306683999999997</v>
      </c>
      <c r="AM32" s="15"/>
      <c r="AN32" s="7">
        <f t="shared" si="41"/>
        <v>28160707.99999949</v>
      </c>
      <c r="AO32" s="8">
        <f t="shared" si="22"/>
        <v>21.059999999999491</v>
      </c>
      <c r="AP32" s="8">
        <f t="shared" si="42"/>
        <v>86.45337355999844</v>
      </c>
      <c r="AR32" s="8">
        <f t="shared" si="44"/>
        <v>0</v>
      </c>
    </row>
    <row r="33" spans="1:44" x14ac:dyDescent="0.2">
      <c r="A33" s="27">
        <v>43372</v>
      </c>
      <c r="B33" s="7">
        <f>'[5]Production Summary'!$K96</f>
        <v>16819999.999999709</v>
      </c>
      <c r="C33" s="8">
        <f t="shared" si="23"/>
        <v>16.819999999999709</v>
      </c>
      <c r="D33" s="10">
        <f t="shared" si="24"/>
        <v>51.637399999999104</v>
      </c>
      <c r="E33" s="7">
        <f>'[5]Production Summary'!$E96</f>
        <v>8000000</v>
      </c>
      <c r="F33" s="8">
        <f t="shared" si="25"/>
        <v>8</v>
      </c>
      <c r="G33" s="10">
        <f t="shared" si="26"/>
        <v>24.56</v>
      </c>
      <c r="H33" s="7">
        <f>'[5]Production Summary'!$G96</f>
        <v>5710000</v>
      </c>
      <c r="I33" s="8">
        <f t="shared" si="27"/>
        <v>5.71</v>
      </c>
      <c r="J33" s="10">
        <f t="shared" si="28"/>
        <v>17.529699999999998</v>
      </c>
      <c r="K33" s="7">
        <f>'[5]Production Summary'!$T96</f>
        <v>1581893</v>
      </c>
      <c r="L33" s="8">
        <f t="shared" si="29"/>
        <v>1.581893</v>
      </c>
      <c r="M33" s="10">
        <f t="shared" si="30"/>
        <v>4.85641151</v>
      </c>
      <c r="N33" s="21"/>
      <c r="O33" s="7">
        <f>'[5]Production Summary'!$I96</f>
        <v>0</v>
      </c>
      <c r="P33" s="8">
        <f t="shared" si="31"/>
        <v>0</v>
      </c>
      <c r="Q33" s="10">
        <f t="shared" si="32"/>
        <v>0</v>
      </c>
      <c r="R33" s="7">
        <f>'[5]Production Summary'!$J96</f>
        <v>16251568</v>
      </c>
      <c r="S33" s="8">
        <f t="shared" si="10"/>
        <v>16.251567999999999</v>
      </c>
      <c r="T33" s="10">
        <f t="shared" si="11"/>
        <v>49.892313759999993</v>
      </c>
      <c r="U33" s="7">
        <f>'[5]Production Summary'!$C96</f>
        <v>0</v>
      </c>
      <c r="V33" s="8">
        <f t="shared" si="33"/>
        <v>0</v>
      </c>
      <c r="W33" s="10">
        <f t="shared" si="34"/>
        <v>0</v>
      </c>
      <c r="X33" s="7">
        <f>'[5]Production Summary'!$AE96</f>
        <v>17154132</v>
      </c>
      <c r="Y33" s="8">
        <f t="shared" si="14"/>
        <v>17.154132000000001</v>
      </c>
      <c r="Z33" s="10">
        <f t="shared" si="15"/>
        <v>52.663185239999997</v>
      </c>
      <c r="AA33" s="7">
        <f>'[5]Production Summary'!$AF96</f>
        <v>0</v>
      </c>
      <c r="AB33" s="8">
        <f t="shared" si="16"/>
        <v>0</v>
      </c>
      <c r="AC33" s="10">
        <f t="shared" si="17"/>
        <v>0</v>
      </c>
      <c r="AD33" s="7">
        <f>'[5]Production Summary'!$AF96</f>
        <v>0</v>
      </c>
      <c r="AE33" s="8">
        <f t="shared" si="35"/>
        <v>0</v>
      </c>
      <c r="AF33" s="10">
        <f t="shared" si="36"/>
        <v>0</v>
      </c>
      <c r="AG33" s="7">
        <f>'[5]Production Summary'!$AB96</f>
        <v>0</v>
      </c>
      <c r="AH33" s="8">
        <f t="shared" si="37"/>
        <v>0</v>
      </c>
      <c r="AI33" s="10">
        <f t="shared" si="38"/>
        <v>0</v>
      </c>
      <c r="AJ33" s="7">
        <f>'[5]Production Summary'!$AJ96</f>
        <v>230660</v>
      </c>
      <c r="AK33" s="8">
        <f t="shared" si="39"/>
        <v>0.23066</v>
      </c>
      <c r="AL33" s="10">
        <f t="shared" si="40"/>
        <v>0.70812619999999993</v>
      </c>
      <c r="AM33" s="15"/>
      <c r="AN33" s="7">
        <f t="shared" si="41"/>
        <v>33071567.999999709</v>
      </c>
      <c r="AO33" s="8">
        <f t="shared" si="22"/>
        <v>16.819999999999709</v>
      </c>
      <c r="AP33" s="8">
        <f t="shared" si="42"/>
        <v>101.5297137599991</v>
      </c>
      <c r="AR33" s="8">
        <f t="shared" si="44"/>
        <v>0</v>
      </c>
    </row>
    <row r="34" spans="1:44" ht="13.5" thickBot="1" x14ac:dyDescent="0.25">
      <c r="A34" s="27">
        <v>43373</v>
      </c>
      <c r="B34" s="7">
        <f>'[5]Production Summary'!$K97</f>
        <v>14760000.000000218</v>
      </c>
      <c r="C34" s="8">
        <f t="shared" si="23"/>
        <v>14.760000000000218</v>
      </c>
      <c r="D34" s="10">
        <f t="shared" si="24"/>
        <v>45.31320000000067</v>
      </c>
      <c r="E34" s="7">
        <f>'[5]Production Summary'!$E97</f>
        <v>8000000</v>
      </c>
      <c r="F34" s="8">
        <f t="shared" si="25"/>
        <v>8</v>
      </c>
      <c r="G34" s="10">
        <f t="shared" si="26"/>
        <v>24.56</v>
      </c>
      <c r="H34" s="7">
        <f>'[5]Production Summary'!$G97</f>
        <v>4090000</v>
      </c>
      <c r="I34" s="8">
        <f t="shared" si="27"/>
        <v>4.09</v>
      </c>
      <c r="J34" s="10">
        <f t="shared" si="28"/>
        <v>12.556299999999998</v>
      </c>
      <c r="K34" s="7">
        <f>'[5]Production Summary'!$T97</f>
        <v>1124984</v>
      </c>
      <c r="L34" s="8">
        <f t="shared" si="29"/>
        <v>1.124984</v>
      </c>
      <c r="M34" s="10">
        <f t="shared" si="30"/>
        <v>3.45370088</v>
      </c>
      <c r="N34" s="21"/>
      <c r="O34" s="7">
        <f>'[5]Production Summary'!$I97</f>
        <v>0</v>
      </c>
      <c r="P34" s="8">
        <f t="shared" si="31"/>
        <v>0</v>
      </c>
      <c r="Q34" s="10">
        <f t="shared" si="32"/>
        <v>0</v>
      </c>
      <c r="R34" s="7">
        <f>'[5]Production Summary'!$J97</f>
        <v>19488992</v>
      </c>
      <c r="S34" s="8">
        <f t="shared" si="10"/>
        <v>19.488992</v>
      </c>
      <c r="T34" s="10">
        <f t="shared" si="11"/>
        <v>59.831205439999998</v>
      </c>
      <c r="U34" s="7">
        <f>'[5]Production Summary'!$C97</f>
        <v>0</v>
      </c>
      <c r="V34" s="8">
        <f t="shared" si="33"/>
        <v>0</v>
      </c>
      <c r="W34" s="10">
        <f t="shared" si="34"/>
        <v>0</v>
      </c>
      <c r="X34" s="7">
        <f>'[5]Production Summary'!$AE97</f>
        <v>19757710</v>
      </c>
      <c r="Y34" s="8">
        <f t="shared" si="14"/>
        <v>19.757709999999999</v>
      </c>
      <c r="Z34" s="10">
        <f t="shared" si="15"/>
        <v>60.656169699999992</v>
      </c>
      <c r="AA34" s="7">
        <f>'[5]Production Summary'!$AF97</f>
        <v>0</v>
      </c>
      <c r="AB34" s="8">
        <f t="shared" si="16"/>
        <v>0</v>
      </c>
      <c r="AC34" s="10">
        <f t="shared" si="17"/>
        <v>0</v>
      </c>
      <c r="AD34" s="7">
        <f>'[5]Production Summary'!$AF97</f>
        <v>0</v>
      </c>
      <c r="AE34" s="8">
        <f t="shared" si="35"/>
        <v>0</v>
      </c>
      <c r="AF34" s="10">
        <f t="shared" si="36"/>
        <v>0</v>
      </c>
      <c r="AG34" s="7">
        <f>'[5]Production Summary'!$AB97</f>
        <v>0</v>
      </c>
      <c r="AH34" s="8">
        <f t="shared" si="37"/>
        <v>0</v>
      </c>
      <c r="AI34" s="10">
        <f t="shared" si="38"/>
        <v>0</v>
      </c>
      <c r="AJ34" s="7">
        <f>'[5]Production Summary'!$AJ97</f>
        <v>441960</v>
      </c>
      <c r="AK34" s="8">
        <f t="shared" si="39"/>
        <v>0.44196000000000002</v>
      </c>
      <c r="AL34" s="10">
        <f t="shared" si="40"/>
        <v>1.3568172000000001</v>
      </c>
      <c r="AM34" s="15"/>
      <c r="AN34" s="7">
        <f t="shared" si="41"/>
        <v>34248992.000000216</v>
      </c>
      <c r="AO34" s="8">
        <f t="shared" si="22"/>
        <v>14.760000000000218</v>
      </c>
      <c r="AP34" s="8">
        <f t="shared" si="42"/>
        <v>105.14440544000067</v>
      </c>
      <c r="AR34" s="8">
        <f t="shared" si="44"/>
        <v>0</v>
      </c>
    </row>
    <row r="35" spans="1:44" ht="13.5" thickBot="1" x14ac:dyDescent="0.25">
      <c r="A35" s="3"/>
      <c r="B35" s="37">
        <f t="shared" ref="B35:I35" si="45">SUM(B5:B34)</f>
        <v>746860000.0000006</v>
      </c>
      <c r="C35" s="38">
        <f t="shared" si="45"/>
        <v>746.86000000000058</v>
      </c>
      <c r="D35" s="38">
        <f t="shared" si="45"/>
        <v>2292.8602000000019</v>
      </c>
      <c r="E35" s="37">
        <f t="shared" si="45"/>
        <v>474000000</v>
      </c>
      <c r="F35" s="38">
        <f t="shared" si="45"/>
        <v>474</v>
      </c>
      <c r="G35" s="38">
        <f t="shared" si="45"/>
        <v>1455.1799999999994</v>
      </c>
      <c r="H35" s="37">
        <f t="shared" si="45"/>
        <v>322450000</v>
      </c>
      <c r="I35" s="38">
        <f t="shared" si="45"/>
        <v>322.45</v>
      </c>
      <c r="J35" s="38">
        <f t="shared" ref="J35" si="46">I35*3.07</f>
        <v>989.92149999999992</v>
      </c>
      <c r="K35" s="37">
        <f>SUM(K5:K34)</f>
        <v>73561180</v>
      </c>
      <c r="L35" s="38">
        <f>SUM(L5:L34)</f>
        <v>73.561179999999979</v>
      </c>
      <c r="M35" s="38">
        <f t="shared" ref="M35" si="47">L35*3.07</f>
        <v>225.83282259999993</v>
      </c>
      <c r="N35" s="14"/>
      <c r="O35" s="37">
        <f>SUM(O5:O34)</f>
        <v>106114999.99999999</v>
      </c>
      <c r="P35" s="38">
        <f>SUM(P5:P34)</f>
        <v>106.11500000000001</v>
      </c>
      <c r="Q35" s="38">
        <f t="shared" ref="Q35" si="48">P35*3.07</f>
        <v>325.77305000000001</v>
      </c>
      <c r="R35" s="38"/>
      <c r="S35" s="38"/>
      <c r="T35" s="38">
        <f>SUM(T5:T34)</f>
        <v>213.70145050999997</v>
      </c>
      <c r="U35" s="37"/>
      <c r="V35" s="38">
        <f>SUM(V5:V34)</f>
        <v>111.08</v>
      </c>
      <c r="W35" s="38">
        <f t="shared" ref="W35" si="49">V35*3.07</f>
        <v>341.01559999999995</v>
      </c>
      <c r="X35" s="38"/>
      <c r="Y35" s="38"/>
      <c r="Z35" s="38">
        <f>SUM(Z5:Z34)</f>
        <v>311.10521013999994</v>
      </c>
      <c r="AA35" s="38"/>
      <c r="AB35" s="38"/>
      <c r="AC35" s="38"/>
      <c r="AD35" s="37">
        <f>SUM(AD5:AD34)</f>
        <v>845587</v>
      </c>
      <c r="AE35" s="38">
        <f>SUM(AE5:AE34)</f>
        <v>0.84558699999999998</v>
      </c>
      <c r="AF35" s="38">
        <f t="shared" ref="AF35" si="50">AE35*3.07</f>
        <v>2.5959520899999999</v>
      </c>
      <c r="AG35" s="37"/>
      <c r="AH35" s="38">
        <f>SUM(AH5:AH34)</f>
        <v>4.9874999999999829</v>
      </c>
      <c r="AI35" s="38">
        <f t="shared" ref="AI35" si="51">AH35*3.07</f>
        <v>15.311624999999946</v>
      </c>
      <c r="AJ35" s="37"/>
      <c r="AK35" s="38">
        <f>SUM(AK5:AK34)</f>
        <v>4.2466040000000005</v>
      </c>
      <c r="AL35" s="38">
        <f t="shared" si="40"/>
        <v>13.037074280000001</v>
      </c>
      <c r="AM35" s="14"/>
      <c r="AN35" s="37">
        <f>B35+O35</f>
        <v>852975000.0000006</v>
      </c>
      <c r="AO35" s="38">
        <f t="shared" si="22"/>
        <v>852.97500000000059</v>
      </c>
      <c r="AP35" s="38">
        <f>D35+Q35+T35</f>
        <v>2832.3347005100018</v>
      </c>
      <c r="AR35" s="8">
        <f t="shared" si="44"/>
        <v>-6.9075000000008657E-2</v>
      </c>
    </row>
    <row r="36" spans="1:44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14"/>
      <c r="AN36" s="29"/>
      <c r="AO36" s="29"/>
      <c r="AP36" s="23"/>
      <c r="AR36" s="29"/>
    </row>
    <row r="37" spans="1:44" x14ac:dyDescent="0.2">
      <c r="Q37" s="18"/>
      <c r="R37" s="18"/>
      <c r="S37" s="18"/>
      <c r="T37" s="18"/>
    </row>
    <row r="38" spans="1:44" x14ac:dyDescent="0.2">
      <c r="Q38" s="18"/>
      <c r="R38" s="18"/>
      <c r="S38" s="18"/>
      <c r="T38" s="18"/>
    </row>
  </sheetData>
  <mergeCells count="13">
    <mergeCell ref="AN3:AP3"/>
    <mergeCell ref="U3:W3"/>
    <mergeCell ref="AD3:AF3"/>
    <mergeCell ref="AG3:AI3"/>
    <mergeCell ref="B3:D3"/>
    <mergeCell ref="E3:G3"/>
    <mergeCell ref="H3:J3"/>
    <mergeCell ref="O3:Q3"/>
    <mergeCell ref="K3:M3"/>
    <mergeCell ref="R3:T3"/>
    <mergeCell ref="AJ3:AL3"/>
    <mergeCell ref="X3:Z3"/>
    <mergeCell ref="AA3:AC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R3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29" sqref="C29"/>
    </sheetView>
  </sheetViews>
  <sheetFormatPr defaultRowHeight="12.75" x14ac:dyDescent="0.2"/>
  <cols>
    <col min="2" max="2" width="14" bestFit="1" customWidth="1"/>
    <col min="5" max="5" width="11.28515625" customWidth="1"/>
    <col min="8" max="8" width="14.28515625" customWidth="1"/>
    <col min="11" max="11" width="15.42578125" customWidth="1"/>
    <col min="12" max="12" width="10.7109375" customWidth="1"/>
    <col min="13" max="13" width="12.28515625" customWidth="1"/>
    <col min="15" max="15" width="11" customWidth="1"/>
    <col min="18" max="18" width="11.5703125" bestFit="1" customWidth="1"/>
    <col min="21" max="21" width="10.7109375" customWidth="1"/>
    <col min="24" max="24" width="10.5703125" bestFit="1" customWidth="1"/>
    <col min="27" max="27" width="10.28515625" bestFit="1" customWidth="1"/>
    <col min="28" max="28" width="10.7109375" customWidth="1"/>
    <col min="36" max="36" width="9.5703125" bestFit="1" customWidth="1"/>
    <col min="40" max="40" width="13.42578125" customWidth="1"/>
  </cols>
  <sheetData>
    <row r="1" spans="1:44" x14ac:dyDescent="0.2">
      <c r="A1" s="41"/>
      <c r="B1" s="51" t="s">
        <v>15</v>
      </c>
      <c r="C1" s="40"/>
      <c r="D1" s="40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14"/>
      <c r="AB1" s="3"/>
      <c r="AC1" s="3"/>
      <c r="AD1" s="3"/>
      <c r="AE1" s="3"/>
      <c r="AF1" s="3"/>
      <c r="AG1" s="3"/>
    </row>
    <row r="2" spans="1:44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</row>
    <row r="3" spans="1:44" ht="60.75" customHeight="1" thickBot="1" x14ac:dyDescent="0.25">
      <c r="A3" s="3"/>
      <c r="B3" s="64" t="s">
        <v>10</v>
      </c>
      <c r="C3" s="65"/>
      <c r="D3" s="66"/>
      <c r="E3" s="64" t="s">
        <v>28</v>
      </c>
      <c r="F3" s="65"/>
      <c r="G3" s="66"/>
      <c r="H3" s="64" t="s">
        <v>29</v>
      </c>
      <c r="I3" s="65"/>
      <c r="J3" s="66"/>
      <c r="K3" s="64" t="s">
        <v>13</v>
      </c>
      <c r="L3" s="65"/>
      <c r="M3" s="66"/>
      <c r="N3" s="19"/>
      <c r="O3" s="64" t="s">
        <v>20</v>
      </c>
      <c r="P3" s="65"/>
      <c r="Q3" s="66"/>
      <c r="R3" s="64" t="s">
        <v>21</v>
      </c>
      <c r="S3" s="65"/>
      <c r="T3" s="66"/>
      <c r="U3" s="64" t="s">
        <v>24</v>
      </c>
      <c r="V3" s="65"/>
      <c r="W3" s="66"/>
      <c r="X3" s="64" t="s">
        <v>25</v>
      </c>
      <c r="Y3" s="65"/>
      <c r="Z3" s="66"/>
      <c r="AA3" s="64" t="s">
        <v>26</v>
      </c>
      <c r="AB3" s="65"/>
      <c r="AC3" s="66"/>
      <c r="AD3" s="64" t="s">
        <v>27</v>
      </c>
      <c r="AE3" s="65"/>
      <c r="AF3" s="66"/>
      <c r="AG3" s="64" t="s">
        <v>22</v>
      </c>
      <c r="AH3" s="65"/>
      <c r="AI3" s="66"/>
      <c r="AJ3" s="64" t="s">
        <v>23</v>
      </c>
      <c r="AK3" s="65"/>
      <c r="AL3" s="66"/>
      <c r="AM3" s="19"/>
      <c r="AN3" s="61" t="s">
        <v>8</v>
      </c>
      <c r="AO3" s="62"/>
      <c r="AP3" s="63"/>
      <c r="AR3" s="33" t="s">
        <v>9</v>
      </c>
    </row>
    <row r="4" spans="1:44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4" t="s">
        <v>0</v>
      </c>
      <c r="AB4" s="5" t="s">
        <v>1</v>
      </c>
      <c r="AC4" s="6" t="s">
        <v>2</v>
      </c>
      <c r="AD4" s="4" t="s">
        <v>0</v>
      </c>
      <c r="AE4" s="5" t="s">
        <v>1</v>
      </c>
      <c r="AF4" s="6" t="s">
        <v>2</v>
      </c>
      <c r="AG4" s="4" t="s">
        <v>0</v>
      </c>
      <c r="AH4" s="5" t="s">
        <v>1</v>
      </c>
      <c r="AI4" s="6" t="s">
        <v>2</v>
      </c>
      <c r="AJ4" s="4" t="s">
        <v>0</v>
      </c>
      <c r="AK4" s="5" t="s">
        <v>1</v>
      </c>
      <c r="AL4" s="6" t="s">
        <v>2</v>
      </c>
      <c r="AM4" s="19"/>
      <c r="AN4" s="30" t="s">
        <v>0</v>
      </c>
      <c r="AO4" s="31" t="s">
        <v>1</v>
      </c>
      <c r="AP4" s="32" t="s">
        <v>2</v>
      </c>
      <c r="AR4" s="5" t="s">
        <v>2</v>
      </c>
    </row>
    <row r="5" spans="1:44" x14ac:dyDescent="0.2">
      <c r="A5" s="27">
        <v>43374</v>
      </c>
      <c r="B5" s="7">
        <f>'[1]Production Summary'!K6</f>
        <v>14700000</v>
      </c>
      <c r="C5" s="8">
        <f t="shared" ref="C5" si="0">B5/1000000</f>
        <v>14.7</v>
      </c>
      <c r="D5" s="10">
        <f t="shared" ref="D5" si="1">C5*3.07</f>
        <v>45.128999999999998</v>
      </c>
      <c r="E5" s="7">
        <f>'[1]Production Summary'!E6</f>
        <v>10000000</v>
      </c>
      <c r="F5" s="8">
        <f t="shared" ref="F5" si="2">E5/1000000</f>
        <v>10</v>
      </c>
      <c r="G5" s="10">
        <f t="shared" ref="G5" si="3">F5*3.07</f>
        <v>30.7</v>
      </c>
      <c r="H5" s="7">
        <f>'[1]Production Summary'!G6</f>
        <v>6930000</v>
      </c>
      <c r="I5" s="8">
        <f t="shared" ref="I5" si="4">H5/1000000</f>
        <v>6.93</v>
      </c>
      <c r="J5" s="10">
        <f t="shared" ref="J5" si="5">I5*3.07</f>
        <v>21.275099999999998</v>
      </c>
      <c r="K5" s="7">
        <f>'[1]Production Summary'!T6</f>
        <v>1628358</v>
      </c>
      <c r="L5" s="8">
        <f t="shared" ref="L5" si="6">K5/1000000</f>
        <v>1.628358</v>
      </c>
      <c r="M5" s="10">
        <f t="shared" ref="M5" si="7">L5*3.07</f>
        <v>4.9990590599999996</v>
      </c>
      <c r="N5" s="21"/>
      <c r="O5" s="7">
        <f>'[1]Production Summary'!I6</f>
        <v>0</v>
      </c>
      <c r="P5" s="8">
        <f t="shared" ref="P5" si="8">O5/1000000</f>
        <v>0</v>
      </c>
      <c r="Q5" s="10">
        <f t="shared" ref="Q5" si="9">P5*3.07</f>
        <v>0</v>
      </c>
      <c r="R5" s="7">
        <f>'[1]Production Summary'!J6</f>
        <v>12243074</v>
      </c>
      <c r="S5" s="8">
        <f t="shared" ref="S5" si="10">R5/1000000</f>
        <v>12.243074</v>
      </c>
      <c r="T5" s="10">
        <f t="shared" ref="T5" si="11">S5*3.07</f>
        <v>37.586237179999998</v>
      </c>
      <c r="U5" s="7">
        <f>'[1]Production Summary'!C6</f>
        <v>0</v>
      </c>
      <c r="V5" s="8">
        <f t="shared" ref="V5" si="12">U5/1000000</f>
        <v>0</v>
      </c>
      <c r="W5" s="10">
        <f t="shared" ref="W5" si="13">V5*3.07</f>
        <v>0</v>
      </c>
      <c r="X5" s="7">
        <f>'[1]Production Summary'!AE6</f>
        <v>7213449</v>
      </c>
      <c r="Y5" s="8">
        <f t="shared" ref="Y5" si="14">X5/1000000</f>
        <v>7.2134489999999998</v>
      </c>
      <c r="Z5" s="10">
        <f t="shared" ref="Z5" si="15">Y5*3.07</f>
        <v>22.145288429999997</v>
      </c>
      <c r="AA5" s="7">
        <f>'[1]Production Summary'!AF6</f>
        <v>0</v>
      </c>
      <c r="AB5" s="8">
        <f t="shared" ref="AB5" si="16">AA5/1000000</f>
        <v>0</v>
      </c>
      <c r="AC5" s="10">
        <f t="shared" ref="AC5" si="17">AB5*3.07</f>
        <v>0</v>
      </c>
      <c r="AD5" s="7">
        <f>'[1]Production Summary'!F6</f>
        <v>0</v>
      </c>
      <c r="AE5" s="8">
        <f t="shared" ref="AE5" si="18">AD5/1000000</f>
        <v>0</v>
      </c>
      <c r="AF5" s="10">
        <f t="shared" ref="AF5" si="19">AE5*3.07</f>
        <v>0</v>
      </c>
      <c r="AG5" s="7">
        <f>'[1]Production Summary'!AB6</f>
        <v>299.99999998153726</v>
      </c>
      <c r="AH5" s="8">
        <f t="shared" ref="AH5" si="20">AG5/1000000</f>
        <v>2.9999999998153726E-4</v>
      </c>
      <c r="AI5" s="10">
        <f t="shared" ref="AI5" si="21">AH5*3.07</f>
        <v>9.2099999994331937E-4</v>
      </c>
      <c r="AJ5" s="7">
        <f>'[1]Production Summary'!AJ6</f>
        <v>631288</v>
      </c>
      <c r="AK5" s="8">
        <f t="shared" ref="AK5" si="22">AJ5/1000000</f>
        <v>0.63128799999999996</v>
      </c>
      <c r="AL5" s="10">
        <f t="shared" ref="AL5" si="23">AK5*3.07</f>
        <v>1.9380541599999999</v>
      </c>
      <c r="AM5" s="15"/>
      <c r="AN5" s="7">
        <f>B5+O5+R5</f>
        <v>26943074</v>
      </c>
      <c r="AO5" s="8">
        <f t="shared" ref="AO5" si="24">AN5/1000000</f>
        <v>26.943073999999999</v>
      </c>
      <c r="AP5" s="10">
        <f t="shared" ref="AP5" si="25">AO5*3.07</f>
        <v>82.715237179999988</v>
      </c>
      <c r="AR5" s="8">
        <f>W5-Q5-AI5</f>
        <v>-9.2099999994331937E-4</v>
      </c>
    </row>
    <row r="6" spans="1:44" x14ac:dyDescent="0.2">
      <c r="A6" s="27">
        <v>43375</v>
      </c>
      <c r="B6" s="7">
        <f>'[1]Production Summary'!K7</f>
        <v>15320000</v>
      </c>
      <c r="C6" s="8">
        <f t="shared" ref="C6:C35" si="26">B6/1000000</f>
        <v>15.32</v>
      </c>
      <c r="D6" s="10">
        <f t="shared" ref="D6:D35" si="27">C6*3.07</f>
        <v>47.032399999999996</v>
      </c>
      <c r="E6" s="7">
        <f>'[1]Production Summary'!E7</f>
        <v>14000000</v>
      </c>
      <c r="F6" s="8">
        <f t="shared" ref="F6:F35" si="28">E6/1000000</f>
        <v>14</v>
      </c>
      <c r="G6" s="10">
        <f t="shared" ref="G6:G35" si="29">F6*3.07</f>
        <v>42.98</v>
      </c>
      <c r="H6" s="7">
        <f>'[1]Production Summary'!G7</f>
        <v>10380000</v>
      </c>
      <c r="I6" s="8">
        <f t="shared" ref="I6:I35" si="30">H6/1000000</f>
        <v>10.38</v>
      </c>
      <c r="J6" s="10">
        <f t="shared" ref="J6:J35" si="31">I6*3.07</f>
        <v>31.866600000000002</v>
      </c>
      <c r="K6" s="7">
        <f>'[1]Production Summary'!T7</f>
        <v>2430559</v>
      </c>
      <c r="L6" s="8">
        <f t="shared" ref="L6:L35" si="32">K6/1000000</f>
        <v>2.4305590000000001</v>
      </c>
      <c r="M6" s="10">
        <f t="shared" ref="M6:M35" si="33">L6*3.07</f>
        <v>7.4618161299999999</v>
      </c>
      <c r="N6" s="21"/>
      <c r="O6" s="7">
        <f>'[1]Production Summary'!I7</f>
        <v>0</v>
      </c>
      <c r="P6" s="8">
        <f t="shared" ref="P6:P35" si="34">O6/1000000</f>
        <v>0</v>
      </c>
      <c r="Q6" s="10">
        <f t="shared" ref="Q6:Q35" si="35">P6*3.07</f>
        <v>0</v>
      </c>
      <c r="R6" s="7">
        <f>'[1]Production Summary'!J7</f>
        <v>9533471</v>
      </c>
      <c r="S6" s="8">
        <f t="shared" ref="S6:S35" si="36">R6/1000000</f>
        <v>9.5334710000000005</v>
      </c>
      <c r="T6" s="10">
        <f t="shared" ref="T6:T35" si="37">S6*3.07</f>
        <v>29.26775597</v>
      </c>
      <c r="U6" s="7">
        <f>'[1]Production Summary'!C7</f>
        <v>0</v>
      </c>
      <c r="V6" s="8">
        <f t="shared" ref="V6:V35" si="38">U6/1000000</f>
        <v>0</v>
      </c>
      <c r="W6" s="10">
        <f t="shared" ref="W6:W35" si="39">V6*3.07</f>
        <v>0</v>
      </c>
      <c r="X6" s="7">
        <f>'[1]Production Summary'!AE7</f>
        <v>9995016</v>
      </c>
      <c r="Y6" s="8">
        <f t="shared" ref="Y6:Y35" si="40">X6/1000000</f>
        <v>9.9950159999999997</v>
      </c>
      <c r="Z6" s="10">
        <f t="shared" ref="Z6:Z35" si="41">Y6*3.07</f>
        <v>30.684699119999998</v>
      </c>
      <c r="AA6" s="7">
        <f>'[1]Production Summary'!AF7</f>
        <v>0</v>
      </c>
      <c r="AB6" s="8">
        <f t="shared" ref="AB6:AB35" si="42">AA6/1000000</f>
        <v>0</v>
      </c>
      <c r="AC6" s="10">
        <f t="shared" ref="AC6:AC35" si="43">AB6*3.07</f>
        <v>0</v>
      </c>
      <c r="AD6" s="7">
        <f>'[1]Production Summary'!F7</f>
        <v>0</v>
      </c>
      <c r="AE6" s="8">
        <f t="shared" ref="AE6:AE35" si="44">AD6/1000000</f>
        <v>0</v>
      </c>
      <c r="AF6" s="10">
        <f t="shared" ref="AF6:AF35" si="45">AE6*3.07</f>
        <v>0</v>
      </c>
      <c r="AG6" s="7">
        <f>'[1]Production Summary'!AB7</f>
        <v>0</v>
      </c>
      <c r="AH6" s="8">
        <f t="shared" ref="AH6:AH35" si="46">AG6/1000000</f>
        <v>0</v>
      </c>
      <c r="AI6" s="10">
        <f t="shared" ref="AI6:AI35" si="47">AH6*3.07</f>
        <v>0</v>
      </c>
      <c r="AJ6" s="7">
        <f>'[1]Production Summary'!AJ7</f>
        <v>374259</v>
      </c>
      <c r="AK6" s="8">
        <f t="shared" ref="AK6:AK35" si="48">AJ6/1000000</f>
        <v>0.37425900000000001</v>
      </c>
      <c r="AL6" s="10">
        <f t="shared" ref="AL6:AL35" si="49">AK6*3.07</f>
        <v>1.14897513</v>
      </c>
      <c r="AM6" s="15"/>
      <c r="AN6" s="7">
        <f t="shared" ref="AN6:AN35" si="50">B6+O6+R6</f>
        <v>24853471</v>
      </c>
      <c r="AO6" s="8">
        <f t="shared" ref="AO6:AO35" si="51">AN6/1000000</f>
        <v>24.853470999999999</v>
      </c>
      <c r="AP6" s="10">
        <f t="shared" ref="AP6:AP35" si="52">AO6*3.07</f>
        <v>76.300155969999992</v>
      </c>
      <c r="AR6" s="8">
        <f>W6-Q6-AI6</f>
        <v>0</v>
      </c>
    </row>
    <row r="7" spans="1:44" x14ac:dyDescent="0.2">
      <c r="A7" s="27">
        <v>43376</v>
      </c>
      <c r="B7" s="7">
        <f>'[1]Production Summary'!K8</f>
        <v>17130000</v>
      </c>
      <c r="C7" s="8">
        <f t="shared" si="26"/>
        <v>17.13</v>
      </c>
      <c r="D7" s="10">
        <f t="shared" si="27"/>
        <v>52.589099999999995</v>
      </c>
      <c r="E7" s="7">
        <f>'[1]Production Summary'!E8</f>
        <v>11000000</v>
      </c>
      <c r="F7" s="8">
        <f t="shared" si="28"/>
        <v>11</v>
      </c>
      <c r="G7" s="10">
        <f t="shared" si="29"/>
        <v>33.769999999999996</v>
      </c>
      <c r="H7" s="7">
        <f>'[1]Production Summary'!G8</f>
        <v>7340000</v>
      </c>
      <c r="I7" s="8">
        <f t="shared" si="30"/>
        <v>7.34</v>
      </c>
      <c r="J7" s="10">
        <f t="shared" si="31"/>
        <v>22.533799999999999</v>
      </c>
      <c r="K7" s="7">
        <f>'[1]Production Summary'!T8</f>
        <v>1715602</v>
      </c>
      <c r="L7" s="8">
        <f t="shared" si="32"/>
        <v>1.7156020000000001</v>
      </c>
      <c r="M7" s="10">
        <f t="shared" si="33"/>
        <v>5.2668981400000003</v>
      </c>
      <c r="N7" s="21"/>
      <c r="O7" s="7">
        <f>'[1]Production Summary'!I8</f>
        <v>0</v>
      </c>
      <c r="P7" s="8">
        <f t="shared" si="34"/>
        <v>0</v>
      </c>
      <c r="Q7" s="10">
        <f t="shared" si="35"/>
        <v>0</v>
      </c>
      <c r="R7" s="7">
        <f>'[1]Production Summary'!J8</f>
        <v>9540424</v>
      </c>
      <c r="S7" s="8">
        <f t="shared" si="36"/>
        <v>9.5404239999999998</v>
      </c>
      <c r="T7" s="10">
        <f t="shared" si="37"/>
        <v>29.289101679999998</v>
      </c>
      <c r="U7" s="7">
        <f>'[1]Production Summary'!C8</f>
        <v>0</v>
      </c>
      <c r="V7" s="8">
        <f t="shared" si="38"/>
        <v>0</v>
      </c>
      <c r="W7" s="10">
        <f t="shared" si="39"/>
        <v>0</v>
      </c>
      <c r="X7" s="7">
        <f>'[1]Production Summary'!AE8</f>
        <v>9998127</v>
      </c>
      <c r="Y7" s="8">
        <f t="shared" si="40"/>
        <v>9.9981270000000002</v>
      </c>
      <c r="Z7" s="10">
        <f t="shared" si="41"/>
        <v>30.694249889999998</v>
      </c>
      <c r="AA7" s="7">
        <f>'[1]Production Summary'!AF8</f>
        <v>0</v>
      </c>
      <c r="AB7" s="8">
        <f t="shared" si="42"/>
        <v>0</v>
      </c>
      <c r="AC7" s="10">
        <f t="shared" si="43"/>
        <v>0</v>
      </c>
      <c r="AD7" s="7">
        <f>'[1]Production Summary'!F8</f>
        <v>0</v>
      </c>
      <c r="AE7" s="8">
        <f t="shared" si="44"/>
        <v>0</v>
      </c>
      <c r="AF7" s="10">
        <f t="shared" si="45"/>
        <v>0</v>
      </c>
      <c r="AG7" s="7">
        <f>'[1]Production Summary'!AB8</f>
        <v>0</v>
      </c>
      <c r="AH7" s="8">
        <f t="shared" si="46"/>
        <v>0</v>
      </c>
      <c r="AI7" s="10">
        <f t="shared" si="47"/>
        <v>0</v>
      </c>
      <c r="AJ7" s="7">
        <f>'[1]Production Summary'!AJ8</f>
        <v>374259</v>
      </c>
      <c r="AK7" s="8">
        <f t="shared" si="48"/>
        <v>0.37425900000000001</v>
      </c>
      <c r="AL7" s="10">
        <f t="shared" si="49"/>
        <v>1.14897513</v>
      </c>
      <c r="AM7" s="15"/>
      <c r="AN7" s="7">
        <f t="shared" si="50"/>
        <v>26670424</v>
      </c>
      <c r="AO7" s="8">
        <f t="shared" si="51"/>
        <v>26.670424000000001</v>
      </c>
      <c r="AP7" s="10">
        <f t="shared" si="52"/>
        <v>81.878201680000004</v>
      </c>
      <c r="AR7" s="8">
        <f t="shared" ref="AR7:AR14" si="53">W7-Q7-AI7</f>
        <v>0</v>
      </c>
    </row>
    <row r="8" spans="1:44" x14ac:dyDescent="0.2">
      <c r="A8" s="27">
        <v>43377</v>
      </c>
      <c r="B8" s="7">
        <f>'[1]Production Summary'!K9</f>
        <v>19479999.999999996</v>
      </c>
      <c r="C8" s="8">
        <f t="shared" si="26"/>
        <v>19.479999999999997</v>
      </c>
      <c r="D8" s="10">
        <f t="shared" si="27"/>
        <v>59.803599999999989</v>
      </c>
      <c r="E8" s="7">
        <f>'[1]Production Summary'!E9</f>
        <v>13000000</v>
      </c>
      <c r="F8" s="8">
        <f t="shared" si="28"/>
        <v>13</v>
      </c>
      <c r="G8" s="10">
        <f t="shared" si="29"/>
        <v>39.909999999999997</v>
      </c>
      <c r="H8" s="7">
        <f>'[1]Production Summary'!G9</f>
        <v>8280000</v>
      </c>
      <c r="I8" s="8">
        <f t="shared" si="30"/>
        <v>8.2799999999999994</v>
      </c>
      <c r="J8" s="10">
        <f t="shared" si="31"/>
        <v>25.419599999999996</v>
      </c>
      <c r="K8" s="7">
        <f>'[1]Production Summary'!T9</f>
        <v>2068265</v>
      </c>
      <c r="L8" s="8">
        <f t="shared" si="32"/>
        <v>2.0682649999999998</v>
      </c>
      <c r="M8" s="10">
        <f t="shared" si="33"/>
        <v>6.3495735499999988</v>
      </c>
      <c r="N8" s="21"/>
      <c r="O8" s="7">
        <f>'[1]Production Summary'!I9</f>
        <v>0</v>
      </c>
      <c r="P8" s="8">
        <f t="shared" si="34"/>
        <v>0</v>
      </c>
      <c r="Q8" s="10">
        <f t="shared" si="35"/>
        <v>0</v>
      </c>
      <c r="R8" s="7">
        <f>'[1]Production Summary'!J9</f>
        <v>9744897</v>
      </c>
      <c r="S8" s="8">
        <f t="shared" si="36"/>
        <v>9.7448969999999999</v>
      </c>
      <c r="T8" s="10">
        <f t="shared" si="37"/>
        <v>29.916833789999998</v>
      </c>
      <c r="U8" s="7">
        <f>'[1]Production Summary'!C9</f>
        <v>0</v>
      </c>
      <c r="V8" s="8">
        <f t="shared" si="38"/>
        <v>0</v>
      </c>
      <c r="W8" s="10">
        <f t="shared" si="39"/>
        <v>0</v>
      </c>
      <c r="X8" s="7">
        <f>'[1]Production Summary'!AE9</f>
        <v>10002775</v>
      </c>
      <c r="Y8" s="8">
        <f t="shared" si="40"/>
        <v>10.002775</v>
      </c>
      <c r="Z8" s="10">
        <f t="shared" si="41"/>
        <v>30.708519249999998</v>
      </c>
      <c r="AA8" s="7">
        <f>'[1]Production Summary'!AF9</f>
        <v>0</v>
      </c>
      <c r="AB8" s="8">
        <f t="shared" si="42"/>
        <v>0</v>
      </c>
      <c r="AC8" s="10">
        <f t="shared" si="43"/>
        <v>0</v>
      </c>
      <c r="AD8" s="7">
        <f>'[1]Production Summary'!F9</f>
        <v>0</v>
      </c>
      <c r="AE8" s="8">
        <f t="shared" si="44"/>
        <v>0</v>
      </c>
      <c r="AF8" s="10">
        <f t="shared" si="45"/>
        <v>0</v>
      </c>
      <c r="AG8" s="7">
        <f>'[1]Production Summary'!AB9</f>
        <v>0</v>
      </c>
      <c r="AH8" s="8">
        <f t="shared" si="46"/>
        <v>0</v>
      </c>
      <c r="AI8" s="10">
        <f t="shared" si="47"/>
        <v>0</v>
      </c>
      <c r="AJ8" s="7">
        <f>'[1]Production Summary'!AJ9</f>
        <v>235684</v>
      </c>
      <c r="AK8" s="8">
        <f t="shared" si="48"/>
        <v>0.235684</v>
      </c>
      <c r="AL8" s="10">
        <f t="shared" si="49"/>
        <v>0.72354987999999998</v>
      </c>
      <c r="AM8" s="15"/>
      <c r="AN8" s="7">
        <f t="shared" si="50"/>
        <v>29224896.999999996</v>
      </c>
      <c r="AO8" s="8">
        <f t="shared" si="51"/>
        <v>29.224896999999995</v>
      </c>
      <c r="AP8" s="10">
        <f t="shared" si="52"/>
        <v>89.720433789999987</v>
      </c>
      <c r="AR8" s="8">
        <f t="shared" si="53"/>
        <v>0</v>
      </c>
    </row>
    <row r="9" spans="1:44" x14ac:dyDescent="0.2">
      <c r="A9" s="27">
        <v>43378</v>
      </c>
      <c r="B9" s="7">
        <f>'[1]Production Summary'!K10</f>
        <v>18500000</v>
      </c>
      <c r="C9" s="8">
        <f t="shared" si="26"/>
        <v>18.5</v>
      </c>
      <c r="D9" s="10">
        <f t="shared" si="27"/>
        <v>56.794999999999995</v>
      </c>
      <c r="E9" s="7">
        <f>'[1]Production Summary'!E10</f>
        <v>13000000</v>
      </c>
      <c r="F9" s="8">
        <f t="shared" si="28"/>
        <v>13</v>
      </c>
      <c r="G9" s="10">
        <f t="shared" si="29"/>
        <v>39.909999999999997</v>
      </c>
      <c r="H9" s="7">
        <f>'[1]Production Summary'!G10</f>
        <v>7970000</v>
      </c>
      <c r="I9" s="8">
        <f t="shared" si="30"/>
        <v>7.97</v>
      </c>
      <c r="J9" s="10">
        <f t="shared" si="31"/>
        <v>24.467899999999997</v>
      </c>
      <c r="K9" s="7">
        <f>'[1]Production Summary'!T10</f>
        <v>2040628</v>
      </c>
      <c r="L9" s="8">
        <f t="shared" si="32"/>
        <v>2.0406279999999999</v>
      </c>
      <c r="M9" s="10">
        <f t="shared" si="33"/>
        <v>6.2647279599999992</v>
      </c>
      <c r="N9" s="21"/>
      <c r="O9" s="7">
        <f>'[1]Production Summary'!I10</f>
        <v>0</v>
      </c>
      <c r="P9" s="8">
        <f t="shared" si="34"/>
        <v>0</v>
      </c>
      <c r="Q9" s="10">
        <f t="shared" si="35"/>
        <v>0</v>
      </c>
      <c r="R9" s="7">
        <f>'[1]Production Summary'!J10</f>
        <v>9714607</v>
      </c>
      <c r="S9" s="8">
        <f t="shared" si="36"/>
        <v>9.7146070000000009</v>
      </c>
      <c r="T9" s="10">
        <f t="shared" si="37"/>
        <v>29.823843490000002</v>
      </c>
      <c r="U9" s="7">
        <f>'[1]Production Summary'!C10</f>
        <v>0</v>
      </c>
      <c r="V9" s="8">
        <f t="shared" si="38"/>
        <v>0</v>
      </c>
      <c r="W9" s="10">
        <f t="shared" si="39"/>
        <v>0</v>
      </c>
      <c r="X9" s="7">
        <f>'[1]Production Summary'!AE10</f>
        <v>10007027</v>
      </c>
      <c r="Y9" s="8">
        <f t="shared" si="40"/>
        <v>10.007027000000001</v>
      </c>
      <c r="Z9" s="10">
        <f t="shared" si="41"/>
        <v>30.721572890000001</v>
      </c>
      <c r="AA9" s="7">
        <f>'[1]Production Summary'!AF10</f>
        <v>0</v>
      </c>
      <c r="AB9" s="8">
        <f t="shared" si="42"/>
        <v>0</v>
      </c>
      <c r="AC9" s="10">
        <f t="shared" si="43"/>
        <v>0</v>
      </c>
      <c r="AD9" s="7">
        <f>'[1]Production Summary'!F10</f>
        <v>32000</v>
      </c>
      <c r="AE9" s="8">
        <f t="shared" si="44"/>
        <v>3.2000000000000001E-2</v>
      </c>
      <c r="AF9" s="10">
        <f t="shared" si="45"/>
        <v>9.8239999999999994E-2</v>
      </c>
      <c r="AG9" s="7">
        <f>'[1]Production Summary'!AB10</f>
        <v>0</v>
      </c>
      <c r="AH9" s="8">
        <f t="shared" si="46"/>
        <v>0</v>
      </c>
      <c r="AI9" s="10">
        <f t="shared" si="47"/>
        <v>0</v>
      </c>
      <c r="AJ9" s="7">
        <f>'[1]Production Summary'!AJ10</f>
        <v>235684</v>
      </c>
      <c r="AK9" s="8">
        <f t="shared" si="48"/>
        <v>0.235684</v>
      </c>
      <c r="AL9" s="10">
        <f t="shared" si="49"/>
        <v>0.72354987999999998</v>
      </c>
      <c r="AM9" s="15"/>
      <c r="AN9" s="7">
        <f t="shared" si="50"/>
        <v>28214607</v>
      </c>
      <c r="AO9" s="8">
        <f t="shared" si="51"/>
        <v>28.214607000000001</v>
      </c>
      <c r="AP9" s="10">
        <f t="shared" si="52"/>
        <v>86.618843490000003</v>
      </c>
      <c r="AR9" s="8">
        <f t="shared" si="53"/>
        <v>0</v>
      </c>
    </row>
    <row r="10" spans="1:44" x14ac:dyDescent="0.2">
      <c r="A10" s="27">
        <v>43379</v>
      </c>
      <c r="B10" s="7">
        <f>'[1]Production Summary'!K11</f>
        <v>19070000.000000007</v>
      </c>
      <c r="C10" s="8">
        <f t="shared" si="26"/>
        <v>19.070000000000007</v>
      </c>
      <c r="D10" s="10">
        <f t="shared" si="27"/>
        <v>58.54490000000002</v>
      </c>
      <c r="E10" s="7">
        <f>'[1]Production Summary'!E11</f>
        <v>15000000</v>
      </c>
      <c r="F10" s="8">
        <f t="shared" si="28"/>
        <v>15</v>
      </c>
      <c r="G10" s="10">
        <f t="shared" si="29"/>
        <v>46.05</v>
      </c>
      <c r="H10" s="7">
        <f>'[1]Production Summary'!G11</f>
        <v>6920000</v>
      </c>
      <c r="I10" s="8">
        <f t="shared" si="30"/>
        <v>6.92</v>
      </c>
      <c r="J10" s="10">
        <f t="shared" si="31"/>
        <v>21.244399999999999</v>
      </c>
      <c r="K10" s="7">
        <f>'[1]Production Summary'!T11</f>
        <v>2135738</v>
      </c>
      <c r="L10" s="8">
        <f t="shared" si="32"/>
        <v>2.1357379999999999</v>
      </c>
      <c r="M10" s="10">
        <f t="shared" si="33"/>
        <v>6.5567156599999992</v>
      </c>
      <c r="N10" s="21"/>
      <c r="O10" s="7">
        <f>'[1]Production Summary'!I11</f>
        <v>0</v>
      </c>
      <c r="P10" s="8">
        <f t="shared" si="34"/>
        <v>0</v>
      </c>
      <c r="Q10" s="10">
        <f t="shared" si="35"/>
        <v>0</v>
      </c>
      <c r="R10" s="7">
        <f>'[1]Production Summary'!J11</f>
        <v>9862193</v>
      </c>
      <c r="S10" s="8">
        <f t="shared" si="36"/>
        <v>9.8621929999999995</v>
      </c>
      <c r="T10" s="10">
        <f t="shared" si="37"/>
        <v>30.276932509999998</v>
      </c>
      <c r="U10" s="7">
        <f>'[1]Production Summary'!C11</f>
        <v>0</v>
      </c>
      <c r="V10" s="8">
        <f t="shared" si="38"/>
        <v>0</v>
      </c>
      <c r="W10" s="10">
        <f t="shared" si="39"/>
        <v>0</v>
      </c>
      <c r="X10" s="7">
        <f>'[1]Production Summary'!AE11</f>
        <v>10009901</v>
      </c>
      <c r="Y10" s="8">
        <f t="shared" si="40"/>
        <v>10.009900999999999</v>
      </c>
      <c r="Z10" s="10">
        <f t="shared" si="41"/>
        <v>30.730396069999998</v>
      </c>
      <c r="AA10" s="7">
        <f>'[1]Production Summary'!AF11</f>
        <v>0</v>
      </c>
      <c r="AB10" s="8">
        <f t="shared" si="42"/>
        <v>0</v>
      </c>
      <c r="AC10" s="10">
        <f t="shared" si="43"/>
        <v>0</v>
      </c>
      <c r="AD10" s="7">
        <f>'[1]Production Summary'!F11</f>
        <v>99000</v>
      </c>
      <c r="AE10" s="8">
        <f t="shared" si="44"/>
        <v>9.9000000000000005E-2</v>
      </c>
      <c r="AF10" s="10">
        <f t="shared" si="45"/>
        <v>0.30392999999999998</v>
      </c>
      <c r="AG10" s="7">
        <f>'[1]Production Summary'!AB11</f>
        <v>0</v>
      </c>
      <c r="AH10" s="8">
        <f t="shared" si="46"/>
        <v>0</v>
      </c>
      <c r="AI10" s="10">
        <f t="shared" si="47"/>
        <v>0</v>
      </c>
      <c r="AJ10" s="7">
        <f>'[1]Production Summary'!AJ11</f>
        <v>324671</v>
      </c>
      <c r="AK10" s="8">
        <f t="shared" si="48"/>
        <v>0.32467099999999999</v>
      </c>
      <c r="AL10" s="10">
        <f t="shared" si="49"/>
        <v>0.99673996999999992</v>
      </c>
      <c r="AM10" s="15"/>
      <c r="AN10" s="7">
        <f t="shared" si="50"/>
        <v>28932193.000000007</v>
      </c>
      <c r="AO10" s="8">
        <f t="shared" si="51"/>
        <v>28.932193000000009</v>
      </c>
      <c r="AP10" s="10">
        <f t="shared" si="52"/>
        <v>88.821832510000021</v>
      </c>
      <c r="AR10" s="8">
        <f t="shared" si="53"/>
        <v>0</v>
      </c>
    </row>
    <row r="11" spans="1:44" x14ac:dyDescent="0.2">
      <c r="A11" s="27">
        <v>43380</v>
      </c>
      <c r="B11" s="7">
        <f>'[1]Production Summary'!K12</f>
        <v>21239999.999999996</v>
      </c>
      <c r="C11" s="8">
        <f t="shared" si="26"/>
        <v>21.239999999999995</v>
      </c>
      <c r="D11" s="10">
        <f t="shared" si="27"/>
        <v>65.206799999999987</v>
      </c>
      <c r="E11" s="7">
        <f>'[1]Production Summary'!E12</f>
        <v>16000000</v>
      </c>
      <c r="F11" s="8">
        <f t="shared" si="28"/>
        <v>16</v>
      </c>
      <c r="G11" s="10">
        <f t="shared" si="29"/>
        <v>49.12</v>
      </c>
      <c r="H11" s="7">
        <f>'[1]Production Summary'!G12</f>
        <v>6990000</v>
      </c>
      <c r="I11" s="8">
        <f t="shared" si="30"/>
        <v>6.99</v>
      </c>
      <c r="J11" s="10">
        <f t="shared" si="31"/>
        <v>21.459299999999999</v>
      </c>
      <c r="K11" s="7">
        <f>'[1]Production Summary'!T12</f>
        <v>2158803</v>
      </c>
      <c r="L11" s="8">
        <f t="shared" si="32"/>
        <v>2.1588029999999998</v>
      </c>
      <c r="M11" s="10">
        <f t="shared" si="33"/>
        <v>6.6275252099999991</v>
      </c>
      <c r="N11" s="21"/>
      <c r="O11" s="7">
        <f>'[1]Production Summary'!I12</f>
        <v>0</v>
      </c>
      <c r="P11" s="8">
        <f t="shared" si="34"/>
        <v>0</v>
      </c>
      <c r="Q11" s="10">
        <f t="shared" si="35"/>
        <v>0</v>
      </c>
      <c r="R11" s="7">
        <f>'[1]Production Summary'!J12</f>
        <v>8125583</v>
      </c>
      <c r="S11" s="8">
        <f t="shared" si="36"/>
        <v>8.1255830000000007</v>
      </c>
      <c r="T11" s="10">
        <f t="shared" si="37"/>
        <v>24.94553981</v>
      </c>
      <c r="U11" s="7">
        <f>'[1]Production Summary'!C12</f>
        <v>0</v>
      </c>
      <c r="V11" s="8">
        <f t="shared" si="38"/>
        <v>0</v>
      </c>
      <c r="W11" s="10">
        <f t="shared" si="39"/>
        <v>0</v>
      </c>
      <c r="X11" s="7">
        <f>'[1]Production Summary'!AE12</f>
        <v>8645052</v>
      </c>
      <c r="Y11" s="8">
        <f t="shared" si="40"/>
        <v>8.6450519999999997</v>
      </c>
      <c r="Z11" s="10">
        <f t="shared" si="41"/>
        <v>26.540309639999997</v>
      </c>
      <c r="AA11" s="7">
        <f>'[1]Production Summary'!AF12</f>
        <v>0</v>
      </c>
      <c r="AB11" s="8">
        <f t="shared" si="42"/>
        <v>0</v>
      </c>
      <c r="AC11" s="10">
        <f t="shared" si="43"/>
        <v>0</v>
      </c>
      <c r="AD11" s="7">
        <f>'[1]Production Summary'!F12</f>
        <v>0</v>
      </c>
      <c r="AE11" s="8">
        <f t="shared" si="44"/>
        <v>0</v>
      </c>
      <c r="AF11" s="10">
        <f t="shared" si="45"/>
        <v>0</v>
      </c>
      <c r="AG11" s="7">
        <f>'[1]Production Summary'!AB12</f>
        <v>0</v>
      </c>
      <c r="AH11" s="8">
        <f t="shared" si="46"/>
        <v>0</v>
      </c>
      <c r="AI11" s="10">
        <f t="shared" si="47"/>
        <v>0</v>
      </c>
      <c r="AJ11" s="7">
        <f>'[1]Production Summary'!AJ12</f>
        <v>631343</v>
      </c>
      <c r="AK11" s="8">
        <f t="shared" si="48"/>
        <v>0.63134299999999999</v>
      </c>
      <c r="AL11" s="10">
        <f t="shared" si="49"/>
        <v>1.93822301</v>
      </c>
      <c r="AM11" s="15"/>
      <c r="AN11" s="7">
        <f t="shared" si="50"/>
        <v>29365582.999999996</v>
      </c>
      <c r="AO11" s="8">
        <f t="shared" si="51"/>
        <v>29.365582999999997</v>
      </c>
      <c r="AP11" s="10">
        <f t="shared" si="52"/>
        <v>90.152339809999987</v>
      </c>
      <c r="AR11" s="8">
        <f t="shared" si="53"/>
        <v>0</v>
      </c>
    </row>
    <row r="12" spans="1:44" x14ac:dyDescent="0.2">
      <c r="A12" s="27">
        <v>43381</v>
      </c>
      <c r="B12" s="7">
        <f>'[1]Production Summary'!K13</f>
        <v>20900000.000000007</v>
      </c>
      <c r="C12" s="8">
        <f t="shared" si="26"/>
        <v>20.900000000000006</v>
      </c>
      <c r="D12" s="10">
        <f t="shared" si="27"/>
        <v>64.163000000000011</v>
      </c>
      <c r="E12" s="7">
        <f>'[1]Production Summary'!E13</f>
        <v>16000000</v>
      </c>
      <c r="F12" s="8">
        <f t="shared" si="28"/>
        <v>16</v>
      </c>
      <c r="G12" s="10">
        <f t="shared" si="29"/>
        <v>49.12</v>
      </c>
      <c r="H12" s="7">
        <f>'[1]Production Summary'!G13</f>
        <v>7610000</v>
      </c>
      <c r="I12" s="8">
        <f t="shared" si="30"/>
        <v>7.61</v>
      </c>
      <c r="J12" s="10">
        <f t="shared" si="31"/>
        <v>23.3627</v>
      </c>
      <c r="K12" s="7">
        <f>'[1]Production Summary'!T13</f>
        <v>2249000</v>
      </c>
      <c r="L12" s="8">
        <f t="shared" si="32"/>
        <v>2.2490000000000001</v>
      </c>
      <c r="M12" s="10">
        <f t="shared" si="33"/>
        <v>6.9044299999999996</v>
      </c>
      <c r="N12" s="21"/>
      <c r="O12" s="7">
        <f>'[1]Production Summary'!I13</f>
        <v>0</v>
      </c>
      <c r="P12" s="8">
        <f t="shared" si="34"/>
        <v>0</v>
      </c>
      <c r="Q12" s="10">
        <f t="shared" si="35"/>
        <v>0</v>
      </c>
      <c r="R12" s="7">
        <f>'[1]Production Summary'!J13</f>
        <v>7685011</v>
      </c>
      <c r="S12" s="8">
        <f t="shared" si="36"/>
        <v>7.6850110000000003</v>
      </c>
      <c r="T12" s="10">
        <f t="shared" si="37"/>
        <v>23.59298377</v>
      </c>
      <c r="U12" s="7">
        <f>'[1]Production Summary'!C13</f>
        <v>0</v>
      </c>
      <c r="V12" s="8">
        <f t="shared" si="38"/>
        <v>0</v>
      </c>
      <c r="W12" s="10">
        <f t="shared" si="39"/>
        <v>0</v>
      </c>
      <c r="X12" s="7">
        <f>'[1]Production Summary'!AE13</f>
        <v>7999604</v>
      </c>
      <c r="Y12" s="8">
        <f t="shared" si="40"/>
        <v>7.9996039999999997</v>
      </c>
      <c r="Z12" s="10">
        <f t="shared" si="41"/>
        <v>24.558784279999998</v>
      </c>
      <c r="AA12" s="7">
        <f>'[1]Production Summary'!AF13</f>
        <v>0</v>
      </c>
      <c r="AB12" s="8">
        <f t="shared" si="42"/>
        <v>0</v>
      </c>
      <c r="AC12" s="10">
        <f t="shared" si="43"/>
        <v>0</v>
      </c>
      <c r="AD12" s="7">
        <f>'[1]Production Summary'!F13</f>
        <v>0</v>
      </c>
      <c r="AE12" s="8">
        <f t="shared" si="44"/>
        <v>0</v>
      </c>
      <c r="AF12" s="10">
        <f t="shared" si="45"/>
        <v>0</v>
      </c>
      <c r="AG12" s="7">
        <f>'[1]Production Summary'!AB13</f>
        <v>0</v>
      </c>
      <c r="AH12" s="8">
        <f t="shared" si="46"/>
        <v>0</v>
      </c>
      <c r="AI12" s="10">
        <f t="shared" si="47"/>
        <v>0</v>
      </c>
      <c r="AJ12" s="7">
        <f>'[1]Production Summary'!AJ13</f>
        <v>435333</v>
      </c>
      <c r="AK12" s="8">
        <f t="shared" si="48"/>
        <v>0.43533300000000003</v>
      </c>
      <c r="AL12" s="10">
        <f t="shared" si="49"/>
        <v>1.33647231</v>
      </c>
      <c r="AM12" s="15"/>
      <c r="AN12" s="7">
        <f t="shared" si="50"/>
        <v>28585011.000000007</v>
      </c>
      <c r="AO12" s="8">
        <f t="shared" si="51"/>
        <v>28.585011000000009</v>
      </c>
      <c r="AP12" s="10">
        <f t="shared" si="52"/>
        <v>87.755983770000029</v>
      </c>
      <c r="AR12" s="8">
        <f t="shared" si="53"/>
        <v>0</v>
      </c>
    </row>
    <row r="13" spans="1:44" x14ac:dyDescent="0.2">
      <c r="A13" s="27">
        <v>43382</v>
      </c>
      <c r="B13" s="7">
        <f>'[1]Production Summary'!K14</f>
        <v>18829999.999999985</v>
      </c>
      <c r="C13" s="8">
        <f t="shared" si="26"/>
        <v>18.829999999999984</v>
      </c>
      <c r="D13" s="10">
        <f t="shared" si="27"/>
        <v>57.808099999999946</v>
      </c>
      <c r="E13" s="7">
        <f>'[1]Production Summary'!E14</f>
        <v>12000000</v>
      </c>
      <c r="F13" s="8">
        <f t="shared" si="28"/>
        <v>12</v>
      </c>
      <c r="G13" s="10">
        <f t="shared" si="29"/>
        <v>36.839999999999996</v>
      </c>
      <c r="H13" s="7">
        <f>'[1]Production Summary'!G14</f>
        <v>8110000</v>
      </c>
      <c r="I13" s="8">
        <f t="shared" si="30"/>
        <v>8.11</v>
      </c>
      <c r="J13" s="10">
        <f t="shared" si="31"/>
        <v>24.897699999999997</v>
      </c>
      <c r="K13" s="7">
        <f>'[1]Production Summary'!T14</f>
        <v>1942881</v>
      </c>
      <c r="L13" s="8">
        <f t="shared" si="32"/>
        <v>1.9428810000000001</v>
      </c>
      <c r="M13" s="10">
        <f t="shared" si="33"/>
        <v>5.9646446700000002</v>
      </c>
      <c r="N13" s="21"/>
      <c r="O13" s="7">
        <f>'[1]Production Summary'!I14</f>
        <v>0</v>
      </c>
      <c r="P13" s="8">
        <f t="shared" si="34"/>
        <v>0</v>
      </c>
      <c r="Q13" s="10">
        <f t="shared" si="35"/>
        <v>0</v>
      </c>
      <c r="R13" s="7">
        <f>'[1]Production Summary'!J14</f>
        <v>7285870</v>
      </c>
      <c r="S13" s="8">
        <f t="shared" si="36"/>
        <v>7.2858700000000001</v>
      </c>
      <c r="T13" s="10">
        <f t="shared" si="37"/>
        <v>22.367620899999999</v>
      </c>
      <c r="U13" s="7">
        <f>'[1]Production Summary'!C14</f>
        <v>0</v>
      </c>
      <c r="V13" s="8">
        <f t="shared" si="38"/>
        <v>0</v>
      </c>
      <c r="W13" s="10">
        <f t="shared" si="39"/>
        <v>0</v>
      </c>
      <c r="X13" s="7">
        <f>'[1]Production Summary'!AE14</f>
        <v>7983797</v>
      </c>
      <c r="Y13" s="8">
        <f t="shared" si="40"/>
        <v>7.983797</v>
      </c>
      <c r="Z13" s="10">
        <f t="shared" si="41"/>
        <v>24.51025679</v>
      </c>
      <c r="AA13" s="7">
        <f>'[1]Production Summary'!AF14</f>
        <v>0</v>
      </c>
      <c r="AB13" s="8">
        <f t="shared" si="42"/>
        <v>0</v>
      </c>
      <c r="AC13" s="10">
        <f t="shared" si="43"/>
        <v>0</v>
      </c>
      <c r="AD13" s="7">
        <f>'[1]Production Summary'!F14</f>
        <v>0</v>
      </c>
      <c r="AE13" s="8">
        <f t="shared" si="44"/>
        <v>0</v>
      </c>
      <c r="AF13" s="10">
        <f t="shared" si="45"/>
        <v>0</v>
      </c>
      <c r="AG13" s="7">
        <f>'[1]Production Summary'!AB14</f>
        <v>84000.000000003187</v>
      </c>
      <c r="AH13" s="8">
        <f t="shared" si="46"/>
        <v>8.4000000000003183E-2</v>
      </c>
      <c r="AI13" s="10">
        <f t="shared" si="47"/>
        <v>0.25788000000000977</v>
      </c>
      <c r="AJ13" s="7">
        <f>'[1]Production Summary'!AJ14</f>
        <v>435333</v>
      </c>
      <c r="AK13" s="8">
        <f t="shared" si="48"/>
        <v>0.43533300000000003</v>
      </c>
      <c r="AL13" s="10">
        <f t="shared" si="49"/>
        <v>1.33647231</v>
      </c>
      <c r="AM13" s="15"/>
      <c r="AN13" s="7">
        <f t="shared" si="50"/>
        <v>26115869.999999985</v>
      </c>
      <c r="AO13" s="8">
        <f t="shared" si="51"/>
        <v>26.115869999999987</v>
      </c>
      <c r="AP13" s="10">
        <f t="shared" si="52"/>
        <v>80.175720899999959</v>
      </c>
      <c r="AR13" s="8">
        <f t="shared" si="53"/>
        <v>-0.25788000000000977</v>
      </c>
    </row>
    <row r="14" spans="1:44" x14ac:dyDescent="0.2">
      <c r="A14" s="27">
        <v>43383</v>
      </c>
      <c r="B14" s="7">
        <f>'[1]Production Summary'!K15</f>
        <v>20970000</v>
      </c>
      <c r="C14" s="8">
        <f t="shared" si="26"/>
        <v>20.97</v>
      </c>
      <c r="D14" s="10">
        <f t="shared" si="27"/>
        <v>64.377899999999997</v>
      </c>
      <c r="E14" s="7">
        <f>'[1]Production Summary'!E15</f>
        <v>14000000</v>
      </c>
      <c r="F14" s="8">
        <f t="shared" si="28"/>
        <v>14</v>
      </c>
      <c r="G14" s="10">
        <f t="shared" si="29"/>
        <v>42.98</v>
      </c>
      <c r="H14" s="7">
        <f>'[1]Production Summary'!G15</f>
        <v>9220000</v>
      </c>
      <c r="I14" s="8">
        <f t="shared" si="30"/>
        <v>9.2200000000000006</v>
      </c>
      <c r="J14" s="10">
        <f t="shared" si="31"/>
        <v>28.305399999999999</v>
      </c>
      <c r="K14" s="7">
        <f>'[1]Production Summary'!T15</f>
        <v>2420814</v>
      </c>
      <c r="L14" s="8">
        <f t="shared" si="32"/>
        <v>2.420814</v>
      </c>
      <c r="M14" s="10">
        <f t="shared" si="33"/>
        <v>7.4318989799999997</v>
      </c>
      <c r="N14" s="21"/>
      <c r="O14" s="7">
        <f>'[1]Production Summary'!I15</f>
        <v>0</v>
      </c>
      <c r="P14" s="8">
        <f t="shared" si="34"/>
        <v>0</v>
      </c>
      <c r="Q14" s="10">
        <f t="shared" si="35"/>
        <v>0</v>
      </c>
      <c r="R14" s="7">
        <f>'[1]Production Summary'!J15</f>
        <v>7444032</v>
      </c>
      <c r="S14" s="8">
        <f t="shared" si="36"/>
        <v>7.444032</v>
      </c>
      <c r="T14" s="10">
        <f t="shared" si="37"/>
        <v>22.853178239999998</v>
      </c>
      <c r="U14" s="7">
        <f>'[1]Production Summary'!C15</f>
        <v>0</v>
      </c>
      <c r="V14" s="8">
        <f t="shared" si="38"/>
        <v>0</v>
      </c>
      <c r="W14" s="10">
        <f t="shared" si="39"/>
        <v>0</v>
      </c>
      <c r="X14" s="7">
        <f>'[1]Production Summary'!AE15</f>
        <v>8002653</v>
      </c>
      <c r="Y14" s="8">
        <f t="shared" si="40"/>
        <v>8.0026530000000005</v>
      </c>
      <c r="Z14" s="10">
        <f t="shared" si="41"/>
        <v>24.568144709999999</v>
      </c>
      <c r="AA14" s="7">
        <f>'[1]Production Summary'!AF15</f>
        <v>0</v>
      </c>
      <c r="AB14" s="8">
        <f t="shared" si="42"/>
        <v>0</v>
      </c>
      <c r="AC14" s="10">
        <f t="shared" si="43"/>
        <v>0</v>
      </c>
      <c r="AD14" s="7">
        <f>'[1]Production Summary'!F15</f>
        <v>0</v>
      </c>
      <c r="AE14" s="8">
        <f t="shared" si="44"/>
        <v>0</v>
      </c>
      <c r="AF14" s="10">
        <f t="shared" si="45"/>
        <v>0</v>
      </c>
      <c r="AG14" s="7">
        <f>'[1]Production Summary'!AB15</f>
        <v>26100.000000013781</v>
      </c>
      <c r="AH14" s="8">
        <f t="shared" si="46"/>
        <v>2.6100000000013782E-2</v>
      </c>
      <c r="AI14" s="10">
        <f t="shared" si="47"/>
        <v>8.0127000000042303E-2</v>
      </c>
      <c r="AJ14" s="7">
        <f>'[1]Production Summary'!AJ15</f>
        <v>399311</v>
      </c>
      <c r="AK14" s="8">
        <f t="shared" si="48"/>
        <v>0.39931100000000003</v>
      </c>
      <c r="AL14" s="10">
        <f t="shared" si="49"/>
        <v>1.22588477</v>
      </c>
      <c r="AM14" s="15"/>
      <c r="AN14" s="7">
        <f t="shared" si="50"/>
        <v>28414032</v>
      </c>
      <c r="AO14" s="8">
        <f t="shared" si="51"/>
        <v>28.414031999999999</v>
      </c>
      <c r="AP14" s="10">
        <f t="shared" si="52"/>
        <v>87.231078239999988</v>
      </c>
      <c r="AR14" s="8">
        <f t="shared" si="53"/>
        <v>-8.0127000000042303E-2</v>
      </c>
    </row>
    <row r="15" spans="1:44" x14ac:dyDescent="0.2">
      <c r="A15" s="27">
        <v>43384</v>
      </c>
      <c r="B15" s="7">
        <f>'[1]Production Summary'!K16</f>
        <v>19570000.000000022</v>
      </c>
      <c r="C15" s="8">
        <f t="shared" si="26"/>
        <v>19.570000000000022</v>
      </c>
      <c r="D15" s="10">
        <f t="shared" si="27"/>
        <v>60.079900000000066</v>
      </c>
      <c r="E15" s="7">
        <f>'[1]Production Summary'!E16</f>
        <v>13000000</v>
      </c>
      <c r="F15" s="8">
        <f t="shared" si="28"/>
        <v>13</v>
      </c>
      <c r="G15" s="10">
        <f t="shared" si="29"/>
        <v>39.909999999999997</v>
      </c>
      <c r="H15" s="7">
        <f>'[1]Production Summary'!G16</f>
        <v>8530000</v>
      </c>
      <c r="I15" s="8">
        <f t="shared" si="30"/>
        <v>8.5299999999999994</v>
      </c>
      <c r="J15" s="10">
        <f t="shared" si="31"/>
        <v>26.187099999999997</v>
      </c>
      <c r="K15" s="7">
        <f>'[1]Production Summary'!T16</f>
        <v>1399995</v>
      </c>
      <c r="L15" s="8">
        <f t="shared" si="32"/>
        <v>1.3999950000000001</v>
      </c>
      <c r="M15" s="10">
        <f t="shared" si="33"/>
        <v>4.2979846500000001</v>
      </c>
      <c r="N15" s="21"/>
      <c r="O15" s="7">
        <f>'[1]Production Summary'!I16</f>
        <v>0</v>
      </c>
      <c r="P15" s="8">
        <f t="shared" si="34"/>
        <v>0</v>
      </c>
      <c r="Q15" s="10">
        <f t="shared" si="35"/>
        <v>0</v>
      </c>
      <c r="R15" s="7">
        <f>'[1]Production Summary'!J16</f>
        <v>7180693</v>
      </c>
      <c r="S15" s="8">
        <f t="shared" si="36"/>
        <v>7.1806929999999998</v>
      </c>
      <c r="T15" s="10">
        <f t="shared" si="37"/>
        <v>22.044727509999998</v>
      </c>
      <c r="U15" s="7">
        <f>'[1]Production Summary'!C16</f>
        <v>0</v>
      </c>
      <c r="V15" s="8">
        <f t="shared" si="38"/>
        <v>0</v>
      </c>
      <c r="W15" s="10">
        <f t="shared" si="39"/>
        <v>0</v>
      </c>
      <c r="X15" s="7">
        <f>'[1]Production Summary'!AE16</f>
        <v>7959875</v>
      </c>
      <c r="Y15" s="8">
        <f t="shared" si="40"/>
        <v>7.9598750000000003</v>
      </c>
      <c r="Z15" s="10">
        <f t="shared" si="41"/>
        <v>24.43681625</v>
      </c>
      <c r="AA15" s="7">
        <f>'[1]Production Summary'!AF16</f>
        <v>0</v>
      </c>
      <c r="AB15" s="8">
        <f t="shared" si="42"/>
        <v>0</v>
      </c>
      <c r="AC15" s="10">
        <f t="shared" si="43"/>
        <v>0</v>
      </c>
      <c r="AD15" s="7">
        <f>'[1]Production Summary'!F16</f>
        <v>0</v>
      </c>
      <c r="AE15" s="8">
        <f t="shared" si="44"/>
        <v>0</v>
      </c>
      <c r="AF15" s="10">
        <f t="shared" si="45"/>
        <v>0</v>
      </c>
      <c r="AG15" s="7">
        <f>'[1]Production Summary'!AB16</f>
        <v>0</v>
      </c>
      <c r="AH15" s="8">
        <f t="shared" si="46"/>
        <v>0</v>
      </c>
      <c r="AI15" s="10">
        <f t="shared" si="47"/>
        <v>0</v>
      </c>
      <c r="AJ15" s="7">
        <f>'[1]Production Summary'!AJ16</f>
        <v>611287</v>
      </c>
      <c r="AK15" s="8">
        <f t="shared" si="48"/>
        <v>0.61128700000000002</v>
      </c>
      <c r="AL15" s="10">
        <f t="shared" si="49"/>
        <v>1.87665109</v>
      </c>
      <c r="AM15" s="15"/>
      <c r="AN15" s="7">
        <f t="shared" si="50"/>
        <v>26750693.000000022</v>
      </c>
      <c r="AO15" s="8">
        <f t="shared" si="51"/>
        <v>26.750693000000023</v>
      </c>
      <c r="AP15" s="10">
        <f t="shared" si="52"/>
        <v>82.124627510000067</v>
      </c>
      <c r="AR15" s="8">
        <f>W15-Q15-AI15</f>
        <v>0</v>
      </c>
    </row>
    <row r="16" spans="1:44" x14ac:dyDescent="0.2">
      <c r="A16" s="27">
        <v>43385</v>
      </c>
      <c r="B16" s="7">
        <f>'[1]Production Summary'!K17</f>
        <v>18789999.999999993</v>
      </c>
      <c r="C16" s="8">
        <f t="shared" si="26"/>
        <v>18.789999999999992</v>
      </c>
      <c r="D16" s="10">
        <f t="shared" si="27"/>
        <v>57.68529999999997</v>
      </c>
      <c r="E16" s="7">
        <f>'[1]Production Summary'!E17</f>
        <v>12000000</v>
      </c>
      <c r="F16" s="8">
        <f t="shared" si="28"/>
        <v>12</v>
      </c>
      <c r="G16" s="10">
        <f t="shared" si="29"/>
        <v>36.839999999999996</v>
      </c>
      <c r="H16" s="7">
        <f>'[1]Production Summary'!G17</f>
        <v>8040000</v>
      </c>
      <c r="I16" s="8">
        <f t="shared" si="30"/>
        <v>8.0399999999999991</v>
      </c>
      <c r="J16" s="10">
        <f t="shared" si="31"/>
        <v>24.682799999999997</v>
      </c>
      <c r="K16" s="7">
        <f>'[1]Production Summary'!T17</f>
        <v>1896154</v>
      </c>
      <c r="L16" s="8">
        <f t="shared" si="32"/>
        <v>1.8961539999999999</v>
      </c>
      <c r="M16" s="10">
        <f t="shared" si="33"/>
        <v>5.8211927799999996</v>
      </c>
      <c r="N16" s="21"/>
      <c r="O16" s="7">
        <f>'[1]Production Summary'!I17</f>
        <v>0</v>
      </c>
      <c r="P16" s="8">
        <f t="shared" si="34"/>
        <v>0</v>
      </c>
      <c r="Q16" s="10">
        <f t="shared" si="35"/>
        <v>0</v>
      </c>
      <c r="R16" s="7">
        <f>'[1]Production Summary'!J17</f>
        <v>7281414</v>
      </c>
      <c r="S16" s="8">
        <f t="shared" si="36"/>
        <v>7.2814139999999998</v>
      </c>
      <c r="T16" s="10">
        <f t="shared" si="37"/>
        <v>22.353940979999997</v>
      </c>
      <c r="U16" s="7">
        <f>'[1]Production Summary'!C17</f>
        <v>0</v>
      </c>
      <c r="V16" s="8">
        <f t="shared" si="38"/>
        <v>0</v>
      </c>
      <c r="W16" s="10">
        <f t="shared" si="39"/>
        <v>0</v>
      </c>
      <c r="X16" s="7">
        <f>'[1]Production Summary'!AE17</f>
        <v>7969859</v>
      </c>
      <c r="Y16" s="8">
        <f t="shared" si="40"/>
        <v>7.9698589999999996</v>
      </c>
      <c r="Z16" s="10">
        <f t="shared" si="41"/>
        <v>24.467467129999996</v>
      </c>
      <c r="AA16" s="7">
        <f>'[1]Production Summary'!AF17</f>
        <v>0</v>
      </c>
      <c r="AB16" s="8">
        <f t="shared" si="42"/>
        <v>0</v>
      </c>
      <c r="AC16" s="10">
        <f t="shared" si="43"/>
        <v>0</v>
      </c>
      <c r="AD16" s="7">
        <f>'[1]Production Summary'!F17</f>
        <v>0</v>
      </c>
      <c r="AE16" s="8">
        <f t="shared" si="44"/>
        <v>0</v>
      </c>
      <c r="AF16" s="10">
        <f t="shared" si="45"/>
        <v>0</v>
      </c>
      <c r="AG16" s="7">
        <f>'[1]Production Summary'!AB17</f>
        <v>0</v>
      </c>
      <c r="AH16" s="8">
        <f t="shared" si="46"/>
        <v>0</v>
      </c>
      <c r="AI16" s="10">
        <f t="shared" si="47"/>
        <v>0</v>
      </c>
      <c r="AJ16" s="7">
        <f>'[1]Production Summary'!AJ17</f>
        <v>500389</v>
      </c>
      <c r="AK16" s="8">
        <f t="shared" si="48"/>
        <v>0.50038899999999997</v>
      </c>
      <c r="AL16" s="10">
        <f t="shared" si="49"/>
        <v>1.5361942299999998</v>
      </c>
      <c r="AM16" s="15"/>
      <c r="AN16" s="7">
        <f t="shared" si="50"/>
        <v>26071413.999999993</v>
      </c>
      <c r="AO16" s="8">
        <f t="shared" si="51"/>
        <v>26.071413999999994</v>
      </c>
      <c r="AP16" s="10">
        <f t="shared" si="52"/>
        <v>80.039240979999974</v>
      </c>
      <c r="AR16" s="8">
        <f>W16-Q16-AI16</f>
        <v>0</v>
      </c>
    </row>
    <row r="17" spans="1:44" x14ac:dyDescent="0.2">
      <c r="A17" s="27">
        <v>43386</v>
      </c>
      <c r="B17" s="7">
        <f>'[1]Production Summary'!K18</f>
        <v>18419999.999999989</v>
      </c>
      <c r="C17" s="8">
        <f t="shared" si="26"/>
        <v>18.419999999999987</v>
      </c>
      <c r="D17" s="10">
        <f t="shared" si="27"/>
        <v>56.549399999999956</v>
      </c>
      <c r="E17" s="7">
        <f>'[1]Production Summary'!E18</f>
        <v>12000000</v>
      </c>
      <c r="F17" s="8">
        <f t="shared" si="28"/>
        <v>12</v>
      </c>
      <c r="G17" s="10">
        <f t="shared" si="29"/>
        <v>36.839999999999996</v>
      </c>
      <c r="H17" s="7">
        <f>'[1]Production Summary'!G18</f>
        <v>7930000</v>
      </c>
      <c r="I17" s="8">
        <f t="shared" si="30"/>
        <v>7.93</v>
      </c>
      <c r="J17" s="10">
        <f t="shared" si="31"/>
        <v>24.345099999999999</v>
      </c>
      <c r="K17" s="7">
        <f>'[1]Production Summary'!T18</f>
        <v>1889677</v>
      </c>
      <c r="L17" s="8">
        <f t="shared" si="32"/>
        <v>1.8896770000000001</v>
      </c>
      <c r="M17" s="10">
        <f t="shared" si="33"/>
        <v>5.80130839</v>
      </c>
      <c r="N17" s="21"/>
      <c r="O17" s="7">
        <f>'[1]Production Summary'!I18</f>
        <v>0</v>
      </c>
      <c r="P17" s="8">
        <f t="shared" si="34"/>
        <v>0</v>
      </c>
      <c r="Q17" s="10">
        <f t="shared" si="35"/>
        <v>0</v>
      </c>
      <c r="R17" s="7">
        <f>'[1]Production Summary'!J18</f>
        <v>7506847</v>
      </c>
      <c r="S17" s="8">
        <f t="shared" si="36"/>
        <v>7.5068469999999996</v>
      </c>
      <c r="T17" s="10">
        <f t="shared" si="37"/>
        <v>23.046020289999998</v>
      </c>
      <c r="U17" s="7">
        <f>'[1]Production Summary'!C18</f>
        <v>0</v>
      </c>
      <c r="V17" s="8">
        <f t="shared" si="38"/>
        <v>0</v>
      </c>
      <c r="W17" s="10">
        <f t="shared" si="39"/>
        <v>0</v>
      </c>
      <c r="X17" s="7">
        <f>'[1]Production Summary'!AE18</f>
        <v>7992773</v>
      </c>
      <c r="Y17" s="8">
        <f t="shared" si="40"/>
        <v>7.9927729999999997</v>
      </c>
      <c r="Z17" s="10">
        <f t="shared" si="41"/>
        <v>24.537813109999998</v>
      </c>
      <c r="AA17" s="7">
        <f>'[1]Production Summary'!AF18</f>
        <v>0</v>
      </c>
      <c r="AB17" s="8">
        <f t="shared" si="42"/>
        <v>0</v>
      </c>
      <c r="AC17" s="10">
        <f t="shared" si="43"/>
        <v>0</v>
      </c>
      <c r="AD17" s="7">
        <f>'[1]Production Summary'!F18</f>
        <v>0</v>
      </c>
      <c r="AE17" s="8">
        <f t="shared" si="44"/>
        <v>0</v>
      </c>
      <c r="AF17" s="10">
        <f t="shared" si="45"/>
        <v>0</v>
      </c>
      <c r="AG17" s="7">
        <f>'[1]Production Summary'!AB18</f>
        <v>0</v>
      </c>
      <c r="AH17" s="8">
        <f t="shared" si="46"/>
        <v>0</v>
      </c>
      <c r="AI17" s="10">
        <f t="shared" si="47"/>
        <v>0</v>
      </c>
      <c r="AJ17" s="7">
        <f>'[1]Production Summary'!AJ18</f>
        <v>358436</v>
      </c>
      <c r="AK17" s="8">
        <f t="shared" si="48"/>
        <v>0.35843599999999998</v>
      </c>
      <c r="AL17" s="10">
        <f t="shared" si="49"/>
        <v>1.1003985199999999</v>
      </c>
      <c r="AM17" s="15"/>
      <c r="AN17" s="7">
        <f t="shared" si="50"/>
        <v>25926846.999999989</v>
      </c>
      <c r="AO17" s="8">
        <f t="shared" si="51"/>
        <v>25.926846999999988</v>
      </c>
      <c r="AP17" s="10">
        <f t="shared" si="52"/>
        <v>79.595420289999964</v>
      </c>
      <c r="AR17" s="8">
        <f>W17-Q17-AI17</f>
        <v>0</v>
      </c>
    </row>
    <row r="18" spans="1:44" x14ac:dyDescent="0.2">
      <c r="A18" s="27">
        <v>43387</v>
      </c>
      <c r="B18" s="7">
        <f>'[1]Production Summary'!K19</f>
        <v>16950000.000000019</v>
      </c>
      <c r="C18" s="8">
        <f t="shared" si="26"/>
        <v>16.950000000000017</v>
      </c>
      <c r="D18" s="10">
        <f t="shared" si="27"/>
        <v>52.036500000000046</v>
      </c>
      <c r="E18" s="7">
        <f>'[1]Production Summary'!E19</f>
        <v>11000000</v>
      </c>
      <c r="F18" s="8">
        <f t="shared" si="28"/>
        <v>11</v>
      </c>
      <c r="G18" s="10">
        <f t="shared" si="29"/>
        <v>33.769999999999996</v>
      </c>
      <c r="H18" s="7">
        <f>'[1]Production Summary'!G19</f>
        <v>7560000</v>
      </c>
      <c r="I18" s="8">
        <f t="shared" si="30"/>
        <v>7.56</v>
      </c>
      <c r="J18" s="10">
        <f t="shared" si="31"/>
        <v>23.209199999999999</v>
      </c>
      <c r="K18" s="7">
        <f>'[1]Production Summary'!T19</f>
        <v>1452303</v>
      </c>
      <c r="L18" s="8">
        <f t="shared" si="32"/>
        <v>1.4523029999999999</v>
      </c>
      <c r="M18" s="10">
        <f t="shared" si="33"/>
        <v>4.4585702099999995</v>
      </c>
      <c r="N18" s="21"/>
      <c r="O18" s="7">
        <f>'[1]Production Summary'!I19</f>
        <v>0</v>
      </c>
      <c r="P18" s="8">
        <f t="shared" si="34"/>
        <v>0</v>
      </c>
      <c r="Q18" s="10">
        <f t="shared" si="35"/>
        <v>0</v>
      </c>
      <c r="R18" s="7">
        <f>'[1]Production Summary'!J19</f>
        <v>8662055</v>
      </c>
      <c r="S18" s="8">
        <f t="shared" si="36"/>
        <v>8.6620550000000005</v>
      </c>
      <c r="T18" s="10">
        <f t="shared" si="37"/>
        <v>26.592508850000002</v>
      </c>
      <c r="U18" s="7">
        <f>'[1]Production Summary'!C19</f>
        <v>0</v>
      </c>
      <c r="V18" s="8">
        <f t="shared" si="38"/>
        <v>0</v>
      </c>
      <c r="W18" s="10">
        <f t="shared" si="39"/>
        <v>0</v>
      </c>
      <c r="X18" s="7">
        <f>'[1]Production Summary'!AE19</f>
        <v>8938814</v>
      </c>
      <c r="Y18" s="8">
        <f t="shared" si="40"/>
        <v>8.9388140000000007</v>
      </c>
      <c r="Z18" s="10">
        <f t="shared" si="41"/>
        <v>27.442158980000002</v>
      </c>
      <c r="AA18" s="7">
        <f>'[1]Production Summary'!AF19</f>
        <v>0</v>
      </c>
      <c r="AB18" s="8">
        <f t="shared" si="42"/>
        <v>0</v>
      </c>
      <c r="AC18" s="10">
        <f t="shared" si="43"/>
        <v>0</v>
      </c>
      <c r="AD18" s="7">
        <f>'[1]Production Summary'!F19</f>
        <v>0</v>
      </c>
      <c r="AE18" s="8">
        <f t="shared" si="44"/>
        <v>0</v>
      </c>
      <c r="AF18" s="10">
        <f t="shared" si="45"/>
        <v>0</v>
      </c>
      <c r="AG18" s="7">
        <f>'[1]Production Summary'!AB19</f>
        <v>50199.999999989588</v>
      </c>
      <c r="AH18" s="8">
        <f t="shared" si="46"/>
        <v>5.0199999999989586E-2</v>
      </c>
      <c r="AI18" s="10">
        <f t="shared" si="47"/>
        <v>0.15411399999996803</v>
      </c>
      <c r="AJ18" s="7">
        <f>'[1]Production Summary'!AJ19</f>
        <v>322036</v>
      </c>
      <c r="AK18" s="8">
        <f t="shared" si="48"/>
        <v>0.32203599999999999</v>
      </c>
      <c r="AL18" s="10">
        <f t="shared" si="49"/>
        <v>0.98865051999999987</v>
      </c>
      <c r="AM18" s="15"/>
      <c r="AN18" s="7">
        <f t="shared" si="50"/>
        <v>25612055.000000019</v>
      </c>
      <c r="AO18" s="8">
        <f t="shared" si="51"/>
        <v>25.612055000000019</v>
      </c>
      <c r="AP18" s="10">
        <f t="shared" si="52"/>
        <v>78.629008850000062</v>
      </c>
      <c r="AR18" s="8">
        <f>W18-Q18-AI18</f>
        <v>-0.15411399999996803</v>
      </c>
    </row>
    <row r="19" spans="1:44" x14ac:dyDescent="0.2">
      <c r="A19" s="27">
        <v>43388</v>
      </c>
      <c r="B19" s="7">
        <f>'[1]Production Summary'!K20</f>
        <v>12610000.000000013</v>
      </c>
      <c r="C19" s="8">
        <f t="shared" si="26"/>
        <v>12.610000000000014</v>
      </c>
      <c r="D19" s="10">
        <f t="shared" si="27"/>
        <v>38.712700000000041</v>
      </c>
      <c r="E19" s="7">
        <f>'[1]Production Summary'!E20</f>
        <v>7000000</v>
      </c>
      <c r="F19" s="8">
        <f t="shared" si="28"/>
        <v>7</v>
      </c>
      <c r="G19" s="10">
        <f t="shared" si="29"/>
        <v>21.49</v>
      </c>
      <c r="H19" s="7">
        <f>'[1]Production Summary'!G20</f>
        <v>5500000</v>
      </c>
      <c r="I19" s="8">
        <f t="shared" si="30"/>
        <v>5.5</v>
      </c>
      <c r="J19" s="10">
        <f t="shared" si="31"/>
        <v>16.884999999999998</v>
      </c>
      <c r="K19" s="7">
        <f>'[1]Production Summary'!T20</f>
        <v>1104311</v>
      </c>
      <c r="L19" s="8">
        <f t="shared" si="32"/>
        <v>1.104311</v>
      </c>
      <c r="M19" s="10">
        <f t="shared" si="33"/>
        <v>3.3902347700000002</v>
      </c>
      <c r="N19" s="21"/>
      <c r="O19" s="7">
        <f>'[1]Production Summary'!I20</f>
        <v>0</v>
      </c>
      <c r="P19" s="8">
        <f t="shared" si="34"/>
        <v>0</v>
      </c>
      <c r="Q19" s="10">
        <f t="shared" si="35"/>
        <v>0</v>
      </c>
      <c r="R19" s="7">
        <f>'[1]Production Summary'!J20</f>
        <v>9991938</v>
      </c>
      <c r="S19" s="8">
        <f t="shared" si="36"/>
        <v>9.9919379999999993</v>
      </c>
      <c r="T19" s="10">
        <f t="shared" si="37"/>
        <v>30.675249659999995</v>
      </c>
      <c r="U19" s="7">
        <f>'[1]Production Summary'!C20</f>
        <v>0</v>
      </c>
      <c r="V19" s="8">
        <f t="shared" si="38"/>
        <v>0</v>
      </c>
      <c r="W19" s="10">
        <f t="shared" si="39"/>
        <v>0</v>
      </c>
      <c r="X19" s="7">
        <f>'[1]Production Summary'!AE20</f>
        <v>10007604</v>
      </c>
      <c r="Y19" s="8">
        <f t="shared" si="40"/>
        <v>10.007604000000001</v>
      </c>
      <c r="Z19" s="10">
        <f t="shared" si="41"/>
        <v>30.723344279999999</v>
      </c>
      <c r="AA19" s="7">
        <f>'[1]Production Summary'!AF20</f>
        <v>0</v>
      </c>
      <c r="AB19" s="8">
        <f t="shared" si="42"/>
        <v>0</v>
      </c>
      <c r="AC19" s="10">
        <f t="shared" si="43"/>
        <v>0</v>
      </c>
      <c r="AD19" s="7">
        <f>'[1]Production Summary'!F20</f>
        <v>0</v>
      </c>
      <c r="AE19" s="8">
        <f t="shared" si="44"/>
        <v>0</v>
      </c>
      <c r="AF19" s="10">
        <f t="shared" si="45"/>
        <v>0</v>
      </c>
      <c r="AG19" s="7">
        <f>'[1]Production Summary'!AB20</f>
        <v>25000.000000005683</v>
      </c>
      <c r="AH19" s="8">
        <f t="shared" si="46"/>
        <v>2.5000000000005681E-2</v>
      </c>
      <c r="AI19" s="10">
        <f t="shared" si="47"/>
        <v>7.6750000000017443E-2</v>
      </c>
      <c r="AJ19" s="7">
        <f>'[1]Production Summary'!AJ20</f>
        <v>155810</v>
      </c>
      <c r="AK19" s="8">
        <f t="shared" si="48"/>
        <v>0.15581</v>
      </c>
      <c r="AL19" s="10">
        <f t="shared" si="49"/>
        <v>0.4783367</v>
      </c>
      <c r="AM19" s="15"/>
      <c r="AN19" s="7">
        <f t="shared" si="50"/>
        <v>22601938.000000015</v>
      </c>
      <c r="AO19" s="8">
        <f t="shared" si="51"/>
        <v>22.601938000000015</v>
      </c>
      <c r="AP19" s="10">
        <f t="shared" si="52"/>
        <v>69.387949660000046</v>
      </c>
      <c r="AR19" s="8">
        <f>W19-Q19-AI19</f>
        <v>-7.6750000000017443E-2</v>
      </c>
    </row>
    <row r="20" spans="1:44" x14ac:dyDescent="0.2">
      <c r="A20" s="27">
        <v>43389</v>
      </c>
      <c r="B20" s="7">
        <f>'[1]Production Summary'!K21</f>
        <v>11109999.999999957</v>
      </c>
      <c r="C20" s="8">
        <f t="shared" si="26"/>
        <v>11.109999999999957</v>
      </c>
      <c r="D20" s="10">
        <f t="shared" si="27"/>
        <v>34.107699999999866</v>
      </c>
      <c r="E20" s="7">
        <f>'[1]Production Summary'!E21</f>
        <v>5000000</v>
      </c>
      <c r="F20" s="8">
        <f t="shared" si="28"/>
        <v>5</v>
      </c>
      <c r="G20" s="10">
        <f t="shared" si="29"/>
        <v>15.35</v>
      </c>
      <c r="H20" s="7">
        <f>'[1]Production Summary'!G21</f>
        <v>5000000</v>
      </c>
      <c r="I20" s="8">
        <f t="shared" si="30"/>
        <v>5</v>
      </c>
      <c r="J20" s="10">
        <f t="shared" si="31"/>
        <v>15.35</v>
      </c>
      <c r="K20" s="7">
        <f>'[1]Production Summary'!T21</f>
        <v>1024301</v>
      </c>
      <c r="L20" s="8">
        <f t="shared" si="32"/>
        <v>1.0243009999999999</v>
      </c>
      <c r="M20" s="10">
        <f t="shared" si="33"/>
        <v>3.1446040699999998</v>
      </c>
      <c r="N20" s="21"/>
      <c r="O20" s="7">
        <f>'[1]Production Summary'!I21</f>
        <v>0</v>
      </c>
      <c r="P20" s="8">
        <f t="shared" si="34"/>
        <v>0</v>
      </c>
      <c r="Q20" s="10">
        <f t="shared" si="35"/>
        <v>0</v>
      </c>
      <c r="R20" s="7">
        <f>'[1]Production Summary'!J21</f>
        <v>9529716</v>
      </c>
      <c r="S20" s="8">
        <f t="shared" si="36"/>
        <v>9.5297160000000005</v>
      </c>
      <c r="T20" s="10">
        <f t="shared" si="37"/>
        <v>29.256228119999999</v>
      </c>
      <c r="U20" s="7">
        <f>'[1]Production Summary'!C21</f>
        <v>0</v>
      </c>
      <c r="V20" s="8">
        <f t="shared" si="38"/>
        <v>0</v>
      </c>
      <c r="W20" s="10">
        <f t="shared" si="39"/>
        <v>0</v>
      </c>
      <c r="X20" s="7">
        <f>'[1]Production Summary'!AE21</f>
        <v>9580449</v>
      </c>
      <c r="Y20" s="8">
        <f t="shared" si="40"/>
        <v>9.5804489999999998</v>
      </c>
      <c r="Z20" s="10">
        <f t="shared" si="41"/>
        <v>29.411978429999998</v>
      </c>
      <c r="AA20" s="7">
        <f>'[1]Production Summary'!AF21</f>
        <v>0</v>
      </c>
      <c r="AB20" s="8">
        <f t="shared" si="42"/>
        <v>0</v>
      </c>
      <c r="AC20" s="10">
        <f t="shared" si="43"/>
        <v>0</v>
      </c>
      <c r="AD20" s="7">
        <f>'[1]Production Summary'!F21</f>
        <v>0</v>
      </c>
      <c r="AE20" s="8">
        <f t="shared" si="44"/>
        <v>0</v>
      </c>
      <c r="AF20" s="10">
        <f t="shared" si="45"/>
        <v>0</v>
      </c>
      <c r="AG20" s="7">
        <f>'[1]Production Summary'!AB21</f>
        <v>0</v>
      </c>
      <c r="AH20" s="8">
        <f t="shared" si="46"/>
        <v>0</v>
      </c>
      <c r="AI20" s="10">
        <f t="shared" si="47"/>
        <v>0</v>
      </c>
      <c r="AJ20" s="7">
        <f>'[1]Production Summary'!AJ21</f>
        <v>106405</v>
      </c>
      <c r="AK20" s="8">
        <f t="shared" si="48"/>
        <v>0.106405</v>
      </c>
      <c r="AL20" s="10">
        <f t="shared" si="49"/>
        <v>0.32666334999999996</v>
      </c>
      <c r="AM20" s="15"/>
      <c r="AN20" s="7">
        <f t="shared" si="50"/>
        <v>20639715.999999955</v>
      </c>
      <c r="AO20" s="8">
        <f t="shared" si="51"/>
        <v>20.639715999999954</v>
      </c>
      <c r="AP20" s="10">
        <f t="shared" si="52"/>
        <v>63.363928119999855</v>
      </c>
      <c r="AR20" s="8">
        <f t="shared" ref="AR20:AR35" si="54">W20-Q20-AI20</f>
        <v>0</v>
      </c>
    </row>
    <row r="21" spans="1:44" x14ac:dyDescent="0.2">
      <c r="A21" s="27">
        <v>43390</v>
      </c>
      <c r="B21" s="7">
        <f>'[1]Production Summary'!K22</f>
        <v>13450000.000000045</v>
      </c>
      <c r="C21" s="8">
        <f t="shared" si="26"/>
        <v>13.450000000000045</v>
      </c>
      <c r="D21" s="10">
        <f t="shared" si="27"/>
        <v>41.291500000000134</v>
      </c>
      <c r="E21" s="7">
        <f>'[1]Production Summary'!E22</f>
        <v>7000000</v>
      </c>
      <c r="F21" s="8">
        <f t="shared" si="28"/>
        <v>7</v>
      </c>
      <c r="G21" s="10">
        <f t="shared" si="29"/>
        <v>21.49</v>
      </c>
      <c r="H21" s="7">
        <f>'[1]Production Summary'!G22</f>
        <v>6320000</v>
      </c>
      <c r="I21" s="8">
        <f t="shared" si="30"/>
        <v>6.32</v>
      </c>
      <c r="J21" s="10">
        <f t="shared" si="31"/>
        <v>19.4024</v>
      </c>
      <c r="K21" s="7">
        <f>'[1]Production Summary'!T22</f>
        <v>1391641</v>
      </c>
      <c r="L21" s="8">
        <f t="shared" si="32"/>
        <v>1.3916409999999999</v>
      </c>
      <c r="M21" s="10">
        <f t="shared" si="33"/>
        <v>4.2723378699999994</v>
      </c>
      <c r="N21" s="21"/>
      <c r="O21" s="7">
        <f>'[1]Production Summary'!I22</f>
        <v>0</v>
      </c>
      <c r="P21" s="8">
        <f t="shared" si="34"/>
        <v>0</v>
      </c>
      <c r="Q21" s="10">
        <f t="shared" si="35"/>
        <v>0</v>
      </c>
      <c r="R21" s="7">
        <f>'[1]Production Summary'!J22</f>
        <v>5673388</v>
      </c>
      <c r="S21" s="8">
        <f t="shared" si="36"/>
        <v>5.6733880000000001</v>
      </c>
      <c r="T21" s="10">
        <f t="shared" si="37"/>
        <v>17.417301160000001</v>
      </c>
      <c r="U21" s="7">
        <f>'[1]Production Summary'!C22</f>
        <v>0</v>
      </c>
      <c r="V21" s="8">
        <f t="shared" si="38"/>
        <v>0</v>
      </c>
      <c r="W21" s="10">
        <f t="shared" si="39"/>
        <v>0</v>
      </c>
      <c r="X21" s="7">
        <f>'[1]Production Summary'!AE22</f>
        <v>5995938</v>
      </c>
      <c r="Y21" s="8">
        <f t="shared" si="40"/>
        <v>5.9959379999999998</v>
      </c>
      <c r="Z21" s="10">
        <f t="shared" si="41"/>
        <v>18.407529659999998</v>
      </c>
      <c r="AA21" s="7">
        <f>'[1]Production Summary'!AF22</f>
        <v>0</v>
      </c>
      <c r="AB21" s="8">
        <f t="shared" si="42"/>
        <v>0</v>
      </c>
      <c r="AC21" s="10">
        <f t="shared" si="43"/>
        <v>0</v>
      </c>
      <c r="AD21" s="7">
        <f>'[1]Production Summary'!F22</f>
        <v>0</v>
      </c>
      <c r="AE21" s="8">
        <f t="shared" si="44"/>
        <v>0</v>
      </c>
      <c r="AF21" s="10">
        <f t="shared" si="45"/>
        <v>0</v>
      </c>
      <c r="AG21" s="7">
        <f>'[1]Production Summary'!AB22</f>
        <v>0</v>
      </c>
      <c r="AH21" s="8">
        <f t="shared" si="46"/>
        <v>0</v>
      </c>
      <c r="AI21" s="10">
        <f t="shared" si="47"/>
        <v>0</v>
      </c>
      <c r="AJ21" s="7">
        <f>'[1]Production Summary'!AJ22</f>
        <v>267314</v>
      </c>
      <c r="AK21" s="8">
        <f t="shared" si="48"/>
        <v>0.267314</v>
      </c>
      <c r="AL21" s="10">
        <f t="shared" si="49"/>
        <v>0.82065397999999989</v>
      </c>
      <c r="AM21" s="15"/>
      <c r="AN21" s="7">
        <f t="shared" si="50"/>
        <v>19123388.000000045</v>
      </c>
      <c r="AO21" s="8">
        <f t="shared" si="51"/>
        <v>19.123388000000045</v>
      </c>
      <c r="AP21" s="10">
        <f t="shared" si="52"/>
        <v>58.708801160000135</v>
      </c>
      <c r="AR21" s="8">
        <f t="shared" si="54"/>
        <v>0</v>
      </c>
    </row>
    <row r="22" spans="1:44" x14ac:dyDescent="0.2">
      <c r="A22" s="27">
        <v>43391</v>
      </c>
      <c r="B22" s="7">
        <f>'[1]Production Summary'!K23</f>
        <v>14379999.999999996</v>
      </c>
      <c r="C22" s="8">
        <f t="shared" si="26"/>
        <v>14.379999999999995</v>
      </c>
      <c r="D22" s="10">
        <f t="shared" si="27"/>
        <v>44.146599999999985</v>
      </c>
      <c r="E22" s="7">
        <f>'[1]Production Summary'!E23</f>
        <v>9000000</v>
      </c>
      <c r="F22" s="8">
        <f t="shared" si="28"/>
        <v>9</v>
      </c>
      <c r="G22" s="10">
        <f t="shared" si="29"/>
        <v>27.63</v>
      </c>
      <c r="H22" s="7">
        <f>'[1]Production Summary'!G23</f>
        <v>6690000</v>
      </c>
      <c r="I22" s="8">
        <f t="shared" si="30"/>
        <v>6.69</v>
      </c>
      <c r="J22" s="10">
        <f t="shared" si="31"/>
        <v>20.5383</v>
      </c>
      <c r="K22" s="7">
        <f>'[1]Production Summary'!T23</f>
        <v>1377384</v>
      </c>
      <c r="L22" s="8">
        <f t="shared" si="32"/>
        <v>1.3773839999999999</v>
      </c>
      <c r="M22" s="10">
        <f t="shared" si="33"/>
        <v>4.2285688799999992</v>
      </c>
      <c r="N22" s="21"/>
      <c r="O22" s="7">
        <f>'[1]Production Summary'!I23</f>
        <v>0</v>
      </c>
      <c r="P22" s="8">
        <f t="shared" si="34"/>
        <v>0</v>
      </c>
      <c r="Q22" s="10">
        <f t="shared" si="35"/>
        <v>0</v>
      </c>
      <c r="R22" s="7">
        <f>'[1]Production Summary'!J23</f>
        <v>5748685</v>
      </c>
      <c r="S22" s="8">
        <f t="shared" si="36"/>
        <v>5.748685</v>
      </c>
      <c r="T22" s="10">
        <f t="shared" si="37"/>
        <v>17.648462949999999</v>
      </c>
      <c r="U22" s="7">
        <f>'[1]Production Summary'!C23</f>
        <v>0</v>
      </c>
      <c r="V22" s="8">
        <f t="shared" si="38"/>
        <v>0</v>
      </c>
      <c r="W22" s="10">
        <f t="shared" si="39"/>
        <v>0</v>
      </c>
      <c r="X22" s="7">
        <f>'[1]Production Summary'!AE23</f>
        <v>6015562</v>
      </c>
      <c r="Y22" s="8">
        <f t="shared" si="40"/>
        <v>6.0155620000000001</v>
      </c>
      <c r="Z22" s="10">
        <f t="shared" si="41"/>
        <v>18.467775339999999</v>
      </c>
      <c r="AA22" s="7">
        <f>'[1]Production Summary'!AF23</f>
        <v>0</v>
      </c>
      <c r="AB22" s="8">
        <f t="shared" si="42"/>
        <v>0</v>
      </c>
      <c r="AC22" s="10">
        <f t="shared" si="43"/>
        <v>0</v>
      </c>
      <c r="AD22" s="7">
        <f>'[1]Production Summary'!F23</f>
        <v>0</v>
      </c>
      <c r="AE22" s="8">
        <f t="shared" si="44"/>
        <v>0</v>
      </c>
      <c r="AF22" s="10">
        <f t="shared" si="45"/>
        <v>0</v>
      </c>
      <c r="AG22" s="7">
        <f>'[1]Production Summary'!AB23</f>
        <v>0</v>
      </c>
      <c r="AH22" s="8">
        <f t="shared" si="46"/>
        <v>0</v>
      </c>
      <c r="AI22" s="10">
        <f t="shared" si="47"/>
        <v>0</v>
      </c>
      <c r="AJ22" s="7">
        <f>'[1]Production Summary'!AJ23</f>
        <v>128291</v>
      </c>
      <c r="AK22" s="8">
        <f t="shared" si="48"/>
        <v>0.12829099999999999</v>
      </c>
      <c r="AL22" s="10">
        <f t="shared" si="49"/>
        <v>0.39385336999999992</v>
      </c>
      <c r="AM22" s="15"/>
      <c r="AN22" s="7">
        <f t="shared" si="50"/>
        <v>20128684.999999996</v>
      </c>
      <c r="AO22" s="8">
        <f t="shared" si="51"/>
        <v>20.128684999999997</v>
      </c>
      <c r="AP22" s="10">
        <f t="shared" si="52"/>
        <v>61.795062949999988</v>
      </c>
      <c r="AR22" s="8">
        <f t="shared" si="54"/>
        <v>0</v>
      </c>
    </row>
    <row r="23" spans="1:44" x14ac:dyDescent="0.2">
      <c r="A23" s="27">
        <v>43392</v>
      </c>
      <c r="B23" s="7">
        <f>'[1]Production Summary'!K24</f>
        <v>11649999.999999978</v>
      </c>
      <c r="C23" s="8">
        <f t="shared" si="26"/>
        <v>11.649999999999977</v>
      </c>
      <c r="D23" s="10">
        <f t="shared" si="27"/>
        <v>35.765499999999925</v>
      </c>
      <c r="E23" s="7">
        <f>'[1]Production Summary'!E24</f>
        <v>8000000</v>
      </c>
      <c r="F23" s="8">
        <f t="shared" si="28"/>
        <v>8</v>
      </c>
      <c r="G23" s="10">
        <f t="shared" si="29"/>
        <v>24.56</v>
      </c>
      <c r="H23" s="7">
        <f>'[1]Production Summary'!G24</f>
        <v>5660000</v>
      </c>
      <c r="I23" s="8">
        <f t="shared" si="30"/>
        <v>5.66</v>
      </c>
      <c r="J23" s="10">
        <f t="shared" si="31"/>
        <v>17.376200000000001</v>
      </c>
      <c r="K23" s="7">
        <f>'[1]Production Summary'!T24</f>
        <v>1432988</v>
      </c>
      <c r="L23" s="8">
        <f t="shared" si="32"/>
        <v>1.4329879999999999</v>
      </c>
      <c r="M23" s="10">
        <f t="shared" si="33"/>
        <v>4.3992731599999999</v>
      </c>
      <c r="N23" s="21"/>
      <c r="O23" s="7">
        <f>'[1]Production Summary'!I24</f>
        <v>0</v>
      </c>
      <c r="P23" s="8">
        <f t="shared" si="34"/>
        <v>0</v>
      </c>
      <c r="Q23" s="10">
        <f t="shared" si="35"/>
        <v>0</v>
      </c>
      <c r="R23" s="7">
        <f>'[1]Production Summary'!J24</f>
        <v>5865638</v>
      </c>
      <c r="S23" s="8">
        <f t="shared" si="36"/>
        <v>5.8656379999999997</v>
      </c>
      <c r="T23" s="10">
        <f t="shared" si="37"/>
        <v>18.007508659999999</v>
      </c>
      <c r="U23" s="7">
        <f>'[1]Production Summary'!C24</f>
        <v>0</v>
      </c>
      <c r="V23" s="8">
        <f t="shared" si="38"/>
        <v>0</v>
      </c>
      <c r="W23" s="10">
        <f t="shared" si="39"/>
        <v>0</v>
      </c>
      <c r="X23" s="7">
        <f>'[1]Production Summary'!AE24</f>
        <v>5984969</v>
      </c>
      <c r="Y23" s="8">
        <f t="shared" si="40"/>
        <v>5.9849690000000004</v>
      </c>
      <c r="Z23" s="10">
        <f t="shared" si="41"/>
        <v>18.373854829999999</v>
      </c>
      <c r="AA23" s="7">
        <f>'[1]Production Summary'!AF24</f>
        <v>0</v>
      </c>
      <c r="AB23" s="8">
        <f t="shared" si="42"/>
        <v>0</v>
      </c>
      <c r="AC23" s="10">
        <f t="shared" si="43"/>
        <v>0</v>
      </c>
      <c r="AD23" s="7">
        <f>'[1]Production Summary'!F24</f>
        <v>0</v>
      </c>
      <c r="AE23" s="8">
        <f t="shared" si="44"/>
        <v>0</v>
      </c>
      <c r="AF23" s="10">
        <f t="shared" si="45"/>
        <v>0</v>
      </c>
      <c r="AG23" s="7">
        <f>'[1]Production Summary'!AB24</f>
        <v>0</v>
      </c>
      <c r="AH23" s="8">
        <f t="shared" si="46"/>
        <v>0</v>
      </c>
      <c r="AI23" s="10">
        <f t="shared" si="47"/>
        <v>0</v>
      </c>
      <c r="AJ23" s="7">
        <f>'[1]Production Summary'!AJ24</f>
        <v>94522</v>
      </c>
      <c r="AK23" s="8">
        <f t="shared" si="48"/>
        <v>9.4521999999999995E-2</v>
      </c>
      <c r="AL23" s="10">
        <f t="shared" si="49"/>
        <v>0.29018253999999999</v>
      </c>
      <c r="AM23" s="15"/>
      <c r="AN23" s="7">
        <f t="shared" si="50"/>
        <v>17515637.999999978</v>
      </c>
      <c r="AO23" s="8">
        <f t="shared" si="51"/>
        <v>17.515637999999978</v>
      </c>
      <c r="AP23" s="10">
        <f t="shared" si="52"/>
        <v>53.773008659999931</v>
      </c>
      <c r="AR23" s="8">
        <f t="shared" si="54"/>
        <v>0</v>
      </c>
    </row>
    <row r="24" spans="1:44" x14ac:dyDescent="0.2">
      <c r="A24" s="27">
        <v>43393</v>
      </c>
      <c r="B24" s="7">
        <f>'[1]Production Summary'!K25</f>
        <v>11860000.000000013</v>
      </c>
      <c r="C24" s="8">
        <f t="shared" si="26"/>
        <v>11.860000000000014</v>
      </c>
      <c r="D24" s="10">
        <f t="shared" si="27"/>
        <v>36.410200000000039</v>
      </c>
      <c r="E24" s="7">
        <f>'[1]Production Summary'!E25</f>
        <v>8000000</v>
      </c>
      <c r="F24" s="8">
        <f t="shared" si="28"/>
        <v>8</v>
      </c>
      <c r="G24" s="10">
        <f t="shared" si="29"/>
        <v>24.56</v>
      </c>
      <c r="H24" s="7">
        <f>'[1]Production Summary'!G25</f>
        <v>5680000</v>
      </c>
      <c r="I24" s="8">
        <f t="shared" si="30"/>
        <v>5.68</v>
      </c>
      <c r="J24" s="10">
        <f t="shared" si="31"/>
        <v>17.4376</v>
      </c>
      <c r="K24" s="7">
        <f>'[1]Production Summary'!T25</f>
        <v>1376216</v>
      </c>
      <c r="L24" s="8">
        <f t="shared" si="32"/>
        <v>1.3762160000000001</v>
      </c>
      <c r="M24" s="10">
        <f t="shared" si="33"/>
        <v>4.2249831200000001</v>
      </c>
      <c r="N24" s="21"/>
      <c r="O24" s="7">
        <f>'[1]Production Summary'!I25</f>
        <v>0</v>
      </c>
      <c r="P24" s="8">
        <f t="shared" si="34"/>
        <v>0</v>
      </c>
      <c r="Q24" s="10">
        <f t="shared" si="35"/>
        <v>0</v>
      </c>
      <c r="R24" s="7">
        <f>'[1]Production Summary'!J25</f>
        <v>6433856</v>
      </c>
      <c r="S24" s="8">
        <f t="shared" si="36"/>
        <v>6.4338559999999996</v>
      </c>
      <c r="T24" s="10">
        <f t="shared" si="37"/>
        <v>19.751937919999996</v>
      </c>
      <c r="U24" s="7">
        <f>'[1]Production Summary'!C25</f>
        <v>0</v>
      </c>
      <c r="V24" s="8">
        <f t="shared" si="38"/>
        <v>0</v>
      </c>
      <c r="W24" s="10">
        <f t="shared" si="39"/>
        <v>0</v>
      </c>
      <c r="X24" s="7">
        <f>'[1]Production Summary'!AE25</f>
        <v>6068876</v>
      </c>
      <c r="Y24" s="8">
        <f t="shared" si="40"/>
        <v>6.0688760000000004</v>
      </c>
      <c r="Z24" s="10">
        <f t="shared" si="41"/>
        <v>18.631449320000002</v>
      </c>
      <c r="AA24" s="7">
        <f>'[1]Production Summary'!AF25</f>
        <v>301512</v>
      </c>
      <c r="AB24" s="8">
        <f t="shared" si="42"/>
        <v>0.301512</v>
      </c>
      <c r="AC24" s="10">
        <f t="shared" si="43"/>
        <v>0.92564183999999994</v>
      </c>
      <c r="AD24" s="7">
        <f>'[1]Production Summary'!F25</f>
        <v>0</v>
      </c>
      <c r="AE24" s="8">
        <f t="shared" si="44"/>
        <v>0</v>
      </c>
      <c r="AF24" s="10">
        <f t="shared" si="45"/>
        <v>0</v>
      </c>
      <c r="AG24" s="7">
        <f>'[1]Production Summary'!AB25</f>
        <v>0</v>
      </c>
      <c r="AH24" s="8">
        <f t="shared" si="46"/>
        <v>0</v>
      </c>
      <c r="AI24" s="10">
        <f t="shared" si="47"/>
        <v>0</v>
      </c>
      <c r="AJ24" s="7">
        <f>'[1]Production Summary'!AJ25</f>
        <v>117198</v>
      </c>
      <c r="AK24" s="8">
        <f t="shared" si="48"/>
        <v>0.117198</v>
      </c>
      <c r="AL24" s="10">
        <f t="shared" si="49"/>
        <v>0.35979785999999997</v>
      </c>
      <c r="AM24" s="15"/>
      <c r="AN24" s="7">
        <f t="shared" si="50"/>
        <v>18293856.000000015</v>
      </c>
      <c r="AO24" s="8">
        <f t="shared" si="51"/>
        <v>18.293856000000016</v>
      </c>
      <c r="AP24" s="10">
        <f t="shared" si="52"/>
        <v>56.162137920000049</v>
      </c>
      <c r="AR24" s="8">
        <f t="shared" si="54"/>
        <v>0</v>
      </c>
    </row>
    <row r="25" spans="1:44" x14ac:dyDescent="0.2">
      <c r="A25" s="27">
        <v>43394</v>
      </c>
      <c r="B25" s="7">
        <f>'[1]Production Summary'!K26</f>
        <v>10279999.999999972</v>
      </c>
      <c r="C25" s="8">
        <f t="shared" si="26"/>
        <v>10.279999999999973</v>
      </c>
      <c r="D25" s="10">
        <f t="shared" si="27"/>
        <v>31.559599999999914</v>
      </c>
      <c r="E25" s="7">
        <f>'[1]Production Summary'!E26</f>
        <v>6000000</v>
      </c>
      <c r="F25" s="8">
        <f t="shared" si="28"/>
        <v>6</v>
      </c>
      <c r="G25" s="10">
        <f t="shared" si="29"/>
        <v>18.419999999999998</v>
      </c>
      <c r="H25" s="7">
        <f>'[1]Production Summary'!G26</f>
        <v>5120000</v>
      </c>
      <c r="I25" s="8">
        <f t="shared" si="30"/>
        <v>5.12</v>
      </c>
      <c r="J25" s="10">
        <f t="shared" si="31"/>
        <v>15.718399999999999</v>
      </c>
      <c r="K25" s="7">
        <f>'[1]Production Summary'!T26</f>
        <v>1069887</v>
      </c>
      <c r="L25" s="8">
        <f t="shared" si="32"/>
        <v>1.069887</v>
      </c>
      <c r="M25" s="10">
        <f t="shared" si="33"/>
        <v>3.2845530899999997</v>
      </c>
      <c r="N25" s="21"/>
      <c r="O25" s="7">
        <f>'[1]Production Summary'!I26</f>
        <v>0</v>
      </c>
      <c r="P25" s="8">
        <f t="shared" si="34"/>
        <v>0</v>
      </c>
      <c r="Q25" s="10">
        <f t="shared" si="35"/>
        <v>0</v>
      </c>
      <c r="R25" s="7">
        <f>'[1]Production Summary'!J26</f>
        <v>7220454</v>
      </c>
      <c r="S25" s="8">
        <f t="shared" si="36"/>
        <v>7.2204540000000001</v>
      </c>
      <c r="T25" s="10">
        <f t="shared" si="37"/>
        <v>22.166793779999999</v>
      </c>
      <c r="U25" s="7">
        <f>'[1]Production Summary'!C26</f>
        <v>0</v>
      </c>
      <c r="V25" s="8">
        <f t="shared" si="38"/>
        <v>0</v>
      </c>
      <c r="W25" s="10">
        <f t="shared" si="39"/>
        <v>0</v>
      </c>
      <c r="X25" s="7">
        <f>'[1]Production Summary'!AE26</f>
        <v>4456446</v>
      </c>
      <c r="Y25" s="8">
        <f t="shared" si="40"/>
        <v>4.4564459999999997</v>
      </c>
      <c r="Z25" s="10">
        <f t="shared" si="41"/>
        <v>13.681289219999998</v>
      </c>
      <c r="AA25" s="7">
        <f>'[1]Production Summary'!AF26</f>
        <v>3131023</v>
      </c>
      <c r="AB25" s="8">
        <f t="shared" si="42"/>
        <v>3.1310229999999999</v>
      </c>
      <c r="AC25" s="10">
        <f t="shared" si="43"/>
        <v>9.6122406099999989</v>
      </c>
      <c r="AD25" s="7">
        <f>'[1]Production Summary'!F26</f>
        <v>0</v>
      </c>
      <c r="AE25" s="8">
        <f t="shared" si="44"/>
        <v>0</v>
      </c>
      <c r="AF25" s="10">
        <f t="shared" si="45"/>
        <v>0</v>
      </c>
      <c r="AG25" s="7">
        <f>'[1]Production Summary'!AB26</f>
        <v>0</v>
      </c>
      <c r="AH25" s="8">
        <f t="shared" si="46"/>
        <v>0</v>
      </c>
      <c r="AI25" s="10">
        <f t="shared" si="47"/>
        <v>0</v>
      </c>
      <c r="AJ25" s="7">
        <f>'[1]Production Summary'!AJ26</f>
        <v>128194</v>
      </c>
      <c r="AK25" s="8">
        <f t="shared" si="48"/>
        <v>0.128194</v>
      </c>
      <c r="AL25" s="10">
        <f t="shared" si="49"/>
        <v>0.39355557999999996</v>
      </c>
      <c r="AM25" s="15"/>
      <c r="AN25" s="7">
        <f t="shared" si="50"/>
        <v>17500453.99999997</v>
      </c>
      <c r="AO25" s="8">
        <f t="shared" si="51"/>
        <v>17.500453999999969</v>
      </c>
      <c r="AP25" s="10">
        <f t="shared" si="52"/>
        <v>53.726393779999903</v>
      </c>
      <c r="AR25" s="8">
        <f t="shared" si="54"/>
        <v>0</v>
      </c>
    </row>
    <row r="26" spans="1:44" x14ac:dyDescent="0.2">
      <c r="A26" s="27">
        <v>43395</v>
      </c>
      <c r="B26" s="7">
        <f>'[1]Production Summary'!K27</f>
        <v>6270000.0000000391</v>
      </c>
      <c r="C26" s="8">
        <f t="shared" si="26"/>
        <v>6.2700000000000395</v>
      </c>
      <c r="D26" s="10">
        <f t="shared" si="27"/>
        <v>19.24890000000012</v>
      </c>
      <c r="E26" s="7">
        <f>'[1]Production Summary'!E27</f>
        <v>6000000</v>
      </c>
      <c r="F26" s="8">
        <f t="shared" si="28"/>
        <v>6</v>
      </c>
      <c r="G26" s="10">
        <f t="shared" si="29"/>
        <v>18.419999999999998</v>
      </c>
      <c r="H26" s="7">
        <f>'[1]Production Summary'!G27</f>
        <v>1200000</v>
      </c>
      <c r="I26" s="8">
        <f t="shared" si="30"/>
        <v>1.2</v>
      </c>
      <c r="J26" s="10">
        <f t="shared" si="31"/>
        <v>3.6839999999999997</v>
      </c>
      <c r="K26" s="7">
        <f>'[1]Production Summary'!T27</f>
        <v>762421</v>
      </c>
      <c r="L26" s="8">
        <f t="shared" si="32"/>
        <v>0.76242100000000002</v>
      </c>
      <c r="M26" s="10">
        <f t="shared" si="33"/>
        <v>2.3406324700000001</v>
      </c>
      <c r="N26" s="21"/>
      <c r="O26" s="7">
        <f>'[1]Production Summary'!I27</f>
        <v>0</v>
      </c>
      <c r="P26" s="8">
        <f t="shared" si="34"/>
        <v>0</v>
      </c>
      <c r="Q26" s="10">
        <f t="shared" si="35"/>
        <v>0</v>
      </c>
      <c r="R26" s="7">
        <f>'[1]Production Summary'!J27</f>
        <v>15823963</v>
      </c>
      <c r="S26" s="8">
        <f t="shared" si="36"/>
        <v>15.823962999999999</v>
      </c>
      <c r="T26" s="10">
        <f t="shared" si="37"/>
        <v>48.579566409999998</v>
      </c>
      <c r="U26" s="7">
        <f>'[1]Production Summary'!C27</f>
        <v>0</v>
      </c>
      <c r="V26" s="8">
        <f t="shared" si="38"/>
        <v>0</v>
      </c>
      <c r="W26" s="10">
        <f t="shared" si="39"/>
        <v>0</v>
      </c>
      <c r="X26" s="7">
        <f>'[1]Production Summary'!AE27</f>
        <v>4599030</v>
      </c>
      <c r="Y26" s="8">
        <f t="shared" si="40"/>
        <v>4.59903</v>
      </c>
      <c r="Z26" s="10">
        <f t="shared" si="41"/>
        <v>14.119022099999999</v>
      </c>
      <c r="AA26" s="7">
        <f>'[1]Production Summary'!AF27</f>
        <v>11952671</v>
      </c>
      <c r="AB26" s="8">
        <f t="shared" si="42"/>
        <v>11.952671</v>
      </c>
      <c r="AC26" s="10">
        <f t="shared" si="43"/>
        <v>36.694699970000002</v>
      </c>
      <c r="AD26" s="7">
        <f>'[1]Production Summary'!F27</f>
        <v>0</v>
      </c>
      <c r="AE26" s="8">
        <f t="shared" si="44"/>
        <v>0</v>
      </c>
      <c r="AF26" s="10">
        <f t="shared" si="45"/>
        <v>0</v>
      </c>
      <c r="AG26" s="7">
        <f>'[1]Production Summary'!AB27</f>
        <v>0</v>
      </c>
      <c r="AH26" s="8">
        <f t="shared" si="46"/>
        <v>0</v>
      </c>
      <c r="AI26" s="10">
        <f t="shared" si="47"/>
        <v>0</v>
      </c>
      <c r="AJ26" s="7">
        <f>'[1]Production Summary'!AJ27</f>
        <v>159531</v>
      </c>
      <c r="AK26" s="8">
        <f t="shared" si="48"/>
        <v>0.15953100000000001</v>
      </c>
      <c r="AL26" s="10">
        <f t="shared" si="49"/>
        <v>0.48976016999999999</v>
      </c>
      <c r="AM26" s="15"/>
      <c r="AN26" s="7">
        <f t="shared" si="50"/>
        <v>22093963.000000037</v>
      </c>
      <c r="AO26" s="8">
        <f t="shared" si="51"/>
        <v>22.093963000000038</v>
      </c>
      <c r="AP26" s="10">
        <f t="shared" si="52"/>
        <v>67.828466410000118</v>
      </c>
      <c r="AR26" s="8">
        <f t="shared" si="54"/>
        <v>0</v>
      </c>
    </row>
    <row r="27" spans="1:44" x14ac:dyDescent="0.2">
      <c r="A27" s="27">
        <v>43396</v>
      </c>
      <c r="B27" s="7">
        <f>'[1]Production Summary'!K28</f>
        <v>4769999.9999999814</v>
      </c>
      <c r="C27" s="8">
        <f t="shared" si="26"/>
        <v>4.7699999999999818</v>
      </c>
      <c r="D27" s="10">
        <f t="shared" si="27"/>
        <v>14.643899999999944</v>
      </c>
      <c r="E27" s="7">
        <f>'[1]Production Summary'!E28</f>
        <v>6000000</v>
      </c>
      <c r="F27" s="8">
        <f t="shared" si="28"/>
        <v>6</v>
      </c>
      <c r="G27" s="10">
        <f t="shared" si="29"/>
        <v>18.419999999999998</v>
      </c>
      <c r="H27" s="7">
        <f>'[1]Production Summary'!G28</f>
        <v>10000</v>
      </c>
      <c r="I27" s="8">
        <f t="shared" si="30"/>
        <v>0.01</v>
      </c>
      <c r="J27" s="10">
        <f t="shared" si="31"/>
        <v>3.0699999999999998E-2</v>
      </c>
      <c r="K27" s="7">
        <f>'[1]Production Summary'!T28</f>
        <v>577668</v>
      </c>
      <c r="L27" s="8">
        <f t="shared" si="32"/>
        <v>0.57766799999999996</v>
      </c>
      <c r="M27" s="10">
        <f t="shared" si="33"/>
        <v>1.7734407599999997</v>
      </c>
      <c r="N27" s="21"/>
      <c r="O27" s="7">
        <f>'[1]Production Summary'!I28</f>
        <v>0</v>
      </c>
      <c r="P27" s="8">
        <f t="shared" si="34"/>
        <v>0</v>
      </c>
      <c r="Q27" s="10">
        <f t="shared" si="35"/>
        <v>0</v>
      </c>
      <c r="R27" s="7">
        <f>'[1]Production Summary'!J28</f>
        <v>8929608</v>
      </c>
      <c r="S27" s="8">
        <f t="shared" si="36"/>
        <v>8.929608</v>
      </c>
      <c r="T27" s="10">
        <f t="shared" si="37"/>
        <v>27.413896559999998</v>
      </c>
      <c r="U27" s="7">
        <f>'[1]Production Summary'!C28</f>
        <v>0</v>
      </c>
      <c r="V27" s="8">
        <f t="shared" si="38"/>
        <v>0</v>
      </c>
      <c r="W27" s="10">
        <f t="shared" si="39"/>
        <v>0</v>
      </c>
      <c r="X27" s="7">
        <f>'[1]Production Summary'!AE28</f>
        <v>2512509</v>
      </c>
      <c r="Y27" s="8">
        <f t="shared" si="40"/>
        <v>2.5125090000000001</v>
      </c>
      <c r="Z27" s="10">
        <f t="shared" si="41"/>
        <v>7.71340263</v>
      </c>
      <c r="AA27" s="7">
        <f>'[1]Production Summary'!AF28</f>
        <v>6375452</v>
      </c>
      <c r="AB27" s="8">
        <f t="shared" si="42"/>
        <v>6.3754520000000001</v>
      </c>
      <c r="AC27" s="10">
        <f t="shared" si="43"/>
        <v>19.57263764</v>
      </c>
      <c r="AD27" s="7">
        <f>'[1]Production Summary'!F28</f>
        <v>0</v>
      </c>
      <c r="AE27" s="8">
        <f t="shared" si="44"/>
        <v>0</v>
      </c>
      <c r="AF27" s="10">
        <f t="shared" si="45"/>
        <v>0</v>
      </c>
      <c r="AG27" s="7">
        <f>'[1]Production Summary'!AB28</f>
        <v>0</v>
      </c>
      <c r="AH27" s="8">
        <f t="shared" si="46"/>
        <v>0</v>
      </c>
      <c r="AI27" s="10">
        <f t="shared" si="47"/>
        <v>0</v>
      </c>
      <c r="AJ27" s="7">
        <f>'[1]Production Summary'!AJ28</f>
        <v>0</v>
      </c>
      <c r="AK27" s="8">
        <f t="shared" si="48"/>
        <v>0</v>
      </c>
      <c r="AL27" s="10">
        <f t="shared" si="49"/>
        <v>0</v>
      </c>
      <c r="AM27" s="15"/>
      <c r="AN27" s="7">
        <f t="shared" si="50"/>
        <v>13699607.999999981</v>
      </c>
      <c r="AO27" s="8">
        <f t="shared" si="51"/>
        <v>13.699607999999982</v>
      </c>
      <c r="AP27" s="10">
        <f t="shared" si="52"/>
        <v>42.057796559999943</v>
      </c>
      <c r="AR27" s="8">
        <f t="shared" si="54"/>
        <v>0</v>
      </c>
    </row>
    <row r="28" spans="1:44" x14ac:dyDescent="0.2">
      <c r="A28" s="27">
        <v>43397</v>
      </c>
      <c r="B28" s="7">
        <f>'[1]Production Summary'!K29</f>
        <v>5750000</v>
      </c>
      <c r="C28" s="8">
        <f t="shared" si="26"/>
        <v>5.75</v>
      </c>
      <c r="D28" s="10">
        <f t="shared" si="27"/>
        <v>17.6525</v>
      </c>
      <c r="E28" s="7">
        <f>'[1]Production Summary'!E29</f>
        <v>6000000</v>
      </c>
      <c r="F28" s="8">
        <f t="shared" si="28"/>
        <v>6</v>
      </c>
      <c r="G28" s="10">
        <f t="shared" si="29"/>
        <v>18.419999999999998</v>
      </c>
      <c r="H28" s="7">
        <f>'[1]Production Summary'!G29</f>
        <v>0</v>
      </c>
      <c r="I28" s="8">
        <f t="shared" si="30"/>
        <v>0</v>
      </c>
      <c r="J28" s="10">
        <f t="shared" si="31"/>
        <v>0</v>
      </c>
      <c r="K28" s="7">
        <f>'[1]Production Summary'!T29</f>
        <v>562072</v>
      </c>
      <c r="L28" s="8">
        <f t="shared" si="32"/>
        <v>0.56207200000000002</v>
      </c>
      <c r="M28" s="10">
        <f t="shared" si="33"/>
        <v>1.7255610399999999</v>
      </c>
      <c r="N28" s="21"/>
      <c r="O28" s="7">
        <f>'[1]Production Summary'!I29</f>
        <v>0</v>
      </c>
      <c r="P28" s="8">
        <f t="shared" si="34"/>
        <v>0</v>
      </c>
      <c r="Q28" s="10">
        <f t="shared" si="35"/>
        <v>0</v>
      </c>
      <c r="R28" s="7">
        <f>'[1]Production Summary'!J29</f>
        <v>4064682</v>
      </c>
      <c r="S28" s="8">
        <f t="shared" si="36"/>
        <v>4.0646820000000004</v>
      </c>
      <c r="T28" s="10">
        <f t="shared" si="37"/>
        <v>12.47857374</v>
      </c>
      <c r="U28" s="7">
        <f>'[1]Production Summary'!C29</f>
        <v>0</v>
      </c>
      <c r="V28" s="8">
        <f t="shared" si="38"/>
        <v>0</v>
      </c>
      <c r="W28" s="10">
        <f t="shared" si="39"/>
        <v>0</v>
      </c>
      <c r="X28" s="7">
        <f>'[1]Production Summary'!AE29</f>
        <v>1015120</v>
      </c>
      <c r="Y28" s="8">
        <f t="shared" si="40"/>
        <v>1.01512</v>
      </c>
      <c r="Z28" s="10">
        <f t="shared" si="41"/>
        <v>3.1164183999999997</v>
      </c>
      <c r="AA28" s="7">
        <f>'[1]Production Summary'!AF29</f>
        <v>3350430</v>
      </c>
      <c r="AB28" s="8">
        <f t="shared" si="42"/>
        <v>3.3504299999999998</v>
      </c>
      <c r="AC28" s="10">
        <f t="shared" si="43"/>
        <v>10.285820099999999</v>
      </c>
      <c r="AD28" s="7">
        <f>'[1]Production Summary'!F29</f>
        <v>0</v>
      </c>
      <c r="AE28" s="8">
        <f t="shared" si="44"/>
        <v>0</v>
      </c>
      <c r="AF28" s="10">
        <f t="shared" si="45"/>
        <v>0</v>
      </c>
      <c r="AG28" s="7">
        <f>'[1]Production Summary'!AB29</f>
        <v>0</v>
      </c>
      <c r="AH28" s="8">
        <f t="shared" si="46"/>
        <v>0</v>
      </c>
      <c r="AI28" s="10">
        <f t="shared" si="47"/>
        <v>0</v>
      </c>
      <c r="AJ28" s="7">
        <f>'[1]Production Summary'!AJ29</f>
        <v>0</v>
      </c>
      <c r="AK28" s="8">
        <f t="shared" si="48"/>
        <v>0</v>
      </c>
      <c r="AL28" s="10">
        <f t="shared" si="49"/>
        <v>0</v>
      </c>
      <c r="AM28" s="15"/>
      <c r="AN28" s="7">
        <f t="shared" si="50"/>
        <v>9814682</v>
      </c>
      <c r="AO28" s="8">
        <f t="shared" si="51"/>
        <v>9.8146819999999995</v>
      </c>
      <c r="AP28" s="10">
        <f t="shared" si="52"/>
        <v>30.131073739999998</v>
      </c>
      <c r="AR28" s="8">
        <f t="shared" si="54"/>
        <v>0</v>
      </c>
    </row>
    <row r="29" spans="1:44" x14ac:dyDescent="0.2">
      <c r="A29" s="27">
        <v>43398</v>
      </c>
      <c r="B29" s="7">
        <f>'[1]Production Summary'!K30</f>
        <v>7610000.000000014</v>
      </c>
      <c r="C29" s="8">
        <f t="shared" si="26"/>
        <v>7.6100000000000136</v>
      </c>
      <c r="D29" s="10">
        <f t="shared" si="27"/>
        <v>23.362700000000039</v>
      </c>
      <c r="E29" s="7">
        <f>'[1]Production Summary'!E30</f>
        <v>9000000</v>
      </c>
      <c r="F29" s="8">
        <f t="shared" si="28"/>
        <v>9</v>
      </c>
      <c r="G29" s="10">
        <f t="shared" si="29"/>
        <v>27.63</v>
      </c>
      <c r="H29" s="7">
        <f>'[1]Production Summary'!G30</f>
        <v>420000</v>
      </c>
      <c r="I29" s="8">
        <f t="shared" si="30"/>
        <v>0.42</v>
      </c>
      <c r="J29" s="10">
        <f t="shared" si="31"/>
        <v>1.2893999999999999</v>
      </c>
      <c r="K29" s="7">
        <f>'[1]Production Summary'!T30</f>
        <v>862384</v>
      </c>
      <c r="L29" s="8">
        <f t="shared" si="32"/>
        <v>0.86238400000000004</v>
      </c>
      <c r="M29" s="10">
        <f t="shared" si="33"/>
        <v>2.6475188799999998</v>
      </c>
      <c r="N29" s="21"/>
      <c r="O29" s="7">
        <f>'[1]Production Summary'!I30</f>
        <v>0</v>
      </c>
      <c r="P29" s="8">
        <f t="shared" si="34"/>
        <v>0</v>
      </c>
      <c r="Q29" s="10">
        <f t="shared" si="35"/>
        <v>0</v>
      </c>
      <c r="R29" s="7">
        <f>'[1]Production Summary'!J30</f>
        <v>4063616</v>
      </c>
      <c r="S29" s="8">
        <f t="shared" si="36"/>
        <v>4.0636159999999997</v>
      </c>
      <c r="T29" s="10">
        <f t="shared" si="37"/>
        <v>12.475301119999997</v>
      </c>
      <c r="U29" s="7">
        <f>'[1]Production Summary'!C30</f>
        <v>0</v>
      </c>
      <c r="V29" s="8">
        <f t="shared" si="38"/>
        <v>0</v>
      </c>
      <c r="W29" s="10">
        <f t="shared" si="39"/>
        <v>0</v>
      </c>
      <c r="X29" s="7">
        <f>'[1]Production Summary'!AE30</f>
        <v>0</v>
      </c>
      <c r="Y29" s="8">
        <f t="shared" si="40"/>
        <v>0</v>
      </c>
      <c r="Z29" s="10">
        <f t="shared" si="41"/>
        <v>0</v>
      </c>
      <c r="AA29" s="7">
        <f>'[1]Production Summary'!AF30</f>
        <v>5047224</v>
      </c>
      <c r="AB29" s="8">
        <f t="shared" si="42"/>
        <v>5.0472239999999999</v>
      </c>
      <c r="AC29" s="10">
        <f t="shared" si="43"/>
        <v>15.49497768</v>
      </c>
      <c r="AD29" s="7">
        <f>'[1]Production Summary'!F30</f>
        <v>0</v>
      </c>
      <c r="AE29" s="8">
        <f t="shared" si="44"/>
        <v>0</v>
      </c>
      <c r="AF29" s="10">
        <f t="shared" si="45"/>
        <v>0</v>
      </c>
      <c r="AG29" s="7">
        <f>'[1]Production Summary'!AB30</f>
        <v>0</v>
      </c>
      <c r="AH29" s="8">
        <f t="shared" si="46"/>
        <v>0</v>
      </c>
      <c r="AI29" s="10">
        <f t="shared" si="47"/>
        <v>0</v>
      </c>
      <c r="AJ29" s="7">
        <f>'[1]Production Summary'!AJ30</f>
        <v>252775</v>
      </c>
      <c r="AK29" s="8">
        <f t="shared" si="48"/>
        <v>0.25277500000000003</v>
      </c>
      <c r="AL29" s="10">
        <f t="shared" si="49"/>
        <v>0.77601925000000005</v>
      </c>
      <c r="AM29" s="15"/>
      <c r="AN29" s="7">
        <f t="shared" si="50"/>
        <v>11673616.000000015</v>
      </c>
      <c r="AO29" s="8">
        <f t="shared" si="51"/>
        <v>11.673616000000015</v>
      </c>
      <c r="AP29" s="10">
        <f t="shared" si="52"/>
        <v>35.838001120000044</v>
      </c>
      <c r="AR29" s="8">
        <f t="shared" si="54"/>
        <v>0</v>
      </c>
    </row>
    <row r="30" spans="1:44" x14ac:dyDescent="0.2">
      <c r="A30" s="27">
        <v>43399</v>
      </c>
      <c r="B30" s="7">
        <f>'[1]Production Summary'!K31</f>
        <v>7659999.9999999683</v>
      </c>
      <c r="C30" s="8">
        <f t="shared" si="26"/>
        <v>7.6599999999999682</v>
      </c>
      <c r="D30" s="10">
        <f t="shared" si="27"/>
        <v>23.516199999999902</v>
      </c>
      <c r="E30" s="7">
        <f>'[1]Production Summary'!E31</f>
        <v>5000000</v>
      </c>
      <c r="F30" s="8">
        <f t="shared" si="28"/>
        <v>5</v>
      </c>
      <c r="G30" s="10">
        <f t="shared" si="29"/>
        <v>15.35</v>
      </c>
      <c r="H30" s="7">
        <f>'[1]Production Summary'!G31</f>
        <v>3720000</v>
      </c>
      <c r="I30" s="8">
        <f t="shared" si="30"/>
        <v>3.72</v>
      </c>
      <c r="J30" s="10">
        <f t="shared" si="31"/>
        <v>11.420400000000001</v>
      </c>
      <c r="K30" s="7">
        <f>'[1]Production Summary'!T31</f>
        <v>949350</v>
      </c>
      <c r="L30" s="8">
        <f t="shared" si="32"/>
        <v>0.94935000000000003</v>
      </c>
      <c r="M30" s="10">
        <f t="shared" si="33"/>
        <v>2.9145045000000001</v>
      </c>
      <c r="N30" s="21"/>
      <c r="O30" s="7">
        <f>'[1]Production Summary'!I31</f>
        <v>0</v>
      </c>
      <c r="P30" s="8">
        <f t="shared" si="34"/>
        <v>0</v>
      </c>
      <c r="Q30" s="10">
        <f t="shared" si="35"/>
        <v>0</v>
      </c>
      <c r="R30" s="7">
        <f>'[1]Production Summary'!J31</f>
        <v>3637633</v>
      </c>
      <c r="S30" s="8">
        <f t="shared" si="36"/>
        <v>3.6376330000000001</v>
      </c>
      <c r="T30" s="10">
        <f t="shared" si="37"/>
        <v>11.16753331</v>
      </c>
      <c r="U30" s="7">
        <f>'[1]Production Summary'!C31</f>
        <v>0</v>
      </c>
      <c r="V30" s="8">
        <f t="shared" si="38"/>
        <v>0</v>
      </c>
      <c r="W30" s="10">
        <f t="shared" si="39"/>
        <v>0</v>
      </c>
      <c r="X30" s="7">
        <f>'[1]Production Summary'!AE31</f>
        <v>0</v>
      </c>
      <c r="Y30" s="8">
        <f t="shared" si="40"/>
        <v>0</v>
      </c>
      <c r="Z30" s="10">
        <f t="shared" si="41"/>
        <v>0</v>
      </c>
      <c r="AA30" s="7">
        <f>'[1]Production Summary'!AF31</f>
        <v>4997348</v>
      </c>
      <c r="AB30" s="8">
        <f t="shared" si="42"/>
        <v>4.9973479999999997</v>
      </c>
      <c r="AC30" s="10">
        <f t="shared" si="43"/>
        <v>15.341858359999998</v>
      </c>
      <c r="AD30" s="7">
        <f>'[1]Production Summary'!F31</f>
        <v>0</v>
      </c>
      <c r="AE30" s="8">
        <f t="shared" si="44"/>
        <v>0</v>
      </c>
      <c r="AF30" s="10">
        <f t="shared" si="45"/>
        <v>0</v>
      </c>
      <c r="AG30" s="7">
        <f>'[1]Production Summary'!AB31</f>
        <v>0</v>
      </c>
      <c r="AH30" s="8">
        <f t="shared" si="46"/>
        <v>0</v>
      </c>
      <c r="AI30" s="10">
        <f t="shared" si="47"/>
        <v>0</v>
      </c>
      <c r="AJ30" s="7">
        <f>'[1]Production Summary'!AJ31</f>
        <v>130440</v>
      </c>
      <c r="AK30" s="8">
        <f t="shared" si="48"/>
        <v>0.13044</v>
      </c>
      <c r="AL30" s="10">
        <f t="shared" si="49"/>
        <v>0.4004508</v>
      </c>
      <c r="AM30" s="15"/>
      <c r="AN30" s="7">
        <f t="shared" si="50"/>
        <v>11297632.999999968</v>
      </c>
      <c r="AO30" s="8">
        <f t="shared" si="51"/>
        <v>11.297632999999969</v>
      </c>
      <c r="AP30" s="10">
        <f t="shared" si="52"/>
        <v>34.683733309999901</v>
      </c>
      <c r="AR30" s="8">
        <f t="shared" si="54"/>
        <v>0</v>
      </c>
    </row>
    <row r="31" spans="1:44" x14ac:dyDescent="0.2">
      <c r="A31" s="27">
        <v>43400</v>
      </c>
      <c r="B31" s="7">
        <f>'[1]Production Summary'!K32</f>
        <v>8810000.0000000019</v>
      </c>
      <c r="C31" s="8">
        <f t="shared" si="26"/>
        <v>8.8100000000000023</v>
      </c>
      <c r="D31" s="10">
        <f t="shared" si="27"/>
        <v>27.046700000000005</v>
      </c>
      <c r="E31" s="7">
        <f>'[1]Production Summary'!E32</f>
        <v>6000000</v>
      </c>
      <c r="F31" s="8">
        <f t="shared" si="28"/>
        <v>6</v>
      </c>
      <c r="G31" s="10">
        <f t="shared" si="29"/>
        <v>18.419999999999998</v>
      </c>
      <c r="H31" s="7">
        <f>'[1]Production Summary'!G32</f>
        <v>3350000</v>
      </c>
      <c r="I31" s="8">
        <f t="shared" si="30"/>
        <v>3.35</v>
      </c>
      <c r="J31" s="10">
        <f t="shared" si="31"/>
        <v>10.2845</v>
      </c>
      <c r="K31" s="7">
        <f>'[1]Production Summary'!T32</f>
        <v>844764</v>
      </c>
      <c r="L31" s="8">
        <f t="shared" si="32"/>
        <v>0.84476399999999996</v>
      </c>
      <c r="M31" s="10">
        <f t="shared" si="33"/>
        <v>2.5934254799999996</v>
      </c>
      <c r="N31" s="21"/>
      <c r="O31" s="7">
        <f>'[1]Production Summary'!I32</f>
        <v>0</v>
      </c>
      <c r="P31" s="8">
        <f t="shared" si="34"/>
        <v>0</v>
      </c>
      <c r="Q31" s="10">
        <f t="shared" si="35"/>
        <v>0</v>
      </c>
      <c r="R31" s="7">
        <f>'[1]Production Summary'!J32</f>
        <v>2990178</v>
      </c>
      <c r="S31" s="8">
        <f t="shared" si="36"/>
        <v>2.9901779999999998</v>
      </c>
      <c r="T31" s="10">
        <f t="shared" si="37"/>
        <v>9.1798464599999985</v>
      </c>
      <c r="U31" s="7">
        <f>'[1]Production Summary'!C32</f>
        <v>0</v>
      </c>
      <c r="V31" s="8">
        <f t="shared" si="38"/>
        <v>0</v>
      </c>
      <c r="W31" s="10">
        <f t="shared" si="39"/>
        <v>0</v>
      </c>
      <c r="X31" s="7">
        <f>'[1]Production Summary'!AE32</f>
        <v>588095</v>
      </c>
      <c r="Y31" s="8">
        <f t="shared" si="40"/>
        <v>0.58809500000000003</v>
      </c>
      <c r="Z31" s="10">
        <f t="shared" si="41"/>
        <v>1.80545165</v>
      </c>
      <c r="AA31" s="7">
        <f>'[1]Production Summary'!AF32</f>
        <v>3549773</v>
      </c>
      <c r="AB31" s="8">
        <f t="shared" si="42"/>
        <v>3.5497730000000001</v>
      </c>
      <c r="AC31" s="10">
        <f t="shared" si="43"/>
        <v>10.89780311</v>
      </c>
      <c r="AD31" s="7">
        <f>'[1]Production Summary'!F32</f>
        <v>0</v>
      </c>
      <c r="AE31" s="8">
        <f t="shared" si="44"/>
        <v>0</v>
      </c>
      <c r="AF31" s="10">
        <f t="shared" si="45"/>
        <v>0</v>
      </c>
      <c r="AG31" s="7">
        <f>'[1]Production Summary'!AB32</f>
        <v>0</v>
      </c>
      <c r="AH31" s="8">
        <f t="shared" si="46"/>
        <v>0</v>
      </c>
      <c r="AI31" s="10">
        <f t="shared" si="47"/>
        <v>0</v>
      </c>
      <c r="AJ31" s="7">
        <f>'[1]Production Summary'!AJ32</f>
        <v>197674</v>
      </c>
      <c r="AK31" s="8">
        <f t="shared" si="48"/>
        <v>0.19767399999999999</v>
      </c>
      <c r="AL31" s="10">
        <f t="shared" si="49"/>
        <v>0.60685917999999994</v>
      </c>
      <c r="AM31" s="15"/>
      <c r="AN31" s="7">
        <f t="shared" si="50"/>
        <v>11800178.000000002</v>
      </c>
      <c r="AO31" s="8">
        <f t="shared" si="51"/>
        <v>11.800178000000002</v>
      </c>
      <c r="AP31" s="10">
        <f t="shared" si="52"/>
        <v>36.226546460000009</v>
      </c>
      <c r="AR31" s="8">
        <f>W31-Q31-AI31</f>
        <v>0</v>
      </c>
    </row>
    <row r="32" spans="1:44" x14ac:dyDescent="0.2">
      <c r="A32" s="27">
        <v>43401</v>
      </c>
      <c r="B32" s="7">
        <f>'[1]Production Summary'!K33</f>
        <v>13750000</v>
      </c>
      <c r="C32" s="8">
        <f t="shared" si="26"/>
        <v>13.75</v>
      </c>
      <c r="D32" s="10">
        <f t="shared" si="27"/>
        <v>42.212499999999999</v>
      </c>
      <c r="E32" s="7">
        <f>'[1]Production Summary'!E33</f>
        <v>10000000</v>
      </c>
      <c r="F32" s="8">
        <f t="shared" si="28"/>
        <v>10</v>
      </c>
      <c r="G32" s="10">
        <f t="shared" si="29"/>
        <v>30.7</v>
      </c>
      <c r="H32" s="7">
        <f>'[1]Production Summary'!G33</f>
        <v>6380000</v>
      </c>
      <c r="I32" s="8">
        <f t="shared" si="30"/>
        <v>6.38</v>
      </c>
      <c r="J32" s="10">
        <f t="shared" si="31"/>
        <v>19.586599999999997</v>
      </c>
      <c r="K32" s="7">
        <f>'[1]Production Summary'!T33</f>
        <v>865500</v>
      </c>
      <c r="L32" s="8">
        <f t="shared" si="32"/>
        <v>0.86550000000000005</v>
      </c>
      <c r="M32" s="10">
        <f t="shared" si="33"/>
        <v>2.6570849999999999</v>
      </c>
      <c r="N32" s="21"/>
      <c r="O32" s="7">
        <f>'[1]Production Summary'!I33</f>
        <v>0</v>
      </c>
      <c r="P32" s="8">
        <f t="shared" si="34"/>
        <v>0</v>
      </c>
      <c r="Q32" s="10">
        <f t="shared" si="35"/>
        <v>0</v>
      </c>
      <c r="R32" s="7">
        <f>'[1]Production Summary'!J33</f>
        <v>0</v>
      </c>
      <c r="S32" s="8">
        <f t="shared" si="36"/>
        <v>0</v>
      </c>
      <c r="T32" s="10">
        <f t="shared" si="37"/>
        <v>0</v>
      </c>
      <c r="U32" s="7">
        <f>'[1]Production Summary'!C33</f>
        <v>0</v>
      </c>
      <c r="V32" s="8">
        <f t="shared" si="38"/>
        <v>0</v>
      </c>
      <c r="W32" s="10">
        <f t="shared" si="39"/>
        <v>0</v>
      </c>
      <c r="X32" s="7">
        <f>'[1]Production Summary'!AE33</f>
        <v>1612849</v>
      </c>
      <c r="Y32" s="8">
        <f t="shared" si="40"/>
        <v>1.612849</v>
      </c>
      <c r="Z32" s="10">
        <f t="shared" si="41"/>
        <v>4.9514464299999998</v>
      </c>
      <c r="AA32" s="7">
        <f>'[1]Production Summary'!AF33</f>
        <v>0</v>
      </c>
      <c r="AB32" s="8">
        <f t="shared" si="42"/>
        <v>0</v>
      </c>
      <c r="AC32" s="10">
        <f t="shared" si="43"/>
        <v>0</v>
      </c>
      <c r="AD32" s="7">
        <f>'[1]Production Summary'!F33</f>
        <v>0</v>
      </c>
      <c r="AE32" s="8">
        <f t="shared" si="44"/>
        <v>0</v>
      </c>
      <c r="AF32" s="10">
        <f t="shared" si="45"/>
        <v>0</v>
      </c>
      <c r="AG32" s="7">
        <f>'[1]Production Summary'!AB33</f>
        <v>399.99999998485691</v>
      </c>
      <c r="AH32" s="8">
        <f t="shared" si="46"/>
        <v>3.9999999998485691E-4</v>
      </c>
      <c r="AI32" s="10">
        <f t="shared" si="47"/>
        <v>1.2279999999535106E-3</v>
      </c>
      <c r="AJ32" s="7">
        <f>'[1]Production Summary'!AJ33</f>
        <v>0</v>
      </c>
      <c r="AK32" s="8">
        <f t="shared" si="48"/>
        <v>0</v>
      </c>
      <c r="AL32" s="10">
        <f t="shared" si="49"/>
        <v>0</v>
      </c>
      <c r="AM32" s="15"/>
      <c r="AN32" s="7">
        <f t="shared" si="50"/>
        <v>13750000</v>
      </c>
      <c r="AO32" s="8">
        <f t="shared" si="51"/>
        <v>13.75</v>
      </c>
      <c r="AP32" s="10">
        <f t="shared" si="52"/>
        <v>42.212499999999999</v>
      </c>
      <c r="AR32" s="8">
        <f t="shared" si="54"/>
        <v>-1.2279999999535106E-3</v>
      </c>
    </row>
    <row r="33" spans="1:44" x14ac:dyDescent="0.2">
      <c r="A33" s="27">
        <v>43402</v>
      </c>
      <c r="B33" s="7">
        <f>'[1]Production Summary'!K34</f>
        <v>10670000.000000017</v>
      </c>
      <c r="C33" s="8">
        <f t="shared" si="26"/>
        <v>10.670000000000016</v>
      </c>
      <c r="D33" s="10">
        <f t="shared" si="27"/>
        <v>32.756900000000044</v>
      </c>
      <c r="E33" s="7">
        <f>'[1]Production Summary'!E34</f>
        <v>7000000</v>
      </c>
      <c r="F33" s="8">
        <f t="shared" si="28"/>
        <v>7</v>
      </c>
      <c r="G33" s="10">
        <f t="shared" si="29"/>
        <v>21.49</v>
      </c>
      <c r="H33" s="7">
        <f>'[1]Production Summary'!G34</f>
        <v>4360000</v>
      </c>
      <c r="I33" s="8">
        <f t="shared" si="30"/>
        <v>4.3600000000000003</v>
      </c>
      <c r="J33" s="10">
        <f t="shared" si="31"/>
        <v>13.385200000000001</v>
      </c>
      <c r="K33" s="7">
        <f>'[1]Production Summary'!T34</f>
        <v>1167661</v>
      </c>
      <c r="L33" s="8">
        <f t="shared" si="32"/>
        <v>1.1676610000000001</v>
      </c>
      <c r="M33" s="10">
        <f t="shared" si="33"/>
        <v>3.5847192699999999</v>
      </c>
      <c r="N33" s="21"/>
      <c r="O33" s="7">
        <f>'[1]Production Summary'!I34</f>
        <v>0</v>
      </c>
      <c r="P33" s="8">
        <f t="shared" si="34"/>
        <v>0</v>
      </c>
      <c r="Q33" s="10">
        <f t="shared" si="35"/>
        <v>0</v>
      </c>
      <c r="R33" s="7">
        <f>'[1]Production Summary'!J34</f>
        <v>2438895</v>
      </c>
      <c r="S33" s="8">
        <f t="shared" si="36"/>
        <v>2.438895</v>
      </c>
      <c r="T33" s="10">
        <f t="shared" si="37"/>
        <v>7.4874076499999997</v>
      </c>
      <c r="U33" s="7">
        <f>'[1]Production Summary'!C34</f>
        <v>0</v>
      </c>
      <c r="V33" s="8">
        <f t="shared" si="38"/>
        <v>0</v>
      </c>
      <c r="W33" s="10">
        <f t="shared" si="39"/>
        <v>0</v>
      </c>
      <c r="X33" s="7">
        <f>'[1]Production Summary'!AE34</f>
        <v>4216237</v>
      </c>
      <c r="Y33" s="8">
        <f t="shared" si="40"/>
        <v>4.2162369999999996</v>
      </c>
      <c r="Z33" s="10">
        <f t="shared" si="41"/>
        <v>12.943847589999997</v>
      </c>
      <c r="AA33" s="7">
        <f>'[1]Production Summary'!AF34</f>
        <v>0</v>
      </c>
      <c r="AB33" s="8">
        <f t="shared" si="42"/>
        <v>0</v>
      </c>
      <c r="AC33" s="10">
        <f t="shared" si="43"/>
        <v>0</v>
      </c>
      <c r="AD33" s="7">
        <f>'[1]Production Summary'!F34</f>
        <v>0</v>
      </c>
      <c r="AE33" s="8">
        <f t="shared" si="44"/>
        <v>0</v>
      </c>
      <c r="AF33" s="10">
        <f t="shared" si="45"/>
        <v>0</v>
      </c>
      <c r="AG33" s="7">
        <f>'[1]Production Summary'!AB34</f>
        <v>0</v>
      </c>
      <c r="AH33" s="8">
        <f t="shared" si="46"/>
        <v>0</v>
      </c>
      <c r="AI33" s="10">
        <f t="shared" si="47"/>
        <v>0</v>
      </c>
      <c r="AJ33" s="7">
        <f>'[1]Production Summary'!AJ34</f>
        <v>44944</v>
      </c>
      <c r="AK33" s="8">
        <f t="shared" si="48"/>
        <v>4.4943999999999998E-2</v>
      </c>
      <c r="AL33" s="10">
        <f t="shared" si="49"/>
        <v>0.13797807999999998</v>
      </c>
      <c r="AM33" s="15"/>
      <c r="AN33" s="7">
        <f t="shared" si="50"/>
        <v>13108895.000000017</v>
      </c>
      <c r="AO33" s="8">
        <f t="shared" si="51"/>
        <v>13.108895000000016</v>
      </c>
      <c r="AP33" s="10">
        <f t="shared" si="52"/>
        <v>40.244307650000046</v>
      </c>
      <c r="AR33" s="8">
        <f t="shared" si="54"/>
        <v>0</v>
      </c>
    </row>
    <row r="34" spans="1:44" x14ac:dyDescent="0.2">
      <c r="A34" s="27">
        <v>43403</v>
      </c>
      <c r="B34" s="7">
        <f>'[1]Production Summary'!K35</f>
        <v>5959999.9999999795</v>
      </c>
      <c r="C34" s="8">
        <f t="shared" si="26"/>
        <v>5.9599999999999795</v>
      </c>
      <c r="D34" s="10">
        <f t="shared" si="27"/>
        <v>18.297199999999936</v>
      </c>
      <c r="E34" s="7">
        <f>'[1]Production Summary'!E35</f>
        <v>7000000</v>
      </c>
      <c r="F34" s="8">
        <f t="shared" si="28"/>
        <v>7</v>
      </c>
      <c r="G34" s="10">
        <f t="shared" si="29"/>
        <v>21.49</v>
      </c>
      <c r="H34" s="7">
        <f>'[1]Production Summary'!G35</f>
        <v>0</v>
      </c>
      <c r="I34" s="8">
        <f t="shared" si="30"/>
        <v>0</v>
      </c>
      <c r="J34" s="10">
        <f t="shared" si="31"/>
        <v>0</v>
      </c>
      <c r="K34" s="7">
        <f>'[1]Production Summary'!T35</f>
        <v>652993</v>
      </c>
      <c r="L34" s="8">
        <f t="shared" si="32"/>
        <v>0.65299300000000005</v>
      </c>
      <c r="M34" s="10">
        <f t="shared" si="33"/>
        <v>2.0046885100000003</v>
      </c>
      <c r="N34" s="21"/>
      <c r="O34" s="7">
        <f>'[1]Production Summary'!I35</f>
        <v>0</v>
      </c>
      <c r="P34" s="8">
        <f t="shared" si="34"/>
        <v>0</v>
      </c>
      <c r="Q34" s="10">
        <f t="shared" si="35"/>
        <v>0</v>
      </c>
      <c r="R34" s="7">
        <f>'[1]Production Summary'!J35</f>
        <v>5423620</v>
      </c>
      <c r="S34" s="8">
        <f t="shared" si="36"/>
        <v>5.4236199999999997</v>
      </c>
      <c r="T34" s="10">
        <f t="shared" si="37"/>
        <v>16.650513399999998</v>
      </c>
      <c r="U34" s="7">
        <f>'[1]Production Summary'!C35</f>
        <v>0</v>
      </c>
      <c r="V34" s="8">
        <f t="shared" si="38"/>
        <v>0</v>
      </c>
      <c r="W34" s="10">
        <f t="shared" si="39"/>
        <v>0</v>
      </c>
      <c r="X34" s="7">
        <f>'[1]Production Summary'!AE35</f>
        <v>5343911</v>
      </c>
      <c r="Y34" s="8">
        <f t="shared" si="40"/>
        <v>5.3439110000000003</v>
      </c>
      <c r="Z34" s="10">
        <f t="shared" si="41"/>
        <v>16.405806770000002</v>
      </c>
      <c r="AA34" s="7">
        <f>'[1]Production Summary'!AF35</f>
        <v>0</v>
      </c>
      <c r="AB34" s="8">
        <f t="shared" si="42"/>
        <v>0</v>
      </c>
      <c r="AC34" s="10">
        <f t="shared" si="43"/>
        <v>0</v>
      </c>
      <c r="AD34" s="7">
        <f>'[1]Production Summary'!F35</f>
        <v>0</v>
      </c>
      <c r="AE34" s="8">
        <f t="shared" si="44"/>
        <v>0</v>
      </c>
      <c r="AF34" s="10">
        <f t="shared" si="45"/>
        <v>0</v>
      </c>
      <c r="AG34" s="7">
        <f>'[1]Production Summary'!AB35</f>
        <v>0</v>
      </c>
      <c r="AH34" s="8">
        <f t="shared" si="46"/>
        <v>0</v>
      </c>
      <c r="AI34" s="10">
        <f t="shared" si="47"/>
        <v>0</v>
      </c>
      <c r="AJ34" s="7">
        <f>'[1]Production Summary'!AJ35</f>
        <v>300844</v>
      </c>
      <c r="AK34" s="8">
        <f t="shared" si="48"/>
        <v>0.300844</v>
      </c>
      <c r="AL34" s="10">
        <f t="shared" si="49"/>
        <v>0.9235910799999999</v>
      </c>
      <c r="AM34" s="15"/>
      <c r="AN34" s="7">
        <f t="shared" si="50"/>
        <v>11383619.99999998</v>
      </c>
      <c r="AO34" s="8">
        <f t="shared" si="51"/>
        <v>11.383619999999979</v>
      </c>
      <c r="AP34" s="10">
        <f t="shared" si="52"/>
        <v>34.947713399999934</v>
      </c>
      <c r="AR34" s="8">
        <f t="shared" si="54"/>
        <v>0</v>
      </c>
    </row>
    <row r="35" spans="1:44" ht="13.5" thickBot="1" x14ac:dyDescent="0.25">
      <c r="A35" s="27">
        <v>43404</v>
      </c>
      <c r="B35" s="7">
        <f>'[1]Production Summary'!K36</f>
        <v>5590000.0000000317</v>
      </c>
      <c r="C35" s="8">
        <f t="shared" si="26"/>
        <v>5.5900000000000318</v>
      </c>
      <c r="D35" s="10">
        <f t="shared" si="27"/>
        <v>17.161300000000097</v>
      </c>
      <c r="E35" s="7">
        <f>'[1]Production Summary'!E36</f>
        <v>6000000</v>
      </c>
      <c r="F35" s="8">
        <f t="shared" si="28"/>
        <v>6</v>
      </c>
      <c r="G35" s="10">
        <f t="shared" si="29"/>
        <v>18.419999999999998</v>
      </c>
      <c r="H35" s="7">
        <f>'[1]Production Summary'!G36</f>
        <v>0</v>
      </c>
      <c r="I35" s="8">
        <f t="shared" si="30"/>
        <v>0</v>
      </c>
      <c r="J35" s="10">
        <f t="shared" si="31"/>
        <v>0</v>
      </c>
      <c r="K35" s="7">
        <f>'[1]Production Summary'!T36</f>
        <v>739032</v>
      </c>
      <c r="L35" s="8">
        <f t="shared" si="32"/>
        <v>0.73903200000000002</v>
      </c>
      <c r="M35" s="10">
        <f t="shared" si="33"/>
        <v>2.2688282399999999</v>
      </c>
      <c r="N35" s="21"/>
      <c r="O35" s="7">
        <f>'[1]Production Summary'!I36</f>
        <v>0</v>
      </c>
      <c r="P35" s="8">
        <f t="shared" si="34"/>
        <v>0</v>
      </c>
      <c r="Q35" s="10">
        <f t="shared" si="35"/>
        <v>0</v>
      </c>
      <c r="R35" s="7">
        <f>'[1]Production Summary'!J36</f>
        <v>6361328</v>
      </c>
      <c r="S35" s="8">
        <f t="shared" si="36"/>
        <v>6.3613280000000003</v>
      </c>
      <c r="T35" s="10">
        <f t="shared" si="37"/>
        <v>19.529276960000001</v>
      </c>
      <c r="U35" s="7">
        <f>'[1]Production Summary'!C36</f>
        <v>0</v>
      </c>
      <c r="V35" s="8">
        <f t="shared" si="38"/>
        <v>0</v>
      </c>
      <c r="W35" s="10">
        <f t="shared" si="39"/>
        <v>0</v>
      </c>
      <c r="X35" s="7">
        <f>'[1]Production Summary'!AE36</f>
        <v>5734332</v>
      </c>
      <c r="Y35" s="8">
        <f t="shared" si="40"/>
        <v>5.7343320000000002</v>
      </c>
      <c r="Z35" s="10">
        <f t="shared" si="41"/>
        <v>17.604399239999999</v>
      </c>
      <c r="AA35" s="7">
        <f>'[1]Production Summary'!AF36</f>
        <v>0</v>
      </c>
      <c r="AB35" s="8">
        <f t="shared" si="42"/>
        <v>0</v>
      </c>
      <c r="AC35" s="10">
        <f t="shared" si="43"/>
        <v>0</v>
      </c>
      <c r="AD35" s="7">
        <f>'[1]Production Summary'!F36</f>
        <v>0</v>
      </c>
      <c r="AE35" s="8">
        <f t="shared" si="44"/>
        <v>0</v>
      </c>
      <c r="AF35" s="10">
        <f t="shared" si="45"/>
        <v>0</v>
      </c>
      <c r="AG35" s="7">
        <f>'[1]Production Summary'!AB36</f>
        <v>0</v>
      </c>
      <c r="AH35" s="8">
        <f t="shared" si="46"/>
        <v>0</v>
      </c>
      <c r="AI35" s="10">
        <f t="shared" si="47"/>
        <v>0</v>
      </c>
      <c r="AJ35" s="7">
        <f>'[1]Production Summary'!AJ36</f>
        <v>70633</v>
      </c>
      <c r="AK35" s="8">
        <f t="shared" si="48"/>
        <v>7.0633000000000001E-2</v>
      </c>
      <c r="AL35" s="10">
        <f t="shared" si="49"/>
        <v>0.21684330999999998</v>
      </c>
      <c r="AM35" s="15"/>
      <c r="AN35" s="7">
        <f t="shared" si="50"/>
        <v>11951328.000000032</v>
      </c>
      <c r="AO35" s="8">
        <f t="shared" si="51"/>
        <v>11.951328000000032</v>
      </c>
      <c r="AP35" s="10">
        <f t="shared" si="52"/>
        <v>36.690576960000094</v>
      </c>
      <c r="AR35" s="8">
        <f t="shared" si="54"/>
        <v>0</v>
      </c>
    </row>
    <row r="36" spans="1:44" ht="13.5" thickBot="1" x14ac:dyDescent="0.25">
      <c r="A36" s="14"/>
      <c r="B36" s="37"/>
      <c r="C36" s="38">
        <f>SUM(C5:C35)</f>
        <v>422.05</v>
      </c>
      <c r="D36" s="38">
        <f>SUM(D5:D35)</f>
        <v>1295.6935000000003</v>
      </c>
      <c r="E36" s="37"/>
      <c r="F36" s="38">
        <f>SUM(F5:F35)</f>
        <v>300</v>
      </c>
      <c r="G36" s="38">
        <f>SUM(G5:G35)</f>
        <v>920.99999999999966</v>
      </c>
      <c r="H36" s="37"/>
      <c r="I36" s="38">
        <f>SUM(I5:I35)</f>
        <v>171.21999999999997</v>
      </c>
      <c r="J36" s="38">
        <f>SUM(J5:J35)</f>
        <v>525.6454</v>
      </c>
      <c r="K36" s="37"/>
      <c r="L36" s="38">
        <f>SUM(L5:L35)</f>
        <v>44.189350000000012</v>
      </c>
      <c r="M36" s="38">
        <f>SUM(M5:M35)</f>
        <v>135.6613045</v>
      </c>
      <c r="N36" s="14"/>
      <c r="O36" s="37"/>
      <c r="P36" s="38">
        <f>SUM(P5:P35)</f>
        <v>0</v>
      </c>
      <c r="Q36" s="38">
        <f>SUM(Q5:Q35)</f>
        <v>0</v>
      </c>
      <c r="R36" s="38"/>
      <c r="S36" s="38"/>
      <c r="T36" s="38"/>
      <c r="U36" s="37"/>
      <c r="V36" s="38">
        <f>SUM(V5:V35)</f>
        <v>0</v>
      </c>
      <c r="W36" s="38">
        <f>SUM(W5:W35)</f>
        <v>0</v>
      </c>
      <c r="X36" s="38"/>
      <c r="Y36" s="38"/>
      <c r="Z36" s="38"/>
      <c r="AA36" s="37"/>
      <c r="AB36" s="38">
        <f>SUM(AB5:AB35)</f>
        <v>38.705432999999999</v>
      </c>
      <c r="AC36" s="38">
        <f>SUM(AC5:AC35)</f>
        <v>118.82567931</v>
      </c>
      <c r="AD36" s="38"/>
      <c r="AE36" s="38"/>
      <c r="AF36" s="38"/>
      <c r="AG36" s="37"/>
      <c r="AH36" s="38">
        <f>SUM(AH5:AH35)</f>
        <v>0.18599999999997863</v>
      </c>
      <c r="AI36" s="38">
        <f>SUM(AI5:AI35)</f>
        <v>0.57101999999993436</v>
      </c>
      <c r="AJ36" s="16"/>
      <c r="AK36" s="16"/>
      <c r="AL36" s="16"/>
      <c r="AM36" s="14"/>
      <c r="AN36" s="37"/>
      <c r="AO36" s="38">
        <f>SUM(AO5:AO35)</f>
        <v>648.05736899999988</v>
      </c>
      <c r="AP36" s="38">
        <f>SUM(AP5:AP35)</f>
        <v>1989.5361228299998</v>
      </c>
      <c r="AR36" s="38">
        <f>SUM(AR5:AR35)</f>
        <v>-0.57101999999993436</v>
      </c>
    </row>
    <row r="37" spans="1:44" x14ac:dyDescent="0.2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4"/>
      <c r="AB37" s="3"/>
      <c r="AC37" s="3"/>
      <c r="AD37" s="3"/>
      <c r="AE37" s="3"/>
      <c r="AF37" s="3"/>
      <c r="AG37" s="3"/>
    </row>
  </sheetData>
  <mergeCells count="13">
    <mergeCell ref="AN3:AP3"/>
    <mergeCell ref="U3:W3"/>
    <mergeCell ref="AA3:AC3"/>
    <mergeCell ref="AG3:AI3"/>
    <mergeCell ref="B3:D3"/>
    <mergeCell ref="E3:G3"/>
    <mergeCell ref="H3:J3"/>
    <mergeCell ref="O3:Q3"/>
    <mergeCell ref="K3:M3"/>
    <mergeCell ref="R3:T3"/>
    <mergeCell ref="X3:Z3"/>
    <mergeCell ref="AD3:AF3"/>
    <mergeCell ref="AJ3:AL3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8"/>
  <sheetViews>
    <sheetView workbookViewId="0">
      <selection activeCell="B26" sqref="B26"/>
    </sheetView>
  </sheetViews>
  <sheetFormatPr defaultColWidth="9.28515625" defaultRowHeight="12.75" x14ac:dyDescent="0.2"/>
  <cols>
    <col min="1" max="1" width="9.28515625" style="49"/>
    <col min="2" max="2" width="16" style="49" bestFit="1" customWidth="1"/>
    <col min="3" max="3" width="16.28515625" style="49" bestFit="1" customWidth="1"/>
    <col min="4" max="4" width="16.7109375" style="49" bestFit="1" customWidth="1"/>
    <col min="5" max="5" width="15.7109375" style="49" bestFit="1" customWidth="1"/>
    <col min="6" max="6" width="13.7109375" style="49" bestFit="1" customWidth="1"/>
    <col min="7" max="7" width="21.7109375" style="49" bestFit="1" customWidth="1"/>
    <col min="8" max="8" width="14.28515625" style="49" bestFit="1" customWidth="1"/>
    <col min="9" max="9" width="13.5703125" style="49" bestFit="1" customWidth="1"/>
    <col min="10" max="16384" width="9.28515625" style="49"/>
  </cols>
  <sheetData>
    <row r="1" spans="1:11" s="42" customFormat="1" x14ac:dyDescent="0.2">
      <c r="B1" s="43" t="s">
        <v>10</v>
      </c>
      <c r="C1" s="43" t="s">
        <v>11</v>
      </c>
      <c r="D1" s="43" t="s">
        <v>12</v>
      </c>
      <c r="E1" s="43" t="s">
        <v>13</v>
      </c>
      <c r="F1" s="43" t="s">
        <v>4</v>
      </c>
      <c r="G1" s="43" t="s">
        <v>3</v>
      </c>
      <c r="H1" s="43" t="s">
        <v>6</v>
      </c>
      <c r="I1" s="43" t="s">
        <v>7</v>
      </c>
      <c r="J1" s="43"/>
      <c r="K1" s="43"/>
    </row>
    <row r="2" spans="1:11" s="44" customFormat="1" x14ac:dyDescent="0.2">
      <c r="B2" s="45" t="s">
        <v>2</v>
      </c>
      <c r="C2" s="45" t="s">
        <v>2</v>
      </c>
      <c r="D2" s="45" t="s">
        <v>2</v>
      </c>
      <c r="E2" s="45" t="s">
        <v>2</v>
      </c>
      <c r="F2" s="45" t="s">
        <v>2</v>
      </c>
      <c r="G2" s="45" t="s">
        <v>2</v>
      </c>
      <c r="H2" s="45" t="s">
        <v>2</v>
      </c>
      <c r="I2" s="45" t="s">
        <v>2</v>
      </c>
      <c r="J2" s="46"/>
      <c r="K2" s="46"/>
    </row>
    <row r="3" spans="1:11" x14ac:dyDescent="0.2">
      <c r="A3" s="47">
        <v>43770</v>
      </c>
      <c r="B3" s="48">
        <f>November!D35</f>
        <v>543.17510000000004</v>
      </c>
      <c r="C3" s="48">
        <f>November!G35</f>
        <v>392.96</v>
      </c>
      <c r="D3" s="48">
        <f>November!J35</f>
        <v>233.10509999999999</v>
      </c>
      <c r="E3" s="48">
        <f>November!M35</f>
        <v>5.2232691419999986</v>
      </c>
      <c r="F3" s="48">
        <f>November!Q35</f>
        <v>600.38956024000004</v>
      </c>
      <c r="G3" s="48">
        <f>November!T35</f>
        <v>95.614704849999995</v>
      </c>
      <c r="H3" s="48">
        <f>November!W35</f>
        <v>544.88749995000001</v>
      </c>
      <c r="I3" s="48">
        <f>November!Z35</f>
        <v>11.776731829999997</v>
      </c>
    </row>
    <row r="4" spans="1:11" x14ac:dyDescent="0.2">
      <c r="A4" s="47">
        <v>43800</v>
      </c>
      <c r="B4" s="48">
        <f>December!D36</f>
        <v>0</v>
      </c>
      <c r="C4" s="48">
        <f>December!G36</f>
        <v>0</v>
      </c>
      <c r="D4" s="48">
        <f>December!J36</f>
        <v>0</v>
      </c>
      <c r="E4" s="48">
        <f>December!M36</f>
        <v>2.9268459</v>
      </c>
      <c r="F4" s="48">
        <f>December!Q36</f>
        <v>1151.7820550483332</v>
      </c>
      <c r="G4" s="48">
        <f>December!T36</f>
        <v>445.66169838999997</v>
      </c>
      <c r="H4" s="48">
        <f>December!W36</f>
        <v>682.5970163500001</v>
      </c>
      <c r="I4" s="48">
        <f>December!Z36</f>
        <v>13.565626969999999</v>
      </c>
    </row>
    <row r="5" spans="1:11" x14ac:dyDescent="0.2">
      <c r="A5" s="47">
        <v>43831</v>
      </c>
      <c r="B5" s="48">
        <f>January!D36</f>
        <v>0</v>
      </c>
      <c r="C5" s="48">
        <f>January!G36</f>
        <v>0</v>
      </c>
      <c r="D5" s="48">
        <f>January!J36</f>
        <v>3.0699999999999998E-2</v>
      </c>
      <c r="E5" s="48">
        <f>January!M36</f>
        <v>0</v>
      </c>
      <c r="F5" s="48">
        <f>January!Q36</f>
        <v>1106.3724053699998</v>
      </c>
      <c r="G5" s="48">
        <f>January!T36</f>
        <v>546.32709969999996</v>
      </c>
      <c r="H5" s="48">
        <f>January!W36</f>
        <v>620.20125570999994</v>
      </c>
      <c r="I5" s="48">
        <f>January!Z36</f>
        <v>15.148500549999996</v>
      </c>
    </row>
    <row r="6" spans="1:11" x14ac:dyDescent="0.2">
      <c r="A6" s="47">
        <v>43862</v>
      </c>
      <c r="B6" s="48">
        <f>February!D34</f>
        <v>0</v>
      </c>
      <c r="C6" s="48">
        <f>February!G34</f>
        <v>0</v>
      </c>
      <c r="D6" s="48">
        <f>February!J34</f>
        <v>0</v>
      </c>
      <c r="E6" s="48">
        <f>February!M34</f>
        <v>0</v>
      </c>
      <c r="F6" s="48">
        <f>February!Q34</f>
        <v>1064.0650699999999</v>
      </c>
      <c r="G6" s="48">
        <f>February!T34</f>
        <v>1088.7755000000002</v>
      </c>
      <c r="H6" s="48">
        <f>February!W34</f>
        <v>0</v>
      </c>
      <c r="I6" s="48">
        <f>February!Z34</f>
        <v>24.124060000000011</v>
      </c>
    </row>
    <row r="7" spans="1:11" x14ac:dyDescent="0.2">
      <c r="A7" s="47">
        <v>43891</v>
      </c>
      <c r="B7" s="48">
        <f>March!D36</f>
        <v>236.35929999999931</v>
      </c>
      <c r="C7" s="48">
        <f>March!G36</f>
        <v>426.73</v>
      </c>
      <c r="D7" s="48">
        <f>March!J36</f>
        <v>6.1399999999999996E-2</v>
      </c>
      <c r="E7" s="48">
        <f>March!M36</f>
        <v>24.420149219999999</v>
      </c>
      <c r="F7" s="48">
        <f>March!Q36</f>
        <v>898.09166000000016</v>
      </c>
      <c r="G7" s="48">
        <f>March!T36</f>
        <v>919.16107000000011</v>
      </c>
      <c r="H7" s="48">
        <f>March!W36</f>
        <v>0</v>
      </c>
      <c r="I7" s="48">
        <f>March!Z36</f>
        <v>20.572069999999986</v>
      </c>
    </row>
    <row r="8" spans="1:11" x14ac:dyDescent="0.2">
      <c r="A8" s="47">
        <v>43922</v>
      </c>
      <c r="B8" s="48">
        <f>April!D35</f>
        <v>1100.6564000000014</v>
      </c>
      <c r="C8" s="48">
        <f>April!G35</f>
        <v>1191.1599999999999</v>
      </c>
      <c r="D8" s="48">
        <f>April!J35</f>
        <v>0.36840000000000001</v>
      </c>
      <c r="E8" s="48">
        <f>April!M35</f>
        <v>95.302544179999998</v>
      </c>
      <c r="F8" s="48">
        <f>April!Q35</f>
        <v>264.24411000000003</v>
      </c>
      <c r="G8" s="48">
        <f>April!T35</f>
        <v>270.69110999999992</v>
      </c>
      <c r="H8" s="48">
        <f>April!W35</f>
        <v>0</v>
      </c>
      <c r="I8" s="48">
        <f>April!Z35</f>
        <v>270.69110999999992</v>
      </c>
    </row>
    <row r="9" spans="1:11" x14ac:dyDescent="0.2">
      <c r="A9" s="47">
        <v>43952</v>
      </c>
      <c r="B9" s="48">
        <f>May!D36</f>
        <v>2259.1515999999974</v>
      </c>
      <c r="C9" s="48">
        <f>May!G36</f>
        <v>2391.5299999999997</v>
      </c>
      <c r="D9" s="48">
        <f>May!J36</f>
        <v>75.307100000000005</v>
      </c>
      <c r="E9" s="48">
        <f>May!M36</f>
        <v>181.52477744000004</v>
      </c>
      <c r="F9" s="48">
        <f>May!Q36</f>
        <v>383.32633999999996</v>
      </c>
      <c r="G9" s="48">
        <f>May!T36</f>
        <v>394.02528999999993</v>
      </c>
      <c r="H9" s="48">
        <f>May!W36</f>
        <v>3.2081499999999998</v>
      </c>
      <c r="I9" s="48">
        <f>May!Z36</f>
        <v>397.23343999999997</v>
      </c>
    </row>
    <row r="10" spans="1:11" x14ac:dyDescent="0.2">
      <c r="A10" s="47">
        <v>43983</v>
      </c>
      <c r="B10" s="48">
        <f>June!D35</f>
        <v>2309.4689000000012</v>
      </c>
      <c r="C10" s="48">
        <f>June!G35</f>
        <v>1771.3899999999999</v>
      </c>
      <c r="D10" s="48">
        <f>June!J35</f>
        <v>755.3121000000001</v>
      </c>
      <c r="E10" s="48">
        <f>June!M35</f>
        <v>219.01391359000007</v>
      </c>
      <c r="F10" s="48">
        <f>June!Q35</f>
        <v>1010.33086</v>
      </c>
      <c r="G10" s="48">
        <f>June!T35</f>
        <v>1016.5936599999999</v>
      </c>
      <c r="H10" s="48">
        <f>June!W35</f>
        <v>0</v>
      </c>
      <c r="I10" s="48">
        <f>June!Z35</f>
        <v>5.6917799999999534</v>
      </c>
    </row>
    <row r="11" spans="1:11" x14ac:dyDescent="0.2">
      <c r="A11" s="47">
        <v>44013</v>
      </c>
      <c r="B11" s="48">
        <f>July!D36</f>
        <v>2786.3013000000001</v>
      </c>
      <c r="C11" s="48">
        <f>June!G35</f>
        <v>1771.3899999999999</v>
      </c>
      <c r="D11" s="48">
        <f>July!J36</f>
        <v>1070.1713</v>
      </c>
      <c r="E11" s="48">
        <f>July!M36</f>
        <v>2860.3189999999909</v>
      </c>
      <c r="F11" s="48">
        <f>July!Q36</f>
        <v>1108.7424729999998</v>
      </c>
      <c r="G11" s="48">
        <f>July!T36</f>
        <v>1139.0436800000002</v>
      </c>
      <c r="H11" s="48">
        <f>July!W36</f>
        <v>3.84057</v>
      </c>
      <c r="I11" s="48">
        <f>July!Z36</f>
        <v>29.653437000000071</v>
      </c>
    </row>
    <row r="12" spans="1:11" x14ac:dyDescent="0.2">
      <c r="A12" s="47">
        <v>44044</v>
      </c>
      <c r="B12" s="48">
        <f>August!D36</f>
        <v>3042.3085999999985</v>
      </c>
      <c r="C12" s="48">
        <f>August!G36</f>
        <v>1946.3799999999999</v>
      </c>
      <c r="D12" s="48">
        <f>August!J36</f>
        <v>1381.8684000000001</v>
      </c>
      <c r="E12" s="48">
        <f>August!M36</f>
        <v>3166.7049999999999</v>
      </c>
      <c r="F12" s="48">
        <f>August!Q36</f>
        <v>875.0982809999997</v>
      </c>
      <c r="G12" s="48">
        <f>August!T36</f>
        <v>908.48668000000009</v>
      </c>
      <c r="H12" s="48">
        <f>August!W36</f>
        <v>9.1792999999999996</v>
      </c>
      <c r="I12" s="48">
        <f>August!Z36</f>
        <v>32.82351899999999</v>
      </c>
    </row>
    <row r="13" spans="1:11" x14ac:dyDescent="0.2">
      <c r="A13" s="47">
        <v>44075</v>
      </c>
      <c r="B13" s="48">
        <f>September!D35</f>
        <v>2292.8602000000019</v>
      </c>
      <c r="C13" s="48">
        <f>September!G35</f>
        <v>1455.1799999999994</v>
      </c>
      <c r="D13" s="48">
        <f>September!J35</f>
        <v>989.92149999999992</v>
      </c>
      <c r="E13" s="48">
        <f>September!M35</f>
        <v>225.83282259999993</v>
      </c>
      <c r="F13" s="48">
        <f>September!Q35</f>
        <v>325.77305000000001</v>
      </c>
      <c r="G13" s="48">
        <f>September!W35</f>
        <v>341.01559999999995</v>
      </c>
      <c r="H13" s="48">
        <f>September!AF35</f>
        <v>2.5959520899999999</v>
      </c>
      <c r="I13" s="48">
        <f>September!AI35</f>
        <v>15.311624999999946</v>
      </c>
    </row>
    <row r="14" spans="1:11" x14ac:dyDescent="0.2">
      <c r="A14" s="47">
        <v>44105</v>
      </c>
      <c r="B14" s="48">
        <f>October!D36</f>
        <v>1295.6935000000003</v>
      </c>
      <c r="C14" s="48">
        <f>October!G36</f>
        <v>920.99999999999966</v>
      </c>
      <c r="D14" s="48">
        <f>October!J36</f>
        <v>525.6454</v>
      </c>
      <c r="E14" s="48">
        <f>October!M36</f>
        <v>135.6613045</v>
      </c>
      <c r="F14" s="48">
        <f>October!Q36</f>
        <v>0</v>
      </c>
      <c r="G14" s="48">
        <f>October!W36</f>
        <v>0</v>
      </c>
      <c r="H14" s="48">
        <f>October!AC36</f>
        <v>118.82567931</v>
      </c>
      <c r="I14" s="48">
        <f>October!AI36</f>
        <v>0.57101999999993436</v>
      </c>
    </row>
    <row r="15" spans="1:11" x14ac:dyDescent="0.2">
      <c r="A15" s="47">
        <v>44136</v>
      </c>
      <c r="B15" s="48"/>
      <c r="C15" s="48"/>
      <c r="D15" s="48"/>
      <c r="E15" s="48"/>
      <c r="F15" s="48"/>
      <c r="G15" s="48"/>
      <c r="H15" s="48"/>
      <c r="I15" s="48"/>
    </row>
    <row r="16" spans="1:11" ht="14.25" customHeight="1" x14ac:dyDescent="0.2">
      <c r="A16" s="47">
        <v>44166</v>
      </c>
      <c r="B16" s="48"/>
      <c r="C16" s="48"/>
      <c r="D16" s="48"/>
      <c r="E16" s="48"/>
      <c r="F16" s="48"/>
      <c r="G16" s="48"/>
      <c r="H16" s="48"/>
      <c r="I16" s="48"/>
    </row>
    <row r="17" spans="1:9" s="54" customFormat="1" x14ac:dyDescent="0.2">
      <c r="A17" s="54" t="s">
        <v>18</v>
      </c>
      <c r="B17" s="55">
        <f>SUM(B3:B14)</f>
        <v>15865.974900000001</v>
      </c>
      <c r="C17" s="55">
        <f t="shared" ref="C17:I17" si="0">SUM(C3:C14)</f>
        <v>12267.719999999998</v>
      </c>
      <c r="D17" s="55">
        <f t="shared" si="0"/>
        <v>5031.791400000001</v>
      </c>
      <c r="E17" s="55">
        <f t="shared" si="0"/>
        <v>6916.9296265719913</v>
      </c>
      <c r="F17" s="55">
        <f t="shared" si="0"/>
        <v>8788.2158646583321</v>
      </c>
      <c r="G17" s="55">
        <f t="shared" si="0"/>
        <v>7165.3960929399991</v>
      </c>
      <c r="H17" s="55">
        <f t="shared" si="0"/>
        <v>1985.33542341</v>
      </c>
      <c r="I17" s="55">
        <f t="shared" si="0"/>
        <v>837.16292034999992</v>
      </c>
    </row>
    <row r="18" spans="1:9" s="54" customFormat="1" x14ac:dyDescent="0.2">
      <c r="A18" s="54" t="s">
        <v>19</v>
      </c>
      <c r="B18" s="55">
        <f>SUM(B5:B16)</f>
        <v>15322.799800000001</v>
      </c>
      <c r="C18" s="55">
        <f t="shared" ref="C18:I18" si="1">SUM(C5:C16)</f>
        <v>11874.759999999998</v>
      </c>
      <c r="D18" s="55">
        <f t="shared" si="1"/>
        <v>4798.6863000000003</v>
      </c>
      <c r="E18" s="55">
        <f t="shared" si="1"/>
        <v>6908.7795115299914</v>
      </c>
      <c r="F18" s="55">
        <f t="shared" si="1"/>
        <v>7036.0442493699984</v>
      </c>
      <c r="G18" s="55">
        <f t="shared" si="1"/>
        <v>6624.1196897</v>
      </c>
      <c r="H18" s="55">
        <f t="shared" si="1"/>
        <v>757.85090710999998</v>
      </c>
      <c r="I18" s="55">
        <f t="shared" si="1"/>
        <v>811.82056154999987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Thornton</cp:lastModifiedBy>
  <cp:lastPrinted>2017-06-20T17:00:43Z</cp:lastPrinted>
  <dcterms:created xsi:type="dcterms:W3CDTF">2004-01-27T20:05:57Z</dcterms:created>
  <dcterms:modified xsi:type="dcterms:W3CDTF">2021-02-01T14:54:43Z</dcterms:modified>
</cp:coreProperties>
</file>