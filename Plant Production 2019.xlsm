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011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coyotegulch/Documents/Demand Management /"/>
    </mc:Choice>
  </mc:AlternateContent>
  <xr:revisionPtr revIDLastSave="0" documentId="13_ncr:1_{763B7DD6-CBB8-9344-B06F-0DB100A5E4BF}" xr6:coauthVersionLast="45" xr6:coauthVersionMax="45" xr10:uidLastSave="{00000000-0000-0000-0000-000000000000}"/>
  <bookViews>
    <workbookView xWindow="28820" yWindow="3000" windowWidth="19700" windowHeight="16080" tabRatio="706" firstSheet="3" activeTab="3" xr2:uid="{00000000-000D-0000-FFFF-FFFF00000000}"/>
  </bookViews>
  <sheets>
    <sheet name="November" sheetId="14" r:id="rId1"/>
    <sheet name="December" sheetId="13" r:id="rId2"/>
    <sheet name="January" sheetId="1" r:id="rId3"/>
    <sheet name="February" sheetId="4" r:id="rId4"/>
    <sheet name="March" sheetId="6" r:id="rId5"/>
    <sheet name="April" sheetId="7" r:id="rId6"/>
    <sheet name="May" sheetId="8" r:id="rId7"/>
    <sheet name="June" sheetId="9" r:id="rId8"/>
    <sheet name="July" sheetId="16" r:id="rId9"/>
    <sheet name="August" sheetId="11" r:id="rId10"/>
    <sheet name="September" sheetId="12" r:id="rId11"/>
    <sheet name="October" sheetId="5" r:id="rId12"/>
    <sheet name="Summary" sheetId="15" r:id="rId13"/>
  </sheets>
  <externalReferences>
    <externalReference r:id="rId14"/>
    <externalReference r:id="rId15"/>
    <externalReference r:id="rId16"/>
    <externalReference r:id="rId17"/>
    <externalReference r:id="rId18"/>
    <externalReference r:id="rId19"/>
  </externalReferences>
  <definedNames>
    <definedName name="_xlnm._FilterDatabase" localSheetId="7" hidden="1">June!$AC$1:$AC$43</definedName>
    <definedName name="_xlnm._FilterDatabase" localSheetId="10" hidden="1">September!$AC$1:$AC$38</definedName>
    <definedName name="_xlnm.Print_Area" localSheetId="3">February!$A$1:$M$34</definedName>
    <definedName name="_xlnm.Print_Area" localSheetId="6">May!$A$1:$Z$36</definedName>
    <definedName name="_xlnm.Print_Area" localSheetId="0">November!$O$1:$AD$36</definedName>
    <definedName name="_xlnm.Print_Titles" localSheetId="5">April!$A:$A</definedName>
    <definedName name="_xlnm.Print_Titles" localSheetId="9">August!$A:$A</definedName>
    <definedName name="_xlnm.Print_Titles" localSheetId="3">February!$A:$A</definedName>
    <definedName name="_xlnm.Print_Titles" localSheetId="2">January!$A:$A</definedName>
    <definedName name="_xlnm.Print_Titles" localSheetId="8">July!$A:$A</definedName>
    <definedName name="_xlnm.Print_Titles" localSheetId="7">June!$A:$A</definedName>
    <definedName name="_xlnm.Print_Titles" localSheetId="4">March!$A:$A</definedName>
    <definedName name="_xlnm.Print_Titles" localSheetId="6">May!$A:$A</definedName>
    <definedName name="_xlnm.Print_Titles" localSheetId="10">September!$A:$A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6" i="15" l="1"/>
  <c r="I15" i="15"/>
  <c r="H16" i="15"/>
  <c r="H15" i="15"/>
  <c r="G16" i="15"/>
  <c r="G15" i="15"/>
  <c r="F16" i="15"/>
  <c r="F15" i="15"/>
  <c r="E16" i="15"/>
  <c r="E15" i="15"/>
  <c r="D16" i="15"/>
  <c r="D15" i="15"/>
  <c r="C16" i="15"/>
  <c r="C15" i="15"/>
  <c r="B16" i="15"/>
  <c r="B15" i="15"/>
  <c r="AC19" i="16" l="1"/>
  <c r="AD19" i="16" s="1"/>
  <c r="AC20" i="16"/>
  <c r="AD20" i="16"/>
  <c r="AC21" i="16"/>
  <c r="AD21" i="16" s="1"/>
  <c r="AC22" i="16"/>
  <c r="AD22" i="16" s="1"/>
  <c r="AC23" i="16"/>
  <c r="AD23" i="16"/>
  <c r="AC24" i="16"/>
  <c r="AD24" i="16"/>
  <c r="AC25" i="16"/>
  <c r="AD25" i="16" s="1"/>
  <c r="AC26" i="16"/>
  <c r="AD26" i="16" s="1"/>
  <c r="AC27" i="16"/>
  <c r="AD27" i="16"/>
  <c r="AC28" i="16"/>
  <c r="AD28" i="16" s="1"/>
  <c r="AC29" i="16"/>
  <c r="AD29" i="16"/>
  <c r="AC30" i="16"/>
  <c r="AD30" i="16"/>
  <c r="AC31" i="16"/>
  <c r="AD31" i="16" s="1"/>
  <c r="AC32" i="16"/>
  <c r="AD32" i="16"/>
  <c r="AC33" i="16"/>
  <c r="AD33" i="16" s="1"/>
  <c r="AC34" i="16"/>
  <c r="AD34" i="16" s="1"/>
  <c r="AC35" i="16"/>
  <c r="AD35" i="16"/>
  <c r="X35" i="13" l="1"/>
  <c r="U35" i="13"/>
  <c r="R35" i="13"/>
  <c r="O35" i="13"/>
  <c r="X34" i="13"/>
  <c r="U34" i="13"/>
  <c r="R34" i="13"/>
  <c r="O34" i="13"/>
  <c r="X33" i="13"/>
  <c r="U33" i="13"/>
  <c r="R33" i="13"/>
  <c r="O33" i="13"/>
  <c r="X32" i="13"/>
  <c r="U32" i="13"/>
  <c r="R32" i="13"/>
  <c r="O32" i="13"/>
  <c r="X31" i="13"/>
  <c r="U31" i="13"/>
  <c r="R31" i="13"/>
  <c r="O31" i="13"/>
  <c r="X30" i="13"/>
  <c r="U30" i="13"/>
  <c r="R30" i="13"/>
  <c r="O30" i="13"/>
  <c r="X29" i="13"/>
  <c r="U29" i="13"/>
  <c r="R29" i="13"/>
  <c r="O29" i="13"/>
  <c r="X28" i="13"/>
  <c r="U28" i="13"/>
  <c r="R28" i="13"/>
  <c r="O28" i="13"/>
  <c r="X27" i="13"/>
  <c r="U27" i="13"/>
  <c r="R27" i="13"/>
  <c r="O27" i="13"/>
  <c r="X26" i="13"/>
  <c r="U26" i="13"/>
  <c r="R26" i="13"/>
  <c r="O26" i="13"/>
  <c r="X25" i="13"/>
  <c r="U25" i="13"/>
  <c r="R25" i="13"/>
  <c r="O25" i="13"/>
  <c r="X24" i="13"/>
  <c r="U24" i="13"/>
  <c r="R24" i="13"/>
  <c r="O24" i="13"/>
  <c r="X23" i="13"/>
  <c r="U23" i="13"/>
  <c r="R23" i="13"/>
  <c r="O23" i="13"/>
  <c r="X22" i="13"/>
  <c r="U22" i="13"/>
  <c r="R22" i="13"/>
  <c r="O22" i="13"/>
  <c r="X21" i="13"/>
  <c r="U21" i="13"/>
  <c r="R21" i="13"/>
  <c r="O21" i="13"/>
  <c r="X20" i="13"/>
  <c r="U20" i="13"/>
  <c r="R20" i="13"/>
  <c r="O20" i="13"/>
  <c r="X19" i="13"/>
  <c r="U19" i="13"/>
  <c r="R19" i="13"/>
  <c r="O19" i="13"/>
  <c r="X18" i="13"/>
  <c r="U18" i="13"/>
  <c r="R18" i="13"/>
  <c r="O18" i="13"/>
  <c r="X17" i="13"/>
  <c r="U17" i="13"/>
  <c r="R17" i="13"/>
  <c r="O17" i="13"/>
  <c r="X16" i="13"/>
  <c r="U16" i="13"/>
  <c r="R16" i="13"/>
  <c r="O16" i="13"/>
  <c r="X15" i="13"/>
  <c r="U15" i="13"/>
  <c r="R15" i="13"/>
  <c r="O15" i="13"/>
  <c r="X14" i="13"/>
  <c r="U14" i="13"/>
  <c r="R14" i="13"/>
  <c r="O14" i="13"/>
  <c r="X13" i="13"/>
  <c r="U13" i="13"/>
  <c r="R13" i="13"/>
  <c r="O13" i="13"/>
  <c r="X12" i="13"/>
  <c r="U12" i="13"/>
  <c r="R12" i="13"/>
  <c r="O12" i="13"/>
  <c r="X11" i="13"/>
  <c r="U11" i="13"/>
  <c r="R11" i="13"/>
  <c r="O11" i="13"/>
  <c r="X10" i="13"/>
  <c r="U10" i="13"/>
  <c r="R10" i="13"/>
  <c r="O10" i="13"/>
  <c r="X9" i="13"/>
  <c r="U9" i="13"/>
  <c r="R9" i="13"/>
  <c r="O9" i="13"/>
  <c r="X8" i="13"/>
  <c r="U8" i="13"/>
  <c r="R8" i="13"/>
  <c r="O8" i="13"/>
  <c r="X7" i="13"/>
  <c r="U7" i="13"/>
  <c r="R7" i="13"/>
  <c r="O7" i="13"/>
  <c r="X6" i="13"/>
  <c r="U6" i="13"/>
  <c r="R6" i="13"/>
  <c r="O6" i="13"/>
  <c r="X5" i="13"/>
  <c r="U5" i="13"/>
  <c r="R5" i="13"/>
  <c r="O5" i="13"/>
  <c r="K35" i="13"/>
  <c r="H35" i="13"/>
  <c r="E35" i="13"/>
  <c r="B35" i="13"/>
  <c r="K34" i="13"/>
  <c r="H34" i="13"/>
  <c r="E34" i="13"/>
  <c r="B34" i="13"/>
  <c r="K33" i="13"/>
  <c r="H33" i="13"/>
  <c r="E33" i="13"/>
  <c r="B33" i="13"/>
  <c r="K32" i="13"/>
  <c r="H32" i="13"/>
  <c r="E32" i="13"/>
  <c r="B32" i="13"/>
  <c r="K31" i="13"/>
  <c r="H31" i="13"/>
  <c r="E31" i="13"/>
  <c r="B31" i="13"/>
  <c r="K30" i="13"/>
  <c r="H30" i="13"/>
  <c r="E30" i="13"/>
  <c r="B30" i="13"/>
  <c r="K29" i="13"/>
  <c r="H29" i="13"/>
  <c r="E29" i="13"/>
  <c r="B29" i="13"/>
  <c r="K28" i="13"/>
  <c r="H28" i="13"/>
  <c r="E28" i="13"/>
  <c r="B28" i="13"/>
  <c r="K27" i="13"/>
  <c r="H27" i="13"/>
  <c r="E27" i="13"/>
  <c r="B27" i="13"/>
  <c r="K26" i="13"/>
  <c r="H26" i="13"/>
  <c r="E26" i="13"/>
  <c r="B26" i="13"/>
  <c r="K25" i="13"/>
  <c r="H25" i="13"/>
  <c r="E25" i="13"/>
  <c r="B25" i="13"/>
  <c r="K24" i="13"/>
  <c r="H24" i="13"/>
  <c r="E24" i="13"/>
  <c r="B24" i="13"/>
  <c r="K23" i="13"/>
  <c r="H23" i="13"/>
  <c r="E23" i="13"/>
  <c r="B23" i="13"/>
  <c r="K22" i="13"/>
  <c r="H22" i="13"/>
  <c r="E22" i="13"/>
  <c r="B22" i="13"/>
  <c r="K21" i="13"/>
  <c r="H21" i="13"/>
  <c r="E21" i="13"/>
  <c r="B21" i="13"/>
  <c r="K20" i="13"/>
  <c r="H20" i="13"/>
  <c r="E20" i="13"/>
  <c r="B20" i="13"/>
  <c r="K19" i="13"/>
  <c r="H19" i="13"/>
  <c r="E19" i="13"/>
  <c r="B19" i="13"/>
  <c r="K18" i="13"/>
  <c r="H18" i="13"/>
  <c r="E18" i="13"/>
  <c r="B18" i="13"/>
  <c r="K17" i="13"/>
  <c r="H17" i="13"/>
  <c r="E17" i="13"/>
  <c r="B17" i="13"/>
  <c r="K16" i="13"/>
  <c r="H16" i="13"/>
  <c r="E16" i="13"/>
  <c r="B16" i="13"/>
  <c r="K15" i="13"/>
  <c r="H15" i="13"/>
  <c r="E15" i="13"/>
  <c r="B15" i="13"/>
  <c r="K14" i="13"/>
  <c r="H14" i="13"/>
  <c r="E14" i="13"/>
  <c r="B14" i="13"/>
  <c r="K13" i="13"/>
  <c r="H13" i="13"/>
  <c r="E13" i="13"/>
  <c r="B13" i="13"/>
  <c r="K12" i="13"/>
  <c r="H12" i="13"/>
  <c r="E12" i="13"/>
  <c r="B12" i="13"/>
  <c r="K11" i="13"/>
  <c r="H11" i="13"/>
  <c r="E11" i="13"/>
  <c r="B11" i="13"/>
  <c r="K10" i="13"/>
  <c r="H10" i="13"/>
  <c r="E10" i="13"/>
  <c r="B10" i="13"/>
  <c r="K9" i="13"/>
  <c r="H9" i="13"/>
  <c r="E9" i="13"/>
  <c r="B9" i="13"/>
  <c r="K8" i="13"/>
  <c r="H8" i="13"/>
  <c r="E8" i="13"/>
  <c r="B8" i="13"/>
  <c r="K7" i="13"/>
  <c r="H7" i="13"/>
  <c r="E7" i="13"/>
  <c r="B7" i="13"/>
  <c r="K6" i="13"/>
  <c r="H6" i="13"/>
  <c r="E6" i="13"/>
  <c r="B6" i="13"/>
  <c r="K5" i="13"/>
  <c r="H5" i="13"/>
  <c r="E5" i="13"/>
  <c r="B5" i="13"/>
  <c r="X34" i="14"/>
  <c r="U34" i="14"/>
  <c r="R34" i="14"/>
  <c r="O34" i="14"/>
  <c r="X33" i="14"/>
  <c r="U33" i="14"/>
  <c r="R33" i="14"/>
  <c r="O33" i="14"/>
  <c r="X32" i="14"/>
  <c r="U32" i="14"/>
  <c r="R32" i="14"/>
  <c r="O32" i="14"/>
  <c r="X31" i="14"/>
  <c r="U31" i="14"/>
  <c r="R31" i="14"/>
  <c r="O31" i="14"/>
  <c r="X30" i="14"/>
  <c r="U30" i="14"/>
  <c r="R30" i="14"/>
  <c r="O30" i="14"/>
  <c r="X29" i="14"/>
  <c r="U29" i="14"/>
  <c r="R29" i="14"/>
  <c r="O29" i="14"/>
  <c r="X28" i="14"/>
  <c r="U28" i="14"/>
  <c r="R28" i="14"/>
  <c r="O28" i="14"/>
  <c r="X27" i="14"/>
  <c r="U27" i="14"/>
  <c r="R27" i="14"/>
  <c r="O27" i="14"/>
  <c r="X26" i="14"/>
  <c r="U26" i="14"/>
  <c r="R26" i="14"/>
  <c r="O26" i="14"/>
  <c r="X25" i="14"/>
  <c r="U25" i="14"/>
  <c r="R25" i="14"/>
  <c r="O25" i="14"/>
  <c r="X24" i="14"/>
  <c r="U24" i="14"/>
  <c r="R24" i="14"/>
  <c r="O24" i="14"/>
  <c r="X23" i="14"/>
  <c r="U23" i="14"/>
  <c r="R23" i="14"/>
  <c r="O23" i="14"/>
  <c r="X22" i="14"/>
  <c r="U22" i="14"/>
  <c r="R22" i="14"/>
  <c r="O22" i="14"/>
  <c r="X21" i="14"/>
  <c r="U21" i="14"/>
  <c r="R21" i="14"/>
  <c r="O21" i="14"/>
  <c r="X20" i="14"/>
  <c r="U20" i="14"/>
  <c r="R20" i="14"/>
  <c r="O20" i="14"/>
  <c r="X19" i="14"/>
  <c r="U19" i="14"/>
  <c r="R19" i="14"/>
  <c r="O19" i="14"/>
  <c r="X18" i="14"/>
  <c r="U18" i="14"/>
  <c r="R18" i="14"/>
  <c r="O18" i="14"/>
  <c r="X17" i="14"/>
  <c r="U17" i="14"/>
  <c r="R17" i="14"/>
  <c r="O17" i="14"/>
  <c r="X16" i="14"/>
  <c r="U16" i="14"/>
  <c r="R16" i="14"/>
  <c r="O16" i="14"/>
  <c r="X15" i="14"/>
  <c r="U15" i="14"/>
  <c r="R15" i="14"/>
  <c r="O15" i="14"/>
  <c r="X14" i="14"/>
  <c r="U14" i="14"/>
  <c r="R14" i="14"/>
  <c r="O14" i="14"/>
  <c r="X13" i="14"/>
  <c r="U13" i="14"/>
  <c r="R13" i="14"/>
  <c r="O13" i="14"/>
  <c r="X12" i="14"/>
  <c r="U12" i="14"/>
  <c r="R12" i="14"/>
  <c r="O12" i="14"/>
  <c r="X11" i="14"/>
  <c r="U11" i="14"/>
  <c r="R11" i="14"/>
  <c r="O11" i="14"/>
  <c r="X10" i="14"/>
  <c r="U10" i="14"/>
  <c r="R10" i="14"/>
  <c r="O10" i="14"/>
  <c r="X9" i="14"/>
  <c r="U9" i="14"/>
  <c r="R9" i="14"/>
  <c r="O9" i="14"/>
  <c r="X8" i="14"/>
  <c r="U8" i="14"/>
  <c r="R8" i="14"/>
  <c r="O8" i="14"/>
  <c r="X7" i="14"/>
  <c r="U7" i="14"/>
  <c r="R7" i="14"/>
  <c r="O7" i="14"/>
  <c r="X6" i="14"/>
  <c r="U6" i="14"/>
  <c r="R6" i="14"/>
  <c r="O6" i="14"/>
  <c r="X5" i="14"/>
  <c r="U5" i="14"/>
  <c r="R5" i="14"/>
  <c r="O5" i="14"/>
  <c r="K34" i="14"/>
  <c r="H34" i="14"/>
  <c r="E34" i="14"/>
  <c r="B34" i="14"/>
  <c r="K33" i="14"/>
  <c r="H33" i="14"/>
  <c r="E33" i="14"/>
  <c r="B33" i="14"/>
  <c r="K32" i="14"/>
  <c r="H32" i="14"/>
  <c r="E32" i="14"/>
  <c r="B32" i="14"/>
  <c r="K31" i="14"/>
  <c r="H31" i="14"/>
  <c r="E31" i="14"/>
  <c r="B31" i="14"/>
  <c r="K30" i="14"/>
  <c r="H30" i="14"/>
  <c r="E30" i="14"/>
  <c r="B30" i="14"/>
  <c r="K29" i="14"/>
  <c r="H29" i="14"/>
  <c r="E29" i="14"/>
  <c r="B29" i="14"/>
  <c r="K28" i="14"/>
  <c r="H28" i="14"/>
  <c r="E28" i="14"/>
  <c r="B28" i="14"/>
  <c r="K27" i="14"/>
  <c r="H27" i="14"/>
  <c r="E27" i="14"/>
  <c r="B27" i="14"/>
  <c r="K26" i="14"/>
  <c r="H26" i="14"/>
  <c r="E26" i="14"/>
  <c r="B26" i="14"/>
  <c r="K25" i="14"/>
  <c r="H25" i="14"/>
  <c r="E25" i="14"/>
  <c r="B25" i="14"/>
  <c r="K24" i="14"/>
  <c r="H24" i="14"/>
  <c r="E24" i="14"/>
  <c r="B24" i="14"/>
  <c r="K23" i="14"/>
  <c r="H23" i="14"/>
  <c r="E23" i="14"/>
  <c r="B23" i="14"/>
  <c r="K22" i="14"/>
  <c r="H22" i="14"/>
  <c r="E22" i="14"/>
  <c r="B22" i="14"/>
  <c r="K21" i="14"/>
  <c r="H21" i="14"/>
  <c r="E21" i="14"/>
  <c r="B21" i="14"/>
  <c r="K20" i="14"/>
  <c r="H20" i="14"/>
  <c r="E20" i="14"/>
  <c r="B20" i="14"/>
  <c r="K19" i="14"/>
  <c r="H19" i="14"/>
  <c r="E19" i="14"/>
  <c r="B19" i="14"/>
  <c r="K18" i="14"/>
  <c r="H18" i="14"/>
  <c r="E18" i="14"/>
  <c r="B18" i="14"/>
  <c r="K17" i="14"/>
  <c r="H17" i="14"/>
  <c r="E17" i="14"/>
  <c r="B17" i="14"/>
  <c r="K16" i="14"/>
  <c r="H16" i="14"/>
  <c r="E16" i="14"/>
  <c r="B16" i="14"/>
  <c r="K15" i="14"/>
  <c r="H15" i="14"/>
  <c r="E15" i="14"/>
  <c r="B15" i="14"/>
  <c r="K14" i="14"/>
  <c r="H14" i="14"/>
  <c r="E14" i="14"/>
  <c r="B14" i="14"/>
  <c r="K13" i="14"/>
  <c r="H13" i="14"/>
  <c r="E13" i="14"/>
  <c r="B13" i="14"/>
  <c r="K12" i="14"/>
  <c r="H12" i="14"/>
  <c r="E12" i="14"/>
  <c r="B12" i="14"/>
  <c r="K11" i="14"/>
  <c r="H11" i="14"/>
  <c r="E11" i="14"/>
  <c r="B11" i="14"/>
  <c r="K10" i="14"/>
  <c r="H10" i="14"/>
  <c r="E10" i="14"/>
  <c r="B10" i="14"/>
  <c r="K9" i="14"/>
  <c r="H9" i="14"/>
  <c r="E9" i="14"/>
  <c r="B9" i="14"/>
  <c r="K8" i="14"/>
  <c r="H8" i="14"/>
  <c r="E8" i="14"/>
  <c r="B8" i="14"/>
  <c r="K7" i="14"/>
  <c r="H7" i="14"/>
  <c r="E7" i="14"/>
  <c r="B7" i="14"/>
  <c r="K6" i="14"/>
  <c r="H6" i="14"/>
  <c r="E6" i="14"/>
  <c r="B6" i="14"/>
  <c r="K5" i="14"/>
  <c r="H5" i="14"/>
  <c r="E5" i="14"/>
  <c r="B5" i="14"/>
  <c r="X35" i="5"/>
  <c r="U35" i="5"/>
  <c r="R35" i="5"/>
  <c r="O35" i="5"/>
  <c r="X34" i="5"/>
  <c r="U34" i="5"/>
  <c r="R34" i="5"/>
  <c r="O34" i="5"/>
  <c r="X33" i="5"/>
  <c r="U33" i="5"/>
  <c r="R33" i="5"/>
  <c r="O33" i="5"/>
  <c r="X32" i="5"/>
  <c r="U32" i="5"/>
  <c r="R32" i="5"/>
  <c r="O32" i="5"/>
  <c r="X31" i="5"/>
  <c r="U31" i="5"/>
  <c r="R31" i="5"/>
  <c r="O31" i="5"/>
  <c r="X30" i="5"/>
  <c r="U30" i="5"/>
  <c r="R30" i="5"/>
  <c r="O30" i="5"/>
  <c r="X29" i="5"/>
  <c r="U29" i="5"/>
  <c r="R29" i="5"/>
  <c r="O29" i="5"/>
  <c r="X28" i="5"/>
  <c r="U28" i="5"/>
  <c r="R28" i="5"/>
  <c r="O28" i="5"/>
  <c r="X27" i="5"/>
  <c r="U27" i="5"/>
  <c r="R27" i="5"/>
  <c r="O27" i="5"/>
  <c r="X26" i="5"/>
  <c r="U26" i="5"/>
  <c r="R26" i="5"/>
  <c r="O26" i="5"/>
  <c r="X25" i="5"/>
  <c r="U25" i="5"/>
  <c r="R25" i="5"/>
  <c r="O25" i="5"/>
  <c r="X24" i="5"/>
  <c r="U24" i="5"/>
  <c r="R24" i="5"/>
  <c r="O24" i="5"/>
  <c r="X23" i="5"/>
  <c r="U23" i="5"/>
  <c r="R23" i="5"/>
  <c r="O23" i="5"/>
  <c r="X22" i="5"/>
  <c r="U22" i="5"/>
  <c r="R22" i="5"/>
  <c r="O22" i="5"/>
  <c r="X21" i="5"/>
  <c r="U21" i="5"/>
  <c r="R21" i="5"/>
  <c r="O21" i="5"/>
  <c r="X20" i="5"/>
  <c r="U20" i="5"/>
  <c r="R20" i="5"/>
  <c r="O20" i="5"/>
  <c r="X19" i="5"/>
  <c r="U19" i="5"/>
  <c r="R19" i="5"/>
  <c r="O19" i="5"/>
  <c r="X18" i="5"/>
  <c r="U18" i="5"/>
  <c r="R18" i="5"/>
  <c r="O18" i="5"/>
  <c r="X17" i="5"/>
  <c r="U17" i="5"/>
  <c r="R17" i="5"/>
  <c r="O17" i="5"/>
  <c r="X16" i="5"/>
  <c r="U16" i="5"/>
  <c r="R16" i="5"/>
  <c r="O16" i="5"/>
  <c r="X15" i="5"/>
  <c r="U15" i="5"/>
  <c r="R15" i="5"/>
  <c r="O15" i="5"/>
  <c r="X14" i="5"/>
  <c r="U14" i="5"/>
  <c r="R14" i="5"/>
  <c r="O14" i="5"/>
  <c r="X13" i="5"/>
  <c r="U13" i="5"/>
  <c r="R13" i="5"/>
  <c r="O13" i="5"/>
  <c r="X12" i="5"/>
  <c r="U12" i="5"/>
  <c r="R12" i="5"/>
  <c r="O12" i="5"/>
  <c r="X11" i="5"/>
  <c r="U11" i="5"/>
  <c r="R11" i="5"/>
  <c r="O11" i="5"/>
  <c r="X10" i="5"/>
  <c r="U10" i="5"/>
  <c r="R10" i="5"/>
  <c r="O10" i="5"/>
  <c r="X9" i="5"/>
  <c r="U9" i="5"/>
  <c r="R9" i="5"/>
  <c r="O9" i="5"/>
  <c r="X8" i="5"/>
  <c r="U8" i="5"/>
  <c r="R8" i="5"/>
  <c r="O8" i="5"/>
  <c r="X7" i="5"/>
  <c r="U7" i="5"/>
  <c r="R7" i="5"/>
  <c r="O7" i="5"/>
  <c r="X6" i="5"/>
  <c r="U6" i="5"/>
  <c r="R6" i="5"/>
  <c r="O6" i="5"/>
  <c r="X5" i="5"/>
  <c r="U5" i="5"/>
  <c r="R5" i="5"/>
  <c r="O5" i="5"/>
  <c r="K35" i="5"/>
  <c r="H35" i="5"/>
  <c r="E35" i="5"/>
  <c r="B35" i="5"/>
  <c r="K34" i="5"/>
  <c r="H34" i="5"/>
  <c r="E34" i="5"/>
  <c r="B34" i="5"/>
  <c r="K33" i="5"/>
  <c r="H33" i="5"/>
  <c r="E33" i="5"/>
  <c r="B33" i="5"/>
  <c r="K32" i="5"/>
  <c r="H32" i="5"/>
  <c r="E32" i="5"/>
  <c r="B32" i="5"/>
  <c r="K31" i="5"/>
  <c r="H31" i="5"/>
  <c r="E31" i="5"/>
  <c r="B31" i="5"/>
  <c r="K30" i="5"/>
  <c r="H30" i="5"/>
  <c r="E30" i="5"/>
  <c r="B30" i="5"/>
  <c r="K29" i="5"/>
  <c r="H29" i="5"/>
  <c r="E29" i="5"/>
  <c r="B29" i="5"/>
  <c r="K28" i="5"/>
  <c r="H28" i="5"/>
  <c r="E28" i="5"/>
  <c r="B28" i="5"/>
  <c r="K27" i="5"/>
  <c r="H27" i="5"/>
  <c r="E27" i="5"/>
  <c r="B27" i="5"/>
  <c r="K26" i="5"/>
  <c r="H26" i="5"/>
  <c r="E26" i="5"/>
  <c r="B26" i="5"/>
  <c r="K25" i="5"/>
  <c r="H25" i="5"/>
  <c r="E25" i="5"/>
  <c r="B25" i="5"/>
  <c r="K24" i="5"/>
  <c r="H24" i="5"/>
  <c r="E24" i="5"/>
  <c r="B24" i="5"/>
  <c r="K23" i="5"/>
  <c r="H23" i="5"/>
  <c r="E23" i="5"/>
  <c r="B23" i="5"/>
  <c r="K22" i="5"/>
  <c r="H22" i="5"/>
  <c r="E22" i="5"/>
  <c r="B22" i="5"/>
  <c r="K21" i="5"/>
  <c r="H21" i="5"/>
  <c r="E21" i="5"/>
  <c r="B21" i="5"/>
  <c r="K20" i="5"/>
  <c r="H20" i="5"/>
  <c r="E20" i="5"/>
  <c r="B20" i="5"/>
  <c r="K19" i="5"/>
  <c r="H19" i="5"/>
  <c r="E19" i="5"/>
  <c r="B19" i="5"/>
  <c r="K18" i="5"/>
  <c r="H18" i="5"/>
  <c r="E18" i="5"/>
  <c r="B18" i="5"/>
  <c r="K17" i="5"/>
  <c r="H17" i="5"/>
  <c r="E17" i="5"/>
  <c r="B17" i="5"/>
  <c r="K16" i="5"/>
  <c r="H16" i="5"/>
  <c r="E16" i="5"/>
  <c r="B16" i="5"/>
  <c r="K15" i="5"/>
  <c r="H15" i="5"/>
  <c r="E15" i="5"/>
  <c r="B15" i="5"/>
  <c r="K14" i="5"/>
  <c r="H14" i="5"/>
  <c r="E14" i="5"/>
  <c r="B14" i="5"/>
  <c r="K13" i="5"/>
  <c r="H13" i="5"/>
  <c r="E13" i="5"/>
  <c r="B13" i="5"/>
  <c r="K12" i="5"/>
  <c r="H12" i="5"/>
  <c r="E12" i="5"/>
  <c r="B12" i="5"/>
  <c r="K11" i="5"/>
  <c r="H11" i="5"/>
  <c r="E11" i="5"/>
  <c r="B11" i="5"/>
  <c r="K10" i="5"/>
  <c r="H10" i="5"/>
  <c r="E10" i="5"/>
  <c r="B10" i="5"/>
  <c r="K9" i="5"/>
  <c r="H9" i="5"/>
  <c r="E9" i="5"/>
  <c r="B9" i="5"/>
  <c r="K8" i="5"/>
  <c r="H8" i="5"/>
  <c r="E8" i="5"/>
  <c r="B8" i="5"/>
  <c r="K7" i="5"/>
  <c r="H7" i="5"/>
  <c r="E7" i="5"/>
  <c r="B7" i="5"/>
  <c r="K6" i="5"/>
  <c r="H6" i="5"/>
  <c r="E6" i="5"/>
  <c r="B6" i="5"/>
  <c r="K5" i="5"/>
  <c r="H5" i="5"/>
  <c r="E5" i="5"/>
  <c r="B5" i="5"/>
  <c r="X34" i="9"/>
  <c r="U34" i="9"/>
  <c r="R34" i="9"/>
  <c r="O34" i="9"/>
  <c r="X33" i="9"/>
  <c r="U33" i="9"/>
  <c r="R33" i="9"/>
  <c r="O33" i="9"/>
  <c r="X32" i="9"/>
  <c r="U32" i="9"/>
  <c r="R32" i="9"/>
  <c r="O32" i="9"/>
  <c r="X31" i="9"/>
  <c r="U31" i="9"/>
  <c r="R31" i="9"/>
  <c r="O31" i="9"/>
  <c r="X30" i="9"/>
  <c r="U30" i="9"/>
  <c r="R30" i="9"/>
  <c r="O30" i="9"/>
  <c r="X29" i="9"/>
  <c r="U29" i="9"/>
  <c r="R29" i="9"/>
  <c r="O29" i="9"/>
  <c r="X28" i="9"/>
  <c r="U28" i="9"/>
  <c r="R28" i="9"/>
  <c r="O28" i="9"/>
  <c r="X27" i="9"/>
  <c r="U27" i="9"/>
  <c r="R27" i="9"/>
  <c r="O27" i="9"/>
  <c r="X26" i="9"/>
  <c r="U26" i="9"/>
  <c r="R26" i="9"/>
  <c r="O26" i="9"/>
  <c r="X25" i="9"/>
  <c r="U25" i="9"/>
  <c r="R25" i="9"/>
  <c r="O25" i="9"/>
  <c r="X24" i="9"/>
  <c r="U24" i="9"/>
  <c r="R24" i="9"/>
  <c r="O24" i="9"/>
  <c r="X23" i="9"/>
  <c r="U23" i="9"/>
  <c r="R23" i="9"/>
  <c r="O23" i="9"/>
  <c r="X22" i="9"/>
  <c r="U22" i="9"/>
  <c r="R22" i="9"/>
  <c r="O22" i="9"/>
  <c r="X21" i="9"/>
  <c r="U21" i="9"/>
  <c r="R21" i="9"/>
  <c r="O21" i="9"/>
  <c r="X20" i="9"/>
  <c r="U20" i="9"/>
  <c r="R20" i="9"/>
  <c r="O20" i="9"/>
  <c r="X19" i="9"/>
  <c r="U19" i="9"/>
  <c r="R19" i="9"/>
  <c r="O19" i="9"/>
  <c r="X18" i="9"/>
  <c r="U18" i="9"/>
  <c r="R18" i="9"/>
  <c r="O18" i="9"/>
  <c r="X17" i="9"/>
  <c r="U17" i="9"/>
  <c r="R17" i="9"/>
  <c r="O17" i="9"/>
  <c r="X16" i="9"/>
  <c r="U16" i="9"/>
  <c r="R16" i="9"/>
  <c r="O16" i="9"/>
  <c r="X15" i="9"/>
  <c r="U15" i="9"/>
  <c r="R15" i="9"/>
  <c r="O15" i="9"/>
  <c r="X14" i="9"/>
  <c r="U14" i="9"/>
  <c r="R14" i="9"/>
  <c r="O14" i="9"/>
  <c r="X13" i="9"/>
  <c r="U13" i="9"/>
  <c r="R13" i="9"/>
  <c r="O13" i="9"/>
  <c r="X12" i="9"/>
  <c r="U12" i="9"/>
  <c r="R12" i="9"/>
  <c r="O12" i="9"/>
  <c r="X11" i="9"/>
  <c r="U11" i="9"/>
  <c r="R11" i="9"/>
  <c r="O11" i="9"/>
  <c r="X10" i="9"/>
  <c r="U10" i="9"/>
  <c r="R10" i="9"/>
  <c r="O10" i="9"/>
  <c r="X9" i="9"/>
  <c r="U9" i="9"/>
  <c r="R9" i="9"/>
  <c r="O9" i="9"/>
  <c r="X8" i="9"/>
  <c r="U8" i="9"/>
  <c r="R8" i="9"/>
  <c r="O8" i="9"/>
  <c r="X7" i="9"/>
  <c r="U7" i="9"/>
  <c r="R7" i="9"/>
  <c r="O7" i="9"/>
  <c r="X6" i="9"/>
  <c r="U6" i="9"/>
  <c r="R6" i="9"/>
  <c r="O6" i="9"/>
  <c r="X5" i="9"/>
  <c r="U5" i="9"/>
  <c r="R5" i="9"/>
  <c r="O5" i="9"/>
  <c r="K34" i="9"/>
  <c r="H34" i="9"/>
  <c r="E34" i="9"/>
  <c r="B34" i="9"/>
  <c r="K33" i="9"/>
  <c r="H33" i="9"/>
  <c r="E33" i="9"/>
  <c r="B33" i="9"/>
  <c r="K32" i="9"/>
  <c r="H32" i="9"/>
  <c r="E32" i="9"/>
  <c r="B32" i="9"/>
  <c r="K31" i="9"/>
  <c r="H31" i="9"/>
  <c r="E31" i="9"/>
  <c r="B31" i="9"/>
  <c r="K30" i="9"/>
  <c r="H30" i="9"/>
  <c r="E30" i="9"/>
  <c r="B30" i="9"/>
  <c r="K29" i="9"/>
  <c r="H29" i="9"/>
  <c r="E29" i="9"/>
  <c r="B29" i="9"/>
  <c r="K28" i="9"/>
  <c r="H28" i="9"/>
  <c r="E28" i="9"/>
  <c r="B28" i="9"/>
  <c r="K27" i="9"/>
  <c r="H27" i="9"/>
  <c r="E27" i="9"/>
  <c r="B27" i="9"/>
  <c r="K26" i="9"/>
  <c r="H26" i="9"/>
  <c r="E26" i="9"/>
  <c r="B26" i="9"/>
  <c r="K25" i="9"/>
  <c r="H25" i="9"/>
  <c r="E25" i="9"/>
  <c r="B25" i="9"/>
  <c r="K24" i="9"/>
  <c r="H24" i="9"/>
  <c r="E24" i="9"/>
  <c r="B24" i="9"/>
  <c r="K23" i="9"/>
  <c r="H23" i="9"/>
  <c r="E23" i="9"/>
  <c r="B23" i="9"/>
  <c r="K22" i="9"/>
  <c r="H22" i="9"/>
  <c r="E22" i="9"/>
  <c r="B22" i="9"/>
  <c r="K21" i="9"/>
  <c r="H21" i="9"/>
  <c r="E21" i="9"/>
  <c r="B21" i="9"/>
  <c r="K20" i="9"/>
  <c r="H20" i="9"/>
  <c r="E20" i="9"/>
  <c r="B20" i="9"/>
  <c r="K19" i="9"/>
  <c r="H19" i="9"/>
  <c r="E19" i="9"/>
  <c r="B19" i="9"/>
  <c r="K18" i="9"/>
  <c r="H18" i="9"/>
  <c r="E18" i="9"/>
  <c r="B18" i="9"/>
  <c r="K17" i="9"/>
  <c r="H17" i="9"/>
  <c r="E17" i="9"/>
  <c r="B17" i="9"/>
  <c r="K16" i="9"/>
  <c r="H16" i="9"/>
  <c r="E16" i="9"/>
  <c r="B16" i="9"/>
  <c r="K15" i="9"/>
  <c r="H15" i="9"/>
  <c r="E15" i="9"/>
  <c r="B15" i="9"/>
  <c r="K14" i="9"/>
  <c r="H14" i="9"/>
  <c r="E14" i="9"/>
  <c r="B14" i="9"/>
  <c r="K13" i="9"/>
  <c r="H13" i="9"/>
  <c r="E13" i="9"/>
  <c r="B13" i="9"/>
  <c r="K12" i="9"/>
  <c r="H12" i="9"/>
  <c r="E12" i="9"/>
  <c r="B12" i="9"/>
  <c r="K11" i="9"/>
  <c r="H11" i="9"/>
  <c r="E11" i="9"/>
  <c r="B11" i="9"/>
  <c r="K10" i="9"/>
  <c r="H10" i="9"/>
  <c r="E10" i="9"/>
  <c r="B10" i="9"/>
  <c r="K9" i="9"/>
  <c r="H9" i="9"/>
  <c r="E9" i="9"/>
  <c r="B9" i="9"/>
  <c r="K8" i="9"/>
  <c r="H8" i="9"/>
  <c r="E8" i="9"/>
  <c r="B8" i="9"/>
  <c r="K7" i="9"/>
  <c r="H7" i="9"/>
  <c r="E7" i="9"/>
  <c r="B7" i="9"/>
  <c r="K6" i="9"/>
  <c r="H6" i="9"/>
  <c r="E6" i="9"/>
  <c r="B6" i="9"/>
  <c r="K5" i="9"/>
  <c r="H5" i="9"/>
  <c r="E5" i="9"/>
  <c r="B5" i="9"/>
  <c r="X35" i="8"/>
  <c r="U35" i="8"/>
  <c r="R35" i="8"/>
  <c r="O35" i="8"/>
  <c r="X34" i="8"/>
  <c r="U34" i="8"/>
  <c r="R34" i="8"/>
  <c r="O34" i="8"/>
  <c r="X33" i="8"/>
  <c r="U33" i="8"/>
  <c r="R33" i="8"/>
  <c r="O33" i="8"/>
  <c r="X32" i="8"/>
  <c r="U32" i="8"/>
  <c r="R32" i="8"/>
  <c r="O32" i="8"/>
  <c r="X31" i="8"/>
  <c r="U31" i="8"/>
  <c r="R31" i="8"/>
  <c r="O31" i="8"/>
  <c r="X30" i="8"/>
  <c r="U30" i="8"/>
  <c r="R30" i="8"/>
  <c r="O30" i="8"/>
  <c r="X29" i="8"/>
  <c r="U29" i="8"/>
  <c r="R29" i="8"/>
  <c r="O29" i="8"/>
  <c r="X28" i="8"/>
  <c r="U28" i="8"/>
  <c r="R28" i="8"/>
  <c r="O28" i="8"/>
  <c r="X27" i="8"/>
  <c r="U27" i="8"/>
  <c r="R27" i="8"/>
  <c r="O27" i="8"/>
  <c r="X26" i="8"/>
  <c r="U26" i="8"/>
  <c r="R26" i="8"/>
  <c r="O26" i="8"/>
  <c r="X25" i="8"/>
  <c r="U25" i="8"/>
  <c r="R25" i="8"/>
  <c r="O25" i="8"/>
  <c r="X24" i="8"/>
  <c r="U24" i="8"/>
  <c r="R24" i="8"/>
  <c r="O24" i="8"/>
  <c r="X23" i="8"/>
  <c r="U23" i="8"/>
  <c r="R23" i="8"/>
  <c r="O23" i="8"/>
  <c r="X22" i="8"/>
  <c r="U22" i="8"/>
  <c r="R22" i="8"/>
  <c r="O22" i="8"/>
  <c r="X21" i="8"/>
  <c r="U21" i="8"/>
  <c r="R21" i="8"/>
  <c r="O21" i="8"/>
  <c r="X20" i="8"/>
  <c r="U20" i="8"/>
  <c r="R20" i="8"/>
  <c r="O20" i="8"/>
  <c r="X19" i="8"/>
  <c r="U19" i="8"/>
  <c r="R19" i="8"/>
  <c r="O19" i="8"/>
  <c r="X18" i="8"/>
  <c r="U18" i="8"/>
  <c r="R18" i="8"/>
  <c r="O18" i="8"/>
  <c r="X17" i="8"/>
  <c r="U17" i="8"/>
  <c r="R17" i="8"/>
  <c r="O17" i="8"/>
  <c r="X16" i="8"/>
  <c r="U16" i="8"/>
  <c r="R16" i="8"/>
  <c r="O16" i="8"/>
  <c r="X15" i="8"/>
  <c r="U15" i="8"/>
  <c r="R15" i="8"/>
  <c r="O15" i="8"/>
  <c r="X14" i="8"/>
  <c r="U14" i="8"/>
  <c r="R14" i="8"/>
  <c r="O14" i="8"/>
  <c r="X13" i="8"/>
  <c r="U13" i="8"/>
  <c r="R13" i="8"/>
  <c r="O13" i="8"/>
  <c r="X12" i="8"/>
  <c r="U12" i="8"/>
  <c r="R12" i="8"/>
  <c r="O12" i="8"/>
  <c r="X11" i="8"/>
  <c r="U11" i="8"/>
  <c r="R11" i="8"/>
  <c r="O11" i="8"/>
  <c r="X10" i="8"/>
  <c r="U10" i="8"/>
  <c r="R10" i="8"/>
  <c r="O10" i="8"/>
  <c r="X9" i="8"/>
  <c r="U9" i="8"/>
  <c r="R9" i="8"/>
  <c r="O9" i="8"/>
  <c r="X8" i="8"/>
  <c r="U8" i="8"/>
  <c r="R8" i="8"/>
  <c r="O8" i="8"/>
  <c r="X7" i="8"/>
  <c r="U7" i="8"/>
  <c r="R7" i="8"/>
  <c r="O7" i="8"/>
  <c r="X6" i="8"/>
  <c r="U6" i="8"/>
  <c r="R6" i="8"/>
  <c r="O6" i="8"/>
  <c r="X5" i="8"/>
  <c r="U5" i="8"/>
  <c r="R5" i="8"/>
  <c r="O5" i="8"/>
  <c r="K35" i="8"/>
  <c r="H35" i="8"/>
  <c r="E35" i="8"/>
  <c r="B35" i="8"/>
  <c r="K34" i="8"/>
  <c r="H34" i="8"/>
  <c r="E34" i="8"/>
  <c r="B34" i="8"/>
  <c r="K33" i="8"/>
  <c r="H33" i="8"/>
  <c r="E33" i="8"/>
  <c r="B33" i="8"/>
  <c r="K32" i="8"/>
  <c r="H32" i="8"/>
  <c r="E32" i="8"/>
  <c r="B32" i="8"/>
  <c r="K31" i="8"/>
  <c r="H31" i="8"/>
  <c r="E31" i="8"/>
  <c r="B31" i="8"/>
  <c r="K30" i="8"/>
  <c r="H30" i="8"/>
  <c r="E30" i="8"/>
  <c r="B30" i="8"/>
  <c r="K29" i="8"/>
  <c r="H29" i="8"/>
  <c r="E29" i="8"/>
  <c r="B29" i="8"/>
  <c r="K28" i="8"/>
  <c r="H28" i="8"/>
  <c r="E28" i="8"/>
  <c r="B28" i="8"/>
  <c r="K27" i="8"/>
  <c r="H27" i="8"/>
  <c r="E27" i="8"/>
  <c r="B27" i="8"/>
  <c r="K26" i="8"/>
  <c r="H26" i="8"/>
  <c r="E26" i="8"/>
  <c r="B26" i="8"/>
  <c r="K25" i="8"/>
  <c r="H25" i="8"/>
  <c r="E25" i="8"/>
  <c r="B25" i="8"/>
  <c r="K24" i="8"/>
  <c r="H24" i="8"/>
  <c r="E24" i="8"/>
  <c r="B24" i="8"/>
  <c r="K23" i="8"/>
  <c r="H23" i="8"/>
  <c r="E23" i="8"/>
  <c r="B23" i="8"/>
  <c r="K22" i="8"/>
  <c r="H22" i="8"/>
  <c r="E22" i="8"/>
  <c r="B22" i="8"/>
  <c r="K21" i="8"/>
  <c r="H21" i="8"/>
  <c r="E21" i="8"/>
  <c r="B21" i="8"/>
  <c r="K20" i="8"/>
  <c r="H20" i="8"/>
  <c r="E20" i="8"/>
  <c r="B20" i="8"/>
  <c r="K19" i="8"/>
  <c r="H19" i="8"/>
  <c r="E19" i="8"/>
  <c r="B19" i="8"/>
  <c r="K18" i="8"/>
  <c r="H18" i="8"/>
  <c r="E18" i="8"/>
  <c r="B18" i="8"/>
  <c r="K17" i="8"/>
  <c r="H17" i="8"/>
  <c r="E17" i="8"/>
  <c r="B17" i="8"/>
  <c r="K16" i="8"/>
  <c r="H16" i="8"/>
  <c r="E16" i="8"/>
  <c r="B16" i="8"/>
  <c r="K15" i="8"/>
  <c r="H15" i="8"/>
  <c r="E15" i="8"/>
  <c r="B15" i="8"/>
  <c r="K14" i="8"/>
  <c r="H14" i="8"/>
  <c r="E14" i="8"/>
  <c r="B14" i="8"/>
  <c r="K13" i="8"/>
  <c r="H13" i="8"/>
  <c r="E13" i="8"/>
  <c r="B13" i="8"/>
  <c r="K12" i="8"/>
  <c r="H12" i="8"/>
  <c r="E12" i="8"/>
  <c r="B12" i="8"/>
  <c r="K11" i="8"/>
  <c r="H11" i="8"/>
  <c r="E11" i="8"/>
  <c r="B11" i="8"/>
  <c r="K10" i="8"/>
  <c r="H10" i="8"/>
  <c r="E10" i="8"/>
  <c r="B10" i="8"/>
  <c r="K9" i="8"/>
  <c r="H9" i="8"/>
  <c r="E9" i="8"/>
  <c r="B9" i="8"/>
  <c r="K8" i="8"/>
  <c r="H8" i="8"/>
  <c r="E8" i="8"/>
  <c r="B8" i="8"/>
  <c r="K7" i="8"/>
  <c r="H7" i="8"/>
  <c r="E7" i="8"/>
  <c r="B7" i="8"/>
  <c r="K6" i="8"/>
  <c r="H6" i="8"/>
  <c r="E6" i="8"/>
  <c r="B6" i="8"/>
  <c r="K5" i="8"/>
  <c r="H5" i="8"/>
  <c r="E5" i="8"/>
  <c r="B5" i="8"/>
  <c r="X34" i="7"/>
  <c r="U34" i="7"/>
  <c r="R34" i="7"/>
  <c r="O34" i="7"/>
  <c r="X33" i="7"/>
  <c r="U33" i="7"/>
  <c r="R33" i="7"/>
  <c r="O33" i="7"/>
  <c r="X32" i="7"/>
  <c r="U32" i="7"/>
  <c r="R32" i="7"/>
  <c r="O32" i="7"/>
  <c r="X31" i="7"/>
  <c r="U31" i="7"/>
  <c r="R31" i="7"/>
  <c r="O31" i="7"/>
  <c r="X30" i="7"/>
  <c r="U30" i="7"/>
  <c r="R30" i="7"/>
  <c r="O30" i="7"/>
  <c r="X29" i="7"/>
  <c r="U29" i="7"/>
  <c r="R29" i="7"/>
  <c r="O29" i="7"/>
  <c r="X28" i="7"/>
  <c r="U28" i="7"/>
  <c r="R28" i="7"/>
  <c r="O28" i="7"/>
  <c r="X27" i="7"/>
  <c r="U27" i="7"/>
  <c r="R27" i="7"/>
  <c r="O27" i="7"/>
  <c r="X26" i="7"/>
  <c r="U26" i="7"/>
  <c r="R26" i="7"/>
  <c r="O26" i="7"/>
  <c r="X25" i="7"/>
  <c r="U25" i="7"/>
  <c r="R25" i="7"/>
  <c r="O25" i="7"/>
  <c r="X24" i="7"/>
  <c r="U24" i="7"/>
  <c r="R24" i="7"/>
  <c r="O24" i="7"/>
  <c r="X23" i="7"/>
  <c r="U23" i="7"/>
  <c r="R23" i="7"/>
  <c r="O23" i="7"/>
  <c r="X22" i="7"/>
  <c r="U22" i="7"/>
  <c r="R22" i="7"/>
  <c r="O22" i="7"/>
  <c r="X21" i="7"/>
  <c r="U21" i="7"/>
  <c r="R21" i="7"/>
  <c r="O21" i="7"/>
  <c r="X20" i="7"/>
  <c r="U20" i="7"/>
  <c r="R20" i="7"/>
  <c r="O20" i="7"/>
  <c r="X19" i="7"/>
  <c r="U19" i="7"/>
  <c r="R19" i="7"/>
  <c r="O19" i="7"/>
  <c r="X18" i="7"/>
  <c r="U18" i="7"/>
  <c r="R18" i="7"/>
  <c r="O18" i="7"/>
  <c r="X17" i="7"/>
  <c r="U17" i="7"/>
  <c r="R17" i="7"/>
  <c r="O17" i="7"/>
  <c r="X16" i="7"/>
  <c r="U16" i="7"/>
  <c r="R16" i="7"/>
  <c r="O16" i="7"/>
  <c r="X15" i="7"/>
  <c r="U15" i="7"/>
  <c r="R15" i="7"/>
  <c r="O15" i="7"/>
  <c r="X14" i="7"/>
  <c r="U14" i="7"/>
  <c r="R14" i="7"/>
  <c r="O14" i="7"/>
  <c r="X13" i="7"/>
  <c r="U13" i="7"/>
  <c r="R13" i="7"/>
  <c r="O13" i="7"/>
  <c r="X12" i="7"/>
  <c r="U12" i="7"/>
  <c r="R12" i="7"/>
  <c r="O12" i="7"/>
  <c r="X11" i="7"/>
  <c r="U11" i="7"/>
  <c r="R11" i="7"/>
  <c r="O11" i="7"/>
  <c r="X10" i="7"/>
  <c r="U10" i="7"/>
  <c r="R10" i="7"/>
  <c r="O10" i="7"/>
  <c r="X9" i="7"/>
  <c r="U9" i="7"/>
  <c r="R9" i="7"/>
  <c r="O9" i="7"/>
  <c r="X8" i="7"/>
  <c r="U8" i="7"/>
  <c r="R8" i="7"/>
  <c r="O8" i="7"/>
  <c r="X7" i="7"/>
  <c r="U7" i="7"/>
  <c r="R7" i="7"/>
  <c r="O7" i="7"/>
  <c r="X6" i="7"/>
  <c r="U6" i="7"/>
  <c r="R6" i="7"/>
  <c r="O6" i="7"/>
  <c r="X5" i="7"/>
  <c r="U5" i="7"/>
  <c r="R5" i="7"/>
  <c r="O5" i="7"/>
  <c r="K34" i="7"/>
  <c r="H34" i="7"/>
  <c r="E34" i="7"/>
  <c r="B34" i="7"/>
  <c r="K33" i="7"/>
  <c r="H33" i="7"/>
  <c r="E33" i="7"/>
  <c r="B33" i="7"/>
  <c r="K32" i="7"/>
  <c r="H32" i="7"/>
  <c r="E32" i="7"/>
  <c r="B32" i="7"/>
  <c r="K31" i="7"/>
  <c r="H31" i="7"/>
  <c r="E31" i="7"/>
  <c r="B31" i="7"/>
  <c r="K30" i="7"/>
  <c r="H30" i="7"/>
  <c r="E30" i="7"/>
  <c r="B30" i="7"/>
  <c r="K29" i="7"/>
  <c r="H29" i="7"/>
  <c r="E29" i="7"/>
  <c r="B29" i="7"/>
  <c r="K28" i="7"/>
  <c r="H28" i="7"/>
  <c r="E28" i="7"/>
  <c r="B28" i="7"/>
  <c r="K27" i="7"/>
  <c r="H27" i="7"/>
  <c r="E27" i="7"/>
  <c r="B27" i="7"/>
  <c r="K26" i="7"/>
  <c r="H26" i="7"/>
  <c r="E26" i="7"/>
  <c r="B26" i="7"/>
  <c r="K25" i="7"/>
  <c r="H25" i="7"/>
  <c r="E25" i="7"/>
  <c r="B25" i="7"/>
  <c r="K24" i="7"/>
  <c r="H24" i="7"/>
  <c r="E24" i="7"/>
  <c r="B24" i="7"/>
  <c r="K23" i="7"/>
  <c r="H23" i="7"/>
  <c r="E23" i="7"/>
  <c r="B23" i="7"/>
  <c r="K22" i="7"/>
  <c r="H22" i="7"/>
  <c r="E22" i="7"/>
  <c r="B22" i="7"/>
  <c r="K21" i="7"/>
  <c r="H21" i="7"/>
  <c r="E21" i="7"/>
  <c r="B21" i="7"/>
  <c r="K20" i="7"/>
  <c r="H20" i="7"/>
  <c r="E20" i="7"/>
  <c r="B20" i="7"/>
  <c r="K19" i="7"/>
  <c r="H19" i="7"/>
  <c r="E19" i="7"/>
  <c r="B19" i="7"/>
  <c r="K18" i="7"/>
  <c r="H18" i="7"/>
  <c r="E18" i="7"/>
  <c r="B18" i="7"/>
  <c r="K17" i="7"/>
  <c r="H17" i="7"/>
  <c r="E17" i="7"/>
  <c r="B17" i="7"/>
  <c r="K16" i="7"/>
  <c r="H16" i="7"/>
  <c r="E16" i="7"/>
  <c r="B16" i="7"/>
  <c r="K15" i="7"/>
  <c r="H15" i="7"/>
  <c r="E15" i="7"/>
  <c r="B15" i="7"/>
  <c r="K14" i="7"/>
  <c r="H14" i="7"/>
  <c r="E14" i="7"/>
  <c r="B14" i="7"/>
  <c r="K13" i="7"/>
  <c r="H13" i="7"/>
  <c r="E13" i="7"/>
  <c r="B13" i="7"/>
  <c r="K12" i="7"/>
  <c r="H12" i="7"/>
  <c r="E12" i="7"/>
  <c r="B12" i="7"/>
  <c r="K11" i="7"/>
  <c r="H11" i="7"/>
  <c r="E11" i="7"/>
  <c r="B11" i="7"/>
  <c r="K10" i="7"/>
  <c r="H10" i="7"/>
  <c r="E10" i="7"/>
  <c r="B10" i="7"/>
  <c r="K9" i="7"/>
  <c r="H9" i="7"/>
  <c r="E9" i="7"/>
  <c r="B9" i="7"/>
  <c r="K8" i="7"/>
  <c r="H8" i="7"/>
  <c r="E8" i="7"/>
  <c r="B8" i="7"/>
  <c r="K7" i="7"/>
  <c r="H7" i="7"/>
  <c r="E7" i="7"/>
  <c r="B7" i="7"/>
  <c r="K6" i="7"/>
  <c r="H6" i="7"/>
  <c r="E6" i="7"/>
  <c r="B6" i="7"/>
  <c r="K5" i="7"/>
  <c r="H5" i="7"/>
  <c r="E5" i="7"/>
  <c r="B5" i="7"/>
  <c r="X35" i="6"/>
  <c r="U35" i="6"/>
  <c r="R35" i="6"/>
  <c r="O35" i="6"/>
  <c r="X34" i="6"/>
  <c r="U34" i="6"/>
  <c r="R34" i="6"/>
  <c r="O34" i="6"/>
  <c r="X33" i="6"/>
  <c r="U33" i="6"/>
  <c r="R33" i="6"/>
  <c r="O33" i="6"/>
  <c r="X32" i="6"/>
  <c r="U32" i="6"/>
  <c r="R32" i="6"/>
  <c r="O32" i="6"/>
  <c r="X31" i="6"/>
  <c r="U31" i="6"/>
  <c r="R31" i="6"/>
  <c r="O31" i="6"/>
  <c r="X30" i="6"/>
  <c r="U30" i="6"/>
  <c r="R30" i="6"/>
  <c r="O30" i="6"/>
  <c r="X29" i="6"/>
  <c r="U29" i="6"/>
  <c r="R29" i="6"/>
  <c r="O29" i="6"/>
  <c r="X28" i="6"/>
  <c r="U28" i="6"/>
  <c r="R28" i="6"/>
  <c r="O28" i="6"/>
  <c r="X27" i="6"/>
  <c r="U27" i="6"/>
  <c r="R27" i="6"/>
  <c r="O27" i="6"/>
  <c r="X26" i="6"/>
  <c r="U26" i="6"/>
  <c r="R26" i="6"/>
  <c r="O26" i="6"/>
  <c r="X25" i="6"/>
  <c r="U25" i="6"/>
  <c r="R25" i="6"/>
  <c r="O25" i="6"/>
  <c r="X24" i="6"/>
  <c r="U24" i="6"/>
  <c r="R24" i="6"/>
  <c r="O24" i="6"/>
  <c r="X23" i="6"/>
  <c r="U23" i="6"/>
  <c r="R23" i="6"/>
  <c r="O23" i="6"/>
  <c r="X22" i="6"/>
  <c r="U22" i="6"/>
  <c r="R22" i="6"/>
  <c r="O22" i="6"/>
  <c r="X21" i="6"/>
  <c r="U21" i="6"/>
  <c r="R21" i="6"/>
  <c r="O21" i="6"/>
  <c r="X20" i="6"/>
  <c r="U20" i="6"/>
  <c r="R20" i="6"/>
  <c r="O20" i="6"/>
  <c r="X19" i="6"/>
  <c r="U19" i="6"/>
  <c r="R19" i="6"/>
  <c r="O19" i="6"/>
  <c r="X18" i="6"/>
  <c r="U18" i="6"/>
  <c r="R18" i="6"/>
  <c r="O18" i="6"/>
  <c r="X17" i="6"/>
  <c r="U17" i="6"/>
  <c r="R17" i="6"/>
  <c r="O17" i="6"/>
  <c r="X16" i="6"/>
  <c r="U16" i="6"/>
  <c r="R16" i="6"/>
  <c r="O16" i="6"/>
  <c r="X15" i="6"/>
  <c r="U15" i="6"/>
  <c r="R15" i="6"/>
  <c r="O15" i="6"/>
  <c r="X14" i="6"/>
  <c r="U14" i="6"/>
  <c r="R14" i="6"/>
  <c r="O14" i="6"/>
  <c r="X13" i="6"/>
  <c r="U13" i="6"/>
  <c r="R13" i="6"/>
  <c r="O13" i="6"/>
  <c r="X12" i="6"/>
  <c r="U12" i="6"/>
  <c r="R12" i="6"/>
  <c r="O12" i="6"/>
  <c r="X11" i="6"/>
  <c r="U11" i="6"/>
  <c r="R11" i="6"/>
  <c r="O11" i="6"/>
  <c r="X10" i="6"/>
  <c r="U10" i="6"/>
  <c r="R10" i="6"/>
  <c r="O10" i="6"/>
  <c r="X9" i="6"/>
  <c r="U9" i="6"/>
  <c r="R9" i="6"/>
  <c r="O9" i="6"/>
  <c r="X8" i="6"/>
  <c r="U8" i="6"/>
  <c r="R8" i="6"/>
  <c r="O8" i="6"/>
  <c r="X7" i="6"/>
  <c r="U7" i="6"/>
  <c r="R7" i="6"/>
  <c r="O7" i="6"/>
  <c r="X6" i="6"/>
  <c r="U6" i="6"/>
  <c r="R6" i="6"/>
  <c r="O6" i="6"/>
  <c r="X5" i="6"/>
  <c r="U5" i="6"/>
  <c r="R5" i="6"/>
  <c r="O5" i="6"/>
  <c r="K35" i="6"/>
  <c r="H35" i="6"/>
  <c r="E35" i="6"/>
  <c r="B35" i="6"/>
  <c r="K34" i="6"/>
  <c r="H34" i="6"/>
  <c r="E34" i="6"/>
  <c r="B34" i="6"/>
  <c r="K33" i="6"/>
  <c r="H33" i="6"/>
  <c r="E33" i="6"/>
  <c r="B33" i="6"/>
  <c r="K32" i="6"/>
  <c r="H32" i="6"/>
  <c r="E32" i="6"/>
  <c r="B32" i="6"/>
  <c r="K31" i="6"/>
  <c r="H31" i="6"/>
  <c r="E31" i="6"/>
  <c r="B31" i="6"/>
  <c r="K30" i="6"/>
  <c r="H30" i="6"/>
  <c r="E30" i="6"/>
  <c r="B30" i="6"/>
  <c r="K29" i="6"/>
  <c r="H29" i="6"/>
  <c r="E29" i="6"/>
  <c r="B29" i="6"/>
  <c r="K28" i="6"/>
  <c r="H28" i="6"/>
  <c r="E28" i="6"/>
  <c r="B28" i="6"/>
  <c r="K27" i="6"/>
  <c r="H27" i="6"/>
  <c r="E27" i="6"/>
  <c r="B27" i="6"/>
  <c r="K26" i="6"/>
  <c r="H26" i="6"/>
  <c r="E26" i="6"/>
  <c r="B26" i="6"/>
  <c r="K25" i="6"/>
  <c r="H25" i="6"/>
  <c r="E25" i="6"/>
  <c r="B25" i="6"/>
  <c r="K24" i="6"/>
  <c r="H24" i="6"/>
  <c r="E24" i="6"/>
  <c r="B24" i="6"/>
  <c r="K23" i="6"/>
  <c r="H23" i="6"/>
  <c r="E23" i="6"/>
  <c r="B23" i="6"/>
  <c r="K22" i="6"/>
  <c r="H22" i="6"/>
  <c r="E22" i="6"/>
  <c r="B22" i="6"/>
  <c r="K21" i="6"/>
  <c r="H21" i="6"/>
  <c r="E21" i="6"/>
  <c r="B21" i="6"/>
  <c r="K20" i="6"/>
  <c r="H20" i="6"/>
  <c r="E20" i="6"/>
  <c r="B20" i="6"/>
  <c r="K19" i="6"/>
  <c r="H19" i="6"/>
  <c r="E19" i="6"/>
  <c r="B19" i="6"/>
  <c r="K18" i="6"/>
  <c r="H18" i="6"/>
  <c r="E18" i="6"/>
  <c r="B18" i="6"/>
  <c r="K17" i="6"/>
  <c r="H17" i="6"/>
  <c r="E17" i="6"/>
  <c r="B17" i="6"/>
  <c r="K16" i="6"/>
  <c r="H16" i="6"/>
  <c r="E16" i="6"/>
  <c r="B16" i="6"/>
  <c r="K15" i="6"/>
  <c r="H15" i="6"/>
  <c r="E15" i="6"/>
  <c r="B15" i="6"/>
  <c r="K14" i="6"/>
  <c r="H14" i="6"/>
  <c r="E14" i="6"/>
  <c r="B14" i="6"/>
  <c r="K13" i="6"/>
  <c r="H13" i="6"/>
  <c r="E13" i="6"/>
  <c r="B13" i="6"/>
  <c r="K12" i="6"/>
  <c r="H12" i="6"/>
  <c r="E12" i="6"/>
  <c r="B12" i="6"/>
  <c r="K11" i="6"/>
  <c r="H11" i="6"/>
  <c r="E11" i="6"/>
  <c r="B11" i="6"/>
  <c r="K10" i="6"/>
  <c r="H10" i="6"/>
  <c r="E10" i="6"/>
  <c r="B10" i="6"/>
  <c r="K9" i="6"/>
  <c r="H9" i="6"/>
  <c r="E9" i="6"/>
  <c r="B9" i="6"/>
  <c r="K8" i="6"/>
  <c r="H8" i="6"/>
  <c r="E8" i="6"/>
  <c r="B8" i="6"/>
  <c r="K7" i="6"/>
  <c r="H7" i="6"/>
  <c r="E7" i="6"/>
  <c r="B7" i="6"/>
  <c r="K6" i="6"/>
  <c r="H6" i="6"/>
  <c r="E6" i="6"/>
  <c r="B6" i="6"/>
  <c r="K5" i="6"/>
  <c r="H5" i="6"/>
  <c r="E5" i="6"/>
  <c r="B5" i="6"/>
  <c r="X32" i="4"/>
  <c r="U32" i="4"/>
  <c r="R32" i="4"/>
  <c r="O32" i="4"/>
  <c r="X31" i="4"/>
  <c r="U31" i="4"/>
  <c r="R31" i="4"/>
  <c r="O31" i="4"/>
  <c r="X30" i="4"/>
  <c r="U30" i="4"/>
  <c r="R30" i="4"/>
  <c r="O30" i="4"/>
  <c r="X29" i="4"/>
  <c r="U29" i="4"/>
  <c r="R29" i="4"/>
  <c r="O29" i="4"/>
  <c r="X28" i="4"/>
  <c r="U28" i="4"/>
  <c r="R28" i="4"/>
  <c r="O28" i="4"/>
  <c r="X27" i="4"/>
  <c r="U27" i="4"/>
  <c r="R27" i="4"/>
  <c r="O27" i="4"/>
  <c r="X26" i="4"/>
  <c r="U26" i="4"/>
  <c r="R26" i="4"/>
  <c r="O26" i="4"/>
  <c r="X25" i="4"/>
  <c r="U25" i="4"/>
  <c r="R25" i="4"/>
  <c r="O25" i="4"/>
  <c r="X24" i="4"/>
  <c r="U24" i="4"/>
  <c r="R24" i="4"/>
  <c r="O24" i="4"/>
  <c r="X23" i="4"/>
  <c r="U23" i="4"/>
  <c r="R23" i="4"/>
  <c r="O23" i="4"/>
  <c r="X22" i="4"/>
  <c r="U22" i="4"/>
  <c r="R22" i="4"/>
  <c r="O22" i="4"/>
  <c r="X21" i="4"/>
  <c r="U21" i="4"/>
  <c r="R21" i="4"/>
  <c r="O21" i="4"/>
  <c r="X20" i="4"/>
  <c r="U20" i="4"/>
  <c r="R20" i="4"/>
  <c r="O20" i="4"/>
  <c r="X19" i="4"/>
  <c r="U19" i="4"/>
  <c r="R19" i="4"/>
  <c r="O19" i="4"/>
  <c r="X18" i="4"/>
  <c r="U18" i="4"/>
  <c r="R18" i="4"/>
  <c r="O18" i="4"/>
  <c r="X17" i="4"/>
  <c r="U17" i="4"/>
  <c r="R17" i="4"/>
  <c r="O17" i="4"/>
  <c r="X16" i="4"/>
  <c r="U16" i="4"/>
  <c r="R16" i="4"/>
  <c r="O16" i="4"/>
  <c r="X15" i="4"/>
  <c r="U15" i="4"/>
  <c r="R15" i="4"/>
  <c r="O15" i="4"/>
  <c r="X14" i="4"/>
  <c r="U14" i="4"/>
  <c r="R14" i="4"/>
  <c r="O14" i="4"/>
  <c r="X13" i="4"/>
  <c r="U13" i="4"/>
  <c r="R13" i="4"/>
  <c r="O13" i="4"/>
  <c r="X12" i="4"/>
  <c r="U12" i="4"/>
  <c r="R12" i="4"/>
  <c r="O12" i="4"/>
  <c r="X11" i="4"/>
  <c r="U11" i="4"/>
  <c r="R11" i="4"/>
  <c r="O11" i="4"/>
  <c r="X10" i="4"/>
  <c r="U10" i="4"/>
  <c r="R10" i="4"/>
  <c r="O10" i="4"/>
  <c r="X9" i="4"/>
  <c r="U9" i="4"/>
  <c r="R9" i="4"/>
  <c r="O9" i="4"/>
  <c r="X8" i="4"/>
  <c r="U8" i="4"/>
  <c r="R8" i="4"/>
  <c r="O8" i="4"/>
  <c r="X7" i="4"/>
  <c r="U7" i="4"/>
  <c r="R7" i="4"/>
  <c r="O7" i="4"/>
  <c r="X6" i="4"/>
  <c r="U6" i="4"/>
  <c r="R6" i="4"/>
  <c r="O6" i="4"/>
  <c r="X5" i="4"/>
  <c r="U5" i="4"/>
  <c r="R5" i="4"/>
  <c r="O5" i="4"/>
  <c r="K32" i="4"/>
  <c r="H32" i="4"/>
  <c r="E32" i="4"/>
  <c r="B32" i="4"/>
  <c r="K31" i="4"/>
  <c r="H31" i="4"/>
  <c r="E31" i="4"/>
  <c r="B31" i="4"/>
  <c r="K30" i="4"/>
  <c r="H30" i="4"/>
  <c r="E30" i="4"/>
  <c r="B30" i="4"/>
  <c r="K29" i="4"/>
  <c r="H29" i="4"/>
  <c r="E29" i="4"/>
  <c r="B29" i="4"/>
  <c r="K28" i="4"/>
  <c r="H28" i="4"/>
  <c r="E28" i="4"/>
  <c r="B28" i="4"/>
  <c r="K27" i="4"/>
  <c r="H27" i="4"/>
  <c r="E27" i="4"/>
  <c r="B27" i="4"/>
  <c r="K26" i="4"/>
  <c r="H26" i="4"/>
  <c r="E26" i="4"/>
  <c r="B26" i="4"/>
  <c r="K25" i="4"/>
  <c r="H25" i="4"/>
  <c r="E25" i="4"/>
  <c r="B25" i="4"/>
  <c r="K24" i="4"/>
  <c r="H24" i="4"/>
  <c r="E24" i="4"/>
  <c r="B24" i="4"/>
  <c r="K23" i="4"/>
  <c r="H23" i="4"/>
  <c r="E23" i="4"/>
  <c r="B23" i="4"/>
  <c r="K22" i="4"/>
  <c r="H22" i="4"/>
  <c r="E22" i="4"/>
  <c r="B22" i="4"/>
  <c r="K21" i="4"/>
  <c r="H21" i="4"/>
  <c r="E21" i="4"/>
  <c r="B21" i="4"/>
  <c r="K20" i="4"/>
  <c r="H20" i="4"/>
  <c r="E20" i="4"/>
  <c r="B20" i="4"/>
  <c r="K19" i="4"/>
  <c r="H19" i="4"/>
  <c r="E19" i="4"/>
  <c r="B19" i="4"/>
  <c r="K18" i="4"/>
  <c r="H18" i="4"/>
  <c r="E18" i="4"/>
  <c r="B18" i="4"/>
  <c r="K17" i="4"/>
  <c r="H17" i="4"/>
  <c r="E17" i="4"/>
  <c r="B17" i="4"/>
  <c r="K16" i="4"/>
  <c r="H16" i="4"/>
  <c r="E16" i="4"/>
  <c r="B16" i="4"/>
  <c r="K15" i="4"/>
  <c r="H15" i="4"/>
  <c r="E15" i="4"/>
  <c r="B15" i="4"/>
  <c r="K14" i="4"/>
  <c r="H14" i="4"/>
  <c r="E14" i="4"/>
  <c r="B14" i="4"/>
  <c r="K13" i="4"/>
  <c r="H13" i="4"/>
  <c r="E13" i="4"/>
  <c r="B13" i="4"/>
  <c r="K12" i="4"/>
  <c r="H12" i="4"/>
  <c r="E12" i="4"/>
  <c r="B12" i="4"/>
  <c r="K11" i="4"/>
  <c r="H11" i="4"/>
  <c r="E11" i="4"/>
  <c r="B11" i="4"/>
  <c r="K10" i="4"/>
  <c r="H10" i="4"/>
  <c r="E10" i="4"/>
  <c r="B10" i="4"/>
  <c r="K9" i="4"/>
  <c r="H9" i="4"/>
  <c r="E9" i="4"/>
  <c r="B9" i="4"/>
  <c r="K8" i="4"/>
  <c r="H8" i="4"/>
  <c r="E8" i="4"/>
  <c r="B8" i="4"/>
  <c r="K7" i="4"/>
  <c r="H7" i="4"/>
  <c r="E7" i="4"/>
  <c r="B7" i="4"/>
  <c r="K6" i="4"/>
  <c r="H6" i="4"/>
  <c r="E6" i="4"/>
  <c r="B6" i="4"/>
  <c r="K5" i="4"/>
  <c r="H5" i="4"/>
  <c r="E5" i="4"/>
  <c r="B5" i="4"/>
  <c r="X35" i="1"/>
  <c r="U35" i="1"/>
  <c r="R35" i="1"/>
  <c r="O35" i="1"/>
  <c r="X34" i="1"/>
  <c r="U34" i="1"/>
  <c r="R34" i="1"/>
  <c r="O34" i="1"/>
  <c r="X33" i="1"/>
  <c r="U33" i="1"/>
  <c r="R33" i="1"/>
  <c r="O33" i="1"/>
  <c r="X32" i="1"/>
  <c r="U32" i="1"/>
  <c r="R32" i="1"/>
  <c r="O32" i="1"/>
  <c r="X31" i="1"/>
  <c r="U31" i="1"/>
  <c r="R31" i="1"/>
  <c r="O31" i="1"/>
  <c r="X30" i="1"/>
  <c r="U30" i="1"/>
  <c r="R30" i="1"/>
  <c r="O30" i="1"/>
  <c r="X29" i="1"/>
  <c r="U29" i="1"/>
  <c r="R29" i="1"/>
  <c r="O29" i="1"/>
  <c r="X28" i="1"/>
  <c r="U28" i="1"/>
  <c r="R28" i="1"/>
  <c r="O28" i="1"/>
  <c r="X27" i="1"/>
  <c r="U27" i="1"/>
  <c r="R27" i="1"/>
  <c r="O27" i="1"/>
  <c r="X26" i="1"/>
  <c r="U26" i="1"/>
  <c r="R26" i="1"/>
  <c r="O26" i="1"/>
  <c r="X25" i="1"/>
  <c r="U25" i="1"/>
  <c r="R25" i="1"/>
  <c r="O25" i="1"/>
  <c r="X24" i="1"/>
  <c r="U24" i="1"/>
  <c r="R24" i="1"/>
  <c r="O24" i="1"/>
  <c r="X23" i="1"/>
  <c r="U23" i="1"/>
  <c r="R23" i="1"/>
  <c r="O23" i="1"/>
  <c r="X22" i="1"/>
  <c r="U22" i="1"/>
  <c r="R22" i="1"/>
  <c r="O22" i="1"/>
  <c r="X21" i="1"/>
  <c r="U21" i="1"/>
  <c r="R21" i="1"/>
  <c r="O21" i="1"/>
  <c r="X20" i="1"/>
  <c r="U20" i="1"/>
  <c r="R20" i="1"/>
  <c r="O20" i="1"/>
  <c r="X19" i="1"/>
  <c r="U19" i="1"/>
  <c r="R19" i="1"/>
  <c r="O19" i="1"/>
  <c r="X18" i="1"/>
  <c r="U18" i="1"/>
  <c r="R18" i="1"/>
  <c r="O18" i="1"/>
  <c r="X17" i="1"/>
  <c r="U17" i="1"/>
  <c r="R17" i="1"/>
  <c r="O17" i="1"/>
  <c r="X16" i="1"/>
  <c r="U16" i="1"/>
  <c r="R16" i="1"/>
  <c r="O16" i="1"/>
  <c r="X15" i="1"/>
  <c r="U15" i="1"/>
  <c r="R15" i="1"/>
  <c r="O15" i="1"/>
  <c r="X14" i="1"/>
  <c r="U14" i="1"/>
  <c r="R14" i="1"/>
  <c r="O14" i="1"/>
  <c r="X13" i="1"/>
  <c r="U13" i="1"/>
  <c r="R13" i="1"/>
  <c r="O13" i="1"/>
  <c r="X12" i="1"/>
  <c r="U12" i="1"/>
  <c r="R12" i="1"/>
  <c r="O12" i="1"/>
  <c r="X11" i="1"/>
  <c r="U11" i="1"/>
  <c r="R11" i="1"/>
  <c r="O11" i="1"/>
  <c r="X10" i="1"/>
  <c r="U10" i="1"/>
  <c r="R10" i="1"/>
  <c r="O10" i="1"/>
  <c r="X9" i="1"/>
  <c r="U9" i="1"/>
  <c r="R9" i="1"/>
  <c r="O9" i="1"/>
  <c r="X8" i="1"/>
  <c r="U8" i="1"/>
  <c r="R8" i="1"/>
  <c r="O8" i="1"/>
  <c r="X7" i="1"/>
  <c r="U7" i="1"/>
  <c r="R7" i="1"/>
  <c r="O7" i="1"/>
  <c r="X6" i="1"/>
  <c r="U6" i="1"/>
  <c r="R6" i="1"/>
  <c r="O6" i="1"/>
  <c r="X5" i="1"/>
  <c r="U5" i="1"/>
  <c r="R5" i="1"/>
  <c r="O5" i="1"/>
  <c r="K35" i="1"/>
  <c r="H35" i="1"/>
  <c r="E35" i="1"/>
  <c r="B35" i="1"/>
  <c r="K34" i="1"/>
  <c r="H34" i="1"/>
  <c r="E34" i="1"/>
  <c r="B34" i="1"/>
  <c r="K33" i="1"/>
  <c r="H33" i="1"/>
  <c r="E33" i="1"/>
  <c r="B33" i="1"/>
  <c r="K32" i="1"/>
  <c r="H32" i="1"/>
  <c r="E32" i="1"/>
  <c r="B32" i="1"/>
  <c r="K31" i="1"/>
  <c r="H31" i="1"/>
  <c r="E31" i="1"/>
  <c r="B31" i="1"/>
  <c r="K30" i="1"/>
  <c r="H30" i="1"/>
  <c r="E30" i="1"/>
  <c r="B30" i="1"/>
  <c r="K29" i="1"/>
  <c r="H29" i="1"/>
  <c r="E29" i="1"/>
  <c r="B29" i="1"/>
  <c r="K28" i="1"/>
  <c r="H28" i="1"/>
  <c r="E28" i="1"/>
  <c r="B28" i="1"/>
  <c r="K27" i="1"/>
  <c r="H27" i="1"/>
  <c r="E27" i="1"/>
  <c r="B27" i="1"/>
  <c r="K26" i="1"/>
  <c r="H26" i="1"/>
  <c r="E26" i="1"/>
  <c r="B26" i="1"/>
  <c r="K25" i="1"/>
  <c r="H25" i="1"/>
  <c r="E25" i="1"/>
  <c r="B25" i="1"/>
  <c r="K24" i="1"/>
  <c r="H24" i="1"/>
  <c r="E24" i="1"/>
  <c r="B24" i="1"/>
  <c r="K23" i="1"/>
  <c r="H23" i="1"/>
  <c r="E23" i="1"/>
  <c r="B23" i="1"/>
  <c r="K22" i="1"/>
  <c r="H22" i="1"/>
  <c r="E22" i="1"/>
  <c r="B22" i="1"/>
  <c r="K21" i="1"/>
  <c r="H21" i="1"/>
  <c r="E21" i="1"/>
  <c r="B21" i="1"/>
  <c r="K20" i="1"/>
  <c r="H20" i="1"/>
  <c r="E20" i="1"/>
  <c r="B20" i="1"/>
  <c r="K19" i="1"/>
  <c r="H19" i="1"/>
  <c r="E19" i="1"/>
  <c r="B19" i="1"/>
  <c r="K18" i="1"/>
  <c r="H18" i="1"/>
  <c r="E18" i="1"/>
  <c r="B18" i="1"/>
  <c r="K17" i="1"/>
  <c r="H17" i="1"/>
  <c r="E17" i="1"/>
  <c r="B17" i="1"/>
  <c r="K16" i="1"/>
  <c r="H16" i="1"/>
  <c r="E16" i="1"/>
  <c r="B16" i="1"/>
  <c r="K15" i="1"/>
  <c r="H15" i="1"/>
  <c r="E15" i="1"/>
  <c r="B15" i="1"/>
  <c r="K14" i="1"/>
  <c r="H14" i="1"/>
  <c r="E14" i="1"/>
  <c r="B14" i="1"/>
  <c r="K13" i="1"/>
  <c r="H13" i="1"/>
  <c r="E13" i="1"/>
  <c r="B13" i="1"/>
  <c r="K12" i="1"/>
  <c r="H12" i="1"/>
  <c r="E12" i="1"/>
  <c r="B12" i="1"/>
  <c r="K11" i="1"/>
  <c r="H11" i="1"/>
  <c r="E11" i="1"/>
  <c r="B11" i="1"/>
  <c r="K10" i="1"/>
  <c r="H10" i="1"/>
  <c r="E10" i="1"/>
  <c r="B10" i="1"/>
  <c r="K9" i="1"/>
  <c r="H9" i="1"/>
  <c r="E9" i="1"/>
  <c r="B9" i="1"/>
  <c r="K8" i="1"/>
  <c r="H8" i="1"/>
  <c r="E8" i="1"/>
  <c r="B8" i="1"/>
  <c r="K7" i="1"/>
  <c r="H7" i="1"/>
  <c r="E7" i="1"/>
  <c r="B7" i="1"/>
  <c r="K6" i="1"/>
  <c r="H6" i="1"/>
  <c r="E6" i="1"/>
  <c r="B6" i="1"/>
  <c r="K5" i="1"/>
  <c r="H5" i="1"/>
  <c r="E5" i="1"/>
  <c r="B5" i="1"/>
  <c r="X34" i="12"/>
  <c r="U34" i="12"/>
  <c r="R34" i="12"/>
  <c r="O34" i="12"/>
  <c r="X33" i="12"/>
  <c r="U33" i="12"/>
  <c r="R33" i="12"/>
  <c r="O33" i="12"/>
  <c r="X32" i="12"/>
  <c r="U32" i="12"/>
  <c r="R32" i="12"/>
  <c r="O32" i="12"/>
  <c r="X31" i="12"/>
  <c r="U31" i="12"/>
  <c r="R31" i="12"/>
  <c r="O31" i="12"/>
  <c r="X30" i="12"/>
  <c r="U30" i="12"/>
  <c r="R30" i="12"/>
  <c r="O30" i="12"/>
  <c r="X29" i="12"/>
  <c r="U29" i="12"/>
  <c r="R29" i="12"/>
  <c r="O29" i="12"/>
  <c r="X28" i="12"/>
  <c r="U28" i="12"/>
  <c r="R28" i="12"/>
  <c r="O28" i="12"/>
  <c r="X27" i="12"/>
  <c r="U27" i="12"/>
  <c r="R27" i="12"/>
  <c r="O27" i="12"/>
  <c r="X26" i="12"/>
  <c r="U26" i="12"/>
  <c r="R26" i="12"/>
  <c r="O26" i="12"/>
  <c r="X25" i="12"/>
  <c r="U25" i="12"/>
  <c r="R25" i="12"/>
  <c r="O25" i="12"/>
  <c r="X24" i="12"/>
  <c r="U24" i="12"/>
  <c r="R24" i="12"/>
  <c r="O24" i="12"/>
  <c r="X23" i="12"/>
  <c r="U23" i="12"/>
  <c r="R23" i="12"/>
  <c r="O23" i="12"/>
  <c r="X22" i="12"/>
  <c r="U22" i="12"/>
  <c r="R22" i="12"/>
  <c r="O22" i="12"/>
  <c r="X21" i="12"/>
  <c r="U21" i="12"/>
  <c r="R21" i="12"/>
  <c r="O21" i="12"/>
  <c r="X20" i="12"/>
  <c r="U20" i="12"/>
  <c r="R20" i="12"/>
  <c r="O20" i="12"/>
  <c r="X19" i="12"/>
  <c r="U19" i="12"/>
  <c r="R19" i="12"/>
  <c r="O19" i="12"/>
  <c r="X18" i="12"/>
  <c r="U18" i="12"/>
  <c r="R18" i="12"/>
  <c r="O18" i="12"/>
  <c r="X17" i="12"/>
  <c r="U17" i="12"/>
  <c r="R17" i="12"/>
  <c r="O17" i="12"/>
  <c r="X16" i="12"/>
  <c r="U16" i="12"/>
  <c r="R16" i="12"/>
  <c r="O16" i="12"/>
  <c r="X15" i="12"/>
  <c r="U15" i="12"/>
  <c r="R15" i="12"/>
  <c r="O15" i="12"/>
  <c r="X14" i="12"/>
  <c r="U14" i="12"/>
  <c r="R14" i="12"/>
  <c r="O14" i="12"/>
  <c r="X13" i="12"/>
  <c r="U13" i="12"/>
  <c r="R13" i="12"/>
  <c r="O13" i="12"/>
  <c r="X12" i="12"/>
  <c r="U12" i="12"/>
  <c r="R12" i="12"/>
  <c r="O12" i="12"/>
  <c r="X11" i="12"/>
  <c r="U11" i="12"/>
  <c r="R11" i="12"/>
  <c r="O11" i="12"/>
  <c r="X10" i="12"/>
  <c r="U10" i="12"/>
  <c r="R10" i="12"/>
  <c r="O10" i="12"/>
  <c r="X9" i="12"/>
  <c r="U9" i="12"/>
  <c r="R9" i="12"/>
  <c r="O9" i="12"/>
  <c r="X8" i="12"/>
  <c r="U8" i="12"/>
  <c r="R8" i="12"/>
  <c r="O8" i="12"/>
  <c r="X7" i="12"/>
  <c r="U7" i="12"/>
  <c r="R7" i="12"/>
  <c r="O7" i="12"/>
  <c r="X6" i="12"/>
  <c r="U6" i="12"/>
  <c r="R6" i="12"/>
  <c r="O6" i="12"/>
  <c r="X5" i="12"/>
  <c r="U5" i="12"/>
  <c r="R5" i="12"/>
  <c r="O5" i="12"/>
  <c r="K34" i="12"/>
  <c r="H34" i="12"/>
  <c r="E34" i="12"/>
  <c r="B34" i="12"/>
  <c r="K33" i="12"/>
  <c r="H33" i="12"/>
  <c r="E33" i="12"/>
  <c r="B33" i="12"/>
  <c r="K32" i="12"/>
  <c r="H32" i="12"/>
  <c r="E32" i="12"/>
  <c r="B32" i="12"/>
  <c r="K31" i="12"/>
  <c r="H31" i="12"/>
  <c r="E31" i="12"/>
  <c r="B31" i="12"/>
  <c r="K30" i="12"/>
  <c r="H30" i="12"/>
  <c r="E30" i="12"/>
  <c r="B30" i="12"/>
  <c r="K29" i="12"/>
  <c r="H29" i="12"/>
  <c r="E29" i="12"/>
  <c r="B29" i="12"/>
  <c r="K28" i="12"/>
  <c r="H28" i="12"/>
  <c r="E28" i="12"/>
  <c r="B28" i="12"/>
  <c r="K27" i="12"/>
  <c r="H27" i="12"/>
  <c r="E27" i="12"/>
  <c r="B27" i="12"/>
  <c r="K26" i="12"/>
  <c r="H26" i="12"/>
  <c r="E26" i="12"/>
  <c r="B26" i="12"/>
  <c r="K25" i="12"/>
  <c r="H25" i="12"/>
  <c r="E25" i="12"/>
  <c r="B25" i="12"/>
  <c r="K24" i="12"/>
  <c r="H24" i="12"/>
  <c r="E24" i="12"/>
  <c r="B24" i="12"/>
  <c r="K23" i="12"/>
  <c r="H23" i="12"/>
  <c r="E23" i="12"/>
  <c r="B23" i="12"/>
  <c r="K22" i="12"/>
  <c r="H22" i="12"/>
  <c r="E22" i="12"/>
  <c r="B22" i="12"/>
  <c r="K21" i="12"/>
  <c r="H21" i="12"/>
  <c r="E21" i="12"/>
  <c r="B21" i="12"/>
  <c r="K20" i="12"/>
  <c r="H20" i="12"/>
  <c r="E20" i="12"/>
  <c r="B20" i="12"/>
  <c r="K19" i="12"/>
  <c r="H19" i="12"/>
  <c r="E19" i="12"/>
  <c r="B19" i="12"/>
  <c r="K18" i="12"/>
  <c r="H18" i="12"/>
  <c r="E18" i="12"/>
  <c r="B18" i="12"/>
  <c r="K17" i="12"/>
  <c r="H17" i="12"/>
  <c r="E17" i="12"/>
  <c r="B17" i="12"/>
  <c r="K16" i="12"/>
  <c r="H16" i="12"/>
  <c r="E16" i="12"/>
  <c r="B16" i="12"/>
  <c r="K15" i="12"/>
  <c r="H15" i="12"/>
  <c r="E15" i="12"/>
  <c r="B15" i="12"/>
  <c r="K14" i="12"/>
  <c r="H14" i="12"/>
  <c r="E14" i="12"/>
  <c r="B14" i="12"/>
  <c r="K13" i="12"/>
  <c r="H13" i="12"/>
  <c r="E13" i="12"/>
  <c r="B13" i="12"/>
  <c r="K12" i="12"/>
  <c r="H12" i="12"/>
  <c r="E12" i="12"/>
  <c r="B12" i="12"/>
  <c r="K11" i="12"/>
  <c r="H11" i="12"/>
  <c r="E11" i="12"/>
  <c r="B11" i="12"/>
  <c r="K10" i="12"/>
  <c r="H10" i="12"/>
  <c r="E10" i="12"/>
  <c r="B10" i="12"/>
  <c r="K9" i="12"/>
  <c r="H9" i="12"/>
  <c r="E9" i="12"/>
  <c r="B9" i="12"/>
  <c r="K8" i="12"/>
  <c r="H8" i="12"/>
  <c r="E8" i="12"/>
  <c r="B8" i="12"/>
  <c r="K7" i="12"/>
  <c r="H7" i="12"/>
  <c r="E7" i="12"/>
  <c r="B7" i="12"/>
  <c r="K6" i="12"/>
  <c r="H6" i="12"/>
  <c r="E6" i="12"/>
  <c r="B6" i="12"/>
  <c r="K5" i="12"/>
  <c r="H5" i="12"/>
  <c r="E5" i="12"/>
  <c r="B5" i="12"/>
  <c r="X35" i="11"/>
  <c r="U35" i="11"/>
  <c r="R35" i="11"/>
  <c r="O35" i="11"/>
  <c r="X34" i="11"/>
  <c r="U34" i="11"/>
  <c r="R34" i="11"/>
  <c r="O34" i="11"/>
  <c r="X33" i="11"/>
  <c r="U33" i="11"/>
  <c r="R33" i="11"/>
  <c r="O33" i="11"/>
  <c r="X32" i="11"/>
  <c r="U32" i="11"/>
  <c r="R32" i="11"/>
  <c r="O32" i="11"/>
  <c r="X31" i="11"/>
  <c r="U31" i="11"/>
  <c r="R31" i="11"/>
  <c r="O31" i="11"/>
  <c r="X30" i="11"/>
  <c r="U30" i="11"/>
  <c r="R30" i="11"/>
  <c r="O30" i="11"/>
  <c r="X29" i="11"/>
  <c r="U29" i="11"/>
  <c r="R29" i="11"/>
  <c r="O29" i="11"/>
  <c r="X28" i="11"/>
  <c r="U28" i="11"/>
  <c r="R28" i="11"/>
  <c r="O28" i="11"/>
  <c r="X27" i="11"/>
  <c r="U27" i="11"/>
  <c r="R27" i="11"/>
  <c r="O27" i="11"/>
  <c r="X26" i="11"/>
  <c r="U26" i="11"/>
  <c r="R26" i="11"/>
  <c r="O26" i="11"/>
  <c r="X25" i="11"/>
  <c r="U25" i="11"/>
  <c r="R25" i="11"/>
  <c r="O25" i="11"/>
  <c r="X24" i="11"/>
  <c r="U24" i="11"/>
  <c r="R24" i="11"/>
  <c r="O24" i="11"/>
  <c r="X23" i="11"/>
  <c r="U23" i="11"/>
  <c r="R23" i="11"/>
  <c r="O23" i="11"/>
  <c r="X22" i="11"/>
  <c r="U22" i="11"/>
  <c r="R22" i="11"/>
  <c r="O22" i="11"/>
  <c r="X21" i="11"/>
  <c r="U21" i="11"/>
  <c r="R21" i="11"/>
  <c r="O21" i="11"/>
  <c r="X20" i="11"/>
  <c r="U20" i="11"/>
  <c r="R20" i="11"/>
  <c r="O20" i="11"/>
  <c r="X19" i="11"/>
  <c r="U19" i="11"/>
  <c r="R19" i="11"/>
  <c r="O19" i="11"/>
  <c r="X18" i="11"/>
  <c r="U18" i="11"/>
  <c r="R18" i="11"/>
  <c r="O18" i="11"/>
  <c r="X17" i="11"/>
  <c r="U17" i="11"/>
  <c r="R17" i="11"/>
  <c r="O17" i="11"/>
  <c r="X16" i="11"/>
  <c r="U16" i="11"/>
  <c r="R16" i="11"/>
  <c r="O16" i="11"/>
  <c r="X15" i="11"/>
  <c r="U15" i="11"/>
  <c r="R15" i="11"/>
  <c r="O15" i="11"/>
  <c r="X14" i="11"/>
  <c r="U14" i="11"/>
  <c r="R14" i="11"/>
  <c r="O14" i="11"/>
  <c r="X13" i="11"/>
  <c r="U13" i="11"/>
  <c r="R13" i="11"/>
  <c r="O13" i="11"/>
  <c r="X12" i="11"/>
  <c r="U12" i="11"/>
  <c r="R12" i="11"/>
  <c r="O12" i="11"/>
  <c r="X11" i="11"/>
  <c r="U11" i="11"/>
  <c r="R11" i="11"/>
  <c r="O11" i="11"/>
  <c r="X10" i="11"/>
  <c r="U10" i="11"/>
  <c r="R10" i="11"/>
  <c r="O10" i="11"/>
  <c r="X9" i="11"/>
  <c r="U9" i="11"/>
  <c r="R9" i="11"/>
  <c r="O9" i="11"/>
  <c r="X8" i="11"/>
  <c r="U8" i="11"/>
  <c r="R8" i="11"/>
  <c r="O8" i="11"/>
  <c r="X7" i="11"/>
  <c r="U7" i="11"/>
  <c r="R7" i="11"/>
  <c r="O7" i="11"/>
  <c r="X6" i="11"/>
  <c r="U6" i="11"/>
  <c r="R6" i="11"/>
  <c r="O6" i="11"/>
  <c r="X5" i="11"/>
  <c r="U5" i="11"/>
  <c r="R5" i="11"/>
  <c r="O5" i="11"/>
  <c r="K35" i="11"/>
  <c r="H35" i="11"/>
  <c r="E35" i="11"/>
  <c r="B35" i="11"/>
  <c r="K34" i="11"/>
  <c r="H34" i="11"/>
  <c r="E34" i="11"/>
  <c r="B34" i="11"/>
  <c r="K33" i="11"/>
  <c r="H33" i="11"/>
  <c r="E33" i="11"/>
  <c r="B33" i="11"/>
  <c r="K32" i="11"/>
  <c r="H32" i="11"/>
  <c r="E32" i="11"/>
  <c r="B32" i="11"/>
  <c r="K31" i="11"/>
  <c r="H31" i="11"/>
  <c r="E31" i="11"/>
  <c r="B31" i="11"/>
  <c r="K30" i="11"/>
  <c r="H30" i="11"/>
  <c r="E30" i="11"/>
  <c r="B30" i="11"/>
  <c r="K29" i="11"/>
  <c r="H29" i="11"/>
  <c r="E29" i="11"/>
  <c r="B29" i="11"/>
  <c r="K28" i="11"/>
  <c r="H28" i="11"/>
  <c r="E28" i="11"/>
  <c r="B28" i="11"/>
  <c r="K27" i="11"/>
  <c r="H27" i="11"/>
  <c r="E27" i="11"/>
  <c r="B27" i="11"/>
  <c r="K26" i="11"/>
  <c r="H26" i="11"/>
  <c r="E26" i="11"/>
  <c r="B26" i="11"/>
  <c r="K25" i="11"/>
  <c r="H25" i="11"/>
  <c r="E25" i="11"/>
  <c r="B25" i="11"/>
  <c r="K24" i="11"/>
  <c r="H24" i="11"/>
  <c r="E24" i="11"/>
  <c r="B24" i="11"/>
  <c r="K23" i="11"/>
  <c r="H23" i="11"/>
  <c r="E23" i="11"/>
  <c r="B23" i="11"/>
  <c r="K22" i="11"/>
  <c r="H22" i="11"/>
  <c r="E22" i="11"/>
  <c r="B22" i="11"/>
  <c r="K21" i="11"/>
  <c r="H21" i="11"/>
  <c r="E21" i="11"/>
  <c r="B21" i="11"/>
  <c r="K20" i="11"/>
  <c r="H20" i="11"/>
  <c r="E20" i="11"/>
  <c r="B20" i="11"/>
  <c r="K19" i="11"/>
  <c r="H19" i="11"/>
  <c r="E19" i="11"/>
  <c r="B19" i="11"/>
  <c r="K18" i="11"/>
  <c r="H18" i="11"/>
  <c r="E18" i="11"/>
  <c r="B18" i="11"/>
  <c r="K17" i="11"/>
  <c r="H17" i="11"/>
  <c r="E17" i="11"/>
  <c r="B17" i="11"/>
  <c r="K16" i="11"/>
  <c r="H16" i="11"/>
  <c r="E16" i="11"/>
  <c r="B16" i="11"/>
  <c r="K15" i="11"/>
  <c r="H15" i="11"/>
  <c r="E15" i="11"/>
  <c r="B15" i="11"/>
  <c r="K14" i="11"/>
  <c r="H14" i="11"/>
  <c r="E14" i="11"/>
  <c r="B14" i="11"/>
  <c r="K13" i="11"/>
  <c r="H13" i="11"/>
  <c r="E13" i="11"/>
  <c r="B13" i="11"/>
  <c r="K12" i="11"/>
  <c r="H12" i="11"/>
  <c r="E12" i="11"/>
  <c r="B12" i="11"/>
  <c r="K11" i="11"/>
  <c r="H11" i="11"/>
  <c r="E11" i="11"/>
  <c r="B11" i="11"/>
  <c r="K10" i="11"/>
  <c r="H10" i="11"/>
  <c r="E10" i="11"/>
  <c r="B10" i="11"/>
  <c r="K9" i="11"/>
  <c r="H9" i="11"/>
  <c r="E9" i="11"/>
  <c r="B9" i="11"/>
  <c r="K8" i="11"/>
  <c r="H8" i="11"/>
  <c r="E8" i="11"/>
  <c r="B8" i="11"/>
  <c r="K7" i="11"/>
  <c r="H7" i="11"/>
  <c r="E7" i="11"/>
  <c r="B7" i="11"/>
  <c r="K6" i="11"/>
  <c r="H6" i="11"/>
  <c r="E6" i="11"/>
  <c r="B6" i="11"/>
  <c r="K5" i="11"/>
  <c r="H5" i="11"/>
  <c r="E5" i="11"/>
  <c r="B5" i="11"/>
  <c r="X35" i="16"/>
  <c r="U35" i="16"/>
  <c r="R35" i="16"/>
  <c r="O35" i="16"/>
  <c r="X34" i="16"/>
  <c r="U34" i="16"/>
  <c r="R34" i="16"/>
  <c r="O34" i="16"/>
  <c r="X33" i="16"/>
  <c r="U33" i="16"/>
  <c r="R33" i="16"/>
  <c r="O33" i="16"/>
  <c r="X32" i="16"/>
  <c r="U32" i="16"/>
  <c r="R32" i="16"/>
  <c r="O32" i="16"/>
  <c r="X31" i="16"/>
  <c r="U31" i="16"/>
  <c r="R31" i="16"/>
  <c r="O31" i="16"/>
  <c r="X30" i="16"/>
  <c r="U30" i="16"/>
  <c r="R30" i="16"/>
  <c r="O30" i="16"/>
  <c r="X29" i="16"/>
  <c r="U29" i="16"/>
  <c r="R29" i="16"/>
  <c r="O29" i="16"/>
  <c r="X28" i="16"/>
  <c r="U28" i="16"/>
  <c r="R28" i="16"/>
  <c r="O28" i="16"/>
  <c r="X27" i="16"/>
  <c r="U27" i="16"/>
  <c r="R27" i="16"/>
  <c r="O27" i="16"/>
  <c r="X26" i="16"/>
  <c r="U26" i="16"/>
  <c r="R26" i="16"/>
  <c r="O26" i="16"/>
  <c r="X25" i="16"/>
  <c r="U25" i="16"/>
  <c r="R25" i="16"/>
  <c r="O25" i="16"/>
  <c r="X24" i="16"/>
  <c r="U24" i="16"/>
  <c r="R24" i="16"/>
  <c r="O24" i="16"/>
  <c r="X23" i="16"/>
  <c r="U23" i="16"/>
  <c r="R23" i="16"/>
  <c r="O23" i="16"/>
  <c r="X22" i="16"/>
  <c r="U22" i="16"/>
  <c r="R22" i="16"/>
  <c r="O22" i="16"/>
  <c r="X21" i="16"/>
  <c r="U21" i="16"/>
  <c r="R21" i="16"/>
  <c r="O21" i="16"/>
  <c r="X20" i="16"/>
  <c r="U20" i="16"/>
  <c r="R20" i="16"/>
  <c r="O20" i="16"/>
  <c r="X19" i="16"/>
  <c r="U19" i="16"/>
  <c r="R19" i="16"/>
  <c r="O19" i="16"/>
  <c r="X18" i="16"/>
  <c r="U18" i="16"/>
  <c r="R18" i="16"/>
  <c r="O18" i="16"/>
  <c r="X17" i="16"/>
  <c r="U17" i="16"/>
  <c r="R17" i="16"/>
  <c r="O17" i="16"/>
  <c r="X16" i="16"/>
  <c r="U16" i="16"/>
  <c r="R16" i="16"/>
  <c r="O16" i="16"/>
  <c r="X15" i="16"/>
  <c r="U15" i="16"/>
  <c r="R15" i="16"/>
  <c r="O15" i="16"/>
  <c r="X14" i="16"/>
  <c r="U14" i="16"/>
  <c r="R14" i="16"/>
  <c r="O14" i="16"/>
  <c r="X13" i="16"/>
  <c r="U13" i="16"/>
  <c r="R13" i="16"/>
  <c r="O13" i="16"/>
  <c r="X12" i="16"/>
  <c r="U12" i="16"/>
  <c r="R12" i="16"/>
  <c r="O12" i="16"/>
  <c r="X11" i="16"/>
  <c r="U11" i="16"/>
  <c r="R11" i="16"/>
  <c r="O11" i="16"/>
  <c r="X10" i="16"/>
  <c r="U10" i="16"/>
  <c r="R10" i="16"/>
  <c r="O10" i="16"/>
  <c r="X9" i="16"/>
  <c r="U9" i="16"/>
  <c r="R9" i="16"/>
  <c r="O9" i="16"/>
  <c r="X8" i="16"/>
  <c r="U8" i="16"/>
  <c r="R8" i="16"/>
  <c r="O8" i="16"/>
  <c r="X7" i="16"/>
  <c r="U7" i="16"/>
  <c r="R7" i="16"/>
  <c r="O7" i="16"/>
  <c r="X6" i="16"/>
  <c r="U6" i="16"/>
  <c r="R6" i="16"/>
  <c r="O6" i="16"/>
  <c r="X5" i="16"/>
  <c r="U5" i="16"/>
  <c r="R5" i="16"/>
  <c r="O5" i="16"/>
  <c r="K35" i="16"/>
  <c r="H35" i="16"/>
  <c r="E35" i="16"/>
  <c r="B35" i="16"/>
  <c r="K34" i="16"/>
  <c r="H34" i="16"/>
  <c r="E34" i="16"/>
  <c r="B34" i="16"/>
  <c r="K33" i="16"/>
  <c r="H33" i="16"/>
  <c r="E33" i="16"/>
  <c r="B33" i="16"/>
  <c r="K32" i="16"/>
  <c r="H32" i="16"/>
  <c r="E32" i="16"/>
  <c r="B32" i="16"/>
  <c r="K31" i="16"/>
  <c r="H31" i="16"/>
  <c r="E31" i="16"/>
  <c r="B31" i="16"/>
  <c r="K30" i="16"/>
  <c r="H30" i="16"/>
  <c r="E30" i="16"/>
  <c r="B30" i="16"/>
  <c r="K29" i="16"/>
  <c r="H29" i="16"/>
  <c r="E29" i="16"/>
  <c r="B29" i="16"/>
  <c r="K28" i="16"/>
  <c r="H28" i="16"/>
  <c r="E28" i="16"/>
  <c r="B28" i="16"/>
  <c r="K27" i="16"/>
  <c r="H27" i="16"/>
  <c r="E27" i="16"/>
  <c r="B27" i="16"/>
  <c r="K26" i="16"/>
  <c r="H26" i="16"/>
  <c r="E26" i="16"/>
  <c r="B26" i="16"/>
  <c r="K25" i="16"/>
  <c r="H25" i="16"/>
  <c r="E25" i="16"/>
  <c r="B25" i="16"/>
  <c r="K24" i="16"/>
  <c r="H24" i="16"/>
  <c r="E24" i="16"/>
  <c r="B24" i="16"/>
  <c r="K23" i="16"/>
  <c r="H23" i="16"/>
  <c r="E23" i="16"/>
  <c r="B23" i="16"/>
  <c r="K22" i="16"/>
  <c r="H22" i="16"/>
  <c r="E22" i="16"/>
  <c r="B22" i="16"/>
  <c r="K21" i="16"/>
  <c r="H21" i="16"/>
  <c r="E21" i="16"/>
  <c r="B21" i="16"/>
  <c r="K20" i="16"/>
  <c r="H20" i="16"/>
  <c r="E20" i="16"/>
  <c r="B20" i="16"/>
  <c r="K19" i="16"/>
  <c r="H19" i="16"/>
  <c r="E19" i="16"/>
  <c r="B19" i="16"/>
  <c r="K18" i="16"/>
  <c r="H18" i="16"/>
  <c r="E18" i="16"/>
  <c r="B18" i="16"/>
  <c r="K17" i="16"/>
  <c r="H17" i="16"/>
  <c r="E17" i="16"/>
  <c r="B17" i="16"/>
  <c r="K16" i="16"/>
  <c r="H16" i="16"/>
  <c r="E16" i="16"/>
  <c r="B16" i="16"/>
  <c r="K15" i="16"/>
  <c r="H15" i="16"/>
  <c r="E15" i="16"/>
  <c r="B15" i="16"/>
  <c r="K14" i="16"/>
  <c r="H14" i="16"/>
  <c r="E14" i="16"/>
  <c r="B14" i="16"/>
  <c r="K13" i="16"/>
  <c r="H13" i="16"/>
  <c r="E13" i="16"/>
  <c r="B13" i="16"/>
  <c r="K12" i="16"/>
  <c r="H12" i="16"/>
  <c r="E12" i="16"/>
  <c r="B12" i="16"/>
  <c r="K11" i="16"/>
  <c r="H11" i="16"/>
  <c r="E11" i="16"/>
  <c r="B11" i="16"/>
  <c r="K10" i="16"/>
  <c r="H10" i="16"/>
  <c r="E10" i="16"/>
  <c r="B10" i="16"/>
  <c r="K9" i="16"/>
  <c r="H9" i="16"/>
  <c r="E9" i="16"/>
  <c r="B9" i="16"/>
  <c r="K8" i="16"/>
  <c r="H8" i="16"/>
  <c r="E8" i="16"/>
  <c r="B8" i="16"/>
  <c r="K7" i="16"/>
  <c r="H7" i="16"/>
  <c r="E7" i="16"/>
  <c r="B7" i="16"/>
  <c r="K6" i="16"/>
  <c r="H6" i="16"/>
  <c r="E6" i="16"/>
  <c r="B6" i="16"/>
  <c r="K5" i="16"/>
  <c r="H5" i="16"/>
  <c r="E5" i="16"/>
  <c r="B5" i="16"/>
  <c r="C6" i="5" l="1"/>
  <c r="D6" i="5" s="1"/>
  <c r="F6" i="5"/>
  <c r="G6" i="5" s="1"/>
  <c r="I6" i="5"/>
  <c r="J6" i="5" s="1"/>
  <c r="L6" i="5"/>
  <c r="M6" i="5" s="1"/>
  <c r="P6" i="5"/>
  <c r="Q6" i="5" s="1"/>
  <c r="S6" i="5"/>
  <c r="T6" i="5" s="1"/>
  <c r="V6" i="5"/>
  <c r="W6" i="5" s="1"/>
  <c r="Y6" i="5"/>
  <c r="Z6" i="5" s="1"/>
  <c r="C7" i="5"/>
  <c r="D7" i="5" s="1"/>
  <c r="F7" i="5"/>
  <c r="G7" i="5" s="1"/>
  <c r="I7" i="5"/>
  <c r="J7" i="5" s="1"/>
  <c r="L7" i="5"/>
  <c r="M7" i="5" s="1"/>
  <c r="P7" i="5"/>
  <c r="Q7" i="5" s="1"/>
  <c r="S7" i="5"/>
  <c r="T7" i="5" s="1"/>
  <c r="V7" i="5"/>
  <c r="W7" i="5" s="1"/>
  <c r="Y7" i="5"/>
  <c r="Z7" i="5" s="1"/>
  <c r="C8" i="5"/>
  <c r="D8" i="5" s="1"/>
  <c r="F8" i="5"/>
  <c r="G8" i="5" s="1"/>
  <c r="I8" i="5"/>
  <c r="J8" i="5" s="1"/>
  <c r="L8" i="5"/>
  <c r="M8" i="5" s="1"/>
  <c r="P8" i="5"/>
  <c r="Q8" i="5" s="1"/>
  <c r="S8" i="5"/>
  <c r="T8" i="5" s="1"/>
  <c r="V8" i="5"/>
  <c r="W8" i="5" s="1"/>
  <c r="Y8" i="5"/>
  <c r="Z8" i="5" s="1"/>
  <c r="C9" i="5"/>
  <c r="D9" i="5" s="1"/>
  <c r="F9" i="5"/>
  <c r="G9" i="5" s="1"/>
  <c r="I9" i="5"/>
  <c r="J9" i="5" s="1"/>
  <c r="L9" i="5"/>
  <c r="M9" i="5" s="1"/>
  <c r="P9" i="5"/>
  <c r="Q9" i="5" s="1"/>
  <c r="S9" i="5"/>
  <c r="T9" i="5" s="1"/>
  <c r="V9" i="5"/>
  <c r="W9" i="5" s="1"/>
  <c r="Y9" i="5"/>
  <c r="Z9" i="5" s="1"/>
  <c r="C10" i="5"/>
  <c r="D10" i="5" s="1"/>
  <c r="F10" i="5"/>
  <c r="G10" i="5" s="1"/>
  <c r="I10" i="5"/>
  <c r="J10" i="5" s="1"/>
  <c r="L10" i="5"/>
  <c r="M10" i="5" s="1"/>
  <c r="P10" i="5"/>
  <c r="Q10" i="5" s="1"/>
  <c r="S10" i="5"/>
  <c r="T10" i="5" s="1"/>
  <c r="V10" i="5"/>
  <c r="W10" i="5" s="1"/>
  <c r="Y10" i="5"/>
  <c r="Z10" i="5" s="1"/>
  <c r="C11" i="5"/>
  <c r="D11" i="5" s="1"/>
  <c r="F11" i="5"/>
  <c r="G11" i="5" s="1"/>
  <c r="I11" i="5"/>
  <c r="J11" i="5" s="1"/>
  <c r="L11" i="5"/>
  <c r="M11" i="5" s="1"/>
  <c r="P11" i="5"/>
  <c r="Q11" i="5" s="1"/>
  <c r="S11" i="5"/>
  <c r="T11" i="5" s="1"/>
  <c r="V11" i="5"/>
  <c r="W11" i="5" s="1"/>
  <c r="Y11" i="5"/>
  <c r="Z11" i="5" s="1"/>
  <c r="C12" i="5"/>
  <c r="D12" i="5" s="1"/>
  <c r="F12" i="5"/>
  <c r="G12" i="5" s="1"/>
  <c r="I12" i="5"/>
  <c r="J12" i="5" s="1"/>
  <c r="L12" i="5"/>
  <c r="M12" i="5" s="1"/>
  <c r="P12" i="5"/>
  <c r="Q12" i="5" s="1"/>
  <c r="S12" i="5"/>
  <c r="T12" i="5" s="1"/>
  <c r="V12" i="5"/>
  <c r="W12" i="5" s="1"/>
  <c r="Y12" i="5"/>
  <c r="Z12" i="5" s="1"/>
  <c r="C13" i="5"/>
  <c r="D13" i="5" s="1"/>
  <c r="F13" i="5"/>
  <c r="G13" i="5" s="1"/>
  <c r="I13" i="5"/>
  <c r="J13" i="5" s="1"/>
  <c r="L13" i="5"/>
  <c r="M13" i="5" s="1"/>
  <c r="P13" i="5"/>
  <c r="Q13" i="5" s="1"/>
  <c r="S13" i="5"/>
  <c r="T13" i="5" s="1"/>
  <c r="V13" i="5"/>
  <c r="W13" i="5" s="1"/>
  <c r="Y13" i="5"/>
  <c r="Z13" i="5" s="1"/>
  <c r="C14" i="5"/>
  <c r="D14" i="5" s="1"/>
  <c r="F14" i="5"/>
  <c r="G14" i="5" s="1"/>
  <c r="I14" i="5"/>
  <c r="J14" i="5" s="1"/>
  <c r="L14" i="5"/>
  <c r="M14" i="5" s="1"/>
  <c r="P14" i="5"/>
  <c r="Q14" i="5" s="1"/>
  <c r="S14" i="5"/>
  <c r="T14" i="5" s="1"/>
  <c r="V14" i="5"/>
  <c r="W14" i="5" s="1"/>
  <c r="Y14" i="5"/>
  <c r="Z14" i="5" s="1"/>
  <c r="C15" i="5"/>
  <c r="D15" i="5" s="1"/>
  <c r="F15" i="5"/>
  <c r="G15" i="5" s="1"/>
  <c r="I15" i="5"/>
  <c r="J15" i="5" s="1"/>
  <c r="L15" i="5"/>
  <c r="M15" i="5" s="1"/>
  <c r="P15" i="5"/>
  <c r="Q15" i="5" s="1"/>
  <c r="S15" i="5"/>
  <c r="T15" i="5" s="1"/>
  <c r="V15" i="5"/>
  <c r="W15" i="5" s="1"/>
  <c r="Y15" i="5"/>
  <c r="Z15" i="5" s="1"/>
  <c r="C16" i="5"/>
  <c r="D16" i="5" s="1"/>
  <c r="F16" i="5"/>
  <c r="G16" i="5" s="1"/>
  <c r="I16" i="5"/>
  <c r="J16" i="5" s="1"/>
  <c r="L16" i="5"/>
  <c r="M16" i="5" s="1"/>
  <c r="P16" i="5"/>
  <c r="Q16" i="5" s="1"/>
  <c r="S16" i="5"/>
  <c r="T16" i="5" s="1"/>
  <c r="V16" i="5"/>
  <c r="W16" i="5" s="1"/>
  <c r="Y16" i="5"/>
  <c r="Z16" i="5" s="1"/>
  <c r="C17" i="5"/>
  <c r="D17" i="5" s="1"/>
  <c r="F17" i="5"/>
  <c r="G17" i="5" s="1"/>
  <c r="I17" i="5"/>
  <c r="J17" i="5" s="1"/>
  <c r="L17" i="5"/>
  <c r="M17" i="5" s="1"/>
  <c r="P17" i="5"/>
  <c r="Q17" i="5" s="1"/>
  <c r="S17" i="5"/>
  <c r="T17" i="5" s="1"/>
  <c r="V17" i="5"/>
  <c r="W17" i="5" s="1"/>
  <c r="Y17" i="5"/>
  <c r="Z17" i="5" s="1"/>
  <c r="C18" i="5"/>
  <c r="D18" i="5" s="1"/>
  <c r="F18" i="5"/>
  <c r="G18" i="5" s="1"/>
  <c r="I18" i="5"/>
  <c r="J18" i="5" s="1"/>
  <c r="L18" i="5"/>
  <c r="M18" i="5" s="1"/>
  <c r="P18" i="5"/>
  <c r="Q18" i="5" s="1"/>
  <c r="S18" i="5"/>
  <c r="T18" i="5" s="1"/>
  <c r="V18" i="5"/>
  <c r="W18" i="5" s="1"/>
  <c r="Y18" i="5"/>
  <c r="Z18" i="5" s="1"/>
  <c r="C19" i="5"/>
  <c r="D19" i="5" s="1"/>
  <c r="F19" i="5"/>
  <c r="G19" i="5" s="1"/>
  <c r="I19" i="5"/>
  <c r="J19" i="5" s="1"/>
  <c r="L19" i="5"/>
  <c r="M19" i="5" s="1"/>
  <c r="P19" i="5"/>
  <c r="Q19" i="5" s="1"/>
  <c r="S19" i="5"/>
  <c r="T19" i="5" s="1"/>
  <c r="V19" i="5"/>
  <c r="W19" i="5" s="1"/>
  <c r="Y19" i="5"/>
  <c r="Z19" i="5" s="1"/>
  <c r="C20" i="5"/>
  <c r="D20" i="5" s="1"/>
  <c r="F20" i="5"/>
  <c r="G20" i="5" s="1"/>
  <c r="I20" i="5"/>
  <c r="J20" i="5" s="1"/>
  <c r="L20" i="5"/>
  <c r="M20" i="5" s="1"/>
  <c r="P20" i="5"/>
  <c r="Q20" i="5" s="1"/>
  <c r="S20" i="5"/>
  <c r="T20" i="5" s="1"/>
  <c r="V20" i="5"/>
  <c r="W20" i="5" s="1"/>
  <c r="Y20" i="5"/>
  <c r="Z20" i="5" s="1"/>
  <c r="C21" i="5"/>
  <c r="D21" i="5" s="1"/>
  <c r="F21" i="5"/>
  <c r="G21" i="5" s="1"/>
  <c r="I21" i="5"/>
  <c r="J21" i="5" s="1"/>
  <c r="L21" i="5"/>
  <c r="M21" i="5" s="1"/>
  <c r="P21" i="5"/>
  <c r="Q21" i="5" s="1"/>
  <c r="S21" i="5"/>
  <c r="T21" i="5" s="1"/>
  <c r="V21" i="5"/>
  <c r="W21" i="5" s="1"/>
  <c r="Y21" i="5"/>
  <c r="Z21" i="5" s="1"/>
  <c r="C22" i="5"/>
  <c r="D22" i="5" s="1"/>
  <c r="F22" i="5"/>
  <c r="G22" i="5" s="1"/>
  <c r="I22" i="5"/>
  <c r="J22" i="5" s="1"/>
  <c r="L22" i="5"/>
  <c r="M22" i="5" s="1"/>
  <c r="P22" i="5"/>
  <c r="Q22" i="5" s="1"/>
  <c r="S22" i="5"/>
  <c r="T22" i="5" s="1"/>
  <c r="V22" i="5"/>
  <c r="W22" i="5" s="1"/>
  <c r="Y22" i="5"/>
  <c r="Z22" i="5" s="1"/>
  <c r="C23" i="5"/>
  <c r="D23" i="5" s="1"/>
  <c r="F23" i="5"/>
  <c r="G23" i="5" s="1"/>
  <c r="I23" i="5"/>
  <c r="J23" i="5" s="1"/>
  <c r="L23" i="5"/>
  <c r="M23" i="5" s="1"/>
  <c r="P23" i="5"/>
  <c r="Q23" i="5" s="1"/>
  <c r="S23" i="5"/>
  <c r="T23" i="5" s="1"/>
  <c r="V23" i="5"/>
  <c r="W23" i="5" s="1"/>
  <c r="Y23" i="5"/>
  <c r="Z23" i="5" s="1"/>
  <c r="C24" i="5"/>
  <c r="D24" i="5" s="1"/>
  <c r="F24" i="5"/>
  <c r="G24" i="5" s="1"/>
  <c r="I24" i="5"/>
  <c r="J24" i="5" s="1"/>
  <c r="L24" i="5"/>
  <c r="M24" i="5" s="1"/>
  <c r="P24" i="5"/>
  <c r="Q24" i="5" s="1"/>
  <c r="S24" i="5"/>
  <c r="T24" i="5" s="1"/>
  <c r="V24" i="5"/>
  <c r="W24" i="5" s="1"/>
  <c r="Y24" i="5"/>
  <c r="Z24" i="5" s="1"/>
  <c r="C25" i="5"/>
  <c r="D25" i="5" s="1"/>
  <c r="F25" i="5"/>
  <c r="G25" i="5" s="1"/>
  <c r="I25" i="5"/>
  <c r="J25" i="5" s="1"/>
  <c r="L25" i="5"/>
  <c r="M25" i="5" s="1"/>
  <c r="P25" i="5"/>
  <c r="Q25" i="5" s="1"/>
  <c r="S25" i="5"/>
  <c r="T25" i="5" s="1"/>
  <c r="V25" i="5"/>
  <c r="W25" i="5" s="1"/>
  <c r="Y25" i="5"/>
  <c r="Z25" i="5" s="1"/>
  <c r="C26" i="5"/>
  <c r="D26" i="5" s="1"/>
  <c r="F26" i="5"/>
  <c r="G26" i="5" s="1"/>
  <c r="I26" i="5"/>
  <c r="J26" i="5" s="1"/>
  <c r="L26" i="5"/>
  <c r="M26" i="5" s="1"/>
  <c r="P26" i="5"/>
  <c r="Q26" i="5" s="1"/>
  <c r="S26" i="5"/>
  <c r="T26" i="5" s="1"/>
  <c r="V26" i="5"/>
  <c r="W26" i="5" s="1"/>
  <c r="Y26" i="5"/>
  <c r="Z26" i="5" s="1"/>
  <c r="C27" i="5"/>
  <c r="D27" i="5" s="1"/>
  <c r="F27" i="5"/>
  <c r="G27" i="5" s="1"/>
  <c r="I27" i="5"/>
  <c r="J27" i="5" s="1"/>
  <c r="L27" i="5"/>
  <c r="M27" i="5" s="1"/>
  <c r="P27" i="5"/>
  <c r="Q27" i="5" s="1"/>
  <c r="S27" i="5"/>
  <c r="T27" i="5" s="1"/>
  <c r="V27" i="5"/>
  <c r="W27" i="5" s="1"/>
  <c r="Y27" i="5"/>
  <c r="Z27" i="5" s="1"/>
  <c r="C28" i="5"/>
  <c r="D28" i="5" s="1"/>
  <c r="F28" i="5"/>
  <c r="G28" i="5" s="1"/>
  <c r="I28" i="5"/>
  <c r="J28" i="5" s="1"/>
  <c r="L28" i="5"/>
  <c r="M28" i="5" s="1"/>
  <c r="P28" i="5"/>
  <c r="Q28" i="5" s="1"/>
  <c r="S28" i="5"/>
  <c r="T28" i="5" s="1"/>
  <c r="V28" i="5"/>
  <c r="W28" i="5" s="1"/>
  <c r="Y28" i="5"/>
  <c r="Z28" i="5" s="1"/>
  <c r="C29" i="5"/>
  <c r="D29" i="5" s="1"/>
  <c r="F29" i="5"/>
  <c r="G29" i="5" s="1"/>
  <c r="I29" i="5"/>
  <c r="J29" i="5" s="1"/>
  <c r="L29" i="5"/>
  <c r="M29" i="5" s="1"/>
  <c r="P29" i="5"/>
  <c r="Q29" i="5" s="1"/>
  <c r="S29" i="5"/>
  <c r="T29" i="5" s="1"/>
  <c r="V29" i="5"/>
  <c r="W29" i="5" s="1"/>
  <c r="Y29" i="5"/>
  <c r="Z29" i="5" s="1"/>
  <c r="C30" i="5"/>
  <c r="D30" i="5" s="1"/>
  <c r="F30" i="5"/>
  <c r="G30" i="5" s="1"/>
  <c r="I30" i="5"/>
  <c r="J30" i="5" s="1"/>
  <c r="L30" i="5"/>
  <c r="M30" i="5" s="1"/>
  <c r="P30" i="5"/>
  <c r="Q30" i="5" s="1"/>
  <c r="S30" i="5"/>
  <c r="T30" i="5" s="1"/>
  <c r="V30" i="5"/>
  <c r="W30" i="5" s="1"/>
  <c r="Y30" i="5"/>
  <c r="Z30" i="5" s="1"/>
  <c r="C31" i="5"/>
  <c r="D31" i="5" s="1"/>
  <c r="F31" i="5"/>
  <c r="G31" i="5" s="1"/>
  <c r="I31" i="5"/>
  <c r="J31" i="5" s="1"/>
  <c r="L31" i="5"/>
  <c r="M31" i="5" s="1"/>
  <c r="P31" i="5"/>
  <c r="Q31" i="5" s="1"/>
  <c r="S31" i="5"/>
  <c r="T31" i="5" s="1"/>
  <c r="V31" i="5"/>
  <c r="W31" i="5" s="1"/>
  <c r="Y31" i="5"/>
  <c r="Z31" i="5" s="1"/>
  <c r="C32" i="5"/>
  <c r="D32" i="5" s="1"/>
  <c r="F32" i="5"/>
  <c r="G32" i="5" s="1"/>
  <c r="I32" i="5"/>
  <c r="J32" i="5" s="1"/>
  <c r="L32" i="5"/>
  <c r="M32" i="5" s="1"/>
  <c r="P32" i="5"/>
  <c r="Q32" i="5" s="1"/>
  <c r="S32" i="5"/>
  <c r="T32" i="5" s="1"/>
  <c r="V32" i="5"/>
  <c r="W32" i="5" s="1"/>
  <c r="Y32" i="5"/>
  <c r="Z32" i="5" s="1"/>
  <c r="C33" i="5"/>
  <c r="D33" i="5" s="1"/>
  <c r="F33" i="5"/>
  <c r="G33" i="5" s="1"/>
  <c r="I33" i="5"/>
  <c r="J33" i="5" s="1"/>
  <c r="L33" i="5"/>
  <c r="M33" i="5" s="1"/>
  <c r="P33" i="5"/>
  <c r="Q33" i="5" s="1"/>
  <c r="S33" i="5"/>
  <c r="T33" i="5" s="1"/>
  <c r="V33" i="5"/>
  <c r="W33" i="5" s="1"/>
  <c r="Y33" i="5"/>
  <c r="Z33" i="5" s="1"/>
  <c r="C34" i="5"/>
  <c r="D34" i="5" s="1"/>
  <c r="F34" i="5"/>
  <c r="G34" i="5" s="1"/>
  <c r="I34" i="5"/>
  <c r="J34" i="5" s="1"/>
  <c r="L34" i="5"/>
  <c r="M34" i="5" s="1"/>
  <c r="P34" i="5"/>
  <c r="Q34" i="5" s="1"/>
  <c r="S34" i="5"/>
  <c r="T34" i="5" s="1"/>
  <c r="V34" i="5"/>
  <c r="W34" i="5" s="1"/>
  <c r="Y34" i="5"/>
  <c r="Z34" i="5" s="1"/>
  <c r="C35" i="5"/>
  <c r="D35" i="5" s="1"/>
  <c r="F35" i="5"/>
  <c r="G35" i="5" s="1"/>
  <c r="I35" i="5"/>
  <c r="J35" i="5" s="1"/>
  <c r="L35" i="5"/>
  <c r="M35" i="5" s="1"/>
  <c r="P35" i="5"/>
  <c r="Q35" i="5" s="1"/>
  <c r="S35" i="5"/>
  <c r="T35" i="5" s="1"/>
  <c r="V35" i="5"/>
  <c r="W35" i="5" s="1"/>
  <c r="Y35" i="5"/>
  <c r="Z35" i="5" s="1"/>
  <c r="AC5" i="16" l="1"/>
  <c r="AD5" i="16" s="1"/>
  <c r="AF24" i="16" l="1"/>
  <c r="AF25" i="16"/>
  <c r="AF26" i="16"/>
  <c r="AF27" i="16"/>
  <c r="Y6" i="9" l="1"/>
  <c r="Z6" i="9" s="1"/>
  <c r="Y7" i="9"/>
  <c r="Z7" i="9" s="1"/>
  <c r="Y8" i="9"/>
  <c r="Z8" i="9" s="1"/>
  <c r="Y9" i="9"/>
  <c r="Z9" i="9" s="1"/>
  <c r="Y10" i="9"/>
  <c r="Z10" i="9" s="1"/>
  <c r="Y11" i="9"/>
  <c r="Z11" i="9" s="1"/>
  <c r="Y12" i="9"/>
  <c r="Z12" i="9" s="1"/>
  <c r="Y13" i="9"/>
  <c r="Z13" i="9" s="1"/>
  <c r="Y14" i="9"/>
  <c r="Z14" i="9" s="1"/>
  <c r="Y15" i="9"/>
  <c r="Z15" i="9" s="1"/>
  <c r="Y16" i="9"/>
  <c r="Z16" i="9" s="1"/>
  <c r="Y17" i="9"/>
  <c r="Z17" i="9" s="1"/>
  <c r="Y18" i="9"/>
  <c r="Z18" i="9" s="1"/>
  <c r="Y19" i="9"/>
  <c r="Z19" i="9" s="1"/>
  <c r="Y20" i="9"/>
  <c r="Z20" i="9" s="1"/>
  <c r="Y21" i="9"/>
  <c r="Z21" i="9" s="1"/>
  <c r="Y22" i="9"/>
  <c r="Z22" i="9" s="1"/>
  <c r="Y23" i="9"/>
  <c r="Z23" i="9" s="1"/>
  <c r="Y24" i="9"/>
  <c r="Z24" i="9" s="1"/>
  <c r="Y25" i="9"/>
  <c r="Z25" i="9" s="1"/>
  <c r="Y26" i="9"/>
  <c r="Z26" i="9" s="1"/>
  <c r="Y27" i="9"/>
  <c r="Z27" i="9" s="1"/>
  <c r="Y28" i="9"/>
  <c r="Z28" i="9" s="1"/>
  <c r="Y29" i="9"/>
  <c r="Z29" i="9" s="1"/>
  <c r="Y30" i="9"/>
  <c r="Z30" i="9" s="1"/>
  <c r="Y31" i="9"/>
  <c r="Z31" i="9" s="1"/>
  <c r="Y32" i="9"/>
  <c r="Z32" i="9" s="1"/>
  <c r="Y33" i="9"/>
  <c r="Z33" i="9" s="1"/>
  <c r="Y34" i="9"/>
  <c r="Z34" i="9" s="1"/>
  <c r="Y5" i="9"/>
  <c r="Z5" i="9" s="1"/>
  <c r="V6" i="9"/>
  <c r="W6" i="9" s="1"/>
  <c r="V7" i="9"/>
  <c r="W7" i="9" s="1"/>
  <c r="V8" i="9"/>
  <c r="W8" i="9" s="1"/>
  <c r="V9" i="9"/>
  <c r="W9" i="9" s="1"/>
  <c r="V10" i="9"/>
  <c r="W10" i="9" s="1"/>
  <c r="V11" i="9"/>
  <c r="W11" i="9" s="1"/>
  <c r="V12" i="9"/>
  <c r="W12" i="9" s="1"/>
  <c r="V13" i="9"/>
  <c r="W13" i="9" s="1"/>
  <c r="V14" i="9"/>
  <c r="W14" i="9" s="1"/>
  <c r="V15" i="9"/>
  <c r="W15" i="9" s="1"/>
  <c r="V16" i="9"/>
  <c r="W16" i="9" s="1"/>
  <c r="V17" i="9"/>
  <c r="W17" i="9" s="1"/>
  <c r="V18" i="9"/>
  <c r="W18" i="9" s="1"/>
  <c r="V19" i="9"/>
  <c r="W19" i="9" s="1"/>
  <c r="V20" i="9"/>
  <c r="W20" i="9" s="1"/>
  <c r="V21" i="9"/>
  <c r="W21" i="9" s="1"/>
  <c r="V22" i="9"/>
  <c r="W22" i="9" s="1"/>
  <c r="V23" i="9"/>
  <c r="W23" i="9" s="1"/>
  <c r="V24" i="9"/>
  <c r="W24" i="9" s="1"/>
  <c r="V25" i="9"/>
  <c r="W25" i="9" s="1"/>
  <c r="V26" i="9"/>
  <c r="W26" i="9" s="1"/>
  <c r="V27" i="9"/>
  <c r="W27" i="9" s="1"/>
  <c r="V28" i="9"/>
  <c r="W28" i="9" s="1"/>
  <c r="V29" i="9"/>
  <c r="W29" i="9" s="1"/>
  <c r="V30" i="9"/>
  <c r="W30" i="9" s="1"/>
  <c r="V31" i="9"/>
  <c r="W31" i="9" s="1"/>
  <c r="V32" i="9"/>
  <c r="W32" i="9" s="1"/>
  <c r="V33" i="9"/>
  <c r="W33" i="9" s="1"/>
  <c r="V34" i="9"/>
  <c r="W34" i="9" s="1"/>
  <c r="V5" i="9"/>
  <c r="S6" i="9"/>
  <c r="T6" i="9" s="1"/>
  <c r="S7" i="9"/>
  <c r="T7" i="9" s="1"/>
  <c r="S8" i="9"/>
  <c r="T8" i="9" s="1"/>
  <c r="S9" i="9"/>
  <c r="T9" i="9" s="1"/>
  <c r="S10" i="9"/>
  <c r="T10" i="9" s="1"/>
  <c r="S11" i="9"/>
  <c r="T11" i="9" s="1"/>
  <c r="S12" i="9"/>
  <c r="T12" i="9" s="1"/>
  <c r="S13" i="9"/>
  <c r="T13" i="9" s="1"/>
  <c r="S14" i="9"/>
  <c r="T14" i="9" s="1"/>
  <c r="S15" i="9"/>
  <c r="T15" i="9" s="1"/>
  <c r="S16" i="9"/>
  <c r="T16" i="9" s="1"/>
  <c r="S17" i="9"/>
  <c r="T17" i="9" s="1"/>
  <c r="S18" i="9"/>
  <c r="T18" i="9" s="1"/>
  <c r="S19" i="9"/>
  <c r="T19" i="9" s="1"/>
  <c r="S20" i="9"/>
  <c r="T20" i="9" s="1"/>
  <c r="S21" i="9"/>
  <c r="T21" i="9" s="1"/>
  <c r="S22" i="9"/>
  <c r="T22" i="9" s="1"/>
  <c r="S23" i="9"/>
  <c r="T23" i="9" s="1"/>
  <c r="S24" i="9"/>
  <c r="T24" i="9" s="1"/>
  <c r="S25" i="9"/>
  <c r="T25" i="9" s="1"/>
  <c r="S26" i="9"/>
  <c r="T26" i="9" s="1"/>
  <c r="S27" i="9"/>
  <c r="T27" i="9" s="1"/>
  <c r="S28" i="9"/>
  <c r="T28" i="9" s="1"/>
  <c r="S29" i="9"/>
  <c r="T29" i="9" s="1"/>
  <c r="S30" i="9"/>
  <c r="T30" i="9" s="1"/>
  <c r="S31" i="9"/>
  <c r="T31" i="9" s="1"/>
  <c r="S32" i="9"/>
  <c r="T32" i="9" s="1"/>
  <c r="S33" i="9"/>
  <c r="T33" i="9" s="1"/>
  <c r="S34" i="9"/>
  <c r="T34" i="9" s="1"/>
  <c r="S5" i="9"/>
  <c r="T5" i="9" s="1"/>
  <c r="P6" i="9"/>
  <c r="Q6" i="9" s="1"/>
  <c r="P7" i="9"/>
  <c r="Q7" i="9" s="1"/>
  <c r="P8" i="9"/>
  <c r="Q8" i="9" s="1"/>
  <c r="P9" i="9"/>
  <c r="Q9" i="9" s="1"/>
  <c r="P10" i="9"/>
  <c r="Q10" i="9" s="1"/>
  <c r="P11" i="9"/>
  <c r="Q11" i="9" s="1"/>
  <c r="P12" i="9"/>
  <c r="Q12" i="9" s="1"/>
  <c r="P13" i="9"/>
  <c r="Q13" i="9" s="1"/>
  <c r="P14" i="9"/>
  <c r="Q14" i="9" s="1"/>
  <c r="P15" i="9"/>
  <c r="Q15" i="9" s="1"/>
  <c r="P16" i="9"/>
  <c r="Q16" i="9" s="1"/>
  <c r="P17" i="9"/>
  <c r="P18" i="9"/>
  <c r="Q18" i="9" s="1"/>
  <c r="P19" i="9"/>
  <c r="Q19" i="9" s="1"/>
  <c r="P20" i="9"/>
  <c r="Q20" i="9" s="1"/>
  <c r="P21" i="9"/>
  <c r="P22" i="9"/>
  <c r="Q22" i="9" s="1"/>
  <c r="P23" i="9"/>
  <c r="Q23" i="9" s="1"/>
  <c r="P24" i="9"/>
  <c r="Q24" i="9" s="1"/>
  <c r="P25" i="9"/>
  <c r="Q25" i="9" s="1"/>
  <c r="P26" i="9"/>
  <c r="Q26" i="9" s="1"/>
  <c r="P27" i="9"/>
  <c r="Q27" i="9" s="1"/>
  <c r="P28" i="9"/>
  <c r="Q28" i="9" s="1"/>
  <c r="P29" i="9"/>
  <c r="Q29" i="9" s="1"/>
  <c r="P30" i="9"/>
  <c r="Q30" i="9" s="1"/>
  <c r="P31" i="9"/>
  <c r="Q31" i="9" s="1"/>
  <c r="P32" i="9"/>
  <c r="P33" i="9"/>
  <c r="Q33" i="9" s="1"/>
  <c r="P34" i="9"/>
  <c r="Q34" i="9" s="1"/>
  <c r="P5" i="9"/>
  <c r="Q5" i="9" s="1"/>
  <c r="L6" i="9"/>
  <c r="M6" i="9" s="1"/>
  <c r="L7" i="9"/>
  <c r="M7" i="9" s="1"/>
  <c r="L8" i="9"/>
  <c r="M8" i="9" s="1"/>
  <c r="L9" i="9"/>
  <c r="M9" i="9" s="1"/>
  <c r="L10" i="9"/>
  <c r="M10" i="9" s="1"/>
  <c r="L11" i="9"/>
  <c r="M11" i="9" s="1"/>
  <c r="L12" i="9"/>
  <c r="M12" i="9" s="1"/>
  <c r="L13" i="9"/>
  <c r="M13" i="9" s="1"/>
  <c r="L14" i="9"/>
  <c r="M14" i="9" s="1"/>
  <c r="L15" i="9"/>
  <c r="M15" i="9" s="1"/>
  <c r="L16" i="9"/>
  <c r="M16" i="9" s="1"/>
  <c r="L17" i="9"/>
  <c r="M17" i="9" s="1"/>
  <c r="L18" i="9"/>
  <c r="M18" i="9" s="1"/>
  <c r="L19" i="9"/>
  <c r="M19" i="9" s="1"/>
  <c r="L20" i="9"/>
  <c r="M20" i="9" s="1"/>
  <c r="L21" i="9"/>
  <c r="M21" i="9" s="1"/>
  <c r="L22" i="9"/>
  <c r="M22" i="9" s="1"/>
  <c r="L23" i="9"/>
  <c r="M23" i="9" s="1"/>
  <c r="L24" i="9"/>
  <c r="M24" i="9" s="1"/>
  <c r="L25" i="9"/>
  <c r="M25" i="9" s="1"/>
  <c r="L26" i="9"/>
  <c r="M26" i="9" s="1"/>
  <c r="L27" i="9"/>
  <c r="M27" i="9" s="1"/>
  <c r="L28" i="9"/>
  <c r="M28" i="9" s="1"/>
  <c r="L29" i="9"/>
  <c r="M29" i="9" s="1"/>
  <c r="L30" i="9"/>
  <c r="M30" i="9" s="1"/>
  <c r="L31" i="9"/>
  <c r="M31" i="9" s="1"/>
  <c r="L32" i="9"/>
  <c r="M32" i="9" s="1"/>
  <c r="L33" i="9"/>
  <c r="M33" i="9" s="1"/>
  <c r="L34" i="9"/>
  <c r="M34" i="9" s="1"/>
  <c r="L5" i="9"/>
  <c r="M5" i="9" s="1"/>
  <c r="I6" i="9"/>
  <c r="J6" i="9" s="1"/>
  <c r="I7" i="9"/>
  <c r="J7" i="9" s="1"/>
  <c r="I8" i="9"/>
  <c r="J8" i="9" s="1"/>
  <c r="I9" i="9"/>
  <c r="J9" i="9" s="1"/>
  <c r="I10" i="9"/>
  <c r="J10" i="9" s="1"/>
  <c r="I11" i="9"/>
  <c r="J11" i="9" s="1"/>
  <c r="I12" i="9"/>
  <c r="J12" i="9" s="1"/>
  <c r="I13" i="9"/>
  <c r="J13" i="9" s="1"/>
  <c r="I14" i="9"/>
  <c r="J14" i="9" s="1"/>
  <c r="I15" i="9"/>
  <c r="J15" i="9" s="1"/>
  <c r="I16" i="9"/>
  <c r="J16" i="9" s="1"/>
  <c r="I17" i="9"/>
  <c r="J17" i="9" s="1"/>
  <c r="I18" i="9"/>
  <c r="J18" i="9" s="1"/>
  <c r="I19" i="9"/>
  <c r="J19" i="9" s="1"/>
  <c r="I20" i="9"/>
  <c r="J20" i="9" s="1"/>
  <c r="I21" i="9"/>
  <c r="J21" i="9" s="1"/>
  <c r="I22" i="9"/>
  <c r="J22" i="9" s="1"/>
  <c r="I23" i="9"/>
  <c r="J23" i="9" s="1"/>
  <c r="I24" i="9"/>
  <c r="J24" i="9" s="1"/>
  <c r="I25" i="9"/>
  <c r="J25" i="9" s="1"/>
  <c r="I26" i="9"/>
  <c r="J26" i="9" s="1"/>
  <c r="I27" i="9"/>
  <c r="J27" i="9" s="1"/>
  <c r="I28" i="9"/>
  <c r="J28" i="9" s="1"/>
  <c r="I29" i="9"/>
  <c r="J29" i="9" s="1"/>
  <c r="I30" i="9"/>
  <c r="J30" i="9" s="1"/>
  <c r="I31" i="9"/>
  <c r="J31" i="9" s="1"/>
  <c r="I32" i="9"/>
  <c r="J32" i="9" s="1"/>
  <c r="I33" i="9"/>
  <c r="J33" i="9" s="1"/>
  <c r="I34" i="9"/>
  <c r="J34" i="9" s="1"/>
  <c r="I5" i="9"/>
  <c r="J5" i="9" s="1"/>
  <c r="F6" i="9"/>
  <c r="G6" i="9" s="1"/>
  <c r="F7" i="9"/>
  <c r="G7" i="9" s="1"/>
  <c r="F8" i="9"/>
  <c r="G8" i="9" s="1"/>
  <c r="F9" i="9"/>
  <c r="G9" i="9" s="1"/>
  <c r="F10" i="9"/>
  <c r="G10" i="9" s="1"/>
  <c r="F11" i="9"/>
  <c r="G11" i="9" s="1"/>
  <c r="F12" i="9"/>
  <c r="G12" i="9" s="1"/>
  <c r="F13" i="9"/>
  <c r="G13" i="9" s="1"/>
  <c r="F14" i="9"/>
  <c r="G14" i="9" s="1"/>
  <c r="F15" i="9"/>
  <c r="G15" i="9" s="1"/>
  <c r="F16" i="9"/>
  <c r="G16" i="9" s="1"/>
  <c r="F17" i="9"/>
  <c r="G17" i="9" s="1"/>
  <c r="F18" i="9"/>
  <c r="G18" i="9" s="1"/>
  <c r="F19" i="9"/>
  <c r="G19" i="9" s="1"/>
  <c r="F20" i="9"/>
  <c r="G20" i="9" s="1"/>
  <c r="F21" i="9"/>
  <c r="G21" i="9" s="1"/>
  <c r="F22" i="9"/>
  <c r="G22" i="9" s="1"/>
  <c r="F23" i="9"/>
  <c r="G23" i="9" s="1"/>
  <c r="F24" i="9"/>
  <c r="G24" i="9" s="1"/>
  <c r="F25" i="9"/>
  <c r="G25" i="9" s="1"/>
  <c r="F26" i="9"/>
  <c r="G26" i="9" s="1"/>
  <c r="F27" i="9"/>
  <c r="G27" i="9" s="1"/>
  <c r="F28" i="9"/>
  <c r="G28" i="9" s="1"/>
  <c r="F29" i="9"/>
  <c r="G29" i="9" s="1"/>
  <c r="F30" i="9"/>
  <c r="G30" i="9" s="1"/>
  <c r="F31" i="9"/>
  <c r="G31" i="9" s="1"/>
  <c r="F32" i="9"/>
  <c r="G32" i="9" s="1"/>
  <c r="F33" i="9"/>
  <c r="G33" i="9" s="1"/>
  <c r="F34" i="9"/>
  <c r="G34" i="9" s="1"/>
  <c r="F5" i="9"/>
  <c r="G5" i="9" s="1"/>
  <c r="C6" i="9"/>
  <c r="C7" i="9"/>
  <c r="D7" i="9" s="1"/>
  <c r="AD7" i="9" s="1"/>
  <c r="C8" i="9"/>
  <c r="D8" i="9" s="1"/>
  <c r="C9" i="9"/>
  <c r="D9" i="9" s="1"/>
  <c r="AD9" i="9" s="1"/>
  <c r="C10" i="9"/>
  <c r="D10" i="9" s="1"/>
  <c r="AD10" i="9" s="1"/>
  <c r="AB12" i="9"/>
  <c r="C13" i="9"/>
  <c r="D13" i="9" s="1"/>
  <c r="C14" i="9"/>
  <c r="C15" i="9"/>
  <c r="C16" i="9"/>
  <c r="D16" i="9" s="1"/>
  <c r="C17" i="9"/>
  <c r="D17" i="9" s="1"/>
  <c r="C18" i="9"/>
  <c r="C19" i="9"/>
  <c r="D19" i="9" s="1"/>
  <c r="C20" i="9"/>
  <c r="D20" i="9" s="1"/>
  <c r="C21" i="9"/>
  <c r="D21" i="9" s="1"/>
  <c r="C22" i="9"/>
  <c r="D22" i="9" s="1"/>
  <c r="AB23" i="9"/>
  <c r="C24" i="9"/>
  <c r="D24" i="9" s="1"/>
  <c r="AD24" i="9" s="1"/>
  <c r="C25" i="9"/>
  <c r="C26" i="9"/>
  <c r="D26" i="9" s="1"/>
  <c r="AB27" i="9"/>
  <c r="C28" i="9"/>
  <c r="D28" i="9" s="1"/>
  <c r="AB29" i="9"/>
  <c r="AB30" i="9"/>
  <c r="C31" i="9"/>
  <c r="D31" i="9" s="1"/>
  <c r="C32" i="9"/>
  <c r="D32" i="9" s="1"/>
  <c r="AB33" i="9"/>
  <c r="C34" i="9"/>
  <c r="D34" i="9" s="1"/>
  <c r="C5" i="9"/>
  <c r="D5" i="9" s="1"/>
  <c r="Y6" i="8"/>
  <c r="Z6" i="8" s="1"/>
  <c r="Y7" i="8"/>
  <c r="Z7" i="8" s="1"/>
  <c r="Y8" i="8"/>
  <c r="Z8" i="8" s="1"/>
  <c r="Y9" i="8"/>
  <c r="Z9" i="8" s="1"/>
  <c r="Y10" i="8"/>
  <c r="Z10" i="8" s="1"/>
  <c r="Y11" i="8"/>
  <c r="Z11" i="8" s="1"/>
  <c r="Y12" i="8"/>
  <c r="Z12" i="8" s="1"/>
  <c r="Y13" i="8"/>
  <c r="Z13" i="8" s="1"/>
  <c r="Y14" i="8"/>
  <c r="Z14" i="8" s="1"/>
  <c r="Y15" i="8"/>
  <c r="Z15" i="8" s="1"/>
  <c r="Y16" i="8"/>
  <c r="Z16" i="8" s="1"/>
  <c r="Y17" i="8"/>
  <c r="Z17" i="8" s="1"/>
  <c r="Y18" i="8"/>
  <c r="Z18" i="8" s="1"/>
  <c r="Y19" i="8"/>
  <c r="Z19" i="8" s="1"/>
  <c r="Y20" i="8"/>
  <c r="Z20" i="8" s="1"/>
  <c r="Y21" i="8"/>
  <c r="Z21" i="8" s="1"/>
  <c r="Y22" i="8"/>
  <c r="Z22" i="8" s="1"/>
  <c r="Y23" i="8"/>
  <c r="Z23" i="8" s="1"/>
  <c r="Y24" i="8"/>
  <c r="Z24" i="8" s="1"/>
  <c r="Y25" i="8"/>
  <c r="Z25" i="8" s="1"/>
  <c r="Y26" i="8"/>
  <c r="Z26" i="8" s="1"/>
  <c r="Y27" i="8"/>
  <c r="Z27" i="8" s="1"/>
  <c r="Y28" i="8"/>
  <c r="Z28" i="8" s="1"/>
  <c r="Y29" i="8"/>
  <c r="Z29" i="8" s="1"/>
  <c r="Y30" i="8"/>
  <c r="Z30" i="8" s="1"/>
  <c r="Y31" i="8"/>
  <c r="Z31" i="8" s="1"/>
  <c r="Y32" i="8"/>
  <c r="Z32" i="8" s="1"/>
  <c r="Y33" i="8"/>
  <c r="Z33" i="8" s="1"/>
  <c r="Y34" i="8"/>
  <c r="Z34" i="8" s="1"/>
  <c r="Y35" i="8"/>
  <c r="Z35" i="8" s="1"/>
  <c r="Y5" i="8"/>
  <c r="Z5" i="8" s="1"/>
  <c r="V6" i="8"/>
  <c r="V7" i="8"/>
  <c r="W7" i="8" s="1"/>
  <c r="V8" i="8"/>
  <c r="W8" i="8" s="1"/>
  <c r="V9" i="8"/>
  <c r="W9" i="8" s="1"/>
  <c r="V10" i="8"/>
  <c r="W10" i="8" s="1"/>
  <c r="V11" i="8"/>
  <c r="W11" i="8" s="1"/>
  <c r="V12" i="8"/>
  <c r="W12" i="8" s="1"/>
  <c r="V13" i="8"/>
  <c r="W13" i="8" s="1"/>
  <c r="V14" i="8"/>
  <c r="W14" i="8" s="1"/>
  <c r="V15" i="8"/>
  <c r="W15" i="8" s="1"/>
  <c r="V16" i="8"/>
  <c r="W16" i="8" s="1"/>
  <c r="V17" i="8"/>
  <c r="W17" i="8" s="1"/>
  <c r="V18" i="8"/>
  <c r="W18" i="8" s="1"/>
  <c r="V19" i="8"/>
  <c r="W19" i="8" s="1"/>
  <c r="V20" i="8"/>
  <c r="W20" i="8" s="1"/>
  <c r="V21" i="8"/>
  <c r="W21" i="8" s="1"/>
  <c r="V22" i="8"/>
  <c r="W22" i="8" s="1"/>
  <c r="V23" i="8"/>
  <c r="W23" i="8" s="1"/>
  <c r="V24" i="8"/>
  <c r="W24" i="8" s="1"/>
  <c r="V25" i="8"/>
  <c r="W25" i="8" s="1"/>
  <c r="V26" i="8"/>
  <c r="W26" i="8" s="1"/>
  <c r="V27" i="8"/>
  <c r="W27" i="8" s="1"/>
  <c r="V28" i="8"/>
  <c r="W28" i="8" s="1"/>
  <c r="V29" i="8"/>
  <c r="W29" i="8" s="1"/>
  <c r="V30" i="8"/>
  <c r="W30" i="8" s="1"/>
  <c r="V31" i="8"/>
  <c r="W31" i="8" s="1"/>
  <c r="V32" i="8"/>
  <c r="W32" i="8" s="1"/>
  <c r="V33" i="8"/>
  <c r="W33" i="8" s="1"/>
  <c r="V34" i="8"/>
  <c r="W34" i="8" s="1"/>
  <c r="V35" i="8"/>
  <c r="W35" i="8" s="1"/>
  <c r="V5" i="8"/>
  <c r="W5" i="8" s="1"/>
  <c r="S6" i="8"/>
  <c r="T6" i="8" s="1"/>
  <c r="S7" i="8"/>
  <c r="T7" i="8" s="1"/>
  <c r="S8" i="8"/>
  <c r="T8" i="8" s="1"/>
  <c r="S9" i="8"/>
  <c r="T9" i="8" s="1"/>
  <c r="S10" i="8"/>
  <c r="T10" i="8" s="1"/>
  <c r="S11" i="8"/>
  <c r="T11" i="8" s="1"/>
  <c r="S12" i="8"/>
  <c r="T12" i="8" s="1"/>
  <c r="S13" i="8"/>
  <c r="T13" i="8" s="1"/>
  <c r="S14" i="8"/>
  <c r="T14" i="8" s="1"/>
  <c r="S15" i="8"/>
  <c r="T15" i="8" s="1"/>
  <c r="S16" i="8"/>
  <c r="T16" i="8" s="1"/>
  <c r="S17" i="8"/>
  <c r="T17" i="8" s="1"/>
  <c r="S18" i="8"/>
  <c r="T18" i="8" s="1"/>
  <c r="S19" i="8"/>
  <c r="T19" i="8" s="1"/>
  <c r="S20" i="8"/>
  <c r="T20" i="8" s="1"/>
  <c r="S21" i="8"/>
  <c r="T21" i="8" s="1"/>
  <c r="S22" i="8"/>
  <c r="T22" i="8" s="1"/>
  <c r="S23" i="8"/>
  <c r="T23" i="8" s="1"/>
  <c r="S24" i="8"/>
  <c r="T24" i="8" s="1"/>
  <c r="S25" i="8"/>
  <c r="T25" i="8" s="1"/>
  <c r="S26" i="8"/>
  <c r="T26" i="8" s="1"/>
  <c r="S27" i="8"/>
  <c r="T27" i="8" s="1"/>
  <c r="S28" i="8"/>
  <c r="T28" i="8" s="1"/>
  <c r="S29" i="8"/>
  <c r="T29" i="8" s="1"/>
  <c r="S30" i="8"/>
  <c r="T30" i="8" s="1"/>
  <c r="S31" i="8"/>
  <c r="T31" i="8" s="1"/>
  <c r="S32" i="8"/>
  <c r="T32" i="8" s="1"/>
  <c r="S33" i="8"/>
  <c r="T33" i="8" s="1"/>
  <c r="S34" i="8"/>
  <c r="T34" i="8" s="1"/>
  <c r="S35" i="8"/>
  <c r="T35" i="8" s="1"/>
  <c r="S5" i="8"/>
  <c r="T5" i="8" s="1"/>
  <c r="P6" i="8"/>
  <c r="Q6" i="8" s="1"/>
  <c r="P7" i="8"/>
  <c r="Q7" i="8" s="1"/>
  <c r="P8" i="8"/>
  <c r="Q8" i="8" s="1"/>
  <c r="P9" i="8"/>
  <c r="P10" i="8"/>
  <c r="Q10" i="8" s="1"/>
  <c r="P11" i="8"/>
  <c r="Q11" i="8" s="1"/>
  <c r="P12" i="8"/>
  <c r="Q12" i="8" s="1"/>
  <c r="P13" i="8"/>
  <c r="Q13" i="8" s="1"/>
  <c r="P14" i="8"/>
  <c r="P15" i="8"/>
  <c r="Q15" i="8" s="1"/>
  <c r="P16" i="8"/>
  <c r="Q16" i="8" s="1"/>
  <c r="P17" i="8"/>
  <c r="Q17" i="8" s="1"/>
  <c r="P18" i="8"/>
  <c r="P19" i="8"/>
  <c r="Q19" i="8" s="1"/>
  <c r="P20" i="8"/>
  <c r="Q20" i="8" s="1"/>
  <c r="P21" i="8"/>
  <c r="Q21" i="8" s="1"/>
  <c r="P22" i="8"/>
  <c r="Q22" i="8" s="1"/>
  <c r="P23" i="8"/>
  <c r="Q23" i="8" s="1"/>
  <c r="P24" i="8"/>
  <c r="Q24" i="8" s="1"/>
  <c r="P25" i="8"/>
  <c r="Q25" i="8" s="1"/>
  <c r="P26" i="8"/>
  <c r="Q26" i="8" s="1"/>
  <c r="P27" i="8"/>
  <c r="Q27" i="8" s="1"/>
  <c r="P28" i="8"/>
  <c r="Q28" i="8" s="1"/>
  <c r="P29" i="8"/>
  <c r="Q29" i="8" s="1"/>
  <c r="P30" i="8"/>
  <c r="Q30" i="8" s="1"/>
  <c r="P31" i="8"/>
  <c r="Q31" i="8" s="1"/>
  <c r="P32" i="8"/>
  <c r="Q32" i="8" s="1"/>
  <c r="P33" i="8"/>
  <c r="Q33" i="8" s="1"/>
  <c r="P34" i="8"/>
  <c r="Q34" i="8" s="1"/>
  <c r="P35" i="8"/>
  <c r="Q35" i="8" s="1"/>
  <c r="P5" i="8"/>
  <c r="Q5" i="8" s="1"/>
  <c r="L6" i="8"/>
  <c r="M6" i="8" s="1"/>
  <c r="L7" i="8"/>
  <c r="M7" i="8" s="1"/>
  <c r="L8" i="8"/>
  <c r="M8" i="8" s="1"/>
  <c r="L9" i="8"/>
  <c r="M9" i="8" s="1"/>
  <c r="L10" i="8"/>
  <c r="M10" i="8" s="1"/>
  <c r="L11" i="8"/>
  <c r="M11" i="8" s="1"/>
  <c r="L12" i="8"/>
  <c r="M12" i="8" s="1"/>
  <c r="L13" i="8"/>
  <c r="M13" i="8" s="1"/>
  <c r="L14" i="8"/>
  <c r="M14" i="8" s="1"/>
  <c r="L15" i="8"/>
  <c r="M15" i="8" s="1"/>
  <c r="L16" i="8"/>
  <c r="M16" i="8" s="1"/>
  <c r="L17" i="8"/>
  <c r="M17" i="8" s="1"/>
  <c r="L18" i="8"/>
  <c r="M18" i="8" s="1"/>
  <c r="L19" i="8"/>
  <c r="M19" i="8" s="1"/>
  <c r="L20" i="8"/>
  <c r="M20" i="8" s="1"/>
  <c r="L21" i="8"/>
  <c r="M21" i="8" s="1"/>
  <c r="L22" i="8"/>
  <c r="M22" i="8" s="1"/>
  <c r="L23" i="8"/>
  <c r="M23" i="8" s="1"/>
  <c r="L24" i="8"/>
  <c r="M24" i="8" s="1"/>
  <c r="L25" i="8"/>
  <c r="M25" i="8" s="1"/>
  <c r="L26" i="8"/>
  <c r="M26" i="8" s="1"/>
  <c r="L27" i="8"/>
  <c r="M27" i="8" s="1"/>
  <c r="L28" i="8"/>
  <c r="M28" i="8" s="1"/>
  <c r="L29" i="8"/>
  <c r="M29" i="8" s="1"/>
  <c r="L30" i="8"/>
  <c r="M30" i="8" s="1"/>
  <c r="L31" i="8"/>
  <c r="M31" i="8" s="1"/>
  <c r="L32" i="8"/>
  <c r="M32" i="8" s="1"/>
  <c r="L33" i="8"/>
  <c r="M33" i="8" s="1"/>
  <c r="L34" i="8"/>
  <c r="M34" i="8" s="1"/>
  <c r="L35" i="8"/>
  <c r="M35" i="8" s="1"/>
  <c r="L5" i="8"/>
  <c r="M5" i="8" s="1"/>
  <c r="I6" i="8"/>
  <c r="J6" i="8" s="1"/>
  <c r="I7" i="8"/>
  <c r="J7" i="8" s="1"/>
  <c r="I8" i="8"/>
  <c r="J8" i="8" s="1"/>
  <c r="I9" i="8"/>
  <c r="J9" i="8" s="1"/>
  <c r="I10" i="8"/>
  <c r="J10" i="8" s="1"/>
  <c r="I11" i="8"/>
  <c r="J11" i="8" s="1"/>
  <c r="I12" i="8"/>
  <c r="J12" i="8" s="1"/>
  <c r="I13" i="8"/>
  <c r="J13" i="8" s="1"/>
  <c r="I14" i="8"/>
  <c r="J14" i="8" s="1"/>
  <c r="I15" i="8"/>
  <c r="J15" i="8" s="1"/>
  <c r="I16" i="8"/>
  <c r="J16" i="8" s="1"/>
  <c r="I17" i="8"/>
  <c r="J17" i="8" s="1"/>
  <c r="I18" i="8"/>
  <c r="J18" i="8" s="1"/>
  <c r="I19" i="8"/>
  <c r="J19" i="8" s="1"/>
  <c r="I20" i="8"/>
  <c r="J20" i="8" s="1"/>
  <c r="I21" i="8"/>
  <c r="J21" i="8" s="1"/>
  <c r="I22" i="8"/>
  <c r="J22" i="8" s="1"/>
  <c r="I23" i="8"/>
  <c r="J23" i="8" s="1"/>
  <c r="I24" i="8"/>
  <c r="J24" i="8" s="1"/>
  <c r="I25" i="8"/>
  <c r="J25" i="8" s="1"/>
  <c r="I26" i="8"/>
  <c r="J26" i="8" s="1"/>
  <c r="I27" i="8"/>
  <c r="J27" i="8" s="1"/>
  <c r="I28" i="8"/>
  <c r="J28" i="8" s="1"/>
  <c r="I29" i="8"/>
  <c r="J29" i="8" s="1"/>
  <c r="I30" i="8"/>
  <c r="J30" i="8" s="1"/>
  <c r="I31" i="8"/>
  <c r="J31" i="8" s="1"/>
  <c r="I32" i="8"/>
  <c r="J32" i="8" s="1"/>
  <c r="I33" i="8"/>
  <c r="J33" i="8" s="1"/>
  <c r="I34" i="8"/>
  <c r="J34" i="8" s="1"/>
  <c r="I35" i="8"/>
  <c r="J35" i="8" s="1"/>
  <c r="I5" i="8"/>
  <c r="J5" i="8" s="1"/>
  <c r="F6" i="8"/>
  <c r="G6" i="8" s="1"/>
  <c r="F7" i="8"/>
  <c r="G7" i="8" s="1"/>
  <c r="F8" i="8"/>
  <c r="G8" i="8" s="1"/>
  <c r="F9" i="8"/>
  <c r="G9" i="8" s="1"/>
  <c r="F10" i="8"/>
  <c r="G10" i="8" s="1"/>
  <c r="F11" i="8"/>
  <c r="G11" i="8" s="1"/>
  <c r="F12" i="8"/>
  <c r="G12" i="8" s="1"/>
  <c r="F13" i="8"/>
  <c r="G13" i="8" s="1"/>
  <c r="F14" i="8"/>
  <c r="G14" i="8" s="1"/>
  <c r="F15" i="8"/>
  <c r="G15" i="8" s="1"/>
  <c r="F16" i="8"/>
  <c r="G16" i="8" s="1"/>
  <c r="F17" i="8"/>
  <c r="G17" i="8" s="1"/>
  <c r="F18" i="8"/>
  <c r="G18" i="8" s="1"/>
  <c r="F19" i="8"/>
  <c r="G19" i="8" s="1"/>
  <c r="F20" i="8"/>
  <c r="G20" i="8" s="1"/>
  <c r="F21" i="8"/>
  <c r="G21" i="8" s="1"/>
  <c r="F22" i="8"/>
  <c r="G22" i="8" s="1"/>
  <c r="F23" i="8"/>
  <c r="G23" i="8" s="1"/>
  <c r="F24" i="8"/>
  <c r="G24" i="8" s="1"/>
  <c r="F25" i="8"/>
  <c r="G25" i="8" s="1"/>
  <c r="F26" i="8"/>
  <c r="G26" i="8" s="1"/>
  <c r="F27" i="8"/>
  <c r="G27" i="8" s="1"/>
  <c r="F28" i="8"/>
  <c r="G28" i="8" s="1"/>
  <c r="F29" i="8"/>
  <c r="G29" i="8" s="1"/>
  <c r="F30" i="8"/>
  <c r="G30" i="8" s="1"/>
  <c r="F31" i="8"/>
  <c r="G31" i="8" s="1"/>
  <c r="F32" i="8"/>
  <c r="G32" i="8" s="1"/>
  <c r="F33" i="8"/>
  <c r="G33" i="8" s="1"/>
  <c r="F34" i="8"/>
  <c r="G34" i="8" s="1"/>
  <c r="F35" i="8"/>
  <c r="G35" i="8" s="1"/>
  <c r="F5" i="8"/>
  <c r="G5" i="8" s="1"/>
  <c r="C6" i="8"/>
  <c r="C7" i="8"/>
  <c r="D7" i="8" s="1"/>
  <c r="C8" i="8"/>
  <c r="C9" i="8"/>
  <c r="D9" i="8" s="1"/>
  <c r="C10" i="8"/>
  <c r="D10" i="8" s="1"/>
  <c r="C11" i="8"/>
  <c r="D11" i="8" s="1"/>
  <c r="C12" i="8"/>
  <c r="C13" i="8"/>
  <c r="D13" i="8" s="1"/>
  <c r="C14" i="8"/>
  <c r="D14" i="8" s="1"/>
  <c r="C15" i="8"/>
  <c r="D15" i="8" s="1"/>
  <c r="C16" i="8"/>
  <c r="C17" i="8"/>
  <c r="D17" i="8" s="1"/>
  <c r="C18" i="8"/>
  <c r="D18" i="8" s="1"/>
  <c r="C19" i="8"/>
  <c r="D19" i="8" s="1"/>
  <c r="C20" i="8"/>
  <c r="D20" i="8" s="1"/>
  <c r="AD20" i="8" s="1"/>
  <c r="AB21" i="8"/>
  <c r="C23" i="8"/>
  <c r="D23" i="8" s="1"/>
  <c r="C24" i="8"/>
  <c r="D24" i="8" s="1"/>
  <c r="AB25" i="8"/>
  <c r="C26" i="8"/>
  <c r="C27" i="8"/>
  <c r="D27" i="8" s="1"/>
  <c r="C28" i="8"/>
  <c r="D28" i="8" s="1"/>
  <c r="C29" i="8"/>
  <c r="AB30" i="8"/>
  <c r="C31" i="8"/>
  <c r="D31" i="8" s="1"/>
  <c r="C32" i="8"/>
  <c r="AB33" i="8"/>
  <c r="C34" i="8"/>
  <c r="D34" i="8" s="1"/>
  <c r="C35" i="8"/>
  <c r="D35" i="8" s="1"/>
  <c r="Y6" i="7"/>
  <c r="Z6" i="7" s="1"/>
  <c r="Y7" i="7"/>
  <c r="Z7" i="7" s="1"/>
  <c r="Y8" i="7"/>
  <c r="Z8" i="7" s="1"/>
  <c r="Y9" i="7"/>
  <c r="Y10" i="7"/>
  <c r="Z10" i="7" s="1"/>
  <c r="Y11" i="7"/>
  <c r="Z11" i="7" s="1"/>
  <c r="Y12" i="7"/>
  <c r="Z12" i="7" s="1"/>
  <c r="Y13" i="7"/>
  <c r="Z13" i="7" s="1"/>
  <c r="Y14" i="7"/>
  <c r="Z14" i="7" s="1"/>
  <c r="Y15" i="7"/>
  <c r="Z15" i="7" s="1"/>
  <c r="Y16" i="7"/>
  <c r="Z16" i="7" s="1"/>
  <c r="Y17" i="7"/>
  <c r="Z17" i="7" s="1"/>
  <c r="Y18" i="7"/>
  <c r="Z18" i="7" s="1"/>
  <c r="Y19" i="7"/>
  <c r="Z19" i="7" s="1"/>
  <c r="Y20" i="7"/>
  <c r="Z20" i="7" s="1"/>
  <c r="Y21" i="7"/>
  <c r="Z21" i="7" s="1"/>
  <c r="Y22" i="7"/>
  <c r="Z22" i="7" s="1"/>
  <c r="Y23" i="7"/>
  <c r="Z23" i="7" s="1"/>
  <c r="Y24" i="7"/>
  <c r="Z24" i="7" s="1"/>
  <c r="Y25" i="7"/>
  <c r="Z25" i="7" s="1"/>
  <c r="Y26" i="7"/>
  <c r="Z26" i="7" s="1"/>
  <c r="Y27" i="7"/>
  <c r="Z27" i="7" s="1"/>
  <c r="Y28" i="7"/>
  <c r="Z28" i="7" s="1"/>
  <c r="Y29" i="7"/>
  <c r="Z29" i="7" s="1"/>
  <c r="Y30" i="7"/>
  <c r="Z30" i="7" s="1"/>
  <c r="Y31" i="7"/>
  <c r="Z31" i="7" s="1"/>
  <c r="Y32" i="7"/>
  <c r="Z32" i="7" s="1"/>
  <c r="Y33" i="7"/>
  <c r="Z33" i="7" s="1"/>
  <c r="Y34" i="7"/>
  <c r="Z34" i="7" s="1"/>
  <c r="Y5" i="7"/>
  <c r="Z5" i="7" s="1"/>
  <c r="V6" i="7"/>
  <c r="W6" i="7" s="1"/>
  <c r="V7" i="7"/>
  <c r="W7" i="7" s="1"/>
  <c r="V8" i="7"/>
  <c r="W8" i="7" s="1"/>
  <c r="V9" i="7"/>
  <c r="W9" i="7" s="1"/>
  <c r="V10" i="7"/>
  <c r="W10" i="7" s="1"/>
  <c r="V11" i="7"/>
  <c r="W11" i="7" s="1"/>
  <c r="V12" i="7"/>
  <c r="W12" i="7" s="1"/>
  <c r="V13" i="7"/>
  <c r="W13" i="7" s="1"/>
  <c r="V14" i="7"/>
  <c r="W14" i="7" s="1"/>
  <c r="V15" i="7"/>
  <c r="W15" i="7" s="1"/>
  <c r="V16" i="7"/>
  <c r="W16" i="7" s="1"/>
  <c r="V17" i="7"/>
  <c r="W17" i="7" s="1"/>
  <c r="V18" i="7"/>
  <c r="W18" i="7" s="1"/>
  <c r="V19" i="7"/>
  <c r="W19" i="7" s="1"/>
  <c r="V20" i="7"/>
  <c r="W20" i="7" s="1"/>
  <c r="V21" i="7"/>
  <c r="W21" i="7" s="1"/>
  <c r="V22" i="7"/>
  <c r="W22" i="7" s="1"/>
  <c r="V23" i="7"/>
  <c r="W23" i="7" s="1"/>
  <c r="V24" i="7"/>
  <c r="W24" i="7" s="1"/>
  <c r="V25" i="7"/>
  <c r="W25" i="7" s="1"/>
  <c r="V26" i="7"/>
  <c r="W26" i="7" s="1"/>
  <c r="V27" i="7"/>
  <c r="W27" i="7" s="1"/>
  <c r="V28" i="7"/>
  <c r="W28" i="7" s="1"/>
  <c r="V29" i="7"/>
  <c r="W29" i="7" s="1"/>
  <c r="V30" i="7"/>
  <c r="W30" i="7" s="1"/>
  <c r="V31" i="7"/>
  <c r="W31" i="7" s="1"/>
  <c r="V32" i="7"/>
  <c r="W32" i="7" s="1"/>
  <c r="V33" i="7"/>
  <c r="W33" i="7" s="1"/>
  <c r="V34" i="7"/>
  <c r="W34" i="7" s="1"/>
  <c r="V5" i="7"/>
  <c r="W5" i="7" s="1"/>
  <c r="S6" i="7"/>
  <c r="T6" i="7" s="1"/>
  <c r="S7" i="7"/>
  <c r="T7" i="7" s="1"/>
  <c r="S8" i="7"/>
  <c r="T8" i="7" s="1"/>
  <c r="S9" i="7"/>
  <c r="T9" i="7" s="1"/>
  <c r="S10" i="7"/>
  <c r="T10" i="7" s="1"/>
  <c r="S11" i="7"/>
  <c r="T11" i="7" s="1"/>
  <c r="S12" i="7"/>
  <c r="T12" i="7" s="1"/>
  <c r="S13" i="7"/>
  <c r="T13" i="7" s="1"/>
  <c r="S14" i="7"/>
  <c r="T14" i="7" s="1"/>
  <c r="S15" i="7"/>
  <c r="T15" i="7" s="1"/>
  <c r="S16" i="7"/>
  <c r="T16" i="7" s="1"/>
  <c r="S17" i="7"/>
  <c r="T17" i="7" s="1"/>
  <c r="S18" i="7"/>
  <c r="T18" i="7" s="1"/>
  <c r="S19" i="7"/>
  <c r="T19" i="7" s="1"/>
  <c r="S20" i="7"/>
  <c r="T20" i="7" s="1"/>
  <c r="S21" i="7"/>
  <c r="T21" i="7" s="1"/>
  <c r="S22" i="7"/>
  <c r="T22" i="7" s="1"/>
  <c r="S23" i="7"/>
  <c r="T23" i="7" s="1"/>
  <c r="S24" i="7"/>
  <c r="T24" i="7" s="1"/>
  <c r="S25" i="7"/>
  <c r="T25" i="7" s="1"/>
  <c r="S26" i="7"/>
  <c r="T26" i="7" s="1"/>
  <c r="S27" i="7"/>
  <c r="T27" i="7" s="1"/>
  <c r="S28" i="7"/>
  <c r="T28" i="7" s="1"/>
  <c r="S29" i="7"/>
  <c r="T29" i="7" s="1"/>
  <c r="S30" i="7"/>
  <c r="T30" i="7" s="1"/>
  <c r="S31" i="7"/>
  <c r="T31" i="7" s="1"/>
  <c r="S32" i="7"/>
  <c r="T32" i="7" s="1"/>
  <c r="S33" i="7"/>
  <c r="T33" i="7" s="1"/>
  <c r="S34" i="7"/>
  <c r="T34" i="7" s="1"/>
  <c r="S5" i="7"/>
  <c r="T5" i="7" s="1"/>
  <c r="P6" i="7"/>
  <c r="Q6" i="7" s="1"/>
  <c r="P7" i="7"/>
  <c r="Q7" i="7" s="1"/>
  <c r="P8" i="7"/>
  <c r="Q8" i="7" s="1"/>
  <c r="P9" i="7"/>
  <c r="Q9" i="7" s="1"/>
  <c r="P10" i="7"/>
  <c r="Q10" i="7" s="1"/>
  <c r="P11" i="7"/>
  <c r="Q11" i="7" s="1"/>
  <c r="P12" i="7"/>
  <c r="Q12" i="7" s="1"/>
  <c r="P13" i="7"/>
  <c r="Q13" i="7" s="1"/>
  <c r="P14" i="7"/>
  <c r="Q14" i="7" s="1"/>
  <c r="P15" i="7"/>
  <c r="Q15" i="7" s="1"/>
  <c r="P16" i="7"/>
  <c r="Q16" i="7" s="1"/>
  <c r="P17" i="7"/>
  <c r="Q17" i="7" s="1"/>
  <c r="P18" i="7"/>
  <c r="Q18" i="7" s="1"/>
  <c r="P19" i="7"/>
  <c r="Q19" i="7" s="1"/>
  <c r="P20" i="7"/>
  <c r="Q20" i="7" s="1"/>
  <c r="P21" i="7"/>
  <c r="Q21" i="7" s="1"/>
  <c r="P22" i="7"/>
  <c r="Q22" i="7" s="1"/>
  <c r="P23" i="7"/>
  <c r="Q23" i="7" s="1"/>
  <c r="P24" i="7"/>
  <c r="P25" i="7"/>
  <c r="Q25" i="7" s="1"/>
  <c r="P26" i="7"/>
  <c r="Q26" i="7" s="1"/>
  <c r="P27" i="7"/>
  <c r="Q27" i="7" s="1"/>
  <c r="P28" i="7"/>
  <c r="Q28" i="7" s="1"/>
  <c r="P29" i="7"/>
  <c r="Q29" i="7" s="1"/>
  <c r="P30" i="7"/>
  <c r="Q30" i="7" s="1"/>
  <c r="P31" i="7"/>
  <c r="Q31" i="7" s="1"/>
  <c r="P32" i="7"/>
  <c r="Q32" i="7" s="1"/>
  <c r="P33" i="7"/>
  <c r="Q33" i="7" s="1"/>
  <c r="P34" i="7"/>
  <c r="Q34" i="7" s="1"/>
  <c r="P5" i="7"/>
  <c r="Q5" i="7" s="1"/>
  <c r="L6" i="7"/>
  <c r="M6" i="7" s="1"/>
  <c r="L7" i="7"/>
  <c r="M7" i="7" s="1"/>
  <c r="L8" i="7"/>
  <c r="M8" i="7" s="1"/>
  <c r="L9" i="7"/>
  <c r="L10" i="7"/>
  <c r="M10" i="7" s="1"/>
  <c r="L11" i="7"/>
  <c r="M11" i="7" s="1"/>
  <c r="L12" i="7"/>
  <c r="M12" i="7" s="1"/>
  <c r="L13" i="7"/>
  <c r="M13" i="7" s="1"/>
  <c r="L14" i="7"/>
  <c r="M14" i="7" s="1"/>
  <c r="L15" i="7"/>
  <c r="M15" i="7" s="1"/>
  <c r="L16" i="7"/>
  <c r="M16" i="7" s="1"/>
  <c r="L17" i="7"/>
  <c r="M17" i="7" s="1"/>
  <c r="L18" i="7"/>
  <c r="M18" i="7" s="1"/>
  <c r="L19" i="7"/>
  <c r="M19" i="7" s="1"/>
  <c r="L20" i="7"/>
  <c r="M20" i="7" s="1"/>
  <c r="L21" i="7"/>
  <c r="M21" i="7" s="1"/>
  <c r="L22" i="7"/>
  <c r="M22" i="7" s="1"/>
  <c r="L23" i="7"/>
  <c r="M23" i="7" s="1"/>
  <c r="L24" i="7"/>
  <c r="M24" i="7" s="1"/>
  <c r="L25" i="7"/>
  <c r="M25" i="7" s="1"/>
  <c r="L26" i="7"/>
  <c r="M26" i="7" s="1"/>
  <c r="L27" i="7"/>
  <c r="M27" i="7" s="1"/>
  <c r="L28" i="7"/>
  <c r="M28" i="7" s="1"/>
  <c r="L29" i="7"/>
  <c r="M29" i="7" s="1"/>
  <c r="L30" i="7"/>
  <c r="M30" i="7" s="1"/>
  <c r="L31" i="7"/>
  <c r="M31" i="7" s="1"/>
  <c r="L32" i="7"/>
  <c r="M32" i="7" s="1"/>
  <c r="L33" i="7"/>
  <c r="M33" i="7" s="1"/>
  <c r="L34" i="7"/>
  <c r="M34" i="7" s="1"/>
  <c r="L5" i="7"/>
  <c r="M5" i="7" s="1"/>
  <c r="I6" i="7"/>
  <c r="J6" i="7" s="1"/>
  <c r="I7" i="7"/>
  <c r="J7" i="7" s="1"/>
  <c r="I8" i="7"/>
  <c r="J8" i="7" s="1"/>
  <c r="I9" i="7"/>
  <c r="J9" i="7" s="1"/>
  <c r="I10" i="7"/>
  <c r="J10" i="7" s="1"/>
  <c r="I11" i="7"/>
  <c r="J11" i="7" s="1"/>
  <c r="I12" i="7"/>
  <c r="J12" i="7" s="1"/>
  <c r="I13" i="7"/>
  <c r="J13" i="7" s="1"/>
  <c r="I14" i="7"/>
  <c r="J14" i="7" s="1"/>
  <c r="I15" i="7"/>
  <c r="J15" i="7" s="1"/>
  <c r="I16" i="7"/>
  <c r="J16" i="7" s="1"/>
  <c r="I17" i="7"/>
  <c r="J17" i="7" s="1"/>
  <c r="I18" i="7"/>
  <c r="J18" i="7" s="1"/>
  <c r="I19" i="7"/>
  <c r="J19" i="7" s="1"/>
  <c r="I20" i="7"/>
  <c r="J20" i="7" s="1"/>
  <c r="I21" i="7"/>
  <c r="J21" i="7" s="1"/>
  <c r="I22" i="7"/>
  <c r="J22" i="7" s="1"/>
  <c r="I23" i="7"/>
  <c r="J23" i="7" s="1"/>
  <c r="I24" i="7"/>
  <c r="J24" i="7" s="1"/>
  <c r="I25" i="7"/>
  <c r="J25" i="7" s="1"/>
  <c r="I26" i="7"/>
  <c r="J26" i="7" s="1"/>
  <c r="I27" i="7"/>
  <c r="J27" i="7" s="1"/>
  <c r="I28" i="7"/>
  <c r="J28" i="7" s="1"/>
  <c r="I29" i="7"/>
  <c r="J29" i="7" s="1"/>
  <c r="I30" i="7"/>
  <c r="J30" i="7" s="1"/>
  <c r="I31" i="7"/>
  <c r="J31" i="7" s="1"/>
  <c r="I32" i="7"/>
  <c r="J32" i="7" s="1"/>
  <c r="I33" i="7"/>
  <c r="J33" i="7" s="1"/>
  <c r="I34" i="7"/>
  <c r="J34" i="7" s="1"/>
  <c r="I5" i="7"/>
  <c r="F6" i="7"/>
  <c r="G6" i="7" s="1"/>
  <c r="F7" i="7"/>
  <c r="G7" i="7" s="1"/>
  <c r="F8" i="7"/>
  <c r="G8" i="7" s="1"/>
  <c r="F9" i="7"/>
  <c r="G9" i="7" s="1"/>
  <c r="F10" i="7"/>
  <c r="G10" i="7" s="1"/>
  <c r="F11" i="7"/>
  <c r="G11" i="7" s="1"/>
  <c r="F12" i="7"/>
  <c r="G12" i="7" s="1"/>
  <c r="F13" i="7"/>
  <c r="G13" i="7" s="1"/>
  <c r="F14" i="7"/>
  <c r="G14" i="7" s="1"/>
  <c r="F15" i="7"/>
  <c r="G15" i="7" s="1"/>
  <c r="F16" i="7"/>
  <c r="G16" i="7" s="1"/>
  <c r="F17" i="7"/>
  <c r="G17" i="7" s="1"/>
  <c r="F18" i="7"/>
  <c r="G18" i="7" s="1"/>
  <c r="F19" i="7"/>
  <c r="G19" i="7" s="1"/>
  <c r="F20" i="7"/>
  <c r="G20" i="7" s="1"/>
  <c r="F21" i="7"/>
  <c r="G21" i="7" s="1"/>
  <c r="F22" i="7"/>
  <c r="G22" i="7" s="1"/>
  <c r="F23" i="7"/>
  <c r="G23" i="7" s="1"/>
  <c r="F24" i="7"/>
  <c r="G24" i="7" s="1"/>
  <c r="F25" i="7"/>
  <c r="G25" i="7" s="1"/>
  <c r="F26" i="7"/>
  <c r="G26" i="7" s="1"/>
  <c r="F27" i="7"/>
  <c r="G27" i="7" s="1"/>
  <c r="F28" i="7"/>
  <c r="G28" i="7" s="1"/>
  <c r="F29" i="7"/>
  <c r="G29" i="7" s="1"/>
  <c r="F30" i="7"/>
  <c r="G30" i="7" s="1"/>
  <c r="F31" i="7"/>
  <c r="G31" i="7" s="1"/>
  <c r="F32" i="7"/>
  <c r="G32" i="7" s="1"/>
  <c r="F33" i="7"/>
  <c r="G33" i="7" s="1"/>
  <c r="F34" i="7"/>
  <c r="G34" i="7" s="1"/>
  <c r="F5" i="7"/>
  <c r="G5" i="7" s="1"/>
  <c r="AB6" i="7"/>
  <c r="AB8" i="7"/>
  <c r="C12" i="7"/>
  <c r="D12" i="7" s="1"/>
  <c r="AB16" i="7"/>
  <c r="AB20" i="7"/>
  <c r="AB22" i="7"/>
  <c r="C24" i="7"/>
  <c r="D24" i="7" s="1"/>
  <c r="AB28" i="7"/>
  <c r="AB32" i="7"/>
  <c r="Y6" i="6"/>
  <c r="Z6" i="6" s="1"/>
  <c r="Y7" i="6"/>
  <c r="Z7" i="6" s="1"/>
  <c r="Y8" i="6"/>
  <c r="Z8" i="6" s="1"/>
  <c r="Y9" i="6"/>
  <c r="Z9" i="6" s="1"/>
  <c r="Y10" i="6"/>
  <c r="Z10" i="6" s="1"/>
  <c r="Y11" i="6"/>
  <c r="Z11" i="6" s="1"/>
  <c r="Y12" i="6"/>
  <c r="Z12" i="6" s="1"/>
  <c r="Y13" i="6"/>
  <c r="Z13" i="6" s="1"/>
  <c r="Y14" i="6"/>
  <c r="Z14" i="6" s="1"/>
  <c r="Y15" i="6"/>
  <c r="Z15" i="6" s="1"/>
  <c r="Y16" i="6"/>
  <c r="Z16" i="6" s="1"/>
  <c r="Y17" i="6"/>
  <c r="Z17" i="6" s="1"/>
  <c r="Y18" i="6"/>
  <c r="Z18" i="6" s="1"/>
  <c r="Y19" i="6"/>
  <c r="Z19" i="6" s="1"/>
  <c r="Y20" i="6"/>
  <c r="Z20" i="6" s="1"/>
  <c r="Y21" i="6"/>
  <c r="Z21" i="6" s="1"/>
  <c r="Y22" i="6"/>
  <c r="Z22" i="6" s="1"/>
  <c r="Y23" i="6"/>
  <c r="Z23" i="6" s="1"/>
  <c r="Y24" i="6"/>
  <c r="Z24" i="6" s="1"/>
  <c r="Y25" i="6"/>
  <c r="Z25" i="6" s="1"/>
  <c r="Y26" i="6"/>
  <c r="Z26" i="6" s="1"/>
  <c r="Y27" i="6"/>
  <c r="Z27" i="6" s="1"/>
  <c r="Y28" i="6"/>
  <c r="Z28" i="6" s="1"/>
  <c r="Y29" i="6"/>
  <c r="Z29" i="6" s="1"/>
  <c r="Y30" i="6"/>
  <c r="Z30" i="6" s="1"/>
  <c r="Y31" i="6"/>
  <c r="Z31" i="6" s="1"/>
  <c r="Y32" i="6"/>
  <c r="Z32" i="6" s="1"/>
  <c r="Y33" i="6"/>
  <c r="Z33" i="6" s="1"/>
  <c r="Y34" i="6"/>
  <c r="Z34" i="6" s="1"/>
  <c r="Y35" i="6"/>
  <c r="Z35" i="6" s="1"/>
  <c r="Y5" i="6"/>
  <c r="Z5" i="6" s="1"/>
  <c r="V6" i="6"/>
  <c r="W6" i="6" s="1"/>
  <c r="V7" i="6"/>
  <c r="W7" i="6" s="1"/>
  <c r="V8" i="6"/>
  <c r="W8" i="6" s="1"/>
  <c r="V9" i="6"/>
  <c r="W9" i="6" s="1"/>
  <c r="V10" i="6"/>
  <c r="W10" i="6" s="1"/>
  <c r="V11" i="6"/>
  <c r="W11" i="6" s="1"/>
  <c r="V12" i="6"/>
  <c r="W12" i="6" s="1"/>
  <c r="V13" i="6"/>
  <c r="W13" i="6" s="1"/>
  <c r="V14" i="6"/>
  <c r="W14" i="6" s="1"/>
  <c r="V15" i="6"/>
  <c r="W15" i="6" s="1"/>
  <c r="V16" i="6"/>
  <c r="W16" i="6" s="1"/>
  <c r="V17" i="6"/>
  <c r="W17" i="6" s="1"/>
  <c r="V18" i="6"/>
  <c r="W18" i="6" s="1"/>
  <c r="V19" i="6"/>
  <c r="W19" i="6" s="1"/>
  <c r="V20" i="6"/>
  <c r="W20" i="6" s="1"/>
  <c r="V21" i="6"/>
  <c r="W21" i="6" s="1"/>
  <c r="V22" i="6"/>
  <c r="W22" i="6" s="1"/>
  <c r="V23" i="6"/>
  <c r="W23" i="6" s="1"/>
  <c r="V24" i="6"/>
  <c r="W24" i="6" s="1"/>
  <c r="V25" i="6"/>
  <c r="W25" i="6" s="1"/>
  <c r="V26" i="6"/>
  <c r="W26" i="6" s="1"/>
  <c r="V27" i="6"/>
  <c r="W27" i="6" s="1"/>
  <c r="V28" i="6"/>
  <c r="W28" i="6" s="1"/>
  <c r="V29" i="6"/>
  <c r="W29" i="6" s="1"/>
  <c r="V30" i="6"/>
  <c r="W30" i="6" s="1"/>
  <c r="V31" i="6"/>
  <c r="W31" i="6" s="1"/>
  <c r="V32" i="6"/>
  <c r="W32" i="6" s="1"/>
  <c r="V33" i="6"/>
  <c r="W33" i="6" s="1"/>
  <c r="V34" i="6"/>
  <c r="W34" i="6" s="1"/>
  <c r="V35" i="6"/>
  <c r="W35" i="6" s="1"/>
  <c r="V5" i="6"/>
  <c r="W5" i="6" s="1"/>
  <c r="S6" i="6"/>
  <c r="T6" i="6" s="1"/>
  <c r="S7" i="6"/>
  <c r="T7" i="6" s="1"/>
  <c r="S8" i="6"/>
  <c r="T8" i="6" s="1"/>
  <c r="S9" i="6"/>
  <c r="T9" i="6" s="1"/>
  <c r="S10" i="6"/>
  <c r="T10" i="6" s="1"/>
  <c r="S11" i="6"/>
  <c r="T11" i="6" s="1"/>
  <c r="S12" i="6"/>
  <c r="T12" i="6" s="1"/>
  <c r="S13" i="6"/>
  <c r="T13" i="6" s="1"/>
  <c r="S14" i="6"/>
  <c r="T14" i="6" s="1"/>
  <c r="S15" i="6"/>
  <c r="T15" i="6" s="1"/>
  <c r="S16" i="6"/>
  <c r="T16" i="6" s="1"/>
  <c r="S17" i="6"/>
  <c r="T17" i="6" s="1"/>
  <c r="S18" i="6"/>
  <c r="T18" i="6" s="1"/>
  <c r="S19" i="6"/>
  <c r="T19" i="6" s="1"/>
  <c r="S20" i="6"/>
  <c r="T20" i="6" s="1"/>
  <c r="S21" i="6"/>
  <c r="T21" i="6" s="1"/>
  <c r="S22" i="6"/>
  <c r="T22" i="6" s="1"/>
  <c r="S23" i="6"/>
  <c r="T23" i="6" s="1"/>
  <c r="S24" i="6"/>
  <c r="T24" i="6" s="1"/>
  <c r="S25" i="6"/>
  <c r="T25" i="6" s="1"/>
  <c r="S26" i="6"/>
  <c r="T26" i="6" s="1"/>
  <c r="S27" i="6"/>
  <c r="T27" i="6" s="1"/>
  <c r="S28" i="6"/>
  <c r="T28" i="6" s="1"/>
  <c r="S29" i="6"/>
  <c r="T29" i="6" s="1"/>
  <c r="S30" i="6"/>
  <c r="T30" i="6" s="1"/>
  <c r="S31" i="6"/>
  <c r="T31" i="6" s="1"/>
  <c r="S32" i="6"/>
  <c r="T32" i="6" s="1"/>
  <c r="S33" i="6"/>
  <c r="T33" i="6" s="1"/>
  <c r="S34" i="6"/>
  <c r="T34" i="6" s="1"/>
  <c r="S35" i="6"/>
  <c r="T35" i="6" s="1"/>
  <c r="S5" i="6"/>
  <c r="T5" i="6" s="1"/>
  <c r="P6" i="6"/>
  <c r="Q6" i="6" s="1"/>
  <c r="P7" i="6"/>
  <c r="Q7" i="6" s="1"/>
  <c r="P8" i="6"/>
  <c r="Q8" i="6" s="1"/>
  <c r="P9" i="6"/>
  <c r="Q9" i="6" s="1"/>
  <c r="P10" i="6"/>
  <c r="P11" i="6"/>
  <c r="Q11" i="6" s="1"/>
  <c r="P12" i="6"/>
  <c r="Q12" i="6" s="1"/>
  <c r="P13" i="6"/>
  <c r="Q13" i="6" s="1"/>
  <c r="P14" i="6"/>
  <c r="Q14" i="6" s="1"/>
  <c r="P15" i="6"/>
  <c r="Q15" i="6" s="1"/>
  <c r="P16" i="6"/>
  <c r="Q16" i="6" s="1"/>
  <c r="P17" i="6"/>
  <c r="Q17" i="6" s="1"/>
  <c r="P18" i="6"/>
  <c r="Q18" i="6" s="1"/>
  <c r="P19" i="6"/>
  <c r="Q19" i="6" s="1"/>
  <c r="P20" i="6"/>
  <c r="Q20" i="6" s="1"/>
  <c r="P21" i="6"/>
  <c r="Q21" i="6" s="1"/>
  <c r="P22" i="6"/>
  <c r="Q22" i="6" s="1"/>
  <c r="P23" i="6"/>
  <c r="Q23" i="6" s="1"/>
  <c r="P24" i="6"/>
  <c r="Q24" i="6" s="1"/>
  <c r="P25" i="6"/>
  <c r="P26" i="6"/>
  <c r="Q26" i="6" s="1"/>
  <c r="P27" i="6"/>
  <c r="Q27" i="6" s="1"/>
  <c r="P28" i="6"/>
  <c r="Q28" i="6" s="1"/>
  <c r="P29" i="6"/>
  <c r="Q29" i="6" s="1"/>
  <c r="P30" i="6"/>
  <c r="Q30" i="6" s="1"/>
  <c r="P31" i="6"/>
  <c r="Q31" i="6" s="1"/>
  <c r="P32" i="6"/>
  <c r="Q32" i="6" s="1"/>
  <c r="P33" i="6"/>
  <c r="Q33" i="6" s="1"/>
  <c r="P34" i="6"/>
  <c r="Q34" i="6" s="1"/>
  <c r="P35" i="6"/>
  <c r="Q35" i="6" s="1"/>
  <c r="P5" i="6"/>
  <c r="Q5" i="6" s="1"/>
  <c r="L6" i="6"/>
  <c r="M6" i="6" s="1"/>
  <c r="L7" i="6"/>
  <c r="M7" i="6" s="1"/>
  <c r="L8" i="6"/>
  <c r="M8" i="6" s="1"/>
  <c r="L9" i="6"/>
  <c r="M9" i="6" s="1"/>
  <c r="L10" i="6"/>
  <c r="M10" i="6" s="1"/>
  <c r="L11" i="6"/>
  <c r="M11" i="6" s="1"/>
  <c r="L12" i="6"/>
  <c r="M12" i="6" s="1"/>
  <c r="L13" i="6"/>
  <c r="M13" i="6" s="1"/>
  <c r="L14" i="6"/>
  <c r="M14" i="6" s="1"/>
  <c r="L15" i="6"/>
  <c r="M15" i="6" s="1"/>
  <c r="L16" i="6"/>
  <c r="M16" i="6" s="1"/>
  <c r="L17" i="6"/>
  <c r="M17" i="6" s="1"/>
  <c r="L18" i="6"/>
  <c r="M18" i="6" s="1"/>
  <c r="L19" i="6"/>
  <c r="M19" i="6" s="1"/>
  <c r="L20" i="6"/>
  <c r="M20" i="6" s="1"/>
  <c r="L21" i="6"/>
  <c r="M21" i="6" s="1"/>
  <c r="L22" i="6"/>
  <c r="M22" i="6" s="1"/>
  <c r="L23" i="6"/>
  <c r="M23" i="6" s="1"/>
  <c r="L24" i="6"/>
  <c r="M24" i="6" s="1"/>
  <c r="L25" i="6"/>
  <c r="M25" i="6" s="1"/>
  <c r="L26" i="6"/>
  <c r="M26" i="6" s="1"/>
  <c r="L27" i="6"/>
  <c r="M27" i="6" s="1"/>
  <c r="L28" i="6"/>
  <c r="M28" i="6" s="1"/>
  <c r="L29" i="6"/>
  <c r="M29" i="6" s="1"/>
  <c r="L30" i="6"/>
  <c r="M30" i="6" s="1"/>
  <c r="L31" i="6"/>
  <c r="M31" i="6" s="1"/>
  <c r="L32" i="6"/>
  <c r="M32" i="6" s="1"/>
  <c r="L33" i="6"/>
  <c r="M33" i="6" s="1"/>
  <c r="L34" i="6"/>
  <c r="M34" i="6" s="1"/>
  <c r="L35" i="6"/>
  <c r="M35" i="6" s="1"/>
  <c r="L5" i="6"/>
  <c r="M5" i="6" s="1"/>
  <c r="I6" i="6"/>
  <c r="J6" i="6" s="1"/>
  <c r="I7" i="6"/>
  <c r="J7" i="6" s="1"/>
  <c r="I8" i="6"/>
  <c r="J8" i="6" s="1"/>
  <c r="I9" i="6"/>
  <c r="J9" i="6" s="1"/>
  <c r="I10" i="6"/>
  <c r="J10" i="6" s="1"/>
  <c r="I11" i="6"/>
  <c r="J11" i="6" s="1"/>
  <c r="I12" i="6"/>
  <c r="J12" i="6" s="1"/>
  <c r="I13" i="6"/>
  <c r="J13" i="6" s="1"/>
  <c r="I14" i="6"/>
  <c r="J14" i="6" s="1"/>
  <c r="I15" i="6"/>
  <c r="J15" i="6" s="1"/>
  <c r="I16" i="6"/>
  <c r="J16" i="6" s="1"/>
  <c r="I17" i="6"/>
  <c r="J17" i="6" s="1"/>
  <c r="I18" i="6"/>
  <c r="J18" i="6" s="1"/>
  <c r="I19" i="6"/>
  <c r="J19" i="6" s="1"/>
  <c r="I20" i="6"/>
  <c r="J20" i="6" s="1"/>
  <c r="I21" i="6"/>
  <c r="J21" i="6" s="1"/>
  <c r="I22" i="6"/>
  <c r="J22" i="6" s="1"/>
  <c r="I23" i="6"/>
  <c r="J23" i="6" s="1"/>
  <c r="I24" i="6"/>
  <c r="J24" i="6" s="1"/>
  <c r="I25" i="6"/>
  <c r="J25" i="6" s="1"/>
  <c r="I26" i="6"/>
  <c r="J26" i="6" s="1"/>
  <c r="I27" i="6"/>
  <c r="J27" i="6" s="1"/>
  <c r="I28" i="6"/>
  <c r="J28" i="6" s="1"/>
  <c r="I29" i="6"/>
  <c r="J29" i="6" s="1"/>
  <c r="I30" i="6"/>
  <c r="J30" i="6" s="1"/>
  <c r="I31" i="6"/>
  <c r="J31" i="6" s="1"/>
  <c r="I32" i="6"/>
  <c r="J32" i="6" s="1"/>
  <c r="I33" i="6"/>
  <c r="J33" i="6" s="1"/>
  <c r="I34" i="6"/>
  <c r="J34" i="6" s="1"/>
  <c r="I35" i="6"/>
  <c r="J35" i="6" s="1"/>
  <c r="I5" i="6"/>
  <c r="J5" i="6" s="1"/>
  <c r="F6" i="6"/>
  <c r="G6" i="6" s="1"/>
  <c r="F7" i="6"/>
  <c r="G7" i="6" s="1"/>
  <c r="F8" i="6"/>
  <c r="G8" i="6" s="1"/>
  <c r="F9" i="6"/>
  <c r="G9" i="6" s="1"/>
  <c r="F10" i="6"/>
  <c r="G10" i="6" s="1"/>
  <c r="F11" i="6"/>
  <c r="G11" i="6" s="1"/>
  <c r="F12" i="6"/>
  <c r="G12" i="6" s="1"/>
  <c r="F13" i="6"/>
  <c r="G13" i="6" s="1"/>
  <c r="F14" i="6"/>
  <c r="G14" i="6" s="1"/>
  <c r="F15" i="6"/>
  <c r="G15" i="6" s="1"/>
  <c r="F16" i="6"/>
  <c r="G16" i="6" s="1"/>
  <c r="F17" i="6"/>
  <c r="G17" i="6" s="1"/>
  <c r="F18" i="6"/>
  <c r="G18" i="6" s="1"/>
  <c r="F19" i="6"/>
  <c r="G19" i="6" s="1"/>
  <c r="F20" i="6"/>
  <c r="G20" i="6" s="1"/>
  <c r="F21" i="6"/>
  <c r="G21" i="6" s="1"/>
  <c r="F22" i="6"/>
  <c r="G22" i="6" s="1"/>
  <c r="F23" i="6"/>
  <c r="G23" i="6" s="1"/>
  <c r="F24" i="6"/>
  <c r="G24" i="6" s="1"/>
  <c r="F25" i="6"/>
  <c r="G25" i="6" s="1"/>
  <c r="F26" i="6"/>
  <c r="G26" i="6" s="1"/>
  <c r="F27" i="6"/>
  <c r="G27" i="6" s="1"/>
  <c r="F28" i="6"/>
  <c r="G28" i="6" s="1"/>
  <c r="F29" i="6"/>
  <c r="G29" i="6" s="1"/>
  <c r="F30" i="6"/>
  <c r="G30" i="6" s="1"/>
  <c r="F31" i="6"/>
  <c r="G31" i="6" s="1"/>
  <c r="F32" i="6"/>
  <c r="G32" i="6" s="1"/>
  <c r="F33" i="6"/>
  <c r="G33" i="6" s="1"/>
  <c r="F34" i="6"/>
  <c r="G34" i="6" s="1"/>
  <c r="F35" i="6"/>
  <c r="G35" i="6" s="1"/>
  <c r="F5" i="6"/>
  <c r="G5" i="6" s="1"/>
  <c r="AB7" i="6"/>
  <c r="C8" i="6"/>
  <c r="AB9" i="6"/>
  <c r="C10" i="6"/>
  <c r="D10" i="6" s="1"/>
  <c r="AB11" i="6"/>
  <c r="C14" i="6"/>
  <c r="D14" i="6" s="1"/>
  <c r="C16" i="6"/>
  <c r="D16" i="6" s="1"/>
  <c r="AD16" i="6" s="1"/>
  <c r="AB17" i="6"/>
  <c r="C18" i="6"/>
  <c r="AB19" i="6"/>
  <c r="C21" i="6"/>
  <c r="C23" i="6"/>
  <c r="D23" i="6" s="1"/>
  <c r="AB24" i="6"/>
  <c r="C25" i="6"/>
  <c r="D25" i="6" s="1"/>
  <c r="C27" i="6"/>
  <c r="D27" i="6" s="1"/>
  <c r="C29" i="6"/>
  <c r="D29" i="6" s="1"/>
  <c r="C31" i="6"/>
  <c r="D31" i="6" s="1"/>
  <c r="C33" i="6"/>
  <c r="AB34" i="6"/>
  <c r="C35" i="6"/>
  <c r="Y6" i="4"/>
  <c r="Z6" i="4" s="1"/>
  <c r="Y7" i="4"/>
  <c r="Z7" i="4" s="1"/>
  <c r="Y8" i="4"/>
  <c r="Z8" i="4" s="1"/>
  <c r="Y9" i="4"/>
  <c r="Z9" i="4" s="1"/>
  <c r="Y10" i="4"/>
  <c r="Z10" i="4" s="1"/>
  <c r="Y11" i="4"/>
  <c r="Z11" i="4" s="1"/>
  <c r="Y12" i="4"/>
  <c r="Z12" i="4" s="1"/>
  <c r="Y13" i="4"/>
  <c r="Z13" i="4" s="1"/>
  <c r="Y14" i="4"/>
  <c r="Z14" i="4" s="1"/>
  <c r="Y15" i="4"/>
  <c r="Z15" i="4" s="1"/>
  <c r="Y16" i="4"/>
  <c r="Z16" i="4" s="1"/>
  <c r="Y17" i="4"/>
  <c r="Z17" i="4" s="1"/>
  <c r="Y18" i="4"/>
  <c r="Z18" i="4" s="1"/>
  <c r="Y19" i="4"/>
  <c r="Z19" i="4" s="1"/>
  <c r="Y20" i="4"/>
  <c r="Z20" i="4" s="1"/>
  <c r="Y21" i="4"/>
  <c r="Z21" i="4" s="1"/>
  <c r="Y22" i="4"/>
  <c r="Z22" i="4" s="1"/>
  <c r="Y23" i="4"/>
  <c r="Z23" i="4" s="1"/>
  <c r="Y24" i="4"/>
  <c r="Z24" i="4" s="1"/>
  <c r="Y25" i="4"/>
  <c r="Z25" i="4" s="1"/>
  <c r="Y26" i="4"/>
  <c r="Z26" i="4" s="1"/>
  <c r="Y27" i="4"/>
  <c r="Z27" i="4" s="1"/>
  <c r="Y28" i="4"/>
  <c r="Z28" i="4" s="1"/>
  <c r="Y29" i="4"/>
  <c r="Z29" i="4" s="1"/>
  <c r="Y30" i="4"/>
  <c r="Z30" i="4" s="1"/>
  <c r="Y31" i="4"/>
  <c r="Z31" i="4" s="1"/>
  <c r="Y32" i="4"/>
  <c r="Z32" i="4" s="1"/>
  <c r="Y5" i="4"/>
  <c r="V6" i="4"/>
  <c r="W6" i="4" s="1"/>
  <c r="V7" i="4"/>
  <c r="W7" i="4" s="1"/>
  <c r="V8" i="4"/>
  <c r="W8" i="4" s="1"/>
  <c r="V9" i="4"/>
  <c r="W9" i="4" s="1"/>
  <c r="V10" i="4"/>
  <c r="W10" i="4" s="1"/>
  <c r="V11" i="4"/>
  <c r="W11" i="4" s="1"/>
  <c r="V12" i="4"/>
  <c r="W12" i="4" s="1"/>
  <c r="V13" i="4"/>
  <c r="W13" i="4" s="1"/>
  <c r="V14" i="4"/>
  <c r="W14" i="4" s="1"/>
  <c r="V15" i="4"/>
  <c r="W15" i="4" s="1"/>
  <c r="V16" i="4"/>
  <c r="W16" i="4" s="1"/>
  <c r="V17" i="4"/>
  <c r="W17" i="4" s="1"/>
  <c r="V18" i="4"/>
  <c r="W18" i="4" s="1"/>
  <c r="V19" i="4"/>
  <c r="W19" i="4" s="1"/>
  <c r="V20" i="4"/>
  <c r="W20" i="4" s="1"/>
  <c r="V21" i="4"/>
  <c r="W21" i="4" s="1"/>
  <c r="V22" i="4"/>
  <c r="W22" i="4" s="1"/>
  <c r="V23" i="4"/>
  <c r="W23" i="4" s="1"/>
  <c r="V24" i="4"/>
  <c r="W24" i="4" s="1"/>
  <c r="V25" i="4"/>
  <c r="W25" i="4" s="1"/>
  <c r="V26" i="4"/>
  <c r="W26" i="4" s="1"/>
  <c r="V27" i="4"/>
  <c r="W27" i="4" s="1"/>
  <c r="V28" i="4"/>
  <c r="W28" i="4" s="1"/>
  <c r="V29" i="4"/>
  <c r="W29" i="4" s="1"/>
  <c r="V30" i="4"/>
  <c r="W30" i="4" s="1"/>
  <c r="V31" i="4"/>
  <c r="W31" i="4" s="1"/>
  <c r="V32" i="4"/>
  <c r="W32" i="4" s="1"/>
  <c r="V5" i="4"/>
  <c r="W5" i="4" s="1"/>
  <c r="S6" i="4"/>
  <c r="T6" i="4" s="1"/>
  <c r="S7" i="4"/>
  <c r="T7" i="4" s="1"/>
  <c r="S8" i="4"/>
  <c r="T8" i="4" s="1"/>
  <c r="S9" i="4"/>
  <c r="T9" i="4" s="1"/>
  <c r="S10" i="4"/>
  <c r="T10" i="4" s="1"/>
  <c r="S11" i="4"/>
  <c r="T11" i="4" s="1"/>
  <c r="S12" i="4"/>
  <c r="T12" i="4" s="1"/>
  <c r="S13" i="4"/>
  <c r="T13" i="4" s="1"/>
  <c r="S14" i="4"/>
  <c r="T14" i="4" s="1"/>
  <c r="S15" i="4"/>
  <c r="T15" i="4" s="1"/>
  <c r="S16" i="4"/>
  <c r="T16" i="4" s="1"/>
  <c r="S17" i="4"/>
  <c r="T17" i="4" s="1"/>
  <c r="S18" i="4"/>
  <c r="T18" i="4" s="1"/>
  <c r="S19" i="4"/>
  <c r="T19" i="4" s="1"/>
  <c r="S20" i="4"/>
  <c r="T20" i="4" s="1"/>
  <c r="S21" i="4"/>
  <c r="T21" i="4" s="1"/>
  <c r="S22" i="4"/>
  <c r="T22" i="4" s="1"/>
  <c r="S23" i="4"/>
  <c r="T23" i="4" s="1"/>
  <c r="S24" i="4"/>
  <c r="T24" i="4" s="1"/>
  <c r="S25" i="4"/>
  <c r="T25" i="4" s="1"/>
  <c r="S26" i="4"/>
  <c r="T26" i="4" s="1"/>
  <c r="S27" i="4"/>
  <c r="T27" i="4" s="1"/>
  <c r="S28" i="4"/>
  <c r="T28" i="4" s="1"/>
  <c r="S29" i="4"/>
  <c r="T29" i="4" s="1"/>
  <c r="S30" i="4"/>
  <c r="T30" i="4" s="1"/>
  <c r="S31" i="4"/>
  <c r="T31" i="4" s="1"/>
  <c r="S32" i="4"/>
  <c r="T32" i="4" s="1"/>
  <c r="S5" i="4"/>
  <c r="T5" i="4" s="1"/>
  <c r="P6" i="4"/>
  <c r="Q6" i="4" s="1"/>
  <c r="P7" i="4"/>
  <c r="Q7" i="4" s="1"/>
  <c r="P8" i="4"/>
  <c r="Q8" i="4" s="1"/>
  <c r="P9" i="4"/>
  <c r="Q9" i="4" s="1"/>
  <c r="P10" i="4"/>
  <c r="Q10" i="4" s="1"/>
  <c r="P11" i="4"/>
  <c r="Q11" i="4" s="1"/>
  <c r="P12" i="4"/>
  <c r="Q12" i="4" s="1"/>
  <c r="P13" i="4"/>
  <c r="Q13" i="4" s="1"/>
  <c r="P14" i="4"/>
  <c r="Q14" i="4" s="1"/>
  <c r="P15" i="4"/>
  <c r="P16" i="4"/>
  <c r="Q16" i="4" s="1"/>
  <c r="P17" i="4"/>
  <c r="Q17" i="4" s="1"/>
  <c r="P18" i="4"/>
  <c r="Q18" i="4" s="1"/>
  <c r="P19" i="4"/>
  <c r="P20" i="4"/>
  <c r="Q20" i="4" s="1"/>
  <c r="P21" i="4"/>
  <c r="Q21" i="4" s="1"/>
  <c r="P22" i="4"/>
  <c r="Q22" i="4" s="1"/>
  <c r="P23" i="4"/>
  <c r="Q23" i="4" s="1"/>
  <c r="P24" i="4"/>
  <c r="Q24" i="4" s="1"/>
  <c r="P25" i="4"/>
  <c r="Q25" i="4" s="1"/>
  <c r="P26" i="4"/>
  <c r="Q26" i="4" s="1"/>
  <c r="P27" i="4"/>
  <c r="Q27" i="4" s="1"/>
  <c r="P28" i="4"/>
  <c r="Q28" i="4" s="1"/>
  <c r="P29" i="4"/>
  <c r="Q29" i="4" s="1"/>
  <c r="P30" i="4"/>
  <c r="Q30" i="4" s="1"/>
  <c r="P31" i="4"/>
  <c r="Q31" i="4" s="1"/>
  <c r="P32" i="4"/>
  <c r="Q32" i="4" s="1"/>
  <c r="P5" i="4"/>
  <c r="L6" i="4"/>
  <c r="M6" i="4" s="1"/>
  <c r="L7" i="4"/>
  <c r="M7" i="4" s="1"/>
  <c r="L8" i="4"/>
  <c r="M8" i="4" s="1"/>
  <c r="L9" i="4"/>
  <c r="M9" i="4" s="1"/>
  <c r="L10" i="4"/>
  <c r="M10" i="4" s="1"/>
  <c r="L11" i="4"/>
  <c r="M11" i="4" s="1"/>
  <c r="L12" i="4"/>
  <c r="M12" i="4" s="1"/>
  <c r="L13" i="4"/>
  <c r="M13" i="4" s="1"/>
  <c r="L14" i="4"/>
  <c r="M14" i="4" s="1"/>
  <c r="L15" i="4"/>
  <c r="M15" i="4" s="1"/>
  <c r="L16" i="4"/>
  <c r="M16" i="4" s="1"/>
  <c r="L17" i="4"/>
  <c r="M17" i="4" s="1"/>
  <c r="L18" i="4"/>
  <c r="M18" i="4" s="1"/>
  <c r="L19" i="4"/>
  <c r="M19" i="4" s="1"/>
  <c r="L20" i="4"/>
  <c r="M20" i="4" s="1"/>
  <c r="L21" i="4"/>
  <c r="M21" i="4" s="1"/>
  <c r="L22" i="4"/>
  <c r="M22" i="4" s="1"/>
  <c r="L23" i="4"/>
  <c r="M23" i="4" s="1"/>
  <c r="L24" i="4"/>
  <c r="M24" i="4" s="1"/>
  <c r="L25" i="4"/>
  <c r="M25" i="4" s="1"/>
  <c r="L26" i="4"/>
  <c r="M26" i="4" s="1"/>
  <c r="L27" i="4"/>
  <c r="M27" i="4" s="1"/>
  <c r="L28" i="4"/>
  <c r="M28" i="4" s="1"/>
  <c r="L29" i="4"/>
  <c r="M29" i="4" s="1"/>
  <c r="L30" i="4"/>
  <c r="M30" i="4" s="1"/>
  <c r="L31" i="4"/>
  <c r="M31" i="4" s="1"/>
  <c r="L32" i="4"/>
  <c r="M32" i="4" s="1"/>
  <c r="L5" i="4"/>
  <c r="M5" i="4" s="1"/>
  <c r="I6" i="4"/>
  <c r="J6" i="4" s="1"/>
  <c r="I7" i="4"/>
  <c r="J7" i="4" s="1"/>
  <c r="I8" i="4"/>
  <c r="J8" i="4" s="1"/>
  <c r="I9" i="4"/>
  <c r="J9" i="4" s="1"/>
  <c r="I10" i="4"/>
  <c r="J10" i="4" s="1"/>
  <c r="I11" i="4"/>
  <c r="J11" i="4" s="1"/>
  <c r="I12" i="4"/>
  <c r="J12" i="4" s="1"/>
  <c r="I13" i="4"/>
  <c r="J13" i="4" s="1"/>
  <c r="I14" i="4"/>
  <c r="J14" i="4" s="1"/>
  <c r="I15" i="4"/>
  <c r="J15" i="4" s="1"/>
  <c r="I16" i="4"/>
  <c r="J16" i="4" s="1"/>
  <c r="I17" i="4"/>
  <c r="J17" i="4" s="1"/>
  <c r="I18" i="4"/>
  <c r="J18" i="4" s="1"/>
  <c r="I19" i="4"/>
  <c r="J19" i="4" s="1"/>
  <c r="I20" i="4"/>
  <c r="J20" i="4" s="1"/>
  <c r="I21" i="4"/>
  <c r="J21" i="4" s="1"/>
  <c r="I22" i="4"/>
  <c r="J22" i="4" s="1"/>
  <c r="I23" i="4"/>
  <c r="J23" i="4" s="1"/>
  <c r="I24" i="4"/>
  <c r="J24" i="4" s="1"/>
  <c r="I25" i="4"/>
  <c r="J25" i="4" s="1"/>
  <c r="I26" i="4"/>
  <c r="J26" i="4" s="1"/>
  <c r="I27" i="4"/>
  <c r="J27" i="4" s="1"/>
  <c r="I28" i="4"/>
  <c r="J28" i="4" s="1"/>
  <c r="I29" i="4"/>
  <c r="J29" i="4" s="1"/>
  <c r="I30" i="4"/>
  <c r="J30" i="4" s="1"/>
  <c r="I31" i="4"/>
  <c r="J31" i="4" s="1"/>
  <c r="I32" i="4"/>
  <c r="J32" i="4" s="1"/>
  <c r="I5" i="4"/>
  <c r="J5" i="4" s="1"/>
  <c r="F6" i="4"/>
  <c r="G6" i="4" s="1"/>
  <c r="F7" i="4"/>
  <c r="G7" i="4" s="1"/>
  <c r="F8" i="4"/>
  <c r="G8" i="4" s="1"/>
  <c r="F9" i="4"/>
  <c r="G9" i="4" s="1"/>
  <c r="F10" i="4"/>
  <c r="G10" i="4" s="1"/>
  <c r="F11" i="4"/>
  <c r="G11" i="4" s="1"/>
  <c r="F12" i="4"/>
  <c r="G12" i="4" s="1"/>
  <c r="F13" i="4"/>
  <c r="G13" i="4" s="1"/>
  <c r="F14" i="4"/>
  <c r="G14" i="4" s="1"/>
  <c r="F15" i="4"/>
  <c r="G15" i="4" s="1"/>
  <c r="F16" i="4"/>
  <c r="G16" i="4" s="1"/>
  <c r="F17" i="4"/>
  <c r="G17" i="4" s="1"/>
  <c r="F18" i="4"/>
  <c r="G18" i="4" s="1"/>
  <c r="F19" i="4"/>
  <c r="G19" i="4" s="1"/>
  <c r="F20" i="4"/>
  <c r="G20" i="4" s="1"/>
  <c r="F21" i="4"/>
  <c r="G21" i="4" s="1"/>
  <c r="F22" i="4"/>
  <c r="G22" i="4" s="1"/>
  <c r="F23" i="4"/>
  <c r="G23" i="4" s="1"/>
  <c r="F24" i="4"/>
  <c r="G24" i="4" s="1"/>
  <c r="F25" i="4"/>
  <c r="G25" i="4" s="1"/>
  <c r="F26" i="4"/>
  <c r="G26" i="4" s="1"/>
  <c r="F27" i="4"/>
  <c r="G27" i="4" s="1"/>
  <c r="F28" i="4"/>
  <c r="G28" i="4" s="1"/>
  <c r="F29" i="4"/>
  <c r="G29" i="4" s="1"/>
  <c r="F30" i="4"/>
  <c r="G30" i="4" s="1"/>
  <c r="F31" i="4"/>
  <c r="G31" i="4" s="1"/>
  <c r="F32" i="4"/>
  <c r="G32" i="4" s="1"/>
  <c r="F5" i="4"/>
  <c r="AB6" i="4"/>
  <c r="AB10" i="4"/>
  <c r="AB11" i="4"/>
  <c r="C14" i="4"/>
  <c r="D14" i="4" s="1"/>
  <c r="AB15" i="4"/>
  <c r="C21" i="4"/>
  <c r="C22" i="4"/>
  <c r="D22" i="4" s="1"/>
  <c r="C26" i="4"/>
  <c r="D26" i="4" s="1"/>
  <c r="C27" i="4"/>
  <c r="Y6" i="1"/>
  <c r="Z6" i="1" s="1"/>
  <c r="Y7" i="1"/>
  <c r="Z7" i="1" s="1"/>
  <c r="Y8" i="1"/>
  <c r="Z8" i="1" s="1"/>
  <c r="Y9" i="1"/>
  <c r="Z9" i="1" s="1"/>
  <c r="Y10" i="1"/>
  <c r="Z10" i="1" s="1"/>
  <c r="Y11" i="1"/>
  <c r="Z11" i="1" s="1"/>
  <c r="Y12" i="1"/>
  <c r="Z12" i="1" s="1"/>
  <c r="Y13" i="1"/>
  <c r="Z13" i="1" s="1"/>
  <c r="Y14" i="1"/>
  <c r="Z14" i="1" s="1"/>
  <c r="Y15" i="1"/>
  <c r="Z15" i="1" s="1"/>
  <c r="Y16" i="1"/>
  <c r="Z16" i="1" s="1"/>
  <c r="Y17" i="1"/>
  <c r="Z17" i="1" s="1"/>
  <c r="Y18" i="1"/>
  <c r="Z18" i="1" s="1"/>
  <c r="Y19" i="1"/>
  <c r="Z19" i="1" s="1"/>
  <c r="Y20" i="1"/>
  <c r="Z20" i="1" s="1"/>
  <c r="Y21" i="1"/>
  <c r="Z21" i="1" s="1"/>
  <c r="Y22" i="1"/>
  <c r="Z22" i="1" s="1"/>
  <c r="Y23" i="1"/>
  <c r="Z23" i="1" s="1"/>
  <c r="Y24" i="1"/>
  <c r="Z24" i="1" s="1"/>
  <c r="Y25" i="1"/>
  <c r="Z25" i="1" s="1"/>
  <c r="Y26" i="1"/>
  <c r="Z26" i="1" s="1"/>
  <c r="Y27" i="1"/>
  <c r="Z27" i="1" s="1"/>
  <c r="Y28" i="1"/>
  <c r="Z28" i="1" s="1"/>
  <c r="Y29" i="1"/>
  <c r="Z29" i="1" s="1"/>
  <c r="Y30" i="1"/>
  <c r="Z30" i="1" s="1"/>
  <c r="Y31" i="1"/>
  <c r="Z31" i="1" s="1"/>
  <c r="Y32" i="1"/>
  <c r="Z32" i="1" s="1"/>
  <c r="Y33" i="1"/>
  <c r="Z33" i="1" s="1"/>
  <c r="Y34" i="1"/>
  <c r="Z34" i="1" s="1"/>
  <c r="Y35" i="1"/>
  <c r="Z35" i="1" s="1"/>
  <c r="Y5" i="1"/>
  <c r="Z5" i="1" s="1"/>
  <c r="V6" i="1"/>
  <c r="W6" i="1" s="1"/>
  <c r="V7" i="1"/>
  <c r="W7" i="1" s="1"/>
  <c r="V8" i="1"/>
  <c r="W8" i="1" s="1"/>
  <c r="V9" i="1"/>
  <c r="W9" i="1" s="1"/>
  <c r="V10" i="1"/>
  <c r="W10" i="1" s="1"/>
  <c r="V11" i="1"/>
  <c r="W11" i="1" s="1"/>
  <c r="V12" i="1"/>
  <c r="W12" i="1" s="1"/>
  <c r="V13" i="1"/>
  <c r="W13" i="1" s="1"/>
  <c r="V14" i="1"/>
  <c r="W14" i="1" s="1"/>
  <c r="V15" i="1"/>
  <c r="W15" i="1" s="1"/>
  <c r="V16" i="1"/>
  <c r="W16" i="1" s="1"/>
  <c r="V17" i="1"/>
  <c r="W17" i="1" s="1"/>
  <c r="V18" i="1"/>
  <c r="W18" i="1" s="1"/>
  <c r="V19" i="1"/>
  <c r="W19" i="1" s="1"/>
  <c r="V20" i="1"/>
  <c r="W20" i="1" s="1"/>
  <c r="V21" i="1"/>
  <c r="W21" i="1" s="1"/>
  <c r="V22" i="1"/>
  <c r="W22" i="1" s="1"/>
  <c r="V23" i="1"/>
  <c r="W23" i="1" s="1"/>
  <c r="V24" i="1"/>
  <c r="W24" i="1" s="1"/>
  <c r="V25" i="1"/>
  <c r="W25" i="1" s="1"/>
  <c r="V26" i="1"/>
  <c r="W26" i="1" s="1"/>
  <c r="V27" i="1"/>
  <c r="W27" i="1" s="1"/>
  <c r="V28" i="1"/>
  <c r="W28" i="1" s="1"/>
  <c r="V29" i="1"/>
  <c r="W29" i="1" s="1"/>
  <c r="V30" i="1"/>
  <c r="W30" i="1" s="1"/>
  <c r="V31" i="1"/>
  <c r="W31" i="1" s="1"/>
  <c r="V32" i="1"/>
  <c r="W32" i="1" s="1"/>
  <c r="V33" i="1"/>
  <c r="W33" i="1" s="1"/>
  <c r="V34" i="1"/>
  <c r="W34" i="1" s="1"/>
  <c r="V35" i="1"/>
  <c r="W35" i="1" s="1"/>
  <c r="V5" i="1"/>
  <c r="W5" i="1" s="1"/>
  <c r="S6" i="1"/>
  <c r="T6" i="1" s="1"/>
  <c r="S7" i="1"/>
  <c r="T7" i="1" s="1"/>
  <c r="S8" i="1"/>
  <c r="T8" i="1" s="1"/>
  <c r="S9" i="1"/>
  <c r="T9" i="1" s="1"/>
  <c r="S10" i="1"/>
  <c r="T10" i="1" s="1"/>
  <c r="S11" i="1"/>
  <c r="T11" i="1" s="1"/>
  <c r="S12" i="1"/>
  <c r="T12" i="1" s="1"/>
  <c r="S13" i="1"/>
  <c r="T13" i="1" s="1"/>
  <c r="S14" i="1"/>
  <c r="T14" i="1" s="1"/>
  <c r="S15" i="1"/>
  <c r="T15" i="1" s="1"/>
  <c r="S16" i="1"/>
  <c r="T16" i="1" s="1"/>
  <c r="S17" i="1"/>
  <c r="T17" i="1" s="1"/>
  <c r="S18" i="1"/>
  <c r="T18" i="1" s="1"/>
  <c r="S19" i="1"/>
  <c r="T19" i="1" s="1"/>
  <c r="S20" i="1"/>
  <c r="T20" i="1" s="1"/>
  <c r="S21" i="1"/>
  <c r="T21" i="1" s="1"/>
  <c r="S22" i="1"/>
  <c r="T22" i="1" s="1"/>
  <c r="S23" i="1"/>
  <c r="T23" i="1" s="1"/>
  <c r="S24" i="1"/>
  <c r="T24" i="1" s="1"/>
  <c r="S25" i="1"/>
  <c r="T25" i="1" s="1"/>
  <c r="S26" i="1"/>
  <c r="T26" i="1" s="1"/>
  <c r="S27" i="1"/>
  <c r="T27" i="1" s="1"/>
  <c r="S28" i="1"/>
  <c r="T28" i="1" s="1"/>
  <c r="S29" i="1"/>
  <c r="T29" i="1" s="1"/>
  <c r="S30" i="1"/>
  <c r="T30" i="1" s="1"/>
  <c r="S31" i="1"/>
  <c r="T31" i="1" s="1"/>
  <c r="S32" i="1"/>
  <c r="T32" i="1" s="1"/>
  <c r="S33" i="1"/>
  <c r="T33" i="1" s="1"/>
  <c r="S34" i="1"/>
  <c r="T34" i="1" s="1"/>
  <c r="S35" i="1"/>
  <c r="T35" i="1" s="1"/>
  <c r="S5" i="1"/>
  <c r="T5" i="1" s="1"/>
  <c r="P6" i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P18" i="1"/>
  <c r="P19" i="1"/>
  <c r="Q19" i="1" s="1"/>
  <c r="P20" i="1"/>
  <c r="Q20" i="1" s="1"/>
  <c r="P21" i="1"/>
  <c r="Q21" i="1" s="1"/>
  <c r="P22" i="1"/>
  <c r="Q22" i="1" s="1"/>
  <c r="P23" i="1"/>
  <c r="P24" i="1"/>
  <c r="Q24" i="1" s="1"/>
  <c r="P25" i="1"/>
  <c r="Q25" i="1" s="1"/>
  <c r="P26" i="1"/>
  <c r="Q26" i="1" s="1"/>
  <c r="P27" i="1"/>
  <c r="Q27" i="1" s="1"/>
  <c r="P28" i="1"/>
  <c r="Q28" i="1" s="1"/>
  <c r="P29" i="1"/>
  <c r="Q29" i="1" s="1"/>
  <c r="P30" i="1"/>
  <c r="Q30" i="1" s="1"/>
  <c r="P31" i="1"/>
  <c r="Q31" i="1" s="1"/>
  <c r="P32" i="1"/>
  <c r="Q32" i="1" s="1"/>
  <c r="P33" i="1"/>
  <c r="Q33" i="1" s="1"/>
  <c r="P34" i="1"/>
  <c r="P35" i="1"/>
  <c r="Q35" i="1" s="1"/>
  <c r="P5" i="1"/>
  <c r="Q5" i="1" s="1"/>
  <c r="L6" i="1"/>
  <c r="M6" i="1" s="1"/>
  <c r="L7" i="1"/>
  <c r="M7" i="1" s="1"/>
  <c r="L8" i="1"/>
  <c r="M8" i="1" s="1"/>
  <c r="L9" i="1"/>
  <c r="M9" i="1" s="1"/>
  <c r="L10" i="1"/>
  <c r="M10" i="1" s="1"/>
  <c r="L11" i="1"/>
  <c r="M11" i="1" s="1"/>
  <c r="L12" i="1"/>
  <c r="M12" i="1" s="1"/>
  <c r="L13" i="1"/>
  <c r="M13" i="1" s="1"/>
  <c r="L14" i="1"/>
  <c r="M14" i="1" s="1"/>
  <c r="L15" i="1"/>
  <c r="M15" i="1" s="1"/>
  <c r="L16" i="1"/>
  <c r="M16" i="1" s="1"/>
  <c r="L17" i="1"/>
  <c r="M17" i="1" s="1"/>
  <c r="L18" i="1"/>
  <c r="M18" i="1" s="1"/>
  <c r="L19" i="1"/>
  <c r="M19" i="1" s="1"/>
  <c r="L20" i="1"/>
  <c r="M20" i="1" s="1"/>
  <c r="L21" i="1"/>
  <c r="M21" i="1" s="1"/>
  <c r="L22" i="1"/>
  <c r="M22" i="1" s="1"/>
  <c r="L23" i="1"/>
  <c r="M23" i="1" s="1"/>
  <c r="L24" i="1"/>
  <c r="M24" i="1" s="1"/>
  <c r="L25" i="1"/>
  <c r="M25" i="1" s="1"/>
  <c r="L26" i="1"/>
  <c r="M26" i="1" s="1"/>
  <c r="L27" i="1"/>
  <c r="M27" i="1" s="1"/>
  <c r="L28" i="1"/>
  <c r="M28" i="1" s="1"/>
  <c r="L29" i="1"/>
  <c r="M29" i="1" s="1"/>
  <c r="L30" i="1"/>
  <c r="M30" i="1" s="1"/>
  <c r="L31" i="1"/>
  <c r="M31" i="1" s="1"/>
  <c r="L32" i="1"/>
  <c r="M32" i="1" s="1"/>
  <c r="L33" i="1"/>
  <c r="M33" i="1" s="1"/>
  <c r="L34" i="1"/>
  <c r="M34" i="1" s="1"/>
  <c r="L35" i="1"/>
  <c r="M35" i="1" s="1"/>
  <c r="L5" i="1"/>
  <c r="M5" i="1" s="1"/>
  <c r="I6" i="1"/>
  <c r="J6" i="1" s="1"/>
  <c r="I7" i="1"/>
  <c r="J7" i="1" s="1"/>
  <c r="I8" i="1"/>
  <c r="J8" i="1" s="1"/>
  <c r="I9" i="1"/>
  <c r="J9" i="1" s="1"/>
  <c r="I10" i="1"/>
  <c r="J10" i="1" s="1"/>
  <c r="I11" i="1"/>
  <c r="J11" i="1" s="1"/>
  <c r="I12" i="1"/>
  <c r="J12" i="1" s="1"/>
  <c r="I13" i="1"/>
  <c r="J13" i="1" s="1"/>
  <c r="I14" i="1"/>
  <c r="J14" i="1" s="1"/>
  <c r="I15" i="1"/>
  <c r="J15" i="1" s="1"/>
  <c r="I16" i="1"/>
  <c r="J16" i="1" s="1"/>
  <c r="I17" i="1"/>
  <c r="J17" i="1" s="1"/>
  <c r="I18" i="1"/>
  <c r="J18" i="1" s="1"/>
  <c r="I19" i="1"/>
  <c r="J19" i="1" s="1"/>
  <c r="I20" i="1"/>
  <c r="J20" i="1" s="1"/>
  <c r="I21" i="1"/>
  <c r="J21" i="1" s="1"/>
  <c r="I22" i="1"/>
  <c r="J22" i="1" s="1"/>
  <c r="I23" i="1"/>
  <c r="J23" i="1" s="1"/>
  <c r="I24" i="1"/>
  <c r="J24" i="1" s="1"/>
  <c r="I25" i="1"/>
  <c r="J25" i="1" s="1"/>
  <c r="I26" i="1"/>
  <c r="J26" i="1" s="1"/>
  <c r="I27" i="1"/>
  <c r="J27" i="1" s="1"/>
  <c r="I28" i="1"/>
  <c r="J28" i="1" s="1"/>
  <c r="I29" i="1"/>
  <c r="J29" i="1" s="1"/>
  <c r="I30" i="1"/>
  <c r="J30" i="1" s="1"/>
  <c r="I31" i="1"/>
  <c r="J31" i="1" s="1"/>
  <c r="I32" i="1"/>
  <c r="J32" i="1" s="1"/>
  <c r="I33" i="1"/>
  <c r="J33" i="1" s="1"/>
  <c r="I34" i="1"/>
  <c r="J34" i="1" s="1"/>
  <c r="I35" i="1"/>
  <c r="J35" i="1" s="1"/>
  <c r="I5" i="1"/>
  <c r="J5" i="1" s="1"/>
  <c r="F6" i="1"/>
  <c r="G6" i="1" s="1"/>
  <c r="F7" i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16" i="1"/>
  <c r="G16" i="1" s="1"/>
  <c r="F17" i="1"/>
  <c r="G17" i="1" s="1"/>
  <c r="F18" i="1"/>
  <c r="G18" i="1" s="1"/>
  <c r="F19" i="1"/>
  <c r="G19" i="1" s="1"/>
  <c r="F20" i="1"/>
  <c r="G20" i="1" s="1"/>
  <c r="F21" i="1"/>
  <c r="G21" i="1" s="1"/>
  <c r="F22" i="1"/>
  <c r="G22" i="1" s="1"/>
  <c r="F23" i="1"/>
  <c r="G23" i="1" s="1"/>
  <c r="F24" i="1"/>
  <c r="G24" i="1" s="1"/>
  <c r="F25" i="1"/>
  <c r="G25" i="1" s="1"/>
  <c r="F26" i="1"/>
  <c r="G26" i="1" s="1"/>
  <c r="F27" i="1"/>
  <c r="G27" i="1" s="1"/>
  <c r="F28" i="1"/>
  <c r="G28" i="1" s="1"/>
  <c r="F29" i="1"/>
  <c r="G29" i="1" s="1"/>
  <c r="F30" i="1"/>
  <c r="G30" i="1" s="1"/>
  <c r="F31" i="1"/>
  <c r="G31" i="1" s="1"/>
  <c r="F32" i="1"/>
  <c r="G32" i="1" s="1"/>
  <c r="F33" i="1"/>
  <c r="G33" i="1" s="1"/>
  <c r="F34" i="1"/>
  <c r="G34" i="1" s="1"/>
  <c r="F35" i="1"/>
  <c r="G35" i="1" s="1"/>
  <c r="F5" i="1"/>
  <c r="G5" i="1" s="1"/>
  <c r="C6" i="1"/>
  <c r="D6" i="1" s="1"/>
  <c r="C9" i="1"/>
  <c r="AB12" i="1"/>
  <c r="AB13" i="1"/>
  <c r="AB17" i="1"/>
  <c r="AB18" i="1"/>
  <c r="AB21" i="1"/>
  <c r="AB23" i="1"/>
  <c r="AB24" i="1"/>
  <c r="AB25" i="1"/>
  <c r="AB26" i="1"/>
  <c r="AB27" i="1"/>
  <c r="AB28" i="1"/>
  <c r="AB29" i="1"/>
  <c r="AB30" i="1"/>
  <c r="AB31" i="1"/>
  <c r="AB32" i="1"/>
  <c r="AB33" i="1"/>
  <c r="AB35" i="1"/>
  <c r="Y6" i="13"/>
  <c r="Z6" i="13" s="1"/>
  <c r="Y7" i="13"/>
  <c r="Z7" i="13" s="1"/>
  <c r="Y8" i="13"/>
  <c r="Z8" i="13" s="1"/>
  <c r="Y9" i="13"/>
  <c r="Z9" i="13" s="1"/>
  <c r="Y10" i="13"/>
  <c r="Z10" i="13" s="1"/>
  <c r="Y11" i="13"/>
  <c r="Z11" i="13" s="1"/>
  <c r="Y12" i="13"/>
  <c r="Z12" i="13" s="1"/>
  <c r="Y13" i="13"/>
  <c r="Z13" i="13" s="1"/>
  <c r="Y14" i="13"/>
  <c r="Z14" i="13" s="1"/>
  <c r="Y15" i="13"/>
  <c r="Z15" i="13" s="1"/>
  <c r="Y16" i="13"/>
  <c r="Z16" i="13" s="1"/>
  <c r="Y17" i="13"/>
  <c r="Z17" i="13" s="1"/>
  <c r="Y18" i="13"/>
  <c r="Z18" i="13" s="1"/>
  <c r="Y19" i="13"/>
  <c r="Z19" i="13" s="1"/>
  <c r="Y20" i="13"/>
  <c r="Z20" i="13" s="1"/>
  <c r="Y21" i="13"/>
  <c r="Z21" i="13" s="1"/>
  <c r="Y22" i="13"/>
  <c r="Z22" i="13" s="1"/>
  <c r="Y23" i="13"/>
  <c r="Z23" i="13" s="1"/>
  <c r="Y24" i="13"/>
  <c r="Z24" i="13" s="1"/>
  <c r="Y25" i="13"/>
  <c r="Z25" i="13" s="1"/>
  <c r="Y26" i="13"/>
  <c r="Z26" i="13" s="1"/>
  <c r="Y27" i="13"/>
  <c r="Z27" i="13" s="1"/>
  <c r="Y28" i="13"/>
  <c r="Z28" i="13" s="1"/>
  <c r="Y29" i="13"/>
  <c r="Z29" i="13" s="1"/>
  <c r="Y30" i="13"/>
  <c r="Z30" i="13" s="1"/>
  <c r="Y31" i="13"/>
  <c r="Z31" i="13" s="1"/>
  <c r="Y32" i="13"/>
  <c r="Z32" i="13" s="1"/>
  <c r="Y33" i="13"/>
  <c r="Z33" i="13" s="1"/>
  <c r="Y34" i="13"/>
  <c r="Z34" i="13" s="1"/>
  <c r="Y35" i="13"/>
  <c r="Z35" i="13" s="1"/>
  <c r="Y5" i="13"/>
  <c r="Z5" i="13" s="1"/>
  <c r="V6" i="13"/>
  <c r="W6" i="13" s="1"/>
  <c r="V7" i="13"/>
  <c r="V8" i="13"/>
  <c r="W8" i="13" s="1"/>
  <c r="V9" i="13"/>
  <c r="W9" i="13" s="1"/>
  <c r="V10" i="13"/>
  <c r="W10" i="13" s="1"/>
  <c r="V11" i="13"/>
  <c r="W11" i="13" s="1"/>
  <c r="V12" i="13"/>
  <c r="W12" i="13" s="1"/>
  <c r="V13" i="13"/>
  <c r="W13" i="13" s="1"/>
  <c r="V14" i="13"/>
  <c r="W14" i="13" s="1"/>
  <c r="V15" i="13"/>
  <c r="W15" i="13" s="1"/>
  <c r="V16" i="13"/>
  <c r="W16" i="13" s="1"/>
  <c r="V17" i="13"/>
  <c r="W17" i="13" s="1"/>
  <c r="V18" i="13"/>
  <c r="W18" i="13" s="1"/>
  <c r="V19" i="13"/>
  <c r="W19" i="13" s="1"/>
  <c r="V20" i="13"/>
  <c r="W20" i="13" s="1"/>
  <c r="V21" i="13"/>
  <c r="W21" i="13" s="1"/>
  <c r="V22" i="13"/>
  <c r="W22" i="13" s="1"/>
  <c r="V23" i="13"/>
  <c r="W23" i="13" s="1"/>
  <c r="V24" i="13"/>
  <c r="W24" i="13" s="1"/>
  <c r="V25" i="13"/>
  <c r="W25" i="13" s="1"/>
  <c r="V26" i="13"/>
  <c r="W26" i="13" s="1"/>
  <c r="V27" i="13"/>
  <c r="W27" i="13" s="1"/>
  <c r="V28" i="13"/>
  <c r="W28" i="13" s="1"/>
  <c r="V29" i="13"/>
  <c r="W29" i="13" s="1"/>
  <c r="V30" i="13"/>
  <c r="W30" i="13" s="1"/>
  <c r="V31" i="13"/>
  <c r="W31" i="13" s="1"/>
  <c r="V32" i="13"/>
  <c r="W32" i="13" s="1"/>
  <c r="V33" i="13"/>
  <c r="W33" i="13" s="1"/>
  <c r="V34" i="13"/>
  <c r="W34" i="13" s="1"/>
  <c r="V35" i="13"/>
  <c r="W35" i="13" s="1"/>
  <c r="V5" i="13"/>
  <c r="W5" i="13" s="1"/>
  <c r="S6" i="13"/>
  <c r="T6" i="13" s="1"/>
  <c r="S7" i="13"/>
  <c r="T7" i="13" s="1"/>
  <c r="S8" i="13"/>
  <c r="T8" i="13" s="1"/>
  <c r="S9" i="13"/>
  <c r="T9" i="13" s="1"/>
  <c r="S10" i="13"/>
  <c r="T10" i="13" s="1"/>
  <c r="S11" i="13"/>
  <c r="T11" i="13" s="1"/>
  <c r="S12" i="13"/>
  <c r="T12" i="13" s="1"/>
  <c r="S13" i="13"/>
  <c r="T13" i="13" s="1"/>
  <c r="S14" i="13"/>
  <c r="T14" i="13" s="1"/>
  <c r="S15" i="13"/>
  <c r="T15" i="13" s="1"/>
  <c r="S16" i="13"/>
  <c r="T16" i="13" s="1"/>
  <c r="S17" i="13"/>
  <c r="T17" i="13" s="1"/>
  <c r="S18" i="13"/>
  <c r="T18" i="13" s="1"/>
  <c r="S19" i="13"/>
  <c r="T19" i="13" s="1"/>
  <c r="S20" i="13"/>
  <c r="T20" i="13" s="1"/>
  <c r="S21" i="13"/>
  <c r="T21" i="13" s="1"/>
  <c r="S22" i="13"/>
  <c r="T22" i="13" s="1"/>
  <c r="S23" i="13"/>
  <c r="T23" i="13" s="1"/>
  <c r="S24" i="13"/>
  <c r="T24" i="13" s="1"/>
  <c r="S25" i="13"/>
  <c r="T25" i="13" s="1"/>
  <c r="S26" i="13"/>
  <c r="T26" i="13" s="1"/>
  <c r="S27" i="13"/>
  <c r="T27" i="13" s="1"/>
  <c r="S28" i="13"/>
  <c r="T28" i="13" s="1"/>
  <c r="S29" i="13"/>
  <c r="T29" i="13" s="1"/>
  <c r="S30" i="13"/>
  <c r="T30" i="13" s="1"/>
  <c r="S31" i="13"/>
  <c r="T31" i="13" s="1"/>
  <c r="S32" i="13"/>
  <c r="T32" i="13" s="1"/>
  <c r="S33" i="13"/>
  <c r="T33" i="13" s="1"/>
  <c r="S34" i="13"/>
  <c r="T34" i="13" s="1"/>
  <c r="S35" i="13"/>
  <c r="T35" i="13" s="1"/>
  <c r="S5" i="13"/>
  <c r="T5" i="13" s="1"/>
  <c r="P6" i="13"/>
  <c r="Q6" i="13" s="1"/>
  <c r="P7" i="13"/>
  <c r="Q7" i="13" s="1"/>
  <c r="P8" i="13"/>
  <c r="Q8" i="13" s="1"/>
  <c r="P9" i="13"/>
  <c r="Q9" i="13" s="1"/>
  <c r="P10" i="13"/>
  <c r="Q10" i="13" s="1"/>
  <c r="P11" i="13"/>
  <c r="Q11" i="13" s="1"/>
  <c r="P12" i="13"/>
  <c r="Q12" i="13" s="1"/>
  <c r="P13" i="13"/>
  <c r="Q13" i="13" s="1"/>
  <c r="P14" i="13"/>
  <c r="Q14" i="13" s="1"/>
  <c r="P15" i="13"/>
  <c r="Q15" i="13" s="1"/>
  <c r="P16" i="13"/>
  <c r="Q16" i="13" s="1"/>
  <c r="P17" i="13"/>
  <c r="Q17" i="13" s="1"/>
  <c r="P18" i="13"/>
  <c r="P19" i="13"/>
  <c r="Q19" i="13" s="1"/>
  <c r="P20" i="13"/>
  <c r="Q20" i="13" s="1"/>
  <c r="P21" i="13"/>
  <c r="Q21" i="13" s="1"/>
  <c r="P22" i="13"/>
  <c r="Q22" i="13" s="1"/>
  <c r="P23" i="13"/>
  <c r="Q23" i="13" s="1"/>
  <c r="P24" i="13"/>
  <c r="Q24" i="13" s="1"/>
  <c r="P25" i="13"/>
  <c r="Q25" i="13" s="1"/>
  <c r="P26" i="13"/>
  <c r="Q26" i="13" s="1"/>
  <c r="P27" i="13"/>
  <c r="Q27" i="13" s="1"/>
  <c r="P28" i="13"/>
  <c r="Q28" i="13" s="1"/>
  <c r="P29" i="13"/>
  <c r="Q29" i="13" s="1"/>
  <c r="P30" i="13"/>
  <c r="P31" i="13"/>
  <c r="Q31" i="13" s="1"/>
  <c r="P32" i="13"/>
  <c r="Q32" i="13" s="1"/>
  <c r="P33" i="13"/>
  <c r="Q33" i="13" s="1"/>
  <c r="P34" i="13"/>
  <c r="Q34" i="13" s="1"/>
  <c r="P35" i="13"/>
  <c r="Q35" i="13" s="1"/>
  <c r="P5" i="13"/>
  <c r="L6" i="13"/>
  <c r="M6" i="13" s="1"/>
  <c r="L7" i="13"/>
  <c r="M7" i="13" s="1"/>
  <c r="L8" i="13"/>
  <c r="M8" i="13" s="1"/>
  <c r="L9" i="13"/>
  <c r="M9" i="13" s="1"/>
  <c r="L10" i="13"/>
  <c r="M10" i="13" s="1"/>
  <c r="L11" i="13"/>
  <c r="M11" i="13" s="1"/>
  <c r="L12" i="13"/>
  <c r="M12" i="13" s="1"/>
  <c r="L13" i="13"/>
  <c r="M13" i="13" s="1"/>
  <c r="L14" i="13"/>
  <c r="M14" i="13" s="1"/>
  <c r="L15" i="13"/>
  <c r="M15" i="13" s="1"/>
  <c r="L16" i="13"/>
  <c r="M16" i="13" s="1"/>
  <c r="L17" i="13"/>
  <c r="M17" i="13" s="1"/>
  <c r="L18" i="13"/>
  <c r="M18" i="13" s="1"/>
  <c r="L19" i="13"/>
  <c r="M19" i="13" s="1"/>
  <c r="L20" i="13"/>
  <c r="M20" i="13" s="1"/>
  <c r="L21" i="13"/>
  <c r="M21" i="13" s="1"/>
  <c r="L22" i="13"/>
  <c r="M22" i="13" s="1"/>
  <c r="L23" i="13"/>
  <c r="M23" i="13" s="1"/>
  <c r="L24" i="13"/>
  <c r="M24" i="13" s="1"/>
  <c r="L25" i="13"/>
  <c r="M25" i="13" s="1"/>
  <c r="L26" i="13"/>
  <c r="M26" i="13" s="1"/>
  <c r="L27" i="13"/>
  <c r="M27" i="13" s="1"/>
  <c r="L28" i="13"/>
  <c r="M28" i="13" s="1"/>
  <c r="L29" i="13"/>
  <c r="M29" i="13" s="1"/>
  <c r="L30" i="13"/>
  <c r="M30" i="13" s="1"/>
  <c r="L31" i="13"/>
  <c r="M31" i="13" s="1"/>
  <c r="L32" i="13"/>
  <c r="M32" i="13" s="1"/>
  <c r="L33" i="13"/>
  <c r="M33" i="13" s="1"/>
  <c r="L34" i="13"/>
  <c r="M34" i="13" s="1"/>
  <c r="L35" i="13"/>
  <c r="M35" i="13" s="1"/>
  <c r="L5" i="13"/>
  <c r="M5" i="13" s="1"/>
  <c r="I6" i="13"/>
  <c r="J6" i="13" s="1"/>
  <c r="I7" i="13"/>
  <c r="J7" i="13" s="1"/>
  <c r="I8" i="13"/>
  <c r="J8" i="13" s="1"/>
  <c r="I9" i="13"/>
  <c r="J9" i="13" s="1"/>
  <c r="I10" i="13"/>
  <c r="J10" i="13" s="1"/>
  <c r="I11" i="13"/>
  <c r="J11" i="13" s="1"/>
  <c r="I12" i="13"/>
  <c r="J12" i="13" s="1"/>
  <c r="I13" i="13"/>
  <c r="J13" i="13" s="1"/>
  <c r="I14" i="13"/>
  <c r="J14" i="13" s="1"/>
  <c r="I15" i="13"/>
  <c r="J15" i="13" s="1"/>
  <c r="I16" i="13"/>
  <c r="J16" i="13" s="1"/>
  <c r="I17" i="13"/>
  <c r="J17" i="13" s="1"/>
  <c r="I18" i="13"/>
  <c r="J18" i="13" s="1"/>
  <c r="I19" i="13"/>
  <c r="J19" i="13" s="1"/>
  <c r="I20" i="13"/>
  <c r="J20" i="13" s="1"/>
  <c r="I21" i="13"/>
  <c r="J21" i="13" s="1"/>
  <c r="I22" i="13"/>
  <c r="J22" i="13" s="1"/>
  <c r="I23" i="13"/>
  <c r="J23" i="13" s="1"/>
  <c r="I24" i="13"/>
  <c r="J24" i="13" s="1"/>
  <c r="I25" i="13"/>
  <c r="J25" i="13" s="1"/>
  <c r="I26" i="13"/>
  <c r="J26" i="13" s="1"/>
  <c r="I27" i="13"/>
  <c r="J27" i="13" s="1"/>
  <c r="I28" i="13"/>
  <c r="J28" i="13" s="1"/>
  <c r="I29" i="13"/>
  <c r="J29" i="13" s="1"/>
  <c r="I30" i="13"/>
  <c r="J30" i="13" s="1"/>
  <c r="I31" i="13"/>
  <c r="J31" i="13" s="1"/>
  <c r="I32" i="13"/>
  <c r="J32" i="13" s="1"/>
  <c r="I33" i="13"/>
  <c r="J33" i="13" s="1"/>
  <c r="I34" i="13"/>
  <c r="J34" i="13" s="1"/>
  <c r="I35" i="13"/>
  <c r="J35" i="13" s="1"/>
  <c r="I5" i="13"/>
  <c r="J5" i="13" s="1"/>
  <c r="F6" i="13"/>
  <c r="G6" i="13" s="1"/>
  <c r="F7" i="13"/>
  <c r="G7" i="13" s="1"/>
  <c r="F8" i="13"/>
  <c r="G8" i="13" s="1"/>
  <c r="F9" i="13"/>
  <c r="G9" i="13" s="1"/>
  <c r="F10" i="13"/>
  <c r="G10" i="13" s="1"/>
  <c r="F11" i="13"/>
  <c r="G11" i="13" s="1"/>
  <c r="F12" i="13"/>
  <c r="G12" i="13" s="1"/>
  <c r="F13" i="13"/>
  <c r="G13" i="13" s="1"/>
  <c r="F14" i="13"/>
  <c r="G14" i="13" s="1"/>
  <c r="F15" i="13"/>
  <c r="G15" i="13" s="1"/>
  <c r="F16" i="13"/>
  <c r="G16" i="13" s="1"/>
  <c r="F17" i="13"/>
  <c r="G17" i="13" s="1"/>
  <c r="F18" i="13"/>
  <c r="G18" i="13" s="1"/>
  <c r="F19" i="13"/>
  <c r="G19" i="13" s="1"/>
  <c r="F20" i="13"/>
  <c r="G20" i="13" s="1"/>
  <c r="F21" i="13"/>
  <c r="G21" i="13" s="1"/>
  <c r="F22" i="13"/>
  <c r="G22" i="13" s="1"/>
  <c r="F23" i="13"/>
  <c r="G23" i="13" s="1"/>
  <c r="F24" i="13"/>
  <c r="G24" i="13" s="1"/>
  <c r="F25" i="13"/>
  <c r="G25" i="13" s="1"/>
  <c r="F26" i="13"/>
  <c r="G26" i="13" s="1"/>
  <c r="F27" i="13"/>
  <c r="G27" i="13" s="1"/>
  <c r="F28" i="13"/>
  <c r="G28" i="13" s="1"/>
  <c r="F29" i="13"/>
  <c r="G29" i="13" s="1"/>
  <c r="F30" i="13"/>
  <c r="G30" i="13" s="1"/>
  <c r="F31" i="13"/>
  <c r="G31" i="13" s="1"/>
  <c r="F32" i="13"/>
  <c r="G32" i="13" s="1"/>
  <c r="F33" i="13"/>
  <c r="G33" i="13" s="1"/>
  <c r="F34" i="13"/>
  <c r="G34" i="13" s="1"/>
  <c r="F35" i="13"/>
  <c r="G35" i="13" s="1"/>
  <c r="F5" i="13"/>
  <c r="G5" i="13" s="1"/>
  <c r="C6" i="13"/>
  <c r="AB7" i="13"/>
  <c r="C8" i="13"/>
  <c r="AB9" i="13"/>
  <c r="AB10" i="13"/>
  <c r="AB11" i="13"/>
  <c r="AB12" i="13"/>
  <c r="C13" i="13"/>
  <c r="D13" i="13" s="1"/>
  <c r="AB14" i="13"/>
  <c r="C15" i="13"/>
  <c r="C16" i="13"/>
  <c r="C17" i="13"/>
  <c r="AB18" i="13"/>
  <c r="AB19" i="13"/>
  <c r="C20" i="13"/>
  <c r="C21" i="13"/>
  <c r="D21" i="13" s="1"/>
  <c r="C22" i="13"/>
  <c r="AB23" i="13"/>
  <c r="C24" i="13"/>
  <c r="C25" i="13"/>
  <c r="D25" i="13" s="1"/>
  <c r="C26" i="13"/>
  <c r="D26" i="13" s="1"/>
  <c r="AD26" i="13" s="1"/>
  <c r="C27" i="13"/>
  <c r="C28" i="13"/>
  <c r="AB29" i="13"/>
  <c r="AB30" i="13"/>
  <c r="AB31" i="13"/>
  <c r="AB32" i="13"/>
  <c r="AB33" i="13"/>
  <c r="AB34" i="13"/>
  <c r="AB35" i="13"/>
  <c r="C5" i="13"/>
  <c r="D5" i="13" s="1"/>
  <c r="Y6" i="14"/>
  <c r="Z6" i="14" s="1"/>
  <c r="Y7" i="14"/>
  <c r="Z7" i="14" s="1"/>
  <c r="Y8" i="14"/>
  <c r="Z8" i="14" s="1"/>
  <c r="Y9" i="14"/>
  <c r="Z9" i="14" s="1"/>
  <c r="Y10" i="14"/>
  <c r="Z10" i="14" s="1"/>
  <c r="Y11" i="14"/>
  <c r="Z11" i="14" s="1"/>
  <c r="Y12" i="14"/>
  <c r="Z12" i="14" s="1"/>
  <c r="Y13" i="14"/>
  <c r="Z13" i="14" s="1"/>
  <c r="Y14" i="14"/>
  <c r="Z14" i="14" s="1"/>
  <c r="Y15" i="14"/>
  <c r="Z15" i="14" s="1"/>
  <c r="Y16" i="14"/>
  <c r="Z16" i="14" s="1"/>
  <c r="Y17" i="14"/>
  <c r="Z17" i="14" s="1"/>
  <c r="Y18" i="14"/>
  <c r="Z18" i="14" s="1"/>
  <c r="Y19" i="14"/>
  <c r="Z19" i="14" s="1"/>
  <c r="Y20" i="14"/>
  <c r="Z20" i="14" s="1"/>
  <c r="Y21" i="14"/>
  <c r="Z21" i="14" s="1"/>
  <c r="Y22" i="14"/>
  <c r="Z22" i="14" s="1"/>
  <c r="Y23" i="14"/>
  <c r="Z23" i="14" s="1"/>
  <c r="Y24" i="14"/>
  <c r="Z24" i="14" s="1"/>
  <c r="Y25" i="14"/>
  <c r="Z25" i="14" s="1"/>
  <c r="Y26" i="14"/>
  <c r="Z26" i="14" s="1"/>
  <c r="Y27" i="14"/>
  <c r="Z27" i="14" s="1"/>
  <c r="Y28" i="14"/>
  <c r="Z28" i="14" s="1"/>
  <c r="Y29" i="14"/>
  <c r="Z29" i="14" s="1"/>
  <c r="Y30" i="14"/>
  <c r="Z30" i="14" s="1"/>
  <c r="Y31" i="14"/>
  <c r="Z31" i="14" s="1"/>
  <c r="Y32" i="14"/>
  <c r="Z32" i="14" s="1"/>
  <c r="Y33" i="14"/>
  <c r="Z33" i="14" s="1"/>
  <c r="Y34" i="14"/>
  <c r="Z34" i="14" s="1"/>
  <c r="Y5" i="14"/>
  <c r="Z5" i="14" s="1"/>
  <c r="V6" i="14"/>
  <c r="W6" i="14" s="1"/>
  <c r="V7" i="14"/>
  <c r="W7" i="14" s="1"/>
  <c r="V8" i="14"/>
  <c r="W8" i="14" s="1"/>
  <c r="V9" i="14"/>
  <c r="W9" i="14" s="1"/>
  <c r="V10" i="14"/>
  <c r="W10" i="14" s="1"/>
  <c r="V11" i="14"/>
  <c r="W11" i="14" s="1"/>
  <c r="V12" i="14"/>
  <c r="W12" i="14" s="1"/>
  <c r="V13" i="14"/>
  <c r="W13" i="14" s="1"/>
  <c r="V14" i="14"/>
  <c r="W14" i="14" s="1"/>
  <c r="V15" i="14"/>
  <c r="W15" i="14" s="1"/>
  <c r="V16" i="14"/>
  <c r="W16" i="14" s="1"/>
  <c r="V17" i="14"/>
  <c r="W17" i="14" s="1"/>
  <c r="V18" i="14"/>
  <c r="W18" i="14" s="1"/>
  <c r="V19" i="14"/>
  <c r="W19" i="14" s="1"/>
  <c r="V20" i="14"/>
  <c r="W20" i="14" s="1"/>
  <c r="V21" i="14"/>
  <c r="W21" i="14" s="1"/>
  <c r="V22" i="14"/>
  <c r="W22" i="14" s="1"/>
  <c r="V23" i="14"/>
  <c r="W23" i="14" s="1"/>
  <c r="V24" i="14"/>
  <c r="W24" i="14" s="1"/>
  <c r="V25" i="14"/>
  <c r="W25" i="14" s="1"/>
  <c r="V26" i="14"/>
  <c r="W26" i="14" s="1"/>
  <c r="V27" i="14"/>
  <c r="W27" i="14" s="1"/>
  <c r="V28" i="14"/>
  <c r="W28" i="14" s="1"/>
  <c r="V29" i="14"/>
  <c r="W29" i="14" s="1"/>
  <c r="V30" i="14"/>
  <c r="W30" i="14" s="1"/>
  <c r="V31" i="14"/>
  <c r="W31" i="14" s="1"/>
  <c r="V32" i="14"/>
  <c r="W32" i="14" s="1"/>
  <c r="V33" i="14"/>
  <c r="W33" i="14" s="1"/>
  <c r="V34" i="14"/>
  <c r="W34" i="14" s="1"/>
  <c r="V5" i="14"/>
  <c r="W5" i="14" s="1"/>
  <c r="S6" i="14"/>
  <c r="T6" i="14" s="1"/>
  <c r="S7" i="14"/>
  <c r="T7" i="14" s="1"/>
  <c r="S8" i="14"/>
  <c r="T8" i="14" s="1"/>
  <c r="S9" i="14"/>
  <c r="T9" i="14" s="1"/>
  <c r="S10" i="14"/>
  <c r="T10" i="14" s="1"/>
  <c r="S11" i="14"/>
  <c r="T11" i="14" s="1"/>
  <c r="S12" i="14"/>
  <c r="T12" i="14" s="1"/>
  <c r="S13" i="14"/>
  <c r="T13" i="14" s="1"/>
  <c r="S14" i="14"/>
  <c r="T14" i="14" s="1"/>
  <c r="S15" i="14"/>
  <c r="T15" i="14" s="1"/>
  <c r="S16" i="14"/>
  <c r="T16" i="14" s="1"/>
  <c r="S17" i="14"/>
  <c r="T17" i="14" s="1"/>
  <c r="S18" i="14"/>
  <c r="T18" i="14" s="1"/>
  <c r="S19" i="14"/>
  <c r="T19" i="14" s="1"/>
  <c r="S20" i="14"/>
  <c r="T20" i="14" s="1"/>
  <c r="S21" i="14"/>
  <c r="T21" i="14" s="1"/>
  <c r="S22" i="14"/>
  <c r="T22" i="14" s="1"/>
  <c r="S23" i="14"/>
  <c r="T23" i="14" s="1"/>
  <c r="S24" i="14"/>
  <c r="T24" i="14" s="1"/>
  <c r="S25" i="14"/>
  <c r="T25" i="14" s="1"/>
  <c r="S26" i="14"/>
  <c r="T26" i="14" s="1"/>
  <c r="S27" i="14"/>
  <c r="T27" i="14" s="1"/>
  <c r="S28" i="14"/>
  <c r="T28" i="14" s="1"/>
  <c r="S29" i="14"/>
  <c r="T29" i="14" s="1"/>
  <c r="S30" i="14"/>
  <c r="T30" i="14" s="1"/>
  <c r="S31" i="14"/>
  <c r="T31" i="14" s="1"/>
  <c r="S32" i="14"/>
  <c r="T32" i="14" s="1"/>
  <c r="S33" i="14"/>
  <c r="T33" i="14" s="1"/>
  <c r="S34" i="14"/>
  <c r="T34" i="14" s="1"/>
  <c r="S5" i="14"/>
  <c r="T5" i="14" s="1"/>
  <c r="P6" i="14"/>
  <c r="Q6" i="14" s="1"/>
  <c r="P7" i="14"/>
  <c r="Q7" i="14" s="1"/>
  <c r="P8" i="14"/>
  <c r="Q8" i="14" s="1"/>
  <c r="P9" i="14"/>
  <c r="Q9" i="14" s="1"/>
  <c r="P10" i="14"/>
  <c r="Q10" i="14" s="1"/>
  <c r="P11" i="14"/>
  <c r="Q11" i="14" s="1"/>
  <c r="P12" i="14"/>
  <c r="Q12" i="14" s="1"/>
  <c r="P13" i="14"/>
  <c r="Q13" i="14" s="1"/>
  <c r="P14" i="14"/>
  <c r="Q14" i="14" s="1"/>
  <c r="P15" i="14"/>
  <c r="Q15" i="14" s="1"/>
  <c r="P16" i="14"/>
  <c r="Q16" i="14" s="1"/>
  <c r="P17" i="14"/>
  <c r="Q17" i="14" s="1"/>
  <c r="P18" i="14"/>
  <c r="Q18" i="14" s="1"/>
  <c r="P19" i="14"/>
  <c r="Q19" i="14" s="1"/>
  <c r="P20" i="14"/>
  <c r="Q20" i="14" s="1"/>
  <c r="P21" i="14"/>
  <c r="Q21" i="14" s="1"/>
  <c r="P22" i="14"/>
  <c r="Q22" i="14" s="1"/>
  <c r="P23" i="14"/>
  <c r="Q23" i="14" s="1"/>
  <c r="P24" i="14"/>
  <c r="Q24" i="14" s="1"/>
  <c r="P25" i="14"/>
  <c r="Q25" i="14" s="1"/>
  <c r="P26" i="14"/>
  <c r="Q26" i="14" s="1"/>
  <c r="P27" i="14"/>
  <c r="Q27" i="14" s="1"/>
  <c r="P28" i="14"/>
  <c r="Q28" i="14" s="1"/>
  <c r="P29" i="14"/>
  <c r="Q29" i="14" s="1"/>
  <c r="P30" i="14"/>
  <c r="Q30" i="14" s="1"/>
  <c r="P31" i="14"/>
  <c r="Q31" i="14" s="1"/>
  <c r="P32" i="14"/>
  <c r="Q32" i="14" s="1"/>
  <c r="P33" i="14"/>
  <c r="Q33" i="14" s="1"/>
  <c r="P34" i="14"/>
  <c r="Q34" i="14" s="1"/>
  <c r="P5" i="14"/>
  <c r="Q5" i="14" s="1"/>
  <c r="L6" i="14"/>
  <c r="M6" i="14" s="1"/>
  <c r="L7" i="14"/>
  <c r="M7" i="14" s="1"/>
  <c r="L8" i="14"/>
  <c r="M8" i="14" s="1"/>
  <c r="L9" i="14"/>
  <c r="M9" i="14" s="1"/>
  <c r="L10" i="14"/>
  <c r="M10" i="14" s="1"/>
  <c r="L11" i="14"/>
  <c r="M11" i="14" s="1"/>
  <c r="L12" i="14"/>
  <c r="M12" i="14" s="1"/>
  <c r="L13" i="14"/>
  <c r="M13" i="14" s="1"/>
  <c r="L14" i="14"/>
  <c r="M14" i="14" s="1"/>
  <c r="L15" i="14"/>
  <c r="M15" i="14" s="1"/>
  <c r="L16" i="14"/>
  <c r="M16" i="14" s="1"/>
  <c r="L17" i="14"/>
  <c r="M17" i="14" s="1"/>
  <c r="L18" i="14"/>
  <c r="M18" i="14" s="1"/>
  <c r="L19" i="14"/>
  <c r="M19" i="14" s="1"/>
  <c r="L20" i="14"/>
  <c r="M20" i="14" s="1"/>
  <c r="L21" i="14"/>
  <c r="M21" i="14" s="1"/>
  <c r="L22" i="14"/>
  <c r="M22" i="14" s="1"/>
  <c r="L23" i="14"/>
  <c r="M23" i="14" s="1"/>
  <c r="L24" i="14"/>
  <c r="M24" i="14" s="1"/>
  <c r="L25" i="14"/>
  <c r="M25" i="14" s="1"/>
  <c r="L26" i="14"/>
  <c r="M26" i="14" s="1"/>
  <c r="L27" i="14"/>
  <c r="M27" i="14" s="1"/>
  <c r="L28" i="14"/>
  <c r="M28" i="14" s="1"/>
  <c r="L29" i="14"/>
  <c r="M29" i="14" s="1"/>
  <c r="L30" i="14"/>
  <c r="M30" i="14" s="1"/>
  <c r="L31" i="14"/>
  <c r="M31" i="14" s="1"/>
  <c r="L32" i="14"/>
  <c r="M32" i="14" s="1"/>
  <c r="L33" i="14"/>
  <c r="M33" i="14" s="1"/>
  <c r="L34" i="14"/>
  <c r="M34" i="14" s="1"/>
  <c r="L5" i="14"/>
  <c r="M5" i="14" s="1"/>
  <c r="I6" i="14"/>
  <c r="J6" i="14" s="1"/>
  <c r="I7" i="14"/>
  <c r="J7" i="14" s="1"/>
  <c r="I8" i="14"/>
  <c r="I9" i="14"/>
  <c r="J9" i="14" s="1"/>
  <c r="I10" i="14"/>
  <c r="J10" i="14" s="1"/>
  <c r="I11" i="14"/>
  <c r="J11" i="14" s="1"/>
  <c r="I12" i="14"/>
  <c r="J12" i="14" s="1"/>
  <c r="I13" i="14"/>
  <c r="J13" i="14" s="1"/>
  <c r="I14" i="14"/>
  <c r="J14" i="14" s="1"/>
  <c r="I15" i="14"/>
  <c r="J15" i="14" s="1"/>
  <c r="I16" i="14"/>
  <c r="J16" i="14" s="1"/>
  <c r="I17" i="14"/>
  <c r="J17" i="14" s="1"/>
  <c r="I18" i="14"/>
  <c r="J18" i="14" s="1"/>
  <c r="I19" i="14"/>
  <c r="J19" i="14" s="1"/>
  <c r="I20" i="14"/>
  <c r="J20" i="14" s="1"/>
  <c r="I21" i="14"/>
  <c r="J21" i="14" s="1"/>
  <c r="I22" i="14"/>
  <c r="J22" i="14" s="1"/>
  <c r="I23" i="14"/>
  <c r="J23" i="14" s="1"/>
  <c r="I24" i="14"/>
  <c r="J24" i="14" s="1"/>
  <c r="I25" i="14"/>
  <c r="J25" i="14" s="1"/>
  <c r="I26" i="14"/>
  <c r="J26" i="14" s="1"/>
  <c r="I27" i="14"/>
  <c r="J27" i="14" s="1"/>
  <c r="I28" i="14"/>
  <c r="J28" i="14" s="1"/>
  <c r="I29" i="14"/>
  <c r="J29" i="14" s="1"/>
  <c r="I30" i="14"/>
  <c r="J30" i="14" s="1"/>
  <c r="I31" i="14"/>
  <c r="J31" i="14" s="1"/>
  <c r="I32" i="14"/>
  <c r="J32" i="14" s="1"/>
  <c r="I33" i="14"/>
  <c r="J33" i="14" s="1"/>
  <c r="I34" i="14"/>
  <c r="J34" i="14" s="1"/>
  <c r="I5" i="14"/>
  <c r="J5" i="14" s="1"/>
  <c r="F6" i="14"/>
  <c r="G6" i="14" s="1"/>
  <c r="F7" i="14"/>
  <c r="G7" i="14" s="1"/>
  <c r="F8" i="14"/>
  <c r="G8" i="14" s="1"/>
  <c r="F9" i="14"/>
  <c r="G9" i="14" s="1"/>
  <c r="F10" i="14"/>
  <c r="G10" i="14" s="1"/>
  <c r="F11" i="14"/>
  <c r="G11" i="14" s="1"/>
  <c r="F12" i="14"/>
  <c r="G12" i="14" s="1"/>
  <c r="F13" i="14"/>
  <c r="G13" i="14" s="1"/>
  <c r="F14" i="14"/>
  <c r="G14" i="14" s="1"/>
  <c r="F15" i="14"/>
  <c r="G15" i="14" s="1"/>
  <c r="F16" i="14"/>
  <c r="G16" i="14" s="1"/>
  <c r="F17" i="14"/>
  <c r="G17" i="14" s="1"/>
  <c r="F18" i="14"/>
  <c r="G18" i="14" s="1"/>
  <c r="F19" i="14"/>
  <c r="G19" i="14" s="1"/>
  <c r="F20" i="14"/>
  <c r="G20" i="14" s="1"/>
  <c r="F21" i="14"/>
  <c r="G21" i="14" s="1"/>
  <c r="F22" i="14"/>
  <c r="G22" i="14" s="1"/>
  <c r="F23" i="14"/>
  <c r="G23" i="14" s="1"/>
  <c r="F24" i="14"/>
  <c r="G24" i="14" s="1"/>
  <c r="F25" i="14"/>
  <c r="G25" i="14" s="1"/>
  <c r="F26" i="14"/>
  <c r="G26" i="14" s="1"/>
  <c r="F27" i="14"/>
  <c r="G27" i="14" s="1"/>
  <c r="F28" i="14"/>
  <c r="G28" i="14" s="1"/>
  <c r="F29" i="14"/>
  <c r="G29" i="14" s="1"/>
  <c r="F30" i="14"/>
  <c r="G30" i="14" s="1"/>
  <c r="F31" i="14"/>
  <c r="G31" i="14" s="1"/>
  <c r="F32" i="14"/>
  <c r="G32" i="14" s="1"/>
  <c r="F33" i="14"/>
  <c r="G33" i="14" s="1"/>
  <c r="F34" i="14"/>
  <c r="G34" i="14" s="1"/>
  <c r="F5" i="14"/>
  <c r="AB6" i="14"/>
  <c r="AB7" i="14"/>
  <c r="AB8" i="14"/>
  <c r="AB10" i="14"/>
  <c r="AB11" i="14"/>
  <c r="AB12" i="14"/>
  <c r="AB13" i="14"/>
  <c r="AB14" i="14"/>
  <c r="C15" i="14"/>
  <c r="AB16" i="14"/>
  <c r="AB18" i="14"/>
  <c r="AB19" i="14"/>
  <c r="AB21" i="14"/>
  <c r="AB22" i="14"/>
  <c r="AB23" i="14"/>
  <c r="AB25" i="14"/>
  <c r="AB26" i="14"/>
  <c r="AB30" i="14"/>
  <c r="AB31" i="14"/>
  <c r="AB34" i="14"/>
  <c r="AB5" i="14"/>
  <c r="Y5" i="5"/>
  <c r="Z5" i="5" s="1"/>
  <c r="V5" i="5"/>
  <c r="W5" i="5" s="1"/>
  <c r="S5" i="5"/>
  <c r="T5" i="5" s="1"/>
  <c r="P5" i="5"/>
  <c r="Q5" i="5" s="1"/>
  <c r="L5" i="5"/>
  <c r="M5" i="5" s="1"/>
  <c r="I5" i="5"/>
  <c r="J5" i="5" s="1"/>
  <c r="F5" i="5"/>
  <c r="G5" i="5" s="1"/>
  <c r="AB7" i="5"/>
  <c r="AD21" i="5"/>
  <c r="AB34" i="5"/>
  <c r="I6" i="16"/>
  <c r="J6" i="16" s="1"/>
  <c r="I7" i="16"/>
  <c r="J7" i="16" s="1"/>
  <c r="I8" i="16"/>
  <c r="J8" i="16" s="1"/>
  <c r="I9" i="16"/>
  <c r="J9" i="16" s="1"/>
  <c r="I10" i="16"/>
  <c r="J10" i="16" s="1"/>
  <c r="I11" i="16"/>
  <c r="J11" i="16" s="1"/>
  <c r="I12" i="16"/>
  <c r="J12" i="16" s="1"/>
  <c r="I13" i="16"/>
  <c r="J13" i="16" s="1"/>
  <c r="I14" i="16"/>
  <c r="J14" i="16" s="1"/>
  <c r="I16" i="16"/>
  <c r="J16" i="16" s="1"/>
  <c r="I17" i="16"/>
  <c r="J17" i="16" s="1"/>
  <c r="I18" i="16"/>
  <c r="J18" i="16" s="1"/>
  <c r="I19" i="16"/>
  <c r="J19" i="16" s="1"/>
  <c r="I20" i="16"/>
  <c r="J20" i="16" s="1"/>
  <c r="I21" i="16"/>
  <c r="J21" i="16" s="1"/>
  <c r="I22" i="16"/>
  <c r="J22" i="16" s="1"/>
  <c r="I23" i="16"/>
  <c r="J23" i="16" s="1"/>
  <c r="I24" i="16"/>
  <c r="J24" i="16" s="1"/>
  <c r="I25" i="16"/>
  <c r="J25" i="16" s="1"/>
  <c r="I26" i="16"/>
  <c r="J26" i="16" s="1"/>
  <c r="I27" i="16"/>
  <c r="J27" i="16" s="1"/>
  <c r="I28" i="16"/>
  <c r="J28" i="16" s="1"/>
  <c r="I29" i="16"/>
  <c r="J29" i="16" s="1"/>
  <c r="I30" i="16"/>
  <c r="J30" i="16" s="1"/>
  <c r="I32" i="16"/>
  <c r="J32" i="16" s="1"/>
  <c r="I33" i="16"/>
  <c r="J33" i="16" s="1"/>
  <c r="I34" i="16"/>
  <c r="J34" i="16" s="1"/>
  <c r="I35" i="16"/>
  <c r="J35" i="16" s="1"/>
  <c r="I5" i="16"/>
  <c r="J5" i="16" s="1"/>
  <c r="V23" i="11"/>
  <c r="W23" i="11" s="1"/>
  <c r="V6" i="12"/>
  <c r="W6" i="12" s="1"/>
  <c r="V7" i="12"/>
  <c r="W7" i="12" s="1"/>
  <c r="V8" i="12"/>
  <c r="W8" i="12" s="1"/>
  <c r="V10" i="12"/>
  <c r="W10" i="12" s="1"/>
  <c r="V11" i="12"/>
  <c r="W11" i="12" s="1"/>
  <c r="V12" i="12"/>
  <c r="W12" i="12" s="1"/>
  <c r="V13" i="12"/>
  <c r="W13" i="12" s="1"/>
  <c r="V14" i="12"/>
  <c r="W14" i="12" s="1"/>
  <c r="V16" i="12"/>
  <c r="W16" i="12" s="1"/>
  <c r="V17" i="12"/>
  <c r="W17" i="12" s="1"/>
  <c r="V18" i="12"/>
  <c r="W18" i="12" s="1"/>
  <c r="V19" i="12"/>
  <c r="W19" i="12" s="1"/>
  <c r="V21" i="12"/>
  <c r="W21" i="12" s="1"/>
  <c r="V22" i="12"/>
  <c r="W22" i="12" s="1"/>
  <c r="V23" i="12"/>
  <c r="W23" i="12" s="1"/>
  <c r="V24" i="12"/>
  <c r="W24" i="12" s="1"/>
  <c r="V25" i="12"/>
  <c r="W25" i="12" s="1"/>
  <c r="V26" i="12"/>
  <c r="W26" i="12" s="1"/>
  <c r="V28" i="12"/>
  <c r="W28" i="12" s="1"/>
  <c r="V29" i="12"/>
  <c r="W29" i="12" s="1"/>
  <c r="V30" i="12"/>
  <c r="W30" i="12" s="1"/>
  <c r="V31" i="12"/>
  <c r="W31" i="12" s="1"/>
  <c r="V32" i="12"/>
  <c r="W32" i="12" s="1"/>
  <c r="V33" i="12"/>
  <c r="W33" i="12" s="1"/>
  <c r="V34" i="12"/>
  <c r="W34" i="12" s="1"/>
  <c r="V5" i="12"/>
  <c r="W5" i="12" s="1"/>
  <c r="V6" i="11"/>
  <c r="W6" i="11" s="1"/>
  <c r="V7" i="11"/>
  <c r="W7" i="11" s="1"/>
  <c r="V8" i="11"/>
  <c r="W8" i="11" s="1"/>
  <c r="V9" i="11"/>
  <c r="W9" i="11" s="1"/>
  <c r="V10" i="11"/>
  <c r="W10" i="11" s="1"/>
  <c r="V11" i="11"/>
  <c r="W11" i="11" s="1"/>
  <c r="V12" i="11"/>
  <c r="W12" i="11" s="1"/>
  <c r="V14" i="11"/>
  <c r="W14" i="11" s="1"/>
  <c r="V15" i="11"/>
  <c r="W15" i="11" s="1"/>
  <c r="V16" i="11"/>
  <c r="W16" i="11" s="1"/>
  <c r="V17" i="11"/>
  <c r="W17" i="11" s="1"/>
  <c r="V18" i="11"/>
  <c r="W18" i="11" s="1"/>
  <c r="V19" i="11"/>
  <c r="W19" i="11" s="1"/>
  <c r="V20" i="11"/>
  <c r="W20" i="11" s="1"/>
  <c r="V21" i="11"/>
  <c r="W21" i="11" s="1"/>
  <c r="V22" i="11"/>
  <c r="W22" i="11" s="1"/>
  <c r="V24" i="11"/>
  <c r="W24" i="11" s="1"/>
  <c r="V25" i="11"/>
  <c r="W25" i="11" s="1"/>
  <c r="V26" i="11"/>
  <c r="W26" i="11" s="1"/>
  <c r="V27" i="11"/>
  <c r="W27" i="11" s="1"/>
  <c r="V28" i="11"/>
  <c r="W28" i="11" s="1"/>
  <c r="V29" i="11"/>
  <c r="W29" i="11" s="1"/>
  <c r="V30" i="11"/>
  <c r="W30" i="11" s="1"/>
  <c r="V31" i="11"/>
  <c r="W31" i="11" s="1"/>
  <c r="V32" i="11"/>
  <c r="W32" i="11" s="1"/>
  <c r="V33" i="11"/>
  <c r="W33" i="11" s="1"/>
  <c r="V35" i="11"/>
  <c r="W35" i="11" s="1"/>
  <c r="V5" i="11"/>
  <c r="W5" i="11" s="1"/>
  <c r="V6" i="16"/>
  <c r="W6" i="16" s="1"/>
  <c r="V7" i="16"/>
  <c r="W7" i="16" s="1"/>
  <c r="V8" i="16"/>
  <c r="W8" i="16" s="1"/>
  <c r="V9" i="16"/>
  <c r="W9" i="16" s="1"/>
  <c r="V10" i="16"/>
  <c r="W10" i="16" s="1"/>
  <c r="V12" i="16"/>
  <c r="W12" i="16" s="1"/>
  <c r="V13" i="16"/>
  <c r="W13" i="16" s="1"/>
  <c r="V14" i="16"/>
  <c r="W14" i="16" s="1"/>
  <c r="V15" i="16"/>
  <c r="W15" i="16" s="1"/>
  <c r="V16" i="16"/>
  <c r="W16" i="16" s="1"/>
  <c r="V17" i="16"/>
  <c r="W17" i="16" s="1"/>
  <c r="V18" i="16"/>
  <c r="W18" i="16" s="1"/>
  <c r="V19" i="16"/>
  <c r="W19" i="16" s="1"/>
  <c r="V20" i="16"/>
  <c r="W20" i="16" s="1"/>
  <c r="V21" i="16"/>
  <c r="W21" i="16" s="1"/>
  <c r="V22" i="16"/>
  <c r="W22" i="16" s="1"/>
  <c r="V23" i="16"/>
  <c r="W23" i="16" s="1"/>
  <c r="V24" i="16"/>
  <c r="W24" i="16" s="1"/>
  <c r="V25" i="16"/>
  <c r="W25" i="16" s="1"/>
  <c r="V26" i="16"/>
  <c r="W26" i="16" s="1"/>
  <c r="V28" i="16"/>
  <c r="W28" i="16" s="1"/>
  <c r="V29" i="16"/>
  <c r="W29" i="16" s="1"/>
  <c r="V30" i="16"/>
  <c r="W30" i="16" s="1"/>
  <c r="V31" i="16"/>
  <c r="W31" i="16" s="1"/>
  <c r="V32" i="16"/>
  <c r="W32" i="16" s="1"/>
  <c r="V33" i="16"/>
  <c r="W33" i="16" s="1"/>
  <c r="V34" i="16"/>
  <c r="W34" i="16" s="1"/>
  <c r="V35" i="16"/>
  <c r="W35" i="16" s="1"/>
  <c r="V5" i="16"/>
  <c r="W5" i="16" s="1"/>
  <c r="L6" i="16"/>
  <c r="M6" i="16" s="1"/>
  <c r="L7" i="16"/>
  <c r="M7" i="16" s="1"/>
  <c r="L9" i="16"/>
  <c r="M9" i="16" s="1"/>
  <c r="L10" i="16"/>
  <c r="M10" i="16" s="1"/>
  <c r="L11" i="16"/>
  <c r="M11" i="16" s="1"/>
  <c r="L12" i="16"/>
  <c r="M12" i="16" s="1"/>
  <c r="L13" i="16"/>
  <c r="M13" i="16" s="1"/>
  <c r="L14" i="16"/>
  <c r="M14" i="16" s="1"/>
  <c r="L15" i="16"/>
  <c r="M15" i="16" s="1"/>
  <c r="L16" i="16"/>
  <c r="M16" i="16" s="1"/>
  <c r="L17" i="16"/>
  <c r="M17" i="16" s="1"/>
  <c r="L18" i="16"/>
  <c r="M18" i="16" s="1"/>
  <c r="L19" i="16"/>
  <c r="M19" i="16" s="1"/>
  <c r="L20" i="16"/>
  <c r="M20" i="16" s="1"/>
  <c r="L21" i="16"/>
  <c r="M21" i="16" s="1"/>
  <c r="L22" i="16"/>
  <c r="M22" i="16" s="1"/>
  <c r="L23" i="16"/>
  <c r="M23" i="16" s="1"/>
  <c r="L25" i="16"/>
  <c r="M25" i="16" s="1"/>
  <c r="L26" i="16"/>
  <c r="M26" i="16" s="1"/>
  <c r="L27" i="16"/>
  <c r="M27" i="16" s="1"/>
  <c r="L28" i="16"/>
  <c r="M28" i="16" s="1"/>
  <c r="L29" i="16"/>
  <c r="M29" i="16" s="1"/>
  <c r="L30" i="16"/>
  <c r="M30" i="16" s="1"/>
  <c r="L31" i="16"/>
  <c r="M31" i="16" s="1"/>
  <c r="L32" i="16"/>
  <c r="M32" i="16" s="1"/>
  <c r="L33" i="16"/>
  <c r="M33" i="16" s="1"/>
  <c r="L34" i="16"/>
  <c r="M34" i="16" s="1"/>
  <c r="L35" i="16"/>
  <c r="M35" i="16" s="1"/>
  <c r="C6" i="12"/>
  <c r="D6" i="12" s="1"/>
  <c r="F6" i="12"/>
  <c r="G6" i="12" s="1"/>
  <c r="I6" i="12"/>
  <c r="J6" i="12" s="1"/>
  <c r="L6" i="12"/>
  <c r="M6" i="12" s="1"/>
  <c r="P6" i="12"/>
  <c r="Q6" i="12" s="1"/>
  <c r="S6" i="12"/>
  <c r="T6" i="12" s="1"/>
  <c r="Y6" i="12"/>
  <c r="Z6" i="12" s="1"/>
  <c r="C7" i="12"/>
  <c r="D7" i="12" s="1"/>
  <c r="F7" i="12"/>
  <c r="G7" i="12" s="1"/>
  <c r="I7" i="12"/>
  <c r="J7" i="12" s="1"/>
  <c r="L7" i="12"/>
  <c r="M7" i="12" s="1"/>
  <c r="P7" i="12"/>
  <c r="Q7" i="12" s="1"/>
  <c r="S7" i="12"/>
  <c r="T7" i="12" s="1"/>
  <c r="Y7" i="12"/>
  <c r="Z7" i="12" s="1"/>
  <c r="C8" i="12"/>
  <c r="D8" i="12" s="1"/>
  <c r="F8" i="12"/>
  <c r="G8" i="12" s="1"/>
  <c r="I8" i="12"/>
  <c r="J8" i="12" s="1"/>
  <c r="L8" i="12"/>
  <c r="M8" i="12" s="1"/>
  <c r="P8" i="12"/>
  <c r="Q8" i="12" s="1"/>
  <c r="S8" i="12"/>
  <c r="T8" i="12" s="1"/>
  <c r="Y8" i="12"/>
  <c r="Z8" i="12" s="1"/>
  <c r="C9" i="12"/>
  <c r="D9" i="12" s="1"/>
  <c r="F9" i="12"/>
  <c r="G9" i="12" s="1"/>
  <c r="I9" i="12"/>
  <c r="J9" i="12" s="1"/>
  <c r="L9" i="12"/>
  <c r="M9" i="12" s="1"/>
  <c r="P9" i="12"/>
  <c r="Q9" i="12" s="1"/>
  <c r="S9" i="12"/>
  <c r="T9" i="12" s="1"/>
  <c r="Y9" i="12"/>
  <c r="Z9" i="12" s="1"/>
  <c r="C10" i="12"/>
  <c r="D10" i="12" s="1"/>
  <c r="F10" i="12"/>
  <c r="G10" i="12" s="1"/>
  <c r="I10" i="12"/>
  <c r="J10" i="12" s="1"/>
  <c r="L10" i="12"/>
  <c r="M10" i="12" s="1"/>
  <c r="S10" i="12"/>
  <c r="T10" i="12" s="1"/>
  <c r="Y10" i="12"/>
  <c r="Z10" i="12" s="1"/>
  <c r="C11" i="12"/>
  <c r="D11" i="12" s="1"/>
  <c r="F11" i="12"/>
  <c r="G11" i="12" s="1"/>
  <c r="I11" i="12"/>
  <c r="J11" i="12" s="1"/>
  <c r="L11" i="12"/>
  <c r="M11" i="12" s="1"/>
  <c r="P11" i="12"/>
  <c r="Q11" i="12" s="1"/>
  <c r="S11" i="12"/>
  <c r="T11" i="12" s="1"/>
  <c r="Y11" i="12"/>
  <c r="Z11" i="12" s="1"/>
  <c r="C12" i="12"/>
  <c r="D12" i="12" s="1"/>
  <c r="F12" i="12"/>
  <c r="G12" i="12" s="1"/>
  <c r="I12" i="12"/>
  <c r="J12" i="12" s="1"/>
  <c r="L12" i="12"/>
  <c r="M12" i="12" s="1"/>
  <c r="P12" i="12"/>
  <c r="Q12" i="12" s="1"/>
  <c r="S12" i="12"/>
  <c r="T12" i="12" s="1"/>
  <c r="Y12" i="12"/>
  <c r="Z12" i="12" s="1"/>
  <c r="C13" i="12"/>
  <c r="D13" i="12" s="1"/>
  <c r="F13" i="12"/>
  <c r="G13" i="12" s="1"/>
  <c r="I13" i="12"/>
  <c r="J13" i="12" s="1"/>
  <c r="L13" i="12"/>
  <c r="M13" i="12" s="1"/>
  <c r="P13" i="12"/>
  <c r="Q13" i="12" s="1"/>
  <c r="S13" i="12"/>
  <c r="T13" i="12" s="1"/>
  <c r="Y13" i="12"/>
  <c r="Z13" i="12" s="1"/>
  <c r="C14" i="12"/>
  <c r="D14" i="12" s="1"/>
  <c r="F14" i="12"/>
  <c r="G14" i="12" s="1"/>
  <c r="I14" i="12"/>
  <c r="J14" i="12" s="1"/>
  <c r="L14" i="12"/>
  <c r="M14" i="12" s="1"/>
  <c r="P14" i="12"/>
  <c r="Q14" i="12" s="1"/>
  <c r="S14" i="12"/>
  <c r="T14" i="12" s="1"/>
  <c r="Y14" i="12"/>
  <c r="Z14" i="12" s="1"/>
  <c r="C15" i="12"/>
  <c r="D15" i="12" s="1"/>
  <c r="F15" i="12"/>
  <c r="G15" i="12" s="1"/>
  <c r="I15" i="12"/>
  <c r="J15" i="12" s="1"/>
  <c r="L15" i="12"/>
  <c r="M15" i="12" s="1"/>
  <c r="P15" i="12"/>
  <c r="Q15" i="12" s="1"/>
  <c r="S15" i="12"/>
  <c r="T15" i="12" s="1"/>
  <c r="V15" i="12"/>
  <c r="W15" i="12" s="1"/>
  <c r="Y15" i="12"/>
  <c r="Z15" i="12" s="1"/>
  <c r="C16" i="12"/>
  <c r="D16" i="12" s="1"/>
  <c r="F16" i="12"/>
  <c r="G16" i="12" s="1"/>
  <c r="I16" i="12"/>
  <c r="J16" i="12" s="1"/>
  <c r="L16" i="12"/>
  <c r="M16" i="12" s="1"/>
  <c r="P16" i="12"/>
  <c r="Q16" i="12" s="1"/>
  <c r="S16" i="12"/>
  <c r="T16" i="12" s="1"/>
  <c r="Y16" i="12"/>
  <c r="Z16" i="12" s="1"/>
  <c r="C17" i="12"/>
  <c r="D17" i="12" s="1"/>
  <c r="F17" i="12"/>
  <c r="G17" i="12" s="1"/>
  <c r="I17" i="12"/>
  <c r="J17" i="12" s="1"/>
  <c r="L17" i="12"/>
  <c r="M17" i="12" s="1"/>
  <c r="P17" i="12"/>
  <c r="Q17" i="12" s="1"/>
  <c r="S17" i="12"/>
  <c r="T17" i="12" s="1"/>
  <c r="Y17" i="12"/>
  <c r="Z17" i="12" s="1"/>
  <c r="C18" i="12"/>
  <c r="D18" i="12" s="1"/>
  <c r="F18" i="12"/>
  <c r="G18" i="12" s="1"/>
  <c r="I18" i="12"/>
  <c r="J18" i="12" s="1"/>
  <c r="L18" i="12"/>
  <c r="M18" i="12" s="1"/>
  <c r="P18" i="12"/>
  <c r="Q18" i="12" s="1"/>
  <c r="S18" i="12"/>
  <c r="T18" i="12" s="1"/>
  <c r="Y18" i="12"/>
  <c r="Z18" i="12" s="1"/>
  <c r="C19" i="12"/>
  <c r="D19" i="12" s="1"/>
  <c r="F19" i="12"/>
  <c r="G19" i="12" s="1"/>
  <c r="I19" i="12"/>
  <c r="J19" i="12" s="1"/>
  <c r="L19" i="12"/>
  <c r="M19" i="12" s="1"/>
  <c r="P19" i="12"/>
  <c r="Q19" i="12" s="1"/>
  <c r="S19" i="12"/>
  <c r="T19" i="12" s="1"/>
  <c r="Y19" i="12"/>
  <c r="Z19" i="12" s="1"/>
  <c r="F20" i="12"/>
  <c r="G20" i="12" s="1"/>
  <c r="I20" i="12"/>
  <c r="J20" i="12" s="1"/>
  <c r="L20" i="12"/>
  <c r="M20" i="12" s="1"/>
  <c r="P20" i="12"/>
  <c r="Q20" i="12" s="1"/>
  <c r="S20" i="12"/>
  <c r="T20" i="12" s="1"/>
  <c r="V20" i="12"/>
  <c r="W20" i="12" s="1"/>
  <c r="Y20" i="12"/>
  <c r="Z20" i="12" s="1"/>
  <c r="C21" i="12"/>
  <c r="D21" i="12" s="1"/>
  <c r="F21" i="12"/>
  <c r="G21" i="12" s="1"/>
  <c r="I21" i="12"/>
  <c r="J21" i="12" s="1"/>
  <c r="L21" i="12"/>
  <c r="M21" i="12" s="1"/>
  <c r="P21" i="12"/>
  <c r="Q21" i="12" s="1"/>
  <c r="S21" i="12"/>
  <c r="T21" i="12" s="1"/>
  <c r="Y21" i="12"/>
  <c r="Z21" i="12" s="1"/>
  <c r="C22" i="12"/>
  <c r="D22" i="12" s="1"/>
  <c r="F22" i="12"/>
  <c r="G22" i="12" s="1"/>
  <c r="I22" i="12"/>
  <c r="J22" i="12" s="1"/>
  <c r="L22" i="12"/>
  <c r="M22" i="12" s="1"/>
  <c r="P22" i="12"/>
  <c r="Q22" i="12" s="1"/>
  <c r="S22" i="12"/>
  <c r="T22" i="12" s="1"/>
  <c r="Y22" i="12"/>
  <c r="Z22" i="12" s="1"/>
  <c r="C23" i="12"/>
  <c r="D23" i="12" s="1"/>
  <c r="F23" i="12"/>
  <c r="G23" i="12" s="1"/>
  <c r="I23" i="12"/>
  <c r="J23" i="12" s="1"/>
  <c r="L23" i="12"/>
  <c r="M23" i="12" s="1"/>
  <c r="P23" i="12"/>
  <c r="Q23" i="12" s="1"/>
  <c r="S23" i="12"/>
  <c r="T23" i="12" s="1"/>
  <c r="Y23" i="12"/>
  <c r="Z23" i="12" s="1"/>
  <c r="C24" i="12"/>
  <c r="D24" i="12" s="1"/>
  <c r="F24" i="12"/>
  <c r="G24" i="12" s="1"/>
  <c r="I24" i="12"/>
  <c r="J24" i="12" s="1"/>
  <c r="L24" i="12"/>
  <c r="M24" i="12" s="1"/>
  <c r="P24" i="12"/>
  <c r="Q24" i="12" s="1"/>
  <c r="S24" i="12"/>
  <c r="T24" i="12" s="1"/>
  <c r="Y24" i="12"/>
  <c r="Z24" i="12" s="1"/>
  <c r="C25" i="12"/>
  <c r="D25" i="12" s="1"/>
  <c r="F25" i="12"/>
  <c r="G25" i="12" s="1"/>
  <c r="I25" i="12"/>
  <c r="J25" i="12" s="1"/>
  <c r="L25" i="12"/>
  <c r="M25" i="12" s="1"/>
  <c r="P25" i="12"/>
  <c r="Q25" i="12" s="1"/>
  <c r="S25" i="12"/>
  <c r="T25" i="12" s="1"/>
  <c r="Y25" i="12"/>
  <c r="Z25" i="12" s="1"/>
  <c r="C26" i="12"/>
  <c r="D26" i="12" s="1"/>
  <c r="F26" i="12"/>
  <c r="G26" i="12" s="1"/>
  <c r="I26" i="12"/>
  <c r="J26" i="12" s="1"/>
  <c r="L26" i="12"/>
  <c r="M26" i="12" s="1"/>
  <c r="P26" i="12"/>
  <c r="Q26" i="12" s="1"/>
  <c r="S26" i="12"/>
  <c r="T26" i="12" s="1"/>
  <c r="Y26" i="12"/>
  <c r="Z26" i="12" s="1"/>
  <c r="C27" i="12"/>
  <c r="D27" i="12" s="1"/>
  <c r="F27" i="12"/>
  <c r="G27" i="12" s="1"/>
  <c r="I27" i="12"/>
  <c r="J27" i="12" s="1"/>
  <c r="L27" i="12"/>
  <c r="M27" i="12" s="1"/>
  <c r="P27" i="12"/>
  <c r="Q27" i="12" s="1"/>
  <c r="S27" i="12"/>
  <c r="T27" i="12" s="1"/>
  <c r="V27" i="12"/>
  <c r="W27" i="12" s="1"/>
  <c r="Y27" i="12"/>
  <c r="Z27" i="12" s="1"/>
  <c r="C28" i="12"/>
  <c r="D28" i="12" s="1"/>
  <c r="F28" i="12"/>
  <c r="G28" i="12" s="1"/>
  <c r="I28" i="12"/>
  <c r="J28" i="12" s="1"/>
  <c r="L28" i="12"/>
  <c r="M28" i="12" s="1"/>
  <c r="P28" i="12"/>
  <c r="Q28" i="12" s="1"/>
  <c r="S28" i="12"/>
  <c r="T28" i="12" s="1"/>
  <c r="Y28" i="12"/>
  <c r="Z28" i="12" s="1"/>
  <c r="C29" i="12"/>
  <c r="D29" i="12" s="1"/>
  <c r="F29" i="12"/>
  <c r="G29" i="12" s="1"/>
  <c r="I29" i="12"/>
  <c r="J29" i="12" s="1"/>
  <c r="L29" i="12"/>
  <c r="M29" i="12" s="1"/>
  <c r="P29" i="12"/>
  <c r="Q29" i="12" s="1"/>
  <c r="S29" i="12"/>
  <c r="T29" i="12" s="1"/>
  <c r="Y29" i="12"/>
  <c r="Z29" i="12" s="1"/>
  <c r="C30" i="12"/>
  <c r="D30" i="12" s="1"/>
  <c r="F30" i="12"/>
  <c r="G30" i="12" s="1"/>
  <c r="I30" i="12"/>
  <c r="J30" i="12" s="1"/>
  <c r="L30" i="12"/>
  <c r="M30" i="12" s="1"/>
  <c r="P30" i="12"/>
  <c r="Q30" i="12" s="1"/>
  <c r="S30" i="12"/>
  <c r="T30" i="12" s="1"/>
  <c r="Y30" i="12"/>
  <c r="Z30" i="12" s="1"/>
  <c r="C31" i="12"/>
  <c r="D31" i="12" s="1"/>
  <c r="F31" i="12"/>
  <c r="G31" i="12" s="1"/>
  <c r="I31" i="12"/>
  <c r="J31" i="12" s="1"/>
  <c r="L31" i="12"/>
  <c r="M31" i="12" s="1"/>
  <c r="P31" i="12"/>
  <c r="S31" i="12"/>
  <c r="T31" i="12" s="1"/>
  <c r="Y31" i="12"/>
  <c r="Z31" i="12" s="1"/>
  <c r="C32" i="12"/>
  <c r="D32" i="12" s="1"/>
  <c r="F32" i="12"/>
  <c r="G32" i="12" s="1"/>
  <c r="I32" i="12"/>
  <c r="J32" i="12" s="1"/>
  <c r="L32" i="12"/>
  <c r="M32" i="12" s="1"/>
  <c r="P32" i="12"/>
  <c r="Q32" i="12" s="1"/>
  <c r="S32" i="12"/>
  <c r="T32" i="12" s="1"/>
  <c r="Y32" i="12"/>
  <c r="Z32" i="12" s="1"/>
  <c r="C33" i="12"/>
  <c r="D33" i="12" s="1"/>
  <c r="F33" i="12"/>
  <c r="G33" i="12" s="1"/>
  <c r="I33" i="12"/>
  <c r="J33" i="12" s="1"/>
  <c r="L33" i="12"/>
  <c r="M33" i="12" s="1"/>
  <c r="P33" i="12"/>
  <c r="Q33" i="12" s="1"/>
  <c r="S33" i="12"/>
  <c r="T33" i="12" s="1"/>
  <c r="Y33" i="12"/>
  <c r="Z33" i="12" s="1"/>
  <c r="C34" i="12"/>
  <c r="D34" i="12" s="1"/>
  <c r="F34" i="12"/>
  <c r="G34" i="12" s="1"/>
  <c r="I34" i="12"/>
  <c r="J34" i="12" s="1"/>
  <c r="L34" i="12"/>
  <c r="M34" i="12" s="1"/>
  <c r="P34" i="12"/>
  <c r="Q34" i="12" s="1"/>
  <c r="S34" i="12"/>
  <c r="T34" i="12" s="1"/>
  <c r="Y34" i="12"/>
  <c r="Z34" i="12" s="1"/>
  <c r="Y5" i="12"/>
  <c r="Z5" i="12" s="1"/>
  <c r="S5" i="12"/>
  <c r="T5" i="12" s="1"/>
  <c r="P5" i="12"/>
  <c r="Q5" i="12" s="1"/>
  <c r="L5" i="12"/>
  <c r="M5" i="12" s="1"/>
  <c r="I5" i="12"/>
  <c r="J5" i="12" s="1"/>
  <c r="F5" i="12"/>
  <c r="G5" i="12" s="1"/>
  <c r="C5" i="12"/>
  <c r="D5" i="12" s="1"/>
  <c r="C6" i="11"/>
  <c r="D6" i="11" s="1"/>
  <c r="F6" i="11"/>
  <c r="G6" i="11" s="1"/>
  <c r="I6" i="11"/>
  <c r="J6" i="11" s="1"/>
  <c r="L6" i="11"/>
  <c r="M6" i="11" s="1"/>
  <c r="P6" i="11"/>
  <c r="Q6" i="11" s="1"/>
  <c r="S6" i="11"/>
  <c r="T6" i="11" s="1"/>
  <c r="Y6" i="11"/>
  <c r="Z6" i="11" s="1"/>
  <c r="C7" i="11"/>
  <c r="D7" i="11" s="1"/>
  <c r="F7" i="11"/>
  <c r="G7" i="11" s="1"/>
  <c r="I7" i="11"/>
  <c r="J7" i="11" s="1"/>
  <c r="L7" i="11"/>
  <c r="M7" i="11" s="1"/>
  <c r="P7" i="11"/>
  <c r="Q7" i="11" s="1"/>
  <c r="S7" i="11"/>
  <c r="T7" i="11" s="1"/>
  <c r="Y7" i="11"/>
  <c r="C8" i="11"/>
  <c r="D8" i="11" s="1"/>
  <c r="F8" i="11"/>
  <c r="G8" i="11" s="1"/>
  <c r="I8" i="11"/>
  <c r="J8" i="11" s="1"/>
  <c r="L8" i="11"/>
  <c r="M8" i="11" s="1"/>
  <c r="P8" i="11"/>
  <c r="Q8" i="11" s="1"/>
  <c r="S8" i="11"/>
  <c r="T8" i="11" s="1"/>
  <c r="Y8" i="11"/>
  <c r="Z8" i="11" s="1"/>
  <c r="C9" i="11"/>
  <c r="D9" i="11" s="1"/>
  <c r="F9" i="11"/>
  <c r="G9" i="11" s="1"/>
  <c r="I9" i="11"/>
  <c r="J9" i="11" s="1"/>
  <c r="L9" i="11"/>
  <c r="M9" i="11" s="1"/>
  <c r="P9" i="11"/>
  <c r="Q9" i="11" s="1"/>
  <c r="S9" i="11"/>
  <c r="T9" i="11" s="1"/>
  <c r="Y9" i="11"/>
  <c r="Z9" i="11" s="1"/>
  <c r="C10" i="11"/>
  <c r="D10" i="11" s="1"/>
  <c r="F10" i="11"/>
  <c r="G10" i="11" s="1"/>
  <c r="I10" i="11"/>
  <c r="J10" i="11" s="1"/>
  <c r="L10" i="11"/>
  <c r="M10" i="11" s="1"/>
  <c r="P10" i="11"/>
  <c r="Q10" i="11" s="1"/>
  <c r="S10" i="11"/>
  <c r="T10" i="11" s="1"/>
  <c r="Y10" i="11"/>
  <c r="Z10" i="11" s="1"/>
  <c r="C11" i="11"/>
  <c r="D11" i="11" s="1"/>
  <c r="F11" i="11"/>
  <c r="G11" i="11" s="1"/>
  <c r="I11" i="11"/>
  <c r="J11" i="11" s="1"/>
  <c r="L11" i="11"/>
  <c r="M11" i="11" s="1"/>
  <c r="S11" i="11"/>
  <c r="T11" i="11" s="1"/>
  <c r="Y11" i="11"/>
  <c r="Z11" i="11" s="1"/>
  <c r="C12" i="11"/>
  <c r="D12" i="11" s="1"/>
  <c r="F12" i="11"/>
  <c r="G12" i="11" s="1"/>
  <c r="I12" i="11"/>
  <c r="J12" i="11" s="1"/>
  <c r="L12" i="11"/>
  <c r="M12" i="11" s="1"/>
  <c r="P12" i="11"/>
  <c r="Q12" i="11" s="1"/>
  <c r="S12" i="11"/>
  <c r="T12" i="11" s="1"/>
  <c r="Y12" i="11"/>
  <c r="Z12" i="11" s="1"/>
  <c r="C13" i="11"/>
  <c r="D13" i="11" s="1"/>
  <c r="F13" i="11"/>
  <c r="G13" i="11" s="1"/>
  <c r="I13" i="11"/>
  <c r="J13" i="11" s="1"/>
  <c r="L13" i="11"/>
  <c r="M13" i="11" s="1"/>
  <c r="P13" i="11"/>
  <c r="Q13" i="11" s="1"/>
  <c r="S13" i="11"/>
  <c r="T13" i="11" s="1"/>
  <c r="V13" i="11"/>
  <c r="W13" i="11" s="1"/>
  <c r="Y13" i="11"/>
  <c r="Z13" i="11" s="1"/>
  <c r="C14" i="11"/>
  <c r="D14" i="11" s="1"/>
  <c r="F14" i="11"/>
  <c r="G14" i="11" s="1"/>
  <c r="I14" i="11"/>
  <c r="J14" i="11" s="1"/>
  <c r="L14" i="11"/>
  <c r="M14" i="11" s="1"/>
  <c r="P14" i="11"/>
  <c r="Q14" i="11" s="1"/>
  <c r="S14" i="11"/>
  <c r="T14" i="11" s="1"/>
  <c r="Y14" i="11"/>
  <c r="Z14" i="11" s="1"/>
  <c r="C15" i="11"/>
  <c r="D15" i="11" s="1"/>
  <c r="F15" i="11"/>
  <c r="G15" i="11" s="1"/>
  <c r="I15" i="11"/>
  <c r="J15" i="11" s="1"/>
  <c r="L15" i="11"/>
  <c r="M15" i="11" s="1"/>
  <c r="P15" i="11"/>
  <c r="Q15" i="11" s="1"/>
  <c r="S15" i="11"/>
  <c r="T15" i="11" s="1"/>
  <c r="Y15" i="11"/>
  <c r="Z15" i="11" s="1"/>
  <c r="C16" i="11"/>
  <c r="F16" i="11"/>
  <c r="G16" i="11" s="1"/>
  <c r="I16" i="11"/>
  <c r="J16" i="11" s="1"/>
  <c r="L16" i="11"/>
  <c r="M16" i="11" s="1"/>
  <c r="P16" i="11"/>
  <c r="Q16" i="11" s="1"/>
  <c r="S16" i="11"/>
  <c r="T16" i="11" s="1"/>
  <c r="Y16" i="11"/>
  <c r="Z16" i="11" s="1"/>
  <c r="C17" i="11"/>
  <c r="D17" i="11" s="1"/>
  <c r="F17" i="11"/>
  <c r="G17" i="11" s="1"/>
  <c r="I17" i="11"/>
  <c r="J17" i="11" s="1"/>
  <c r="L17" i="11"/>
  <c r="M17" i="11" s="1"/>
  <c r="P17" i="11"/>
  <c r="Q17" i="11" s="1"/>
  <c r="S17" i="11"/>
  <c r="T17" i="11" s="1"/>
  <c r="Y17" i="11"/>
  <c r="Z17" i="11" s="1"/>
  <c r="C18" i="11"/>
  <c r="D18" i="11" s="1"/>
  <c r="F18" i="11"/>
  <c r="G18" i="11" s="1"/>
  <c r="I18" i="11"/>
  <c r="J18" i="11" s="1"/>
  <c r="L18" i="11"/>
  <c r="M18" i="11" s="1"/>
  <c r="P18" i="11"/>
  <c r="Q18" i="11" s="1"/>
  <c r="S18" i="11"/>
  <c r="T18" i="11" s="1"/>
  <c r="Y18" i="11"/>
  <c r="Z18" i="11" s="1"/>
  <c r="C19" i="11"/>
  <c r="D19" i="11" s="1"/>
  <c r="F19" i="11"/>
  <c r="G19" i="11" s="1"/>
  <c r="I19" i="11"/>
  <c r="J19" i="11" s="1"/>
  <c r="L19" i="11"/>
  <c r="M19" i="11" s="1"/>
  <c r="P19" i="11"/>
  <c r="Q19" i="11" s="1"/>
  <c r="S19" i="11"/>
  <c r="T19" i="11" s="1"/>
  <c r="Y19" i="11"/>
  <c r="Z19" i="11" s="1"/>
  <c r="C20" i="11"/>
  <c r="D20" i="11" s="1"/>
  <c r="F20" i="11"/>
  <c r="G20" i="11" s="1"/>
  <c r="I20" i="11"/>
  <c r="J20" i="11" s="1"/>
  <c r="L20" i="11"/>
  <c r="M20" i="11" s="1"/>
  <c r="P20" i="11"/>
  <c r="Q20" i="11" s="1"/>
  <c r="S20" i="11"/>
  <c r="T20" i="11" s="1"/>
  <c r="Y20" i="11"/>
  <c r="Z20" i="11" s="1"/>
  <c r="C21" i="11"/>
  <c r="D21" i="11" s="1"/>
  <c r="F21" i="11"/>
  <c r="G21" i="11" s="1"/>
  <c r="I21" i="11"/>
  <c r="J21" i="11" s="1"/>
  <c r="L21" i="11"/>
  <c r="M21" i="11" s="1"/>
  <c r="P21" i="11"/>
  <c r="Q21" i="11" s="1"/>
  <c r="S21" i="11"/>
  <c r="T21" i="11" s="1"/>
  <c r="Y21" i="11"/>
  <c r="Z21" i="11" s="1"/>
  <c r="C22" i="11"/>
  <c r="D22" i="11" s="1"/>
  <c r="F22" i="11"/>
  <c r="G22" i="11" s="1"/>
  <c r="I22" i="11"/>
  <c r="J22" i="11" s="1"/>
  <c r="L22" i="11"/>
  <c r="M22" i="11" s="1"/>
  <c r="P22" i="11"/>
  <c r="Q22" i="11" s="1"/>
  <c r="S22" i="11"/>
  <c r="T22" i="11" s="1"/>
  <c r="Y22" i="11"/>
  <c r="Z22" i="11" s="1"/>
  <c r="C23" i="11"/>
  <c r="D23" i="11" s="1"/>
  <c r="F23" i="11"/>
  <c r="G23" i="11" s="1"/>
  <c r="I23" i="11"/>
  <c r="J23" i="11" s="1"/>
  <c r="L23" i="11"/>
  <c r="M23" i="11" s="1"/>
  <c r="P23" i="11"/>
  <c r="Q23" i="11" s="1"/>
  <c r="S23" i="11"/>
  <c r="T23" i="11" s="1"/>
  <c r="Y23" i="11"/>
  <c r="Z23" i="11" s="1"/>
  <c r="C24" i="11"/>
  <c r="D24" i="11" s="1"/>
  <c r="F24" i="11"/>
  <c r="G24" i="11" s="1"/>
  <c r="I24" i="11"/>
  <c r="J24" i="11" s="1"/>
  <c r="L24" i="11"/>
  <c r="M24" i="11" s="1"/>
  <c r="P24" i="11"/>
  <c r="Q24" i="11" s="1"/>
  <c r="S24" i="11"/>
  <c r="T24" i="11" s="1"/>
  <c r="Y24" i="11"/>
  <c r="Z24" i="11" s="1"/>
  <c r="C25" i="11"/>
  <c r="D25" i="11" s="1"/>
  <c r="F25" i="11"/>
  <c r="G25" i="11" s="1"/>
  <c r="I25" i="11"/>
  <c r="J25" i="11" s="1"/>
  <c r="L25" i="11"/>
  <c r="M25" i="11" s="1"/>
  <c r="P25" i="11"/>
  <c r="Q25" i="11" s="1"/>
  <c r="S25" i="11"/>
  <c r="T25" i="11" s="1"/>
  <c r="Y25" i="11"/>
  <c r="Z25" i="11" s="1"/>
  <c r="C26" i="11"/>
  <c r="D26" i="11" s="1"/>
  <c r="F26" i="11"/>
  <c r="G26" i="11" s="1"/>
  <c r="I26" i="11"/>
  <c r="J26" i="11" s="1"/>
  <c r="L26" i="11"/>
  <c r="M26" i="11" s="1"/>
  <c r="P26" i="11"/>
  <c r="Q26" i="11" s="1"/>
  <c r="S26" i="11"/>
  <c r="T26" i="11" s="1"/>
  <c r="Y26" i="11"/>
  <c r="Z26" i="11" s="1"/>
  <c r="F27" i="11"/>
  <c r="G27" i="11" s="1"/>
  <c r="I27" i="11"/>
  <c r="J27" i="11" s="1"/>
  <c r="L27" i="11"/>
  <c r="M27" i="11" s="1"/>
  <c r="P27" i="11"/>
  <c r="Q27" i="11" s="1"/>
  <c r="S27" i="11"/>
  <c r="T27" i="11" s="1"/>
  <c r="Y27" i="11"/>
  <c r="Z27" i="11" s="1"/>
  <c r="C28" i="11"/>
  <c r="D28" i="11" s="1"/>
  <c r="F28" i="11"/>
  <c r="G28" i="11" s="1"/>
  <c r="I28" i="11"/>
  <c r="J28" i="11" s="1"/>
  <c r="L28" i="11"/>
  <c r="M28" i="11" s="1"/>
  <c r="P28" i="11"/>
  <c r="Q28" i="11" s="1"/>
  <c r="S28" i="11"/>
  <c r="T28" i="11" s="1"/>
  <c r="Y28" i="11"/>
  <c r="Z28" i="11" s="1"/>
  <c r="C29" i="11"/>
  <c r="D29" i="11" s="1"/>
  <c r="F29" i="11"/>
  <c r="G29" i="11" s="1"/>
  <c r="I29" i="11"/>
  <c r="J29" i="11" s="1"/>
  <c r="L29" i="11"/>
  <c r="M29" i="11" s="1"/>
  <c r="P29" i="11"/>
  <c r="Q29" i="11" s="1"/>
  <c r="S29" i="11"/>
  <c r="T29" i="11" s="1"/>
  <c r="Y29" i="11"/>
  <c r="Z29" i="11" s="1"/>
  <c r="C30" i="11"/>
  <c r="D30" i="11" s="1"/>
  <c r="F30" i="11"/>
  <c r="G30" i="11" s="1"/>
  <c r="I30" i="11"/>
  <c r="J30" i="11" s="1"/>
  <c r="L30" i="11"/>
  <c r="M30" i="11" s="1"/>
  <c r="P30" i="11"/>
  <c r="Q30" i="11" s="1"/>
  <c r="S30" i="11"/>
  <c r="T30" i="11" s="1"/>
  <c r="Y30" i="11"/>
  <c r="Z30" i="11" s="1"/>
  <c r="C31" i="11"/>
  <c r="D31" i="11" s="1"/>
  <c r="F31" i="11"/>
  <c r="G31" i="11" s="1"/>
  <c r="I31" i="11"/>
  <c r="J31" i="11" s="1"/>
  <c r="L31" i="11"/>
  <c r="M31" i="11" s="1"/>
  <c r="P31" i="11"/>
  <c r="Q31" i="11" s="1"/>
  <c r="S31" i="11"/>
  <c r="T31" i="11" s="1"/>
  <c r="Y31" i="11"/>
  <c r="Z31" i="11" s="1"/>
  <c r="F32" i="11"/>
  <c r="G32" i="11" s="1"/>
  <c r="I32" i="11"/>
  <c r="J32" i="11" s="1"/>
  <c r="L32" i="11"/>
  <c r="M32" i="11" s="1"/>
  <c r="P32" i="11"/>
  <c r="Q32" i="11" s="1"/>
  <c r="S32" i="11"/>
  <c r="T32" i="11" s="1"/>
  <c r="Y32" i="11"/>
  <c r="Z32" i="11" s="1"/>
  <c r="C33" i="11"/>
  <c r="D33" i="11" s="1"/>
  <c r="F33" i="11"/>
  <c r="G33" i="11" s="1"/>
  <c r="I33" i="11"/>
  <c r="J33" i="11" s="1"/>
  <c r="L33" i="11"/>
  <c r="M33" i="11" s="1"/>
  <c r="P33" i="11"/>
  <c r="Q33" i="11" s="1"/>
  <c r="S33" i="11"/>
  <c r="T33" i="11" s="1"/>
  <c r="Y33" i="11"/>
  <c r="Z33" i="11" s="1"/>
  <c r="C34" i="11"/>
  <c r="D34" i="11" s="1"/>
  <c r="F34" i="11"/>
  <c r="G34" i="11" s="1"/>
  <c r="I34" i="11"/>
  <c r="J34" i="11" s="1"/>
  <c r="L34" i="11"/>
  <c r="M34" i="11" s="1"/>
  <c r="P34" i="11"/>
  <c r="Q34" i="11" s="1"/>
  <c r="S34" i="11"/>
  <c r="T34" i="11" s="1"/>
  <c r="V34" i="11"/>
  <c r="W34" i="11" s="1"/>
  <c r="Y34" i="11"/>
  <c r="Z34" i="11" s="1"/>
  <c r="C35" i="11"/>
  <c r="D35" i="11" s="1"/>
  <c r="F35" i="11"/>
  <c r="G35" i="11" s="1"/>
  <c r="I35" i="11"/>
  <c r="J35" i="11" s="1"/>
  <c r="L35" i="11"/>
  <c r="M35" i="11" s="1"/>
  <c r="P35" i="11"/>
  <c r="Q35" i="11" s="1"/>
  <c r="S35" i="11"/>
  <c r="T35" i="11" s="1"/>
  <c r="Y35" i="11"/>
  <c r="Z35" i="11" s="1"/>
  <c r="Y5" i="11"/>
  <c r="Z5" i="11" s="1"/>
  <c r="S5" i="11"/>
  <c r="T5" i="11" s="1"/>
  <c r="P5" i="11"/>
  <c r="L5" i="11"/>
  <c r="I5" i="11"/>
  <c r="J5" i="11" s="1"/>
  <c r="F5" i="11"/>
  <c r="C5" i="11"/>
  <c r="Y6" i="16"/>
  <c r="Z6" i="16" s="1"/>
  <c r="Y7" i="16"/>
  <c r="Z7" i="16" s="1"/>
  <c r="Y8" i="16"/>
  <c r="Z8" i="16" s="1"/>
  <c r="Y9" i="16"/>
  <c r="Z9" i="16" s="1"/>
  <c r="Y10" i="16"/>
  <c r="Z10" i="16" s="1"/>
  <c r="Y11" i="16"/>
  <c r="Z11" i="16" s="1"/>
  <c r="Y12" i="16"/>
  <c r="Z12" i="16" s="1"/>
  <c r="Y13" i="16"/>
  <c r="Z13" i="16" s="1"/>
  <c r="Y14" i="16"/>
  <c r="Z14" i="16" s="1"/>
  <c r="Y15" i="16"/>
  <c r="Z15" i="16" s="1"/>
  <c r="Y16" i="16"/>
  <c r="Z16" i="16" s="1"/>
  <c r="Y17" i="16"/>
  <c r="Z17" i="16" s="1"/>
  <c r="Y18" i="16"/>
  <c r="Z18" i="16" s="1"/>
  <c r="Y19" i="16"/>
  <c r="Z19" i="16" s="1"/>
  <c r="Y20" i="16"/>
  <c r="Z20" i="16" s="1"/>
  <c r="Y21" i="16"/>
  <c r="Z21" i="16" s="1"/>
  <c r="Y22" i="16"/>
  <c r="Z22" i="16" s="1"/>
  <c r="Y23" i="16"/>
  <c r="Z23" i="16" s="1"/>
  <c r="Y24" i="16"/>
  <c r="Z24" i="16" s="1"/>
  <c r="Y25" i="16"/>
  <c r="Z25" i="16" s="1"/>
  <c r="Y26" i="16"/>
  <c r="Z26" i="16" s="1"/>
  <c r="Y27" i="16"/>
  <c r="Z27" i="16" s="1"/>
  <c r="Y28" i="16"/>
  <c r="Z28" i="16" s="1"/>
  <c r="Y29" i="16"/>
  <c r="Z29" i="16" s="1"/>
  <c r="Y30" i="16"/>
  <c r="Z30" i="16" s="1"/>
  <c r="Y31" i="16"/>
  <c r="Z31" i="16" s="1"/>
  <c r="Y32" i="16"/>
  <c r="Z32" i="16" s="1"/>
  <c r="Y33" i="16"/>
  <c r="Z33" i="16" s="1"/>
  <c r="Y34" i="16"/>
  <c r="Z34" i="16" s="1"/>
  <c r="Y35" i="16"/>
  <c r="Z35" i="16" s="1"/>
  <c r="Y5" i="16"/>
  <c r="Z5" i="16" s="1"/>
  <c r="F6" i="16"/>
  <c r="G6" i="16" s="1"/>
  <c r="P6" i="16"/>
  <c r="Q6" i="16" s="1"/>
  <c r="S6" i="16"/>
  <c r="T6" i="16" s="1"/>
  <c r="C7" i="16"/>
  <c r="D7" i="16" s="1"/>
  <c r="F7" i="16"/>
  <c r="G7" i="16" s="1"/>
  <c r="P7" i="16"/>
  <c r="Q7" i="16" s="1"/>
  <c r="S7" i="16"/>
  <c r="T7" i="16" s="1"/>
  <c r="C8" i="16"/>
  <c r="F8" i="16"/>
  <c r="G8" i="16" s="1"/>
  <c r="L8" i="16"/>
  <c r="M8" i="16" s="1"/>
  <c r="P8" i="16"/>
  <c r="Q8" i="16" s="1"/>
  <c r="S8" i="16"/>
  <c r="T8" i="16" s="1"/>
  <c r="C9" i="16"/>
  <c r="D9" i="16" s="1"/>
  <c r="F9" i="16"/>
  <c r="G9" i="16" s="1"/>
  <c r="P9" i="16"/>
  <c r="Q9" i="16" s="1"/>
  <c r="S9" i="16"/>
  <c r="T9" i="16" s="1"/>
  <c r="C10" i="16"/>
  <c r="D10" i="16" s="1"/>
  <c r="F10" i="16"/>
  <c r="G10" i="16" s="1"/>
  <c r="P10" i="16"/>
  <c r="Q10" i="16" s="1"/>
  <c r="S10" i="16"/>
  <c r="T10" i="16" s="1"/>
  <c r="C11" i="16"/>
  <c r="D11" i="16" s="1"/>
  <c r="F11" i="16"/>
  <c r="G11" i="16" s="1"/>
  <c r="P11" i="16"/>
  <c r="S11" i="16"/>
  <c r="T11" i="16" s="1"/>
  <c r="V11" i="16"/>
  <c r="W11" i="16" s="1"/>
  <c r="C12" i="16"/>
  <c r="D12" i="16" s="1"/>
  <c r="F12" i="16"/>
  <c r="G12" i="16" s="1"/>
  <c r="P12" i="16"/>
  <c r="S12" i="16"/>
  <c r="T12" i="16" s="1"/>
  <c r="C13" i="16"/>
  <c r="D13" i="16" s="1"/>
  <c r="F13" i="16"/>
  <c r="G13" i="16" s="1"/>
  <c r="P13" i="16"/>
  <c r="Q13" i="16" s="1"/>
  <c r="S13" i="16"/>
  <c r="T13" i="16" s="1"/>
  <c r="C14" i="16"/>
  <c r="F14" i="16"/>
  <c r="G14" i="16" s="1"/>
  <c r="P14" i="16"/>
  <c r="Q14" i="16" s="1"/>
  <c r="S14" i="16"/>
  <c r="T14" i="16" s="1"/>
  <c r="C15" i="16"/>
  <c r="F15" i="16"/>
  <c r="G15" i="16" s="1"/>
  <c r="I15" i="16"/>
  <c r="J15" i="16" s="1"/>
  <c r="P15" i="16"/>
  <c r="Q15" i="16" s="1"/>
  <c r="S15" i="16"/>
  <c r="T15" i="16" s="1"/>
  <c r="C16" i="16"/>
  <c r="D16" i="16" s="1"/>
  <c r="F16" i="16"/>
  <c r="G16" i="16" s="1"/>
  <c r="S16" i="16"/>
  <c r="T16" i="16" s="1"/>
  <c r="F17" i="16"/>
  <c r="G17" i="16" s="1"/>
  <c r="P17" i="16"/>
  <c r="Q17" i="16" s="1"/>
  <c r="S17" i="16"/>
  <c r="T17" i="16" s="1"/>
  <c r="C18" i="16"/>
  <c r="D18" i="16" s="1"/>
  <c r="F18" i="16"/>
  <c r="G18" i="16" s="1"/>
  <c r="P18" i="16"/>
  <c r="Q18" i="16" s="1"/>
  <c r="S18" i="16"/>
  <c r="T18" i="16" s="1"/>
  <c r="C19" i="16"/>
  <c r="D19" i="16" s="1"/>
  <c r="F19" i="16"/>
  <c r="G19" i="16" s="1"/>
  <c r="P19" i="16"/>
  <c r="S19" i="16"/>
  <c r="T19" i="16" s="1"/>
  <c r="C20" i="16"/>
  <c r="D20" i="16" s="1"/>
  <c r="F20" i="16"/>
  <c r="G20" i="16" s="1"/>
  <c r="P20" i="16"/>
  <c r="Q20" i="16" s="1"/>
  <c r="S20" i="16"/>
  <c r="T20" i="16" s="1"/>
  <c r="C21" i="16"/>
  <c r="D21" i="16" s="1"/>
  <c r="F21" i="16"/>
  <c r="G21" i="16" s="1"/>
  <c r="P21" i="16"/>
  <c r="S21" i="16"/>
  <c r="T21" i="16" s="1"/>
  <c r="C22" i="16"/>
  <c r="D22" i="16" s="1"/>
  <c r="F22" i="16"/>
  <c r="G22" i="16" s="1"/>
  <c r="S22" i="16"/>
  <c r="T22" i="16" s="1"/>
  <c r="C23" i="16"/>
  <c r="D23" i="16" s="1"/>
  <c r="F23" i="16"/>
  <c r="G23" i="16" s="1"/>
  <c r="P23" i="16"/>
  <c r="Q23" i="16" s="1"/>
  <c r="S23" i="16"/>
  <c r="T23" i="16" s="1"/>
  <c r="C24" i="16"/>
  <c r="F24" i="16"/>
  <c r="G24" i="16" s="1"/>
  <c r="L24" i="16"/>
  <c r="M24" i="16" s="1"/>
  <c r="P24" i="16"/>
  <c r="Q24" i="16" s="1"/>
  <c r="S24" i="16"/>
  <c r="T24" i="16" s="1"/>
  <c r="C25" i="16"/>
  <c r="F25" i="16"/>
  <c r="G25" i="16" s="1"/>
  <c r="P25" i="16"/>
  <c r="S25" i="16"/>
  <c r="T25" i="16" s="1"/>
  <c r="C26" i="16"/>
  <c r="F26" i="16"/>
  <c r="G26" i="16" s="1"/>
  <c r="P26" i="16"/>
  <c r="Q26" i="16" s="1"/>
  <c r="S26" i="16"/>
  <c r="T26" i="16" s="1"/>
  <c r="F27" i="16"/>
  <c r="G27" i="16" s="1"/>
  <c r="P27" i="16"/>
  <c r="Q27" i="16" s="1"/>
  <c r="S27" i="16"/>
  <c r="T27" i="16" s="1"/>
  <c r="V27" i="16"/>
  <c r="W27" i="16" s="1"/>
  <c r="C28" i="16"/>
  <c r="D28" i="16" s="1"/>
  <c r="F28" i="16"/>
  <c r="G28" i="16" s="1"/>
  <c r="S28" i="16"/>
  <c r="T28" i="16" s="1"/>
  <c r="C29" i="16"/>
  <c r="D29" i="16" s="1"/>
  <c r="F29" i="16"/>
  <c r="G29" i="16" s="1"/>
  <c r="P29" i="16"/>
  <c r="Q29" i="16" s="1"/>
  <c r="S29" i="16"/>
  <c r="T29" i="16" s="1"/>
  <c r="C30" i="16"/>
  <c r="F30" i="16"/>
  <c r="G30" i="16" s="1"/>
  <c r="P30" i="16"/>
  <c r="Q30" i="16" s="1"/>
  <c r="S30" i="16"/>
  <c r="T30" i="16" s="1"/>
  <c r="F31" i="16"/>
  <c r="G31" i="16" s="1"/>
  <c r="I31" i="16"/>
  <c r="J31" i="16" s="1"/>
  <c r="P31" i="16"/>
  <c r="Q31" i="16" s="1"/>
  <c r="S31" i="16"/>
  <c r="T31" i="16" s="1"/>
  <c r="C32" i="16"/>
  <c r="D32" i="16" s="1"/>
  <c r="F32" i="16"/>
  <c r="G32" i="16" s="1"/>
  <c r="P32" i="16"/>
  <c r="S32" i="16"/>
  <c r="T32" i="16" s="1"/>
  <c r="C33" i="16"/>
  <c r="D33" i="16" s="1"/>
  <c r="F33" i="16"/>
  <c r="G33" i="16" s="1"/>
  <c r="S33" i="16"/>
  <c r="T33" i="16" s="1"/>
  <c r="F34" i="16"/>
  <c r="G34" i="16" s="1"/>
  <c r="P34" i="16"/>
  <c r="Q34" i="16" s="1"/>
  <c r="S34" i="16"/>
  <c r="T34" i="16" s="1"/>
  <c r="C35" i="16"/>
  <c r="D35" i="16" s="1"/>
  <c r="F35" i="16"/>
  <c r="G35" i="16" s="1"/>
  <c r="P35" i="16"/>
  <c r="Q35" i="16" s="1"/>
  <c r="S35" i="16"/>
  <c r="T35" i="16" s="1"/>
  <c r="S5" i="16"/>
  <c r="T5" i="16" s="1"/>
  <c r="F5" i="16"/>
  <c r="G5" i="16" s="1"/>
  <c r="C5" i="16"/>
  <c r="D5" i="16" s="1"/>
  <c r="L5" i="16"/>
  <c r="M5" i="16" s="1"/>
  <c r="P33" i="4"/>
  <c r="Q33" i="4" s="1"/>
  <c r="S33" i="4"/>
  <c r="T33" i="4"/>
  <c r="V33" i="4"/>
  <c r="W33" i="4" s="1"/>
  <c r="Y33" i="4"/>
  <c r="Z33" i="4"/>
  <c r="C33" i="4"/>
  <c r="D33" i="4" s="1"/>
  <c r="F33" i="4"/>
  <c r="G33" i="4"/>
  <c r="I33" i="4"/>
  <c r="J33" i="4" s="1"/>
  <c r="L33" i="4"/>
  <c r="M33" i="4"/>
  <c r="AB33" i="4"/>
  <c r="AC6" i="16"/>
  <c r="AD6" i="16"/>
  <c r="AC7" i="16"/>
  <c r="AD7" i="16"/>
  <c r="AC8" i="16"/>
  <c r="AD8" i="16"/>
  <c r="AC9" i="16"/>
  <c r="AD9" i="16"/>
  <c r="AC10" i="16"/>
  <c r="AD10" i="16"/>
  <c r="AC11" i="16"/>
  <c r="AD11" i="16"/>
  <c r="AC12" i="16"/>
  <c r="AD12" i="16"/>
  <c r="AC13" i="16"/>
  <c r="AD13" i="16"/>
  <c r="AC14" i="16"/>
  <c r="AD14" i="16"/>
  <c r="AC15" i="16"/>
  <c r="AD15" i="16"/>
  <c r="AC16" i="16"/>
  <c r="AD16" i="16"/>
  <c r="AC17" i="16"/>
  <c r="AD17" i="16"/>
  <c r="AC18" i="16"/>
  <c r="AD18" i="16" s="1"/>
  <c r="AB35" i="7"/>
  <c r="AB34" i="4"/>
  <c r="AB35" i="14"/>
  <c r="AB7" i="12"/>
  <c r="AB8" i="12"/>
  <c r="AB9" i="12"/>
  <c r="AB23" i="12"/>
  <c r="AB17" i="11"/>
  <c r="AF18" i="16"/>
  <c r="AB26" i="12"/>
  <c r="AB20" i="11"/>
  <c r="AB8" i="11"/>
  <c r="AB17" i="12"/>
  <c r="AB22" i="11"/>
  <c r="AB5" i="11"/>
  <c r="AB29" i="12"/>
  <c r="AF19" i="16"/>
  <c r="AB12" i="11"/>
  <c r="AB33" i="11"/>
  <c r="AB12" i="12"/>
  <c r="AB34" i="11"/>
  <c r="AB24" i="12"/>
  <c r="AB23" i="11"/>
  <c r="AB6" i="11"/>
  <c r="AB14" i="11"/>
  <c r="AB24" i="11"/>
  <c r="AF20" i="16"/>
  <c r="AB33" i="12"/>
  <c r="AB9" i="11"/>
  <c r="AB34" i="12"/>
  <c r="AF23" i="16"/>
  <c r="AF5" i="16"/>
  <c r="AB26" i="11"/>
  <c r="AB21" i="11"/>
  <c r="AB32" i="12"/>
  <c r="AB22" i="12"/>
  <c r="AB16" i="12"/>
  <c r="AB18" i="11"/>
  <c r="AB31" i="11"/>
  <c r="AB19" i="11"/>
  <c r="AB21" i="12"/>
  <c r="AB14" i="12"/>
  <c r="AF10" i="16"/>
  <c r="AF21" i="16"/>
  <c r="AB29" i="11"/>
  <c r="AB19" i="12"/>
  <c r="AF9" i="16"/>
  <c r="AF32" i="16"/>
  <c r="AF13" i="16"/>
  <c r="AF8" i="16"/>
  <c r="AB35" i="11"/>
  <c r="AB25" i="11"/>
  <c r="AB25" i="12"/>
  <c r="AB15" i="12"/>
  <c r="AB11" i="12"/>
  <c r="AF35" i="16"/>
  <c r="AF7" i="16"/>
  <c r="AF15" i="16"/>
  <c r="P5" i="16"/>
  <c r="AB31" i="12"/>
  <c r="AB16" i="11"/>
  <c r="AB30" i="11"/>
  <c r="AB15" i="11"/>
  <c r="AB7" i="11"/>
  <c r="AF11" i="16"/>
  <c r="AB13" i="11"/>
  <c r="AB30" i="12"/>
  <c r="AB13" i="12"/>
  <c r="AF12" i="16"/>
  <c r="AB5" i="12"/>
  <c r="AB28" i="11"/>
  <c r="AB27" i="12"/>
  <c r="AF30" i="16"/>
  <c r="P33" i="16"/>
  <c r="AF33" i="16"/>
  <c r="C27" i="16"/>
  <c r="C20" i="12"/>
  <c r="D20" i="12" s="1"/>
  <c r="AB20" i="12"/>
  <c r="P10" i="12"/>
  <c r="Q10" i="12" s="1"/>
  <c r="AB10" i="12"/>
  <c r="P28" i="16"/>
  <c r="AF28" i="16"/>
  <c r="U35" i="12"/>
  <c r="V9" i="12"/>
  <c r="W9" i="12" s="1"/>
  <c r="AF14" i="16"/>
  <c r="P16" i="16"/>
  <c r="Q16" i="16" s="1"/>
  <c r="AF16" i="16"/>
  <c r="C31" i="16"/>
  <c r="D31" i="16" s="1"/>
  <c r="AF31" i="16"/>
  <c r="E35" i="12"/>
  <c r="AF29" i="16"/>
  <c r="C34" i="16"/>
  <c r="D34" i="16" s="1"/>
  <c r="AF34" i="16"/>
  <c r="P22" i="16"/>
  <c r="Q22" i="16" s="1"/>
  <c r="AF22" i="16"/>
  <c r="C17" i="16"/>
  <c r="AF17" i="16"/>
  <c r="C6" i="16"/>
  <c r="D6" i="16" s="1"/>
  <c r="AF6" i="16"/>
  <c r="C32" i="11"/>
  <c r="D32" i="11" s="1"/>
  <c r="AB32" i="11"/>
  <c r="C27" i="11"/>
  <c r="D27" i="11" s="1"/>
  <c r="AB27" i="11"/>
  <c r="P11" i="11"/>
  <c r="Q11" i="11" s="1"/>
  <c r="AB11" i="11"/>
  <c r="H35" i="12"/>
  <c r="AB10" i="11"/>
  <c r="O35" i="12"/>
  <c r="B35" i="12"/>
  <c r="AB28" i="12"/>
  <c r="K35" i="12"/>
  <c r="AB18" i="12"/>
  <c r="AB6" i="12"/>
  <c r="AC33" i="4" l="1"/>
  <c r="AD34" i="8"/>
  <c r="AD14" i="6"/>
  <c r="AC25" i="9"/>
  <c r="AD13" i="9"/>
  <c r="AD20" i="9"/>
  <c r="AD25" i="13"/>
  <c r="AD35" i="8"/>
  <c r="AD23" i="8"/>
  <c r="AD10" i="8"/>
  <c r="AD31" i="6"/>
  <c r="AD15" i="8"/>
  <c r="AD27" i="8"/>
  <c r="AC28" i="13"/>
  <c r="AD19" i="8"/>
  <c r="AD7" i="8"/>
  <c r="AD31" i="9"/>
  <c r="AD5" i="9"/>
  <c r="AD28" i="8"/>
  <c r="AD24" i="8"/>
  <c r="AD22" i="9"/>
  <c r="AC14" i="9"/>
  <c r="AD19" i="9"/>
  <c r="AC23" i="12"/>
  <c r="AD16" i="9"/>
  <c r="C21" i="8"/>
  <c r="D21" i="8" s="1"/>
  <c r="AD21" i="8" s="1"/>
  <c r="AB32" i="9"/>
  <c r="AC25" i="12"/>
  <c r="C12" i="9"/>
  <c r="D12" i="9" s="1"/>
  <c r="AD12" i="9" s="1"/>
  <c r="AC16" i="12"/>
  <c r="AC30" i="12"/>
  <c r="AC15" i="12"/>
  <c r="AC34" i="12"/>
  <c r="AC33" i="12"/>
  <c r="AC17" i="12"/>
  <c r="AC11" i="12"/>
  <c r="AC8" i="12"/>
  <c r="AC10" i="12"/>
  <c r="F35" i="12"/>
  <c r="AC5" i="12"/>
  <c r="AC6" i="12"/>
  <c r="AC12" i="12"/>
  <c r="P35" i="12"/>
  <c r="Q35" i="12" s="1"/>
  <c r="F13" i="15" s="1"/>
  <c r="AC9" i="12"/>
  <c r="AC26" i="12"/>
  <c r="AD10" i="12"/>
  <c r="AD9" i="12"/>
  <c r="AC7" i="12"/>
  <c r="AC17" i="11"/>
  <c r="AC24" i="12"/>
  <c r="AD33" i="12"/>
  <c r="AC18" i="12"/>
  <c r="AC28" i="12"/>
  <c r="Y35" i="12"/>
  <c r="Z35" i="12" s="1"/>
  <c r="I13" i="15" s="1"/>
  <c r="AC21" i="12"/>
  <c r="AC29" i="12"/>
  <c r="AC19" i="12"/>
  <c r="AC24" i="11"/>
  <c r="AC13" i="12"/>
  <c r="AF29" i="12"/>
  <c r="AF21" i="12"/>
  <c r="AD21" i="12"/>
  <c r="AF13" i="12"/>
  <c r="AD12" i="12"/>
  <c r="AD15" i="12"/>
  <c r="AC20" i="12"/>
  <c r="I35" i="12"/>
  <c r="J35" i="12" s="1"/>
  <c r="D13" i="15" s="1"/>
  <c r="AC32" i="12"/>
  <c r="AC22" i="12"/>
  <c r="AD13" i="12"/>
  <c r="V35" i="12"/>
  <c r="W35" i="12" s="1"/>
  <c r="H13" i="15" s="1"/>
  <c r="L35" i="12"/>
  <c r="M35" i="12" s="1"/>
  <c r="E13" i="15" s="1"/>
  <c r="S35" i="12"/>
  <c r="T35" i="12" s="1"/>
  <c r="G13" i="15" s="1"/>
  <c r="C35" i="12"/>
  <c r="AC27" i="12"/>
  <c r="AC14" i="12"/>
  <c r="AC31" i="12"/>
  <c r="D35" i="12"/>
  <c r="B13" i="15" s="1"/>
  <c r="AD29" i="12"/>
  <c r="AD26" i="12"/>
  <c r="AD22" i="12"/>
  <c r="AB35" i="12"/>
  <c r="G35" i="12"/>
  <c r="C13" i="15" s="1"/>
  <c r="AF12" i="12"/>
  <c r="AF33" i="12"/>
  <c r="AF22" i="12"/>
  <c r="AF15" i="12"/>
  <c r="AF9" i="12"/>
  <c r="AF10" i="12"/>
  <c r="AD32" i="12"/>
  <c r="AF32" i="12"/>
  <c r="AF27" i="12"/>
  <c r="AD27" i="12"/>
  <c r="AD23" i="12"/>
  <c r="AF23" i="12"/>
  <c r="AF7" i="12"/>
  <c r="AD7" i="12"/>
  <c r="AF6" i="12"/>
  <c r="AD6" i="12"/>
  <c r="AD28" i="12"/>
  <c r="AF28" i="12"/>
  <c r="AD19" i="12"/>
  <c r="AF19" i="12"/>
  <c r="AD34" i="12"/>
  <c r="AF34" i="12"/>
  <c r="AD30" i="12"/>
  <c r="AF30" i="12"/>
  <c r="AF20" i="12"/>
  <c r="AD20" i="12"/>
  <c r="AD18" i="12"/>
  <c r="AF18" i="12"/>
  <c r="AD14" i="12"/>
  <c r="AF14" i="12"/>
  <c r="AF11" i="12"/>
  <c r="AD11" i="12"/>
  <c r="AD25" i="12"/>
  <c r="AF25" i="12"/>
  <c r="AF24" i="12"/>
  <c r="AD24" i="12"/>
  <c r="AF17" i="12"/>
  <c r="AD17" i="12"/>
  <c r="AD16" i="12"/>
  <c r="AF16" i="12"/>
  <c r="AD8" i="12"/>
  <c r="AF8" i="12"/>
  <c r="AF26" i="12"/>
  <c r="Q31" i="12"/>
  <c r="AD5" i="12"/>
  <c r="AF5" i="12"/>
  <c r="AC7" i="11"/>
  <c r="AC30" i="11"/>
  <c r="AD32" i="11"/>
  <c r="AC28" i="11"/>
  <c r="AG26" i="16"/>
  <c r="AC9" i="11"/>
  <c r="AC21" i="11"/>
  <c r="D27" i="16"/>
  <c r="AH27" i="16" s="1"/>
  <c r="AG27" i="16"/>
  <c r="D25" i="16"/>
  <c r="AG25" i="16"/>
  <c r="AC20" i="11"/>
  <c r="D24" i="16"/>
  <c r="AH24" i="16" s="1"/>
  <c r="AG24" i="16"/>
  <c r="AC14" i="11"/>
  <c r="L36" i="11"/>
  <c r="M36" i="11" s="1"/>
  <c r="E12" i="15" s="1"/>
  <c r="AF16" i="11"/>
  <c r="AF9" i="11"/>
  <c r="AF8" i="11"/>
  <c r="AC12" i="11"/>
  <c r="AF25" i="11"/>
  <c r="AC16" i="11"/>
  <c r="Y36" i="11"/>
  <c r="Z36" i="11" s="1"/>
  <c r="I12" i="15" s="1"/>
  <c r="AF15" i="11"/>
  <c r="D16" i="11"/>
  <c r="AD16" i="11" s="1"/>
  <c r="Z7" i="11"/>
  <c r="AF7" i="11" s="1"/>
  <c r="AC34" i="11"/>
  <c r="AC31" i="11"/>
  <c r="AC29" i="11"/>
  <c r="AC22" i="11"/>
  <c r="P36" i="11"/>
  <c r="Q36" i="11" s="1"/>
  <c r="F12" i="15" s="1"/>
  <c r="F36" i="11"/>
  <c r="G36" i="11" s="1"/>
  <c r="C12" i="15" s="1"/>
  <c r="AF23" i="11"/>
  <c r="AC32" i="11"/>
  <c r="AC11" i="11"/>
  <c r="AC35" i="11"/>
  <c r="AC26" i="11"/>
  <c r="AC18" i="11"/>
  <c r="AF24" i="11"/>
  <c r="AD10" i="11"/>
  <c r="C36" i="11"/>
  <c r="D36" i="11" s="1"/>
  <c r="B12" i="15" s="1"/>
  <c r="AF22" i="11"/>
  <c r="AF10" i="11"/>
  <c r="AF33" i="11"/>
  <c r="AF32" i="11"/>
  <c r="AF34" i="11"/>
  <c r="AF20" i="11"/>
  <c r="V36" i="11"/>
  <c r="W36" i="11" s="1"/>
  <c r="H12" i="15" s="1"/>
  <c r="AF11" i="11"/>
  <c r="AF30" i="11"/>
  <c r="AF13" i="11"/>
  <c r="AF35" i="11"/>
  <c r="AF31" i="11"/>
  <c r="AF18" i="11"/>
  <c r="AF27" i="11"/>
  <c r="AF21" i="11"/>
  <c r="AF19" i="11"/>
  <c r="AF29" i="11"/>
  <c r="AF28" i="11"/>
  <c r="AF26" i="11"/>
  <c r="AF17" i="11"/>
  <c r="AF12" i="11"/>
  <c r="AF6" i="11"/>
  <c r="S36" i="11"/>
  <c r="T36" i="11" s="1"/>
  <c r="G12" i="15" s="1"/>
  <c r="AD14" i="11"/>
  <c r="AF14" i="11"/>
  <c r="AD27" i="11"/>
  <c r="AD35" i="11"/>
  <c r="AD22" i="11"/>
  <c r="AD18" i="11"/>
  <c r="AD11" i="11"/>
  <c r="AD6" i="11"/>
  <c r="AD31" i="11"/>
  <c r="AD30" i="11"/>
  <c r="AD20" i="11"/>
  <c r="AD19" i="11"/>
  <c r="AD8" i="11"/>
  <c r="AD7" i="11"/>
  <c r="AD34" i="11"/>
  <c r="AD29" i="11"/>
  <c r="AD28" i="11"/>
  <c r="AD25" i="11"/>
  <c r="AD24" i="11"/>
  <c r="AD23" i="11"/>
  <c r="AD21" i="11"/>
  <c r="AD9" i="11"/>
  <c r="AD33" i="11"/>
  <c r="AD26" i="11"/>
  <c r="AD17" i="11"/>
  <c r="AD15" i="11"/>
  <c r="AD13" i="11"/>
  <c r="AD12" i="11"/>
  <c r="Q5" i="11"/>
  <c r="AF5" i="11" s="1"/>
  <c r="M5" i="11"/>
  <c r="I36" i="11"/>
  <c r="J36" i="11" s="1"/>
  <c r="D12" i="15" s="1"/>
  <c r="G5" i="11"/>
  <c r="AC15" i="11"/>
  <c r="AC6" i="11"/>
  <c r="AC27" i="11"/>
  <c r="AC23" i="11"/>
  <c r="AC33" i="11"/>
  <c r="AC10" i="11"/>
  <c r="AC25" i="11"/>
  <c r="AC8" i="11"/>
  <c r="AC19" i="11"/>
  <c r="AC13" i="11"/>
  <c r="AC5" i="11"/>
  <c r="D5" i="11"/>
  <c r="AB18" i="9"/>
  <c r="AG5" i="16"/>
  <c r="AC36" i="16"/>
  <c r="AD36" i="16" s="1"/>
  <c r="AB18" i="6"/>
  <c r="AC10" i="9"/>
  <c r="AG33" i="16"/>
  <c r="C10" i="14"/>
  <c r="D10" i="14" s="1"/>
  <c r="AD10" i="14" s="1"/>
  <c r="AB22" i="13"/>
  <c r="C13" i="14"/>
  <c r="D13" i="14" s="1"/>
  <c r="AD13" i="14" s="1"/>
  <c r="C34" i="6"/>
  <c r="D34" i="6" s="1"/>
  <c r="AD34" i="6" s="1"/>
  <c r="AB14" i="8"/>
  <c r="C11" i="4"/>
  <c r="D11" i="4" s="1"/>
  <c r="AD11" i="4" s="1"/>
  <c r="D25" i="9"/>
  <c r="AD25" i="9" s="1"/>
  <c r="AB25" i="9"/>
  <c r="AC21" i="5"/>
  <c r="AC10" i="8"/>
  <c r="AG28" i="16"/>
  <c r="AG17" i="16"/>
  <c r="AC14" i="6"/>
  <c r="AB18" i="8"/>
  <c r="C34" i="13"/>
  <c r="D34" i="13" s="1"/>
  <c r="AD34" i="13" s="1"/>
  <c r="C33" i="9"/>
  <c r="AC33" i="9" s="1"/>
  <c r="AH31" i="16"/>
  <c r="AC13" i="9"/>
  <c r="AB10" i="6"/>
  <c r="C18" i="1"/>
  <c r="D18" i="1" s="1"/>
  <c r="C15" i="4"/>
  <c r="D15" i="4" s="1"/>
  <c r="C29" i="9"/>
  <c r="AC29" i="9" s="1"/>
  <c r="AB17" i="9"/>
  <c r="C21" i="14"/>
  <c r="D21" i="14" s="1"/>
  <c r="AD21" i="14" s="1"/>
  <c r="AC9" i="9"/>
  <c r="AB9" i="9"/>
  <c r="AB21" i="9"/>
  <c r="AB6" i="8"/>
  <c r="AB14" i="6"/>
  <c r="AB6" i="13"/>
  <c r="C16" i="7"/>
  <c r="D16" i="7" s="1"/>
  <c r="AD16" i="7" s="1"/>
  <c r="C30" i="8"/>
  <c r="D30" i="8" s="1"/>
  <c r="AD30" i="8" s="1"/>
  <c r="AB13" i="9"/>
  <c r="AB21" i="5"/>
  <c r="AG32" i="16"/>
  <c r="AG14" i="16"/>
  <c r="Q28" i="16"/>
  <c r="AH28" i="16" s="1"/>
  <c r="Y36" i="16"/>
  <c r="Z36" i="16" s="1"/>
  <c r="I11" i="15" s="1"/>
  <c r="Q32" i="16"/>
  <c r="AH32" i="16" s="1"/>
  <c r="AB22" i="9"/>
  <c r="AB15" i="13"/>
  <c r="C22" i="14"/>
  <c r="D22" i="14" s="1"/>
  <c r="AD22" i="14" s="1"/>
  <c r="C27" i="1"/>
  <c r="D27" i="1" s="1"/>
  <c r="AD27" i="1" s="1"/>
  <c r="C7" i="6"/>
  <c r="AC7" i="6" s="1"/>
  <c r="I36" i="16"/>
  <c r="J36" i="16" s="1"/>
  <c r="D11" i="15" s="1"/>
  <c r="S36" i="16"/>
  <c r="T36" i="16" s="1"/>
  <c r="G11" i="15" s="1"/>
  <c r="AG35" i="16"/>
  <c r="AG20" i="16"/>
  <c r="AB27" i="13"/>
  <c r="AG31" i="16"/>
  <c r="AB15" i="8"/>
  <c r="C7" i="13"/>
  <c r="D7" i="13" s="1"/>
  <c r="AD7" i="13" s="1"/>
  <c r="C31" i="13"/>
  <c r="D31" i="13" s="1"/>
  <c r="AD31" i="13" s="1"/>
  <c r="AG21" i="16"/>
  <c r="AG19" i="16"/>
  <c r="AG16" i="16"/>
  <c r="AG10" i="16"/>
  <c r="F36" i="16"/>
  <c r="G36" i="16" s="1"/>
  <c r="L36" i="16"/>
  <c r="M36" i="16" s="1"/>
  <c r="E11" i="15" s="1"/>
  <c r="AG9" i="16"/>
  <c r="AG13" i="16"/>
  <c r="C36" i="16"/>
  <c r="D36" i="16" s="1"/>
  <c r="B11" i="15" s="1"/>
  <c r="AG29" i="16"/>
  <c r="AG12" i="16"/>
  <c r="AH22" i="16"/>
  <c r="AG34" i="16"/>
  <c r="AG18" i="16"/>
  <c r="AG22" i="16"/>
  <c r="AG11" i="16"/>
  <c r="V36" i="16"/>
  <c r="W36" i="16" s="1"/>
  <c r="H11" i="15" s="1"/>
  <c r="AH35" i="16"/>
  <c r="P36" i="16"/>
  <c r="Q36" i="16" s="1"/>
  <c r="F11" i="15" s="1"/>
  <c r="Q12" i="16"/>
  <c r="AH12" i="16" s="1"/>
  <c r="Q33" i="16"/>
  <c r="AH33" i="16" s="1"/>
  <c r="AG30" i="16"/>
  <c r="Q25" i="16"/>
  <c r="AH23" i="16"/>
  <c r="Q21" i="16"/>
  <c r="AH21" i="16" s="1"/>
  <c r="Q19" i="16"/>
  <c r="AH19" i="16" s="1"/>
  <c r="Q11" i="16"/>
  <c r="AH11" i="16" s="1"/>
  <c r="AH6" i="16"/>
  <c r="AH34" i="16"/>
  <c r="AH18" i="16"/>
  <c r="AH20" i="16"/>
  <c r="AH9" i="16"/>
  <c r="AG8" i="16"/>
  <c r="AH29" i="16"/>
  <c r="AH16" i="16"/>
  <c r="AG15" i="16"/>
  <c r="AH13" i="16"/>
  <c r="AH10" i="16"/>
  <c r="AH7" i="16"/>
  <c r="Q5" i="16"/>
  <c r="AH5" i="16" s="1"/>
  <c r="AG7" i="16"/>
  <c r="D17" i="16"/>
  <c r="AH17" i="16" s="1"/>
  <c r="AG23" i="16"/>
  <c r="D30" i="16"/>
  <c r="AH30" i="16" s="1"/>
  <c r="D26" i="16"/>
  <c r="AH26" i="16" s="1"/>
  <c r="D15" i="16"/>
  <c r="AH15" i="16" s="1"/>
  <c r="D14" i="16"/>
  <c r="AH14" i="16" s="1"/>
  <c r="D8" i="16"/>
  <c r="AH8" i="16" s="1"/>
  <c r="AG6" i="16"/>
  <c r="AC19" i="8"/>
  <c r="AB23" i="6"/>
  <c r="C19" i="13"/>
  <c r="AC19" i="13" s="1"/>
  <c r="C26" i="14"/>
  <c r="D26" i="14" s="1"/>
  <c r="AD26" i="14" s="1"/>
  <c r="AB18" i="5"/>
  <c r="C30" i="9"/>
  <c r="D30" i="9" s="1"/>
  <c r="AD30" i="9" s="1"/>
  <c r="AB6" i="9"/>
  <c r="D14" i="9"/>
  <c r="AD14" i="9" s="1"/>
  <c r="AB31" i="8"/>
  <c r="AB31" i="6"/>
  <c r="Y35" i="9"/>
  <c r="Z35" i="9" s="1"/>
  <c r="I10" i="15" s="1"/>
  <c r="S35" i="9"/>
  <c r="T35" i="9" s="1"/>
  <c r="G10" i="15" s="1"/>
  <c r="C8" i="7"/>
  <c r="D8" i="7" s="1"/>
  <c r="AD8" i="7" s="1"/>
  <c r="AB20" i="9"/>
  <c r="C33" i="1"/>
  <c r="D33" i="1" s="1"/>
  <c r="AD33" i="1" s="1"/>
  <c r="C28" i="7"/>
  <c r="D28" i="7" s="1"/>
  <c r="AD28" i="7" s="1"/>
  <c r="C20" i="7"/>
  <c r="D20" i="7" s="1"/>
  <c r="AD20" i="7" s="1"/>
  <c r="C33" i="8"/>
  <c r="D33" i="8" s="1"/>
  <c r="AD33" i="8" s="1"/>
  <c r="L35" i="9"/>
  <c r="M35" i="9" s="1"/>
  <c r="E10" i="15" s="1"/>
  <c r="AB29" i="8"/>
  <c r="C29" i="1"/>
  <c r="AC29" i="1" s="1"/>
  <c r="AB9" i="1"/>
  <c r="AD12" i="7"/>
  <c r="AB9" i="8"/>
  <c r="AB17" i="8"/>
  <c r="AB21" i="6"/>
  <c r="AB33" i="6"/>
  <c r="C17" i="1"/>
  <c r="D17" i="1" s="1"/>
  <c r="C13" i="1"/>
  <c r="D13" i="1" s="1"/>
  <c r="AD13" i="1" s="1"/>
  <c r="C9" i="6"/>
  <c r="D9" i="6" s="1"/>
  <c r="AD9" i="6" s="1"/>
  <c r="AB12" i="7"/>
  <c r="C25" i="8"/>
  <c r="D25" i="8" s="1"/>
  <c r="AD25" i="8" s="1"/>
  <c r="AB8" i="9"/>
  <c r="AB24" i="9"/>
  <c r="AC22" i="4"/>
  <c r="AB13" i="8"/>
  <c r="C6" i="4"/>
  <c r="D6" i="4" s="1"/>
  <c r="AD6" i="4" s="1"/>
  <c r="C17" i="6"/>
  <c r="D17" i="6" s="1"/>
  <c r="AD17" i="6" s="1"/>
  <c r="AB22" i="4"/>
  <c r="AB24" i="7"/>
  <c r="AB28" i="9"/>
  <c r="AB16" i="9"/>
  <c r="AB29" i="6"/>
  <c r="C25" i="1"/>
  <c r="AC25" i="1" s="1"/>
  <c r="C10" i="4"/>
  <c r="D10" i="4" s="1"/>
  <c r="AD10" i="4" s="1"/>
  <c r="C32" i="7"/>
  <c r="D32" i="7" s="1"/>
  <c r="AD32" i="7" s="1"/>
  <c r="AB27" i="5"/>
  <c r="C23" i="14"/>
  <c r="D23" i="14" s="1"/>
  <c r="AD23" i="14" s="1"/>
  <c r="AF30" i="6"/>
  <c r="D29" i="8"/>
  <c r="AD29" i="8" s="1"/>
  <c r="AC29" i="8"/>
  <c r="Q9" i="8"/>
  <c r="AD9" i="8" s="1"/>
  <c r="AC9" i="8"/>
  <c r="AD19" i="5"/>
  <c r="C27" i="14"/>
  <c r="D27" i="14" s="1"/>
  <c r="AD27" i="14" s="1"/>
  <c r="AB27" i="14"/>
  <c r="AB28" i="13"/>
  <c r="C11" i="14"/>
  <c r="D11" i="14" s="1"/>
  <c r="AD11" i="14" s="1"/>
  <c r="AB26" i="4"/>
  <c r="AB14" i="4"/>
  <c r="AB25" i="6"/>
  <c r="AB21" i="13"/>
  <c r="C21" i="1"/>
  <c r="D21" i="1" s="1"/>
  <c r="AD21" i="1" s="1"/>
  <c r="AD15" i="5"/>
  <c r="AB15" i="5"/>
  <c r="AD23" i="5"/>
  <c r="AC24" i="9"/>
  <c r="C12" i="13"/>
  <c r="D12" i="13" s="1"/>
  <c r="AD12" i="13" s="1"/>
  <c r="C32" i="13"/>
  <c r="D32" i="13" s="1"/>
  <c r="AD32" i="13" s="1"/>
  <c r="AB35" i="5"/>
  <c r="C30" i="4"/>
  <c r="D30" i="4" s="1"/>
  <c r="AD30" i="4" s="1"/>
  <c r="AB30" i="4"/>
  <c r="AB18" i="4"/>
  <c r="C18" i="4"/>
  <c r="AD14" i="4"/>
  <c r="AB13" i="6"/>
  <c r="C13" i="6"/>
  <c r="D13" i="6" s="1"/>
  <c r="AD13" i="6" s="1"/>
  <c r="AD35" i="5"/>
  <c r="AC35" i="5"/>
  <c r="D16" i="13"/>
  <c r="AD16" i="13" s="1"/>
  <c r="AC16" i="13"/>
  <c r="D15" i="14"/>
  <c r="AD15" i="14" s="1"/>
  <c r="AC15" i="14"/>
  <c r="D20" i="13"/>
  <c r="AD20" i="13" s="1"/>
  <c r="AC20" i="13"/>
  <c r="AD31" i="5"/>
  <c r="AC31" i="5"/>
  <c r="D24" i="13"/>
  <c r="AD24" i="13" s="1"/>
  <c r="AC24" i="13"/>
  <c r="AC16" i="9"/>
  <c r="AC14" i="4"/>
  <c r="AB5" i="13"/>
  <c r="AB8" i="13"/>
  <c r="AB20" i="13"/>
  <c r="AB24" i="13"/>
  <c r="C31" i="14"/>
  <c r="D31" i="14" s="1"/>
  <c r="AD31" i="14" s="1"/>
  <c r="C19" i="14"/>
  <c r="D19" i="14" s="1"/>
  <c r="AD19" i="14" s="1"/>
  <c r="C5" i="14"/>
  <c r="D5" i="14" s="1"/>
  <c r="AD5" i="14" s="1"/>
  <c r="AB31" i="5"/>
  <c r="AB11" i="5"/>
  <c r="AB15" i="14"/>
  <c r="AB16" i="13"/>
  <c r="AF20" i="6"/>
  <c r="AB19" i="5"/>
  <c r="AF12" i="5"/>
  <c r="AC28" i="9"/>
  <c r="AD28" i="9"/>
  <c r="AC19" i="5"/>
  <c r="AB23" i="5"/>
  <c r="C7" i="14"/>
  <c r="D7" i="14" s="1"/>
  <c r="AD7" i="14" s="1"/>
  <c r="D27" i="4"/>
  <c r="AD27" i="4" s="1"/>
  <c r="AC27" i="4"/>
  <c r="AC32" i="9"/>
  <c r="AB33" i="5"/>
  <c r="AB25" i="5"/>
  <c r="AB33" i="14"/>
  <c r="C33" i="14"/>
  <c r="D33" i="14" s="1"/>
  <c r="AD33" i="14" s="1"/>
  <c r="AB34" i="1"/>
  <c r="C34" i="1"/>
  <c r="D34" i="1" s="1"/>
  <c r="C26" i="6"/>
  <c r="D26" i="6" s="1"/>
  <c r="AD26" i="6" s="1"/>
  <c r="AB26" i="6"/>
  <c r="C21" i="7"/>
  <c r="AB21" i="7"/>
  <c r="AB9" i="7"/>
  <c r="C9" i="7"/>
  <c r="AC9" i="7" s="1"/>
  <c r="AC29" i="6"/>
  <c r="AB10" i="8"/>
  <c r="AB26" i="8"/>
  <c r="AB34" i="8"/>
  <c r="C10" i="13"/>
  <c r="D10" i="13" s="1"/>
  <c r="AD10" i="13" s="1"/>
  <c r="C18" i="13"/>
  <c r="D18" i="13" s="1"/>
  <c r="AB26" i="13"/>
  <c r="C30" i="13"/>
  <c r="D30" i="13" s="1"/>
  <c r="C30" i="1"/>
  <c r="AC30" i="1" s="1"/>
  <c r="C26" i="1"/>
  <c r="D26" i="1" s="1"/>
  <c r="AD26" i="1" s="1"/>
  <c r="AB27" i="4"/>
  <c r="AC9" i="1"/>
  <c r="D9" i="1"/>
  <c r="AD9" i="1" s="1"/>
  <c r="AB29" i="5"/>
  <c r="AB17" i="5"/>
  <c r="AB29" i="14"/>
  <c r="C29" i="14"/>
  <c r="D29" i="14" s="1"/>
  <c r="AD29" i="14" s="1"/>
  <c r="AB10" i="1"/>
  <c r="C10" i="1"/>
  <c r="D10" i="1" s="1"/>
  <c r="AD10" i="1" s="1"/>
  <c r="AB31" i="4"/>
  <c r="C31" i="4"/>
  <c r="AC31" i="4" s="1"/>
  <c r="AB19" i="4"/>
  <c r="C19" i="4"/>
  <c r="D19" i="4" s="1"/>
  <c r="AB7" i="4"/>
  <c r="C7" i="4"/>
  <c r="D7" i="4" s="1"/>
  <c r="AD7" i="4" s="1"/>
  <c r="C30" i="6"/>
  <c r="D30" i="6" s="1"/>
  <c r="AD30" i="6" s="1"/>
  <c r="AB30" i="6"/>
  <c r="C6" i="6"/>
  <c r="AC6" i="6" s="1"/>
  <c r="AB6" i="6"/>
  <c r="AB29" i="7"/>
  <c r="C29" i="7"/>
  <c r="AB13" i="7"/>
  <c r="C13" i="7"/>
  <c r="AC17" i="9"/>
  <c r="AB13" i="5"/>
  <c r="AB9" i="5"/>
  <c r="AB17" i="14"/>
  <c r="C17" i="14"/>
  <c r="D17" i="14" s="1"/>
  <c r="AD17" i="14" s="1"/>
  <c r="AB9" i="14"/>
  <c r="C9" i="14"/>
  <c r="D9" i="14" s="1"/>
  <c r="AD9" i="14" s="1"/>
  <c r="AB22" i="1"/>
  <c r="C22" i="1"/>
  <c r="D22" i="1" s="1"/>
  <c r="AD22" i="1" s="1"/>
  <c r="AB14" i="1"/>
  <c r="C14" i="1"/>
  <c r="D14" i="1" s="1"/>
  <c r="AD14" i="1" s="1"/>
  <c r="AB23" i="4"/>
  <c r="C23" i="4"/>
  <c r="AC23" i="4" s="1"/>
  <c r="C22" i="6"/>
  <c r="AB22" i="6"/>
  <c r="AB33" i="7"/>
  <c r="C33" i="7"/>
  <c r="AB25" i="7"/>
  <c r="C25" i="7"/>
  <c r="D25" i="7" s="1"/>
  <c r="AD25" i="7" s="1"/>
  <c r="C17" i="7"/>
  <c r="D17" i="7" s="1"/>
  <c r="AD17" i="7" s="1"/>
  <c r="AB17" i="7"/>
  <c r="C22" i="8"/>
  <c r="AB22" i="8"/>
  <c r="C14" i="13"/>
  <c r="C25" i="14"/>
  <c r="D25" i="14" s="1"/>
  <c r="AD25" i="14" s="1"/>
  <c r="AD26" i="4"/>
  <c r="AB6" i="1"/>
  <c r="N15" i="13"/>
  <c r="AC26" i="4"/>
  <c r="AD17" i="8"/>
  <c r="AD13" i="8"/>
  <c r="AF34" i="5"/>
  <c r="AF30" i="5"/>
  <c r="AF26" i="5"/>
  <c r="AF22" i="5"/>
  <c r="AF18" i="5"/>
  <c r="AF10" i="5"/>
  <c r="AF25" i="5"/>
  <c r="N13" i="13"/>
  <c r="N9" i="13"/>
  <c r="N8" i="13"/>
  <c r="AF26" i="6"/>
  <c r="AF14" i="6"/>
  <c r="AD26" i="9"/>
  <c r="AD18" i="5"/>
  <c r="AC18" i="5"/>
  <c r="D18" i="9"/>
  <c r="AD18" i="9" s="1"/>
  <c r="AC18" i="9"/>
  <c r="D27" i="13"/>
  <c r="AD27" i="13" s="1"/>
  <c r="AC27" i="13"/>
  <c r="D6" i="9"/>
  <c r="AD6" i="9" s="1"/>
  <c r="AC6" i="9"/>
  <c r="AB30" i="5"/>
  <c r="AD30" i="5"/>
  <c r="AD22" i="5"/>
  <c r="AB22" i="5"/>
  <c r="AB14" i="5"/>
  <c r="AB6" i="5"/>
  <c r="AB11" i="1"/>
  <c r="C11" i="1"/>
  <c r="AB28" i="4"/>
  <c r="C28" i="4"/>
  <c r="AC28" i="4" s="1"/>
  <c r="AB12" i="4"/>
  <c r="C12" i="4"/>
  <c r="AC22" i="9"/>
  <c r="AB14" i="9"/>
  <c r="AB10" i="9"/>
  <c r="AC23" i="8"/>
  <c r="AC34" i="8"/>
  <c r="AC31" i="6"/>
  <c r="AB19" i="8"/>
  <c r="AB35" i="8"/>
  <c r="C11" i="13"/>
  <c r="C23" i="13"/>
  <c r="AC23" i="13" s="1"/>
  <c r="D28" i="13"/>
  <c r="AD28" i="13" s="1"/>
  <c r="C35" i="13"/>
  <c r="D35" i="13" s="1"/>
  <c r="AD35" i="13" s="1"/>
  <c r="C34" i="14"/>
  <c r="D34" i="14" s="1"/>
  <c r="AD34" i="14" s="1"/>
  <c r="C11" i="6"/>
  <c r="AB10" i="5"/>
  <c r="AB19" i="1"/>
  <c r="C19" i="1"/>
  <c r="D19" i="1" s="1"/>
  <c r="AD19" i="1" s="1"/>
  <c r="AB7" i="1"/>
  <c r="C7" i="1"/>
  <c r="AB32" i="4"/>
  <c r="C32" i="4"/>
  <c r="AB20" i="4"/>
  <c r="C20" i="4"/>
  <c r="D20" i="4" s="1"/>
  <c r="AD20" i="4" s="1"/>
  <c r="AB30" i="7"/>
  <c r="C30" i="7"/>
  <c r="D30" i="7" s="1"/>
  <c r="AD30" i="7" s="1"/>
  <c r="AB18" i="7"/>
  <c r="C18" i="7"/>
  <c r="AB10" i="7"/>
  <c r="C10" i="7"/>
  <c r="AB34" i="9"/>
  <c r="AB11" i="8"/>
  <c r="AB27" i="8"/>
  <c r="C30" i="14"/>
  <c r="D30" i="14" s="1"/>
  <c r="AD30" i="14" s="1"/>
  <c r="C14" i="14"/>
  <c r="N12" i="13"/>
  <c r="C31" i="1"/>
  <c r="D31" i="1" s="1"/>
  <c r="AD31" i="1" s="1"/>
  <c r="C23" i="1"/>
  <c r="D23" i="1" s="1"/>
  <c r="C19" i="6"/>
  <c r="D19" i="6" s="1"/>
  <c r="AD19" i="6" s="1"/>
  <c r="AF6" i="5"/>
  <c r="AD26" i="5"/>
  <c r="AB26" i="5"/>
  <c r="AB15" i="1"/>
  <c r="C15" i="1"/>
  <c r="AB24" i="4"/>
  <c r="C24" i="4"/>
  <c r="AC24" i="4" s="1"/>
  <c r="AB16" i="4"/>
  <c r="C16" i="4"/>
  <c r="D16" i="4" s="1"/>
  <c r="AD16" i="4" s="1"/>
  <c r="AB8" i="4"/>
  <c r="C8" i="4"/>
  <c r="D8" i="4" s="1"/>
  <c r="AD8" i="4" s="1"/>
  <c r="AD23" i="6"/>
  <c r="AB15" i="6"/>
  <c r="C15" i="6"/>
  <c r="AB34" i="7"/>
  <c r="C34" i="7"/>
  <c r="D34" i="7" s="1"/>
  <c r="AD34" i="7" s="1"/>
  <c r="AB26" i="7"/>
  <c r="C26" i="7"/>
  <c r="AB14" i="7"/>
  <c r="C14" i="7"/>
  <c r="D14" i="7" s="1"/>
  <c r="AD14" i="7" s="1"/>
  <c r="AD31" i="8"/>
  <c r="AB26" i="9"/>
  <c r="AC27" i="8"/>
  <c r="AC7" i="8"/>
  <c r="AB7" i="8"/>
  <c r="AB23" i="8"/>
  <c r="AB27" i="6"/>
  <c r="AB35" i="6"/>
  <c r="C18" i="14"/>
  <c r="C6" i="14"/>
  <c r="C35" i="1"/>
  <c r="C22" i="7"/>
  <c r="C6" i="7"/>
  <c r="D6" i="7" s="1"/>
  <c r="AD6" i="7" s="1"/>
  <c r="AD34" i="5"/>
  <c r="AF18" i="6"/>
  <c r="AC10" i="6"/>
  <c r="AC12" i="7"/>
  <c r="Q17" i="9"/>
  <c r="AD17" i="9" s="1"/>
  <c r="AC8" i="9"/>
  <c r="AC23" i="5"/>
  <c r="AC23" i="6"/>
  <c r="F35" i="7"/>
  <c r="Q6" i="1"/>
  <c r="AD6" i="1" s="1"/>
  <c r="AC6" i="1"/>
  <c r="Q19" i="4"/>
  <c r="AD29" i="6"/>
  <c r="D21" i="6"/>
  <c r="AD21" i="6" s="1"/>
  <c r="AC21" i="6"/>
  <c r="Q21" i="9"/>
  <c r="AD21" i="9" s="1"/>
  <c r="AC21" i="9"/>
  <c r="AD8" i="9"/>
  <c r="F35" i="9"/>
  <c r="G35" i="9" s="1"/>
  <c r="AC27" i="6"/>
  <c r="Q10" i="6"/>
  <c r="AD10" i="6" s="1"/>
  <c r="AD27" i="5"/>
  <c r="AC27" i="5"/>
  <c r="AD11" i="5"/>
  <c r="AC11" i="5"/>
  <c r="D6" i="8"/>
  <c r="AD6" i="8" s="1"/>
  <c r="AC6" i="8"/>
  <c r="D8" i="13"/>
  <c r="AD8" i="13" s="1"/>
  <c r="AC8" i="13"/>
  <c r="Q23" i="1"/>
  <c r="AF23" i="5"/>
  <c r="D18" i="6"/>
  <c r="AD18" i="6" s="1"/>
  <c r="AC18" i="6"/>
  <c r="D35" i="6"/>
  <c r="AD35" i="6" s="1"/>
  <c r="AC35" i="6"/>
  <c r="D26" i="8"/>
  <c r="AD26" i="8" s="1"/>
  <c r="AC26" i="8"/>
  <c r="AC18" i="8"/>
  <c r="Q18" i="8"/>
  <c r="AD18" i="8" s="1"/>
  <c r="Q14" i="8"/>
  <c r="AD14" i="8" s="1"/>
  <c r="AC14" i="8"/>
  <c r="AD34" i="9"/>
  <c r="J36" i="5"/>
  <c r="D14" i="15" s="1"/>
  <c r="AF28" i="6"/>
  <c r="AF24" i="6"/>
  <c r="AF16" i="6"/>
  <c r="AF12" i="6"/>
  <c r="AF35" i="6"/>
  <c r="AF31" i="6"/>
  <c r="AF23" i="6"/>
  <c r="AF19" i="6"/>
  <c r="AF15" i="6"/>
  <c r="AF11" i="6"/>
  <c r="AF29" i="6"/>
  <c r="AF13" i="6"/>
  <c r="AF5" i="5"/>
  <c r="AF24" i="5"/>
  <c r="AF20" i="5"/>
  <c r="AF16" i="5"/>
  <c r="AF8" i="5"/>
  <c r="AF19" i="5"/>
  <c r="AF15" i="5"/>
  <c r="AF7" i="5"/>
  <c r="AF21" i="5"/>
  <c r="AF17" i="5"/>
  <c r="AF13" i="5"/>
  <c r="N11" i="13"/>
  <c r="Z36" i="6"/>
  <c r="I7" i="15" s="1"/>
  <c r="AF6" i="6"/>
  <c r="AF34" i="6"/>
  <c r="AF27" i="6"/>
  <c r="AF9" i="6"/>
  <c r="AC34" i="9"/>
  <c r="AC26" i="13"/>
  <c r="I36" i="8"/>
  <c r="J36" i="8" s="1"/>
  <c r="D9" i="15" s="1"/>
  <c r="AC11" i="8"/>
  <c r="AC20" i="8"/>
  <c r="AC15" i="8"/>
  <c r="AC13" i="8"/>
  <c r="AB8" i="6"/>
  <c r="AD22" i="4"/>
  <c r="AB21" i="4"/>
  <c r="F34" i="4"/>
  <c r="AF33" i="6"/>
  <c r="AF17" i="6"/>
  <c r="W35" i="7"/>
  <c r="H8" i="15" s="1"/>
  <c r="S36" i="5"/>
  <c r="AB5" i="9"/>
  <c r="L35" i="14"/>
  <c r="P35" i="14"/>
  <c r="AC35" i="8"/>
  <c r="AD11" i="8"/>
  <c r="J36" i="1"/>
  <c r="D5" i="15" s="1"/>
  <c r="T34" i="4"/>
  <c r="G6" i="15" s="1"/>
  <c r="C28" i="6"/>
  <c r="D28" i="6" s="1"/>
  <c r="AD28" i="6" s="1"/>
  <c r="AB28" i="6"/>
  <c r="AF32" i="6"/>
  <c r="AC26" i="9"/>
  <c r="AC31" i="8"/>
  <c r="AC17" i="8"/>
  <c r="Y36" i="8"/>
  <c r="Z36" i="8" s="1"/>
  <c r="I9" i="15" s="1"/>
  <c r="G5" i="4"/>
  <c r="G34" i="4" s="1"/>
  <c r="C6" i="15" s="1"/>
  <c r="I34" i="4"/>
  <c r="Q18" i="1"/>
  <c r="M36" i="5"/>
  <c r="E14" i="15" s="1"/>
  <c r="AF32" i="5"/>
  <c r="AF28" i="5"/>
  <c r="AF33" i="5"/>
  <c r="AF29" i="5"/>
  <c r="Q35" i="14"/>
  <c r="F3" i="15" s="1"/>
  <c r="N7" i="13"/>
  <c r="N14" i="13"/>
  <c r="N10" i="13"/>
  <c r="AD13" i="13"/>
  <c r="AD27" i="6"/>
  <c r="AF22" i="6"/>
  <c r="AB32" i="5"/>
  <c r="T36" i="13"/>
  <c r="G4" i="15" s="1"/>
  <c r="W7" i="13"/>
  <c r="W36" i="13" s="1"/>
  <c r="H4" i="15" s="1"/>
  <c r="V36" i="13"/>
  <c r="W36" i="1"/>
  <c r="H5" i="15" s="1"/>
  <c r="M34" i="4"/>
  <c r="E6" i="15" s="1"/>
  <c r="T36" i="6"/>
  <c r="G7" i="15" s="1"/>
  <c r="AC15" i="9"/>
  <c r="D15" i="9"/>
  <c r="AD15" i="9" s="1"/>
  <c r="AF5" i="6"/>
  <c r="W35" i="14"/>
  <c r="H3" i="15" s="1"/>
  <c r="Y35" i="14"/>
  <c r="L36" i="13"/>
  <c r="Q5" i="13"/>
  <c r="P36" i="13"/>
  <c r="Q34" i="1"/>
  <c r="G36" i="13"/>
  <c r="C4" i="15" s="1"/>
  <c r="N4" i="13"/>
  <c r="D22" i="13"/>
  <c r="AD22" i="13" s="1"/>
  <c r="AC22" i="13"/>
  <c r="Q24" i="7"/>
  <c r="AD24" i="7" s="1"/>
  <c r="AC24" i="7"/>
  <c r="AB28" i="5"/>
  <c r="T35" i="14"/>
  <c r="G3" i="15" s="1"/>
  <c r="AD21" i="13"/>
  <c r="J36" i="13"/>
  <c r="D4" i="15" s="1"/>
  <c r="G36" i="1"/>
  <c r="C5" i="15" s="1"/>
  <c r="V36" i="1"/>
  <c r="S36" i="1"/>
  <c r="D6" i="13"/>
  <c r="AC6" i="13"/>
  <c r="Q30" i="13"/>
  <c r="P34" i="4"/>
  <c r="Q5" i="4"/>
  <c r="Z35" i="14"/>
  <c r="I3" i="15" s="1"/>
  <c r="Y36" i="13"/>
  <c r="M36" i="13"/>
  <c r="E4" i="15" s="1"/>
  <c r="AF7" i="6"/>
  <c r="Z36" i="1"/>
  <c r="I5" i="15" s="1"/>
  <c r="S36" i="6"/>
  <c r="D15" i="13"/>
  <c r="AD15" i="13" s="1"/>
  <c r="AC15" i="13"/>
  <c r="Z36" i="13"/>
  <c r="I4" i="15" s="1"/>
  <c r="Q17" i="1"/>
  <c r="D33" i="6"/>
  <c r="AD33" i="6" s="1"/>
  <c r="AC33" i="6"/>
  <c r="AB16" i="5"/>
  <c r="AB32" i="14"/>
  <c r="C32" i="14"/>
  <c r="AB24" i="14"/>
  <c r="C24" i="14"/>
  <c r="J8" i="14"/>
  <c r="J35" i="14" s="1"/>
  <c r="D3" i="15" s="1"/>
  <c r="I35" i="14"/>
  <c r="AB20" i="1"/>
  <c r="C20" i="1"/>
  <c r="AB5" i="4"/>
  <c r="C5" i="4"/>
  <c r="AC21" i="4"/>
  <c r="D21" i="4"/>
  <c r="AD21" i="4" s="1"/>
  <c r="AB9" i="4"/>
  <c r="C9" i="4"/>
  <c r="Z5" i="4"/>
  <c r="Z34" i="4" s="1"/>
  <c r="I6" i="15" s="1"/>
  <c r="Y34" i="4"/>
  <c r="D8" i="6"/>
  <c r="AD8" i="6" s="1"/>
  <c r="AC8" i="6"/>
  <c r="G36" i="6"/>
  <c r="C7" i="15" s="1"/>
  <c r="M36" i="6"/>
  <c r="E7" i="15" s="1"/>
  <c r="C5" i="7"/>
  <c r="AB5" i="7"/>
  <c r="C19" i="7"/>
  <c r="AB19" i="7"/>
  <c r="G35" i="7"/>
  <c r="C8" i="15" s="1"/>
  <c r="AB5" i="8"/>
  <c r="C5" i="8"/>
  <c r="W6" i="8"/>
  <c r="V36" i="8"/>
  <c r="W36" i="8" s="1"/>
  <c r="H9" i="15" s="1"/>
  <c r="W5" i="9"/>
  <c r="V35" i="9"/>
  <c r="W35" i="9" s="1"/>
  <c r="H10" i="15" s="1"/>
  <c r="AC20" i="9"/>
  <c r="AC31" i="9"/>
  <c r="AC7" i="9"/>
  <c r="Q32" i="9"/>
  <c r="AD32" i="9" s="1"/>
  <c r="AC19" i="9"/>
  <c r="L36" i="5"/>
  <c r="P36" i="5"/>
  <c r="AC5" i="9"/>
  <c r="AC21" i="13"/>
  <c r="AC25" i="13"/>
  <c r="AC13" i="13"/>
  <c r="S35" i="14"/>
  <c r="V34" i="4"/>
  <c r="V36" i="6"/>
  <c r="AC28" i="8"/>
  <c r="I36" i="1"/>
  <c r="L36" i="1"/>
  <c r="I35" i="9"/>
  <c r="J35" i="9" s="1"/>
  <c r="D10" i="15" s="1"/>
  <c r="L36" i="6"/>
  <c r="P36" i="8"/>
  <c r="Q36" i="8" s="1"/>
  <c r="F9" i="15" s="1"/>
  <c r="C29" i="13"/>
  <c r="Q18" i="13"/>
  <c r="C24" i="1"/>
  <c r="Q25" i="6"/>
  <c r="AC25" i="6"/>
  <c r="C24" i="6"/>
  <c r="AB20" i="5"/>
  <c r="AB12" i="5"/>
  <c r="G36" i="5"/>
  <c r="C14" i="15" s="1"/>
  <c r="F36" i="5"/>
  <c r="T36" i="5"/>
  <c r="G14" i="15" s="1"/>
  <c r="W36" i="5"/>
  <c r="H14" i="15" s="1"/>
  <c r="V36" i="5"/>
  <c r="C5" i="5"/>
  <c r="AB5" i="5"/>
  <c r="AB20" i="14"/>
  <c r="C20" i="14"/>
  <c r="AC17" i="13"/>
  <c r="D17" i="13"/>
  <c r="AD17" i="13" s="1"/>
  <c r="F36" i="13"/>
  <c r="AB5" i="1"/>
  <c r="C5" i="1"/>
  <c r="AB16" i="1"/>
  <c r="C16" i="1"/>
  <c r="C8" i="1"/>
  <c r="AB8" i="1"/>
  <c r="T36" i="1"/>
  <c r="G5" i="15" s="1"/>
  <c r="AB29" i="4"/>
  <c r="C29" i="4"/>
  <c r="AB13" i="4"/>
  <c r="C13" i="4"/>
  <c r="AB5" i="6"/>
  <c r="C5" i="6"/>
  <c r="AB20" i="6"/>
  <c r="C20" i="6"/>
  <c r="C12" i="6"/>
  <c r="AB12" i="6"/>
  <c r="C27" i="7"/>
  <c r="AB27" i="7"/>
  <c r="AB15" i="7"/>
  <c r="C15" i="7"/>
  <c r="M9" i="7"/>
  <c r="M35" i="7" s="1"/>
  <c r="E8" i="15" s="1"/>
  <c r="L35" i="7"/>
  <c r="T35" i="7"/>
  <c r="G8" i="15" s="1"/>
  <c r="D32" i="8"/>
  <c r="AD32" i="8" s="1"/>
  <c r="AC32" i="8"/>
  <c r="D16" i="8"/>
  <c r="AD16" i="8" s="1"/>
  <c r="AC16" i="8"/>
  <c r="D8" i="8"/>
  <c r="AD8" i="8" s="1"/>
  <c r="AC8" i="8"/>
  <c r="C11" i="9"/>
  <c r="AB11" i="9"/>
  <c r="P35" i="9"/>
  <c r="Q35" i="9" s="1"/>
  <c r="F10" i="15" s="1"/>
  <c r="C27" i="9"/>
  <c r="AB31" i="9"/>
  <c r="AB15" i="9"/>
  <c r="C23" i="9"/>
  <c r="AB19" i="9"/>
  <c r="I36" i="13"/>
  <c r="I36" i="6"/>
  <c r="AC16" i="6"/>
  <c r="AC24" i="8"/>
  <c r="S35" i="7"/>
  <c r="N6" i="13"/>
  <c r="Y36" i="6"/>
  <c r="V35" i="7"/>
  <c r="AC5" i="13"/>
  <c r="C9" i="13"/>
  <c r="AB13" i="13"/>
  <c r="AB25" i="13"/>
  <c r="V35" i="14"/>
  <c r="N5" i="13"/>
  <c r="C28" i="1"/>
  <c r="Y36" i="1"/>
  <c r="AB24" i="5"/>
  <c r="AB8" i="5"/>
  <c r="Y36" i="5"/>
  <c r="AB28" i="14"/>
  <c r="C28" i="14"/>
  <c r="M35" i="14"/>
  <c r="E3" i="15" s="1"/>
  <c r="AB25" i="4"/>
  <c r="C25" i="4"/>
  <c r="AB17" i="4"/>
  <c r="C17" i="4"/>
  <c r="J34" i="4"/>
  <c r="D6" i="15" s="1"/>
  <c r="L34" i="4"/>
  <c r="W34" i="4"/>
  <c r="H6" i="15" s="1"/>
  <c r="C32" i="6"/>
  <c r="AB32" i="6"/>
  <c r="J36" i="6"/>
  <c r="D7" i="15" s="1"/>
  <c r="P36" i="6"/>
  <c r="AB31" i="7"/>
  <c r="C31" i="7"/>
  <c r="AB23" i="7"/>
  <c r="C23" i="7"/>
  <c r="C11" i="7"/>
  <c r="AB11" i="7"/>
  <c r="AB7" i="7"/>
  <c r="C7" i="7"/>
  <c r="J5" i="7"/>
  <c r="J35" i="7" s="1"/>
  <c r="D8" i="15" s="1"/>
  <c r="I35" i="7"/>
  <c r="Z9" i="7"/>
  <c r="Z35" i="7" s="1"/>
  <c r="I8" i="15" s="1"/>
  <c r="Y35" i="7"/>
  <c r="D12" i="8"/>
  <c r="AD12" i="8" s="1"/>
  <c r="AC12" i="8"/>
  <c r="I36" i="5"/>
  <c r="AB7" i="9"/>
  <c r="S36" i="13"/>
  <c r="W36" i="6"/>
  <c r="H7" i="15" s="1"/>
  <c r="F36" i="6"/>
  <c r="P36" i="1"/>
  <c r="S34" i="4"/>
  <c r="P35" i="7"/>
  <c r="S36" i="8"/>
  <c r="T36" i="8" s="1"/>
  <c r="G9" i="15" s="1"/>
  <c r="F36" i="8"/>
  <c r="G36" i="8" s="1"/>
  <c r="L36" i="8"/>
  <c r="M36" i="8" s="1"/>
  <c r="E9" i="15" s="1"/>
  <c r="AB8" i="8"/>
  <c r="AB12" i="8"/>
  <c r="AB16" i="8"/>
  <c r="AB20" i="8"/>
  <c r="AB24" i="8"/>
  <c r="AB28" i="8"/>
  <c r="AB32" i="8"/>
  <c r="AB16" i="6"/>
  <c r="AB17" i="13"/>
  <c r="C33" i="13"/>
  <c r="C16" i="14"/>
  <c r="C12" i="14"/>
  <c r="C8" i="14"/>
  <c r="F35" i="14"/>
  <c r="G5" i="14"/>
  <c r="G35" i="14" s="1"/>
  <c r="C3" i="15" s="1"/>
  <c r="C32" i="1"/>
  <c r="C12" i="1"/>
  <c r="M36" i="1"/>
  <c r="E5" i="15" s="1"/>
  <c r="Q15" i="4"/>
  <c r="AF21" i="6"/>
  <c r="AF8" i="6"/>
  <c r="F36" i="1"/>
  <c r="AC12" i="9" l="1"/>
  <c r="AC21" i="8"/>
  <c r="AC13" i="14"/>
  <c r="AC35" i="12"/>
  <c r="AF35" i="12"/>
  <c r="AD35" i="12"/>
  <c r="AF31" i="12"/>
  <c r="AD31" i="12"/>
  <c r="AD15" i="4"/>
  <c r="AC21" i="14"/>
  <c r="AH25" i="16"/>
  <c r="AD5" i="11"/>
  <c r="AF36" i="11"/>
  <c r="AC16" i="7"/>
  <c r="AC15" i="4"/>
  <c r="AC36" i="11"/>
  <c r="AD36" i="11" s="1"/>
  <c r="AC11" i="4"/>
  <c r="AC10" i="14"/>
  <c r="AC34" i="6"/>
  <c r="AC31" i="13"/>
  <c r="AC22" i="14"/>
  <c r="AD18" i="1"/>
  <c r="AC18" i="1"/>
  <c r="AC30" i="8"/>
  <c r="D33" i="9"/>
  <c r="AD33" i="9" s="1"/>
  <c r="AC27" i="1"/>
  <c r="AC34" i="13"/>
  <c r="D29" i="9"/>
  <c r="AD29" i="9" s="1"/>
  <c r="AG36" i="16"/>
  <c r="AH36" i="16" s="1"/>
  <c r="AC7" i="13"/>
  <c r="D7" i="6"/>
  <c r="AD7" i="6" s="1"/>
  <c r="D9" i="7"/>
  <c r="AD9" i="7" s="1"/>
  <c r="D19" i="13"/>
  <c r="AD19" i="13" s="1"/>
  <c r="AC21" i="1"/>
  <c r="C35" i="9"/>
  <c r="D35" i="9" s="1"/>
  <c r="B10" i="15" s="1"/>
  <c r="AD23" i="1"/>
  <c r="AC30" i="13"/>
  <c r="AC30" i="9"/>
  <c r="AC31" i="14"/>
  <c r="AC26" i="14"/>
  <c r="AC33" i="1"/>
  <c r="AC31" i="1"/>
  <c r="AF35" i="5"/>
  <c r="AC25" i="14"/>
  <c r="D29" i="1"/>
  <c r="AD29" i="1" s="1"/>
  <c r="AC33" i="14"/>
  <c r="AC13" i="1"/>
  <c r="AC27" i="14"/>
  <c r="AC10" i="4"/>
  <c r="AC20" i="7"/>
  <c r="C9" i="15"/>
  <c r="F38" i="8"/>
  <c r="AC19" i="6"/>
  <c r="AC6" i="4"/>
  <c r="AC32" i="13"/>
  <c r="D25" i="1"/>
  <c r="AD25" i="1" s="1"/>
  <c r="AC17" i="1"/>
  <c r="AC17" i="7"/>
  <c r="AC19" i="14"/>
  <c r="AC11" i="14"/>
  <c r="AC28" i="7"/>
  <c r="AD17" i="1"/>
  <c r="AF27" i="5"/>
  <c r="AC33" i="8"/>
  <c r="AC30" i="14"/>
  <c r="AF31" i="5"/>
  <c r="AC6" i="7"/>
  <c r="AC12" i="13"/>
  <c r="AC25" i="8"/>
  <c r="AC23" i="14"/>
  <c r="AC8" i="7"/>
  <c r="AC34" i="1"/>
  <c r="AC14" i="7"/>
  <c r="D24" i="4"/>
  <c r="AD24" i="4" s="1"/>
  <c r="AC17" i="6"/>
  <c r="AC9" i="6"/>
  <c r="AC30" i="6"/>
  <c r="AC32" i="7"/>
  <c r="AC18" i="13"/>
  <c r="AC22" i="5"/>
  <c r="AC26" i="1"/>
  <c r="AD18" i="13"/>
  <c r="D6" i="6"/>
  <c r="AD6" i="6" s="1"/>
  <c r="AD30" i="13"/>
  <c r="AD34" i="1"/>
  <c r="AC20" i="4"/>
  <c r="AC35" i="13"/>
  <c r="AC22" i="1"/>
  <c r="AC5" i="14"/>
  <c r="D18" i="4"/>
  <c r="AD18" i="4" s="1"/>
  <c r="AC18" i="4"/>
  <c r="AC13" i="6"/>
  <c r="D23" i="4"/>
  <c r="AD23" i="4" s="1"/>
  <c r="AC15" i="5"/>
  <c r="AC17" i="14"/>
  <c r="AC30" i="4"/>
  <c r="AC29" i="14"/>
  <c r="D30" i="1"/>
  <c r="AD30" i="1" s="1"/>
  <c r="AD7" i="5"/>
  <c r="AC7" i="5"/>
  <c r="AC26" i="5"/>
  <c r="AC7" i="14"/>
  <c r="AC26" i="6"/>
  <c r="AC7" i="4"/>
  <c r="D31" i="4"/>
  <c r="AD31" i="4" s="1"/>
  <c r="AC8" i="4"/>
  <c r="AC9" i="14"/>
  <c r="AC14" i="5"/>
  <c r="AC23" i="1"/>
  <c r="AC14" i="1"/>
  <c r="AC10" i="13"/>
  <c r="AD13" i="5"/>
  <c r="AC13" i="5"/>
  <c r="AD29" i="5"/>
  <c r="AC29" i="5"/>
  <c r="AC29" i="7"/>
  <c r="D29" i="7"/>
  <c r="AD29" i="7" s="1"/>
  <c r="D21" i="7"/>
  <c r="AD21" i="7" s="1"/>
  <c r="AC21" i="7"/>
  <c r="AD25" i="5"/>
  <c r="AC25" i="5"/>
  <c r="AC16" i="4"/>
  <c r="AC25" i="7"/>
  <c r="AC28" i="6"/>
  <c r="AF10" i="6"/>
  <c r="AC34" i="14"/>
  <c r="AC19" i="4"/>
  <c r="AC10" i="1"/>
  <c r="D22" i="8"/>
  <c r="AD22" i="8" s="1"/>
  <c r="AC22" i="8"/>
  <c r="D22" i="6"/>
  <c r="AD22" i="6" s="1"/>
  <c r="AC22" i="6"/>
  <c r="AD9" i="5"/>
  <c r="AC9" i="5"/>
  <c r="AD17" i="5"/>
  <c r="AC17" i="5"/>
  <c r="AD19" i="4"/>
  <c r="D28" i="4"/>
  <c r="AD28" i="4" s="1"/>
  <c r="D14" i="13"/>
  <c r="AD14" i="13" s="1"/>
  <c r="AC14" i="13"/>
  <c r="D33" i="7"/>
  <c r="AD33" i="7" s="1"/>
  <c r="AC33" i="7"/>
  <c r="D13" i="7"/>
  <c r="AD13" i="7" s="1"/>
  <c r="AC13" i="7"/>
  <c r="AD33" i="5"/>
  <c r="AC33" i="5"/>
  <c r="D15" i="1"/>
  <c r="AD15" i="1" s="1"/>
  <c r="AC15" i="1"/>
  <c r="D10" i="7"/>
  <c r="AD10" i="7" s="1"/>
  <c r="AC10" i="7"/>
  <c r="D23" i="13"/>
  <c r="AD23" i="13" s="1"/>
  <c r="AC34" i="5"/>
  <c r="AC19" i="1"/>
  <c r="D35" i="1"/>
  <c r="AD35" i="1" s="1"/>
  <c r="AC35" i="1"/>
  <c r="AC26" i="7"/>
  <c r="D26" i="7"/>
  <c r="AD26" i="7" s="1"/>
  <c r="D15" i="6"/>
  <c r="AD15" i="6" s="1"/>
  <c r="AC15" i="6"/>
  <c r="AC34" i="7"/>
  <c r="AD10" i="5"/>
  <c r="AC10" i="5"/>
  <c r="D12" i="4"/>
  <c r="AD12" i="4" s="1"/>
  <c r="AC12" i="4"/>
  <c r="AD6" i="5"/>
  <c r="AC6" i="5"/>
  <c r="D6" i="14"/>
  <c r="AD6" i="14" s="1"/>
  <c r="AC6" i="14"/>
  <c r="D32" i="4"/>
  <c r="AD32" i="4" s="1"/>
  <c r="AC32" i="4"/>
  <c r="D11" i="6"/>
  <c r="AD11" i="6" s="1"/>
  <c r="AC11" i="6"/>
  <c r="D11" i="1"/>
  <c r="AD11" i="1" s="1"/>
  <c r="AC11" i="1"/>
  <c r="AC30" i="5"/>
  <c r="D18" i="14"/>
  <c r="AD18" i="14" s="1"/>
  <c r="AC18" i="14"/>
  <c r="AC11" i="13"/>
  <c r="D11" i="13"/>
  <c r="AD11" i="13" s="1"/>
  <c r="AC30" i="7"/>
  <c r="D22" i="7"/>
  <c r="AD22" i="7" s="1"/>
  <c r="AC22" i="7"/>
  <c r="D14" i="14"/>
  <c r="AD14" i="14" s="1"/>
  <c r="AC14" i="14"/>
  <c r="D18" i="7"/>
  <c r="AD18" i="7" s="1"/>
  <c r="AC18" i="7"/>
  <c r="D7" i="1"/>
  <c r="AD7" i="1" s="1"/>
  <c r="AC7" i="1"/>
  <c r="C11" i="15"/>
  <c r="C10" i="15"/>
  <c r="Q36" i="5"/>
  <c r="F14" i="15" s="1"/>
  <c r="AF11" i="5"/>
  <c r="AD14" i="5"/>
  <c r="AF14" i="5"/>
  <c r="D20" i="6"/>
  <c r="AD20" i="6" s="1"/>
  <c r="AC20" i="6"/>
  <c r="AD32" i="5"/>
  <c r="AC32" i="5"/>
  <c r="AC8" i="14"/>
  <c r="D8" i="14"/>
  <c r="C35" i="14"/>
  <c r="AC35" i="14" s="1"/>
  <c r="AC33" i="13"/>
  <c r="D33" i="13"/>
  <c r="AD33" i="13" s="1"/>
  <c r="D31" i="7"/>
  <c r="AD31" i="7" s="1"/>
  <c r="AC31" i="7"/>
  <c r="D27" i="9"/>
  <c r="AD27" i="9" s="1"/>
  <c r="AC27" i="9"/>
  <c r="D27" i="7"/>
  <c r="AD27" i="7" s="1"/>
  <c r="AC27" i="7"/>
  <c r="AC5" i="1"/>
  <c r="D5" i="1"/>
  <c r="C36" i="1"/>
  <c r="D5" i="5"/>
  <c r="C36" i="5"/>
  <c r="AC5" i="5"/>
  <c r="D9" i="4"/>
  <c r="AD9" i="4" s="1"/>
  <c r="AC9" i="4"/>
  <c r="D5" i="4"/>
  <c r="C34" i="4"/>
  <c r="AC34" i="4" s="1"/>
  <c r="AC5" i="4"/>
  <c r="D32" i="14"/>
  <c r="AD32" i="14" s="1"/>
  <c r="AC32" i="14"/>
  <c r="AD6" i="13"/>
  <c r="AD28" i="5"/>
  <c r="AC28" i="5"/>
  <c r="D11" i="9"/>
  <c r="AD11" i="9" s="1"/>
  <c r="AC11" i="9"/>
  <c r="D13" i="4"/>
  <c r="AD13" i="4" s="1"/>
  <c r="AC13" i="4"/>
  <c r="AD12" i="5"/>
  <c r="AC12" i="5"/>
  <c r="D5" i="8"/>
  <c r="AD5" i="8" s="1"/>
  <c r="AC5" i="8"/>
  <c r="C36" i="8"/>
  <c r="D36" i="8" s="1"/>
  <c r="B9" i="15" s="1"/>
  <c r="D19" i="7"/>
  <c r="AD19" i="7" s="1"/>
  <c r="AC19" i="7"/>
  <c r="D32" i="1"/>
  <c r="AD32" i="1" s="1"/>
  <c r="AC32" i="1"/>
  <c r="D12" i="14"/>
  <c r="AD12" i="14" s="1"/>
  <c r="AC12" i="14"/>
  <c r="D11" i="7"/>
  <c r="AD11" i="7" s="1"/>
  <c r="AC11" i="7"/>
  <c r="D32" i="6"/>
  <c r="AD32" i="6" s="1"/>
  <c r="AC32" i="6"/>
  <c r="AC17" i="4"/>
  <c r="D17" i="4"/>
  <c r="AD17" i="4" s="1"/>
  <c r="E17" i="15"/>
  <c r="AF9" i="5"/>
  <c r="Z36" i="5"/>
  <c r="I14" i="15" s="1"/>
  <c r="I17" i="15" s="1"/>
  <c r="AD24" i="5"/>
  <c r="AC24" i="5"/>
  <c r="D28" i="1"/>
  <c r="AD28" i="1" s="1"/>
  <c r="AC28" i="1"/>
  <c r="D9" i="13"/>
  <c r="AD9" i="13" s="1"/>
  <c r="AC9" i="13"/>
  <c r="D23" i="9"/>
  <c r="AD23" i="9" s="1"/>
  <c r="AC23" i="9"/>
  <c r="D15" i="7"/>
  <c r="AD15" i="7" s="1"/>
  <c r="AC15" i="7"/>
  <c r="C36" i="6"/>
  <c r="AC5" i="6"/>
  <c r="D5" i="6"/>
  <c r="AC29" i="4"/>
  <c r="D29" i="4"/>
  <c r="AD29" i="4" s="1"/>
  <c r="AC8" i="1"/>
  <c r="D8" i="1"/>
  <c r="AD8" i="1" s="1"/>
  <c r="AC20" i="14"/>
  <c r="D20" i="14"/>
  <c r="AD20" i="14" s="1"/>
  <c r="AD20" i="5"/>
  <c r="AC20" i="5"/>
  <c r="AF25" i="6"/>
  <c r="AD25" i="6"/>
  <c r="AC29" i="13"/>
  <c r="D29" i="13"/>
  <c r="AD29" i="13" s="1"/>
  <c r="D5" i="7"/>
  <c r="AC5" i="7"/>
  <c r="C35" i="7"/>
  <c r="AC35" i="7" s="1"/>
  <c r="D17" i="15"/>
  <c r="Q36" i="1"/>
  <c r="F5" i="15" s="1"/>
  <c r="AC25" i="4"/>
  <c r="D25" i="4"/>
  <c r="AD25" i="4" s="1"/>
  <c r="AD8" i="5"/>
  <c r="AC8" i="5"/>
  <c r="D24" i="6"/>
  <c r="AD24" i="6" s="1"/>
  <c r="AC24" i="6"/>
  <c r="D12" i="1"/>
  <c r="AD12" i="1" s="1"/>
  <c r="AC12" i="1"/>
  <c r="D16" i="14"/>
  <c r="AD16" i="14" s="1"/>
  <c r="AC16" i="14"/>
  <c r="D7" i="7"/>
  <c r="AD7" i="7" s="1"/>
  <c r="AC7" i="7"/>
  <c r="AC23" i="7"/>
  <c r="D23" i="7"/>
  <c r="AD23" i="7" s="1"/>
  <c r="D28" i="14"/>
  <c r="AD28" i="14" s="1"/>
  <c r="AC28" i="14"/>
  <c r="D12" i="6"/>
  <c r="AD12" i="6" s="1"/>
  <c r="AC12" i="6"/>
  <c r="D16" i="1"/>
  <c r="AD16" i="1" s="1"/>
  <c r="AC16" i="1"/>
  <c r="D24" i="1"/>
  <c r="AD24" i="1" s="1"/>
  <c r="AC24" i="1"/>
  <c r="AC20" i="1"/>
  <c r="D20" i="1"/>
  <c r="AD20" i="1" s="1"/>
  <c r="D24" i="14"/>
  <c r="AD24" i="14" s="1"/>
  <c r="AC24" i="14"/>
  <c r="AD16" i="5"/>
  <c r="AC16" i="5"/>
  <c r="Q34" i="4"/>
  <c r="F6" i="15" s="1"/>
  <c r="C36" i="13"/>
  <c r="G17" i="15"/>
  <c r="Q36" i="13"/>
  <c r="F4" i="15" s="1"/>
  <c r="AD5" i="13"/>
  <c r="H17" i="15"/>
  <c r="Q35" i="7"/>
  <c r="F8" i="15" s="1"/>
  <c r="Q36" i="6"/>
  <c r="F7" i="15" s="1"/>
  <c r="AC35" i="9" l="1"/>
  <c r="AD35" i="9" s="1"/>
  <c r="C17" i="15"/>
  <c r="AC36" i="8"/>
  <c r="AD36" i="8" s="1"/>
  <c r="AF36" i="6"/>
  <c r="AF36" i="5"/>
  <c r="AC36" i="13"/>
  <c r="AD36" i="13"/>
  <c r="D36" i="13"/>
  <c r="B4" i="15" s="1"/>
  <c r="AD5" i="7"/>
  <c r="D35" i="7"/>
  <c r="AD8" i="14"/>
  <c r="D35" i="14"/>
  <c r="D36" i="6"/>
  <c r="B7" i="15" s="1"/>
  <c r="AD5" i="6"/>
  <c r="AC36" i="5"/>
  <c r="D36" i="1"/>
  <c r="B5" i="15" s="1"/>
  <c r="AD5" i="1"/>
  <c r="AC36" i="6"/>
  <c r="AD36" i="6" s="1"/>
  <c r="D34" i="4"/>
  <c r="AD5" i="4"/>
  <c r="AC36" i="1"/>
  <c r="AD36" i="1" s="1"/>
  <c r="F17" i="15"/>
  <c r="AD5" i="5"/>
  <c r="AD36" i="5" s="1"/>
  <c r="D36" i="5"/>
  <c r="B14" i="15" s="1"/>
  <c r="B6" i="15" l="1"/>
  <c r="AD34" i="4"/>
  <c r="B8" i="15"/>
  <c r="AD35" i="7"/>
  <c r="B3" i="15"/>
  <c r="AD35" i="14"/>
  <c r="B17" i="1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Dave Diedrich</author>
  </authors>
  <commentList>
    <comment ref="B35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Dave Diedrich:</t>
        </r>
        <r>
          <rPr>
            <sz val="9"/>
            <color indexed="81"/>
            <rFont val="Tahoma"/>
            <family val="2"/>
          </rPr>
          <t xml:space="preserve">
Make sure 1st quarter 2018 links are set</t>
        </r>
      </text>
    </comment>
  </commentList>
</comments>
</file>

<file path=xl/sharedStrings.xml><?xml version="1.0" encoding="utf-8"?>
<sst xmlns="http://schemas.openxmlformats.org/spreadsheetml/2006/main" count="462" uniqueCount="18">
  <si>
    <t>gallons</t>
  </si>
  <si>
    <t>MGD</t>
  </si>
  <si>
    <t>AF</t>
  </si>
  <si>
    <t>Standley Pipeline to TTP</t>
  </si>
  <si>
    <t>TTP Production</t>
  </si>
  <si>
    <t>Denver Treated Lease</t>
  </si>
  <si>
    <t>ERWPS to TTP</t>
  </si>
  <si>
    <t>TTP Backwash</t>
  </si>
  <si>
    <t>TOTAL PRODUCTION</t>
  </si>
  <si>
    <t>Water From Standley to EGL #4</t>
  </si>
  <si>
    <t>WBTP Production</t>
  </si>
  <si>
    <t>ERWPS to WBTP</t>
  </si>
  <si>
    <t>WRWPS to WBTP</t>
  </si>
  <si>
    <t>WBTP Backwash</t>
  </si>
  <si>
    <t>TOTAL</t>
  </si>
  <si>
    <t>Standley to EGL #4</t>
  </si>
  <si>
    <t xml:space="preserve">UPDATE LINK </t>
  </si>
  <si>
    <t>Standley to EGL4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</si>
</sst>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;@"/>
  </numFmts>
  <fonts count="7" x14ac:knownFonts="1">
    <font>
      <sz val="10"/>
      <name val="Arial"/>
    </font>
    <font>
      <sz val="8"/>
      <name val="Arial"/>
      <family val="2"/>
    </font>
    <font>
      <b/>
      <sz val="10"/>
      <color indexed="10"/>
      <name val="Arial"/>
      <family val="2"/>
    </font>
    <font>
      <sz val="10"/>
      <name val="Arial"/>
      <family val="2"/>
    </font>
    <font>
      <b/>
      <sz val="10"/>
      <color rgb="FFFF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62">
    <xf numFmtId="0" fontId="0" fillId="0" borderId="0" xfId="0"/>
    <xf numFmtId="16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3" fontId="0" fillId="0" borderId="1" xfId="0" applyNumberFormat="1" applyFill="1" applyBorder="1"/>
    <xf numFmtId="2" fontId="0" fillId="0" borderId="2" xfId="0" applyNumberFormat="1" applyFill="1" applyBorder="1"/>
    <xf numFmtId="2" fontId="0" fillId="0" borderId="4" xfId="0" applyNumberFormat="1" applyFill="1" applyBorder="1"/>
    <xf numFmtId="2" fontId="0" fillId="0" borderId="3" xfId="0" applyNumberFormat="1" applyFill="1" applyBorder="1"/>
    <xf numFmtId="2" fontId="0" fillId="0" borderId="5" xfId="0" applyNumberFormat="1" applyFill="1" applyBorder="1"/>
    <xf numFmtId="16" fontId="0" fillId="0" borderId="0" xfId="0" applyNumberFormat="1" applyBorder="1"/>
    <xf numFmtId="3" fontId="0" fillId="0" borderId="0" xfId="0" applyNumberFormat="1" applyFill="1" applyBorder="1"/>
    <xf numFmtId="0" fontId="0" fillId="0" borderId="0" xfId="0" applyFill="1" applyBorder="1"/>
    <xf numFmtId="2" fontId="0" fillId="0" borderId="0" xfId="0" applyNumberFormat="1" applyFill="1" applyBorder="1"/>
    <xf numFmtId="2" fontId="0" fillId="0" borderId="0" xfId="0" applyNumberFormat="1" applyBorder="1"/>
    <xf numFmtId="2" fontId="0" fillId="0" borderId="2" xfId="0" applyNumberFormat="1" applyFill="1" applyBorder="1" applyAlignment="1">
      <alignment horizontal="center"/>
    </xf>
    <xf numFmtId="2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Border="1"/>
    <xf numFmtId="164" fontId="0" fillId="0" borderId="0" xfId="0" applyNumberFormat="1" applyFill="1" applyBorder="1"/>
    <xf numFmtId="0" fontId="0" fillId="0" borderId="0" xfId="0" applyAlignment="1"/>
    <xf numFmtId="0" fontId="0" fillId="0" borderId="6" xfId="0" applyFill="1" applyBorder="1"/>
    <xf numFmtId="2" fontId="0" fillId="0" borderId="0" xfId="0" applyNumberFormat="1" applyFill="1"/>
    <xf numFmtId="0" fontId="0" fillId="0" borderId="0" xfId="0" applyFill="1" applyAlignment="1"/>
    <xf numFmtId="0" fontId="0" fillId="0" borderId="0" xfId="0" applyFill="1" applyAlignment="1">
      <alignment horizontal="center"/>
    </xf>
    <xf numFmtId="16" fontId="0" fillId="0" borderId="0" xfId="0" applyNumberFormat="1" applyFill="1"/>
    <xf numFmtId="16" fontId="0" fillId="0" borderId="0" xfId="0" applyNumberFormat="1" applyFill="1" applyBorder="1"/>
    <xf numFmtId="2" fontId="0" fillId="0" borderId="6" xfId="0" applyNumberFormat="1" applyFill="1" applyBorder="1"/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Border="1" applyAlignment="1">
      <alignment horizontal="center" wrapText="1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0" xfId="0" applyBorder="1"/>
    <xf numFmtId="2" fontId="0" fillId="0" borderId="10" xfId="0" applyNumberFormat="1" applyBorder="1"/>
    <xf numFmtId="0" fontId="3" fillId="0" borderId="0" xfId="0" applyFont="1" applyFill="1" applyAlignment="1"/>
    <xf numFmtId="0" fontId="0" fillId="2" borderId="0" xfId="0" applyFill="1" applyAlignment="1"/>
    <xf numFmtId="0" fontId="2" fillId="0" borderId="0" xfId="0" applyFont="1" applyFill="1"/>
    <xf numFmtId="0" fontId="3" fillId="0" borderId="0" xfId="1" applyAlignment="1">
      <alignment horizontal="left"/>
    </xf>
    <xf numFmtId="0" fontId="3" fillId="0" borderId="0" xfId="1" applyFill="1" applyBorder="1" applyAlignment="1">
      <alignment horizontal="left"/>
    </xf>
    <xf numFmtId="0" fontId="3" fillId="0" borderId="0" xfId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3" fillId="0" borderId="0" xfId="1" applyFill="1" applyBorder="1" applyAlignment="1">
      <alignment horizontal="center"/>
    </xf>
    <xf numFmtId="17" fontId="3" fillId="0" borderId="0" xfId="1" applyNumberFormat="1"/>
    <xf numFmtId="2" fontId="3" fillId="0" borderId="0" xfId="1" applyNumberFormat="1"/>
    <xf numFmtId="0" fontId="3" fillId="0" borderId="0" xfId="1"/>
    <xf numFmtId="0" fontId="3" fillId="0" borderId="0" xfId="1" applyFont="1"/>
    <xf numFmtId="0" fontId="0" fillId="0" borderId="10" xfId="0" applyFill="1" applyBorder="1" applyAlignment="1">
      <alignment horizontal="center" wrapText="1"/>
    </xf>
    <xf numFmtId="0" fontId="4" fillId="2" borderId="0" xfId="0" applyFont="1" applyFill="1" applyAlignment="1"/>
    <xf numFmtId="3" fontId="0" fillId="3" borderId="1" xfId="0" applyNumberFormat="1" applyFill="1" applyBorder="1"/>
    <xf numFmtId="2" fontId="0" fillId="0" borderId="0" xfId="0" applyNumberFormat="1" applyFill="1" applyBorder="1" applyAlignment="1">
      <alignment horizontal="center"/>
    </xf>
    <xf numFmtId="0" fontId="4" fillId="0" borderId="0" xfId="0" applyFont="1" applyFill="1" applyAlignment="1"/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6" xfId="0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9" defaultPivotStyle="PivotStyleLight16"/>
  <colors>
    <mruColors>
      <color rgb="FFFDFD6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5.xml"/><Relationship Id="rId26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4.xml"/><Relationship Id="rId25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3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2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it-filesrv/ID/CWTP/Operations/2018/2018%20Shift%20Sheet%204Q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it-filesrv/ID/CWTP/Operations/2019/2019%20Shift%20Sheet%201Q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it-filesrv/ID/CWTP/Operations/2019/2019%20Shift%20Sheet%202Q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it-filesrv/ID/CWTP/Operations/2019/2019%20Shift%20Sheet%203Q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it-filesrv/ID/CWTP/Operations/2019/2019%20Shift%20Sheet%204Q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it-filesrv/ID/WR/Accounting/WY2020/Production/Plant%20Production%20WY20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 Hour Data"/>
      <sheetName val="WB Clarifiers"/>
      <sheetName val="WB Chem Flow Changes"/>
      <sheetName val="TTP Chem Flow Changes"/>
      <sheetName val="Midnight Numbers"/>
      <sheetName val="Production Summary"/>
      <sheetName val="Chemical Summary"/>
      <sheetName val="Oct"/>
      <sheetName val="Nov"/>
      <sheetName val="Dec"/>
      <sheetName val="Instrument MTCE"/>
      <sheetName val="2018 Shift Sheet 4Q"/>
    </sheetNames>
    <sheetDataSet>
      <sheetData sheetId="0"/>
      <sheetData sheetId="1"/>
      <sheetData sheetId="2"/>
      <sheetData sheetId="3"/>
      <sheetData sheetId="4"/>
      <sheetData sheetId="5">
        <row r="37">
          <cell r="C37">
            <v>0</v>
          </cell>
          <cell r="E37">
            <v>5000000</v>
          </cell>
          <cell r="F37">
            <v>0</v>
          </cell>
          <cell r="G37">
            <v>7980000</v>
          </cell>
          <cell r="I37">
            <v>0</v>
          </cell>
          <cell r="J37">
            <v>11199999.999998908</v>
          </cell>
          <cell r="T37">
            <v>1253264</v>
          </cell>
          <cell r="AB37">
            <v>0</v>
          </cell>
        </row>
        <row r="38">
          <cell r="C38">
            <v>0</v>
          </cell>
          <cell r="E38">
            <v>6000000</v>
          </cell>
          <cell r="F38">
            <v>0</v>
          </cell>
          <cell r="G38">
            <v>8380000</v>
          </cell>
          <cell r="I38">
            <v>0</v>
          </cell>
          <cell r="J38">
            <v>12400000.000001455</v>
          </cell>
          <cell r="T38">
            <v>1285752</v>
          </cell>
          <cell r="AB38">
            <v>0</v>
          </cell>
        </row>
        <row r="39">
          <cell r="C39">
            <v>0</v>
          </cell>
          <cell r="E39">
            <v>6000000</v>
          </cell>
          <cell r="F39">
            <v>0</v>
          </cell>
          <cell r="G39">
            <v>9300000</v>
          </cell>
          <cell r="I39">
            <v>0</v>
          </cell>
          <cell r="J39">
            <v>13000000</v>
          </cell>
          <cell r="T39">
            <v>1451754</v>
          </cell>
          <cell r="AB39">
            <v>0</v>
          </cell>
        </row>
        <row r="40">
          <cell r="C40">
            <v>0</v>
          </cell>
          <cell r="E40">
            <v>5000000</v>
          </cell>
          <cell r="F40">
            <v>0</v>
          </cell>
          <cell r="G40">
            <v>7860000</v>
          </cell>
          <cell r="I40">
            <v>0</v>
          </cell>
          <cell r="J40">
            <v>11000000</v>
          </cell>
          <cell r="T40">
            <v>1376411</v>
          </cell>
          <cell r="AB40">
            <v>0</v>
          </cell>
        </row>
        <row r="41">
          <cell r="C41">
            <v>0</v>
          </cell>
          <cell r="E41">
            <v>6000000</v>
          </cell>
          <cell r="F41">
            <v>0</v>
          </cell>
          <cell r="G41">
            <v>9040000</v>
          </cell>
          <cell r="I41">
            <v>0</v>
          </cell>
          <cell r="J41">
            <v>13199999.999998908</v>
          </cell>
          <cell r="T41">
            <v>1382609</v>
          </cell>
          <cell r="AB41">
            <v>0</v>
          </cell>
        </row>
        <row r="42">
          <cell r="C42">
            <v>0</v>
          </cell>
          <cell r="E42">
            <v>6000000</v>
          </cell>
          <cell r="F42">
            <v>0</v>
          </cell>
          <cell r="G42">
            <v>8980000</v>
          </cell>
          <cell r="I42">
            <v>0</v>
          </cell>
          <cell r="J42">
            <v>13000000</v>
          </cell>
          <cell r="T42">
            <v>1355534</v>
          </cell>
          <cell r="AB42">
            <v>0</v>
          </cell>
        </row>
        <row r="43">
          <cell r="C43">
            <v>0</v>
          </cell>
          <cell r="E43">
            <v>6000000</v>
          </cell>
          <cell r="F43">
            <v>0</v>
          </cell>
          <cell r="G43">
            <v>8580000</v>
          </cell>
          <cell r="I43">
            <v>0</v>
          </cell>
          <cell r="J43">
            <v>12399999.999999637</v>
          </cell>
          <cell r="T43">
            <v>1322461</v>
          </cell>
          <cell r="AB43">
            <v>0</v>
          </cell>
        </row>
        <row r="44">
          <cell r="C44">
            <v>0</v>
          </cell>
          <cell r="E44">
            <v>6000000</v>
          </cell>
          <cell r="F44">
            <v>0</v>
          </cell>
          <cell r="G44">
            <v>7490000</v>
          </cell>
          <cell r="I44">
            <v>0</v>
          </cell>
          <cell r="J44">
            <v>10800000.000001092</v>
          </cell>
          <cell r="T44">
            <v>1377586</v>
          </cell>
          <cell r="AB44">
            <v>0</v>
          </cell>
        </row>
        <row r="45">
          <cell r="C45">
            <v>0</v>
          </cell>
          <cell r="E45">
            <v>5000000</v>
          </cell>
          <cell r="F45">
            <v>0</v>
          </cell>
          <cell r="G45">
            <v>8150000</v>
          </cell>
          <cell r="I45">
            <v>0</v>
          </cell>
          <cell r="J45">
            <v>11699999.999998908</v>
          </cell>
          <cell r="T45">
            <v>1365635</v>
          </cell>
          <cell r="AB45">
            <v>0</v>
          </cell>
        </row>
        <row r="46">
          <cell r="C46">
            <v>0</v>
          </cell>
          <cell r="E46">
            <v>6000000</v>
          </cell>
          <cell r="F46">
            <v>0</v>
          </cell>
          <cell r="G46">
            <v>8990000</v>
          </cell>
          <cell r="I46">
            <v>0</v>
          </cell>
          <cell r="J46">
            <v>13000000</v>
          </cell>
          <cell r="T46">
            <v>1376418</v>
          </cell>
          <cell r="AB46">
            <v>0</v>
          </cell>
        </row>
        <row r="47">
          <cell r="C47">
            <v>0</v>
          </cell>
          <cell r="E47">
            <v>6000000</v>
          </cell>
          <cell r="F47">
            <v>0</v>
          </cell>
          <cell r="G47">
            <v>8300000</v>
          </cell>
          <cell r="I47">
            <v>0</v>
          </cell>
          <cell r="J47">
            <v>12100000.000000363</v>
          </cell>
          <cell r="T47">
            <v>1499099</v>
          </cell>
          <cell r="AB47">
            <v>0</v>
          </cell>
        </row>
        <row r="48">
          <cell r="C48">
            <v>0</v>
          </cell>
          <cell r="E48">
            <v>6000000</v>
          </cell>
          <cell r="F48">
            <v>0</v>
          </cell>
          <cell r="G48">
            <v>8860000</v>
          </cell>
          <cell r="I48">
            <v>0</v>
          </cell>
          <cell r="J48">
            <v>12500000</v>
          </cell>
          <cell r="T48">
            <v>1472625</v>
          </cell>
          <cell r="AB48">
            <v>0</v>
          </cell>
        </row>
        <row r="49">
          <cell r="C49">
            <v>4490000</v>
          </cell>
          <cell r="E49">
            <v>5000000</v>
          </cell>
          <cell r="F49">
            <v>0</v>
          </cell>
          <cell r="G49">
            <v>8930000</v>
          </cell>
          <cell r="I49">
            <v>4447700</v>
          </cell>
          <cell r="J49">
            <v>12100000.000000363</v>
          </cell>
          <cell r="T49">
            <v>1568827</v>
          </cell>
          <cell r="AB49">
            <v>39800</v>
          </cell>
        </row>
        <row r="50">
          <cell r="C50">
            <v>5959000</v>
          </cell>
          <cell r="E50">
            <v>0</v>
          </cell>
          <cell r="F50">
            <v>0</v>
          </cell>
          <cell r="G50">
            <v>8070000</v>
          </cell>
          <cell r="I50">
            <v>5763000.0000000019</v>
          </cell>
          <cell r="J50">
            <v>6399999.9999996359</v>
          </cell>
          <cell r="T50">
            <v>1043623</v>
          </cell>
          <cell r="AB50">
            <v>192999.99999999785</v>
          </cell>
        </row>
        <row r="51">
          <cell r="C51">
            <v>6304000</v>
          </cell>
          <cell r="E51">
            <v>0</v>
          </cell>
          <cell r="F51">
            <v>0</v>
          </cell>
          <cell r="G51">
            <v>7190000</v>
          </cell>
          <cell r="I51">
            <v>6204999.9999999963</v>
          </cell>
          <cell r="J51">
            <v>6300000.0000010915</v>
          </cell>
          <cell r="T51">
            <v>819032</v>
          </cell>
          <cell r="AB51">
            <v>96000.000000003638</v>
          </cell>
        </row>
        <row r="52">
          <cell r="C52">
            <v>7042000</v>
          </cell>
          <cell r="E52">
            <v>0</v>
          </cell>
          <cell r="F52">
            <v>0</v>
          </cell>
          <cell r="G52">
            <v>6530000</v>
          </cell>
          <cell r="I52">
            <v>6484000.0000000075</v>
          </cell>
          <cell r="J52">
            <v>5299999.9999992726</v>
          </cell>
          <cell r="T52">
            <v>821107</v>
          </cell>
          <cell r="AB52">
            <v>554999.99999999267</v>
          </cell>
        </row>
        <row r="53">
          <cell r="C53">
            <v>6337000</v>
          </cell>
          <cell r="E53">
            <v>0</v>
          </cell>
          <cell r="F53">
            <v>0</v>
          </cell>
          <cell r="G53">
            <v>6360000</v>
          </cell>
          <cell r="I53">
            <v>6034999.9999999888</v>
          </cell>
          <cell r="J53">
            <v>5000000</v>
          </cell>
          <cell r="T53">
            <v>771369</v>
          </cell>
          <cell r="AB53">
            <v>297000.00000001123</v>
          </cell>
        </row>
        <row r="54">
          <cell r="C54">
            <v>6974000</v>
          </cell>
          <cell r="E54">
            <v>0</v>
          </cell>
          <cell r="F54">
            <v>0</v>
          </cell>
          <cell r="G54">
            <v>7580000</v>
          </cell>
          <cell r="I54">
            <v>6606000</v>
          </cell>
          <cell r="J54">
            <v>6200000.0000007274</v>
          </cell>
          <cell r="T54">
            <v>858174</v>
          </cell>
          <cell r="AB54">
            <v>362999.99999999953</v>
          </cell>
        </row>
        <row r="55">
          <cell r="C55">
            <v>7733000</v>
          </cell>
          <cell r="E55">
            <v>0</v>
          </cell>
          <cell r="F55">
            <v>0</v>
          </cell>
          <cell r="G55">
            <v>7540000</v>
          </cell>
          <cell r="I55">
            <v>7020000.0000000112</v>
          </cell>
          <cell r="J55">
            <v>5899999.9999996359</v>
          </cell>
          <cell r="T55">
            <v>912978</v>
          </cell>
          <cell r="AB55">
            <v>708999.99999998894</v>
          </cell>
        </row>
        <row r="56">
          <cell r="C56">
            <v>7674000</v>
          </cell>
          <cell r="E56">
            <v>0</v>
          </cell>
          <cell r="F56">
            <v>0</v>
          </cell>
          <cell r="G56">
            <v>7330000</v>
          </cell>
          <cell r="I56">
            <v>6867999.9999999981</v>
          </cell>
          <cell r="J56">
            <v>6299999.9999992726</v>
          </cell>
          <cell r="T56">
            <v>775345</v>
          </cell>
          <cell r="AB56">
            <v>801000.00000000198</v>
          </cell>
        </row>
        <row r="57">
          <cell r="C57">
            <v>6273000</v>
          </cell>
          <cell r="E57">
            <v>0</v>
          </cell>
          <cell r="F57">
            <v>0</v>
          </cell>
          <cell r="G57">
            <v>6400000</v>
          </cell>
          <cell r="I57">
            <v>5947000.0000000019</v>
          </cell>
          <cell r="J57">
            <v>4899999.9999996359</v>
          </cell>
          <cell r="T57">
            <v>851847</v>
          </cell>
          <cell r="AB57">
            <v>320999.99999999796</v>
          </cell>
        </row>
        <row r="58">
          <cell r="C58">
            <v>7003000</v>
          </cell>
          <cell r="E58">
            <v>0</v>
          </cell>
          <cell r="F58">
            <v>0</v>
          </cell>
          <cell r="G58">
            <v>7510000</v>
          </cell>
          <cell r="I58">
            <v>6808999.9999999925</v>
          </cell>
          <cell r="J58">
            <v>6000000</v>
          </cell>
          <cell r="T58">
            <v>894252</v>
          </cell>
          <cell r="AB58">
            <v>192000.00000000728</v>
          </cell>
        </row>
        <row r="59">
          <cell r="C59">
            <v>7927000</v>
          </cell>
          <cell r="E59">
            <v>0</v>
          </cell>
          <cell r="F59">
            <v>0</v>
          </cell>
          <cell r="G59">
            <v>7710000</v>
          </cell>
          <cell r="I59">
            <v>7548999.9999999953</v>
          </cell>
          <cell r="J59">
            <v>6700000.0000007274</v>
          </cell>
          <cell r="T59">
            <v>927701</v>
          </cell>
          <cell r="AB59">
            <v>373000.00000000466</v>
          </cell>
        </row>
        <row r="60">
          <cell r="C60">
            <v>7164000</v>
          </cell>
          <cell r="E60">
            <v>0</v>
          </cell>
          <cell r="F60">
            <v>0</v>
          </cell>
          <cell r="G60">
            <v>7090000</v>
          </cell>
          <cell r="I60">
            <v>6794000.0000000102</v>
          </cell>
          <cell r="J60">
            <v>5100000.0000003641</v>
          </cell>
          <cell r="T60">
            <v>843530</v>
          </cell>
          <cell r="AB60">
            <v>363999.9999999901</v>
          </cell>
        </row>
        <row r="61">
          <cell r="C61">
            <v>5961000</v>
          </cell>
          <cell r="E61">
            <v>0</v>
          </cell>
          <cell r="F61">
            <v>0</v>
          </cell>
          <cell r="G61">
            <v>6420000</v>
          </cell>
          <cell r="I61">
            <v>5682999.9999999944</v>
          </cell>
          <cell r="J61">
            <v>5199999.9999989085</v>
          </cell>
          <cell r="T61">
            <v>725777</v>
          </cell>
          <cell r="AB61">
            <v>275000.0000000057</v>
          </cell>
        </row>
        <row r="62">
          <cell r="C62">
            <v>6443000</v>
          </cell>
          <cell r="E62">
            <v>0</v>
          </cell>
          <cell r="F62">
            <v>0</v>
          </cell>
          <cell r="G62">
            <v>6520000</v>
          </cell>
          <cell r="I62">
            <v>6095000.0000000056</v>
          </cell>
          <cell r="J62">
            <v>5600000.0000003641</v>
          </cell>
          <cell r="T62">
            <v>836408.66666666663</v>
          </cell>
          <cell r="AB62">
            <v>340999.99999999395</v>
          </cell>
        </row>
        <row r="63">
          <cell r="C63">
            <v>8869000</v>
          </cell>
          <cell r="E63">
            <v>0</v>
          </cell>
          <cell r="F63">
            <v>0</v>
          </cell>
          <cell r="G63">
            <v>5990000</v>
          </cell>
          <cell r="I63">
            <v>8715999.9999999981</v>
          </cell>
          <cell r="J63">
            <v>4800000.0000010915</v>
          </cell>
          <cell r="T63">
            <v>726580.1</v>
          </cell>
          <cell r="AB63">
            <v>152000.00000000102</v>
          </cell>
        </row>
        <row r="64">
          <cell r="C64">
            <v>8118000</v>
          </cell>
          <cell r="E64">
            <v>0</v>
          </cell>
          <cell r="F64">
            <v>0</v>
          </cell>
          <cell r="G64">
            <v>6070000</v>
          </cell>
          <cell r="I64">
            <v>7882000.0000000009</v>
          </cell>
          <cell r="J64">
            <v>5199999.9999989085</v>
          </cell>
          <cell r="T64">
            <v>644474</v>
          </cell>
          <cell r="AB64">
            <v>231999.99999999933</v>
          </cell>
        </row>
        <row r="65">
          <cell r="C65">
            <v>9005000</v>
          </cell>
          <cell r="E65">
            <v>0</v>
          </cell>
          <cell r="F65">
            <v>0</v>
          </cell>
          <cell r="G65">
            <v>2150000</v>
          </cell>
          <cell r="I65">
            <v>8619000</v>
          </cell>
          <cell r="J65">
            <v>2700000.0000007274</v>
          </cell>
          <cell r="T65">
            <v>205717</v>
          </cell>
          <cell r="AB65">
            <v>381000.00000000023</v>
          </cell>
        </row>
        <row r="66">
          <cell r="C66">
            <v>12394000</v>
          </cell>
          <cell r="E66">
            <v>0</v>
          </cell>
          <cell r="F66">
            <v>0</v>
          </cell>
          <cell r="G66">
            <v>0</v>
          </cell>
          <cell r="I66">
            <v>11932999.999999996</v>
          </cell>
          <cell r="J66">
            <v>0</v>
          </cell>
          <cell r="T66">
            <v>0</v>
          </cell>
          <cell r="AB66">
            <v>453000.00000000297</v>
          </cell>
        </row>
        <row r="67">
          <cell r="C67">
            <v>12471000</v>
          </cell>
          <cell r="E67">
            <v>0</v>
          </cell>
          <cell r="F67">
            <v>0</v>
          </cell>
          <cell r="G67">
            <v>0</v>
          </cell>
          <cell r="I67">
            <v>11972000.000000006</v>
          </cell>
          <cell r="J67">
            <v>0</v>
          </cell>
          <cell r="T67">
            <v>39651</v>
          </cell>
          <cell r="AB67">
            <v>492999.99999999499</v>
          </cell>
        </row>
        <row r="68">
          <cell r="C68">
            <v>12603000</v>
          </cell>
          <cell r="E68">
            <v>0</v>
          </cell>
          <cell r="F68">
            <v>0</v>
          </cell>
          <cell r="G68">
            <v>0</v>
          </cell>
          <cell r="I68">
            <v>12209999.999999994</v>
          </cell>
          <cell r="J68">
            <v>0</v>
          </cell>
          <cell r="T68">
            <v>0</v>
          </cell>
          <cell r="AB68">
            <v>388000.00000000524</v>
          </cell>
        </row>
        <row r="69">
          <cell r="C69">
            <v>12462000</v>
          </cell>
          <cell r="E69">
            <v>0</v>
          </cell>
          <cell r="F69">
            <v>0</v>
          </cell>
          <cell r="G69">
            <v>0</v>
          </cell>
          <cell r="I69">
            <v>12144000.000000002</v>
          </cell>
          <cell r="J69">
            <v>0</v>
          </cell>
          <cell r="T69">
            <v>0</v>
          </cell>
          <cell r="AB69">
            <v>311999.99999999761</v>
          </cell>
        </row>
        <row r="70">
          <cell r="C70">
            <v>12482000</v>
          </cell>
          <cell r="E70">
            <v>0</v>
          </cell>
          <cell r="F70">
            <v>0</v>
          </cell>
          <cell r="G70">
            <v>0</v>
          </cell>
          <cell r="I70">
            <v>12097000</v>
          </cell>
          <cell r="J70">
            <v>0</v>
          </cell>
          <cell r="T70">
            <v>81150</v>
          </cell>
          <cell r="AB70">
            <v>378000.00000000012</v>
          </cell>
        </row>
        <row r="71">
          <cell r="C71">
            <v>12555000</v>
          </cell>
          <cell r="E71">
            <v>0</v>
          </cell>
          <cell r="F71">
            <v>0</v>
          </cell>
          <cell r="G71">
            <v>0</v>
          </cell>
          <cell r="I71">
            <v>12192000</v>
          </cell>
          <cell r="J71">
            <v>0</v>
          </cell>
          <cell r="T71">
            <v>0</v>
          </cell>
          <cell r="AB71">
            <v>356999.9999999993</v>
          </cell>
        </row>
        <row r="72">
          <cell r="C72">
            <v>12379000</v>
          </cell>
          <cell r="E72">
            <v>0</v>
          </cell>
          <cell r="F72">
            <v>0</v>
          </cell>
          <cell r="G72">
            <v>0</v>
          </cell>
          <cell r="I72">
            <v>12058999.999999998</v>
          </cell>
          <cell r="J72">
            <v>0</v>
          </cell>
          <cell r="T72">
            <v>0</v>
          </cell>
          <cell r="AB72">
            <v>313000.00000000239</v>
          </cell>
        </row>
        <row r="73">
          <cell r="C73">
            <v>11299000</v>
          </cell>
          <cell r="E73">
            <v>0</v>
          </cell>
          <cell r="F73">
            <v>0</v>
          </cell>
          <cell r="G73">
            <v>0</v>
          </cell>
          <cell r="I73">
            <v>10966000.000000002</v>
          </cell>
          <cell r="J73">
            <v>0</v>
          </cell>
          <cell r="T73">
            <v>0</v>
          </cell>
          <cell r="AB73">
            <v>326999.9999999982</v>
          </cell>
        </row>
        <row r="74">
          <cell r="C74">
            <v>11530000</v>
          </cell>
          <cell r="E74">
            <v>0</v>
          </cell>
          <cell r="F74">
            <v>0</v>
          </cell>
          <cell r="G74">
            <v>0</v>
          </cell>
          <cell r="I74">
            <v>11285999.999999996</v>
          </cell>
          <cell r="J74">
            <v>0</v>
          </cell>
          <cell r="T74">
            <v>34297</v>
          </cell>
          <cell r="AB74">
            <v>239000.00000000431</v>
          </cell>
        </row>
        <row r="75">
          <cell r="C75">
            <v>12453000</v>
          </cell>
          <cell r="E75">
            <v>0</v>
          </cell>
          <cell r="F75">
            <v>0</v>
          </cell>
          <cell r="G75">
            <v>0</v>
          </cell>
          <cell r="I75">
            <v>12114999.999999996</v>
          </cell>
          <cell r="J75">
            <v>0</v>
          </cell>
          <cell r="T75">
            <v>0</v>
          </cell>
          <cell r="AB75">
            <v>331000.00000000309</v>
          </cell>
        </row>
        <row r="76">
          <cell r="C76">
            <v>14120000</v>
          </cell>
          <cell r="E76">
            <v>0</v>
          </cell>
          <cell r="F76">
            <v>0</v>
          </cell>
          <cell r="G76">
            <v>0</v>
          </cell>
          <cell r="I76">
            <v>13758000.000000006</v>
          </cell>
          <cell r="J76">
            <v>0</v>
          </cell>
          <cell r="T76">
            <v>0</v>
          </cell>
          <cell r="AB76">
            <v>355999.99999999453</v>
          </cell>
        </row>
        <row r="77">
          <cell r="C77">
            <v>14282000</v>
          </cell>
          <cell r="E77">
            <v>0</v>
          </cell>
          <cell r="F77">
            <v>0</v>
          </cell>
          <cell r="G77">
            <v>0</v>
          </cell>
          <cell r="I77">
            <v>13918000</v>
          </cell>
          <cell r="J77">
            <v>0</v>
          </cell>
          <cell r="T77">
            <v>0</v>
          </cell>
          <cell r="AB77">
            <v>356999.9999999993</v>
          </cell>
        </row>
        <row r="78">
          <cell r="C78">
            <v>12420000</v>
          </cell>
          <cell r="E78">
            <v>0</v>
          </cell>
          <cell r="F78">
            <v>0</v>
          </cell>
          <cell r="G78">
            <v>0</v>
          </cell>
          <cell r="I78">
            <v>11979999.999999998</v>
          </cell>
          <cell r="J78">
            <v>0</v>
          </cell>
          <cell r="T78">
            <v>0</v>
          </cell>
          <cell r="AB78">
            <v>432000.00000000215</v>
          </cell>
        </row>
        <row r="79">
          <cell r="C79">
            <v>11469000</v>
          </cell>
          <cell r="E79">
            <v>0</v>
          </cell>
          <cell r="F79">
            <v>0</v>
          </cell>
          <cell r="G79">
            <v>0</v>
          </cell>
          <cell r="I79">
            <v>11089999.999999996</v>
          </cell>
          <cell r="J79">
            <v>0</v>
          </cell>
          <cell r="T79">
            <v>0</v>
          </cell>
          <cell r="AB79">
            <v>373000.00000000466</v>
          </cell>
        </row>
        <row r="80">
          <cell r="C80">
            <v>11983000</v>
          </cell>
          <cell r="E80">
            <v>0</v>
          </cell>
          <cell r="F80">
            <v>0</v>
          </cell>
          <cell r="G80">
            <v>0</v>
          </cell>
          <cell r="I80">
            <v>11736000.000000009</v>
          </cell>
          <cell r="J80">
            <v>0</v>
          </cell>
          <cell r="T80">
            <v>0</v>
          </cell>
          <cell r="AB80">
            <v>241999.99999999022</v>
          </cell>
        </row>
        <row r="81">
          <cell r="C81">
            <v>12593000</v>
          </cell>
          <cell r="E81">
            <v>0</v>
          </cell>
          <cell r="F81">
            <v>0</v>
          </cell>
          <cell r="G81">
            <v>0</v>
          </cell>
          <cell r="I81">
            <v>12191000</v>
          </cell>
          <cell r="J81">
            <v>0</v>
          </cell>
          <cell r="T81">
            <v>0</v>
          </cell>
          <cell r="AB81">
            <v>393000.0000000007</v>
          </cell>
        </row>
        <row r="82">
          <cell r="C82">
            <v>13098000</v>
          </cell>
          <cell r="E82">
            <v>0</v>
          </cell>
          <cell r="F82">
            <v>0</v>
          </cell>
          <cell r="G82">
            <v>0</v>
          </cell>
          <cell r="I82">
            <v>12797999.999999998</v>
          </cell>
          <cell r="J82">
            <v>0</v>
          </cell>
          <cell r="T82">
            <v>0</v>
          </cell>
          <cell r="AB82">
            <v>295000.00000000169</v>
          </cell>
        </row>
        <row r="83">
          <cell r="C83">
            <v>13277000</v>
          </cell>
          <cell r="E83">
            <v>0</v>
          </cell>
          <cell r="F83">
            <v>0</v>
          </cell>
          <cell r="G83">
            <v>0</v>
          </cell>
          <cell r="I83">
            <v>12907000</v>
          </cell>
          <cell r="J83">
            <v>0</v>
          </cell>
          <cell r="T83">
            <v>12539</v>
          </cell>
          <cell r="AB83">
            <v>362999.99999999953</v>
          </cell>
        </row>
        <row r="84">
          <cell r="C84">
            <v>13502000</v>
          </cell>
          <cell r="E84">
            <v>0</v>
          </cell>
          <cell r="F84">
            <v>0</v>
          </cell>
          <cell r="G84">
            <v>0</v>
          </cell>
          <cell r="I84">
            <v>13006000</v>
          </cell>
          <cell r="J84">
            <v>0</v>
          </cell>
          <cell r="T84">
            <v>0</v>
          </cell>
          <cell r="AB84">
            <v>484999.99999999942</v>
          </cell>
        </row>
        <row r="85">
          <cell r="C85">
            <v>13256000</v>
          </cell>
          <cell r="E85">
            <v>0</v>
          </cell>
          <cell r="F85">
            <v>0</v>
          </cell>
          <cell r="G85">
            <v>0</v>
          </cell>
          <cell r="I85">
            <v>12872999.999999994</v>
          </cell>
          <cell r="J85">
            <v>0</v>
          </cell>
          <cell r="T85">
            <v>75479</v>
          </cell>
          <cell r="AB85">
            <v>376000.00000000477</v>
          </cell>
        </row>
        <row r="86">
          <cell r="C86">
            <v>11934000</v>
          </cell>
          <cell r="E86">
            <v>0</v>
          </cell>
          <cell r="F86">
            <v>0</v>
          </cell>
          <cell r="G86">
            <v>0</v>
          </cell>
          <cell r="I86">
            <v>11642000.000000007</v>
          </cell>
          <cell r="J86">
            <v>0</v>
          </cell>
          <cell r="T86">
            <v>0</v>
          </cell>
          <cell r="AB86">
            <v>286999.99999999191</v>
          </cell>
        </row>
        <row r="87">
          <cell r="C87">
            <v>11035000</v>
          </cell>
          <cell r="E87">
            <v>0</v>
          </cell>
          <cell r="F87">
            <v>0</v>
          </cell>
          <cell r="G87">
            <v>0</v>
          </cell>
          <cell r="I87">
            <v>10641999.999999994</v>
          </cell>
          <cell r="J87">
            <v>0</v>
          </cell>
          <cell r="T87">
            <v>80974</v>
          </cell>
          <cell r="AB87">
            <v>385000.00000000512</v>
          </cell>
        </row>
        <row r="88">
          <cell r="C88">
            <v>12413000</v>
          </cell>
          <cell r="E88">
            <v>0</v>
          </cell>
          <cell r="F88">
            <v>0</v>
          </cell>
          <cell r="G88">
            <v>0</v>
          </cell>
          <cell r="I88">
            <v>12175000</v>
          </cell>
          <cell r="J88">
            <v>0</v>
          </cell>
          <cell r="T88">
            <v>0</v>
          </cell>
          <cell r="AB88">
            <v>234999.99999999942</v>
          </cell>
        </row>
        <row r="89">
          <cell r="C89">
            <v>12551000</v>
          </cell>
          <cell r="E89">
            <v>0</v>
          </cell>
          <cell r="F89">
            <v>0</v>
          </cell>
          <cell r="G89">
            <v>0</v>
          </cell>
          <cell r="I89">
            <v>12163999.999999994</v>
          </cell>
          <cell r="J89">
            <v>0</v>
          </cell>
          <cell r="T89">
            <v>9966</v>
          </cell>
          <cell r="AB89">
            <v>379000.00000000489</v>
          </cell>
        </row>
        <row r="90">
          <cell r="C90">
            <v>13036000</v>
          </cell>
          <cell r="E90">
            <v>0</v>
          </cell>
          <cell r="F90">
            <v>0</v>
          </cell>
          <cell r="G90">
            <v>0</v>
          </cell>
          <cell r="I90">
            <v>12717999.999999998</v>
          </cell>
          <cell r="J90">
            <v>0</v>
          </cell>
          <cell r="T90">
            <v>21427</v>
          </cell>
          <cell r="AB90">
            <v>310000.00000000227</v>
          </cell>
        </row>
        <row r="91">
          <cell r="C91">
            <v>13161000</v>
          </cell>
          <cell r="E91">
            <v>0</v>
          </cell>
          <cell r="F91">
            <v>0</v>
          </cell>
          <cell r="G91">
            <v>0</v>
          </cell>
          <cell r="I91">
            <v>12757000.000000009</v>
          </cell>
          <cell r="J91">
            <v>0</v>
          </cell>
          <cell r="T91">
            <v>231774</v>
          </cell>
          <cell r="AB91">
            <v>396999.99999999139</v>
          </cell>
        </row>
        <row r="92">
          <cell r="C92">
            <v>11809000</v>
          </cell>
          <cell r="E92">
            <v>0</v>
          </cell>
          <cell r="F92">
            <v>0</v>
          </cell>
          <cell r="G92">
            <v>0</v>
          </cell>
          <cell r="I92">
            <v>11445999.999999991</v>
          </cell>
          <cell r="J92">
            <v>0</v>
          </cell>
          <cell r="T92">
            <v>0</v>
          </cell>
          <cell r="AB92">
            <v>356000.00000000873</v>
          </cell>
        </row>
        <row r="93">
          <cell r="C93">
            <v>12556000</v>
          </cell>
          <cell r="E93">
            <v>0</v>
          </cell>
          <cell r="F93">
            <v>0</v>
          </cell>
          <cell r="G93">
            <v>0</v>
          </cell>
          <cell r="I93">
            <v>12246000.000000013</v>
          </cell>
          <cell r="J93">
            <v>0</v>
          </cell>
          <cell r="T93">
            <v>0</v>
          </cell>
          <cell r="AB93">
            <v>303999.99999998783</v>
          </cell>
        </row>
        <row r="94">
          <cell r="C94">
            <v>10890000</v>
          </cell>
          <cell r="E94">
            <v>0</v>
          </cell>
          <cell r="F94">
            <v>0</v>
          </cell>
          <cell r="G94">
            <v>0</v>
          </cell>
          <cell r="I94">
            <v>10519999.999999991</v>
          </cell>
          <cell r="J94">
            <v>0</v>
          </cell>
          <cell r="T94">
            <v>0</v>
          </cell>
          <cell r="AB94">
            <v>362000.00000000896</v>
          </cell>
        </row>
        <row r="95">
          <cell r="C95">
            <v>11744000</v>
          </cell>
          <cell r="E95">
            <v>0</v>
          </cell>
          <cell r="F95">
            <v>0</v>
          </cell>
          <cell r="G95">
            <v>0</v>
          </cell>
          <cell r="I95">
            <v>11504000.000000009</v>
          </cell>
          <cell r="J95">
            <v>0</v>
          </cell>
          <cell r="T95">
            <v>0</v>
          </cell>
          <cell r="AB95">
            <v>235999.99999998999</v>
          </cell>
        </row>
        <row r="96">
          <cell r="C96">
            <v>13498000</v>
          </cell>
          <cell r="E96">
            <v>0</v>
          </cell>
          <cell r="F96">
            <v>0</v>
          </cell>
          <cell r="G96">
            <v>0</v>
          </cell>
          <cell r="I96">
            <v>13121000</v>
          </cell>
          <cell r="J96">
            <v>0</v>
          </cell>
          <cell r="T96">
            <v>0</v>
          </cell>
          <cell r="AB96">
            <v>368999.99999999977</v>
          </cell>
        </row>
        <row r="97">
          <cell r="C97">
            <v>12453000</v>
          </cell>
          <cell r="E97">
            <v>0</v>
          </cell>
          <cell r="F97">
            <v>0</v>
          </cell>
          <cell r="G97">
            <v>0</v>
          </cell>
          <cell r="I97">
            <v>12041999.999999994</v>
          </cell>
          <cell r="J97">
            <v>0</v>
          </cell>
          <cell r="T97">
            <v>0</v>
          </cell>
          <cell r="AB97">
            <v>403000.00000000582</v>
          </cell>
        </row>
      </sheetData>
      <sheetData sheetId="6"/>
      <sheetData sheetId="7"/>
      <sheetData sheetId="8"/>
      <sheetData sheetId="9"/>
      <sheetData sheetId="10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 Hour Data"/>
      <sheetName val="WB Clarifiers"/>
      <sheetName val="WB Chem Flow Changes"/>
      <sheetName val="TTP Chem Flow Changes"/>
      <sheetName val="Midnight Numbers"/>
      <sheetName val="Production Summary"/>
      <sheetName val="Chemical Summary"/>
      <sheetName val="Jan"/>
      <sheetName val="Feb"/>
      <sheetName val="Mar"/>
    </sheetNames>
    <sheetDataSet>
      <sheetData sheetId="0"/>
      <sheetData sheetId="1"/>
      <sheetData sheetId="2"/>
      <sheetData sheetId="3"/>
      <sheetData sheetId="4"/>
      <sheetData sheetId="5">
        <row r="6">
          <cell r="C6">
            <v>13010000</v>
          </cell>
          <cell r="E6">
            <v>0</v>
          </cell>
          <cell r="F6">
            <v>0</v>
          </cell>
          <cell r="G6">
            <v>0</v>
          </cell>
          <cell r="I6">
            <v>12665999.999999993</v>
          </cell>
          <cell r="J6">
            <v>0</v>
          </cell>
          <cell r="T6">
            <v>0</v>
          </cell>
          <cell r="AB6">
            <v>338000.00000000809</v>
          </cell>
        </row>
        <row r="7">
          <cell r="C7">
            <v>12009000</v>
          </cell>
          <cell r="E7">
            <v>0</v>
          </cell>
          <cell r="F7">
            <v>0</v>
          </cell>
          <cell r="G7">
            <v>0</v>
          </cell>
          <cell r="I7">
            <v>11676000.000000011</v>
          </cell>
          <cell r="J7">
            <v>0</v>
          </cell>
          <cell r="T7">
            <v>0</v>
          </cell>
          <cell r="AB7">
            <v>324999.99999998865</v>
          </cell>
        </row>
        <row r="8">
          <cell r="C8">
            <v>12464000</v>
          </cell>
          <cell r="E8">
            <v>0</v>
          </cell>
          <cell r="F8">
            <v>0</v>
          </cell>
          <cell r="G8">
            <v>0</v>
          </cell>
          <cell r="I8">
            <v>12188999.999999989</v>
          </cell>
          <cell r="J8">
            <v>0</v>
          </cell>
          <cell r="T8">
            <v>0</v>
          </cell>
          <cell r="AB8">
            <v>270000.00000001024</v>
          </cell>
        </row>
        <row r="9">
          <cell r="C9">
            <v>12160666.666699573</v>
          </cell>
          <cell r="E9">
            <v>0</v>
          </cell>
          <cell r="F9">
            <v>0</v>
          </cell>
          <cell r="G9">
            <v>0</v>
          </cell>
          <cell r="I9">
            <v>11847000.000032874</v>
          </cell>
          <cell r="J9">
            <v>0</v>
          </cell>
          <cell r="T9">
            <v>0</v>
          </cell>
          <cell r="AB9">
            <v>306666.66666670039</v>
          </cell>
        </row>
        <row r="10">
          <cell r="C10">
            <v>13121333.333300427</v>
          </cell>
          <cell r="E10">
            <v>0</v>
          </cell>
          <cell r="F10">
            <v>0</v>
          </cell>
          <cell r="G10">
            <v>0</v>
          </cell>
          <cell r="I10">
            <v>12598999.99996713</v>
          </cell>
          <cell r="J10">
            <v>0</v>
          </cell>
          <cell r="T10">
            <v>0</v>
          </cell>
          <cell r="AB10">
            <v>514333.33333329757</v>
          </cell>
        </row>
        <row r="11">
          <cell r="C11">
            <v>12799000</v>
          </cell>
          <cell r="E11">
            <v>0</v>
          </cell>
          <cell r="F11">
            <v>0</v>
          </cell>
          <cell r="G11">
            <v>0</v>
          </cell>
          <cell r="I11">
            <v>12516000.000000004</v>
          </cell>
          <cell r="J11">
            <v>0</v>
          </cell>
          <cell r="T11">
            <v>0</v>
          </cell>
          <cell r="AB11">
            <v>278999.99999999639</v>
          </cell>
        </row>
        <row r="12">
          <cell r="C12">
            <v>13283000</v>
          </cell>
          <cell r="E12">
            <v>0</v>
          </cell>
          <cell r="F12">
            <v>0</v>
          </cell>
          <cell r="G12">
            <v>0</v>
          </cell>
          <cell r="I12">
            <v>12889999.999999994</v>
          </cell>
          <cell r="J12">
            <v>0</v>
          </cell>
          <cell r="T12">
            <v>0</v>
          </cell>
          <cell r="AB12">
            <v>385000.00000000512</v>
          </cell>
        </row>
        <row r="13">
          <cell r="C13">
            <v>13823000</v>
          </cell>
          <cell r="E13">
            <v>0</v>
          </cell>
          <cell r="F13">
            <v>0</v>
          </cell>
          <cell r="G13">
            <v>0</v>
          </cell>
          <cell r="I13">
            <v>13512000.000000013</v>
          </cell>
          <cell r="J13">
            <v>0</v>
          </cell>
          <cell r="T13">
            <v>0</v>
          </cell>
          <cell r="AB13">
            <v>303999.99999998783</v>
          </cell>
        </row>
        <row r="14">
          <cell r="C14">
            <v>12509000</v>
          </cell>
          <cell r="E14">
            <v>0</v>
          </cell>
          <cell r="F14">
            <v>0</v>
          </cell>
          <cell r="G14">
            <v>0</v>
          </cell>
          <cell r="I14">
            <v>12213999.999999994</v>
          </cell>
          <cell r="J14">
            <v>0</v>
          </cell>
          <cell r="T14">
            <v>0</v>
          </cell>
          <cell r="AB14">
            <v>290000.00000000623</v>
          </cell>
        </row>
        <row r="15">
          <cell r="C15">
            <v>11768000</v>
          </cell>
          <cell r="E15">
            <v>0</v>
          </cell>
          <cell r="F15">
            <v>0</v>
          </cell>
          <cell r="G15">
            <v>0</v>
          </cell>
          <cell r="I15">
            <v>11329999.999999993</v>
          </cell>
          <cell r="J15">
            <v>0</v>
          </cell>
          <cell r="T15">
            <v>0</v>
          </cell>
          <cell r="AB15">
            <v>430000.00000000681</v>
          </cell>
        </row>
        <row r="16">
          <cell r="C16">
            <v>11761000</v>
          </cell>
          <cell r="E16">
            <v>0</v>
          </cell>
          <cell r="F16">
            <v>0</v>
          </cell>
          <cell r="G16">
            <v>0</v>
          </cell>
          <cell r="I16">
            <v>11457000.000000013</v>
          </cell>
          <cell r="J16">
            <v>0</v>
          </cell>
          <cell r="T16">
            <v>0</v>
          </cell>
          <cell r="AB16">
            <v>297999.9999999876</v>
          </cell>
        </row>
        <row r="17">
          <cell r="C17">
            <v>11706000</v>
          </cell>
          <cell r="E17">
            <v>0</v>
          </cell>
          <cell r="F17">
            <v>0</v>
          </cell>
          <cell r="G17">
            <v>0</v>
          </cell>
          <cell r="I17">
            <v>11306000</v>
          </cell>
          <cell r="J17">
            <v>0</v>
          </cell>
          <cell r="T17">
            <v>0</v>
          </cell>
          <cell r="AB17">
            <v>393000.0000000007</v>
          </cell>
        </row>
        <row r="18">
          <cell r="C18">
            <v>11375000</v>
          </cell>
          <cell r="E18">
            <v>0</v>
          </cell>
          <cell r="F18">
            <v>0</v>
          </cell>
          <cell r="G18">
            <v>0</v>
          </cell>
          <cell r="I18">
            <v>11156999.999999993</v>
          </cell>
          <cell r="J18">
            <v>0</v>
          </cell>
          <cell r="T18">
            <v>0</v>
          </cell>
          <cell r="AB18">
            <v>213000.00000000806</v>
          </cell>
        </row>
        <row r="19">
          <cell r="C19">
            <v>11733500</v>
          </cell>
          <cell r="E19">
            <v>0</v>
          </cell>
          <cell r="F19">
            <v>0</v>
          </cell>
          <cell r="G19">
            <v>0</v>
          </cell>
          <cell r="I19">
            <v>11541500.000000002</v>
          </cell>
          <cell r="J19">
            <v>0</v>
          </cell>
          <cell r="T19">
            <v>0</v>
          </cell>
          <cell r="AB19">
            <v>186999.99999999761</v>
          </cell>
        </row>
        <row r="20">
          <cell r="C20">
            <v>11623199.999999255</v>
          </cell>
          <cell r="E20">
            <v>0</v>
          </cell>
          <cell r="F20">
            <v>0</v>
          </cell>
          <cell r="G20">
            <v>0</v>
          </cell>
          <cell r="I20">
            <v>11151199.999999257</v>
          </cell>
          <cell r="J20">
            <v>0</v>
          </cell>
          <cell r="T20">
            <v>0</v>
          </cell>
          <cell r="AB20">
            <v>463999.99999999866</v>
          </cell>
        </row>
        <row r="21">
          <cell r="C21">
            <v>14245300.000000745</v>
          </cell>
          <cell r="E21">
            <v>0</v>
          </cell>
          <cell r="F21">
            <v>0</v>
          </cell>
          <cell r="G21">
            <v>0</v>
          </cell>
          <cell r="I21">
            <v>14201300.000000743</v>
          </cell>
          <cell r="J21">
            <v>0</v>
          </cell>
          <cell r="T21">
            <v>0</v>
          </cell>
          <cell r="AB21">
            <v>36000.000000001368</v>
          </cell>
        </row>
        <row r="22">
          <cell r="C22">
            <v>11005000</v>
          </cell>
          <cell r="E22">
            <v>0</v>
          </cell>
          <cell r="F22">
            <v>0</v>
          </cell>
          <cell r="G22">
            <v>0</v>
          </cell>
          <cell r="I22">
            <v>10290999.999999996</v>
          </cell>
          <cell r="J22">
            <v>0</v>
          </cell>
          <cell r="T22">
            <v>0</v>
          </cell>
          <cell r="AB22">
            <v>706000.00000000303</v>
          </cell>
        </row>
        <row r="23">
          <cell r="C23">
            <v>12440000</v>
          </cell>
          <cell r="E23">
            <v>0</v>
          </cell>
          <cell r="F23">
            <v>0</v>
          </cell>
          <cell r="G23">
            <v>0</v>
          </cell>
          <cell r="I23">
            <v>12211000</v>
          </cell>
          <cell r="J23">
            <v>0</v>
          </cell>
          <cell r="T23">
            <v>0</v>
          </cell>
          <cell r="AB23">
            <v>225999.9999999991</v>
          </cell>
        </row>
        <row r="24">
          <cell r="C24">
            <v>11997000</v>
          </cell>
          <cell r="E24">
            <v>0</v>
          </cell>
          <cell r="F24">
            <v>0</v>
          </cell>
          <cell r="G24">
            <v>0</v>
          </cell>
          <cell r="I24">
            <v>11723000</v>
          </cell>
          <cell r="J24">
            <v>0</v>
          </cell>
          <cell r="T24">
            <v>0</v>
          </cell>
          <cell r="AB24">
            <v>268000.0000000007</v>
          </cell>
        </row>
        <row r="25">
          <cell r="C25">
            <v>12041000</v>
          </cell>
          <cell r="E25">
            <v>0</v>
          </cell>
          <cell r="F25">
            <v>0</v>
          </cell>
          <cell r="G25">
            <v>0</v>
          </cell>
          <cell r="I25">
            <v>11755000.000000007</v>
          </cell>
          <cell r="J25">
            <v>0</v>
          </cell>
          <cell r="T25">
            <v>0</v>
          </cell>
          <cell r="AB25">
            <v>280999.99999999168</v>
          </cell>
        </row>
        <row r="26">
          <cell r="C26">
            <v>12976000</v>
          </cell>
          <cell r="E26">
            <v>0</v>
          </cell>
          <cell r="F26">
            <v>0</v>
          </cell>
          <cell r="G26">
            <v>0</v>
          </cell>
          <cell r="I26">
            <v>12651999.999999998</v>
          </cell>
          <cell r="J26">
            <v>0</v>
          </cell>
          <cell r="T26">
            <v>0</v>
          </cell>
          <cell r="AB26">
            <v>319000.00000000262</v>
          </cell>
        </row>
        <row r="27">
          <cell r="C27">
            <v>13462000</v>
          </cell>
          <cell r="E27">
            <v>0</v>
          </cell>
          <cell r="F27">
            <v>0</v>
          </cell>
          <cell r="G27">
            <v>0</v>
          </cell>
          <cell r="I27">
            <v>13033999.999999994</v>
          </cell>
          <cell r="J27">
            <v>0</v>
          </cell>
          <cell r="T27">
            <v>0</v>
          </cell>
          <cell r="AB27">
            <v>418000.00000000634</v>
          </cell>
        </row>
        <row r="28">
          <cell r="C28">
            <v>11304000</v>
          </cell>
          <cell r="E28">
            <v>0</v>
          </cell>
          <cell r="F28">
            <v>0</v>
          </cell>
          <cell r="G28">
            <v>0</v>
          </cell>
          <cell r="I28">
            <v>10916000.000000009</v>
          </cell>
          <cell r="J28">
            <v>0</v>
          </cell>
          <cell r="T28">
            <v>0</v>
          </cell>
          <cell r="AB28">
            <v>381999.9999999908</v>
          </cell>
        </row>
        <row r="29">
          <cell r="C29">
            <v>11428000</v>
          </cell>
          <cell r="E29">
            <v>0</v>
          </cell>
          <cell r="F29">
            <v>0</v>
          </cell>
          <cell r="G29">
            <v>0</v>
          </cell>
          <cell r="I29">
            <v>11122999.999999989</v>
          </cell>
          <cell r="J29">
            <v>0</v>
          </cell>
          <cell r="T29">
            <v>0</v>
          </cell>
          <cell r="AB29">
            <v>300000.00000001135</v>
          </cell>
        </row>
        <row r="30">
          <cell r="C30">
            <v>11559000</v>
          </cell>
          <cell r="E30">
            <v>0</v>
          </cell>
          <cell r="F30">
            <v>0</v>
          </cell>
          <cell r="G30">
            <v>0</v>
          </cell>
          <cell r="I30">
            <v>11219000.000000002</v>
          </cell>
          <cell r="J30">
            <v>0</v>
          </cell>
          <cell r="T30">
            <v>0</v>
          </cell>
          <cell r="AB30">
            <v>332999.99999999843</v>
          </cell>
        </row>
        <row r="31">
          <cell r="C31">
            <v>12014000</v>
          </cell>
          <cell r="E31">
            <v>0</v>
          </cell>
          <cell r="F31">
            <v>0</v>
          </cell>
          <cell r="G31">
            <v>0</v>
          </cell>
          <cell r="I31">
            <v>11761000</v>
          </cell>
          <cell r="J31">
            <v>0</v>
          </cell>
          <cell r="T31">
            <v>0</v>
          </cell>
          <cell r="AB31">
            <v>246999.99999999988</v>
          </cell>
        </row>
        <row r="32">
          <cell r="C32">
            <v>13506000</v>
          </cell>
          <cell r="E32">
            <v>0</v>
          </cell>
          <cell r="F32">
            <v>0</v>
          </cell>
          <cell r="G32">
            <v>0</v>
          </cell>
          <cell r="I32">
            <v>13132000.000000009</v>
          </cell>
          <cell r="J32">
            <v>0</v>
          </cell>
          <cell r="T32">
            <v>0</v>
          </cell>
          <cell r="AB32">
            <v>366999.99999999022</v>
          </cell>
        </row>
        <row r="33">
          <cell r="C33">
            <v>13167000</v>
          </cell>
          <cell r="E33">
            <v>0</v>
          </cell>
          <cell r="F33">
            <v>0</v>
          </cell>
          <cell r="G33">
            <v>0</v>
          </cell>
          <cell r="I33">
            <v>12805999.999999996</v>
          </cell>
          <cell r="J33">
            <v>0</v>
          </cell>
          <cell r="T33">
            <v>0</v>
          </cell>
          <cell r="AB33">
            <v>355000.00000000396</v>
          </cell>
        </row>
        <row r="34">
          <cell r="C34">
            <v>10272000</v>
          </cell>
          <cell r="E34">
            <v>0</v>
          </cell>
          <cell r="F34">
            <v>0</v>
          </cell>
          <cell r="G34">
            <v>0</v>
          </cell>
          <cell r="I34">
            <v>9966999.9999999981</v>
          </cell>
          <cell r="J34">
            <v>0</v>
          </cell>
          <cell r="T34">
            <v>10309</v>
          </cell>
          <cell r="AB34">
            <v>298000.0000000018</v>
          </cell>
        </row>
        <row r="35">
          <cell r="C35">
            <v>12135000</v>
          </cell>
          <cell r="E35">
            <v>0</v>
          </cell>
          <cell r="F35">
            <v>0</v>
          </cell>
          <cell r="G35">
            <v>0</v>
          </cell>
          <cell r="I35">
            <v>11775000</v>
          </cell>
          <cell r="J35">
            <v>0</v>
          </cell>
          <cell r="T35">
            <v>0</v>
          </cell>
          <cell r="AB35">
            <v>353999.99999999919</v>
          </cell>
        </row>
        <row r="36">
          <cell r="C36">
            <v>12326000</v>
          </cell>
          <cell r="E36">
            <v>0</v>
          </cell>
          <cell r="F36">
            <v>0</v>
          </cell>
          <cell r="G36">
            <v>0</v>
          </cell>
          <cell r="I36">
            <v>12018000.000000002</v>
          </cell>
          <cell r="J36">
            <v>0</v>
          </cell>
          <cell r="T36">
            <v>9242</v>
          </cell>
          <cell r="AB36">
            <v>302999.99999999726</v>
          </cell>
        </row>
        <row r="37">
          <cell r="C37">
            <v>11906000</v>
          </cell>
          <cell r="E37">
            <v>0</v>
          </cell>
          <cell r="F37">
            <v>0</v>
          </cell>
          <cell r="G37">
            <v>0</v>
          </cell>
          <cell r="I37">
            <v>11651999.999999996</v>
          </cell>
          <cell r="J37">
            <v>0</v>
          </cell>
          <cell r="T37">
            <v>0</v>
          </cell>
          <cell r="AB37">
            <v>248000.00000000466</v>
          </cell>
        </row>
        <row r="38">
          <cell r="C38">
            <v>12142000</v>
          </cell>
          <cell r="E38">
            <v>0</v>
          </cell>
          <cell r="F38">
            <v>0</v>
          </cell>
          <cell r="G38">
            <v>0</v>
          </cell>
          <cell r="I38">
            <v>11841999.999999998</v>
          </cell>
          <cell r="J38">
            <v>0</v>
          </cell>
          <cell r="T38">
            <v>0</v>
          </cell>
          <cell r="AB38">
            <v>295000.00000000169</v>
          </cell>
        </row>
        <row r="39">
          <cell r="C39">
            <v>12151000</v>
          </cell>
          <cell r="E39">
            <v>0</v>
          </cell>
          <cell r="F39">
            <v>0</v>
          </cell>
          <cell r="G39">
            <v>0</v>
          </cell>
          <cell r="I39">
            <v>11832000.000000002</v>
          </cell>
          <cell r="J39">
            <v>0</v>
          </cell>
          <cell r="T39">
            <v>0</v>
          </cell>
          <cell r="AB39">
            <v>311999.99999999761</v>
          </cell>
        </row>
        <row r="40">
          <cell r="C40">
            <v>12803000</v>
          </cell>
          <cell r="E40">
            <v>0</v>
          </cell>
          <cell r="F40">
            <v>0</v>
          </cell>
          <cell r="G40">
            <v>0</v>
          </cell>
          <cell r="I40">
            <v>12432000</v>
          </cell>
          <cell r="J40">
            <v>0</v>
          </cell>
          <cell r="T40">
            <v>0</v>
          </cell>
          <cell r="AB40">
            <v>362999.99999999953</v>
          </cell>
        </row>
        <row r="41">
          <cell r="C41">
            <v>13482000</v>
          </cell>
          <cell r="E41">
            <v>0</v>
          </cell>
          <cell r="F41">
            <v>0</v>
          </cell>
          <cell r="G41">
            <v>0</v>
          </cell>
          <cell r="I41">
            <v>13108000.000000006</v>
          </cell>
          <cell r="J41">
            <v>0</v>
          </cell>
          <cell r="T41">
            <v>0</v>
          </cell>
          <cell r="AB41">
            <v>367999.99999999499</v>
          </cell>
        </row>
        <row r="42">
          <cell r="C42">
            <v>12329000</v>
          </cell>
          <cell r="E42">
            <v>0</v>
          </cell>
          <cell r="F42">
            <v>0</v>
          </cell>
          <cell r="G42">
            <v>0</v>
          </cell>
          <cell r="I42">
            <v>12066999.999999994</v>
          </cell>
          <cell r="J42">
            <v>0</v>
          </cell>
          <cell r="T42">
            <v>0</v>
          </cell>
          <cell r="AB42">
            <v>257000.00000000501</v>
          </cell>
        </row>
        <row r="43">
          <cell r="C43">
            <v>11390000</v>
          </cell>
          <cell r="E43">
            <v>0</v>
          </cell>
          <cell r="F43">
            <v>0</v>
          </cell>
          <cell r="G43">
            <v>0</v>
          </cell>
          <cell r="I43">
            <v>11090999.999999994</v>
          </cell>
          <cell r="J43">
            <v>0</v>
          </cell>
          <cell r="T43">
            <v>0</v>
          </cell>
          <cell r="AB43">
            <v>293000.00000000634</v>
          </cell>
        </row>
        <row r="44">
          <cell r="C44">
            <v>11545000</v>
          </cell>
          <cell r="E44">
            <v>0</v>
          </cell>
          <cell r="F44">
            <v>0</v>
          </cell>
          <cell r="G44">
            <v>0</v>
          </cell>
          <cell r="I44">
            <v>11191000.000000006</v>
          </cell>
          <cell r="J44">
            <v>0</v>
          </cell>
          <cell r="T44">
            <v>0</v>
          </cell>
          <cell r="AB44">
            <v>346999.99999999418</v>
          </cell>
        </row>
        <row r="45">
          <cell r="C45">
            <v>10704000</v>
          </cell>
          <cell r="E45">
            <v>0</v>
          </cell>
          <cell r="F45">
            <v>0</v>
          </cell>
          <cell r="G45">
            <v>0</v>
          </cell>
          <cell r="I45">
            <v>10335000</v>
          </cell>
          <cell r="J45">
            <v>0</v>
          </cell>
          <cell r="T45">
            <v>0</v>
          </cell>
          <cell r="AB45">
            <v>362999.99999999953</v>
          </cell>
        </row>
        <row r="46">
          <cell r="C46">
            <v>12254000</v>
          </cell>
          <cell r="E46">
            <v>0</v>
          </cell>
          <cell r="F46">
            <v>0</v>
          </cell>
          <cell r="G46">
            <v>0</v>
          </cell>
          <cell r="I46">
            <v>11930999.999999998</v>
          </cell>
          <cell r="J46">
            <v>0</v>
          </cell>
          <cell r="T46">
            <v>0</v>
          </cell>
          <cell r="AB46">
            <v>316000.0000000025</v>
          </cell>
        </row>
        <row r="47">
          <cell r="C47">
            <v>13512000</v>
          </cell>
          <cell r="E47">
            <v>0</v>
          </cell>
          <cell r="F47">
            <v>0</v>
          </cell>
          <cell r="G47">
            <v>0</v>
          </cell>
          <cell r="I47">
            <v>13280000.000000006</v>
          </cell>
          <cell r="J47">
            <v>0</v>
          </cell>
          <cell r="T47">
            <v>0</v>
          </cell>
          <cell r="AB47">
            <v>227999.99999999444</v>
          </cell>
        </row>
        <row r="48">
          <cell r="C48">
            <v>13183000</v>
          </cell>
          <cell r="E48">
            <v>0</v>
          </cell>
          <cell r="F48">
            <v>0</v>
          </cell>
          <cell r="G48">
            <v>0</v>
          </cell>
          <cell r="I48">
            <v>12813999.999999991</v>
          </cell>
          <cell r="J48">
            <v>0</v>
          </cell>
          <cell r="T48">
            <v>0</v>
          </cell>
          <cell r="AB48">
            <v>362000.00000000896</v>
          </cell>
        </row>
        <row r="49">
          <cell r="C49">
            <v>12689000</v>
          </cell>
          <cell r="E49">
            <v>0</v>
          </cell>
          <cell r="F49">
            <v>0</v>
          </cell>
          <cell r="G49">
            <v>0</v>
          </cell>
          <cell r="I49">
            <v>12326000.000000006</v>
          </cell>
          <cell r="J49">
            <v>0</v>
          </cell>
          <cell r="T49">
            <v>0</v>
          </cell>
          <cell r="AB49">
            <v>355999.99999999453</v>
          </cell>
        </row>
        <row r="50">
          <cell r="C50">
            <v>11385000</v>
          </cell>
          <cell r="E50">
            <v>0</v>
          </cell>
          <cell r="F50">
            <v>0</v>
          </cell>
          <cell r="G50">
            <v>0</v>
          </cell>
          <cell r="I50">
            <v>11129000</v>
          </cell>
          <cell r="J50">
            <v>0</v>
          </cell>
          <cell r="T50">
            <v>0</v>
          </cell>
          <cell r="AB50">
            <v>250000</v>
          </cell>
        </row>
        <row r="51">
          <cell r="C51">
            <v>11162000</v>
          </cell>
          <cell r="E51">
            <v>0</v>
          </cell>
          <cell r="F51">
            <v>0</v>
          </cell>
          <cell r="G51">
            <v>0</v>
          </cell>
          <cell r="I51">
            <v>10973000.000000002</v>
          </cell>
          <cell r="J51">
            <v>0</v>
          </cell>
          <cell r="T51">
            <v>0</v>
          </cell>
          <cell r="AB51">
            <v>183999.9999999975</v>
          </cell>
        </row>
        <row r="52">
          <cell r="C52">
            <v>12276000</v>
          </cell>
          <cell r="E52">
            <v>0</v>
          </cell>
          <cell r="F52">
            <v>0</v>
          </cell>
          <cell r="G52">
            <v>0</v>
          </cell>
          <cell r="I52">
            <v>12008000</v>
          </cell>
          <cell r="J52">
            <v>0</v>
          </cell>
          <cell r="T52">
            <v>0</v>
          </cell>
          <cell r="AB52">
            <v>262000.00000000047</v>
          </cell>
        </row>
        <row r="53">
          <cell r="C53">
            <v>12498000</v>
          </cell>
          <cell r="E53">
            <v>0</v>
          </cell>
          <cell r="F53">
            <v>0</v>
          </cell>
          <cell r="G53">
            <v>0</v>
          </cell>
          <cell r="I53">
            <v>12242000.000000006</v>
          </cell>
          <cell r="J53">
            <v>0</v>
          </cell>
          <cell r="T53">
            <v>0</v>
          </cell>
          <cell r="AB53">
            <v>248999.99999999523</v>
          </cell>
        </row>
        <row r="54">
          <cell r="C54">
            <v>12326000</v>
          </cell>
          <cell r="E54">
            <v>0</v>
          </cell>
          <cell r="F54">
            <v>0</v>
          </cell>
          <cell r="G54">
            <v>0</v>
          </cell>
          <cell r="I54">
            <v>12070999.999999991</v>
          </cell>
          <cell r="J54">
            <v>0</v>
          </cell>
          <cell r="T54">
            <v>0</v>
          </cell>
          <cell r="AB54">
            <v>249000.00000000943</v>
          </cell>
        </row>
        <row r="55">
          <cell r="C55">
            <v>12520000</v>
          </cell>
          <cell r="E55">
            <v>0</v>
          </cell>
          <cell r="F55">
            <v>0</v>
          </cell>
          <cell r="G55">
            <v>0</v>
          </cell>
          <cell r="I55">
            <v>12251000</v>
          </cell>
          <cell r="J55">
            <v>0</v>
          </cell>
          <cell r="T55">
            <v>0</v>
          </cell>
          <cell r="AB55">
            <v>262000.00000000047</v>
          </cell>
        </row>
        <row r="56">
          <cell r="C56">
            <v>12278000</v>
          </cell>
          <cell r="E56">
            <v>0</v>
          </cell>
          <cell r="F56">
            <v>0</v>
          </cell>
          <cell r="G56">
            <v>0</v>
          </cell>
          <cell r="I56">
            <v>12024000.000000009</v>
          </cell>
          <cell r="J56">
            <v>0</v>
          </cell>
          <cell r="T56">
            <v>0</v>
          </cell>
          <cell r="AB56">
            <v>247999.99999999045</v>
          </cell>
        </row>
        <row r="57">
          <cell r="C57">
            <v>11325000</v>
          </cell>
          <cell r="E57">
            <v>0</v>
          </cell>
          <cell r="F57">
            <v>0</v>
          </cell>
          <cell r="G57">
            <v>0</v>
          </cell>
          <cell r="I57">
            <v>11122999.999999998</v>
          </cell>
          <cell r="J57">
            <v>0</v>
          </cell>
          <cell r="T57">
            <v>0</v>
          </cell>
          <cell r="AB57">
            <v>197000.00000000274</v>
          </cell>
        </row>
        <row r="58">
          <cell r="C58">
            <v>12461000</v>
          </cell>
          <cell r="E58">
            <v>0</v>
          </cell>
          <cell r="F58">
            <v>0</v>
          </cell>
          <cell r="G58">
            <v>0</v>
          </cell>
          <cell r="I58">
            <v>12205999.999999991</v>
          </cell>
          <cell r="J58">
            <v>0</v>
          </cell>
          <cell r="T58">
            <v>0</v>
          </cell>
          <cell r="AB58">
            <v>249000.00000000943</v>
          </cell>
        </row>
        <row r="59">
          <cell r="C59">
            <v>12342000</v>
          </cell>
          <cell r="E59">
            <v>0</v>
          </cell>
          <cell r="F59">
            <v>0</v>
          </cell>
          <cell r="G59">
            <v>0</v>
          </cell>
          <cell r="I59">
            <v>12029000.000000007</v>
          </cell>
          <cell r="J59">
            <v>0</v>
          </cell>
          <cell r="T59">
            <v>0</v>
          </cell>
          <cell r="AB59">
            <v>304999.99999999261</v>
          </cell>
        </row>
        <row r="60">
          <cell r="C60">
            <v>12431000</v>
          </cell>
          <cell r="E60">
            <v>0</v>
          </cell>
          <cell r="F60">
            <v>0</v>
          </cell>
          <cell r="G60">
            <v>0</v>
          </cell>
          <cell r="I60">
            <v>12165000</v>
          </cell>
          <cell r="J60">
            <v>0</v>
          </cell>
          <cell r="T60">
            <v>0</v>
          </cell>
          <cell r="AB60">
            <v>259000.00000000035</v>
          </cell>
        </row>
        <row r="61">
          <cell r="C61">
            <v>12017000</v>
          </cell>
          <cell r="E61">
            <v>0</v>
          </cell>
          <cell r="F61">
            <v>0</v>
          </cell>
          <cell r="G61">
            <v>0</v>
          </cell>
          <cell r="I61">
            <v>11750000.000000004</v>
          </cell>
          <cell r="J61">
            <v>0</v>
          </cell>
          <cell r="T61">
            <v>0</v>
          </cell>
          <cell r="AB61">
            <v>260999.99999999569</v>
          </cell>
        </row>
        <row r="62">
          <cell r="C62">
            <v>12728000</v>
          </cell>
          <cell r="E62">
            <v>0</v>
          </cell>
          <cell r="F62">
            <v>0</v>
          </cell>
          <cell r="G62">
            <v>0</v>
          </cell>
          <cell r="I62">
            <v>12471000</v>
          </cell>
          <cell r="J62">
            <v>0</v>
          </cell>
          <cell r="T62">
            <v>0</v>
          </cell>
          <cell r="AB62">
            <v>250000</v>
          </cell>
        </row>
        <row r="63">
          <cell r="C63">
            <v>12557000</v>
          </cell>
          <cell r="E63">
            <v>0</v>
          </cell>
          <cell r="F63">
            <v>0</v>
          </cell>
          <cell r="G63">
            <v>0</v>
          </cell>
          <cell r="I63">
            <v>12352999.999999993</v>
          </cell>
          <cell r="J63">
            <v>0</v>
          </cell>
          <cell r="T63">
            <v>0</v>
          </cell>
          <cell r="AB63">
            <v>198000.00000000751</v>
          </cell>
        </row>
        <row r="64">
          <cell r="C64">
            <v>12525000</v>
          </cell>
          <cell r="E64">
            <v>0</v>
          </cell>
          <cell r="F64">
            <v>0</v>
          </cell>
          <cell r="G64">
            <v>0</v>
          </cell>
          <cell r="I64">
            <v>12206000.000000002</v>
          </cell>
          <cell r="J64">
            <v>0</v>
          </cell>
          <cell r="T64">
            <v>0</v>
          </cell>
          <cell r="AB64">
            <v>311999.99999999761</v>
          </cell>
        </row>
        <row r="65">
          <cell r="C65">
            <v>11501000</v>
          </cell>
          <cell r="E65">
            <v>0</v>
          </cell>
          <cell r="F65">
            <v>0</v>
          </cell>
          <cell r="G65">
            <v>0</v>
          </cell>
          <cell r="I65">
            <v>11246000.000000006</v>
          </cell>
          <cell r="J65">
            <v>0</v>
          </cell>
          <cell r="T65">
            <v>0</v>
          </cell>
          <cell r="AB65">
            <v>248999.99999999523</v>
          </cell>
        </row>
        <row r="66">
          <cell r="C66">
            <v>12626000</v>
          </cell>
          <cell r="E66">
            <v>0</v>
          </cell>
          <cell r="F66">
            <v>0</v>
          </cell>
          <cell r="G66">
            <v>0</v>
          </cell>
          <cell r="I66">
            <v>12301999.999999998</v>
          </cell>
          <cell r="J66">
            <v>0</v>
          </cell>
          <cell r="T66">
            <v>9486</v>
          </cell>
          <cell r="AB66">
            <v>316000.0000000025</v>
          </cell>
        </row>
        <row r="67">
          <cell r="C67">
            <v>11969000</v>
          </cell>
          <cell r="E67">
            <v>0</v>
          </cell>
          <cell r="F67">
            <v>0</v>
          </cell>
          <cell r="G67">
            <v>0</v>
          </cell>
          <cell r="I67">
            <v>11766999.999999998</v>
          </cell>
          <cell r="J67">
            <v>0</v>
          </cell>
          <cell r="T67">
            <v>0</v>
          </cell>
          <cell r="AB67">
            <v>197000.00000000274</v>
          </cell>
        </row>
        <row r="68">
          <cell r="C68">
            <v>12353000</v>
          </cell>
          <cell r="E68">
            <v>0</v>
          </cell>
          <cell r="F68">
            <v>0</v>
          </cell>
          <cell r="G68">
            <v>0</v>
          </cell>
          <cell r="I68">
            <v>12164000.000000002</v>
          </cell>
          <cell r="J68">
            <v>0</v>
          </cell>
          <cell r="T68">
            <v>0</v>
          </cell>
          <cell r="AB68">
            <v>183999.9999999975</v>
          </cell>
        </row>
        <row r="69">
          <cell r="C69">
            <v>11959000</v>
          </cell>
          <cell r="E69">
            <v>1000000</v>
          </cell>
          <cell r="F69">
            <v>0</v>
          </cell>
          <cell r="G69">
            <v>0</v>
          </cell>
          <cell r="I69">
            <v>11689999.999999994</v>
          </cell>
          <cell r="J69">
            <v>0</v>
          </cell>
          <cell r="T69">
            <v>93780</v>
          </cell>
          <cell r="AB69">
            <v>263000.00000000524</v>
          </cell>
        </row>
        <row r="70">
          <cell r="C70">
            <v>12099000</v>
          </cell>
          <cell r="E70">
            <v>0</v>
          </cell>
          <cell r="F70">
            <v>0</v>
          </cell>
          <cell r="G70">
            <v>0</v>
          </cell>
          <cell r="I70">
            <v>11842000</v>
          </cell>
          <cell r="J70">
            <v>0</v>
          </cell>
          <cell r="T70">
            <v>207728</v>
          </cell>
          <cell r="AB70">
            <v>250000</v>
          </cell>
        </row>
        <row r="71">
          <cell r="C71">
            <v>12849000</v>
          </cell>
          <cell r="E71">
            <v>2000000</v>
          </cell>
          <cell r="F71">
            <v>0</v>
          </cell>
          <cell r="G71">
            <v>0</v>
          </cell>
          <cell r="I71">
            <v>12595000.000000009</v>
          </cell>
          <cell r="J71">
            <v>0</v>
          </cell>
          <cell r="T71">
            <v>1773295</v>
          </cell>
          <cell r="AB71">
            <v>247999.99999999045</v>
          </cell>
        </row>
        <row r="72">
          <cell r="C72">
            <v>12943000</v>
          </cell>
          <cell r="E72">
            <v>5000000</v>
          </cell>
          <cell r="F72">
            <v>0</v>
          </cell>
          <cell r="G72">
            <v>0</v>
          </cell>
          <cell r="I72">
            <v>12552999.999999991</v>
          </cell>
          <cell r="J72">
            <v>0</v>
          </cell>
          <cell r="T72">
            <v>12425</v>
          </cell>
          <cell r="AB72">
            <v>380000.00000000966</v>
          </cell>
        </row>
        <row r="73">
          <cell r="C73">
            <v>12389000</v>
          </cell>
          <cell r="E73">
            <v>5000000</v>
          </cell>
          <cell r="F73">
            <v>0</v>
          </cell>
          <cell r="G73">
            <v>0</v>
          </cell>
          <cell r="I73">
            <v>12186000.000000007</v>
          </cell>
          <cell r="J73">
            <v>0</v>
          </cell>
          <cell r="T73">
            <v>1871648</v>
          </cell>
          <cell r="AB73">
            <v>197999.99999999331</v>
          </cell>
        </row>
        <row r="74">
          <cell r="C74">
            <v>12618000</v>
          </cell>
          <cell r="E74">
            <v>5000000</v>
          </cell>
          <cell r="F74">
            <v>0</v>
          </cell>
          <cell r="G74">
            <v>0</v>
          </cell>
          <cell r="I74">
            <v>12161999.999999993</v>
          </cell>
          <cell r="J74">
            <v>0</v>
          </cell>
          <cell r="T74">
            <v>471615</v>
          </cell>
          <cell r="AB74">
            <v>445000.00000000739</v>
          </cell>
        </row>
        <row r="75">
          <cell r="C75">
            <v>12954000</v>
          </cell>
          <cell r="E75">
            <v>5000000</v>
          </cell>
          <cell r="F75">
            <v>0</v>
          </cell>
          <cell r="G75">
            <v>0</v>
          </cell>
          <cell r="I75">
            <v>12719000.000000006</v>
          </cell>
          <cell r="J75">
            <v>0</v>
          </cell>
          <cell r="T75">
            <v>435553</v>
          </cell>
          <cell r="AB75">
            <v>227999.99999999444</v>
          </cell>
        </row>
        <row r="76">
          <cell r="C76">
            <v>12412000</v>
          </cell>
          <cell r="E76">
            <v>5000000</v>
          </cell>
          <cell r="F76">
            <v>0</v>
          </cell>
          <cell r="G76">
            <v>0</v>
          </cell>
          <cell r="I76">
            <v>12138000</v>
          </cell>
          <cell r="J76">
            <v>0</v>
          </cell>
          <cell r="T76">
            <v>387999</v>
          </cell>
          <cell r="AB76">
            <v>268000.0000000007</v>
          </cell>
        </row>
        <row r="77">
          <cell r="C77">
            <v>12321000</v>
          </cell>
          <cell r="E77">
            <v>5000000</v>
          </cell>
          <cell r="F77">
            <v>0</v>
          </cell>
          <cell r="G77">
            <v>0</v>
          </cell>
          <cell r="I77">
            <v>12059999.999999994</v>
          </cell>
          <cell r="J77">
            <v>0</v>
          </cell>
          <cell r="T77">
            <v>393266</v>
          </cell>
          <cell r="AB77">
            <v>254000.00000000489</v>
          </cell>
        </row>
        <row r="78">
          <cell r="C78">
            <v>11083000</v>
          </cell>
          <cell r="E78">
            <v>5000000</v>
          </cell>
          <cell r="F78">
            <v>0</v>
          </cell>
          <cell r="G78">
            <v>0</v>
          </cell>
          <cell r="I78">
            <v>10820000.000000009</v>
          </cell>
          <cell r="J78">
            <v>0</v>
          </cell>
          <cell r="T78">
            <v>600020</v>
          </cell>
          <cell r="AB78">
            <v>256999.9999999908</v>
          </cell>
        </row>
        <row r="79">
          <cell r="C79">
            <v>8649000</v>
          </cell>
          <cell r="E79">
            <v>6000000</v>
          </cell>
          <cell r="F79">
            <v>0</v>
          </cell>
          <cell r="G79">
            <v>0</v>
          </cell>
          <cell r="I79">
            <v>8459999.9999999888</v>
          </cell>
          <cell r="J79">
            <v>4200000</v>
          </cell>
          <cell r="T79">
            <v>388274</v>
          </cell>
          <cell r="AB79">
            <v>184000.0000000117</v>
          </cell>
        </row>
        <row r="80">
          <cell r="C80">
            <v>5789000</v>
          </cell>
          <cell r="E80">
            <v>5000000</v>
          </cell>
          <cell r="F80">
            <v>0</v>
          </cell>
          <cell r="G80">
            <v>0</v>
          </cell>
          <cell r="I80">
            <v>5587000.0000000112</v>
          </cell>
          <cell r="J80">
            <v>5499999.9999999991</v>
          </cell>
          <cell r="T80">
            <v>448568</v>
          </cell>
          <cell r="AB80">
            <v>196999.9999999885</v>
          </cell>
        </row>
        <row r="81">
          <cell r="C81">
            <v>7121000</v>
          </cell>
          <cell r="E81">
            <v>5000000</v>
          </cell>
          <cell r="F81">
            <v>0</v>
          </cell>
          <cell r="G81">
            <v>0</v>
          </cell>
          <cell r="I81">
            <v>6930999.9999999981</v>
          </cell>
          <cell r="J81">
            <v>4600000.0000000019</v>
          </cell>
          <cell r="T81">
            <v>462410</v>
          </cell>
          <cell r="AB81">
            <v>185000.00000000227</v>
          </cell>
        </row>
        <row r="82">
          <cell r="C82">
            <v>7441000</v>
          </cell>
          <cell r="E82">
            <v>7000000</v>
          </cell>
          <cell r="F82">
            <v>0</v>
          </cell>
          <cell r="G82">
            <v>0</v>
          </cell>
          <cell r="I82">
            <v>7340999.9999999916</v>
          </cell>
          <cell r="J82">
            <v>6000000</v>
          </cell>
          <cell r="T82">
            <v>538177</v>
          </cell>
          <cell r="AB82">
            <v>97000.000000008411</v>
          </cell>
        </row>
        <row r="83">
          <cell r="C83">
            <v>6041000</v>
          </cell>
          <cell r="E83">
            <v>6000000</v>
          </cell>
          <cell r="F83">
            <v>0</v>
          </cell>
          <cell r="G83">
            <v>0</v>
          </cell>
          <cell r="I83">
            <v>5872000.0000000028</v>
          </cell>
          <cell r="J83">
            <v>6199999.9999999991</v>
          </cell>
          <cell r="T83">
            <v>591818</v>
          </cell>
          <cell r="AB83">
            <v>165999.99999999683</v>
          </cell>
        </row>
        <row r="84">
          <cell r="C84">
            <v>5956000</v>
          </cell>
          <cell r="E84">
            <v>8000000</v>
          </cell>
          <cell r="F84">
            <v>0</v>
          </cell>
          <cell r="G84">
            <v>0</v>
          </cell>
          <cell r="I84">
            <v>5835999.9999999953</v>
          </cell>
          <cell r="J84">
            <v>6399999.9999999981</v>
          </cell>
          <cell r="T84">
            <v>683514</v>
          </cell>
          <cell r="AB84">
            <v>117000.00000000444</v>
          </cell>
        </row>
        <row r="85">
          <cell r="C85">
            <v>6126000</v>
          </cell>
          <cell r="E85">
            <v>9000000</v>
          </cell>
          <cell r="F85">
            <v>0</v>
          </cell>
          <cell r="G85">
            <v>0</v>
          </cell>
          <cell r="I85">
            <v>5927000.0000000112</v>
          </cell>
          <cell r="J85">
            <v>7800000.0000000047</v>
          </cell>
          <cell r="T85">
            <v>801384</v>
          </cell>
          <cell r="AB85">
            <v>193999.99999998842</v>
          </cell>
        </row>
        <row r="86">
          <cell r="C86">
            <v>6015000</v>
          </cell>
          <cell r="E86">
            <v>8000000</v>
          </cell>
          <cell r="F86">
            <v>0</v>
          </cell>
          <cell r="G86">
            <v>0</v>
          </cell>
          <cell r="I86">
            <v>5825999.9999999879</v>
          </cell>
          <cell r="J86">
            <v>7500000</v>
          </cell>
          <cell r="T86">
            <v>932985</v>
          </cell>
          <cell r="AB86">
            <v>184000.0000000117</v>
          </cell>
        </row>
        <row r="87">
          <cell r="C87">
            <v>5995000</v>
          </cell>
          <cell r="E87">
            <v>9000000</v>
          </cell>
          <cell r="F87">
            <v>0</v>
          </cell>
          <cell r="G87">
            <v>0</v>
          </cell>
          <cell r="I87">
            <v>5928000.0000000121</v>
          </cell>
          <cell r="J87">
            <v>7199999.9999999953</v>
          </cell>
          <cell r="T87">
            <v>954303</v>
          </cell>
          <cell r="AB87">
            <v>65999.999999988286</v>
          </cell>
        </row>
        <row r="88">
          <cell r="C88">
            <v>5986000</v>
          </cell>
          <cell r="E88">
            <v>9000000</v>
          </cell>
          <cell r="F88">
            <v>0</v>
          </cell>
          <cell r="G88">
            <v>0</v>
          </cell>
          <cell r="I88">
            <v>5910999.9999999925</v>
          </cell>
          <cell r="J88">
            <v>7800000.0000000047</v>
          </cell>
          <cell r="T88">
            <v>953036</v>
          </cell>
          <cell r="AB88">
            <v>73000.000000007509</v>
          </cell>
        </row>
        <row r="89">
          <cell r="C89">
            <v>6024000</v>
          </cell>
          <cell r="E89">
            <v>8000000</v>
          </cell>
          <cell r="F89">
            <v>0</v>
          </cell>
          <cell r="G89">
            <v>0</v>
          </cell>
          <cell r="I89">
            <v>5818999.9999999972</v>
          </cell>
          <cell r="J89">
            <v>7799999.9999999972</v>
          </cell>
          <cell r="T89">
            <v>658772</v>
          </cell>
          <cell r="AB89">
            <v>200000.00000000285</v>
          </cell>
        </row>
        <row r="90">
          <cell r="C90">
            <v>5917000</v>
          </cell>
          <cell r="E90">
            <v>7000000</v>
          </cell>
          <cell r="F90">
            <v>0</v>
          </cell>
          <cell r="G90">
            <v>0</v>
          </cell>
          <cell r="I90">
            <v>5739000.0000000121</v>
          </cell>
          <cell r="J90">
            <v>6000000</v>
          </cell>
          <cell r="T90">
            <v>734362</v>
          </cell>
          <cell r="AB90">
            <v>172999.9999999876</v>
          </cell>
        </row>
        <row r="91">
          <cell r="C91">
            <v>6073000</v>
          </cell>
          <cell r="E91">
            <v>8000000</v>
          </cell>
          <cell r="F91">
            <v>0</v>
          </cell>
          <cell r="G91">
            <v>0</v>
          </cell>
          <cell r="I91">
            <v>5951999.9999999907</v>
          </cell>
          <cell r="J91">
            <v>7299999.9999999972</v>
          </cell>
          <cell r="T91">
            <v>796835</v>
          </cell>
          <cell r="AB91">
            <v>118000.00000000921</v>
          </cell>
        </row>
        <row r="92">
          <cell r="C92">
            <v>5981000</v>
          </cell>
          <cell r="E92">
            <v>9000000</v>
          </cell>
          <cell r="F92">
            <v>0</v>
          </cell>
          <cell r="G92">
            <v>0</v>
          </cell>
          <cell r="I92">
            <v>5869000.0000000056</v>
          </cell>
          <cell r="J92">
            <v>8100000.0000000084</v>
          </cell>
          <cell r="T92">
            <v>1114313</v>
          </cell>
          <cell r="AB92">
            <v>108999.99999999466</v>
          </cell>
        </row>
        <row r="93">
          <cell r="C93">
            <v>5962000</v>
          </cell>
          <cell r="E93">
            <v>9000000</v>
          </cell>
          <cell r="F93">
            <v>0</v>
          </cell>
          <cell r="G93">
            <v>0</v>
          </cell>
          <cell r="I93">
            <v>5804000.0000000037</v>
          </cell>
          <cell r="J93">
            <v>8399999.9999999907</v>
          </cell>
          <cell r="T93">
            <v>718356</v>
          </cell>
          <cell r="AB93">
            <v>153999.99999999636</v>
          </cell>
        </row>
        <row r="94">
          <cell r="C94">
            <v>6043000</v>
          </cell>
          <cell r="E94">
            <v>8000000</v>
          </cell>
          <cell r="F94">
            <v>0</v>
          </cell>
          <cell r="G94">
            <v>0</v>
          </cell>
          <cell r="I94">
            <v>5855999.9999999935</v>
          </cell>
          <cell r="J94">
            <v>6600000.0000000084</v>
          </cell>
          <cell r="T94">
            <v>745970</v>
          </cell>
          <cell r="AB94">
            <v>183000.00000000693</v>
          </cell>
        </row>
        <row r="95">
          <cell r="C95">
            <v>5994000</v>
          </cell>
          <cell r="E95">
            <v>7000000</v>
          </cell>
          <cell r="F95">
            <v>0</v>
          </cell>
          <cell r="G95">
            <v>0</v>
          </cell>
          <cell r="I95">
            <v>5793000.0000000019</v>
          </cell>
          <cell r="J95">
            <v>6399999.9999999916</v>
          </cell>
          <cell r="T95">
            <v>666951.80000000005</v>
          </cell>
          <cell r="AB95">
            <v>195999.99999999796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 Hour Data"/>
      <sheetName val="WB Clarifiers"/>
      <sheetName val="WB Chem Flow Changes"/>
      <sheetName val="TTP Chem Flow Changes"/>
      <sheetName val="Midnight Numbers"/>
      <sheetName val="Production Summary"/>
      <sheetName val="Chemical Summary"/>
      <sheetName val="April"/>
      <sheetName val="May"/>
      <sheetName val="June"/>
    </sheetNames>
    <sheetDataSet>
      <sheetData sheetId="0"/>
      <sheetData sheetId="1"/>
      <sheetData sheetId="2"/>
      <sheetData sheetId="3"/>
      <sheetData sheetId="4"/>
      <sheetData sheetId="5">
        <row r="6">
          <cell r="C6">
            <v>6024000</v>
          </cell>
          <cell r="E6">
            <v>8000000</v>
          </cell>
          <cell r="F6">
            <v>0</v>
          </cell>
          <cell r="G6">
            <v>0</v>
          </cell>
          <cell r="I6">
            <v>5832999.9999999925</v>
          </cell>
          <cell r="J6">
            <v>7400000.0000000056</v>
          </cell>
          <cell r="T6">
            <v>779184</v>
          </cell>
          <cell r="AB6">
            <v>186000.00000000704</v>
          </cell>
        </row>
        <row r="7">
          <cell r="C7">
            <v>5994000</v>
          </cell>
          <cell r="E7">
            <v>10000000</v>
          </cell>
          <cell r="F7">
            <v>0</v>
          </cell>
          <cell r="G7">
            <v>0</v>
          </cell>
          <cell r="I7">
            <v>5927000.0000000019</v>
          </cell>
          <cell r="J7">
            <v>8200000.0000000028</v>
          </cell>
          <cell r="T7">
            <v>1082035</v>
          </cell>
          <cell r="AB7">
            <v>64999.99999999773</v>
          </cell>
        </row>
        <row r="8">
          <cell r="C8">
            <v>6000000</v>
          </cell>
          <cell r="E8">
            <v>9000000</v>
          </cell>
          <cell r="F8">
            <v>0</v>
          </cell>
          <cell r="G8">
            <v>0</v>
          </cell>
          <cell r="I8">
            <v>5932999.9999999972</v>
          </cell>
          <cell r="J8">
            <v>8099999.9999999944</v>
          </cell>
          <cell r="T8">
            <v>749030</v>
          </cell>
          <cell r="AB8">
            <v>66000.000000002503</v>
          </cell>
        </row>
        <row r="9">
          <cell r="C9">
            <v>6007000</v>
          </cell>
          <cell r="E9">
            <v>7000000</v>
          </cell>
          <cell r="F9">
            <v>0</v>
          </cell>
          <cell r="G9">
            <v>0</v>
          </cell>
          <cell r="I9">
            <v>5819000.0000000075</v>
          </cell>
          <cell r="J9">
            <v>7099999.9999999944</v>
          </cell>
          <cell r="T9">
            <v>685386</v>
          </cell>
          <cell r="AB9">
            <v>182999.99999999272</v>
          </cell>
        </row>
        <row r="10">
          <cell r="C10">
            <v>5969000</v>
          </cell>
          <cell r="E10">
            <v>10000000</v>
          </cell>
          <cell r="F10">
            <v>0</v>
          </cell>
          <cell r="G10">
            <v>0</v>
          </cell>
          <cell r="I10">
            <v>5696000.0000000037</v>
          </cell>
          <cell r="J10">
            <v>8800000.0000000112</v>
          </cell>
          <cell r="T10">
            <v>887631</v>
          </cell>
          <cell r="AB10">
            <v>266999.99999999593</v>
          </cell>
        </row>
        <row r="11">
          <cell r="C11">
            <v>6038000</v>
          </cell>
          <cell r="E11">
            <v>10000000</v>
          </cell>
          <cell r="F11">
            <v>0</v>
          </cell>
          <cell r="G11">
            <v>0</v>
          </cell>
          <cell r="I11">
            <v>5815999.9999999916</v>
          </cell>
          <cell r="J11">
            <v>9000000</v>
          </cell>
          <cell r="T11">
            <v>1081976</v>
          </cell>
          <cell r="AB11">
            <v>216000.00000000818</v>
          </cell>
        </row>
        <row r="12">
          <cell r="C12">
            <v>5962000</v>
          </cell>
          <cell r="E12">
            <v>11000000</v>
          </cell>
          <cell r="F12">
            <v>0</v>
          </cell>
          <cell r="G12">
            <v>0</v>
          </cell>
          <cell r="I12">
            <v>5895000.0000000019</v>
          </cell>
          <cell r="J12">
            <v>9199999.9999999888</v>
          </cell>
          <cell r="T12">
            <v>1160822</v>
          </cell>
          <cell r="AB12">
            <v>64999.99999999773</v>
          </cell>
        </row>
        <row r="13">
          <cell r="C13">
            <v>5916000</v>
          </cell>
          <cell r="E13">
            <v>12000000</v>
          </cell>
          <cell r="F13">
            <v>0</v>
          </cell>
          <cell r="G13">
            <v>0</v>
          </cell>
          <cell r="I13">
            <v>5551999.9999999963</v>
          </cell>
          <cell r="J13">
            <v>10599999.999999994</v>
          </cell>
          <cell r="T13">
            <v>1049788</v>
          </cell>
          <cell r="AB13">
            <v>358000.00000000407</v>
          </cell>
        </row>
        <row r="14">
          <cell r="C14">
            <v>1775000</v>
          </cell>
          <cell r="E14">
            <v>14000000</v>
          </cell>
          <cell r="F14">
            <v>0</v>
          </cell>
          <cell r="G14">
            <v>0</v>
          </cell>
          <cell r="I14">
            <v>1629000.000000004</v>
          </cell>
          <cell r="J14">
            <v>12900000.000000006</v>
          </cell>
          <cell r="T14">
            <v>1223513</v>
          </cell>
          <cell r="AB14">
            <v>144999.99999999601</v>
          </cell>
        </row>
        <row r="15">
          <cell r="C15">
            <v>0</v>
          </cell>
          <cell r="E15">
            <v>15000000</v>
          </cell>
          <cell r="F15">
            <v>0</v>
          </cell>
          <cell r="G15">
            <v>0</v>
          </cell>
          <cell r="I15">
            <v>0</v>
          </cell>
          <cell r="J15">
            <v>13099999.999999994</v>
          </cell>
          <cell r="T15">
            <v>1361425</v>
          </cell>
          <cell r="AB15">
            <v>0</v>
          </cell>
        </row>
        <row r="16">
          <cell r="C16">
            <v>0</v>
          </cell>
          <cell r="E16">
            <v>12000000</v>
          </cell>
          <cell r="F16">
            <v>0</v>
          </cell>
          <cell r="G16">
            <v>0</v>
          </cell>
          <cell r="I16">
            <v>0</v>
          </cell>
          <cell r="J16">
            <v>11200000.000000017</v>
          </cell>
          <cell r="T16">
            <v>1081337</v>
          </cell>
          <cell r="AB16">
            <v>0</v>
          </cell>
        </row>
        <row r="17">
          <cell r="C17">
            <v>0</v>
          </cell>
          <cell r="E17">
            <v>15000000</v>
          </cell>
          <cell r="F17">
            <v>0</v>
          </cell>
          <cell r="G17">
            <v>0</v>
          </cell>
          <cell r="I17">
            <v>0</v>
          </cell>
          <cell r="J17">
            <v>13199999.999999989</v>
          </cell>
          <cell r="T17">
            <v>1269867</v>
          </cell>
          <cell r="AB17">
            <v>0</v>
          </cell>
        </row>
        <row r="18">
          <cell r="C18">
            <v>0</v>
          </cell>
          <cell r="E18">
            <v>15000000</v>
          </cell>
          <cell r="F18">
            <v>0</v>
          </cell>
          <cell r="G18">
            <v>0</v>
          </cell>
          <cell r="I18">
            <v>0</v>
          </cell>
          <cell r="J18">
            <v>13400000.000000006</v>
          </cell>
          <cell r="T18">
            <v>1478629</v>
          </cell>
          <cell r="AB18">
            <v>0</v>
          </cell>
        </row>
        <row r="19">
          <cell r="C19">
            <v>0</v>
          </cell>
          <cell r="E19">
            <v>15000000</v>
          </cell>
          <cell r="F19">
            <v>0</v>
          </cell>
          <cell r="G19">
            <v>0</v>
          </cell>
          <cell r="I19">
            <v>0</v>
          </cell>
          <cell r="J19">
            <v>13699999.999999989</v>
          </cell>
          <cell r="T19">
            <v>1455221</v>
          </cell>
          <cell r="AB19">
            <v>0</v>
          </cell>
        </row>
        <row r="20">
          <cell r="C20">
            <v>0</v>
          </cell>
          <cell r="E20">
            <v>16000000</v>
          </cell>
          <cell r="F20">
            <v>0</v>
          </cell>
          <cell r="G20">
            <v>0</v>
          </cell>
          <cell r="I20">
            <v>0</v>
          </cell>
          <cell r="J20">
            <v>14000000</v>
          </cell>
          <cell r="T20">
            <v>1403717</v>
          </cell>
          <cell r="AB20">
            <v>0</v>
          </cell>
        </row>
        <row r="21">
          <cell r="C21">
            <v>0</v>
          </cell>
          <cell r="E21">
            <v>18000000</v>
          </cell>
          <cell r="F21">
            <v>0</v>
          </cell>
          <cell r="G21">
            <v>0</v>
          </cell>
          <cell r="I21">
            <v>0</v>
          </cell>
          <cell r="J21">
            <v>15600000.000000022</v>
          </cell>
          <cell r="T21">
            <v>1563166</v>
          </cell>
          <cell r="AB21">
            <v>0</v>
          </cell>
        </row>
        <row r="22">
          <cell r="C22">
            <v>0</v>
          </cell>
          <cell r="E22">
            <v>15000000</v>
          </cell>
          <cell r="F22">
            <v>0</v>
          </cell>
          <cell r="G22">
            <v>0</v>
          </cell>
          <cell r="I22">
            <v>0</v>
          </cell>
          <cell r="J22">
            <v>14000000</v>
          </cell>
          <cell r="T22">
            <v>1293212</v>
          </cell>
          <cell r="AB22">
            <v>0</v>
          </cell>
        </row>
        <row r="23">
          <cell r="C23">
            <v>0</v>
          </cell>
          <cell r="E23">
            <v>16000000</v>
          </cell>
          <cell r="F23">
            <v>0</v>
          </cell>
          <cell r="G23">
            <v>0</v>
          </cell>
          <cell r="I23">
            <v>0</v>
          </cell>
          <cell r="J23">
            <v>14599999.999999966</v>
          </cell>
          <cell r="T23">
            <v>1517021</v>
          </cell>
          <cell r="AB23">
            <v>0</v>
          </cell>
        </row>
        <row r="24">
          <cell r="C24">
            <v>0</v>
          </cell>
          <cell r="E24">
            <v>18000000</v>
          </cell>
          <cell r="F24">
            <v>0</v>
          </cell>
          <cell r="G24">
            <v>0</v>
          </cell>
          <cell r="I24">
            <v>0</v>
          </cell>
          <cell r="J24">
            <v>14800000.000000011</v>
          </cell>
          <cell r="T24">
            <v>1582106</v>
          </cell>
          <cell r="AB24">
            <v>0</v>
          </cell>
        </row>
        <row r="25">
          <cell r="C25">
            <v>0</v>
          </cell>
          <cell r="E25">
            <v>20000000</v>
          </cell>
          <cell r="F25">
            <v>0</v>
          </cell>
          <cell r="G25">
            <v>0</v>
          </cell>
          <cell r="I25">
            <v>0</v>
          </cell>
          <cell r="J25">
            <v>18199999.999999989</v>
          </cell>
          <cell r="T25">
            <v>1798069</v>
          </cell>
          <cell r="AB25">
            <v>0</v>
          </cell>
        </row>
        <row r="26">
          <cell r="C26">
            <v>0</v>
          </cell>
          <cell r="E26">
            <v>18000000</v>
          </cell>
          <cell r="F26">
            <v>0</v>
          </cell>
          <cell r="G26">
            <v>0</v>
          </cell>
          <cell r="I26">
            <v>0</v>
          </cell>
          <cell r="J26">
            <v>15800000.000000011</v>
          </cell>
          <cell r="T26">
            <v>1854283</v>
          </cell>
          <cell r="AB26">
            <v>0</v>
          </cell>
        </row>
        <row r="27">
          <cell r="C27">
            <v>0</v>
          </cell>
          <cell r="E27">
            <v>16000000</v>
          </cell>
          <cell r="F27">
            <v>0</v>
          </cell>
          <cell r="G27">
            <v>0</v>
          </cell>
          <cell r="I27">
            <v>0</v>
          </cell>
          <cell r="J27">
            <v>14800000.000000011</v>
          </cell>
          <cell r="T27">
            <v>1715604</v>
          </cell>
          <cell r="AB27">
            <v>0</v>
          </cell>
        </row>
        <row r="28">
          <cell r="C28">
            <v>0</v>
          </cell>
          <cell r="E28">
            <v>19000000</v>
          </cell>
          <cell r="F28">
            <v>0</v>
          </cell>
          <cell r="G28">
            <v>0</v>
          </cell>
          <cell r="I28">
            <v>0</v>
          </cell>
          <cell r="J28">
            <v>16500000</v>
          </cell>
          <cell r="T28">
            <v>1633379</v>
          </cell>
          <cell r="AB28">
            <v>0</v>
          </cell>
        </row>
        <row r="29">
          <cell r="C29">
            <v>0</v>
          </cell>
          <cell r="E29">
            <v>21000000</v>
          </cell>
          <cell r="F29">
            <v>0</v>
          </cell>
          <cell r="G29">
            <v>0</v>
          </cell>
          <cell r="I29">
            <v>0</v>
          </cell>
          <cell r="J29">
            <v>19500000</v>
          </cell>
          <cell r="T29">
            <v>1797210</v>
          </cell>
          <cell r="AB29">
            <v>0</v>
          </cell>
        </row>
        <row r="30">
          <cell r="C30">
            <v>0</v>
          </cell>
          <cell r="E30">
            <v>23000000</v>
          </cell>
          <cell r="F30">
            <v>0</v>
          </cell>
          <cell r="G30">
            <v>0</v>
          </cell>
          <cell r="I30">
            <v>0</v>
          </cell>
          <cell r="J30">
            <v>20699999.999999989</v>
          </cell>
          <cell r="T30">
            <v>2221493</v>
          </cell>
          <cell r="AB30">
            <v>0</v>
          </cell>
        </row>
        <row r="31">
          <cell r="C31">
            <v>129000</v>
          </cell>
          <cell r="E31">
            <v>22000000</v>
          </cell>
          <cell r="F31">
            <v>0</v>
          </cell>
          <cell r="G31">
            <v>0</v>
          </cell>
          <cell r="I31">
            <v>0</v>
          </cell>
          <cell r="J31">
            <v>18800000.000000011</v>
          </cell>
          <cell r="T31">
            <v>2643826</v>
          </cell>
          <cell r="AB31">
            <v>353000.00000000861</v>
          </cell>
        </row>
        <row r="32">
          <cell r="C32">
            <v>3962000</v>
          </cell>
          <cell r="E32">
            <v>20000000</v>
          </cell>
          <cell r="F32">
            <v>0</v>
          </cell>
          <cell r="G32">
            <v>0</v>
          </cell>
          <cell r="I32">
            <v>3888999.9999999972</v>
          </cell>
          <cell r="J32">
            <v>17699999.999999989</v>
          </cell>
          <cell r="T32">
            <v>1741991</v>
          </cell>
          <cell r="AB32">
            <v>72000.000000002736</v>
          </cell>
        </row>
        <row r="33">
          <cell r="C33">
            <v>6186000</v>
          </cell>
          <cell r="E33">
            <v>16000000</v>
          </cell>
          <cell r="F33">
            <v>0</v>
          </cell>
          <cell r="G33">
            <v>0</v>
          </cell>
          <cell r="I33">
            <v>5551000</v>
          </cell>
          <cell r="J33">
            <v>14800000.000000011</v>
          </cell>
          <cell r="T33">
            <v>1564315</v>
          </cell>
          <cell r="AB33">
            <v>631000.00000000023</v>
          </cell>
        </row>
        <row r="34">
          <cell r="C34">
            <v>5450000</v>
          </cell>
          <cell r="E34">
            <v>13000000</v>
          </cell>
          <cell r="F34">
            <v>0</v>
          </cell>
          <cell r="G34">
            <v>0</v>
          </cell>
          <cell r="I34">
            <v>5386999.9999999981</v>
          </cell>
          <cell r="J34">
            <v>11800000.000000011</v>
          </cell>
          <cell r="T34">
            <v>1201107</v>
          </cell>
          <cell r="AB34">
            <v>51000.000000001935</v>
          </cell>
        </row>
        <row r="35">
          <cell r="C35">
            <v>4942000</v>
          </cell>
          <cell r="E35">
            <v>10000000</v>
          </cell>
          <cell r="F35">
            <v>0</v>
          </cell>
          <cell r="G35">
            <v>0</v>
          </cell>
          <cell r="I35">
            <v>4723000.0000000112</v>
          </cell>
          <cell r="J35">
            <v>9699999.9999999888</v>
          </cell>
          <cell r="T35">
            <v>1105423</v>
          </cell>
          <cell r="AB35">
            <v>214999.9999999892</v>
          </cell>
        </row>
        <row r="36">
          <cell r="C36">
            <v>5254000</v>
          </cell>
          <cell r="E36">
            <v>11000000</v>
          </cell>
          <cell r="F36">
            <v>0</v>
          </cell>
          <cell r="G36">
            <v>0</v>
          </cell>
          <cell r="I36">
            <v>5024000.0000000009</v>
          </cell>
          <cell r="J36">
            <v>8100000.0000000224</v>
          </cell>
          <cell r="T36">
            <v>1173161</v>
          </cell>
          <cell r="AB36">
            <v>225999.9999999991</v>
          </cell>
        </row>
        <row r="37">
          <cell r="C37">
            <v>5068000</v>
          </cell>
          <cell r="E37">
            <v>13000000</v>
          </cell>
          <cell r="F37">
            <v>0</v>
          </cell>
          <cell r="G37">
            <v>0</v>
          </cell>
          <cell r="I37">
            <v>4934999.9999999907</v>
          </cell>
          <cell r="J37">
            <v>12500000</v>
          </cell>
          <cell r="T37">
            <v>1174571</v>
          </cell>
          <cell r="AB37">
            <v>130000.00000000966</v>
          </cell>
        </row>
        <row r="38">
          <cell r="C38">
            <v>4873000</v>
          </cell>
          <cell r="E38">
            <v>14000000</v>
          </cell>
          <cell r="F38">
            <v>0</v>
          </cell>
          <cell r="G38">
            <v>0</v>
          </cell>
          <cell r="I38">
            <v>4739000</v>
          </cell>
          <cell r="J38">
            <v>12799999.999999955</v>
          </cell>
          <cell r="T38">
            <v>1469165</v>
          </cell>
          <cell r="AB38">
            <v>131000.00000000023</v>
          </cell>
        </row>
        <row r="39">
          <cell r="C39">
            <v>4917000</v>
          </cell>
          <cell r="E39">
            <v>18000000</v>
          </cell>
          <cell r="F39">
            <v>0</v>
          </cell>
          <cell r="G39">
            <v>0</v>
          </cell>
          <cell r="I39">
            <v>4783000.0000000047</v>
          </cell>
          <cell r="J39">
            <v>15300000.000000069</v>
          </cell>
          <cell r="T39">
            <v>1696741</v>
          </cell>
          <cell r="AB39">
            <v>129999.99999999546</v>
          </cell>
        </row>
        <row r="40">
          <cell r="C40">
            <v>5633000</v>
          </cell>
          <cell r="E40">
            <v>20000000</v>
          </cell>
          <cell r="F40">
            <v>0</v>
          </cell>
          <cell r="G40">
            <v>0</v>
          </cell>
          <cell r="I40">
            <v>5497999.9999999953</v>
          </cell>
          <cell r="J40">
            <v>19000000</v>
          </cell>
          <cell r="T40">
            <v>1771630</v>
          </cell>
          <cell r="AB40">
            <v>132000.00000000501</v>
          </cell>
        </row>
        <row r="41">
          <cell r="C41">
            <v>5633000</v>
          </cell>
          <cell r="E41">
            <v>19000000</v>
          </cell>
          <cell r="F41">
            <v>0</v>
          </cell>
          <cell r="G41">
            <v>0</v>
          </cell>
          <cell r="I41">
            <v>5448000.0000000075</v>
          </cell>
          <cell r="J41">
            <v>16599999.999999909</v>
          </cell>
          <cell r="T41">
            <v>1619568</v>
          </cell>
          <cell r="AB41">
            <v>179999.99999999261</v>
          </cell>
        </row>
        <row r="42">
          <cell r="C42">
            <v>4967000</v>
          </cell>
          <cell r="E42">
            <v>13000000</v>
          </cell>
          <cell r="F42">
            <v>0</v>
          </cell>
          <cell r="G42">
            <v>0</v>
          </cell>
          <cell r="I42">
            <v>4901000.0000000019</v>
          </cell>
          <cell r="J42">
            <v>11600000.000000022</v>
          </cell>
          <cell r="T42">
            <v>1339698</v>
          </cell>
          <cell r="AB42">
            <v>64999.99999999773</v>
          </cell>
        </row>
        <row r="43">
          <cell r="C43">
            <v>5100000</v>
          </cell>
          <cell r="E43">
            <v>12000000</v>
          </cell>
          <cell r="F43">
            <v>0</v>
          </cell>
          <cell r="G43">
            <v>0</v>
          </cell>
          <cell r="I43">
            <v>5045999.9999999935</v>
          </cell>
          <cell r="J43">
            <v>11000000</v>
          </cell>
          <cell r="T43">
            <v>1076933</v>
          </cell>
          <cell r="AB43">
            <v>52000.000000006708</v>
          </cell>
        </row>
        <row r="44">
          <cell r="C44">
            <v>4938000</v>
          </cell>
          <cell r="E44">
            <v>13000000</v>
          </cell>
          <cell r="F44">
            <v>0</v>
          </cell>
          <cell r="G44">
            <v>0</v>
          </cell>
          <cell r="I44">
            <v>4806000.0000000093</v>
          </cell>
          <cell r="J44">
            <v>10899999.999999978</v>
          </cell>
          <cell r="T44">
            <v>1281729</v>
          </cell>
          <cell r="AB44">
            <v>128999.99999999067</v>
          </cell>
        </row>
        <row r="45">
          <cell r="C45">
            <v>5086000</v>
          </cell>
          <cell r="E45">
            <v>12000000</v>
          </cell>
          <cell r="F45">
            <v>0</v>
          </cell>
          <cell r="G45">
            <v>0</v>
          </cell>
          <cell r="I45">
            <v>4936999.9999999898</v>
          </cell>
          <cell r="J45">
            <v>11800000.000000069</v>
          </cell>
          <cell r="T45">
            <v>1052393</v>
          </cell>
          <cell r="AB45">
            <v>145000.00000001024</v>
          </cell>
        </row>
        <row r="46">
          <cell r="C46">
            <v>4872000</v>
          </cell>
          <cell r="E46">
            <v>14000000</v>
          </cell>
          <cell r="F46">
            <v>0</v>
          </cell>
          <cell r="G46">
            <v>0</v>
          </cell>
          <cell r="I46">
            <v>4739000.0000000047</v>
          </cell>
          <cell r="J46">
            <v>12100000.000000022</v>
          </cell>
          <cell r="T46">
            <v>1529123</v>
          </cell>
          <cell r="AB46">
            <v>129999.99999999546</v>
          </cell>
        </row>
        <row r="47">
          <cell r="C47">
            <v>4865000</v>
          </cell>
          <cell r="E47">
            <v>16000000</v>
          </cell>
          <cell r="F47">
            <v>0</v>
          </cell>
          <cell r="G47">
            <v>0</v>
          </cell>
          <cell r="I47">
            <v>4799000.0000000019</v>
          </cell>
          <cell r="J47">
            <v>14599999.999999909</v>
          </cell>
          <cell r="T47">
            <v>1722053</v>
          </cell>
          <cell r="AB47">
            <v>64999.99999999773</v>
          </cell>
        </row>
        <row r="48">
          <cell r="C48">
            <v>5038000</v>
          </cell>
          <cell r="E48">
            <v>20000000</v>
          </cell>
          <cell r="F48">
            <v>0</v>
          </cell>
          <cell r="G48">
            <v>0</v>
          </cell>
          <cell r="I48">
            <v>4915999.9999999907</v>
          </cell>
          <cell r="J48">
            <v>17400000.000000089</v>
          </cell>
          <cell r="T48">
            <v>1723776</v>
          </cell>
          <cell r="AB48">
            <v>118000.00000000921</v>
          </cell>
        </row>
        <row r="49">
          <cell r="C49">
            <v>6588000</v>
          </cell>
          <cell r="E49">
            <v>20000000</v>
          </cell>
          <cell r="F49">
            <v>0</v>
          </cell>
          <cell r="G49">
            <v>0</v>
          </cell>
          <cell r="I49">
            <v>6455000.0000000047</v>
          </cell>
          <cell r="J49">
            <v>19199999.999999933</v>
          </cell>
          <cell r="T49">
            <v>1762383</v>
          </cell>
          <cell r="AB49">
            <v>129999.99999999546</v>
          </cell>
        </row>
        <row r="50">
          <cell r="C50">
            <v>7107000</v>
          </cell>
          <cell r="E50">
            <v>24000000</v>
          </cell>
          <cell r="F50">
            <v>0</v>
          </cell>
          <cell r="G50">
            <v>0</v>
          </cell>
          <cell r="I50">
            <v>6973000</v>
          </cell>
          <cell r="J50">
            <v>21300000.000000067</v>
          </cell>
          <cell r="T50">
            <v>2246475</v>
          </cell>
          <cell r="AB50">
            <v>131000.00000000023</v>
          </cell>
        </row>
        <row r="51">
          <cell r="C51">
            <v>6545000</v>
          </cell>
          <cell r="E51">
            <v>25000000</v>
          </cell>
          <cell r="F51">
            <v>0</v>
          </cell>
          <cell r="G51">
            <v>10000</v>
          </cell>
          <cell r="I51">
            <v>6291000</v>
          </cell>
          <cell r="J51">
            <v>22399999.999999978</v>
          </cell>
          <cell r="T51">
            <v>2093578</v>
          </cell>
          <cell r="AB51">
            <v>246999.99999999988</v>
          </cell>
        </row>
        <row r="52">
          <cell r="C52">
            <v>6020000</v>
          </cell>
          <cell r="E52">
            <v>22000000</v>
          </cell>
          <cell r="F52">
            <v>0</v>
          </cell>
          <cell r="G52">
            <v>90000</v>
          </cell>
          <cell r="I52">
            <v>5886000</v>
          </cell>
          <cell r="J52">
            <v>19600000.000000022</v>
          </cell>
          <cell r="T52">
            <v>2060989</v>
          </cell>
          <cell r="AB52">
            <v>131000.00000000023</v>
          </cell>
        </row>
        <row r="53">
          <cell r="C53">
            <v>5038000</v>
          </cell>
          <cell r="E53">
            <v>22000000</v>
          </cell>
          <cell r="F53">
            <v>0</v>
          </cell>
          <cell r="G53">
            <v>10000</v>
          </cell>
          <cell r="I53">
            <v>4784000</v>
          </cell>
          <cell r="J53">
            <v>19799999.999999955</v>
          </cell>
          <cell r="T53">
            <v>2273058</v>
          </cell>
          <cell r="AB53">
            <v>246999.99999999988</v>
          </cell>
        </row>
        <row r="54">
          <cell r="C54">
            <v>5043000</v>
          </cell>
          <cell r="E54">
            <v>21000000</v>
          </cell>
          <cell r="F54">
            <v>0</v>
          </cell>
          <cell r="G54">
            <v>10000</v>
          </cell>
          <cell r="I54">
            <v>4909000</v>
          </cell>
          <cell r="J54">
            <v>19500000</v>
          </cell>
          <cell r="T54">
            <v>1852766</v>
          </cell>
          <cell r="AB54">
            <v>131000.00000000023</v>
          </cell>
        </row>
        <row r="55">
          <cell r="C55">
            <v>5399000</v>
          </cell>
          <cell r="E55">
            <v>14000000</v>
          </cell>
          <cell r="F55">
            <v>0</v>
          </cell>
          <cell r="G55">
            <v>10000</v>
          </cell>
          <cell r="I55">
            <v>5199000.0000000065</v>
          </cell>
          <cell r="J55">
            <v>12000000</v>
          </cell>
          <cell r="T55">
            <v>1171083</v>
          </cell>
          <cell r="AB55">
            <v>194999.99999999319</v>
          </cell>
        </row>
        <row r="56">
          <cell r="C56">
            <v>5414000</v>
          </cell>
          <cell r="E56">
            <v>15000000</v>
          </cell>
          <cell r="F56">
            <v>0</v>
          </cell>
          <cell r="G56">
            <v>30000</v>
          </cell>
          <cell r="I56">
            <v>5292000</v>
          </cell>
          <cell r="J56">
            <v>13799999.999999955</v>
          </cell>
          <cell r="T56">
            <v>1459463</v>
          </cell>
          <cell r="AB56">
            <v>118999.99999999977</v>
          </cell>
        </row>
        <row r="57">
          <cell r="C57">
            <v>4913000</v>
          </cell>
          <cell r="E57">
            <v>15000000</v>
          </cell>
          <cell r="F57">
            <v>0</v>
          </cell>
          <cell r="G57">
            <v>10000</v>
          </cell>
          <cell r="I57">
            <v>4779999.9999999907</v>
          </cell>
          <cell r="J57">
            <v>13500000</v>
          </cell>
          <cell r="T57">
            <v>1618194</v>
          </cell>
          <cell r="AB57">
            <v>130000.00000000966</v>
          </cell>
        </row>
        <row r="58">
          <cell r="C58">
            <v>5052000</v>
          </cell>
          <cell r="E58">
            <v>15000000</v>
          </cell>
          <cell r="F58">
            <v>0</v>
          </cell>
          <cell r="G58">
            <v>0</v>
          </cell>
          <cell r="I58">
            <v>4918000</v>
          </cell>
          <cell r="J58">
            <v>12600000.000000022</v>
          </cell>
          <cell r="T58">
            <v>1548083</v>
          </cell>
          <cell r="AB58">
            <v>131000.00000000023</v>
          </cell>
        </row>
        <row r="59">
          <cell r="C59">
            <v>5311000</v>
          </cell>
          <cell r="E59">
            <v>16000000</v>
          </cell>
          <cell r="F59">
            <v>0</v>
          </cell>
          <cell r="G59">
            <v>10000</v>
          </cell>
          <cell r="I59">
            <v>5189000.0000000047</v>
          </cell>
          <cell r="J59">
            <v>14600000.000000022</v>
          </cell>
          <cell r="T59">
            <v>1740570</v>
          </cell>
          <cell r="AB59">
            <v>117999.99999999499</v>
          </cell>
        </row>
        <row r="60">
          <cell r="C60">
            <v>5063000</v>
          </cell>
          <cell r="E60">
            <v>20000000</v>
          </cell>
          <cell r="F60">
            <v>0</v>
          </cell>
          <cell r="G60">
            <v>10000</v>
          </cell>
          <cell r="I60">
            <v>4929000</v>
          </cell>
          <cell r="J60">
            <v>17200000.000000045</v>
          </cell>
          <cell r="T60">
            <v>1948086</v>
          </cell>
          <cell r="AB60">
            <v>131000.00000000023</v>
          </cell>
        </row>
        <row r="61">
          <cell r="C61">
            <v>5042000</v>
          </cell>
          <cell r="E61">
            <v>19000000</v>
          </cell>
          <cell r="F61">
            <v>0</v>
          </cell>
          <cell r="G61">
            <v>10000</v>
          </cell>
          <cell r="I61">
            <v>4906999.9999999953</v>
          </cell>
          <cell r="J61">
            <v>17099999.999999911</v>
          </cell>
          <cell r="T61">
            <v>1956645</v>
          </cell>
          <cell r="AB61">
            <v>132000.00000000501</v>
          </cell>
        </row>
        <row r="62">
          <cell r="C62">
            <v>5086000</v>
          </cell>
          <cell r="E62">
            <v>21000000</v>
          </cell>
          <cell r="F62">
            <v>0</v>
          </cell>
          <cell r="G62">
            <v>10000</v>
          </cell>
          <cell r="I62">
            <v>4897000.0000000028</v>
          </cell>
          <cell r="J62">
            <v>18900000.000000089</v>
          </cell>
          <cell r="T62">
            <v>1905369</v>
          </cell>
          <cell r="AB62">
            <v>183999.9999999975</v>
          </cell>
        </row>
        <row r="63">
          <cell r="C63">
            <v>5151000</v>
          </cell>
          <cell r="E63">
            <v>14000000</v>
          </cell>
          <cell r="F63">
            <v>0</v>
          </cell>
          <cell r="G63">
            <v>5040000</v>
          </cell>
          <cell r="I63">
            <v>4951000.0000000065</v>
          </cell>
          <cell r="J63">
            <v>16899999.999999978</v>
          </cell>
          <cell r="T63">
            <v>1679348</v>
          </cell>
          <cell r="AB63">
            <v>194999.99999999319</v>
          </cell>
        </row>
        <row r="64">
          <cell r="C64">
            <v>5051000</v>
          </cell>
          <cell r="E64">
            <v>7000000</v>
          </cell>
          <cell r="F64">
            <v>0</v>
          </cell>
          <cell r="G64">
            <v>7750000</v>
          </cell>
          <cell r="I64">
            <v>5051000</v>
          </cell>
          <cell r="J64">
            <v>14199999.999999931</v>
          </cell>
          <cell r="T64">
            <v>1568510</v>
          </cell>
          <cell r="AB64">
            <v>0</v>
          </cell>
        </row>
        <row r="65">
          <cell r="C65">
            <v>5209000</v>
          </cell>
          <cell r="E65">
            <v>10000000</v>
          </cell>
          <cell r="F65">
            <v>0</v>
          </cell>
          <cell r="G65">
            <v>9550000</v>
          </cell>
          <cell r="I65">
            <v>5020000.0000000028</v>
          </cell>
          <cell r="J65">
            <v>16500000</v>
          </cell>
          <cell r="T65">
            <v>1849502</v>
          </cell>
          <cell r="AB65">
            <v>183999.9999999975</v>
          </cell>
        </row>
        <row r="66">
          <cell r="C66">
            <v>5464000</v>
          </cell>
          <cell r="E66">
            <v>13000000</v>
          </cell>
          <cell r="F66">
            <v>0</v>
          </cell>
          <cell r="G66">
            <v>7470000</v>
          </cell>
          <cell r="I66">
            <v>5134999.9999999925</v>
          </cell>
          <cell r="J66">
            <v>19200000.000000045</v>
          </cell>
          <cell r="T66">
            <v>1884394</v>
          </cell>
          <cell r="AB66">
            <v>323000.00000000751</v>
          </cell>
        </row>
        <row r="67">
          <cell r="C67">
            <v>5823000</v>
          </cell>
          <cell r="E67">
            <v>14000000</v>
          </cell>
          <cell r="F67">
            <v>0</v>
          </cell>
          <cell r="G67">
            <v>13210000</v>
          </cell>
          <cell r="I67">
            <v>5701999.9999999953</v>
          </cell>
          <cell r="J67">
            <v>24299999.999999955</v>
          </cell>
          <cell r="T67">
            <v>2564631</v>
          </cell>
          <cell r="AB67">
            <v>117000.00000000444</v>
          </cell>
        </row>
        <row r="68">
          <cell r="C68">
            <v>5192000</v>
          </cell>
          <cell r="E68">
            <v>13000000</v>
          </cell>
          <cell r="F68">
            <v>0</v>
          </cell>
          <cell r="G68">
            <v>10550000</v>
          </cell>
          <cell r="I68">
            <v>4864000.0000000065</v>
          </cell>
          <cell r="J68">
            <v>21100000.000000138</v>
          </cell>
          <cell r="T68">
            <v>2234196</v>
          </cell>
          <cell r="AB68">
            <v>319999.99999999319</v>
          </cell>
        </row>
        <row r="69">
          <cell r="C69">
            <v>5337000</v>
          </cell>
          <cell r="E69">
            <v>13000000</v>
          </cell>
          <cell r="F69">
            <v>0</v>
          </cell>
          <cell r="G69">
            <v>10870000</v>
          </cell>
          <cell r="I69">
            <v>5216000.0000000047</v>
          </cell>
          <cell r="J69">
            <v>21699999.999999817</v>
          </cell>
          <cell r="T69">
            <v>2127161</v>
          </cell>
          <cell r="AB69">
            <v>117999.99999999499</v>
          </cell>
        </row>
        <row r="70">
          <cell r="C70">
            <v>5313000</v>
          </cell>
          <cell r="E70">
            <v>13000000</v>
          </cell>
          <cell r="F70">
            <v>0</v>
          </cell>
          <cell r="G70">
            <v>9960000</v>
          </cell>
          <cell r="I70">
            <v>5112999.9999999925</v>
          </cell>
          <cell r="J70">
            <v>20300000.000000183</v>
          </cell>
          <cell r="T70">
            <v>2270147</v>
          </cell>
          <cell r="AB70">
            <v>195000.00000000739</v>
          </cell>
        </row>
        <row r="71">
          <cell r="C71">
            <v>5301000</v>
          </cell>
          <cell r="E71">
            <v>14000000</v>
          </cell>
          <cell r="F71">
            <v>0</v>
          </cell>
          <cell r="G71">
            <v>9920000</v>
          </cell>
          <cell r="I71">
            <v>5064000.0000000009</v>
          </cell>
          <cell r="J71">
            <v>21099999.999999911</v>
          </cell>
          <cell r="T71">
            <v>2085290</v>
          </cell>
          <cell r="AB71">
            <v>231999.99999999933</v>
          </cell>
        </row>
        <row r="72">
          <cell r="C72">
            <v>5453000</v>
          </cell>
          <cell r="E72">
            <v>14000000</v>
          </cell>
          <cell r="F72">
            <v>0</v>
          </cell>
          <cell r="G72">
            <v>8340000</v>
          </cell>
          <cell r="I72">
            <v>5332000.0000000047</v>
          </cell>
          <cell r="J72">
            <v>20099999.999999911</v>
          </cell>
          <cell r="T72">
            <v>2175082</v>
          </cell>
          <cell r="AB72">
            <v>117999.99999999499</v>
          </cell>
        </row>
        <row r="73">
          <cell r="C73">
            <v>5516000</v>
          </cell>
          <cell r="E73">
            <v>15000000</v>
          </cell>
          <cell r="F73">
            <v>0</v>
          </cell>
          <cell r="G73">
            <v>10370000</v>
          </cell>
          <cell r="I73">
            <v>5313999.9999999879</v>
          </cell>
          <cell r="J73">
            <v>23000000</v>
          </cell>
          <cell r="T73">
            <v>2282550</v>
          </cell>
          <cell r="AB73">
            <v>196000.00000001217</v>
          </cell>
        </row>
        <row r="74">
          <cell r="C74">
            <v>5913000</v>
          </cell>
          <cell r="E74">
            <v>16000000</v>
          </cell>
          <cell r="F74">
            <v>0</v>
          </cell>
          <cell r="G74">
            <v>9990000</v>
          </cell>
          <cell r="I74">
            <v>5731000.0000000075</v>
          </cell>
          <cell r="J74">
            <v>22900000.000000089</v>
          </cell>
          <cell r="T74">
            <v>2219358</v>
          </cell>
          <cell r="AB74">
            <v>176999.99999999249</v>
          </cell>
        </row>
        <row r="75">
          <cell r="C75">
            <v>5706000</v>
          </cell>
          <cell r="E75">
            <v>15000000</v>
          </cell>
          <cell r="F75">
            <v>0</v>
          </cell>
          <cell r="G75">
            <v>9970000</v>
          </cell>
          <cell r="I75">
            <v>5570999.9999999953</v>
          </cell>
          <cell r="J75">
            <v>22500000</v>
          </cell>
          <cell r="T75">
            <v>2439908</v>
          </cell>
          <cell r="AB75">
            <v>132000.00000000501</v>
          </cell>
        </row>
        <row r="76">
          <cell r="C76">
            <v>5883000</v>
          </cell>
          <cell r="E76">
            <v>16000000</v>
          </cell>
          <cell r="F76">
            <v>0</v>
          </cell>
          <cell r="G76">
            <v>10000000</v>
          </cell>
          <cell r="I76">
            <v>5817999.9999999972</v>
          </cell>
          <cell r="J76">
            <v>23500000</v>
          </cell>
          <cell r="T76">
            <v>2088759</v>
          </cell>
          <cell r="AB76">
            <v>63000.000000002387</v>
          </cell>
        </row>
        <row r="77">
          <cell r="C77">
            <v>7554000</v>
          </cell>
          <cell r="E77">
            <v>17000000</v>
          </cell>
          <cell r="F77">
            <v>0</v>
          </cell>
          <cell r="G77">
            <v>9740000</v>
          </cell>
          <cell r="I77">
            <v>7364000.0000000121</v>
          </cell>
          <cell r="J77">
            <v>23299999.999999955</v>
          </cell>
          <cell r="T77">
            <v>2425949</v>
          </cell>
          <cell r="AB77">
            <v>184999.99999998807</v>
          </cell>
        </row>
        <row r="78">
          <cell r="C78">
            <v>11736000</v>
          </cell>
          <cell r="E78">
            <v>16000000</v>
          </cell>
          <cell r="F78">
            <v>0</v>
          </cell>
          <cell r="G78">
            <v>9710000</v>
          </cell>
          <cell r="I78">
            <v>11533999.999999998</v>
          </cell>
          <cell r="J78">
            <v>23799999.999999955</v>
          </cell>
          <cell r="T78">
            <v>2241093</v>
          </cell>
          <cell r="AB78">
            <v>197000.00000000274</v>
          </cell>
        </row>
        <row r="79">
          <cell r="C79">
            <v>12870000</v>
          </cell>
          <cell r="E79">
            <v>16000000</v>
          </cell>
          <cell r="F79">
            <v>0</v>
          </cell>
          <cell r="G79">
            <v>8440000</v>
          </cell>
          <cell r="I79">
            <v>12614000</v>
          </cell>
          <cell r="J79">
            <v>21400000.000000089</v>
          </cell>
          <cell r="T79">
            <v>2106773</v>
          </cell>
          <cell r="AB79">
            <v>250000</v>
          </cell>
        </row>
        <row r="80">
          <cell r="C80">
            <v>13177000</v>
          </cell>
          <cell r="E80">
            <v>16000000</v>
          </cell>
          <cell r="F80">
            <v>0</v>
          </cell>
          <cell r="G80">
            <v>8880000</v>
          </cell>
          <cell r="I80">
            <v>12921999.999999996</v>
          </cell>
          <cell r="J80">
            <v>21500000</v>
          </cell>
          <cell r="T80">
            <v>2521452</v>
          </cell>
          <cell r="AB80">
            <v>248000.00000000466</v>
          </cell>
        </row>
        <row r="81">
          <cell r="C81">
            <v>13549000</v>
          </cell>
          <cell r="E81">
            <v>16000000</v>
          </cell>
          <cell r="F81">
            <v>0</v>
          </cell>
          <cell r="G81">
            <v>9120000</v>
          </cell>
          <cell r="I81">
            <v>13281000</v>
          </cell>
          <cell r="J81">
            <v>22700000.000000045</v>
          </cell>
          <cell r="T81">
            <v>2271694</v>
          </cell>
          <cell r="AB81">
            <v>262000.00000000047</v>
          </cell>
        </row>
        <row r="82">
          <cell r="C82">
            <v>10569000</v>
          </cell>
          <cell r="E82">
            <v>16000000</v>
          </cell>
          <cell r="F82">
            <v>0</v>
          </cell>
          <cell r="G82">
            <v>8000000</v>
          </cell>
          <cell r="I82">
            <v>10247999.999999998</v>
          </cell>
          <cell r="J82">
            <v>21099999.999999911</v>
          </cell>
          <cell r="T82">
            <v>2294576</v>
          </cell>
          <cell r="AB82">
            <v>313000.00000000239</v>
          </cell>
        </row>
        <row r="83">
          <cell r="C83">
            <v>9870000</v>
          </cell>
          <cell r="E83">
            <v>16000000</v>
          </cell>
          <cell r="F83">
            <v>0</v>
          </cell>
          <cell r="G83">
            <v>7940000</v>
          </cell>
          <cell r="I83">
            <v>9684000.0000000019</v>
          </cell>
          <cell r="J83">
            <v>21299999.999999955</v>
          </cell>
          <cell r="T83">
            <v>2132805</v>
          </cell>
          <cell r="AB83">
            <v>180999.99999999738</v>
          </cell>
        </row>
        <row r="84">
          <cell r="C84">
            <v>7017000</v>
          </cell>
          <cell r="E84">
            <v>12000000</v>
          </cell>
          <cell r="F84">
            <v>0</v>
          </cell>
          <cell r="G84">
            <v>7510000</v>
          </cell>
          <cell r="I84">
            <v>6751000.0000000093</v>
          </cell>
          <cell r="J84">
            <v>18900000.000000089</v>
          </cell>
          <cell r="T84">
            <v>1620218</v>
          </cell>
          <cell r="AB84">
            <v>259999.99999999092</v>
          </cell>
        </row>
        <row r="85">
          <cell r="C85">
            <v>6738000</v>
          </cell>
          <cell r="E85">
            <v>13000000</v>
          </cell>
          <cell r="F85">
            <v>0</v>
          </cell>
          <cell r="G85">
            <v>8120000</v>
          </cell>
          <cell r="I85">
            <v>6616999.9999999953</v>
          </cell>
          <cell r="J85">
            <v>19000000</v>
          </cell>
          <cell r="T85">
            <v>1990806</v>
          </cell>
          <cell r="AB85">
            <v>117000.00000000444</v>
          </cell>
        </row>
        <row r="86">
          <cell r="C86">
            <v>8067000</v>
          </cell>
          <cell r="E86">
            <v>14000000</v>
          </cell>
          <cell r="F86">
            <v>0</v>
          </cell>
          <cell r="G86">
            <v>10000000</v>
          </cell>
          <cell r="I86">
            <v>7867999.9999999972</v>
          </cell>
          <cell r="J86">
            <v>22099999.999999911</v>
          </cell>
          <cell r="T86">
            <v>2086576</v>
          </cell>
          <cell r="AB86">
            <v>194000.00000000262</v>
          </cell>
        </row>
        <row r="87">
          <cell r="C87">
            <v>7370000</v>
          </cell>
          <cell r="E87">
            <v>15000000</v>
          </cell>
          <cell r="F87">
            <v>0</v>
          </cell>
          <cell r="G87">
            <v>9350000</v>
          </cell>
          <cell r="I87">
            <v>7236000</v>
          </cell>
          <cell r="J87">
            <v>21800000.000000183</v>
          </cell>
          <cell r="T87">
            <v>2176848</v>
          </cell>
          <cell r="AB87">
            <v>131000.00000000023</v>
          </cell>
        </row>
        <row r="88">
          <cell r="C88">
            <v>5506000</v>
          </cell>
          <cell r="E88">
            <v>11000000</v>
          </cell>
          <cell r="F88">
            <v>0</v>
          </cell>
          <cell r="G88">
            <v>6630000</v>
          </cell>
          <cell r="I88">
            <v>5385999.9999999953</v>
          </cell>
          <cell r="J88">
            <v>16000000</v>
          </cell>
          <cell r="T88">
            <v>1750391</v>
          </cell>
          <cell r="AB88">
            <v>117000.00000000444</v>
          </cell>
        </row>
        <row r="89">
          <cell r="C89">
            <v>5038000</v>
          </cell>
          <cell r="E89">
            <v>9000000</v>
          </cell>
          <cell r="F89">
            <v>0</v>
          </cell>
          <cell r="G89">
            <v>6150000</v>
          </cell>
          <cell r="I89">
            <v>4905000.0000000047</v>
          </cell>
          <cell r="J89">
            <v>13599999.999999909</v>
          </cell>
          <cell r="T89">
            <v>1349579</v>
          </cell>
          <cell r="AB89">
            <v>129999.99999999546</v>
          </cell>
        </row>
        <row r="90">
          <cell r="C90">
            <v>5829000</v>
          </cell>
          <cell r="E90">
            <v>15000000</v>
          </cell>
          <cell r="F90">
            <v>0</v>
          </cell>
          <cell r="G90">
            <v>9420000</v>
          </cell>
          <cell r="I90">
            <v>5638999.9999999981</v>
          </cell>
          <cell r="J90">
            <v>23099999.999999911</v>
          </cell>
          <cell r="T90">
            <v>1998892</v>
          </cell>
          <cell r="AB90">
            <v>185000.00000000227</v>
          </cell>
        </row>
        <row r="91">
          <cell r="C91">
            <v>6038000</v>
          </cell>
          <cell r="E91">
            <v>16000000</v>
          </cell>
          <cell r="F91">
            <v>0</v>
          </cell>
          <cell r="G91">
            <v>10070000</v>
          </cell>
          <cell r="I91">
            <v>5908000.0000000047</v>
          </cell>
          <cell r="J91">
            <v>24000000</v>
          </cell>
          <cell r="T91">
            <v>2332915</v>
          </cell>
          <cell r="AB91">
            <v>126999.99999999534</v>
          </cell>
        </row>
        <row r="92">
          <cell r="C92">
            <v>9899000</v>
          </cell>
          <cell r="E92">
            <v>13000000</v>
          </cell>
          <cell r="F92">
            <v>0</v>
          </cell>
          <cell r="G92">
            <v>9390000</v>
          </cell>
          <cell r="I92">
            <v>9777000.0000000056</v>
          </cell>
          <cell r="J92">
            <v>21400000.000000089</v>
          </cell>
          <cell r="T92">
            <v>2091637</v>
          </cell>
          <cell r="AB92">
            <v>117999.99999999499</v>
          </cell>
        </row>
        <row r="93">
          <cell r="C93">
            <v>12392000</v>
          </cell>
          <cell r="E93">
            <v>15000000</v>
          </cell>
          <cell r="F93">
            <v>0</v>
          </cell>
          <cell r="G93">
            <v>9340000</v>
          </cell>
          <cell r="I93">
            <v>12071999.999999989</v>
          </cell>
          <cell r="J93">
            <v>22000000</v>
          </cell>
          <cell r="T93">
            <v>2339123</v>
          </cell>
          <cell r="AB93">
            <v>312000.00000001182</v>
          </cell>
        </row>
        <row r="94">
          <cell r="C94">
            <v>13379000</v>
          </cell>
          <cell r="E94">
            <v>16000000</v>
          </cell>
          <cell r="F94">
            <v>0</v>
          </cell>
          <cell r="G94">
            <v>10140000</v>
          </cell>
          <cell r="I94">
            <v>13313000.000000002</v>
          </cell>
          <cell r="J94">
            <v>24000000</v>
          </cell>
          <cell r="T94">
            <v>2755306</v>
          </cell>
          <cell r="AB94">
            <v>64999.99999999773</v>
          </cell>
        </row>
        <row r="95">
          <cell r="C95">
            <v>13470000</v>
          </cell>
          <cell r="E95">
            <v>16000000</v>
          </cell>
          <cell r="F95">
            <v>0</v>
          </cell>
          <cell r="G95">
            <v>9830000</v>
          </cell>
          <cell r="I95">
            <v>13148999.999999998</v>
          </cell>
          <cell r="J95">
            <v>24299999.999999955</v>
          </cell>
          <cell r="T95">
            <v>2414172</v>
          </cell>
          <cell r="AB95">
            <v>313000.00000000239</v>
          </cell>
        </row>
        <row r="96">
          <cell r="C96">
            <v>12415000</v>
          </cell>
          <cell r="E96">
            <v>13000000</v>
          </cell>
          <cell r="F96">
            <v>0</v>
          </cell>
          <cell r="G96">
            <v>8710000</v>
          </cell>
          <cell r="I96">
            <v>12031000.000000006</v>
          </cell>
          <cell r="J96">
            <v>21299999.999999955</v>
          </cell>
          <cell r="T96">
            <v>2210231</v>
          </cell>
          <cell r="AB96">
            <v>373999.99999999523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 Hour Data"/>
      <sheetName val="WB Clarifiers"/>
      <sheetName val="WB Chem Flow Changes"/>
      <sheetName val="TTP Chem Flow Changes"/>
      <sheetName val="Midnight Numbers"/>
      <sheetName val="Production Summary"/>
      <sheetName val="Chemical Summary"/>
      <sheetName val="July"/>
      <sheetName val="Aug"/>
      <sheetName val="Sep"/>
      <sheetName val="Sheet1"/>
    </sheetNames>
    <sheetDataSet>
      <sheetData sheetId="0"/>
      <sheetData sheetId="1"/>
      <sheetData sheetId="2"/>
      <sheetData sheetId="3"/>
      <sheetData sheetId="4"/>
      <sheetData sheetId="5">
        <row r="6">
          <cell r="C6">
            <v>14082000</v>
          </cell>
          <cell r="E6">
            <v>6250000</v>
          </cell>
          <cell r="F6">
            <v>32000</v>
          </cell>
          <cell r="G6">
            <v>11760000</v>
          </cell>
          <cell r="I6">
            <v>16750000.000000002</v>
          </cell>
          <cell r="J6">
            <v>18000000</v>
          </cell>
          <cell r="T6">
            <v>1821650</v>
          </cell>
          <cell r="AB6">
            <v>323999.99999999808</v>
          </cell>
        </row>
        <row r="7">
          <cell r="C7">
            <v>13748000</v>
          </cell>
          <cell r="E7">
            <v>3000000</v>
          </cell>
          <cell r="F7">
            <v>0</v>
          </cell>
          <cell r="G7">
            <v>11260000</v>
          </cell>
          <cell r="I7">
            <v>10627999.999999996</v>
          </cell>
          <cell r="J7">
            <v>15900000.000000091</v>
          </cell>
          <cell r="T7">
            <v>1447602</v>
          </cell>
          <cell r="AB7">
            <v>117000.00000000444</v>
          </cell>
        </row>
        <row r="8">
          <cell r="C8">
            <v>14913000</v>
          </cell>
          <cell r="E8">
            <v>13000000</v>
          </cell>
          <cell r="F8">
            <v>0</v>
          </cell>
          <cell r="G8">
            <v>7920000</v>
          </cell>
          <cell r="I8">
            <v>14593000.000000002</v>
          </cell>
          <cell r="J8">
            <v>18700000.000000045</v>
          </cell>
          <cell r="T8">
            <v>1998473</v>
          </cell>
          <cell r="AB8">
            <v>311999.99999999761</v>
          </cell>
        </row>
        <row r="9">
          <cell r="C9">
            <v>12797000</v>
          </cell>
          <cell r="E9">
            <v>14000000</v>
          </cell>
          <cell r="F9">
            <v>0</v>
          </cell>
          <cell r="G9">
            <v>7940000</v>
          </cell>
          <cell r="I9">
            <v>12464000.000000002</v>
          </cell>
          <cell r="J9">
            <v>19799999.999999955</v>
          </cell>
          <cell r="T9">
            <v>2144762</v>
          </cell>
          <cell r="AB9">
            <v>323999.99999999808</v>
          </cell>
        </row>
        <row r="10">
          <cell r="C10">
            <v>9983000</v>
          </cell>
          <cell r="E10">
            <v>9000000</v>
          </cell>
          <cell r="F10">
            <v>0</v>
          </cell>
          <cell r="G10">
            <v>5800000</v>
          </cell>
          <cell r="I10">
            <v>9731000.0000000056</v>
          </cell>
          <cell r="J10">
            <v>14299999.999999955</v>
          </cell>
          <cell r="T10">
            <v>1343833</v>
          </cell>
          <cell r="AB10">
            <v>245999.99999999511</v>
          </cell>
        </row>
        <row r="11">
          <cell r="C11">
            <v>10057000</v>
          </cell>
          <cell r="E11">
            <v>10000000</v>
          </cell>
          <cell r="F11">
            <v>0</v>
          </cell>
          <cell r="G11">
            <v>5970000</v>
          </cell>
          <cell r="I11">
            <v>9869999.9999999981</v>
          </cell>
          <cell r="J11">
            <v>14600000.000000136</v>
          </cell>
          <cell r="T11">
            <v>1579206</v>
          </cell>
          <cell r="AB11">
            <v>182000.00000000215</v>
          </cell>
        </row>
        <row r="12">
          <cell r="C12">
            <v>12262000</v>
          </cell>
          <cell r="E12">
            <v>11000000</v>
          </cell>
          <cell r="F12">
            <v>0</v>
          </cell>
          <cell r="G12">
            <v>6730000</v>
          </cell>
          <cell r="I12">
            <v>12061999.999999993</v>
          </cell>
          <cell r="J12">
            <v>15899999.999999864</v>
          </cell>
          <cell r="T12">
            <v>1656346</v>
          </cell>
          <cell r="AB12">
            <v>195000.00000000739</v>
          </cell>
        </row>
        <row r="13">
          <cell r="C13">
            <v>13752000</v>
          </cell>
          <cell r="E13">
            <v>13000000</v>
          </cell>
          <cell r="F13">
            <v>0</v>
          </cell>
          <cell r="G13">
            <v>7640000</v>
          </cell>
          <cell r="I13">
            <v>13499000</v>
          </cell>
          <cell r="J13">
            <v>18700000.000000045</v>
          </cell>
          <cell r="T13">
            <v>1890385</v>
          </cell>
          <cell r="AB13">
            <v>246999.99999999988</v>
          </cell>
        </row>
        <row r="14">
          <cell r="C14">
            <v>14027000</v>
          </cell>
          <cell r="E14">
            <v>11666666.66670062</v>
          </cell>
          <cell r="F14">
            <v>0</v>
          </cell>
          <cell r="G14">
            <v>6350000</v>
          </cell>
          <cell r="I14">
            <v>13760000.000000009</v>
          </cell>
          <cell r="J14">
            <v>15250000</v>
          </cell>
          <cell r="T14">
            <v>2046641.5</v>
          </cell>
          <cell r="AB14">
            <v>259999.99999999092</v>
          </cell>
        </row>
        <row r="15">
          <cell r="C15">
            <v>15087000</v>
          </cell>
          <cell r="E15">
            <v>12333333.33329938</v>
          </cell>
          <cell r="F15">
            <v>0</v>
          </cell>
          <cell r="G15">
            <v>9950000</v>
          </cell>
          <cell r="I15">
            <v>14832999.999999996</v>
          </cell>
          <cell r="J15">
            <v>22450000.000000045</v>
          </cell>
          <cell r="T15">
            <v>2152202</v>
          </cell>
          <cell r="AB15">
            <v>248000.00000000466</v>
          </cell>
        </row>
        <row r="16">
          <cell r="C16">
            <v>15268000</v>
          </cell>
          <cell r="E16">
            <v>14000000</v>
          </cell>
          <cell r="F16">
            <v>0</v>
          </cell>
          <cell r="G16">
            <v>8970000</v>
          </cell>
          <cell r="I16">
            <v>14949999.999999998</v>
          </cell>
          <cell r="J16">
            <v>20700000.000000045</v>
          </cell>
          <cell r="T16">
            <v>2249356</v>
          </cell>
          <cell r="AB16">
            <v>310000.00000000227</v>
          </cell>
        </row>
        <row r="17">
          <cell r="C17">
            <v>15244000</v>
          </cell>
          <cell r="E17">
            <v>15000000</v>
          </cell>
          <cell r="F17">
            <v>0</v>
          </cell>
          <cell r="G17">
            <v>9790000</v>
          </cell>
          <cell r="I17">
            <v>14991000.000000006</v>
          </cell>
          <cell r="J17">
            <v>23199999.999999817</v>
          </cell>
          <cell r="T17">
            <v>2332412</v>
          </cell>
          <cell r="AB17">
            <v>245999.99999999511</v>
          </cell>
        </row>
        <row r="18">
          <cell r="C18">
            <v>14747000</v>
          </cell>
          <cell r="E18">
            <v>14000000</v>
          </cell>
          <cell r="F18">
            <v>0</v>
          </cell>
          <cell r="G18">
            <v>8080000</v>
          </cell>
          <cell r="I18">
            <v>14415000.000000002</v>
          </cell>
          <cell r="J18">
            <v>20100000.000000138</v>
          </cell>
          <cell r="T18">
            <v>2131867</v>
          </cell>
          <cell r="AB18">
            <v>323999.99999999808</v>
          </cell>
        </row>
        <row r="19">
          <cell r="C19">
            <v>10415000</v>
          </cell>
          <cell r="E19">
            <v>11000000</v>
          </cell>
          <cell r="F19">
            <v>0</v>
          </cell>
          <cell r="G19">
            <v>7080000</v>
          </cell>
          <cell r="I19">
            <v>10096999.999999998</v>
          </cell>
          <cell r="J19">
            <v>17399999.999999862</v>
          </cell>
          <cell r="T19">
            <v>1940749</v>
          </cell>
          <cell r="AB19">
            <v>310000.00000000227</v>
          </cell>
        </row>
        <row r="20">
          <cell r="C20">
            <v>13535000</v>
          </cell>
          <cell r="E20">
            <v>14000000</v>
          </cell>
          <cell r="F20">
            <v>0</v>
          </cell>
          <cell r="G20">
            <v>9180000</v>
          </cell>
          <cell r="I20">
            <v>13416000</v>
          </cell>
          <cell r="J20">
            <v>21900000.000000089</v>
          </cell>
          <cell r="T20">
            <v>2037748</v>
          </cell>
          <cell r="AB20">
            <v>115999.99999999967</v>
          </cell>
        </row>
        <row r="21">
          <cell r="C21">
            <v>14109000</v>
          </cell>
          <cell r="E21">
            <v>14000000</v>
          </cell>
          <cell r="F21">
            <v>0</v>
          </cell>
          <cell r="G21">
            <v>8590000</v>
          </cell>
          <cell r="I21">
            <v>13777000.000000002</v>
          </cell>
          <cell r="J21">
            <v>20799999.999999955</v>
          </cell>
          <cell r="T21">
            <v>2004625</v>
          </cell>
          <cell r="AB21">
            <v>323999.99999999808</v>
          </cell>
        </row>
        <row r="22">
          <cell r="C22">
            <v>14227000</v>
          </cell>
          <cell r="E22">
            <v>13000000</v>
          </cell>
          <cell r="F22">
            <v>0</v>
          </cell>
          <cell r="G22">
            <v>8950000</v>
          </cell>
          <cell r="I22">
            <v>13906999.999999989</v>
          </cell>
          <cell r="J22">
            <v>21299999.999999955</v>
          </cell>
          <cell r="T22">
            <v>2199121</v>
          </cell>
          <cell r="AB22">
            <v>312000.00000001182</v>
          </cell>
        </row>
        <row r="23">
          <cell r="C23">
            <v>14637000</v>
          </cell>
          <cell r="E23">
            <v>15000000</v>
          </cell>
          <cell r="F23">
            <v>0</v>
          </cell>
          <cell r="G23">
            <v>9330000</v>
          </cell>
          <cell r="I23">
            <v>14244000.000000009</v>
          </cell>
          <cell r="J23">
            <v>22200000.000000045</v>
          </cell>
          <cell r="T23">
            <v>2400823</v>
          </cell>
          <cell r="AB23">
            <v>384999.99999999092</v>
          </cell>
        </row>
        <row r="24">
          <cell r="C24">
            <v>15410000</v>
          </cell>
          <cell r="E24">
            <v>18000000</v>
          </cell>
          <cell r="F24">
            <v>0</v>
          </cell>
          <cell r="G24">
            <v>10080000</v>
          </cell>
          <cell r="I24">
            <v>15293000</v>
          </cell>
          <cell r="J24">
            <v>25400000.000000089</v>
          </cell>
          <cell r="T24">
            <v>2524004</v>
          </cell>
          <cell r="AB24">
            <v>109999.99999999943</v>
          </cell>
        </row>
        <row r="25">
          <cell r="C25">
            <v>14900000</v>
          </cell>
          <cell r="E25">
            <v>14000000</v>
          </cell>
          <cell r="F25">
            <v>0</v>
          </cell>
          <cell r="G25">
            <v>9020000</v>
          </cell>
          <cell r="I25">
            <v>14570999.999999993</v>
          </cell>
          <cell r="J25">
            <v>21899999.999999862</v>
          </cell>
          <cell r="T25">
            <v>2093237</v>
          </cell>
          <cell r="AB25">
            <v>323000.00000000751</v>
          </cell>
        </row>
        <row r="26">
          <cell r="C26">
            <v>14469000</v>
          </cell>
          <cell r="E26">
            <v>11000000</v>
          </cell>
          <cell r="F26">
            <v>0</v>
          </cell>
          <cell r="G26">
            <v>6770000</v>
          </cell>
          <cell r="I26">
            <v>14151000.000000007</v>
          </cell>
          <cell r="J26">
            <v>17200000.000000045</v>
          </cell>
          <cell r="T26">
            <v>1813245</v>
          </cell>
          <cell r="AB26">
            <v>310999.99999999284</v>
          </cell>
        </row>
        <row r="27">
          <cell r="C27">
            <v>12761000</v>
          </cell>
          <cell r="E27">
            <v>11000000</v>
          </cell>
          <cell r="F27">
            <v>0</v>
          </cell>
          <cell r="G27">
            <v>6240000</v>
          </cell>
          <cell r="I27">
            <v>12572999.999999998</v>
          </cell>
          <cell r="J27">
            <v>17299999.999999955</v>
          </cell>
          <cell r="T27">
            <v>1543325</v>
          </cell>
          <cell r="AB27">
            <v>182000.00000000215</v>
          </cell>
        </row>
        <row r="28">
          <cell r="C28">
            <v>15018000</v>
          </cell>
          <cell r="E28">
            <v>14000000</v>
          </cell>
          <cell r="F28">
            <v>0</v>
          </cell>
          <cell r="G28">
            <v>8060000</v>
          </cell>
          <cell r="I28">
            <v>14750000.000000004</v>
          </cell>
          <cell r="J28">
            <v>20200000.000000272</v>
          </cell>
          <cell r="T28">
            <v>2135150</v>
          </cell>
          <cell r="AB28">
            <v>260999.99999999569</v>
          </cell>
        </row>
        <row r="29">
          <cell r="C29">
            <v>15203000</v>
          </cell>
          <cell r="E29">
            <v>14000000</v>
          </cell>
          <cell r="F29">
            <v>0</v>
          </cell>
          <cell r="G29">
            <v>9280000</v>
          </cell>
          <cell r="I29">
            <v>14813999.999999991</v>
          </cell>
          <cell r="J29">
            <v>21699999.999999817</v>
          </cell>
          <cell r="T29">
            <v>2232274</v>
          </cell>
          <cell r="AB29">
            <v>380000.00000000966</v>
          </cell>
        </row>
        <row r="30">
          <cell r="C30">
            <v>14642000</v>
          </cell>
          <cell r="E30">
            <v>12000000</v>
          </cell>
          <cell r="F30">
            <v>0</v>
          </cell>
          <cell r="G30">
            <v>7990000</v>
          </cell>
          <cell r="I30">
            <v>14323000.000000007</v>
          </cell>
          <cell r="J30">
            <v>19199999.999999817</v>
          </cell>
          <cell r="T30">
            <v>1678558</v>
          </cell>
          <cell r="AB30">
            <v>310999.99999999284</v>
          </cell>
        </row>
        <row r="31">
          <cell r="C31">
            <v>15805000</v>
          </cell>
          <cell r="E31">
            <v>13000000</v>
          </cell>
          <cell r="F31">
            <v>0</v>
          </cell>
          <cell r="G31">
            <v>9690000</v>
          </cell>
          <cell r="I31">
            <v>15684999.999999996</v>
          </cell>
          <cell r="J31">
            <v>21700000.000000272</v>
          </cell>
          <cell r="T31">
            <v>2266686</v>
          </cell>
          <cell r="AB31">
            <v>117000.00000000444</v>
          </cell>
        </row>
        <row r="32">
          <cell r="C32">
            <v>14554000</v>
          </cell>
          <cell r="E32">
            <v>15000000</v>
          </cell>
          <cell r="F32">
            <v>0</v>
          </cell>
          <cell r="G32">
            <v>9750000</v>
          </cell>
          <cell r="I32">
            <v>14217000.000000006</v>
          </cell>
          <cell r="J32">
            <v>23099999.999999911</v>
          </cell>
          <cell r="T32">
            <v>2384790</v>
          </cell>
          <cell r="AB32">
            <v>328999.99999999354</v>
          </cell>
        </row>
        <row r="33">
          <cell r="C33">
            <v>14959000</v>
          </cell>
          <cell r="E33">
            <v>14000000</v>
          </cell>
          <cell r="F33">
            <v>0</v>
          </cell>
          <cell r="G33">
            <v>9520000</v>
          </cell>
          <cell r="I33">
            <v>14635999.999999989</v>
          </cell>
          <cell r="J33">
            <v>21400000.000000089</v>
          </cell>
          <cell r="T33">
            <v>2119553</v>
          </cell>
          <cell r="AB33">
            <v>315000.00000001193</v>
          </cell>
        </row>
        <row r="34">
          <cell r="C34">
            <v>15552000</v>
          </cell>
          <cell r="E34">
            <v>15000000</v>
          </cell>
          <cell r="F34">
            <v>0</v>
          </cell>
          <cell r="G34">
            <v>8910000</v>
          </cell>
          <cell r="I34">
            <v>15230000.000000007</v>
          </cell>
          <cell r="J34">
            <v>21799999.999999728</v>
          </cell>
          <cell r="T34">
            <v>2370056</v>
          </cell>
          <cell r="AB34">
            <v>313999.99999999296</v>
          </cell>
        </row>
        <row r="35">
          <cell r="C35">
            <v>15293000</v>
          </cell>
          <cell r="E35">
            <v>15000000</v>
          </cell>
          <cell r="F35">
            <v>0</v>
          </cell>
          <cell r="G35">
            <v>10900000</v>
          </cell>
          <cell r="I35">
            <v>15039000</v>
          </cell>
          <cell r="J35">
            <v>23600000.000000365</v>
          </cell>
          <cell r="T35">
            <v>2317090</v>
          </cell>
          <cell r="AB35">
            <v>246999.99999999988</v>
          </cell>
        </row>
        <row r="36">
          <cell r="C36">
            <v>10252000</v>
          </cell>
          <cell r="E36">
            <v>17000000</v>
          </cell>
          <cell r="F36">
            <v>0</v>
          </cell>
          <cell r="G36">
            <v>11400000</v>
          </cell>
          <cell r="I36">
            <v>9984000.000000013</v>
          </cell>
          <cell r="J36">
            <v>26199999.999999817</v>
          </cell>
          <cell r="T36">
            <v>2635809</v>
          </cell>
          <cell r="AB36">
            <v>261999.99999998623</v>
          </cell>
        </row>
        <row r="37">
          <cell r="C37">
            <v>10895000</v>
          </cell>
          <cell r="E37">
            <v>14000000</v>
          </cell>
          <cell r="F37">
            <v>0</v>
          </cell>
          <cell r="G37">
            <v>8090000</v>
          </cell>
          <cell r="I37">
            <v>10574999.999999989</v>
          </cell>
          <cell r="J37">
            <v>19699999.999999817</v>
          </cell>
          <cell r="T37">
            <v>1996462</v>
          </cell>
          <cell r="AB37">
            <v>312000.00000001182</v>
          </cell>
        </row>
        <row r="38">
          <cell r="C38">
            <v>9724000</v>
          </cell>
          <cell r="E38">
            <v>16000000</v>
          </cell>
          <cell r="F38">
            <v>0</v>
          </cell>
          <cell r="G38">
            <v>12100000</v>
          </cell>
          <cell r="I38">
            <v>9584000.0000000093</v>
          </cell>
          <cell r="J38">
            <v>25400000.000000089</v>
          </cell>
          <cell r="T38">
            <v>2745543</v>
          </cell>
          <cell r="AB38">
            <v>134999.99999999092</v>
          </cell>
        </row>
        <row r="39">
          <cell r="C39">
            <v>11485000</v>
          </cell>
          <cell r="E39">
            <v>17000000</v>
          </cell>
          <cell r="F39">
            <v>0</v>
          </cell>
          <cell r="G39">
            <v>10890000</v>
          </cell>
          <cell r="I39">
            <v>11482000</v>
          </cell>
          <cell r="J39">
            <v>24099999.999999911</v>
          </cell>
          <cell r="T39">
            <v>2459188</v>
          </cell>
          <cell r="AB39">
            <v>0</v>
          </cell>
        </row>
        <row r="40">
          <cell r="C40">
            <v>11219000</v>
          </cell>
          <cell r="E40">
            <v>17000000</v>
          </cell>
          <cell r="F40">
            <v>0</v>
          </cell>
          <cell r="G40">
            <v>12140000</v>
          </cell>
          <cell r="I40">
            <v>11212000</v>
          </cell>
          <cell r="J40">
            <v>26800000.000000183</v>
          </cell>
          <cell r="T40">
            <v>2607016</v>
          </cell>
          <cell r="AB40">
            <v>0</v>
          </cell>
        </row>
        <row r="41">
          <cell r="C41">
            <v>12422000</v>
          </cell>
          <cell r="E41">
            <v>16000000</v>
          </cell>
          <cell r="F41">
            <v>0</v>
          </cell>
          <cell r="G41">
            <v>11230000</v>
          </cell>
          <cell r="I41">
            <v>12416000</v>
          </cell>
          <cell r="J41">
            <v>24199999.999999817</v>
          </cell>
          <cell r="T41">
            <v>2492945</v>
          </cell>
          <cell r="AB41">
            <v>0</v>
          </cell>
        </row>
        <row r="42">
          <cell r="C42">
            <v>14544000</v>
          </cell>
          <cell r="E42">
            <v>17000000</v>
          </cell>
          <cell r="F42">
            <v>0</v>
          </cell>
          <cell r="G42">
            <v>9950000</v>
          </cell>
          <cell r="I42">
            <v>14538000</v>
          </cell>
          <cell r="J42">
            <v>24400000.000000089</v>
          </cell>
          <cell r="T42">
            <v>2554401</v>
          </cell>
          <cell r="AB42">
            <v>0</v>
          </cell>
        </row>
        <row r="43">
          <cell r="C43">
            <v>15523000</v>
          </cell>
          <cell r="E43">
            <v>18000000</v>
          </cell>
          <cell r="F43">
            <v>0</v>
          </cell>
          <cell r="G43">
            <v>10010000</v>
          </cell>
          <cell r="I43">
            <v>15515000</v>
          </cell>
          <cell r="J43">
            <v>25300000.000000183</v>
          </cell>
          <cell r="T43">
            <v>2618811</v>
          </cell>
          <cell r="AB43">
            <v>0</v>
          </cell>
        </row>
        <row r="44">
          <cell r="C44">
            <v>9620000</v>
          </cell>
          <cell r="E44">
            <v>14000000</v>
          </cell>
          <cell r="F44">
            <v>0</v>
          </cell>
          <cell r="G44">
            <v>9400000</v>
          </cell>
          <cell r="I44">
            <v>9613000</v>
          </cell>
          <cell r="J44">
            <v>21900000.000000089</v>
          </cell>
          <cell r="T44">
            <v>2286091</v>
          </cell>
          <cell r="AB44">
            <v>0</v>
          </cell>
        </row>
        <row r="45">
          <cell r="C45">
            <v>13222000</v>
          </cell>
          <cell r="E45">
            <v>14000000</v>
          </cell>
          <cell r="F45">
            <v>0</v>
          </cell>
          <cell r="G45">
            <v>13440000</v>
          </cell>
          <cell r="I45">
            <v>13219000</v>
          </cell>
          <cell r="J45">
            <v>24599999.999999911</v>
          </cell>
          <cell r="T45">
            <v>2596059</v>
          </cell>
          <cell r="AB45">
            <v>0</v>
          </cell>
        </row>
        <row r="46">
          <cell r="C46">
            <v>10446000</v>
          </cell>
          <cell r="E46">
            <v>14000000</v>
          </cell>
          <cell r="F46">
            <v>0</v>
          </cell>
          <cell r="G46">
            <v>13910000</v>
          </cell>
          <cell r="I46">
            <v>10438000</v>
          </cell>
          <cell r="J46">
            <v>24799999.999999728</v>
          </cell>
          <cell r="T46">
            <v>26559285</v>
          </cell>
          <cell r="AB46">
            <v>0</v>
          </cell>
        </row>
        <row r="47">
          <cell r="C47">
            <v>9065000</v>
          </cell>
          <cell r="E47">
            <v>16000000</v>
          </cell>
          <cell r="F47">
            <v>0</v>
          </cell>
          <cell r="G47">
            <v>15260000</v>
          </cell>
          <cell r="I47">
            <v>9059000</v>
          </cell>
          <cell r="J47">
            <v>27800000.000000183</v>
          </cell>
          <cell r="T47">
            <v>2979712</v>
          </cell>
          <cell r="AB47">
            <v>0</v>
          </cell>
        </row>
        <row r="48">
          <cell r="C48">
            <v>9533000</v>
          </cell>
          <cell r="E48">
            <v>16000000</v>
          </cell>
          <cell r="F48">
            <v>0</v>
          </cell>
          <cell r="G48">
            <v>16520000</v>
          </cell>
          <cell r="I48">
            <v>9526000</v>
          </cell>
          <cell r="J48">
            <v>29900000.000000089</v>
          </cell>
          <cell r="T48">
            <v>2973705</v>
          </cell>
          <cell r="AB48">
            <v>0</v>
          </cell>
        </row>
        <row r="49">
          <cell r="C49">
            <v>10311000</v>
          </cell>
          <cell r="E49">
            <v>15000000</v>
          </cell>
          <cell r="F49">
            <v>0</v>
          </cell>
          <cell r="G49">
            <v>14600000</v>
          </cell>
          <cell r="I49">
            <v>10308000</v>
          </cell>
          <cell r="J49">
            <v>26900000.000000089</v>
          </cell>
          <cell r="T49">
            <v>2585604</v>
          </cell>
          <cell r="AB49">
            <v>0</v>
          </cell>
        </row>
        <row r="50">
          <cell r="C50">
            <v>14340000</v>
          </cell>
          <cell r="E50">
            <v>14000000</v>
          </cell>
          <cell r="F50">
            <v>0</v>
          </cell>
          <cell r="G50">
            <v>14170000</v>
          </cell>
          <cell r="I50">
            <v>14334000</v>
          </cell>
          <cell r="J50">
            <v>26399999.999999635</v>
          </cell>
          <cell r="T50">
            <v>2759295</v>
          </cell>
          <cell r="AB50">
            <v>0</v>
          </cell>
        </row>
        <row r="51">
          <cell r="C51">
            <v>12090000</v>
          </cell>
          <cell r="E51">
            <v>14000000</v>
          </cell>
          <cell r="F51">
            <v>0</v>
          </cell>
          <cell r="G51">
            <v>14630000</v>
          </cell>
          <cell r="I51">
            <v>12081000</v>
          </cell>
          <cell r="J51">
            <v>26500000</v>
          </cell>
          <cell r="T51">
            <v>2841904</v>
          </cell>
          <cell r="AB51">
            <v>0</v>
          </cell>
        </row>
        <row r="52">
          <cell r="C52">
            <v>14124000</v>
          </cell>
          <cell r="E52">
            <v>15000000</v>
          </cell>
          <cell r="F52">
            <v>0</v>
          </cell>
          <cell r="G52">
            <v>14920000</v>
          </cell>
          <cell r="I52">
            <v>13765000</v>
          </cell>
          <cell r="J52">
            <v>27300000.000000183</v>
          </cell>
          <cell r="T52">
            <v>2690985</v>
          </cell>
          <cell r="AB52">
            <v>350999.99999999907</v>
          </cell>
        </row>
        <row r="53">
          <cell r="C53">
            <v>11857000</v>
          </cell>
          <cell r="E53">
            <v>15000000</v>
          </cell>
          <cell r="F53">
            <v>0</v>
          </cell>
          <cell r="G53">
            <v>14970000</v>
          </cell>
          <cell r="I53">
            <v>11509999.999999981</v>
          </cell>
          <cell r="J53">
            <v>26699999.999999817</v>
          </cell>
          <cell r="T53">
            <v>2767402</v>
          </cell>
          <cell r="AB53">
            <v>343000.00000001775</v>
          </cell>
        </row>
        <row r="54">
          <cell r="C54">
            <v>10682000</v>
          </cell>
          <cell r="E54">
            <v>15000000</v>
          </cell>
          <cell r="F54">
            <v>0</v>
          </cell>
          <cell r="G54">
            <v>15010000</v>
          </cell>
          <cell r="I54">
            <v>10285000.000000013</v>
          </cell>
          <cell r="J54">
            <v>27200000.000000272</v>
          </cell>
          <cell r="T54">
            <v>2682698</v>
          </cell>
          <cell r="AB54">
            <v>389999.99999998638</v>
          </cell>
        </row>
        <row r="55">
          <cell r="C55">
            <v>12143000</v>
          </cell>
          <cell r="E55">
            <v>15000000</v>
          </cell>
          <cell r="F55">
            <v>0</v>
          </cell>
          <cell r="G55">
            <v>14890000</v>
          </cell>
          <cell r="I55">
            <v>11865000.000000004</v>
          </cell>
          <cell r="J55">
            <v>27500000</v>
          </cell>
          <cell r="T55">
            <v>2799307</v>
          </cell>
          <cell r="AB55">
            <v>272999.99999999616</v>
          </cell>
        </row>
        <row r="56">
          <cell r="C56">
            <v>12296000</v>
          </cell>
          <cell r="E56">
            <v>15000000</v>
          </cell>
          <cell r="F56">
            <v>0</v>
          </cell>
          <cell r="G56">
            <v>15210000</v>
          </cell>
          <cell r="I56">
            <v>11867999.999999974</v>
          </cell>
          <cell r="J56">
            <v>27599999.999999911</v>
          </cell>
          <cell r="T56">
            <v>2758643</v>
          </cell>
          <cell r="AB56">
            <v>422000.00000002549</v>
          </cell>
        </row>
        <row r="57">
          <cell r="C57">
            <v>10173000</v>
          </cell>
          <cell r="E57">
            <v>17000000</v>
          </cell>
          <cell r="F57">
            <v>0</v>
          </cell>
          <cell r="G57">
            <v>16130000</v>
          </cell>
          <cell r="I57">
            <v>9644000.000000013</v>
          </cell>
          <cell r="J57">
            <v>29300000.000000183</v>
          </cell>
          <cell r="T57">
            <v>2923312</v>
          </cell>
          <cell r="AB57">
            <v>520999.99999998661</v>
          </cell>
        </row>
        <row r="58">
          <cell r="C58">
            <v>8018000</v>
          </cell>
          <cell r="E58">
            <v>15000000</v>
          </cell>
          <cell r="F58">
            <v>0</v>
          </cell>
          <cell r="G58">
            <v>14950000</v>
          </cell>
          <cell r="I58">
            <v>7789000.0000000102</v>
          </cell>
          <cell r="J58">
            <v>27299999.999999728</v>
          </cell>
          <cell r="T58">
            <v>2722264</v>
          </cell>
          <cell r="AB58">
            <v>223999.99999998955</v>
          </cell>
        </row>
        <row r="59">
          <cell r="C59">
            <v>12277000</v>
          </cell>
          <cell r="E59">
            <v>15000000</v>
          </cell>
          <cell r="F59">
            <v>0</v>
          </cell>
          <cell r="G59">
            <v>15090000</v>
          </cell>
          <cell r="I59">
            <v>12057999.999999993</v>
          </cell>
          <cell r="J59">
            <v>27099999.999999911</v>
          </cell>
          <cell r="T59">
            <v>2862040</v>
          </cell>
          <cell r="AB59">
            <v>216000.00000000818</v>
          </cell>
        </row>
        <row r="60">
          <cell r="C60">
            <v>11828000</v>
          </cell>
          <cell r="E60">
            <v>15000000</v>
          </cell>
          <cell r="F60">
            <v>0</v>
          </cell>
          <cell r="G60">
            <v>14890000</v>
          </cell>
          <cell r="I60">
            <v>11370999.999999987</v>
          </cell>
          <cell r="J60">
            <v>26800000.000000183</v>
          </cell>
          <cell r="T60">
            <v>2852651</v>
          </cell>
          <cell r="AB60">
            <v>449000.00000001228</v>
          </cell>
        </row>
        <row r="61">
          <cell r="C61">
            <v>11440000</v>
          </cell>
          <cell r="E61">
            <v>15000000</v>
          </cell>
          <cell r="F61">
            <v>0</v>
          </cell>
          <cell r="G61">
            <v>15020000</v>
          </cell>
          <cell r="I61">
            <v>11013000.000000007</v>
          </cell>
          <cell r="J61">
            <v>27199999.999999817</v>
          </cell>
          <cell r="T61">
            <v>2681360</v>
          </cell>
          <cell r="AB61">
            <v>420999.99999999226</v>
          </cell>
        </row>
        <row r="62">
          <cell r="C62">
            <v>11045000</v>
          </cell>
          <cell r="E62">
            <v>14000000</v>
          </cell>
          <cell r="F62">
            <v>0</v>
          </cell>
          <cell r="G62">
            <v>14870000</v>
          </cell>
          <cell r="I62">
            <v>10617000.000000007</v>
          </cell>
          <cell r="J62">
            <v>26400000.000000089</v>
          </cell>
          <cell r="T62">
            <v>2814327</v>
          </cell>
          <cell r="AB62">
            <v>420999.99999999226</v>
          </cell>
        </row>
        <row r="63">
          <cell r="C63">
            <v>13193000</v>
          </cell>
          <cell r="E63">
            <v>15000000</v>
          </cell>
          <cell r="F63">
            <v>0</v>
          </cell>
          <cell r="G63">
            <v>15010000</v>
          </cell>
          <cell r="I63">
            <v>12898000.000000007</v>
          </cell>
          <cell r="J63">
            <v>26200000.000000272</v>
          </cell>
          <cell r="T63">
            <v>2697995</v>
          </cell>
          <cell r="AB63">
            <v>289999.99999999203</v>
          </cell>
        </row>
        <row r="64">
          <cell r="C64">
            <v>13335000</v>
          </cell>
          <cell r="E64">
            <v>15000000</v>
          </cell>
          <cell r="F64">
            <v>0</v>
          </cell>
          <cell r="G64">
            <v>15070000</v>
          </cell>
          <cell r="I64">
            <v>12858999.999999981</v>
          </cell>
          <cell r="J64">
            <v>27399999.999999635</v>
          </cell>
          <cell r="T64">
            <v>2859426</v>
          </cell>
          <cell r="AB64">
            <v>468000.00000001775</v>
          </cell>
        </row>
        <row r="65">
          <cell r="C65">
            <v>10362000</v>
          </cell>
          <cell r="E65">
            <v>14000000</v>
          </cell>
          <cell r="F65">
            <v>0</v>
          </cell>
          <cell r="G65">
            <v>14500000</v>
          </cell>
          <cell r="I65">
            <v>9963000</v>
          </cell>
          <cell r="J65">
            <v>25600000.000000365</v>
          </cell>
          <cell r="T65">
            <v>2765605</v>
          </cell>
          <cell r="AB65">
            <v>393000.0000000007</v>
          </cell>
        </row>
        <row r="66">
          <cell r="C66">
            <v>14292000</v>
          </cell>
          <cell r="E66">
            <v>15000000</v>
          </cell>
          <cell r="F66">
            <v>0</v>
          </cell>
          <cell r="G66">
            <v>14590000</v>
          </cell>
          <cell r="I66">
            <v>13861000.000000017</v>
          </cell>
          <cell r="J66">
            <v>26299999.999999728</v>
          </cell>
          <cell r="T66">
            <v>2869764</v>
          </cell>
          <cell r="AB66">
            <v>424999.99999998295</v>
          </cell>
        </row>
        <row r="67">
          <cell r="C67">
            <v>11662000</v>
          </cell>
          <cell r="E67">
            <v>15000000</v>
          </cell>
          <cell r="F67">
            <v>0</v>
          </cell>
          <cell r="G67">
            <v>15000000</v>
          </cell>
          <cell r="I67">
            <v>11221999.999999983</v>
          </cell>
          <cell r="J67">
            <v>26599999.999999911</v>
          </cell>
          <cell r="T67">
            <v>2836166</v>
          </cell>
          <cell r="AB67">
            <v>432000.00000001636</v>
          </cell>
        </row>
        <row r="68">
          <cell r="C68">
            <v>10545000</v>
          </cell>
          <cell r="E68">
            <v>15000000</v>
          </cell>
          <cell r="F68">
            <v>0</v>
          </cell>
          <cell r="G68">
            <v>14980000</v>
          </cell>
          <cell r="I68">
            <v>10167999.999999996</v>
          </cell>
          <cell r="J68">
            <v>26800000.000000183</v>
          </cell>
          <cell r="T68">
            <v>2857146</v>
          </cell>
          <cell r="AB68">
            <v>370000.00000000454</v>
          </cell>
        </row>
        <row r="69">
          <cell r="C69">
            <v>12773000</v>
          </cell>
          <cell r="E69">
            <v>15000000</v>
          </cell>
          <cell r="F69">
            <v>0</v>
          </cell>
          <cell r="G69">
            <v>14550000</v>
          </cell>
          <cell r="I69">
            <v>12466000.000000007</v>
          </cell>
          <cell r="J69">
            <v>26699999.999999817</v>
          </cell>
          <cell r="T69">
            <v>2537998</v>
          </cell>
          <cell r="AB69">
            <v>301999.99999999249</v>
          </cell>
        </row>
        <row r="70">
          <cell r="C70">
            <v>13256000</v>
          </cell>
          <cell r="E70">
            <v>15000000</v>
          </cell>
          <cell r="F70">
            <v>0</v>
          </cell>
          <cell r="G70">
            <v>15060000</v>
          </cell>
          <cell r="I70">
            <v>12809000.000000007</v>
          </cell>
          <cell r="J70">
            <v>27900000.000000089</v>
          </cell>
          <cell r="T70">
            <v>2699486</v>
          </cell>
          <cell r="AB70">
            <v>438999.99999999296</v>
          </cell>
        </row>
        <row r="71">
          <cell r="C71">
            <v>10600000</v>
          </cell>
          <cell r="E71">
            <v>15000000</v>
          </cell>
          <cell r="F71">
            <v>0</v>
          </cell>
          <cell r="G71">
            <v>15290000</v>
          </cell>
          <cell r="I71">
            <v>10251999.999999981</v>
          </cell>
          <cell r="J71">
            <v>27599999.999999911</v>
          </cell>
          <cell r="T71">
            <v>2722754</v>
          </cell>
          <cell r="AB71">
            <v>343000.00000001775</v>
          </cell>
        </row>
        <row r="72">
          <cell r="C72">
            <v>7989000</v>
          </cell>
          <cell r="E72">
            <v>16000000</v>
          </cell>
          <cell r="F72">
            <v>0</v>
          </cell>
          <cell r="G72">
            <v>16210000</v>
          </cell>
          <cell r="I72">
            <v>7663000.0000000065</v>
          </cell>
          <cell r="J72">
            <v>29300000.000000183</v>
          </cell>
          <cell r="T72">
            <v>3018894</v>
          </cell>
          <cell r="AB72">
            <v>319999.99999999319</v>
          </cell>
        </row>
        <row r="73">
          <cell r="C73">
            <v>9107000</v>
          </cell>
          <cell r="E73">
            <v>15000000</v>
          </cell>
          <cell r="F73">
            <v>0</v>
          </cell>
          <cell r="G73">
            <v>14760000</v>
          </cell>
          <cell r="I73">
            <v>8917000.0000000168</v>
          </cell>
          <cell r="J73">
            <v>27300000.000000183</v>
          </cell>
          <cell r="T73">
            <v>2576939</v>
          </cell>
          <cell r="AB73">
            <v>186999.99999998341</v>
          </cell>
        </row>
        <row r="74">
          <cell r="C74">
            <v>9074000</v>
          </cell>
          <cell r="E74">
            <v>14000000</v>
          </cell>
          <cell r="F74">
            <v>0</v>
          </cell>
          <cell r="G74">
            <v>14030000</v>
          </cell>
          <cell r="I74">
            <v>8802999.9999999814</v>
          </cell>
          <cell r="J74">
            <v>25199999.999999817</v>
          </cell>
          <cell r="T74">
            <v>2644542</v>
          </cell>
          <cell r="AB74">
            <v>266000.00000001956</v>
          </cell>
        </row>
        <row r="75">
          <cell r="C75">
            <v>9333000</v>
          </cell>
          <cell r="E75">
            <v>14000000</v>
          </cell>
          <cell r="F75">
            <v>0</v>
          </cell>
          <cell r="G75">
            <v>14230000</v>
          </cell>
          <cell r="I75">
            <v>8943000.000000013</v>
          </cell>
          <cell r="J75">
            <v>26199999.999999817</v>
          </cell>
          <cell r="T75">
            <v>2749159</v>
          </cell>
          <cell r="AB75">
            <v>383999.99999998615</v>
          </cell>
        </row>
        <row r="76">
          <cell r="C76">
            <v>6761000</v>
          </cell>
          <cell r="E76">
            <v>13000000</v>
          </cell>
          <cell r="F76">
            <v>0</v>
          </cell>
          <cell r="G76">
            <v>13090000</v>
          </cell>
          <cell r="I76">
            <v>6562000.0000000019</v>
          </cell>
          <cell r="J76">
            <v>23800000.000000183</v>
          </cell>
          <cell r="T76">
            <v>2384613</v>
          </cell>
          <cell r="AB76">
            <v>195999.99999999796</v>
          </cell>
        </row>
        <row r="77">
          <cell r="C77">
            <v>7379000</v>
          </cell>
          <cell r="E77">
            <v>13000000</v>
          </cell>
          <cell r="F77">
            <v>0</v>
          </cell>
          <cell r="G77">
            <v>12320000</v>
          </cell>
          <cell r="I77">
            <v>7173999.9999999832</v>
          </cell>
          <cell r="J77">
            <v>21599999.999999911</v>
          </cell>
          <cell r="T77">
            <v>2336443</v>
          </cell>
          <cell r="AB77">
            <v>200000.00000001705</v>
          </cell>
        </row>
        <row r="78">
          <cell r="C78">
            <v>11360000</v>
          </cell>
          <cell r="E78">
            <v>13000000</v>
          </cell>
          <cell r="F78">
            <v>0</v>
          </cell>
          <cell r="G78">
            <v>13340000</v>
          </cell>
          <cell r="I78">
            <v>10981000.000000006</v>
          </cell>
          <cell r="J78">
            <v>24700000.000000272</v>
          </cell>
          <cell r="T78">
            <v>2559648</v>
          </cell>
          <cell r="AB78">
            <v>373999.99999999523</v>
          </cell>
        </row>
        <row r="79">
          <cell r="C79">
            <v>8254000</v>
          </cell>
          <cell r="E79">
            <v>13000000</v>
          </cell>
          <cell r="F79">
            <v>0</v>
          </cell>
          <cell r="G79">
            <v>11820000</v>
          </cell>
          <cell r="I79">
            <v>7975000.0000000084</v>
          </cell>
          <cell r="J79">
            <v>22199999.999999817</v>
          </cell>
          <cell r="T79">
            <v>2362458</v>
          </cell>
          <cell r="AB79">
            <v>271999.99999999139</v>
          </cell>
        </row>
        <row r="80">
          <cell r="C80">
            <v>10635000</v>
          </cell>
          <cell r="E80">
            <v>12000000</v>
          </cell>
          <cell r="F80">
            <v>0</v>
          </cell>
          <cell r="G80">
            <v>12890000</v>
          </cell>
          <cell r="I80">
            <v>10363000</v>
          </cell>
          <cell r="J80">
            <v>22300000.000000183</v>
          </cell>
          <cell r="T80">
            <v>2502365</v>
          </cell>
          <cell r="AB80">
            <v>268000.0000000007</v>
          </cell>
        </row>
        <row r="81">
          <cell r="C81">
            <v>8026000</v>
          </cell>
          <cell r="E81">
            <v>15000000</v>
          </cell>
          <cell r="F81">
            <v>0</v>
          </cell>
          <cell r="G81">
            <v>15020000</v>
          </cell>
          <cell r="I81">
            <v>7766000.0000000047</v>
          </cell>
          <cell r="J81">
            <v>27699999.999999817</v>
          </cell>
          <cell r="T81">
            <v>2802763</v>
          </cell>
          <cell r="AB81">
            <v>254999.99999999546</v>
          </cell>
        </row>
        <row r="82">
          <cell r="C82">
            <v>7982000</v>
          </cell>
          <cell r="E82">
            <v>15000000</v>
          </cell>
          <cell r="F82">
            <v>0</v>
          </cell>
          <cell r="G82">
            <v>15030000</v>
          </cell>
          <cell r="I82">
            <v>7704999.9999999804</v>
          </cell>
          <cell r="J82">
            <v>27300000.000000183</v>
          </cell>
          <cell r="T82">
            <v>2935093</v>
          </cell>
          <cell r="AB82">
            <v>272000.00000001979</v>
          </cell>
        </row>
        <row r="83">
          <cell r="C83">
            <v>8286000</v>
          </cell>
          <cell r="E83">
            <v>16000000</v>
          </cell>
          <cell r="F83">
            <v>0</v>
          </cell>
          <cell r="G83">
            <v>15440000</v>
          </cell>
          <cell r="I83">
            <v>8031000</v>
          </cell>
          <cell r="J83">
            <v>27699999.999999817</v>
          </cell>
          <cell r="T83">
            <v>2909756</v>
          </cell>
          <cell r="AB83">
            <v>250000</v>
          </cell>
        </row>
        <row r="84">
          <cell r="C84">
            <v>9038000</v>
          </cell>
          <cell r="E84">
            <v>13000000</v>
          </cell>
          <cell r="F84">
            <v>0</v>
          </cell>
          <cell r="G84">
            <v>13010000</v>
          </cell>
          <cell r="I84">
            <v>8835000.0000000112</v>
          </cell>
          <cell r="J84">
            <v>23800000.000000183</v>
          </cell>
          <cell r="T84">
            <v>2329916</v>
          </cell>
          <cell r="AB84">
            <v>199999.99999998862</v>
          </cell>
        </row>
        <row r="85">
          <cell r="C85">
            <v>10465000</v>
          </cell>
          <cell r="E85">
            <v>14000000</v>
          </cell>
          <cell r="F85">
            <v>0</v>
          </cell>
          <cell r="G85">
            <v>14180000</v>
          </cell>
          <cell r="I85">
            <v>10136999.999999993</v>
          </cell>
          <cell r="J85">
            <v>25000000</v>
          </cell>
          <cell r="T85">
            <v>2608339</v>
          </cell>
          <cell r="AB85">
            <v>323000.00000000751</v>
          </cell>
        </row>
        <row r="86">
          <cell r="C86">
            <v>10040000</v>
          </cell>
          <cell r="E86">
            <v>12000000</v>
          </cell>
          <cell r="F86">
            <v>0</v>
          </cell>
          <cell r="G86">
            <v>13900000</v>
          </cell>
          <cell r="I86">
            <v>9783000.0000000186</v>
          </cell>
          <cell r="J86">
            <v>23199999.999999817</v>
          </cell>
          <cell r="T86">
            <v>2454546</v>
          </cell>
          <cell r="AB86">
            <v>251999.99999998114</v>
          </cell>
        </row>
        <row r="87">
          <cell r="C87">
            <v>10013000</v>
          </cell>
          <cell r="E87">
            <v>15000000</v>
          </cell>
          <cell r="F87">
            <v>0</v>
          </cell>
          <cell r="G87">
            <v>14060000</v>
          </cell>
          <cell r="I87">
            <v>9677999.9999999925</v>
          </cell>
          <cell r="J87">
            <v>26500000</v>
          </cell>
          <cell r="T87">
            <v>2664885</v>
          </cell>
          <cell r="AB87">
            <v>329000.00000000774</v>
          </cell>
        </row>
        <row r="88">
          <cell r="C88">
            <v>11598000</v>
          </cell>
          <cell r="E88">
            <v>15000000</v>
          </cell>
          <cell r="F88">
            <v>0</v>
          </cell>
          <cell r="G88">
            <v>10970000</v>
          </cell>
          <cell r="I88">
            <v>11255999.999999987</v>
          </cell>
          <cell r="J88">
            <v>23000000</v>
          </cell>
          <cell r="T88">
            <v>2414705</v>
          </cell>
          <cell r="AB88">
            <v>336000.00000001275</v>
          </cell>
        </row>
        <row r="89">
          <cell r="C89">
            <v>8227000</v>
          </cell>
          <cell r="E89">
            <v>15000000</v>
          </cell>
          <cell r="F89">
            <v>0</v>
          </cell>
          <cell r="G89">
            <v>10620000</v>
          </cell>
          <cell r="I89">
            <v>7808000.0000000037</v>
          </cell>
          <cell r="J89">
            <v>24400000.000000089</v>
          </cell>
          <cell r="T89">
            <v>2429914</v>
          </cell>
          <cell r="AB89">
            <v>409999.99999999657</v>
          </cell>
        </row>
        <row r="90">
          <cell r="C90">
            <v>7314000</v>
          </cell>
          <cell r="E90">
            <v>16000000</v>
          </cell>
          <cell r="F90">
            <v>0</v>
          </cell>
          <cell r="G90">
            <v>10790000</v>
          </cell>
          <cell r="I90">
            <v>7215000.0000000102</v>
          </cell>
          <cell r="J90">
            <v>24099999.999999911</v>
          </cell>
          <cell r="T90">
            <v>2489971</v>
          </cell>
          <cell r="AB90">
            <v>98999.999999989537</v>
          </cell>
        </row>
        <row r="91">
          <cell r="C91">
            <v>8379000</v>
          </cell>
          <cell r="E91">
            <v>16000000</v>
          </cell>
          <cell r="F91">
            <v>0</v>
          </cell>
          <cell r="G91">
            <v>10380000</v>
          </cell>
          <cell r="I91">
            <v>8100000.0000000037</v>
          </cell>
          <cell r="J91">
            <v>24300000.000000183</v>
          </cell>
          <cell r="T91">
            <v>2511970</v>
          </cell>
          <cell r="AB91">
            <v>272999.99999999616</v>
          </cell>
        </row>
        <row r="92">
          <cell r="C92">
            <v>9158000</v>
          </cell>
          <cell r="E92">
            <v>19000000</v>
          </cell>
          <cell r="F92">
            <v>0</v>
          </cell>
          <cell r="G92">
            <v>10850000</v>
          </cell>
          <cell r="I92">
            <v>8886999.9999999814</v>
          </cell>
          <cell r="J92">
            <v>27199999.999999817</v>
          </cell>
          <cell r="T92">
            <v>2696218</v>
          </cell>
          <cell r="AB92">
            <v>266000.00000001956</v>
          </cell>
        </row>
        <row r="93">
          <cell r="C93">
            <v>9189000</v>
          </cell>
          <cell r="E93">
            <v>20000000</v>
          </cell>
          <cell r="F93">
            <v>0</v>
          </cell>
          <cell r="G93">
            <v>9470000</v>
          </cell>
          <cell r="I93">
            <v>8877000.0000000075</v>
          </cell>
          <cell r="J93">
            <v>26599999.999999911</v>
          </cell>
          <cell r="T93">
            <v>2817983</v>
          </cell>
          <cell r="AB93">
            <v>307999.99999999272</v>
          </cell>
        </row>
        <row r="94">
          <cell r="C94">
            <v>7186000</v>
          </cell>
          <cell r="E94">
            <v>20000000</v>
          </cell>
          <cell r="F94">
            <v>0</v>
          </cell>
          <cell r="G94">
            <v>8220000</v>
          </cell>
          <cell r="I94">
            <v>7029000.000000013</v>
          </cell>
          <cell r="J94">
            <v>25700000.000000272</v>
          </cell>
          <cell r="T94">
            <v>2506060</v>
          </cell>
          <cell r="AB94">
            <v>151999.99999998682</v>
          </cell>
        </row>
        <row r="95">
          <cell r="C95">
            <v>6139000</v>
          </cell>
          <cell r="E95">
            <v>18000000</v>
          </cell>
          <cell r="F95">
            <v>0</v>
          </cell>
          <cell r="G95">
            <v>7490000</v>
          </cell>
          <cell r="I95">
            <v>5886000.0000000047</v>
          </cell>
          <cell r="J95">
            <v>22699999.999999817</v>
          </cell>
          <cell r="T95">
            <v>2306163</v>
          </cell>
          <cell r="AB95">
            <v>248999.99999999523</v>
          </cell>
        </row>
        <row r="96">
          <cell r="C96">
            <v>8048000</v>
          </cell>
          <cell r="E96">
            <v>19000000</v>
          </cell>
          <cell r="F96">
            <v>0</v>
          </cell>
          <cell r="G96">
            <v>8000000</v>
          </cell>
          <cell r="I96">
            <v>7850999.9999999832</v>
          </cell>
          <cell r="J96">
            <v>24800000.000000183</v>
          </cell>
          <cell r="T96">
            <v>2443616</v>
          </cell>
          <cell r="AB96">
            <v>194000.00000001682</v>
          </cell>
        </row>
        <row r="97">
          <cell r="C97">
            <v>7991000</v>
          </cell>
          <cell r="E97">
            <v>19000000</v>
          </cell>
          <cell r="F97"/>
          <cell r="G97">
            <v>8120000</v>
          </cell>
          <cell r="I97">
            <v>7728999.9999999953</v>
          </cell>
          <cell r="J97">
            <v>25199999.999999817</v>
          </cell>
          <cell r="T97">
            <v>2491955</v>
          </cell>
          <cell r="AB97">
            <v>257000.00000000501</v>
          </cell>
        </row>
      </sheetData>
      <sheetData sheetId="6"/>
      <sheetData sheetId="7"/>
      <sheetData sheetId="8"/>
      <sheetData sheetId="9"/>
      <sheetData sheetId="10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ven Hour Data"/>
      <sheetName val="WB Clarifiers"/>
      <sheetName val="WB Chem Flow Changes"/>
      <sheetName val="TTP Chem Flow Changes"/>
      <sheetName val="Midnight Numbers"/>
      <sheetName val="Production Summary"/>
      <sheetName val="Chemical Summary"/>
      <sheetName val="Oct"/>
      <sheetName val="Nov"/>
      <sheetName val="Dec"/>
    </sheetNames>
    <sheetDataSet>
      <sheetData sheetId="0"/>
      <sheetData sheetId="1"/>
      <sheetData sheetId="2"/>
      <sheetData sheetId="3"/>
      <sheetData sheetId="4"/>
      <sheetData sheetId="5">
        <row r="6">
          <cell r="C6">
            <v>6433000</v>
          </cell>
          <cell r="E6">
            <v>15000000</v>
          </cell>
          <cell r="F6">
            <v>0</v>
          </cell>
          <cell r="G6">
            <v>6100000</v>
          </cell>
          <cell r="I6">
            <v>6235000.0000000065</v>
          </cell>
          <cell r="J6">
            <v>20300000.000000183</v>
          </cell>
          <cell r="T6">
            <v>2039398</v>
          </cell>
          <cell r="AB6">
            <v>194999.99999999319</v>
          </cell>
        </row>
        <row r="7">
          <cell r="C7">
            <v>7093000</v>
          </cell>
          <cell r="E7">
            <v>16000000</v>
          </cell>
          <cell r="F7">
            <v>0</v>
          </cell>
          <cell r="G7">
            <v>6830000</v>
          </cell>
          <cell r="I7">
            <v>6963000.0000000093</v>
          </cell>
          <cell r="J7">
            <v>20899999.999999635</v>
          </cell>
          <cell r="T7">
            <v>2260371</v>
          </cell>
          <cell r="AB7">
            <v>128999.99999999067</v>
          </cell>
        </row>
        <row r="8">
          <cell r="C8">
            <v>5949000</v>
          </cell>
          <cell r="E8">
            <v>9000000</v>
          </cell>
          <cell r="F8">
            <v>0</v>
          </cell>
          <cell r="G8">
            <v>7460000</v>
          </cell>
          <cell r="I8">
            <v>5694000</v>
          </cell>
          <cell r="J8">
            <v>15300000.000000183</v>
          </cell>
          <cell r="T8">
            <v>1680616</v>
          </cell>
          <cell r="AB8">
            <v>250000</v>
          </cell>
        </row>
        <row r="9">
          <cell r="C9">
            <v>7404000</v>
          </cell>
          <cell r="E9">
            <v>11000000</v>
          </cell>
          <cell r="F9">
            <v>0</v>
          </cell>
          <cell r="G9">
            <v>10890000</v>
          </cell>
          <cell r="I9">
            <v>7182999.9999999916</v>
          </cell>
          <cell r="J9">
            <v>20400000.000000089</v>
          </cell>
          <cell r="T9">
            <v>2064338</v>
          </cell>
          <cell r="AB9">
            <v>216000.00000000818</v>
          </cell>
        </row>
        <row r="10">
          <cell r="C10">
            <v>7174000</v>
          </cell>
          <cell r="E10">
            <v>13000000</v>
          </cell>
          <cell r="F10">
            <v>0</v>
          </cell>
          <cell r="G10">
            <v>11150000</v>
          </cell>
          <cell r="I10">
            <v>6860000.0000000028</v>
          </cell>
          <cell r="J10">
            <v>22199999.999999817</v>
          </cell>
          <cell r="T10">
            <v>2503834</v>
          </cell>
          <cell r="AB10">
            <v>308999.9999999975</v>
          </cell>
        </row>
        <row r="11">
          <cell r="C11">
            <v>6926000</v>
          </cell>
          <cell r="E11">
            <v>9000000</v>
          </cell>
          <cell r="F11">
            <v>0</v>
          </cell>
          <cell r="G11">
            <v>9120000</v>
          </cell>
          <cell r="I11">
            <v>6796000.0000000093</v>
          </cell>
          <cell r="J11">
            <v>16700000.000000272</v>
          </cell>
          <cell r="T11">
            <v>1695989</v>
          </cell>
          <cell r="AB11">
            <v>128999.99999999067</v>
          </cell>
        </row>
        <row r="12">
          <cell r="C12">
            <v>6781000</v>
          </cell>
          <cell r="E12">
            <v>9000000</v>
          </cell>
          <cell r="F12">
            <v>0</v>
          </cell>
          <cell r="G12">
            <v>12080000</v>
          </cell>
          <cell r="I12">
            <v>6582999.9999999832</v>
          </cell>
          <cell r="J12">
            <v>19299999.999999728</v>
          </cell>
          <cell r="T12">
            <v>1822449</v>
          </cell>
          <cell r="AB12">
            <v>194000.00000001682</v>
          </cell>
        </row>
        <row r="13">
          <cell r="C13">
            <v>6384000</v>
          </cell>
          <cell r="E13">
            <v>7000000</v>
          </cell>
          <cell r="F13">
            <v>0</v>
          </cell>
          <cell r="G13">
            <v>12060000</v>
          </cell>
          <cell r="I13">
            <v>6037000.0000000009</v>
          </cell>
          <cell r="J13">
            <v>16599999.999999909</v>
          </cell>
          <cell r="T13">
            <v>1761080</v>
          </cell>
          <cell r="AB13">
            <v>338999.99999999866</v>
          </cell>
        </row>
        <row r="14">
          <cell r="C14">
            <v>6023000</v>
          </cell>
          <cell r="E14">
            <v>5000000</v>
          </cell>
          <cell r="F14">
            <v>0</v>
          </cell>
          <cell r="G14">
            <v>9470000</v>
          </cell>
          <cell r="I14">
            <v>5551000.0000000009</v>
          </cell>
          <cell r="J14">
            <v>13700000.000000272</v>
          </cell>
          <cell r="T14">
            <v>1539649</v>
          </cell>
          <cell r="AB14">
            <v>463999.99999999866</v>
          </cell>
        </row>
        <row r="15">
          <cell r="C15">
            <v>5231000</v>
          </cell>
          <cell r="E15">
            <v>2000000</v>
          </cell>
          <cell r="F15">
            <v>0</v>
          </cell>
          <cell r="G15">
            <v>5740000</v>
          </cell>
          <cell r="I15">
            <v>5018999.9999999972</v>
          </cell>
          <cell r="J15">
            <v>6500000</v>
          </cell>
          <cell r="T15">
            <v>675008</v>
          </cell>
          <cell r="AB15">
            <v>209000.00000000317</v>
          </cell>
        </row>
        <row r="16">
          <cell r="C16">
            <v>4976000</v>
          </cell>
          <cell r="E16">
            <v>0</v>
          </cell>
          <cell r="F16">
            <v>0</v>
          </cell>
          <cell r="G16">
            <v>6450000</v>
          </cell>
          <cell r="I16">
            <v>4836999.9999999944</v>
          </cell>
          <cell r="J16">
            <v>5699999.9999998184</v>
          </cell>
          <cell r="T16">
            <v>552744</v>
          </cell>
          <cell r="AB16">
            <v>138000.00000000524</v>
          </cell>
        </row>
        <row r="17">
          <cell r="C17">
            <v>4752000</v>
          </cell>
          <cell r="E17">
            <v>0</v>
          </cell>
          <cell r="F17">
            <v>0</v>
          </cell>
          <cell r="G17">
            <v>10610000</v>
          </cell>
          <cell r="I17">
            <v>4606000.0000000233</v>
          </cell>
          <cell r="J17">
            <v>10000000</v>
          </cell>
          <cell r="T17">
            <v>938486</v>
          </cell>
          <cell r="AB17">
            <v>143999.99999997704</v>
          </cell>
        </row>
        <row r="18">
          <cell r="C18">
            <v>5024000</v>
          </cell>
          <cell r="E18">
            <v>0</v>
          </cell>
          <cell r="F18">
            <v>0</v>
          </cell>
          <cell r="G18">
            <v>12550000</v>
          </cell>
          <cell r="I18">
            <v>4819000.0000000019</v>
          </cell>
          <cell r="J18">
            <v>11700000.000000272</v>
          </cell>
          <cell r="T18">
            <v>1024646</v>
          </cell>
          <cell r="AB18">
            <v>201999.9999999982</v>
          </cell>
        </row>
        <row r="19">
          <cell r="C19">
            <v>1856000</v>
          </cell>
          <cell r="E19">
            <v>2000000</v>
          </cell>
          <cell r="F19">
            <v>0</v>
          </cell>
          <cell r="G19">
            <v>9710000</v>
          </cell>
          <cell r="I19">
            <v>1623999.9999999865</v>
          </cell>
          <cell r="J19">
            <v>10500000</v>
          </cell>
          <cell r="T19">
            <v>1269729</v>
          </cell>
          <cell r="AB19">
            <v>229000.00000001342</v>
          </cell>
        </row>
        <row r="20">
          <cell r="C20">
            <v>0</v>
          </cell>
          <cell r="E20">
            <v>5000000</v>
          </cell>
          <cell r="F20">
            <v>0</v>
          </cell>
          <cell r="G20">
            <v>10350000</v>
          </cell>
          <cell r="I20">
            <v>0</v>
          </cell>
          <cell r="J20">
            <v>14500000</v>
          </cell>
          <cell r="T20">
            <v>1392794</v>
          </cell>
          <cell r="AB20">
            <v>0</v>
          </cell>
        </row>
        <row r="21">
          <cell r="C21">
            <v>0</v>
          </cell>
          <cell r="E21">
            <v>5000000</v>
          </cell>
          <cell r="F21">
            <v>0</v>
          </cell>
          <cell r="G21">
            <v>10840000</v>
          </cell>
          <cell r="I21">
            <v>0</v>
          </cell>
          <cell r="J21">
            <v>14299999.999999728</v>
          </cell>
          <cell r="T21">
            <v>1566750</v>
          </cell>
          <cell r="AB21">
            <v>0</v>
          </cell>
        </row>
        <row r="22">
          <cell r="C22">
            <v>0</v>
          </cell>
          <cell r="E22">
            <v>5000000</v>
          </cell>
          <cell r="F22">
            <v>0</v>
          </cell>
          <cell r="G22">
            <v>12510000</v>
          </cell>
          <cell r="I22">
            <v>0</v>
          </cell>
          <cell r="J22">
            <v>15800000.000000183</v>
          </cell>
          <cell r="T22">
            <v>1626614</v>
          </cell>
          <cell r="AB22">
            <v>0</v>
          </cell>
        </row>
        <row r="23">
          <cell r="C23">
            <v>0</v>
          </cell>
          <cell r="E23">
            <v>5000000</v>
          </cell>
          <cell r="F23">
            <v>0</v>
          </cell>
          <cell r="G23">
            <v>10740000</v>
          </cell>
          <cell r="I23">
            <v>0</v>
          </cell>
          <cell r="J23">
            <v>14099999.999999909</v>
          </cell>
          <cell r="T23">
            <v>1650021</v>
          </cell>
          <cell r="AB23">
            <v>0</v>
          </cell>
        </row>
        <row r="24">
          <cell r="C24">
            <v>0</v>
          </cell>
          <cell r="E24">
            <v>5000000</v>
          </cell>
          <cell r="F24">
            <v>0</v>
          </cell>
          <cell r="G24">
            <v>10150000</v>
          </cell>
          <cell r="I24">
            <v>0</v>
          </cell>
          <cell r="J24">
            <v>13699999.999999817</v>
          </cell>
          <cell r="T24">
            <v>1534110</v>
          </cell>
          <cell r="AB24">
            <v>0</v>
          </cell>
        </row>
        <row r="25">
          <cell r="C25">
            <v>0</v>
          </cell>
          <cell r="E25">
            <v>6000000</v>
          </cell>
          <cell r="F25">
            <v>0</v>
          </cell>
          <cell r="G25">
            <v>10270000</v>
          </cell>
          <cell r="I25">
            <v>0</v>
          </cell>
          <cell r="J25">
            <v>14100000.000000363</v>
          </cell>
          <cell r="T25">
            <v>1732769</v>
          </cell>
          <cell r="AB25">
            <v>0</v>
          </cell>
        </row>
        <row r="26">
          <cell r="C26">
            <v>0</v>
          </cell>
          <cell r="E26">
            <v>5000000</v>
          </cell>
          <cell r="F26">
            <v>0</v>
          </cell>
          <cell r="G26">
            <v>10760000</v>
          </cell>
          <cell r="I26">
            <v>0</v>
          </cell>
          <cell r="J26">
            <v>14500000</v>
          </cell>
          <cell r="T26">
            <v>1418125</v>
          </cell>
          <cell r="AB26">
            <v>0</v>
          </cell>
        </row>
        <row r="27">
          <cell r="C27">
            <v>0</v>
          </cell>
          <cell r="E27">
            <v>5000000</v>
          </cell>
          <cell r="F27">
            <v>0</v>
          </cell>
          <cell r="G27">
            <v>12520000</v>
          </cell>
          <cell r="I27">
            <v>0</v>
          </cell>
          <cell r="J27">
            <v>16000000</v>
          </cell>
          <cell r="T27">
            <v>1590387</v>
          </cell>
          <cell r="AB27">
            <v>0</v>
          </cell>
        </row>
        <row r="28">
          <cell r="C28">
            <v>0</v>
          </cell>
          <cell r="E28">
            <v>5000000</v>
          </cell>
          <cell r="F28">
            <v>0</v>
          </cell>
          <cell r="G28">
            <v>8990000</v>
          </cell>
          <cell r="I28">
            <v>0</v>
          </cell>
          <cell r="J28">
            <v>13000000</v>
          </cell>
          <cell r="T28">
            <v>1477869</v>
          </cell>
          <cell r="AB28">
            <v>0</v>
          </cell>
        </row>
        <row r="29">
          <cell r="C29">
            <v>0</v>
          </cell>
          <cell r="E29">
            <v>5000000</v>
          </cell>
          <cell r="F29">
            <v>0</v>
          </cell>
          <cell r="G29">
            <v>6440000</v>
          </cell>
          <cell r="I29">
            <v>0</v>
          </cell>
          <cell r="J29">
            <v>10099999.999999454</v>
          </cell>
          <cell r="T29">
            <v>1193305</v>
          </cell>
          <cell r="AB29">
            <v>0</v>
          </cell>
        </row>
        <row r="30">
          <cell r="C30">
            <v>0</v>
          </cell>
          <cell r="E30">
            <v>5000000</v>
          </cell>
          <cell r="F30">
            <v>0</v>
          </cell>
          <cell r="G30">
            <v>7700000</v>
          </cell>
          <cell r="I30">
            <v>0</v>
          </cell>
          <cell r="J30">
            <v>12300000.000000183</v>
          </cell>
          <cell r="T30">
            <v>1234785</v>
          </cell>
          <cell r="AB30">
            <v>0</v>
          </cell>
        </row>
        <row r="31">
          <cell r="C31">
            <v>0</v>
          </cell>
          <cell r="E31">
            <v>5000000</v>
          </cell>
          <cell r="F31">
            <v>0</v>
          </cell>
          <cell r="G31">
            <v>7580000</v>
          </cell>
          <cell r="I31">
            <v>0</v>
          </cell>
          <cell r="J31">
            <v>11400000.000000546</v>
          </cell>
          <cell r="T31">
            <v>1230620</v>
          </cell>
          <cell r="AB31">
            <v>0</v>
          </cell>
        </row>
        <row r="32">
          <cell r="C32">
            <v>0</v>
          </cell>
          <cell r="E32">
            <v>6000000</v>
          </cell>
          <cell r="F32">
            <v>0</v>
          </cell>
          <cell r="G32">
            <v>9000000</v>
          </cell>
          <cell r="I32">
            <v>0</v>
          </cell>
          <cell r="J32">
            <v>14000000</v>
          </cell>
          <cell r="T32">
            <v>1321003</v>
          </cell>
          <cell r="AB32">
            <v>0</v>
          </cell>
        </row>
        <row r="33">
          <cell r="C33">
            <v>0</v>
          </cell>
          <cell r="E33">
            <v>6000000</v>
          </cell>
          <cell r="F33">
            <v>0</v>
          </cell>
          <cell r="G33">
            <v>8480000</v>
          </cell>
          <cell r="I33">
            <v>0</v>
          </cell>
          <cell r="J33">
            <v>12899999.999999637</v>
          </cell>
          <cell r="T33">
            <v>1263833</v>
          </cell>
          <cell r="AB33">
            <v>0</v>
          </cell>
        </row>
        <row r="34">
          <cell r="C34">
            <v>0</v>
          </cell>
          <cell r="E34">
            <v>6000000</v>
          </cell>
          <cell r="F34">
            <v>0</v>
          </cell>
          <cell r="G34">
            <v>8870000</v>
          </cell>
          <cell r="I34">
            <v>0</v>
          </cell>
          <cell r="J34">
            <v>13000000</v>
          </cell>
          <cell r="T34">
            <v>1390630</v>
          </cell>
          <cell r="AB34">
            <v>0</v>
          </cell>
        </row>
        <row r="35">
          <cell r="C35">
            <v>0</v>
          </cell>
          <cell r="E35">
            <v>5000000</v>
          </cell>
          <cell r="F35">
            <v>0</v>
          </cell>
          <cell r="G35">
            <v>8250000</v>
          </cell>
          <cell r="I35">
            <v>0</v>
          </cell>
          <cell r="J35">
            <v>12000000</v>
          </cell>
          <cell r="T35">
            <v>1286802</v>
          </cell>
          <cell r="AB35">
            <v>0</v>
          </cell>
        </row>
        <row r="36">
          <cell r="C36">
            <v>0</v>
          </cell>
          <cell r="E36">
            <v>5000000</v>
          </cell>
          <cell r="F36">
            <v>0</v>
          </cell>
          <cell r="G36">
            <v>8560000</v>
          </cell>
          <cell r="I36">
            <v>0</v>
          </cell>
          <cell r="J36">
            <v>12800000.000000183</v>
          </cell>
          <cell r="T36">
            <v>1501470</v>
          </cell>
          <cell r="AB36">
            <v>0</v>
          </cell>
        </row>
      </sheetData>
      <sheetData sheetId="6"/>
      <sheetData sheetId="7" refreshError="1"/>
      <sheetData sheetId="8" refreshError="1"/>
      <sheetData sheetId="9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vember"/>
      <sheetName val="December"/>
      <sheetName val="January"/>
      <sheetName val="February"/>
      <sheetName val="March"/>
      <sheetName val="April"/>
      <sheetName val="May"/>
      <sheetName val="June"/>
      <sheetName val="July"/>
      <sheetName val="August"/>
      <sheetName val="September"/>
      <sheetName val="October"/>
      <sheetName val="Summary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>
        <row r="3">
          <cell r="B3" t="e">
            <v>#VALUE!</v>
          </cell>
          <cell r="C3" t="e">
            <v>#VALUE!</v>
          </cell>
          <cell r="D3" t="e">
            <v>#VALUE!</v>
          </cell>
          <cell r="E3" t="e">
            <v>#VALUE!</v>
          </cell>
          <cell r="F3" t="e">
            <v>#VALUE!</v>
          </cell>
          <cell r="G3" t="e">
            <v>#VALUE!</v>
          </cell>
          <cell r="H3">
            <v>0</v>
          </cell>
          <cell r="I3" t="e">
            <v>#VALUE!</v>
          </cell>
        </row>
        <row r="4">
          <cell r="B4" t="e">
            <v>#VALUE!</v>
          </cell>
          <cell r="C4" t="e">
            <v>#VALUE!</v>
          </cell>
          <cell r="D4" t="e">
            <v>#VALUE!</v>
          </cell>
          <cell r="E4" t="e">
            <v>#VALUE!</v>
          </cell>
          <cell r="F4" t="e">
            <v>#VALUE!</v>
          </cell>
          <cell r="G4" t="e">
            <v>#VALUE!</v>
          </cell>
          <cell r="H4" t="e">
            <v>#VALUE!</v>
          </cell>
          <cell r="I4" t="e">
            <v>#VALUE!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D36"/>
  <sheetViews>
    <sheetView workbookViewId="0">
      <pane xSplit="1" ySplit="4" topLeftCell="I20" activePane="bottomRight" state="frozen"/>
      <selection pane="topRight" activeCell="B1" sqref="B1"/>
      <selection pane="bottomLeft" activeCell="A5" sqref="A5"/>
      <selection pane="bottomRight" activeCell="K28" sqref="K28"/>
    </sheetView>
  </sheetViews>
  <sheetFormatPr baseColWidth="10" defaultColWidth="8.83203125" defaultRowHeight="13" x14ac:dyDescent="0.15"/>
  <cols>
    <col min="2" max="2" width="12" customWidth="1"/>
    <col min="5" max="5" width="11.33203125" customWidth="1"/>
    <col min="8" max="8" width="15.5" bestFit="1" customWidth="1"/>
    <col min="11" max="11" width="13.83203125" customWidth="1"/>
    <col min="12" max="12" width="10.6640625" customWidth="1"/>
    <col min="15" max="15" width="11" customWidth="1"/>
    <col min="18" max="18" width="10.6640625" customWidth="1"/>
    <col min="21" max="21" width="11.6640625" bestFit="1" customWidth="1"/>
    <col min="22" max="22" width="10.6640625" customWidth="1"/>
    <col min="28" max="28" width="12.6640625" customWidth="1"/>
  </cols>
  <sheetData>
    <row r="1" spans="1:30" x14ac:dyDescent="0.15">
      <c r="B1" s="22"/>
      <c r="C1" s="22"/>
      <c r="D1" s="22"/>
      <c r="E1" s="22"/>
      <c r="F1" s="22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</row>
    <row r="2" spans="1:30" ht="14" thickBot="1" x14ac:dyDescent="0.2">
      <c r="C2" s="18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</row>
    <row r="3" spans="1:30" ht="60.75" customHeight="1" thickBot="1" x14ac:dyDescent="0.2">
      <c r="A3" s="3"/>
      <c r="B3" s="59" t="s">
        <v>10</v>
      </c>
      <c r="C3" s="60"/>
      <c r="D3" s="61"/>
      <c r="E3" s="59" t="s">
        <v>11</v>
      </c>
      <c r="F3" s="60"/>
      <c r="G3" s="61"/>
      <c r="H3" s="59" t="s">
        <v>12</v>
      </c>
      <c r="I3" s="60"/>
      <c r="J3" s="61"/>
      <c r="K3" s="59" t="s">
        <v>13</v>
      </c>
      <c r="L3" s="60"/>
      <c r="M3" s="61"/>
      <c r="N3" s="19"/>
      <c r="O3" s="59" t="s">
        <v>4</v>
      </c>
      <c r="P3" s="60"/>
      <c r="Q3" s="61"/>
      <c r="R3" s="59" t="s">
        <v>3</v>
      </c>
      <c r="S3" s="60"/>
      <c r="T3" s="61"/>
      <c r="U3" s="59" t="s">
        <v>6</v>
      </c>
      <c r="V3" s="60"/>
      <c r="W3" s="61"/>
      <c r="X3" s="59" t="s">
        <v>7</v>
      </c>
      <c r="Y3" s="60"/>
      <c r="Z3" s="61"/>
      <c r="AA3" s="19"/>
      <c r="AB3" s="56" t="s">
        <v>8</v>
      </c>
      <c r="AC3" s="57"/>
      <c r="AD3" s="58"/>
    </row>
    <row r="4" spans="1:30" x14ac:dyDescent="0.15">
      <c r="A4" s="2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4" t="s">
        <v>0</v>
      </c>
      <c r="AC4" s="35" t="s">
        <v>1</v>
      </c>
      <c r="AD4" s="36" t="s">
        <v>2</v>
      </c>
    </row>
    <row r="5" spans="1:30" x14ac:dyDescent="0.15">
      <c r="A5" s="1">
        <v>43040</v>
      </c>
      <c r="B5" s="7">
        <f>'[1]Production Summary'!J37</f>
        <v>11199999.999998908</v>
      </c>
      <c r="C5" s="8">
        <f t="shared" ref="C5:C34" si="0">B5/1000000</f>
        <v>11.199999999998909</v>
      </c>
      <c r="D5" s="10">
        <f t="shared" ref="D5:D34" si="1">C5*3.07</f>
        <v>34.383999999996647</v>
      </c>
      <c r="E5" s="7">
        <f>'[1]Production Summary'!E37</f>
        <v>5000000</v>
      </c>
      <c r="F5" s="8">
        <f t="shared" ref="F5:F34" si="2">E5/1000000</f>
        <v>5</v>
      </c>
      <c r="G5" s="10">
        <f t="shared" ref="G5:G34" si="3">F5*3.07</f>
        <v>15.35</v>
      </c>
      <c r="H5" s="7">
        <f>'[1]Production Summary'!G37</f>
        <v>7980000</v>
      </c>
      <c r="I5" s="8">
        <f>H5/1000000</f>
        <v>7.98</v>
      </c>
      <c r="J5" s="10">
        <f t="shared" ref="J5:J34" si="4">I5*3.07</f>
        <v>24.4986</v>
      </c>
      <c r="K5" s="7">
        <f>'[1]Production Summary'!T37</f>
        <v>1253264</v>
      </c>
      <c r="L5" s="8">
        <f t="shared" ref="L5:L7" si="5">K5/10000000</f>
        <v>0.1253264</v>
      </c>
      <c r="M5" s="10">
        <f t="shared" ref="M5:M34" si="6">L5*3.07</f>
        <v>0.38475204800000001</v>
      </c>
      <c r="N5" s="21"/>
      <c r="O5" s="7">
        <f>'[1]Production Summary'!I37</f>
        <v>0</v>
      </c>
      <c r="P5" s="8">
        <f t="shared" ref="P5:P16" si="7">O5/1000000</f>
        <v>0</v>
      </c>
      <c r="Q5" s="10">
        <f t="shared" ref="Q5:Q34" si="8">P5*3.07</f>
        <v>0</v>
      </c>
      <c r="R5" s="7">
        <f>'[1]Production Summary'!C37</f>
        <v>0</v>
      </c>
      <c r="S5" s="8">
        <f t="shared" ref="S5:S17" si="9">R5/1000000</f>
        <v>0</v>
      </c>
      <c r="T5" s="10">
        <f t="shared" ref="T5:T34" si="10">S5*3.07</f>
        <v>0</v>
      </c>
      <c r="U5" s="7">
        <f>'[1]Production Summary'!F37</f>
        <v>0</v>
      </c>
      <c r="V5" s="8">
        <f t="shared" ref="V5:V34" si="11">U5/1000000</f>
        <v>0</v>
      </c>
      <c r="W5" s="10">
        <f t="shared" ref="W5:W34" si="12">V5*3.07</f>
        <v>0</v>
      </c>
      <c r="X5" s="7">
        <f>'[1]Production Summary'!AB37</f>
        <v>0</v>
      </c>
      <c r="Y5" s="8">
        <f t="shared" ref="Y5:Y34" si="13">X5/1000000</f>
        <v>0</v>
      </c>
      <c r="Z5" s="10">
        <f t="shared" ref="Z5:Z34" si="14">Y5*3.07</f>
        <v>0</v>
      </c>
      <c r="AA5" s="15"/>
      <c r="AB5" s="7">
        <f>B5+O5</f>
        <v>11199999.999998908</v>
      </c>
      <c r="AC5" s="8">
        <f>C5+P5</f>
        <v>11.199999999998909</v>
      </c>
      <c r="AD5" s="8">
        <f>D5+Q5</f>
        <v>34.383999999996647</v>
      </c>
    </row>
    <row r="6" spans="1:30" x14ac:dyDescent="0.15">
      <c r="A6" s="1">
        <v>43041</v>
      </c>
      <c r="B6" s="7">
        <f>'[1]Production Summary'!J38</f>
        <v>12400000.000001455</v>
      </c>
      <c r="C6" s="8">
        <f t="shared" si="0"/>
        <v>12.400000000001455</v>
      </c>
      <c r="D6" s="10">
        <f t="shared" si="1"/>
        <v>38.068000000004467</v>
      </c>
      <c r="E6" s="7">
        <f>'[1]Production Summary'!E38</f>
        <v>6000000</v>
      </c>
      <c r="F6" s="8">
        <f t="shared" si="2"/>
        <v>6</v>
      </c>
      <c r="G6" s="10">
        <f t="shared" si="3"/>
        <v>18.419999999999998</v>
      </c>
      <c r="H6" s="7">
        <f>'[1]Production Summary'!G38</f>
        <v>8380000</v>
      </c>
      <c r="I6" s="8">
        <f t="shared" ref="I6:I34" si="15">H6/1000000</f>
        <v>8.3800000000000008</v>
      </c>
      <c r="J6" s="10">
        <f t="shared" si="4"/>
        <v>25.726600000000001</v>
      </c>
      <c r="K6" s="7">
        <f>'[1]Production Summary'!T38</f>
        <v>1285752</v>
      </c>
      <c r="L6" s="8">
        <f t="shared" si="5"/>
        <v>0.1285752</v>
      </c>
      <c r="M6" s="10">
        <f t="shared" si="6"/>
        <v>0.39472586399999998</v>
      </c>
      <c r="N6" s="21"/>
      <c r="O6" s="7">
        <f>'[1]Production Summary'!I38</f>
        <v>0</v>
      </c>
      <c r="P6" s="8">
        <f t="shared" si="7"/>
        <v>0</v>
      </c>
      <c r="Q6" s="10">
        <f t="shared" si="8"/>
        <v>0</v>
      </c>
      <c r="R6" s="7">
        <f>'[1]Production Summary'!C38</f>
        <v>0</v>
      </c>
      <c r="S6" s="8">
        <f t="shared" si="9"/>
        <v>0</v>
      </c>
      <c r="T6" s="10">
        <f t="shared" si="10"/>
        <v>0</v>
      </c>
      <c r="U6" s="7">
        <f>'[1]Production Summary'!F38</f>
        <v>0</v>
      </c>
      <c r="V6" s="8">
        <f t="shared" si="11"/>
        <v>0</v>
      </c>
      <c r="W6" s="10">
        <f t="shared" si="12"/>
        <v>0</v>
      </c>
      <c r="X6" s="7">
        <f>'[1]Production Summary'!AB38</f>
        <v>0</v>
      </c>
      <c r="Y6" s="8">
        <f t="shared" si="13"/>
        <v>0</v>
      </c>
      <c r="Z6" s="10">
        <f t="shared" si="14"/>
        <v>0</v>
      </c>
      <c r="AA6" s="15"/>
      <c r="AB6" s="7">
        <f t="shared" ref="AB6:AD35" si="16">B6+O6</f>
        <v>12400000.000001455</v>
      </c>
      <c r="AC6" s="8">
        <f t="shared" si="16"/>
        <v>12.400000000001455</v>
      </c>
      <c r="AD6" s="8">
        <f t="shared" si="16"/>
        <v>38.068000000004467</v>
      </c>
    </row>
    <row r="7" spans="1:30" x14ac:dyDescent="0.15">
      <c r="A7" s="1">
        <v>43042</v>
      </c>
      <c r="B7" s="7">
        <f>'[1]Production Summary'!J39</f>
        <v>13000000</v>
      </c>
      <c r="C7" s="8">
        <f t="shared" si="0"/>
        <v>13</v>
      </c>
      <c r="D7" s="10">
        <f t="shared" si="1"/>
        <v>39.909999999999997</v>
      </c>
      <c r="E7" s="7">
        <f>'[1]Production Summary'!E39</f>
        <v>6000000</v>
      </c>
      <c r="F7" s="8">
        <f t="shared" si="2"/>
        <v>6</v>
      </c>
      <c r="G7" s="10">
        <f t="shared" si="3"/>
        <v>18.419999999999998</v>
      </c>
      <c r="H7" s="7">
        <f>'[1]Production Summary'!G39</f>
        <v>9300000</v>
      </c>
      <c r="I7" s="8">
        <f t="shared" si="15"/>
        <v>9.3000000000000007</v>
      </c>
      <c r="J7" s="10">
        <f t="shared" si="4"/>
        <v>28.551000000000002</v>
      </c>
      <c r="K7" s="7">
        <f>'[1]Production Summary'!T39</f>
        <v>1451754</v>
      </c>
      <c r="L7" s="8">
        <f t="shared" si="5"/>
        <v>0.14517540000000001</v>
      </c>
      <c r="M7" s="10">
        <f t="shared" si="6"/>
        <v>0.445688478</v>
      </c>
      <c r="N7" s="21"/>
      <c r="O7" s="7">
        <f>'[1]Production Summary'!I39</f>
        <v>0</v>
      </c>
      <c r="P7" s="8">
        <f t="shared" si="7"/>
        <v>0</v>
      </c>
      <c r="Q7" s="10">
        <f t="shared" si="8"/>
        <v>0</v>
      </c>
      <c r="R7" s="7">
        <f>'[1]Production Summary'!C39</f>
        <v>0</v>
      </c>
      <c r="S7" s="8">
        <f t="shared" si="9"/>
        <v>0</v>
      </c>
      <c r="T7" s="10">
        <f t="shared" si="10"/>
        <v>0</v>
      </c>
      <c r="U7" s="7">
        <f>'[1]Production Summary'!F39</f>
        <v>0</v>
      </c>
      <c r="V7" s="8">
        <f t="shared" si="11"/>
        <v>0</v>
      </c>
      <c r="W7" s="10">
        <f t="shared" si="12"/>
        <v>0</v>
      </c>
      <c r="X7" s="7">
        <f>'[1]Production Summary'!AB39</f>
        <v>0</v>
      </c>
      <c r="Y7" s="8">
        <f t="shared" si="13"/>
        <v>0</v>
      </c>
      <c r="Z7" s="10">
        <f t="shared" si="14"/>
        <v>0</v>
      </c>
      <c r="AA7" s="15"/>
      <c r="AB7" s="7">
        <f t="shared" si="16"/>
        <v>13000000</v>
      </c>
      <c r="AC7" s="8">
        <f t="shared" si="16"/>
        <v>13</v>
      </c>
      <c r="AD7" s="8">
        <f t="shared" si="16"/>
        <v>39.909999999999997</v>
      </c>
    </row>
    <row r="8" spans="1:30" x14ac:dyDescent="0.15">
      <c r="A8" s="1">
        <v>43043</v>
      </c>
      <c r="B8" s="7">
        <f>'[1]Production Summary'!J40</f>
        <v>11000000</v>
      </c>
      <c r="C8" s="8">
        <f t="shared" si="0"/>
        <v>11</v>
      </c>
      <c r="D8" s="10">
        <f t="shared" si="1"/>
        <v>33.769999999999996</v>
      </c>
      <c r="E8" s="7">
        <f>'[1]Production Summary'!E40</f>
        <v>5000000</v>
      </c>
      <c r="F8" s="8">
        <f t="shared" si="2"/>
        <v>5</v>
      </c>
      <c r="G8" s="10">
        <f t="shared" si="3"/>
        <v>15.35</v>
      </c>
      <c r="H8" s="7">
        <f>'[1]Production Summary'!G40</f>
        <v>7860000</v>
      </c>
      <c r="I8" s="8">
        <f t="shared" si="15"/>
        <v>7.86</v>
      </c>
      <c r="J8" s="10">
        <f t="shared" si="4"/>
        <v>24.130199999999999</v>
      </c>
      <c r="K8" s="7">
        <f>'[1]Production Summary'!T40</f>
        <v>1376411</v>
      </c>
      <c r="L8" s="8">
        <f>K8/10000000</f>
        <v>0.13764109999999999</v>
      </c>
      <c r="M8" s="10">
        <f t="shared" si="6"/>
        <v>0.42255817699999992</v>
      </c>
      <c r="N8" s="21"/>
      <c r="O8" s="7">
        <f>'[1]Production Summary'!I40</f>
        <v>0</v>
      </c>
      <c r="P8" s="8">
        <f t="shared" si="7"/>
        <v>0</v>
      </c>
      <c r="Q8" s="10">
        <f t="shared" si="8"/>
        <v>0</v>
      </c>
      <c r="R8" s="7">
        <f>'[1]Production Summary'!C40</f>
        <v>0</v>
      </c>
      <c r="S8" s="8">
        <f t="shared" si="9"/>
        <v>0</v>
      </c>
      <c r="T8" s="10">
        <f t="shared" si="10"/>
        <v>0</v>
      </c>
      <c r="U8" s="7">
        <f>'[1]Production Summary'!F40</f>
        <v>0</v>
      </c>
      <c r="V8" s="8">
        <f t="shared" si="11"/>
        <v>0</v>
      </c>
      <c r="W8" s="10">
        <f t="shared" si="12"/>
        <v>0</v>
      </c>
      <c r="X8" s="7">
        <f>'[1]Production Summary'!AB40</f>
        <v>0</v>
      </c>
      <c r="Y8" s="8">
        <f t="shared" si="13"/>
        <v>0</v>
      </c>
      <c r="Z8" s="10">
        <f t="shared" si="14"/>
        <v>0</v>
      </c>
      <c r="AA8" s="15"/>
      <c r="AB8" s="7">
        <f t="shared" si="16"/>
        <v>11000000</v>
      </c>
      <c r="AC8" s="8">
        <f t="shared" si="16"/>
        <v>11</v>
      </c>
      <c r="AD8" s="8">
        <f>D8+Q8</f>
        <v>33.769999999999996</v>
      </c>
    </row>
    <row r="9" spans="1:30" x14ac:dyDescent="0.15">
      <c r="A9" s="1">
        <v>43044</v>
      </c>
      <c r="B9" s="7">
        <f>'[1]Production Summary'!J41</f>
        <v>13199999.999998908</v>
      </c>
      <c r="C9" s="8">
        <f t="shared" si="0"/>
        <v>13.199999999998909</v>
      </c>
      <c r="D9" s="10">
        <f t="shared" si="1"/>
        <v>40.523999999996647</v>
      </c>
      <c r="E9" s="7">
        <f>'[1]Production Summary'!E41</f>
        <v>6000000</v>
      </c>
      <c r="F9" s="8">
        <f t="shared" si="2"/>
        <v>6</v>
      </c>
      <c r="G9" s="10">
        <f t="shared" si="3"/>
        <v>18.419999999999998</v>
      </c>
      <c r="H9" s="7">
        <f>'[1]Production Summary'!G41</f>
        <v>9040000</v>
      </c>
      <c r="I9" s="8">
        <f t="shared" si="15"/>
        <v>9.0399999999999991</v>
      </c>
      <c r="J9" s="10">
        <f t="shared" si="4"/>
        <v>27.752799999999997</v>
      </c>
      <c r="K9" s="7">
        <f>'[1]Production Summary'!T41</f>
        <v>1382609</v>
      </c>
      <c r="L9" s="8">
        <f t="shared" ref="L9:L34" si="17">K9/10000000</f>
        <v>0.13826089999999999</v>
      </c>
      <c r="M9" s="10">
        <f t="shared" si="6"/>
        <v>0.42446096299999997</v>
      </c>
      <c r="N9" s="21"/>
      <c r="O9" s="7">
        <f>'[1]Production Summary'!I41</f>
        <v>0</v>
      </c>
      <c r="P9" s="8">
        <f t="shared" si="7"/>
        <v>0</v>
      </c>
      <c r="Q9" s="10">
        <f t="shared" si="8"/>
        <v>0</v>
      </c>
      <c r="R9" s="7">
        <f>'[1]Production Summary'!C41</f>
        <v>0</v>
      </c>
      <c r="S9" s="8">
        <f t="shared" si="9"/>
        <v>0</v>
      </c>
      <c r="T9" s="10">
        <f t="shared" si="10"/>
        <v>0</v>
      </c>
      <c r="U9" s="7">
        <f>'[1]Production Summary'!F41</f>
        <v>0</v>
      </c>
      <c r="V9" s="8">
        <f t="shared" si="11"/>
        <v>0</v>
      </c>
      <c r="W9" s="10">
        <f t="shared" si="12"/>
        <v>0</v>
      </c>
      <c r="X9" s="7">
        <f>'[1]Production Summary'!AB41</f>
        <v>0</v>
      </c>
      <c r="Y9" s="8">
        <f t="shared" si="13"/>
        <v>0</v>
      </c>
      <c r="Z9" s="10">
        <f t="shared" si="14"/>
        <v>0</v>
      </c>
      <c r="AA9" s="15"/>
      <c r="AB9" s="7">
        <f t="shared" si="16"/>
        <v>13199999.999998908</v>
      </c>
      <c r="AC9" s="8">
        <f t="shared" si="16"/>
        <v>13.199999999998909</v>
      </c>
      <c r="AD9" s="8">
        <f t="shared" si="16"/>
        <v>40.523999999996647</v>
      </c>
    </row>
    <row r="10" spans="1:30" x14ac:dyDescent="0.15">
      <c r="A10" s="1">
        <v>43045</v>
      </c>
      <c r="B10" s="7">
        <f>'[1]Production Summary'!J42</f>
        <v>13000000</v>
      </c>
      <c r="C10" s="8">
        <f t="shared" si="0"/>
        <v>13</v>
      </c>
      <c r="D10" s="10">
        <f t="shared" si="1"/>
        <v>39.909999999999997</v>
      </c>
      <c r="E10" s="7">
        <f>'[1]Production Summary'!E42</f>
        <v>6000000</v>
      </c>
      <c r="F10" s="8">
        <f t="shared" si="2"/>
        <v>6</v>
      </c>
      <c r="G10" s="10">
        <f t="shared" si="3"/>
        <v>18.419999999999998</v>
      </c>
      <c r="H10" s="7">
        <f>'[1]Production Summary'!G42</f>
        <v>8980000</v>
      </c>
      <c r="I10" s="8">
        <f t="shared" si="15"/>
        <v>8.98</v>
      </c>
      <c r="J10" s="10">
        <f t="shared" si="4"/>
        <v>27.5686</v>
      </c>
      <c r="K10" s="7">
        <f>'[1]Production Summary'!T42</f>
        <v>1355534</v>
      </c>
      <c r="L10" s="8">
        <f t="shared" si="17"/>
        <v>0.13555339999999999</v>
      </c>
      <c r="M10" s="10">
        <f t="shared" si="6"/>
        <v>0.41614893799999997</v>
      </c>
      <c r="N10" s="21"/>
      <c r="O10" s="7">
        <f>'[1]Production Summary'!I42</f>
        <v>0</v>
      </c>
      <c r="P10" s="8">
        <f t="shared" si="7"/>
        <v>0</v>
      </c>
      <c r="Q10" s="10">
        <f t="shared" si="8"/>
        <v>0</v>
      </c>
      <c r="R10" s="7">
        <f>'[1]Production Summary'!C42</f>
        <v>0</v>
      </c>
      <c r="S10" s="8">
        <f t="shared" si="9"/>
        <v>0</v>
      </c>
      <c r="T10" s="10">
        <f t="shared" si="10"/>
        <v>0</v>
      </c>
      <c r="U10" s="7">
        <f>'[1]Production Summary'!F42</f>
        <v>0</v>
      </c>
      <c r="V10" s="8">
        <f t="shared" si="11"/>
        <v>0</v>
      </c>
      <c r="W10" s="10">
        <f t="shared" si="12"/>
        <v>0</v>
      </c>
      <c r="X10" s="7">
        <f>'[1]Production Summary'!AB42</f>
        <v>0</v>
      </c>
      <c r="Y10" s="8">
        <f t="shared" si="13"/>
        <v>0</v>
      </c>
      <c r="Z10" s="10">
        <f t="shared" si="14"/>
        <v>0</v>
      </c>
      <c r="AA10" s="15"/>
      <c r="AB10" s="7">
        <f t="shared" si="16"/>
        <v>13000000</v>
      </c>
      <c r="AC10" s="8">
        <f t="shared" si="16"/>
        <v>13</v>
      </c>
      <c r="AD10" s="8">
        <f t="shared" si="16"/>
        <v>39.909999999999997</v>
      </c>
    </row>
    <row r="11" spans="1:30" x14ac:dyDescent="0.15">
      <c r="A11" s="1">
        <v>43046</v>
      </c>
      <c r="B11" s="7">
        <f>'[1]Production Summary'!J43</f>
        <v>12399999.999999637</v>
      </c>
      <c r="C11" s="8">
        <f t="shared" si="0"/>
        <v>12.399999999999636</v>
      </c>
      <c r="D11" s="10">
        <f t="shared" si="1"/>
        <v>38.067999999998882</v>
      </c>
      <c r="E11" s="7">
        <f>'[1]Production Summary'!E43</f>
        <v>6000000</v>
      </c>
      <c r="F11" s="8">
        <f t="shared" si="2"/>
        <v>6</v>
      </c>
      <c r="G11" s="10">
        <f t="shared" si="3"/>
        <v>18.419999999999998</v>
      </c>
      <c r="H11" s="7">
        <f>'[1]Production Summary'!G43</f>
        <v>8580000</v>
      </c>
      <c r="I11" s="8">
        <f t="shared" si="15"/>
        <v>8.58</v>
      </c>
      <c r="J11" s="10">
        <f t="shared" si="4"/>
        <v>26.340599999999998</v>
      </c>
      <c r="K11" s="7">
        <f>'[1]Production Summary'!T43</f>
        <v>1322461</v>
      </c>
      <c r="L11" s="8">
        <f t="shared" si="17"/>
        <v>0.13224610000000001</v>
      </c>
      <c r="M11" s="10">
        <f t="shared" si="6"/>
        <v>0.40599552700000002</v>
      </c>
      <c r="N11" s="21"/>
      <c r="O11" s="7">
        <f>'[1]Production Summary'!I43</f>
        <v>0</v>
      </c>
      <c r="P11" s="8">
        <f t="shared" si="7"/>
        <v>0</v>
      </c>
      <c r="Q11" s="10">
        <f t="shared" si="8"/>
        <v>0</v>
      </c>
      <c r="R11" s="7">
        <f>'[1]Production Summary'!C43</f>
        <v>0</v>
      </c>
      <c r="S11" s="8">
        <f t="shared" si="9"/>
        <v>0</v>
      </c>
      <c r="T11" s="10">
        <f t="shared" si="10"/>
        <v>0</v>
      </c>
      <c r="U11" s="7">
        <f>'[1]Production Summary'!F43</f>
        <v>0</v>
      </c>
      <c r="V11" s="8">
        <f t="shared" si="11"/>
        <v>0</v>
      </c>
      <c r="W11" s="10">
        <f t="shared" si="12"/>
        <v>0</v>
      </c>
      <c r="X11" s="7">
        <f>'[1]Production Summary'!AB43</f>
        <v>0</v>
      </c>
      <c r="Y11" s="8">
        <f t="shared" si="13"/>
        <v>0</v>
      </c>
      <c r="Z11" s="10">
        <f t="shared" si="14"/>
        <v>0</v>
      </c>
      <c r="AA11" s="15"/>
      <c r="AB11" s="7">
        <f t="shared" si="16"/>
        <v>12399999.999999637</v>
      </c>
      <c r="AC11" s="8">
        <f t="shared" si="16"/>
        <v>12.399999999999636</v>
      </c>
      <c r="AD11" s="8">
        <f t="shared" si="16"/>
        <v>38.067999999998882</v>
      </c>
    </row>
    <row r="12" spans="1:30" x14ac:dyDescent="0.15">
      <c r="A12" s="1">
        <v>43047</v>
      </c>
      <c r="B12" s="7">
        <f>'[1]Production Summary'!J44</f>
        <v>10800000.000001092</v>
      </c>
      <c r="C12" s="8">
        <f t="shared" si="0"/>
        <v>10.800000000001091</v>
      </c>
      <c r="D12" s="10">
        <f t="shared" si="1"/>
        <v>33.156000000003345</v>
      </c>
      <c r="E12" s="7">
        <f>'[1]Production Summary'!E44</f>
        <v>6000000</v>
      </c>
      <c r="F12" s="8">
        <f t="shared" si="2"/>
        <v>6</v>
      </c>
      <c r="G12" s="10">
        <f t="shared" si="3"/>
        <v>18.419999999999998</v>
      </c>
      <c r="H12" s="7">
        <f>'[1]Production Summary'!G44</f>
        <v>7490000</v>
      </c>
      <c r="I12" s="8">
        <f t="shared" si="15"/>
        <v>7.49</v>
      </c>
      <c r="J12" s="10">
        <f t="shared" si="4"/>
        <v>22.994299999999999</v>
      </c>
      <c r="K12" s="7">
        <f>'[1]Production Summary'!T44</f>
        <v>1377586</v>
      </c>
      <c r="L12" s="8">
        <f t="shared" si="17"/>
        <v>0.13775860000000001</v>
      </c>
      <c r="M12" s="10">
        <f t="shared" si="6"/>
        <v>0.42291890199999999</v>
      </c>
      <c r="N12" s="21"/>
      <c r="O12" s="7">
        <f>'[1]Production Summary'!I44</f>
        <v>0</v>
      </c>
      <c r="P12" s="8">
        <f t="shared" si="7"/>
        <v>0</v>
      </c>
      <c r="Q12" s="10">
        <f t="shared" si="8"/>
        <v>0</v>
      </c>
      <c r="R12" s="7">
        <f>'[1]Production Summary'!C44</f>
        <v>0</v>
      </c>
      <c r="S12" s="8">
        <f t="shared" si="9"/>
        <v>0</v>
      </c>
      <c r="T12" s="10">
        <f t="shared" si="10"/>
        <v>0</v>
      </c>
      <c r="U12" s="7">
        <f>'[1]Production Summary'!F44</f>
        <v>0</v>
      </c>
      <c r="V12" s="8">
        <f t="shared" si="11"/>
        <v>0</v>
      </c>
      <c r="W12" s="10">
        <f t="shared" si="12"/>
        <v>0</v>
      </c>
      <c r="X12" s="7">
        <f>'[1]Production Summary'!AB44</f>
        <v>0</v>
      </c>
      <c r="Y12" s="8">
        <f t="shared" si="13"/>
        <v>0</v>
      </c>
      <c r="Z12" s="10">
        <f t="shared" si="14"/>
        <v>0</v>
      </c>
      <c r="AA12" s="15"/>
      <c r="AB12" s="7">
        <f t="shared" si="16"/>
        <v>10800000.000001092</v>
      </c>
      <c r="AC12" s="8">
        <f t="shared" si="16"/>
        <v>10.800000000001091</v>
      </c>
      <c r="AD12" s="8">
        <f t="shared" si="16"/>
        <v>33.156000000003345</v>
      </c>
    </row>
    <row r="13" spans="1:30" x14ac:dyDescent="0.15">
      <c r="A13" s="1">
        <v>43048</v>
      </c>
      <c r="B13" s="7">
        <f>'[1]Production Summary'!J45</f>
        <v>11699999.999998908</v>
      </c>
      <c r="C13" s="8">
        <f t="shared" si="0"/>
        <v>11.699999999998909</v>
      </c>
      <c r="D13" s="10">
        <f t="shared" si="1"/>
        <v>35.91899999999665</v>
      </c>
      <c r="E13" s="7">
        <f>'[1]Production Summary'!E45</f>
        <v>5000000</v>
      </c>
      <c r="F13" s="8">
        <f t="shared" si="2"/>
        <v>5</v>
      </c>
      <c r="G13" s="10">
        <f t="shared" si="3"/>
        <v>15.35</v>
      </c>
      <c r="H13" s="7">
        <f>'[1]Production Summary'!G45</f>
        <v>8150000</v>
      </c>
      <c r="I13" s="8">
        <f t="shared" si="15"/>
        <v>8.15</v>
      </c>
      <c r="J13" s="10">
        <f t="shared" si="4"/>
        <v>25.020499999999998</v>
      </c>
      <c r="K13" s="7">
        <f>'[1]Production Summary'!T45</f>
        <v>1365635</v>
      </c>
      <c r="L13" s="8">
        <f t="shared" si="17"/>
        <v>0.1365635</v>
      </c>
      <c r="M13" s="10">
        <f t="shared" si="6"/>
        <v>0.41924994500000001</v>
      </c>
      <c r="N13" s="21"/>
      <c r="O13" s="7">
        <f>'[1]Production Summary'!I45</f>
        <v>0</v>
      </c>
      <c r="P13" s="8">
        <f t="shared" si="7"/>
        <v>0</v>
      </c>
      <c r="Q13" s="10">
        <f t="shared" si="8"/>
        <v>0</v>
      </c>
      <c r="R13" s="7">
        <f>'[1]Production Summary'!C45</f>
        <v>0</v>
      </c>
      <c r="S13" s="8">
        <f t="shared" si="9"/>
        <v>0</v>
      </c>
      <c r="T13" s="10">
        <f t="shared" si="10"/>
        <v>0</v>
      </c>
      <c r="U13" s="7">
        <f>'[1]Production Summary'!F45</f>
        <v>0</v>
      </c>
      <c r="V13" s="8">
        <f t="shared" si="11"/>
        <v>0</v>
      </c>
      <c r="W13" s="10">
        <f t="shared" si="12"/>
        <v>0</v>
      </c>
      <c r="X13" s="7">
        <f>'[1]Production Summary'!AB45</f>
        <v>0</v>
      </c>
      <c r="Y13" s="8">
        <f t="shared" si="13"/>
        <v>0</v>
      </c>
      <c r="Z13" s="10">
        <f t="shared" si="14"/>
        <v>0</v>
      </c>
      <c r="AA13" s="15"/>
      <c r="AB13" s="7">
        <f t="shared" si="16"/>
        <v>11699999.999998908</v>
      </c>
      <c r="AC13" s="8">
        <f t="shared" si="16"/>
        <v>11.699999999998909</v>
      </c>
      <c r="AD13" s="8">
        <f t="shared" si="16"/>
        <v>35.91899999999665</v>
      </c>
    </row>
    <row r="14" spans="1:30" x14ac:dyDescent="0.15">
      <c r="A14" s="1">
        <v>43049</v>
      </c>
      <c r="B14" s="7">
        <f>'[1]Production Summary'!J46</f>
        <v>13000000</v>
      </c>
      <c r="C14" s="8">
        <f t="shared" si="0"/>
        <v>13</v>
      </c>
      <c r="D14" s="10">
        <f t="shared" si="1"/>
        <v>39.909999999999997</v>
      </c>
      <c r="E14" s="7">
        <f>'[1]Production Summary'!E46</f>
        <v>6000000</v>
      </c>
      <c r="F14" s="8">
        <f t="shared" si="2"/>
        <v>6</v>
      </c>
      <c r="G14" s="10">
        <f t="shared" si="3"/>
        <v>18.419999999999998</v>
      </c>
      <c r="H14" s="7">
        <f>'[1]Production Summary'!G46</f>
        <v>8990000</v>
      </c>
      <c r="I14" s="8">
        <f t="shared" si="15"/>
        <v>8.99</v>
      </c>
      <c r="J14" s="10">
        <f t="shared" si="4"/>
        <v>27.599299999999999</v>
      </c>
      <c r="K14" s="7">
        <f>'[1]Production Summary'!T46</f>
        <v>1376418</v>
      </c>
      <c r="L14" s="8">
        <f t="shared" si="17"/>
        <v>0.13764180000000001</v>
      </c>
      <c r="M14" s="10">
        <f t="shared" si="6"/>
        <v>0.42256032599999999</v>
      </c>
      <c r="N14" s="21"/>
      <c r="O14" s="7">
        <f>'[1]Production Summary'!I46</f>
        <v>0</v>
      </c>
      <c r="P14" s="8">
        <f t="shared" si="7"/>
        <v>0</v>
      </c>
      <c r="Q14" s="10">
        <f t="shared" si="8"/>
        <v>0</v>
      </c>
      <c r="R14" s="7">
        <f>'[1]Production Summary'!C46</f>
        <v>0</v>
      </c>
      <c r="S14" s="8">
        <f t="shared" si="9"/>
        <v>0</v>
      </c>
      <c r="T14" s="10">
        <f t="shared" si="10"/>
        <v>0</v>
      </c>
      <c r="U14" s="7">
        <f>'[1]Production Summary'!F46</f>
        <v>0</v>
      </c>
      <c r="V14" s="8">
        <f t="shared" si="11"/>
        <v>0</v>
      </c>
      <c r="W14" s="10">
        <f t="shared" si="12"/>
        <v>0</v>
      </c>
      <c r="X14" s="7">
        <f>'[1]Production Summary'!AB46</f>
        <v>0</v>
      </c>
      <c r="Y14" s="8">
        <f t="shared" si="13"/>
        <v>0</v>
      </c>
      <c r="Z14" s="10">
        <f t="shared" si="14"/>
        <v>0</v>
      </c>
      <c r="AA14" s="15"/>
      <c r="AB14" s="7">
        <f t="shared" si="16"/>
        <v>13000000</v>
      </c>
      <c r="AC14" s="8">
        <f t="shared" si="16"/>
        <v>13</v>
      </c>
      <c r="AD14" s="8">
        <f t="shared" si="16"/>
        <v>39.909999999999997</v>
      </c>
    </row>
    <row r="15" spans="1:30" x14ac:dyDescent="0.15">
      <c r="A15" s="1">
        <v>43050</v>
      </c>
      <c r="B15" s="7">
        <f>'[1]Production Summary'!J47</f>
        <v>12100000.000000363</v>
      </c>
      <c r="C15" s="8">
        <f t="shared" si="0"/>
        <v>12.100000000000364</v>
      </c>
      <c r="D15" s="10">
        <f t="shared" si="1"/>
        <v>37.147000000001114</v>
      </c>
      <c r="E15" s="7">
        <f>'[1]Production Summary'!E47</f>
        <v>6000000</v>
      </c>
      <c r="F15" s="8">
        <f t="shared" si="2"/>
        <v>6</v>
      </c>
      <c r="G15" s="10">
        <f t="shared" si="3"/>
        <v>18.419999999999998</v>
      </c>
      <c r="H15" s="7">
        <f>'[1]Production Summary'!G47</f>
        <v>8300000</v>
      </c>
      <c r="I15" s="8">
        <f t="shared" si="15"/>
        <v>8.3000000000000007</v>
      </c>
      <c r="J15" s="10">
        <f t="shared" si="4"/>
        <v>25.481000000000002</v>
      </c>
      <c r="K15" s="7">
        <f>'[1]Production Summary'!T47</f>
        <v>1499099</v>
      </c>
      <c r="L15" s="8">
        <f t="shared" si="17"/>
        <v>0.14990990000000001</v>
      </c>
      <c r="M15" s="10">
        <f t="shared" si="6"/>
        <v>0.46022339300000004</v>
      </c>
      <c r="N15" s="21"/>
      <c r="O15" s="7">
        <f>'[1]Production Summary'!I47</f>
        <v>0</v>
      </c>
      <c r="P15" s="8">
        <f t="shared" si="7"/>
        <v>0</v>
      </c>
      <c r="Q15" s="10">
        <f t="shared" si="8"/>
        <v>0</v>
      </c>
      <c r="R15" s="7">
        <f>'[1]Production Summary'!C47</f>
        <v>0</v>
      </c>
      <c r="S15" s="8">
        <f t="shared" si="9"/>
        <v>0</v>
      </c>
      <c r="T15" s="10">
        <f t="shared" si="10"/>
        <v>0</v>
      </c>
      <c r="U15" s="7">
        <f>'[1]Production Summary'!F47</f>
        <v>0</v>
      </c>
      <c r="V15" s="8">
        <f t="shared" si="11"/>
        <v>0</v>
      </c>
      <c r="W15" s="10">
        <f t="shared" si="12"/>
        <v>0</v>
      </c>
      <c r="X15" s="7">
        <f>'[1]Production Summary'!AB47</f>
        <v>0</v>
      </c>
      <c r="Y15" s="8">
        <f t="shared" si="13"/>
        <v>0</v>
      </c>
      <c r="Z15" s="10">
        <f t="shared" si="14"/>
        <v>0</v>
      </c>
      <c r="AA15" s="15"/>
      <c r="AB15" s="7">
        <f t="shared" si="16"/>
        <v>12100000.000000363</v>
      </c>
      <c r="AC15" s="8">
        <f t="shared" si="16"/>
        <v>12.100000000000364</v>
      </c>
      <c r="AD15" s="8">
        <f t="shared" si="16"/>
        <v>37.147000000001114</v>
      </c>
    </row>
    <row r="16" spans="1:30" x14ac:dyDescent="0.15">
      <c r="A16" s="1">
        <v>43051</v>
      </c>
      <c r="B16" s="7">
        <f>'[1]Production Summary'!J48</f>
        <v>12500000</v>
      </c>
      <c r="C16" s="8">
        <f t="shared" si="0"/>
        <v>12.5</v>
      </c>
      <c r="D16" s="10">
        <f t="shared" si="1"/>
        <v>38.375</v>
      </c>
      <c r="E16" s="7">
        <f>'[1]Production Summary'!E48</f>
        <v>6000000</v>
      </c>
      <c r="F16" s="8">
        <f t="shared" si="2"/>
        <v>6</v>
      </c>
      <c r="G16" s="10">
        <f t="shared" si="3"/>
        <v>18.419999999999998</v>
      </c>
      <c r="H16" s="7">
        <f>'[1]Production Summary'!G48</f>
        <v>8860000</v>
      </c>
      <c r="I16" s="8">
        <f t="shared" si="15"/>
        <v>8.86</v>
      </c>
      <c r="J16" s="10">
        <f t="shared" si="4"/>
        <v>27.200199999999995</v>
      </c>
      <c r="K16" s="7">
        <f>'[1]Production Summary'!T48</f>
        <v>1472625</v>
      </c>
      <c r="L16" s="8">
        <f t="shared" si="17"/>
        <v>0.14726249999999999</v>
      </c>
      <c r="M16" s="10">
        <f t="shared" si="6"/>
        <v>0.45209587499999992</v>
      </c>
      <c r="N16" s="21"/>
      <c r="O16" s="7">
        <f>'[1]Production Summary'!I48</f>
        <v>0</v>
      </c>
      <c r="P16" s="8">
        <f t="shared" si="7"/>
        <v>0</v>
      </c>
      <c r="Q16" s="10">
        <f t="shared" si="8"/>
        <v>0</v>
      </c>
      <c r="R16" s="7">
        <f>'[1]Production Summary'!C48</f>
        <v>0</v>
      </c>
      <c r="S16" s="8">
        <f t="shared" si="9"/>
        <v>0</v>
      </c>
      <c r="T16" s="10">
        <f t="shared" si="10"/>
        <v>0</v>
      </c>
      <c r="U16" s="7">
        <f>'[1]Production Summary'!F48</f>
        <v>0</v>
      </c>
      <c r="V16" s="8">
        <f t="shared" si="11"/>
        <v>0</v>
      </c>
      <c r="W16" s="10">
        <f t="shared" si="12"/>
        <v>0</v>
      </c>
      <c r="X16" s="7">
        <f>'[1]Production Summary'!AB48</f>
        <v>0</v>
      </c>
      <c r="Y16" s="8">
        <f t="shared" si="13"/>
        <v>0</v>
      </c>
      <c r="Z16" s="10">
        <f t="shared" si="14"/>
        <v>0</v>
      </c>
      <c r="AA16" s="15"/>
      <c r="AB16" s="7">
        <f t="shared" si="16"/>
        <v>12500000</v>
      </c>
      <c r="AC16" s="8">
        <f t="shared" si="16"/>
        <v>12.5</v>
      </c>
      <c r="AD16" s="8">
        <f t="shared" si="16"/>
        <v>38.375</v>
      </c>
    </row>
    <row r="17" spans="1:30" x14ac:dyDescent="0.15">
      <c r="A17" s="1">
        <v>43052</v>
      </c>
      <c r="B17" s="7">
        <f>'[1]Production Summary'!J49</f>
        <v>12100000.000000363</v>
      </c>
      <c r="C17" s="8">
        <f t="shared" si="0"/>
        <v>12.100000000000364</v>
      </c>
      <c r="D17" s="10">
        <f t="shared" si="1"/>
        <v>37.147000000001114</v>
      </c>
      <c r="E17" s="7">
        <f>'[1]Production Summary'!E49</f>
        <v>5000000</v>
      </c>
      <c r="F17" s="8">
        <f t="shared" si="2"/>
        <v>5</v>
      </c>
      <c r="G17" s="10">
        <f t="shared" si="3"/>
        <v>15.35</v>
      </c>
      <c r="H17" s="7">
        <f>'[1]Production Summary'!G49</f>
        <v>8930000</v>
      </c>
      <c r="I17" s="8">
        <f t="shared" si="15"/>
        <v>8.93</v>
      </c>
      <c r="J17" s="10">
        <f t="shared" si="4"/>
        <v>27.415099999999999</v>
      </c>
      <c r="K17" s="7">
        <f>'[1]Production Summary'!T49</f>
        <v>1568827</v>
      </c>
      <c r="L17" s="8">
        <f t="shared" si="17"/>
        <v>0.15688270000000001</v>
      </c>
      <c r="M17" s="10">
        <f t="shared" si="6"/>
        <v>0.48162988900000003</v>
      </c>
      <c r="N17" s="21"/>
      <c r="O17" s="7">
        <f>'[1]Production Summary'!I49</f>
        <v>4447700</v>
      </c>
      <c r="P17" s="8">
        <f t="shared" ref="P17:P34" si="18">O17/1000000</f>
        <v>4.4477000000000002</v>
      </c>
      <c r="Q17" s="10">
        <f t="shared" si="8"/>
        <v>13.654439</v>
      </c>
      <c r="R17" s="7">
        <f>'[1]Production Summary'!C49</f>
        <v>4490000</v>
      </c>
      <c r="S17" s="8">
        <f t="shared" si="9"/>
        <v>4.49</v>
      </c>
      <c r="T17" s="10">
        <f t="shared" si="10"/>
        <v>13.7843</v>
      </c>
      <c r="U17" s="7">
        <f>'[1]Production Summary'!F49</f>
        <v>0</v>
      </c>
      <c r="V17" s="8">
        <f t="shared" si="11"/>
        <v>0</v>
      </c>
      <c r="W17" s="10">
        <f t="shared" si="12"/>
        <v>0</v>
      </c>
      <c r="X17" s="7">
        <f>'[1]Production Summary'!AB49</f>
        <v>39800</v>
      </c>
      <c r="Y17" s="8">
        <f t="shared" si="13"/>
        <v>3.9800000000000002E-2</v>
      </c>
      <c r="Z17" s="10">
        <f t="shared" si="14"/>
        <v>0.122186</v>
      </c>
      <c r="AA17" s="15"/>
      <c r="AB17" s="7">
        <f t="shared" si="16"/>
        <v>16547700.000000363</v>
      </c>
      <c r="AC17" s="8">
        <f t="shared" si="16"/>
        <v>16.547700000000365</v>
      </c>
      <c r="AD17" s="8">
        <f t="shared" si="16"/>
        <v>50.80143900000111</v>
      </c>
    </row>
    <row r="18" spans="1:30" x14ac:dyDescent="0.15">
      <c r="A18" s="1">
        <v>43053</v>
      </c>
      <c r="B18" s="7">
        <f>'[1]Production Summary'!J50</f>
        <v>6399999.9999996359</v>
      </c>
      <c r="C18" s="8">
        <f t="shared" si="0"/>
        <v>6.3999999999996362</v>
      </c>
      <c r="D18" s="10">
        <f t="shared" si="1"/>
        <v>19.647999999998881</v>
      </c>
      <c r="E18" s="7">
        <f>'[1]Production Summary'!E50</f>
        <v>0</v>
      </c>
      <c r="F18" s="8">
        <f t="shared" si="2"/>
        <v>0</v>
      </c>
      <c r="G18" s="10">
        <f t="shared" si="3"/>
        <v>0</v>
      </c>
      <c r="H18" s="7">
        <f>'[1]Production Summary'!G50</f>
        <v>8070000</v>
      </c>
      <c r="I18" s="8">
        <f t="shared" si="15"/>
        <v>8.07</v>
      </c>
      <c r="J18" s="10">
        <f t="shared" si="4"/>
        <v>24.774899999999999</v>
      </c>
      <c r="K18" s="7">
        <f>'[1]Production Summary'!T50</f>
        <v>1043623</v>
      </c>
      <c r="L18" s="8">
        <f t="shared" si="17"/>
        <v>0.10436230000000001</v>
      </c>
      <c r="M18" s="10">
        <f t="shared" si="6"/>
        <v>0.32039226100000001</v>
      </c>
      <c r="N18" s="21"/>
      <c r="O18" s="7">
        <f>'[1]Production Summary'!I50</f>
        <v>5763000.0000000019</v>
      </c>
      <c r="P18" s="8">
        <f t="shared" si="18"/>
        <v>5.7630000000000017</v>
      </c>
      <c r="Q18" s="10">
        <f t="shared" si="8"/>
        <v>17.692410000000006</v>
      </c>
      <c r="R18" s="7">
        <f>'[1]Production Summary'!C50</f>
        <v>5959000</v>
      </c>
      <c r="S18" s="8">
        <f t="shared" ref="S18:S34" si="19">R18/1000000</f>
        <v>5.9589999999999996</v>
      </c>
      <c r="T18" s="10">
        <f t="shared" si="10"/>
        <v>18.294129999999999</v>
      </c>
      <c r="U18" s="7">
        <f>'[1]Production Summary'!F50</f>
        <v>0</v>
      </c>
      <c r="V18" s="8">
        <f t="shared" si="11"/>
        <v>0</v>
      </c>
      <c r="W18" s="10">
        <f t="shared" si="12"/>
        <v>0</v>
      </c>
      <c r="X18" s="7">
        <f>'[1]Production Summary'!AB50</f>
        <v>192999.99999999785</v>
      </c>
      <c r="Y18" s="8">
        <f t="shared" si="13"/>
        <v>0.19299999999999784</v>
      </c>
      <c r="Z18" s="10">
        <f t="shared" si="14"/>
        <v>0.59250999999999332</v>
      </c>
      <c r="AA18" s="15"/>
      <c r="AB18" s="7">
        <f t="shared" si="16"/>
        <v>12162999.999999639</v>
      </c>
      <c r="AC18" s="8">
        <f t="shared" si="16"/>
        <v>12.162999999999638</v>
      </c>
      <c r="AD18" s="8">
        <f t="shared" si="16"/>
        <v>37.340409999998883</v>
      </c>
    </row>
    <row r="19" spans="1:30" x14ac:dyDescent="0.15">
      <c r="A19" s="1">
        <v>43054</v>
      </c>
      <c r="B19" s="7">
        <f>'[1]Production Summary'!J51</f>
        <v>6300000.0000010915</v>
      </c>
      <c r="C19" s="8">
        <f t="shared" si="0"/>
        <v>6.3000000000010914</v>
      </c>
      <c r="D19" s="10">
        <f t="shared" si="1"/>
        <v>19.341000000003351</v>
      </c>
      <c r="E19" s="7">
        <f>'[1]Production Summary'!E51</f>
        <v>0</v>
      </c>
      <c r="F19" s="8">
        <f t="shared" si="2"/>
        <v>0</v>
      </c>
      <c r="G19" s="10">
        <f t="shared" si="3"/>
        <v>0</v>
      </c>
      <c r="H19" s="7">
        <f>'[1]Production Summary'!G51</f>
        <v>7190000</v>
      </c>
      <c r="I19" s="8">
        <f t="shared" si="15"/>
        <v>7.19</v>
      </c>
      <c r="J19" s="10">
        <f t="shared" si="4"/>
        <v>22.0733</v>
      </c>
      <c r="K19" s="7">
        <f>'[1]Production Summary'!T51</f>
        <v>819032</v>
      </c>
      <c r="L19" s="8">
        <f t="shared" si="17"/>
        <v>8.1903199999999995E-2</v>
      </c>
      <c r="M19" s="10">
        <f t="shared" si="6"/>
        <v>0.25144282399999995</v>
      </c>
      <c r="N19" s="21"/>
      <c r="O19" s="7">
        <f>'[1]Production Summary'!I51</f>
        <v>6204999.9999999963</v>
      </c>
      <c r="P19" s="8">
        <f t="shared" si="18"/>
        <v>6.2049999999999965</v>
      </c>
      <c r="Q19" s="10">
        <f t="shared" si="8"/>
        <v>19.04934999999999</v>
      </c>
      <c r="R19" s="7">
        <f>'[1]Production Summary'!C51</f>
        <v>6304000</v>
      </c>
      <c r="S19" s="8">
        <f t="shared" si="19"/>
        <v>6.3040000000000003</v>
      </c>
      <c r="T19" s="10">
        <f t="shared" si="10"/>
        <v>19.353280000000002</v>
      </c>
      <c r="U19" s="7">
        <f>'[1]Production Summary'!F51</f>
        <v>0</v>
      </c>
      <c r="V19" s="8">
        <f t="shared" si="11"/>
        <v>0</v>
      </c>
      <c r="W19" s="10">
        <f t="shared" si="12"/>
        <v>0</v>
      </c>
      <c r="X19" s="7">
        <f>'[1]Production Summary'!AB51</f>
        <v>96000.000000003638</v>
      </c>
      <c r="Y19" s="8">
        <f t="shared" si="13"/>
        <v>9.6000000000003638E-2</v>
      </c>
      <c r="Z19" s="10">
        <f t="shared" si="14"/>
        <v>0.29472000000001114</v>
      </c>
      <c r="AA19" s="15"/>
      <c r="AB19" s="7">
        <f t="shared" si="16"/>
        <v>12505000.000001088</v>
      </c>
      <c r="AC19" s="8">
        <f t="shared" si="16"/>
        <v>12.505000000001088</v>
      </c>
      <c r="AD19" s="8">
        <f>D19+Q19</f>
        <v>38.390350000003338</v>
      </c>
    </row>
    <row r="20" spans="1:30" x14ac:dyDescent="0.15">
      <c r="A20" s="1">
        <v>43055</v>
      </c>
      <c r="B20" s="7">
        <f>'[1]Production Summary'!J52</f>
        <v>5299999.9999992726</v>
      </c>
      <c r="C20" s="8">
        <f t="shared" si="0"/>
        <v>5.2999999999992724</v>
      </c>
      <c r="D20" s="10">
        <f t="shared" si="1"/>
        <v>16.270999999997766</v>
      </c>
      <c r="E20" s="7">
        <f>'[1]Production Summary'!E52</f>
        <v>0</v>
      </c>
      <c r="F20" s="8">
        <f t="shared" si="2"/>
        <v>0</v>
      </c>
      <c r="G20" s="10">
        <f t="shared" si="3"/>
        <v>0</v>
      </c>
      <c r="H20" s="7">
        <f>'[1]Production Summary'!G52</f>
        <v>6530000</v>
      </c>
      <c r="I20" s="8">
        <f t="shared" si="15"/>
        <v>6.53</v>
      </c>
      <c r="J20" s="10">
        <f t="shared" si="4"/>
        <v>20.0471</v>
      </c>
      <c r="K20" s="7">
        <f>'[1]Production Summary'!T52</f>
        <v>821107</v>
      </c>
      <c r="L20" s="8">
        <f t="shared" si="17"/>
        <v>8.2110699999999995E-2</v>
      </c>
      <c r="M20" s="10">
        <f t="shared" si="6"/>
        <v>0.25207984899999997</v>
      </c>
      <c r="N20" s="21"/>
      <c r="O20" s="7">
        <f>'[1]Production Summary'!I52</f>
        <v>6484000.0000000075</v>
      </c>
      <c r="P20" s="8">
        <f t="shared" si="18"/>
        <v>6.4840000000000071</v>
      </c>
      <c r="Q20" s="10">
        <f t="shared" si="8"/>
        <v>19.905880000000021</v>
      </c>
      <c r="R20" s="7">
        <f>'[1]Production Summary'!C52</f>
        <v>7042000</v>
      </c>
      <c r="S20" s="8">
        <f t="shared" si="19"/>
        <v>7.0419999999999998</v>
      </c>
      <c r="T20" s="10">
        <f t="shared" si="10"/>
        <v>21.618939999999998</v>
      </c>
      <c r="U20" s="7">
        <f>'[1]Production Summary'!F52</f>
        <v>0</v>
      </c>
      <c r="V20" s="8">
        <f t="shared" si="11"/>
        <v>0</v>
      </c>
      <c r="W20" s="10">
        <f t="shared" si="12"/>
        <v>0</v>
      </c>
      <c r="X20" s="7">
        <f>'[1]Production Summary'!AB52</f>
        <v>554999.99999999267</v>
      </c>
      <c r="Y20" s="8">
        <f t="shared" si="13"/>
        <v>0.55499999999999261</v>
      </c>
      <c r="Z20" s="10">
        <f t="shared" si="14"/>
        <v>1.7038499999999772</v>
      </c>
      <c r="AA20" s="15"/>
      <c r="AB20" s="7">
        <f t="shared" si="16"/>
        <v>11783999.999999281</v>
      </c>
      <c r="AC20" s="8">
        <f t="shared" si="16"/>
        <v>11.783999999999279</v>
      </c>
      <c r="AD20" s="8">
        <f t="shared" si="16"/>
        <v>36.176879999997787</v>
      </c>
    </row>
    <row r="21" spans="1:30" x14ac:dyDescent="0.15">
      <c r="A21" s="1">
        <v>43056</v>
      </c>
      <c r="B21" s="7">
        <f>'[1]Production Summary'!J53</f>
        <v>5000000</v>
      </c>
      <c r="C21" s="8">
        <f t="shared" si="0"/>
        <v>5</v>
      </c>
      <c r="D21" s="10">
        <f t="shared" si="1"/>
        <v>15.35</v>
      </c>
      <c r="E21" s="7">
        <f>'[1]Production Summary'!E53</f>
        <v>0</v>
      </c>
      <c r="F21" s="8">
        <f t="shared" si="2"/>
        <v>0</v>
      </c>
      <c r="G21" s="10">
        <f t="shared" si="3"/>
        <v>0</v>
      </c>
      <c r="H21" s="7">
        <f>'[1]Production Summary'!G53</f>
        <v>6360000</v>
      </c>
      <c r="I21" s="8">
        <f t="shared" si="15"/>
        <v>6.36</v>
      </c>
      <c r="J21" s="10">
        <f t="shared" si="4"/>
        <v>19.525200000000002</v>
      </c>
      <c r="K21" s="7">
        <f>'[1]Production Summary'!T53</f>
        <v>771369</v>
      </c>
      <c r="L21" s="8">
        <f t="shared" si="17"/>
        <v>7.7136899999999994E-2</v>
      </c>
      <c r="M21" s="10">
        <f t="shared" si="6"/>
        <v>0.23681028299999998</v>
      </c>
      <c r="N21" s="21"/>
      <c r="O21" s="7">
        <f>'[1]Production Summary'!I53</f>
        <v>6034999.9999999888</v>
      </c>
      <c r="P21" s="8">
        <f t="shared" si="18"/>
        <v>6.0349999999999886</v>
      </c>
      <c r="Q21" s="10">
        <f t="shared" si="8"/>
        <v>18.527449999999963</v>
      </c>
      <c r="R21" s="7">
        <f>'[1]Production Summary'!C53</f>
        <v>6337000</v>
      </c>
      <c r="S21" s="8">
        <f t="shared" si="19"/>
        <v>6.3369999999999997</v>
      </c>
      <c r="T21" s="10">
        <f t="shared" si="10"/>
        <v>19.45459</v>
      </c>
      <c r="U21" s="7">
        <f>'[1]Production Summary'!F53</f>
        <v>0</v>
      </c>
      <c r="V21" s="8">
        <f t="shared" si="11"/>
        <v>0</v>
      </c>
      <c r="W21" s="10">
        <f t="shared" si="12"/>
        <v>0</v>
      </c>
      <c r="X21" s="7">
        <f>'[1]Production Summary'!AB53</f>
        <v>297000.00000001123</v>
      </c>
      <c r="Y21" s="8">
        <f t="shared" si="13"/>
        <v>0.29700000000001125</v>
      </c>
      <c r="Z21" s="10">
        <f t="shared" si="14"/>
        <v>0.91179000000003452</v>
      </c>
      <c r="AA21" s="15"/>
      <c r="AB21" s="7">
        <f t="shared" si="16"/>
        <v>11034999.999999989</v>
      </c>
      <c r="AC21" s="8">
        <f t="shared" si="16"/>
        <v>11.034999999999989</v>
      </c>
      <c r="AD21" s="8">
        <f t="shared" si="16"/>
        <v>33.877449999999961</v>
      </c>
    </row>
    <row r="22" spans="1:30" x14ac:dyDescent="0.15">
      <c r="A22" s="1">
        <v>43057</v>
      </c>
      <c r="B22" s="7">
        <f>'[1]Production Summary'!J54</f>
        <v>6200000.0000007274</v>
      </c>
      <c r="C22" s="8">
        <f t="shared" si="0"/>
        <v>6.2000000000007276</v>
      </c>
      <c r="D22" s="10">
        <f t="shared" si="1"/>
        <v>19.034000000002234</v>
      </c>
      <c r="E22" s="7">
        <f>'[1]Production Summary'!E54</f>
        <v>0</v>
      </c>
      <c r="F22" s="8">
        <f t="shared" si="2"/>
        <v>0</v>
      </c>
      <c r="G22" s="10">
        <f t="shared" si="3"/>
        <v>0</v>
      </c>
      <c r="H22" s="7">
        <f>'[1]Production Summary'!G54</f>
        <v>7580000</v>
      </c>
      <c r="I22" s="8">
        <f t="shared" si="15"/>
        <v>7.58</v>
      </c>
      <c r="J22" s="10">
        <f t="shared" si="4"/>
        <v>23.270599999999998</v>
      </c>
      <c r="K22" s="7">
        <f>'[1]Production Summary'!T54</f>
        <v>858174</v>
      </c>
      <c r="L22" s="8">
        <f t="shared" si="17"/>
        <v>8.5817400000000002E-2</v>
      </c>
      <c r="M22" s="10">
        <f t="shared" si="6"/>
        <v>0.263459418</v>
      </c>
      <c r="N22" s="21"/>
      <c r="O22" s="7">
        <f>'[1]Production Summary'!I54</f>
        <v>6606000</v>
      </c>
      <c r="P22" s="8">
        <f t="shared" si="18"/>
        <v>6.6059999999999999</v>
      </c>
      <c r="Q22" s="10">
        <f t="shared" si="8"/>
        <v>20.280419999999999</v>
      </c>
      <c r="R22" s="7">
        <f>'[1]Production Summary'!C54</f>
        <v>6974000</v>
      </c>
      <c r="S22" s="8">
        <f t="shared" si="19"/>
        <v>6.9740000000000002</v>
      </c>
      <c r="T22" s="10">
        <f t="shared" si="10"/>
        <v>21.41018</v>
      </c>
      <c r="U22" s="7">
        <f>'[1]Production Summary'!F54</f>
        <v>0</v>
      </c>
      <c r="V22" s="8">
        <f t="shared" si="11"/>
        <v>0</v>
      </c>
      <c r="W22" s="10">
        <f t="shared" si="12"/>
        <v>0</v>
      </c>
      <c r="X22" s="7">
        <f>'[1]Production Summary'!AB54</f>
        <v>362999.99999999953</v>
      </c>
      <c r="Y22" s="8">
        <f t="shared" si="13"/>
        <v>0.36299999999999955</v>
      </c>
      <c r="Z22" s="10">
        <f t="shared" si="14"/>
        <v>1.1144099999999986</v>
      </c>
      <c r="AA22" s="15"/>
      <c r="AB22" s="7">
        <f t="shared" si="16"/>
        <v>12806000.000000726</v>
      </c>
      <c r="AC22" s="8">
        <f t="shared" si="16"/>
        <v>12.806000000000727</v>
      </c>
      <c r="AD22" s="8">
        <f t="shared" si="16"/>
        <v>39.314420000002229</v>
      </c>
    </row>
    <row r="23" spans="1:30" x14ac:dyDescent="0.15">
      <c r="A23" s="1">
        <v>43058</v>
      </c>
      <c r="B23" s="7">
        <f>'[1]Production Summary'!J55</f>
        <v>5899999.9999996359</v>
      </c>
      <c r="C23" s="8">
        <f t="shared" si="0"/>
        <v>5.8999999999996362</v>
      </c>
      <c r="D23" s="10">
        <f t="shared" si="1"/>
        <v>18.11299999999888</v>
      </c>
      <c r="E23" s="7">
        <f>'[1]Production Summary'!E55</f>
        <v>0</v>
      </c>
      <c r="F23" s="8">
        <f t="shared" si="2"/>
        <v>0</v>
      </c>
      <c r="G23" s="10">
        <f t="shared" si="3"/>
        <v>0</v>
      </c>
      <c r="H23" s="7">
        <f>'[1]Production Summary'!G55</f>
        <v>7540000</v>
      </c>
      <c r="I23" s="8">
        <f t="shared" si="15"/>
        <v>7.54</v>
      </c>
      <c r="J23" s="10">
        <f t="shared" si="4"/>
        <v>23.1478</v>
      </c>
      <c r="K23" s="7">
        <f>'[1]Production Summary'!T55</f>
        <v>912978</v>
      </c>
      <c r="L23" s="8">
        <f t="shared" si="17"/>
        <v>9.1297799999999998E-2</v>
      </c>
      <c r="M23" s="10">
        <f t="shared" si="6"/>
        <v>0.28028424599999996</v>
      </c>
      <c r="N23" s="21"/>
      <c r="O23" s="7">
        <f>'[1]Production Summary'!I55</f>
        <v>7020000.0000000112</v>
      </c>
      <c r="P23" s="8">
        <f t="shared" si="18"/>
        <v>7.0200000000000111</v>
      </c>
      <c r="Q23" s="10">
        <f t="shared" si="8"/>
        <v>21.551400000000033</v>
      </c>
      <c r="R23" s="7">
        <f>'[1]Production Summary'!C55</f>
        <v>7733000</v>
      </c>
      <c r="S23" s="8">
        <f t="shared" si="19"/>
        <v>7.7329999999999997</v>
      </c>
      <c r="T23" s="10">
        <f t="shared" si="10"/>
        <v>23.740309999999997</v>
      </c>
      <c r="U23" s="7">
        <f>'[1]Production Summary'!F55</f>
        <v>0</v>
      </c>
      <c r="V23" s="8">
        <f t="shared" si="11"/>
        <v>0</v>
      </c>
      <c r="W23" s="10">
        <f t="shared" si="12"/>
        <v>0</v>
      </c>
      <c r="X23" s="7">
        <f>'[1]Production Summary'!AB55</f>
        <v>708999.99999998894</v>
      </c>
      <c r="Y23" s="8">
        <f t="shared" si="13"/>
        <v>0.70899999999998897</v>
      </c>
      <c r="Z23" s="10">
        <f t="shared" si="14"/>
        <v>2.1766299999999661</v>
      </c>
      <c r="AA23" s="15"/>
      <c r="AB23" s="7">
        <f t="shared" si="16"/>
        <v>12919999.999999646</v>
      </c>
      <c r="AC23" s="8">
        <f t="shared" si="16"/>
        <v>12.919999999999646</v>
      </c>
      <c r="AD23" s="8">
        <f t="shared" si="16"/>
        <v>39.664399999998913</v>
      </c>
    </row>
    <row r="24" spans="1:30" x14ac:dyDescent="0.15">
      <c r="A24" s="1">
        <v>43059</v>
      </c>
      <c r="B24" s="7">
        <f>'[1]Production Summary'!J56</f>
        <v>6299999.9999992726</v>
      </c>
      <c r="C24" s="8">
        <f t="shared" si="0"/>
        <v>6.2999999999992724</v>
      </c>
      <c r="D24" s="10">
        <f t="shared" si="1"/>
        <v>19.340999999997766</v>
      </c>
      <c r="E24" s="7">
        <f>'[1]Production Summary'!E56</f>
        <v>0</v>
      </c>
      <c r="F24" s="8">
        <f t="shared" si="2"/>
        <v>0</v>
      </c>
      <c r="G24" s="10">
        <f t="shared" si="3"/>
        <v>0</v>
      </c>
      <c r="H24" s="7">
        <f>'[1]Production Summary'!G56</f>
        <v>7330000</v>
      </c>
      <c r="I24" s="8">
        <f t="shared" si="15"/>
        <v>7.33</v>
      </c>
      <c r="J24" s="10">
        <f t="shared" si="4"/>
        <v>22.5031</v>
      </c>
      <c r="K24" s="7">
        <f>'[1]Production Summary'!T56</f>
        <v>775345</v>
      </c>
      <c r="L24" s="8">
        <f t="shared" si="17"/>
        <v>7.7534500000000006E-2</v>
      </c>
      <c r="M24" s="10">
        <f t="shared" si="6"/>
        <v>0.23803091500000001</v>
      </c>
      <c r="N24" s="21"/>
      <c r="O24" s="7">
        <f>'[1]Production Summary'!I56</f>
        <v>6867999.9999999981</v>
      </c>
      <c r="P24" s="8">
        <f t="shared" si="18"/>
        <v>6.8679999999999986</v>
      </c>
      <c r="Q24" s="10">
        <f t="shared" si="8"/>
        <v>21.084759999999996</v>
      </c>
      <c r="R24" s="7">
        <f>'[1]Production Summary'!C56</f>
        <v>7674000</v>
      </c>
      <c r="S24" s="8">
        <f t="shared" si="19"/>
        <v>7.6740000000000004</v>
      </c>
      <c r="T24" s="10">
        <f t="shared" si="10"/>
        <v>23.559180000000001</v>
      </c>
      <c r="U24" s="7">
        <f>'[1]Production Summary'!F56</f>
        <v>0</v>
      </c>
      <c r="V24" s="8">
        <f t="shared" si="11"/>
        <v>0</v>
      </c>
      <c r="W24" s="10">
        <f t="shared" si="12"/>
        <v>0</v>
      </c>
      <c r="X24" s="7">
        <f>'[1]Production Summary'!AB56</f>
        <v>801000.00000000198</v>
      </c>
      <c r="Y24" s="8">
        <f t="shared" si="13"/>
        <v>0.80100000000000193</v>
      </c>
      <c r="Z24" s="10">
        <f t="shared" si="14"/>
        <v>2.4590700000000059</v>
      </c>
      <c r="AA24" s="15"/>
      <c r="AB24" s="7">
        <f t="shared" si="16"/>
        <v>13167999.99999927</v>
      </c>
      <c r="AC24" s="8">
        <f t="shared" si="16"/>
        <v>13.167999999999271</v>
      </c>
      <c r="AD24" s="8">
        <f>D24+Q24</f>
        <v>40.425759999997766</v>
      </c>
    </row>
    <row r="25" spans="1:30" x14ac:dyDescent="0.15">
      <c r="A25" s="1">
        <v>43060</v>
      </c>
      <c r="B25" s="7">
        <f>'[1]Production Summary'!J57</f>
        <v>4899999.9999996359</v>
      </c>
      <c r="C25" s="8">
        <f t="shared" si="0"/>
        <v>4.8999999999996362</v>
      </c>
      <c r="D25" s="10">
        <f t="shared" si="1"/>
        <v>15.042999999998882</v>
      </c>
      <c r="E25" s="7">
        <f>'[1]Production Summary'!E57</f>
        <v>0</v>
      </c>
      <c r="F25" s="8">
        <f t="shared" si="2"/>
        <v>0</v>
      </c>
      <c r="G25" s="10">
        <f t="shared" si="3"/>
        <v>0</v>
      </c>
      <c r="H25" s="7">
        <f>'[1]Production Summary'!G57</f>
        <v>6400000</v>
      </c>
      <c r="I25" s="8">
        <f t="shared" si="15"/>
        <v>6.4</v>
      </c>
      <c r="J25" s="10">
        <f t="shared" si="4"/>
        <v>19.648</v>
      </c>
      <c r="K25" s="7">
        <f>'[1]Production Summary'!T57</f>
        <v>851847</v>
      </c>
      <c r="L25" s="8">
        <f t="shared" si="17"/>
        <v>8.5184700000000002E-2</v>
      </c>
      <c r="M25" s="10">
        <f t="shared" si="6"/>
        <v>0.26151702900000001</v>
      </c>
      <c r="N25" s="21"/>
      <c r="O25" s="7">
        <f>'[1]Production Summary'!I57</f>
        <v>5947000.0000000019</v>
      </c>
      <c r="P25" s="8">
        <f t="shared" si="18"/>
        <v>5.9470000000000018</v>
      </c>
      <c r="Q25" s="10">
        <f t="shared" si="8"/>
        <v>18.257290000000005</v>
      </c>
      <c r="R25" s="7">
        <f>'[1]Production Summary'!C57</f>
        <v>6273000</v>
      </c>
      <c r="S25" s="8">
        <f t="shared" si="19"/>
        <v>6.2729999999999997</v>
      </c>
      <c r="T25" s="10">
        <f t="shared" si="10"/>
        <v>19.258109999999999</v>
      </c>
      <c r="U25" s="7">
        <f>'[1]Production Summary'!F57</f>
        <v>0</v>
      </c>
      <c r="V25" s="8">
        <f t="shared" si="11"/>
        <v>0</v>
      </c>
      <c r="W25" s="10">
        <f t="shared" si="12"/>
        <v>0</v>
      </c>
      <c r="X25" s="7">
        <f>'[1]Production Summary'!AB57</f>
        <v>320999.99999999796</v>
      </c>
      <c r="Y25" s="8">
        <f t="shared" si="13"/>
        <v>0.32099999999999795</v>
      </c>
      <c r="Z25" s="10">
        <f t="shared" si="14"/>
        <v>0.98546999999999363</v>
      </c>
      <c r="AA25" s="15"/>
      <c r="AB25" s="7">
        <f t="shared" si="16"/>
        <v>10846999.999999639</v>
      </c>
      <c r="AC25" s="8">
        <f t="shared" si="16"/>
        <v>10.846999999999639</v>
      </c>
      <c r="AD25" s="8">
        <f t="shared" si="16"/>
        <v>33.300289999998888</v>
      </c>
    </row>
    <row r="26" spans="1:30" x14ac:dyDescent="0.15">
      <c r="A26" s="1">
        <v>43061</v>
      </c>
      <c r="B26" s="7">
        <f>'[1]Production Summary'!J58</f>
        <v>6000000</v>
      </c>
      <c r="C26" s="8">
        <f t="shared" si="0"/>
        <v>6</v>
      </c>
      <c r="D26" s="10">
        <f t="shared" si="1"/>
        <v>18.419999999999998</v>
      </c>
      <c r="E26" s="7">
        <f>'[1]Production Summary'!E58</f>
        <v>0</v>
      </c>
      <c r="F26" s="8">
        <f t="shared" si="2"/>
        <v>0</v>
      </c>
      <c r="G26" s="10">
        <f t="shared" si="3"/>
        <v>0</v>
      </c>
      <c r="H26" s="7">
        <f>'[1]Production Summary'!G58</f>
        <v>7510000</v>
      </c>
      <c r="I26" s="8">
        <f t="shared" si="15"/>
        <v>7.51</v>
      </c>
      <c r="J26" s="10">
        <f t="shared" si="4"/>
        <v>23.055699999999998</v>
      </c>
      <c r="K26" s="7">
        <f>'[1]Production Summary'!T58</f>
        <v>894252</v>
      </c>
      <c r="L26" s="8">
        <f t="shared" si="17"/>
        <v>8.9425199999999996E-2</v>
      </c>
      <c r="M26" s="10">
        <f t="shared" si="6"/>
        <v>0.27453536399999995</v>
      </c>
      <c r="N26" s="21"/>
      <c r="O26" s="7">
        <f>'[1]Production Summary'!I58</f>
        <v>6808999.9999999925</v>
      </c>
      <c r="P26" s="8">
        <f t="shared" si="18"/>
        <v>6.8089999999999922</v>
      </c>
      <c r="Q26" s="10">
        <f t="shared" si="8"/>
        <v>20.903629999999975</v>
      </c>
      <c r="R26" s="7">
        <f>'[1]Production Summary'!C58</f>
        <v>7003000</v>
      </c>
      <c r="S26" s="8">
        <f t="shared" si="19"/>
        <v>7.0030000000000001</v>
      </c>
      <c r="T26" s="10">
        <f t="shared" si="10"/>
        <v>21.499209999999998</v>
      </c>
      <c r="U26" s="7">
        <f>'[1]Production Summary'!F58</f>
        <v>0</v>
      </c>
      <c r="V26" s="8">
        <f t="shared" si="11"/>
        <v>0</v>
      </c>
      <c r="W26" s="10">
        <f t="shared" si="12"/>
        <v>0</v>
      </c>
      <c r="X26" s="7">
        <f>'[1]Production Summary'!AB58</f>
        <v>192000.00000000728</v>
      </c>
      <c r="Y26" s="8">
        <f t="shared" si="13"/>
        <v>0.19200000000000728</v>
      </c>
      <c r="Z26" s="10">
        <f t="shared" si="14"/>
        <v>0.58944000000002228</v>
      </c>
      <c r="AA26" s="15"/>
      <c r="AB26" s="7">
        <f t="shared" si="16"/>
        <v>12808999.999999993</v>
      </c>
      <c r="AC26" s="8">
        <f t="shared" si="16"/>
        <v>12.808999999999992</v>
      </c>
      <c r="AD26" s="8">
        <f t="shared" si="16"/>
        <v>39.323629999999973</v>
      </c>
    </row>
    <row r="27" spans="1:30" x14ac:dyDescent="0.15">
      <c r="A27" s="1">
        <v>43062</v>
      </c>
      <c r="B27" s="7">
        <f>'[1]Production Summary'!J59</f>
        <v>6700000.0000007274</v>
      </c>
      <c r="C27" s="8">
        <f t="shared" si="0"/>
        <v>6.7000000000007276</v>
      </c>
      <c r="D27" s="10">
        <f t="shared" si="1"/>
        <v>20.569000000002234</v>
      </c>
      <c r="E27" s="7">
        <f>'[1]Production Summary'!E59</f>
        <v>0</v>
      </c>
      <c r="F27" s="8">
        <f t="shared" si="2"/>
        <v>0</v>
      </c>
      <c r="G27" s="10">
        <f t="shared" si="3"/>
        <v>0</v>
      </c>
      <c r="H27" s="7">
        <f>'[1]Production Summary'!G59</f>
        <v>7710000</v>
      </c>
      <c r="I27" s="8">
        <f t="shared" si="15"/>
        <v>7.71</v>
      </c>
      <c r="J27" s="10">
        <f t="shared" si="4"/>
        <v>23.669699999999999</v>
      </c>
      <c r="K27" s="7">
        <f>'[1]Production Summary'!T59</f>
        <v>927701</v>
      </c>
      <c r="L27" s="8">
        <f t="shared" si="17"/>
        <v>9.2770099999999994E-2</v>
      </c>
      <c r="M27" s="10">
        <f t="shared" si="6"/>
        <v>0.28480420699999998</v>
      </c>
      <c r="N27" s="21"/>
      <c r="O27" s="7">
        <f>'[1]Production Summary'!I59</f>
        <v>7548999.9999999953</v>
      </c>
      <c r="P27" s="8">
        <f t="shared" si="18"/>
        <v>7.548999999999995</v>
      </c>
      <c r="Q27" s="10">
        <f t="shared" si="8"/>
        <v>23.175429999999984</v>
      </c>
      <c r="R27" s="7">
        <f>'[1]Production Summary'!C59</f>
        <v>7927000</v>
      </c>
      <c r="S27" s="8">
        <f t="shared" si="19"/>
        <v>7.9269999999999996</v>
      </c>
      <c r="T27" s="10">
        <f t="shared" si="10"/>
        <v>24.335889999999999</v>
      </c>
      <c r="U27" s="7">
        <f>'[1]Production Summary'!F59</f>
        <v>0</v>
      </c>
      <c r="V27" s="8">
        <f t="shared" si="11"/>
        <v>0</v>
      </c>
      <c r="W27" s="10">
        <f t="shared" si="12"/>
        <v>0</v>
      </c>
      <c r="X27" s="7">
        <f>'[1]Production Summary'!AB59</f>
        <v>373000.00000000466</v>
      </c>
      <c r="Y27" s="8">
        <f t="shared" si="13"/>
        <v>0.37300000000000466</v>
      </c>
      <c r="Z27" s="10">
        <f t="shared" si="14"/>
        <v>1.1451100000000143</v>
      </c>
      <c r="AA27" s="15"/>
      <c r="AB27" s="7">
        <f t="shared" si="16"/>
        <v>14249000.000000723</v>
      </c>
      <c r="AC27" s="8">
        <f t="shared" si="16"/>
        <v>14.249000000000724</v>
      </c>
      <c r="AD27" s="8">
        <f t="shared" si="16"/>
        <v>43.744430000002218</v>
      </c>
    </row>
    <row r="28" spans="1:30" x14ac:dyDescent="0.15">
      <c r="A28" s="1">
        <v>43063</v>
      </c>
      <c r="B28" s="7">
        <f>'[1]Production Summary'!J60</f>
        <v>5100000.0000003641</v>
      </c>
      <c r="C28" s="8">
        <f t="shared" si="0"/>
        <v>5.1000000000003638</v>
      </c>
      <c r="D28" s="10">
        <f t="shared" si="1"/>
        <v>15.657000000001116</v>
      </c>
      <c r="E28" s="7">
        <f>'[1]Production Summary'!E60</f>
        <v>0</v>
      </c>
      <c r="F28" s="8">
        <f t="shared" si="2"/>
        <v>0</v>
      </c>
      <c r="G28" s="10">
        <f t="shared" si="3"/>
        <v>0</v>
      </c>
      <c r="H28" s="7">
        <f>'[1]Production Summary'!G60</f>
        <v>7090000</v>
      </c>
      <c r="I28" s="8">
        <f t="shared" si="15"/>
        <v>7.09</v>
      </c>
      <c r="J28" s="10">
        <f t="shared" si="4"/>
        <v>21.766299999999998</v>
      </c>
      <c r="K28" s="7">
        <f>'[1]Production Summary'!T60</f>
        <v>843530</v>
      </c>
      <c r="L28" s="8">
        <f t="shared" si="17"/>
        <v>8.4352999999999997E-2</v>
      </c>
      <c r="M28" s="10">
        <f t="shared" si="6"/>
        <v>0.25896370999999996</v>
      </c>
      <c r="N28" s="21"/>
      <c r="O28" s="7">
        <f>'[1]Production Summary'!I60</f>
        <v>6794000.0000000102</v>
      </c>
      <c r="P28" s="8">
        <f t="shared" si="18"/>
        <v>6.7940000000000103</v>
      </c>
      <c r="Q28" s="10">
        <f t="shared" si="8"/>
        <v>20.857580000000031</v>
      </c>
      <c r="R28" s="7">
        <f>'[1]Production Summary'!C60</f>
        <v>7164000</v>
      </c>
      <c r="S28" s="8">
        <f t="shared" si="19"/>
        <v>7.1639999999999997</v>
      </c>
      <c r="T28" s="10">
        <f t="shared" si="10"/>
        <v>21.993479999999998</v>
      </c>
      <c r="U28" s="7">
        <f>'[1]Production Summary'!F60</f>
        <v>0</v>
      </c>
      <c r="V28" s="8">
        <f t="shared" si="11"/>
        <v>0</v>
      </c>
      <c r="W28" s="10">
        <f t="shared" si="12"/>
        <v>0</v>
      </c>
      <c r="X28" s="7">
        <f>'[1]Production Summary'!AB60</f>
        <v>363999.9999999901</v>
      </c>
      <c r="Y28" s="8">
        <f t="shared" si="13"/>
        <v>0.36399999999999011</v>
      </c>
      <c r="Z28" s="10">
        <f t="shared" si="14"/>
        <v>1.1174799999999696</v>
      </c>
      <c r="AA28" s="15"/>
      <c r="AB28" s="7">
        <f t="shared" si="16"/>
        <v>11894000.000000374</v>
      </c>
      <c r="AC28" s="8">
        <f t="shared" si="16"/>
        <v>11.894000000000375</v>
      </c>
      <c r="AD28" s="8">
        <f t="shared" si="16"/>
        <v>36.514580000001146</v>
      </c>
    </row>
    <row r="29" spans="1:30" x14ac:dyDescent="0.15">
      <c r="A29" s="1">
        <v>43064</v>
      </c>
      <c r="B29" s="7">
        <f>'[1]Production Summary'!J61</f>
        <v>5199999.9999989085</v>
      </c>
      <c r="C29" s="8">
        <f t="shared" si="0"/>
        <v>5.1999999999989086</v>
      </c>
      <c r="D29" s="10">
        <f t="shared" si="1"/>
        <v>15.963999999996648</v>
      </c>
      <c r="E29" s="7">
        <f>'[1]Production Summary'!E61</f>
        <v>0</v>
      </c>
      <c r="F29" s="8">
        <f t="shared" si="2"/>
        <v>0</v>
      </c>
      <c r="G29" s="10">
        <f t="shared" si="3"/>
        <v>0</v>
      </c>
      <c r="H29" s="7">
        <f>'[1]Production Summary'!G61</f>
        <v>6420000</v>
      </c>
      <c r="I29" s="8">
        <f t="shared" si="15"/>
        <v>6.42</v>
      </c>
      <c r="J29" s="10">
        <f t="shared" si="4"/>
        <v>19.709399999999999</v>
      </c>
      <c r="K29" s="7">
        <f>'[1]Production Summary'!T61</f>
        <v>725777</v>
      </c>
      <c r="L29" s="8">
        <f t="shared" si="17"/>
        <v>7.2577699999999995E-2</v>
      </c>
      <c r="M29" s="10">
        <f t="shared" si="6"/>
        <v>0.22281353899999998</v>
      </c>
      <c r="N29" s="21"/>
      <c r="O29" s="7">
        <f>'[1]Production Summary'!I61</f>
        <v>5682999.9999999944</v>
      </c>
      <c r="P29" s="8">
        <f t="shared" si="18"/>
        <v>5.6829999999999945</v>
      </c>
      <c r="Q29" s="10">
        <f t="shared" si="8"/>
        <v>17.446809999999981</v>
      </c>
      <c r="R29" s="7">
        <f>'[1]Production Summary'!C61</f>
        <v>5961000</v>
      </c>
      <c r="S29" s="8">
        <f t="shared" si="19"/>
        <v>5.9610000000000003</v>
      </c>
      <c r="T29" s="10">
        <f t="shared" si="10"/>
        <v>18.300270000000001</v>
      </c>
      <c r="U29" s="7">
        <f>'[1]Production Summary'!F61</f>
        <v>0</v>
      </c>
      <c r="V29" s="8">
        <f t="shared" si="11"/>
        <v>0</v>
      </c>
      <c r="W29" s="10">
        <f t="shared" si="12"/>
        <v>0</v>
      </c>
      <c r="X29" s="7">
        <f>'[1]Production Summary'!AB61</f>
        <v>275000.0000000057</v>
      </c>
      <c r="Y29" s="8">
        <f t="shared" si="13"/>
        <v>0.27500000000000568</v>
      </c>
      <c r="Z29" s="10">
        <f t="shared" si="14"/>
        <v>0.84425000000001738</v>
      </c>
      <c r="AA29" s="15"/>
      <c r="AB29" s="7">
        <f t="shared" si="16"/>
        <v>10882999.999998903</v>
      </c>
      <c r="AC29" s="8">
        <f t="shared" si="16"/>
        <v>10.882999999998903</v>
      </c>
      <c r="AD29" s="8">
        <f t="shared" si="16"/>
        <v>33.41080999999663</v>
      </c>
    </row>
    <row r="30" spans="1:30" x14ac:dyDescent="0.15">
      <c r="A30" s="1">
        <v>43065</v>
      </c>
      <c r="B30" s="7">
        <f>'[1]Production Summary'!J62</f>
        <v>5600000.0000003641</v>
      </c>
      <c r="C30" s="8">
        <f t="shared" si="0"/>
        <v>5.6000000000003638</v>
      </c>
      <c r="D30" s="10">
        <f t="shared" si="1"/>
        <v>17.192000000001116</v>
      </c>
      <c r="E30" s="7">
        <f>'[1]Production Summary'!E62</f>
        <v>0</v>
      </c>
      <c r="F30" s="8">
        <f t="shared" si="2"/>
        <v>0</v>
      </c>
      <c r="G30" s="10">
        <f t="shared" si="3"/>
        <v>0</v>
      </c>
      <c r="H30" s="7">
        <f>'[1]Production Summary'!G62</f>
        <v>6520000</v>
      </c>
      <c r="I30" s="8">
        <f t="shared" si="15"/>
        <v>6.52</v>
      </c>
      <c r="J30" s="10">
        <f t="shared" si="4"/>
        <v>20.016399999999997</v>
      </c>
      <c r="K30" s="7">
        <f>'[1]Production Summary'!T62</f>
        <v>836408.66666666663</v>
      </c>
      <c r="L30" s="8">
        <f t="shared" si="17"/>
        <v>8.3640866666666661E-2</v>
      </c>
      <c r="M30" s="10">
        <f t="shared" si="6"/>
        <v>0.25677746066666662</v>
      </c>
      <c r="N30" s="21"/>
      <c r="O30" s="7">
        <f>'[1]Production Summary'!I62</f>
        <v>6095000.0000000056</v>
      </c>
      <c r="P30" s="8">
        <f t="shared" si="18"/>
        <v>6.095000000000006</v>
      </c>
      <c r="Q30" s="10">
        <f t="shared" si="8"/>
        <v>18.711650000000017</v>
      </c>
      <c r="R30" s="7">
        <f>'[1]Production Summary'!C62</f>
        <v>6443000</v>
      </c>
      <c r="S30" s="8">
        <f t="shared" si="19"/>
        <v>6.4429999999999996</v>
      </c>
      <c r="T30" s="10">
        <f t="shared" si="10"/>
        <v>19.780009999999997</v>
      </c>
      <c r="U30" s="7">
        <f>'[1]Production Summary'!F62</f>
        <v>0</v>
      </c>
      <c r="V30" s="8">
        <f t="shared" si="11"/>
        <v>0</v>
      </c>
      <c r="W30" s="10">
        <f t="shared" si="12"/>
        <v>0</v>
      </c>
      <c r="X30" s="7">
        <f>'[1]Production Summary'!AB62</f>
        <v>340999.99999999395</v>
      </c>
      <c r="Y30" s="8">
        <f t="shared" si="13"/>
        <v>0.34099999999999392</v>
      </c>
      <c r="Z30" s="10">
        <f t="shared" si="14"/>
        <v>1.0468699999999813</v>
      </c>
      <c r="AA30" s="15"/>
      <c r="AB30" s="7">
        <f t="shared" si="16"/>
        <v>11695000.000000369</v>
      </c>
      <c r="AC30" s="8">
        <f t="shared" si="16"/>
        <v>11.69500000000037</v>
      </c>
      <c r="AD30" s="8">
        <f>D30+Q30</f>
        <v>35.903650000001136</v>
      </c>
    </row>
    <row r="31" spans="1:30" x14ac:dyDescent="0.15">
      <c r="A31" s="1">
        <v>43066</v>
      </c>
      <c r="B31" s="7">
        <f>'[1]Production Summary'!J63</f>
        <v>4800000.0000010915</v>
      </c>
      <c r="C31" s="8">
        <f t="shared" si="0"/>
        <v>4.8000000000010914</v>
      </c>
      <c r="D31" s="10">
        <f t="shared" si="1"/>
        <v>14.736000000003349</v>
      </c>
      <c r="E31" s="7">
        <f>'[1]Production Summary'!E63</f>
        <v>0</v>
      </c>
      <c r="F31" s="8">
        <f t="shared" si="2"/>
        <v>0</v>
      </c>
      <c r="G31" s="10">
        <f t="shared" si="3"/>
        <v>0</v>
      </c>
      <c r="H31" s="7">
        <f>'[1]Production Summary'!G63</f>
        <v>5990000</v>
      </c>
      <c r="I31" s="8">
        <f t="shared" si="15"/>
        <v>5.99</v>
      </c>
      <c r="J31" s="10">
        <f t="shared" si="4"/>
        <v>18.389299999999999</v>
      </c>
      <c r="K31" s="7">
        <f>'[1]Production Summary'!T63</f>
        <v>726580.1</v>
      </c>
      <c r="L31" s="8">
        <f t="shared" si="17"/>
        <v>7.2658009999999995E-2</v>
      </c>
      <c r="M31" s="10">
        <f t="shared" si="6"/>
        <v>0.22306009069999996</v>
      </c>
      <c r="N31" s="21"/>
      <c r="O31" s="7">
        <f>'[1]Production Summary'!I63</f>
        <v>8715999.9999999981</v>
      </c>
      <c r="P31" s="8">
        <f t="shared" si="18"/>
        <v>8.7159999999999975</v>
      </c>
      <c r="Q31" s="10">
        <f t="shared" si="8"/>
        <v>26.758119999999991</v>
      </c>
      <c r="R31" s="7">
        <f>'[1]Production Summary'!C63</f>
        <v>8869000</v>
      </c>
      <c r="S31" s="8">
        <f t="shared" si="19"/>
        <v>8.8689999999999998</v>
      </c>
      <c r="T31" s="10">
        <f t="shared" si="10"/>
        <v>27.227829999999997</v>
      </c>
      <c r="U31" s="7">
        <f>'[1]Production Summary'!F63</f>
        <v>0</v>
      </c>
      <c r="V31" s="8">
        <f t="shared" si="11"/>
        <v>0</v>
      </c>
      <c r="W31" s="10">
        <f t="shared" si="12"/>
        <v>0</v>
      </c>
      <c r="X31" s="7">
        <f>'[1]Production Summary'!AB63</f>
        <v>152000.00000000102</v>
      </c>
      <c r="Y31" s="8">
        <f t="shared" si="13"/>
        <v>0.15200000000000102</v>
      </c>
      <c r="Z31" s="10">
        <f t="shared" si="14"/>
        <v>0.46664000000000311</v>
      </c>
      <c r="AA31" s="15"/>
      <c r="AB31" s="7">
        <f t="shared" si="16"/>
        <v>13516000.00000109</v>
      </c>
      <c r="AC31" s="8">
        <f t="shared" si="16"/>
        <v>13.516000000001089</v>
      </c>
      <c r="AD31" s="8">
        <f t="shared" si="16"/>
        <v>41.494120000003342</v>
      </c>
    </row>
    <row r="32" spans="1:30" x14ac:dyDescent="0.15">
      <c r="A32" s="1">
        <v>43067</v>
      </c>
      <c r="B32" s="7">
        <f>'[1]Production Summary'!J64</f>
        <v>5199999.9999989085</v>
      </c>
      <c r="C32" s="8">
        <f t="shared" si="0"/>
        <v>5.1999999999989086</v>
      </c>
      <c r="D32" s="10">
        <f t="shared" si="1"/>
        <v>15.963999999996648</v>
      </c>
      <c r="E32" s="7">
        <f>'[1]Production Summary'!E64</f>
        <v>0</v>
      </c>
      <c r="F32" s="8">
        <f t="shared" si="2"/>
        <v>0</v>
      </c>
      <c r="G32" s="10">
        <f t="shared" si="3"/>
        <v>0</v>
      </c>
      <c r="H32" s="7">
        <f>'[1]Production Summary'!G64</f>
        <v>6070000</v>
      </c>
      <c r="I32" s="8">
        <f t="shared" si="15"/>
        <v>6.07</v>
      </c>
      <c r="J32" s="10">
        <f t="shared" si="4"/>
        <v>18.634899999999998</v>
      </c>
      <c r="K32" s="7">
        <f>'[1]Production Summary'!T64</f>
        <v>644474</v>
      </c>
      <c r="L32" s="8">
        <f t="shared" si="17"/>
        <v>6.4447400000000002E-2</v>
      </c>
      <c r="M32" s="10">
        <f t="shared" si="6"/>
        <v>0.19785351800000001</v>
      </c>
      <c r="N32" s="21"/>
      <c r="O32" s="7">
        <f>'[1]Production Summary'!I64</f>
        <v>7882000.0000000009</v>
      </c>
      <c r="P32" s="8">
        <f t="shared" si="18"/>
        <v>7.8820000000000006</v>
      </c>
      <c r="Q32" s="10">
        <f t="shared" si="8"/>
        <v>24.19774</v>
      </c>
      <c r="R32" s="7">
        <f>'[1]Production Summary'!C64</f>
        <v>8118000</v>
      </c>
      <c r="S32" s="8">
        <f t="shared" si="19"/>
        <v>8.1180000000000003</v>
      </c>
      <c r="T32" s="10">
        <f t="shared" si="10"/>
        <v>24.922260000000001</v>
      </c>
      <c r="U32" s="7">
        <f>'[1]Production Summary'!F64</f>
        <v>0</v>
      </c>
      <c r="V32" s="8">
        <f t="shared" si="11"/>
        <v>0</v>
      </c>
      <c r="W32" s="10">
        <f t="shared" si="12"/>
        <v>0</v>
      </c>
      <c r="X32" s="7">
        <f>'[1]Production Summary'!AB64</f>
        <v>231999.99999999933</v>
      </c>
      <c r="Y32" s="8">
        <f t="shared" si="13"/>
        <v>0.23199999999999932</v>
      </c>
      <c r="Z32" s="10">
        <f t="shared" si="14"/>
        <v>0.71223999999999787</v>
      </c>
      <c r="AA32" s="15"/>
      <c r="AB32" s="7">
        <f t="shared" si="16"/>
        <v>13081999.999998908</v>
      </c>
      <c r="AC32" s="8">
        <f t="shared" si="16"/>
        <v>13.08199999999891</v>
      </c>
      <c r="AD32" s="8">
        <f t="shared" si="16"/>
        <v>40.161739999996648</v>
      </c>
    </row>
    <row r="33" spans="1:30" x14ac:dyDescent="0.15">
      <c r="A33" s="1">
        <v>43068</v>
      </c>
      <c r="B33" s="7">
        <f>'[1]Production Summary'!J65</f>
        <v>2700000.0000007274</v>
      </c>
      <c r="C33" s="8">
        <f t="shared" si="0"/>
        <v>2.7000000000007272</v>
      </c>
      <c r="D33" s="10">
        <f t="shared" si="1"/>
        <v>8.2890000000022326</v>
      </c>
      <c r="E33" s="7">
        <f>'[1]Production Summary'!E65</f>
        <v>0</v>
      </c>
      <c r="F33" s="8">
        <f t="shared" si="2"/>
        <v>0</v>
      </c>
      <c r="G33" s="10">
        <f t="shared" si="3"/>
        <v>0</v>
      </c>
      <c r="H33" s="7">
        <f>'[1]Production Summary'!G65</f>
        <v>2150000</v>
      </c>
      <c r="I33" s="8">
        <f t="shared" si="15"/>
        <v>2.15</v>
      </c>
      <c r="J33" s="10">
        <f t="shared" si="4"/>
        <v>6.6004999999999994</v>
      </c>
      <c r="K33" s="7">
        <f>'[1]Production Summary'!T65</f>
        <v>205717</v>
      </c>
      <c r="L33" s="8">
        <f t="shared" si="17"/>
        <v>2.0571699999999998E-2</v>
      </c>
      <c r="M33" s="10">
        <f t="shared" si="6"/>
        <v>6.3155118999999996E-2</v>
      </c>
      <c r="N33" s="21"/>
      <c r="O33" s="7">
        <f>'[1]Production Summary'!I65</f>
        <v>8619000</v>
      </c>
      <c r="P33" s="8">
        <f t="shared" si="18"/>
        <v>8.6189999999999998</v>
      </c>
      <c r="Q33" s="10">
        <f t="shared" si="8"/>
        <v>26.460329999999999</v>
      </c>
      <c r="R33" s="7">
        <f>'[1]Production Summary'!C65</f>
        <v>9005000</v>
      </c>
      <c r="S33" s="8">
        <f t="shared" si="19"/>
        <v>9.0050000000000008</v>
      </c>
      <c r="T33" s="10">
        <f t="shared" si="10"/>
        <v>27.645350000000001</v>
      </c>
      <c r="U33" s="7">
        <f>'[1]Production Summary'!F65</f>
        <v>0</v>
      </c>
      <c r="V33" s="8">
        <f t="shared" si="11"/>
        <v>0</v>
      </c>
      <c r="W33" s="10">
        <f t="shared" si="12"/>
        <v>0</v>
      </c>
      <c r="X33" s="7">
        <f>'[1]Production Summary'!AB65</f>
        <v>381000.00000000023</v>
      </c>
      <c r="Y33" s="8">
        <f t="shared" si="13"/>
        <v>0.38100000000000023</v>
      </c>
      <c r="Z33" s="10">
        <f t="shared" si="14"/>
        <v>1.1696700000000007</v>
      </c>
      <c r="AA33" s="15"/>
      <c r="AB33" s="7">
        <f t="shared" si="16"/>
        <v>11319000.000000726</v>
      </c>
      <c r="AC33" s="8">
        <f t="shared" si="16"/>
        <v>11.319000000000727</v>
      </c>
      <c r="AD33" s="8">
        <f t="shared" si="16"/>
        <v>34.749330000002232</v>
      </c>
    </row>
    <row r="34" spans="1:30" ht="14" thickBot="1" x14ac:dyDescent="0.2">
      <c r="A34" s="1">
        <v>43069</v>
      </c>
      <c r="B34" s="7">
        <f>'[1]Production Summary'!J66</f>
        <v>0</v>
      </c>
      <c r="C34" s="8">
        <f t="shared" si="0"/>
        <v>0</v>
      </c>
      <c r="D34" s="10">
        <f t="shared" si="1"/>
        <v>0</v>
      </c>
      <c r="E34" s="7">
        <f>'[1]Production Summary'!E66</f>
        <v>0</v>
      </c>
      <c r="F34" s="8">
        <f t="shared" si="2"/>
        <v>0</v>
      </c>
      <c r="G34" s="10">
        <f t="shared" si="3"/>
        <v>0</v>
      </c>
      <c r="H34" s="7">
        <f>'[1]Production Summary'!G66</f>
        <v>0</v>
      </c>
      <c r="I34" s="8">
        <f t="shared" si="15"/>
        <v>0</v>
      </c>
      <c r="J34" s="10">
        <f t="shared" si="4"/>
        <v>0</v>
      </c>
      <c r="K34" s="7">
        <f>'[1]Production Summary'!T66</f>
        <v>0</v>
      </c>
      <c r="L34" s="8">
        <f t="shared" si="17"/>
        <v>0</v>
      </c>
      <c r="M34" s="10">
        <f t="shared" si="6"/>
        <v>0</v>
      </c>
      <c r="N34" s="21"/>
      <c r="O34" s="7">
        <f>'[1]Production Summary'!I66</f>
        <v>11932999.999999996</v>
      </c>
      <c r="P34" s="8">
        <f t="shared" si="18"/>
        <v>11.932999999999996</v>
      </c>
      <c r="Q34" s="10">
        <f t="shared" si="8"/>
        <v>36.634309999999985</v>
      </c>
      <c r="R34" s="7">
        <f>'[1]Production Summary'!C66</f>
        <v>12394000</v>
      </c>
      <c r="S34" s="8">
        <f t="shared" si="19"/>
        <v>12.394</v>
      </c>
      <c r="T34" s="10">
        <f t="shared" si="10"/>
        <v>38.049579999999999</v>
      </c>
      <c r="U34" s="7">
        <f>'[1]Production Summary'!F66</f>
        <v>0</v>
      </c>
      <c r="V34" s="8">
        <f t="shared" si="11"/>
        <v>0</v>
      </c>
      <c r="W34" s="10">
        <f t="shared" si="12"/>
        <v>0</v>
      </c>
      <c r="X34" s="7">
        <f>'[1]Production Summary'!AB66</f>
        <v>453000.00000000297</v>
      </c>
      <c r="Y34" s="8">
        <f t="shared" si="13"/>
        <v>0.45300000000000296</v>
      </c>
      <c r="Z34" s="10">
        <f t="shared" si="14"/>
        <v>1.390710000000009</v>
      </c>
      <c r="AA34" s="15"/>
      <c r="AB34" s="7">
        <f t="shared" si="16"/>
        <v>11932999.999999996</v>
      </c>
      <c r="AC34" s="8">
        <f t="shared" si="16"/>
        <v>11.932999999999996</v>
      </c>
      <c r="AD34" s="8">
        <f t="shared" si="16"/>
        <v>36.634309999999985</v>
      </c>
    </row>
    <row r="35" spans="1:30" ht="14" thickBot="1" x14ac:dyDescent="0.2">
      <c r="A35" s="20"/>
      <c r="B35" s="37"/>
      <c r="C35" s="38">
        <f>SUM(C5:C34)</f>
        <v>246</v>
      </c>
      <c r="D35" s="38">
        <f>SUM(D5:D34)</f>
        <v>755.22</v>
      </c>
      <c r="E35" s="37"/>
      <c r="F35" s="38">
        <f>SUM(F5:F34)</f>
        <v>74</v>
      </c>
      <c r="G35" s="38">
        <f>SUM(G5:G34)</f>
        <v>227.17999999999995</v>
      </c>
      <c r="H35" s="37"/>
      <c r="I35" s="38">
        <f>SUM(I5:I34)</f>
        <v>217.30000000000004</v>
      </c>
      <c r="J35" s="38">
        <f>SUM(J5:J34)</f>
        <v>667.1110000000001</v>
      </c>
      <c r="K35" s="37"/>
      <c r="L35" s="38">
        <f>SUM(L5:L34)</f>
        <v>3.0745889766666674</v>
      </c>
      <c r="M35" s="38">
        <f>SUM(M5:M34)</f>
        <v>9.4389881583666675</v>
      </c>
      <c r="N35" s="14"/>
      <c r="O35" s="37"/>
      <c r="P35" s="38">
        <f>SUM(P5:P34)</f>
        <v>125.45569999999999</v>
      </c>
      <c r="Q35" s="38">
        <f>SUM(Q5:Q34)</f>
        <v>385.14899899999989</v>
      </c>
      <c r="R35" s="37"/>
      <c r="S35" s="38">
        <f>SUM(S5:S34)</f>
        <v>131.66999999999999</v>
      </c>
      <c r="T35" s="38">
        <f>SUM(T5:T34)</f>
        <v>404.22689999999994</v>
      </c>
      <c r="U35" s="37"/>
      <c r="V35" s="38">
        <f>SUM(V5:V34)</f>
        <v>0</v>
      </c>
      <c r="W35" s="38">
        <f>SUM(W5:W34)</f>
        <v>0</v>
      </c>
      <c r="X35" s="37"/>
      <c r="Y35" s="38">
        <f>SUM(Y5:Y34)</f>
        <v>6.1377999999999986</v>
      </c>
      <c r="Z35" s="38">
        <f>SUM(Z5:Z34)</f>
        <v>18.843045999999998</v>
      </c>
      <c r="AA35" s="14"/>
      <c r="AB35" s="37">
        <f t="shared" si="16"/>
        <v>0</v>
      </c>
      <c r="AC35" s="38">
        <f t="shared" si="16"/>
        <v>371.45569999999998</v>
      </c>
      <c r="AD35" s="38">
        <f t="shared" si="16"/>
        <v>1140.3689989999998</v>
      </c>
    </row>
    <row r="36" spans="1:30" x14ac:dyDescent="0.15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23"/>
      <c r="AC36" s="29"/>
      <c r="AD36" s="23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K3:M3"/>
    <mergeCell ref="X3:Z3"/>
  </mergeCells>
  <phoneticPr fontId="1" type="noConversion"/>
  <pageMargins left="0.75" right="0.75" top="1" bottom="1" header="0.5" footer="0.5"/>
  <pageSetup scale="78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D37"/>
  <sheetViews>
    <sheetView workbookViewId="0">
      <pane xSplit="1" ySplit="4" topLeftCell="N23" activePane="bottomRight" state="frozen"/>
      <selection pane="topRight" activeCell="B1" sqref="B1"/>
      <selection pane="bottomLeft" activeCell="A5" sqref="A5"/>
      <selection pane="bottomRight" activeCell="J5" sqref="J5:J9"/>
    </sheetView>
  </sheetViews>
  <sheetFormatPr baseColWidth="10" defaultColWidth="8.83203125" defaultRowHeight="13" x14ac:dyDescent="0.15"/>
  <cols>
    <col min="2" max="2" width="14.5" bestFit="1" customWidth="1"/>
    <col min="5" max="5" width="11" customWidth="1"/>
    <col min="8" max="8" width="13.5" bestFit="1" customWidth="1"/>
    <col min="11" max="11" width="10" customWidth="1"/>
    <col min="12" max="12" width="10.6640625" customWidth="1"/>
    <col min="15" max="15" width="11" customWidth="1"/>
    <col min="18" max="18" width="10.6640625" customWidth="1"/>
    <col min="21" max="21" width="11.6640625" bestFit="1" customWidth="1"/>
    <col min="22" max="22" width="10.6640625" customWidth="1"/>
    <col min="28" max="28" width="12.6640625" customWidth="1"/>
  </cols>
  <sheetData>
    <row r="1" spans="1:30" x14ac:dyDescent="0.15">
      <c r="B1" s="39"/>
      <c r="C1" s="25"/>
      <c r="D1" s="25"/>
      <c r="E1" s="22"/>
      <c r="F1" s="22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</row>
    <row r="2" spans="1:30" ht="14" thickBot="1" x14ac:dyDescent="0.2">
      <c r="C2" s="18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</row>
    <row r="3" spans="1:30" ht="60.75" customHeight="1" thickBot="1" x14ac:dyDescent="0.2">
      <c r="A3" s="3"/>
      <c r="B3" s="59" t="s">
        <v>10</v>
      </c>
      <c r="C3" s="60"/>
      <c r="D3" s="61"/>
      <c r="E3" s="59" t="s">
        <v>11</v>
      </c>
      <c r="F3" s="60"/>
      <c r="G3" s="61"/>
      <c r="H3" s="59" t="s">
        <v>12</v>
      </c>
      <c r="I3" s="60"/>
      <c r="J3" s="61"/>
      <c r="K3" s="59" t="s">
        <v>13</v>
      </c>
      <c r="L3" s="60"/>
      <c r="M3" s="61"/>
      <c r="N3" s="19"/>
      <c r="O3" s="59" t="s">
        <v>4</v>
      </c>
      <c r="P3" s="60"/>
      <c r="Q3" s="61"/>
      <c r="R3" s="59" t="s">
        <v>3</v>
      </c>
      <c r="S3" s="60"/>
      <c r="T3" s="61"/>
      <c r="U3" s="59" t="s">
        <v>6</v>
      </c>
      <c r="V3" s="60"/>
      <c r="W3" s="61"/>
      <c r="X3" s="59" t="s">
        <v>7</v>
      </c>
      <c r="Y3" s="60"/>
      <c r="Z3" s="61"/>
      <c r="AA3" s="19"/>
      <c r="AB3" s="56" t="s">
        <v>8</v>
      </c>
      <c r="AC3" s="57"/>
      <c r="AD3" s="58"/>
    </row>
    <row r="4" spans="1:30" x14ac:dyDescent="0.15">
      <c r="A4" s="2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54">
        <f>J5+G5</f>
        <v>0</v>
      </c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4" t="s">
        <v>0</v>
      </c>
      <c r="AC4" s="35" t="s">
        <v>1</v>
      </c>
      <c r="AD4" s="36" t="s">
        <v>2</v>
      </c>
    </row>
    <row r="5" spans="1:30" x14ac:dyDescent="0.15">
      <c r="A5" s="1">
        <v>43070</v>
      </c>
      <c r="B5" s="7">
        <f>'[1]Production Summary'!J67</f>
        <v>0</v>
      </c>
      <c r="C5" s="8">
        <f t="shared" ref="C5:C35" si="0">B5/1000000</f>
        <v>0</v>
      </c>
      <c r="D5" s="10">
        <f t="shared" ref="D5:D35" si="1">C5*3.07</f>
        <v>0</v>
      </c>
      <c r="E5" s="7">
        <f>'[1]Production Summary'!E67</f>
        <v>0</v>
      </c>
      <c r="F5" s="8">
        <f t="shared" ref="F5:F35" si="2">E5/1000000</f>
        <v>0</v>
      </c>
      <c r="G5" s="10">
        <f t="shared" ref="G5:G35" si="3">F5*3.07</f>
        <v>0</v>
      </c>
      <c r="H5" s="7">
        <f>'[1]Production Summary'!G67</f>
        <v>0</v>
      </c>
      <c r="I5" s="8">
        <f t="shared" ref="I5:I33" si="4">H5/1000000</f>
        <v>0</v>
      </c>
      <c r="J5" s="10">
        <f t="shared" ref="J5:J35" si="5">I5*3.07</f>
        <v>0</v>
      </c>
      <c r="K5" s="7">
        <f>'[1]Production Summary'!T67</f>
        <v>39651</v>
      </c>
      <c r="L5" s="8">
        <f t="shared" ref="L5:L35" si="6">K5/1000000</f>
        <v>3.9650999999999999E-2</v>
      </c>
      <c r="M5" s="10">
        <f t="shared" ref="M5:M35" si="7">L5*3.07</f>
        <v>0.12172856999999999</v>
      </c>
      <c r="N5" s="54">
        <f t="shared" ref="N5:N15" si="8">J6+G6</f>
        <v>0</v>
      </c>
      <c r="O5" s="7">
        <f>'[1]Production Summary'!I67</f>
        <v>11972000.000000006</v>
      </c>
      <c r="P5" s="8">
        <f t="shared" ref="P5:P35" si="9">O5/1000000</f>
        <v>11.972000000000005</v>
      </c>
      <c r="Q5" s="10">
        <f t="shared" ref="Q5:Q35" si="10">P5*3.07</f>
        <v>36.75404000000001</v>
      </c>
      <c r="R5" s="7">
        <f>'[1]Production Summary'!C67</f>
        <v>12471000</v>
      </c>
      <c r="S5" s="8">
        <f t="shared" ref="S5:S35" si="11">R5/1000000</f>
        <v>12.471</v>
      </c>
      <c r="T5" s="10">
        <f t="shared" ref="T5:T35" si="12">S5*3.07</f>
        <v>38.285969999999999</v>
      </c>
      <c r="U5" s="7">
        <f>'[1]Production Summary'!F67</f>
        <v>0</v>
      </c>
      <c r="V5" s="8">
        <f t="shared" ref="V5:V35" si="13">U5/1000000</f>
        <v>0</v>
      </c>
      <c r="W5" s="10">
        <f t="shared" ref="W5:W35" si="14">V5*3.07</f>
        <v>0</v>
      </c>
      <c r="X5" s="7">
        <f>'[1]Production Summary'!AB67</f>
        <v>492999.99999999499</v>
      </c>
      <c r="Y5" s="8">
        <f t="shared" ref="Y5:Y35" si="15">X5/1000000</f>
        <v>0.492999999999995</v>
      </c>
      <c r="Z5" s="10">
        <f t="shared" ref="Z5:Z35" si="16">Y5*3.07</f>
        <v>1.5135099999999846</v>
      </c>
      <c r="AA5" s="15"/>
      <c r="AB5" s="7">
        <f>B5+O5</f>
        <v>11972000.000000006</v>
      </c>
      <c r="AC5" s="8">
        <f>C5+P5</f>
        <v>11.972000000000005</v>
      </c>
      <c r="AD5" s="8">
        <f>D5+Q5</f>
        <v>36.75404000000001</v>
      </c>
    </row>
    <row r="6" spans="1:30" x14ac:dyDescent="0.15">
      <c r="A6" s="1">
        <v>43071</v>
      </c>
      <c r="B6" s="7">
        <f>'[1]Production Summary'!J68</f>
        <v>0</v>
      </c>
      <c r="C6" s="8">
        <f t="shared" si="0"/>
        <v>0</v>
      </c>
      <c r="D6" s="10">
        <f t="shared" si="1"/>
        <v>0</v>
      </c>
      <c r="E6" s="7">
        <f>'[1]Production Summary'!E68</f>
        <v>0</v>
      </c>
      <c r="F6" s="8">
        <f t="shared" si="2"/>
        <v>0</v>
      </c>
      <c r="G6" s="10">
        <f t="shared" si="3"/>
        <v>0</v>
      </c>
      <c r="H6" s="7">
        <f>'[1]Production Summary'!G68</f>
        <v>0</v>
      </c>
      <c r="I6" s="8">
        <f t="shared" si="4"/>
        <v>0</v>
      </c>
      <c r="J6" s="10">
        <f t="shared" si="5"/>
        <v>0</v>
      </c>
      <c r="K6" s="7">
        <f>'[1]Production Summary'!T68</f>
        <v>0</v>
      </c>
      <c r="L6" s="8">
        <f t="shared" si="6"/>
        <v>0</v>
      </c>
      <c r="M6" s="10">
        <f t="shared" si="7"/>
        <v>0</v>
      </c>
      <c r="N6" s="54">
        <f t="shared" si="8"/>
        <v>0</v>
      </c>
      <c r="O6" s="7">
        <f>'[1]Production Summary'!I68</f>
        <v>12209999.999999994</v>
      </c>
      <c r="P6" s="8">
        <f t="shared" si="9"/>
        <v>12.209999999999994</v>
      </c>
      <c r="Q6" s="10">
        <f t="shared" si="10"/>
        <v>37.484699999999982</v>
      </c>
      <c r="R6" s="7">
        <f>'[1]Production Summary'!C68</f>
        <v>12603000</v>
      </c>
      <c r="S6" s="8">
        <f t="shared" si="11"/>
        <v>12.603</v>
      </c>
      <c r="T6" s="10">
        <f t="shared" si="12"/>
        <v>38.691209999999998</v>
      </c>
      <c r="U6" s="7">
        <f>'[1]Production Summary'!F68</f>
        <v>0</v>
      </c>
      <c r="V6" s="8">
        <f t="shared" si="13"/>
        <v>0</v>
      </c>
      <c r="W6" s="10">
        <f t="shared" si="14"/>
        <v>0</v>
      </c>
      <c r="X6" s="7">
        <f>'[1]Production Summary'!AB68</f>
        <v>388000.00000000524</v>
      </c>
      <c r="Y6" s="8">
        <f t="shared" si="15"/>
        <v>0.38800000000000523</v>
      </c>
      <c r="Z6" s="10">
        <f t="shared" si="16"/>
        <v>1.191160000000016</v>
      </c>
      <c r="AA6" s="15"/>
      <c r="AB6" s="7">
        <f t="shared" ref="AB6:AD35" si="17">B6+O6</f>
        <v>12209999.999999994</v>
      </c>
      <c r="AC6" s="8">
        <f t="shared" si="17"/>
        <v>12.209999999999994</v>
      </c>
      <c r="AD6" s="8">
        <f t="shared" si="17"/>
        <v>37.484699999999982</v>
      </c>
    </row>
    <row r="7" spans="1:30" x14ac:dyDescent="0.15">
      <c r="A7" s="1">
        <v>43072</v>
      </c>
      <c r="B7" s="7">
        <f>'[1]Production Summary'!J69</f>
        <v>0</v>
      </c>
      <c r="C7" s="8">
        <f t="shared" si="0"/>
        <v>0</v>
      </c>
      <c r="D7" s="10">
        <f t="shared" si="1"/>
        <v>0</v>
      </c>
      <c r="E7" s="7">
        <f>'[1]Production Summary'!E69</f>
        <v>0</v>
      </c>
      <c r="F7" s="8">
        <f t="shared" si="2"/>
        <v>0</v>
      </c>
      <c r="G7" s="10">
        <f t="shared" si="3"/>
        <v>0</v>
      </c>
      <c r="H7" s="7">
        <f>'[1]Production Summary'!G69</f>
        <v>0</v>
      </c>
      <c r="I7" s="8">
        <f t="shared" si="4"/>
        <v>0</v>
      </c>
      <c r="J7" s="10">
        <f t="shared" si="5"/>
        <v>0</v>
      </c>
      <c r="K7" s="7">
        <f>'[1]Production Summary'!T69</f>
        <v>0</v>
      </c>
      <c r="L7" s="8">
        <f t="shared" si="6"/>
        <v>0</v>
      </c>
      <c r="M7" s="10">
        <f t="shared" si="7"/>
        <v>0</v>
      </c>
      <c r="N7" s="54">
        <f t="shared" si="8"/>
        <v>0</v>
      </c>
      <c r="O7" s="7">
        <f>'[1]Production Summary'!I69</f>
        <v>12144000.000000002</v>
      </c>
      <c r="P7" s="8">
        <f t="shared" si="9"/>
        <v>12.144000000000002</v>
      </c>
      <c r="Q7" s="10">
        <f t="shared" si="10"/>
        <v>37.282080000000001</v>
      </c>
      <c r="R7" s="7">
        <f>'[1]Production Summary'!C69</f>
        <v>12462000</v>
      </c>
      <c r="S7" s="8">
        <f t="shared" si="11"/>
        <v>12.462</v>
      </c>
      <c r="T7" s="10">
        <f t="shared" si="12"/>
        <v>38.258339999999997</v>
      </c>
      <c r="U7" s="7">
        <f>'[1]Production Summary'!F69</f>
        <v>0</v>
      </c>
      <c r="V7" s="8">
        <f t="shared" si="13"/>
        <v>0</v>
      </c>
      <c r="W7" s="10">
        <f t="shared" si="14"/>
        <v>0</v>
      </c>
      <c r="X7" s="7">
        <f>'[1]Production Summary'!AB69</f>
        <v>311999.99999999761</v>
      </c>
      <c r="Y7" s="8">
        <f t="shared" si="15"/>
        <v>0.31199999999999761</v>
      </c>
      <c r="Z7" s="10">
        <f t="shared" si="16"/>
        <v>0.95783999999999259</v>
      </c>
      <c r="AA7" s="15"/>
      <c r="AB7" s="7">
        <f t="shared" si="17"/>
        <v>12144000.000000002</v>
      </c>
      <c r="AC7" s="8">
        <f t="shared" si="17"/>
        <v>12.144000000000002</v>
      </c>
      <c r="AD7" s="8">
        <f t="shared" si="17"/>
        <v>37.282080000000001</v>
      </c>
    </row>
    <row r="8" spans="1:30" x14ac:dyDescent="0.15">
      <c r="A8" s="1">
        <v>43073</v>
      </c>
      <c r="B8" s="7">
        <f>'[1]Production Summary'!J70</f>
        <v>0</v>
      </c>
      <c r="C8" s="8">
        <f t="shared" si="0"/>
        <v>0</v>
      </c>
      <c r="D8" s="10">
        <f t="shared" si="1"/>
        <v>0</v>
      </c>
      <c r="E8" s="7">
        <f>'[1]Production Summary'!E70</f>
        <v>0</v>
      </c>
      <c r="F8" s="8">
        <f t="shared" si="2"/>
        <v>0</v>
      </c>
      <c r="G8" s="10">
        <f t="shared" si="3"/>
        <v>0</v>
      </c>
      <c r="H8" s="7">
        <f>'[1]Production Summary'!G70</f>
        <v>0</v>
      </c>
      <c r="I8" s="8">
        <f t="shared" si="4"/>
        <v>0</v>
      </c>
      <c r="J8" s="10">
        <f t="shared" si="5"/>
        <v>0</v>
      </c>
      <c r="K8" s="7">
        <f>'[1]Production Summary'!T70</f>
        <v>81150</v>
      </c>
      <c r="L8" s="8">
        <f t="shared" si="6"/>
        <v>8.115E-2</v>
      </c>
      <c r="M8" s="10">
        <f t="shared" si="7"/>
        <v>0.24913049999999998</v>
      </c>
      <c r="N8" s="54">
        <f t="shared" si="8"/>
        <v>0</v>
      </c>
      <c r="O8" s="7">
        <f>'[1]Production Summary'!I70</f>
        <v>12097000</v>
      </c>
      <c r="P8" s="8">
        <f t="shared" si="9"/>
        <v>12.097</v>
      </c>
      <c r="Q8" s="10">
        <f t="shared" si="10"/>
        <v>37.137789999999995</v>
      </c>
      <c r="R8" s="7">
        <f>'[1]Production Summary'!C70</f>
        <v>12482000</v>
      </c>
      <c r="S8" s="8">
        <f t="shared" si="11"/>
        <v>12.481999999999999</v>
      </c>
      <c r="T8" s="10">
        <f t="shared" si="12"/>
        <v>38.319739999999996</v>
      </c>
      <c r="U8" s="7">
        <f>'[1]Production Summary'!F70</f>
        <v>0</v>
      </c>
      <c r="V8" s="8">
        <f t="shared" si="13"/>
        <v>0</v>
      </c>
      <c r="W8" s="10">
        <f t="shared" si="14"/>
        <v>0</v>
      </c>
      <c r="X8" s="7">
        <f>'[1]Production Summary'!AB70</f>
        <v>378000.00000000012</v>
      </c>
      <c r="Y8" s="8">
        <f t="shared" si="15"/>
        <v>0.37800000000000011</v>
      </c>
      <c r="Z8" s="10">
        <f t="shared" si="16"/>
        <v>1.1604600000000003</v>
      </c>
      <c r="AA8" s="15"/>
      <c r="AB8" s="7">
        <f t="shared" si="17"/>
        <v>12097000</v>
      </c>
      <c r="AC8" s="8">
        <f t="shared" si="17"/>
        <v>12.097</v>
      </c>
      <c r="AD8" s="8">
        <f>D8+Q8</f>
        <v>37.137789999999995</v>
      </c>
    </row>
    <row r="9" spans="1:30" x14ac:dyDescent="0.15">
      <c r="A9" s="1">
        <v>43074</v>
      </c>
      <c r="B9" s="7">
        <f>'[1]Production Summary'!J71</f>
        <v>0</v>
      </c>
      <c r="C9" s="8">
        <f t="shared" si="0"/>
        <v>0</v>
      </c>
      <c r="D9" s="10">
        <f t="shared" si="1"/>
        <v>0</v>
      </c>
      <c r="E9" s="7">
        <f>'[1]Production Summary'!E71</f>
        <v>0</v>
      </c>
      <c r="F9" s="8">
        <f t="shared" si="2"/>
        <v>0</v>
      </c>
      <c r="G9" s="10">
        <f t="shared" si="3"/>
        <v>0</v>
      </c>
      <c r="H9" s="7">
        <f>'[1]Production Summary'!G71</f>
        <v>0</v>
      </c>
      <c r="I9" s="8">
        <f t="shared" si="4"/>
        <v>0</v>
      </c>
      <c r="J9" s="10">
        <f t="shared" si="5"/>
        <v>0</v>
      </c>
      <c r="K9" s="7">
        <f>'[1]Production Summary'!T71</f>
        <v>0</v>
      </c>
      <c r="L9" s="8">
        <f t="shared" si="6"/>
        <v>0</v>
      </c>
      <c r="M9" s="10">
        <f t="shared" si="7"/>
        <v>0</v>
      </c>
      <c r="N9" s="54">
        <f t="shared" si="8"/>
        <v>0</v>
      </c>
      <c r="O9" s="7">
        <f>'[1]Production Summary'!I71</f>
        <v>12192000</v>
      </c>
      <c r="P9" s="8">
        <f t="shared" si="9"/>
        <v>12.192</v>
      </c>
      <c r="Q9" s="10">
        <f t="shared" si="10"/>
        <v>37.42944</v>
      </c>
      <c r="R9" s="7">
        <f>'[1]Production Summary'!C71</f>
        <v>12555000</v>
      </c>
      <c r="S9" s="8">
        <f t="shared" si="11"/>
        <v>12.555</v>
      </c>
      <c r="T9" s="10">
        <f t="shared" si="12"/>
        <v>38.543849999999999</v>
      </c>
      <c r="U9" s="7">
        <f>'[1]Production Summary'!F71</f>
        <v>0</v>
      </c>
      <c r="V9" s="8">
        <f t="shared" si="13"/>
        <v>0</v>
      </c>
      <c r="W9" s="10">
        <f t="shared" si="14"/>
        <v>0</v>
      </c>
      <c r="X9" s="7">
        <f>'[1]Production Summary'!AB71</f>
        <v>356999.9999999993</v>
      </c>
      <c r="Y9" s="8">
        <f t="shared" si="15"/>
        <v>0.35699999999999932</v>
      </c>
      <c r="Z9" s="10">
        <f t="shared" si="16"/>
        <v>1.0959899999999978</v>
      </c>
      <c r="AA9" s="15"/>
      <c r="AB9" s="7">
        <f t="shared" si="17"/>
        <v>12192000</v>
      </c>
      <c r="AC9" s="8">
        <f t="shared" si="17"/>
        <v>12.192</v>
      </c>
      <c r="AD9" s="8">
        <f t="shared" si="17"/>
        <v>37.42944</v>
      </c>
    </row>
    <row r="10" spans="1:30" x14ac:dyDescent="0.15">
      <c r="A10" s="1">
        <v>43075</v>
      </c>
      <c r="B10" s="7">
        <f>'[1]Production Summary'!J72</f>
        <v>0</v>
      </c>
      <c r="C10" s="8">
        <f t="shared" si="0"/>
        <v>0</v>
      </c>
      <c r="D10" s="10">
        <f t="shared" si="1"/>
        <v>0</v>
      </c>
      <c r="E10" s="7">
        <f>'[1]Production Summary'!E72</f>
        <v>0</v>
      </c>
      <c r="F10" s="8">
        <f t="shared" si="2"/>
        <v>0</v>
      </c>
      <c r="G10" s="10">
        <f t="shared" si="3"/>
        <v>0</v>
      </c>
      <c r="H10" s="7">
        <f>'[1]Production Summary'!G72</f>
        <v>0</v>
      </c>
      <c r="I10" s="8">
        <f t="shared" si="4"/>
        <v>0</v>
      </c>
      <c r="J10" s="10">
        <f t="shared" si="5"/>
        <v>0</v>
      </c>
      <c r="K10" s="7">
        <f>'[1]Production Summary'!T72</f>
        <v>0</v>
      </c>
      <c r="L10" s="8">
        <f t="shared" si="6"/>
        <v>0</v>
      </c>
      <c r="M10" s="10">
        <f t="shared" si="7"/>
        <v>0</v>
      </c>
      <c r="N10" s="54">
        <f t="shared" si="8"/>
        <v>0</v>
      </c>
      <c r="O10" s="7">
        <f>'[1]Production Summary'!I72</f>
        <v>12058999.999999998</v>
      </c>
      <c r="P10" s="8">
        <f t="shared" si="9"/>
        <v>12.058999999999997</v>
      </c>
      <c r="Q10" s="10">
        <f t="shared" si="10"/>
        <v>37.021129999999992</v>
      </c>
      <c r="R10" s="7">
        <f>'[1]Production Summary'!C72</f>
        <v>12379000</v>
      </c>
      <c r="S10" s="8">
        <f t="shared" si="11"/>
        <v>12.379</v>
      </c>
      <c r="T10" s="10">
        <f t="shared" si="12"/>
        <v>38.003529999999998</v>
      </c>
      <c r="U10" s="7">
        <f>'[1]Production Summary'!F72</f>
        <v>0</v>
      </c>
      <c r="V10" s="8">
        <f t="shared" si="13"/>
        <v>0</v>
      </c>
      <c r="W10" s="10">
        <f t="shared" si="14"/>
        <v>0</v>
      </c>
      <c r="X10" s="7">
        <f>'[1]Production Summary'!AB72</f>
        <v>313000.00000000239</v>
      </c>
      <c r="Y10" s="8">
        <f t="shared" si="15"/>
        <v>0.31300000000000239</v>
      </c>
      <c r="Z10" s="10">
        <f t="shared" si="16"/>
        <v>0.96091000000000726</v>
      </c>
      <c r="AA10" s="15"/>
      <c r="AB10" s="7">
        <f t="shared" si="17"/>
        <v>12058999.999999998</v>
      </c>
      <c r="AC10" s="8">
        <f t="shared" si="17"/>
        <v>12.058999999999997</v>
      </c>
      <c r="AD10" s="8">
        <f t="shared" si="17"/>
        <v>37.021129999999992</v>
      </c>
    </row>
    <row r="11" spans="1:30" x14ac:dyDescent="0.15">
      <c r="A11" s="1">
        <v>43076</v>
      </c>
      <c r="B11" s="7">
        <f>'[1]Production Summary'!J73</f>
        <v>0</v>
      </c>
      <c r="C11" s="8">
        <f t="shared" si="0"/>
        <v>0</v>
      </c>
      <c r="D11" s="10">
        <f t="shared" si="1"/>
        <v>0</v>
      </c>
      <c r="E11" s="7">
        <f>'[1]Production Summary'!E73</f>
        <v>0</v>
      </c>
      <c r="F11" s="8">
        <f t="shared" si="2"/>
        <v>0</v>
      </c>
      <c r="G11" s="10">
        <f t="shared" si="3"/>
        <v>0</v>
      </c>
      <c r="H11" s="7">
        <f>'[1]Production Summary'!G73</f>
        <v>0</v>
      </c>
      <c r="I11" s="8">
        <f t="shared" si="4"/>
        <v>0</v>
      </c>
      <c r="J11" s="10">
        <f t="shared" si="5"/>
        <v>0</v>
      </c>
      <c r="K11" s="7">
        <f>'[1]Production Summary'!T73</f>
        <v>0</v>
      </c>
      <c r="L11" s="8">
        <f t="shared" si="6"/>
        <v>0</v>
      </c>
      <c r="M11" s="10">
        <f t="shared" si="7"/>
        <v>0</v>
      </c>
      <c r="N11" s="54">
        <f t="shared" si="8"/>
        <v>0</v>
      </c>
      <c r="O11" s="7">
        <f>'[1]Production Summary'!I73</f>
        <v>10966000.000000002</v>
      </c>
      <c r="P11" s="8">
        <f t="shared" si="9"/>
        <v>10.966000000000001</v>
      </c>
      <c r="Q11" s="10">
        <f t="shared" si="10"/>
        <v>33.665620000000004</v>
      </c>
      <c r="R11" s="7">
        <f>'[1]Production Summary'!C73</f>
        <v>11299000</v>
      </c>
      <c r="S11" s="8">
        <f t="shared" si="11"/>
        <v>11.298999999999999</v>
      </c>
      <c r="T11" s="10">
        <f t="shared" si="12"/>
        <v>34.687929999999994</v>
      </c>
      <c r="U11" s="7">
        <f>'[1]Production Summary'!F73</f>
        <v>0</v>
      </c>
      <c r="V11" s="8">
        <f t="shared" si="13"/>
        <v>0</v>
      </c>
      <c r="W11" s="10">
        <f t="shared" si="14"/>
        <v>0</v>
      </c>
      <c r="X11" s="7">
        <f>'[1]Production Summary'!AB73</f>
        <v>326999.9999999982</v>
      </c>
      <c r="Y11" s="8">
        <f t="shared" si="15"/>
        <v>0.32699999999999818</v>
      </c>
      <c r="Z11" s="10">
        <f t="shared" si="16"/>
        <v>1.0038899999999944</v>
      </c>
      <c r="AA11" s="15"/>
      <c r="AB11" s="7">
        <f t="shared" si="17"/>
        <v>10966000.000000002</v>
      </c>
      <c r="AC11" s="8">
        <f t="shared" si="17"/>
        <v>10.966000000000001</v>
      </c>
      <c r="AD11" s="8">
        <f t="shared" si="17"/>
        <v>33.665620000000004</v>
      </c>
    </row>
    <row r="12" spans="1:30" x14ac:dyDescent="0.15">
      <c r="A12" s="1">
        <v>43077</v>
      </c>
      <c r="B12" s="7">
        <f>'[1]Production Summary'!J74</f>
        <v>0</v>
      </c>
      <c r="C12" s="8">
        <f t="shared" si="0"/>
        <v>0</v>
      </c>
      <c r="D12" s="10">
        <f t="shared" si="1"/>
        <v>0</v>
      </c>
      <c r="E12" s="7">
        <f>'[1]Production Summary'!E74</f>
        <v>0</v>
      </c>
      <c r="F12" s="8">
        <f t="shared" si="2"/>
        <v>0</v>
      </c>
      <c r="G12" s="10">
        <f t="shared" si="3"/>
        <v>0</v>
      </c>
      <c r="H12" s="7">
        <f>'[1]Production Summary'!G74</f>
        <v>0</v>
      </c>
      <c r="I12" s="8">
        <f t="shared" si="4"/>
        <v>0</v>
      </c>
      <c r="J12" s="10">
        <f t="shared" si="5"/>
        <v>0</v>
      </c>
      <c r="K12" s="7">
        <f>'[1]Production Summary'!T74</f>
        <v>34297</v>
      </c>
      <c r="L12" s="8">
        <f t="shared" si="6"/>
        <v>3.4297000000000001E-2</v>
      </c>
      <c r="M12" s="10">
        <f t="shared" si="7"/>
        <v>0.10529179</v>
      </c>
      <c r="N12" s="54">
        <f t="shared" si="8"/>
        <v>0</v>
      </c>
      <c r="O12" s="7">
        <f>'[1]Production Summary'!I74</f>
        <v>11285999.999999996</v>
      </c>
      <c r="P12" s="8">
        <f t="shared" si="9"/>
        <v>11.285999999999996</v>
      </c>
      <c r="Q12" s="10">
        <f t="shared" si="10"/>
        <v>34.648019999999988</v>
      </c>
      <c r="R12" s="7">
        <f>'[1]Production Summary'!C74</f>
        <v>11530000</v>
      </c>
      <c r="S12" s="8">
        <f t="shared" si="11"/>
        <v>11.53</v>
      </c>
      <c r="T12" s="10">
        <f t="shared" si="12"/>
        <v>35.397099999999995</v>
      </c>
      <c r="U12" s="7">
        <f>'[1]Production Summary'!F74</f>
        <v>0</v>
      </c>
      <c r="V12" s="8">
        <f t="shared" si="13"/>
        <v>0</v>
      </c>
      <c r="W12" s="10">
        <f t="shared" si="14"/>
        <v>0</v>
      </c>
      <c r="X12" s="7">
        <f>'[1]Production Summary'!AB74</f>
        <v>239000.00000000431</v>
      </c>
      <c r="Y12" s="8">
        <f t="shared" si="15"/>
        <v>0.23900000000000432</v>
      </c>
      <c r="Z12" s="10">
        <f t="shared" si="16"/>
        <v>0.7337300000000132</v>
      </c>
      <c r="AA12" s="15"/>
      <c r="AB12" s="7">
        <f t="shared" si="17"/>
        <v>11285999.999999996</v>
      </c>
      <c r="AC12" s="8">
        <f t="shared" si="17"/>
        <v>11.285999999999996</v>
      </c>
      <c r="AD12" s="8">
        <f t="shared" si="17"/>
        <v>34.648019999999988</v>
      </c>
    </row>
    <row r="13" spans="1:30" x14ac:dyDescent="0.15">
      <c r="A13" s="1">
        <v>43078</v>
      </c>
      <c r="B13" s="7">
        <f>'[1]Production Summary'!J75</f>
        <v>0</v>
      </c>
      <c r="C13" s="8">
        <f t="shared" si="0"/>
        <v>0</v>
      </c>
      <c r="D13" s="10">
        <f t="shared" si="1"/>
        <v>0</v>
      </c>
      <c r="E13" s="7">
        <f>'[1]Production Summary'!E75</f>
        <v>0</v>
      </c>
      <c r="F13" s="8">
        <f t="shared" si="2"/>
        <v>0</v>
      </c>
      <c r="G13" s="10">
        <f t="shared" si="3"/>
        <v>0</v>
      </c>
      <c r="H13" s="7">
        <f>'[1]Production Summary'!G75</f>
        <v>0</v>
      </c>
      <c r="I13" s="8">
        <f t="shared" si="4"/>
        <v>0</v>
      </c>
      <c r="J13" s="10">
        <f t="shared" si="5"/>
        <v>0</v>
      </c>
      <c r="K13" s="7">
        <f>'[1]Production Summary'!T75</f>
        <v>0</v>
      </c>
      <c r="L13" s="8">
        <f t="shared" si="6"/>
        <v>0</v>
      </c>
      <c r="M13" s="10">
        <f t="shared" si="7"/>
        <v>0</v>
      </c>
      <c r="N13" s="54">
        <f t="shared" si="8"/>
        <v>0</v>
      </c>
      <c r="O13" s="7">
        <f>'[1]Production Summary'!I75</f>
        <v>12114999.999999996</v>
      </c>
      <c r="P13" s="8">
        <f t="shared" si="9"/>
        <v>12.114999999999997</v>
      </c>
      <c r="Q13" s="10">
        <f t="shared" si="10"/>
        <v>37.193049999999985</v>
      </c>
      <c r="R13" s="7">
        <f>'[1]Production Summary'!C75</f>
        <v>12453000</v>
      </c>
      <c r="S13" s="8">
        <f t="shared" si="11"/>
        <v>12.452999999999999</v>
      </c>
      <c r="T13" s="10">
        <f t="shared" si="12"/>
        <v>38.230709999999995</v>
      </c>
      <c r="U13" s="7">
        <f>'[1]Production Summary'!F75</f>
        <v>0</v>
      </c>
      <c r="V13" s="8">
        <f t="shared" si="13"/>
        <v>0</v>
      </c>
      <c r="W13" s="10">
        <f t="shared" si="14"/>
        <v>0</v>
      </c>
      <c r="X13" s="7">
        <f>'[1]Production Summary'!AB75</f>
        <v>331000.00000000309</v>
      </c>
      <c r="Y13" s="8">
        <f t="shared" si="15"/>
        <v>0.33100000000000307</v>
      </c>
      <c r="Z13" s="10">
        <f t="shared" si="16"/>
        <v>1.0161700000000093</v>
      </c>
      <c r="AA13" s="15"/>
      <c r="AB13" s="7">
        <f t="shared" si="17"/>
        <v>12114999.999999996</v>
      </c>
      <c r="AC13" s="8">
        <f t="shared" si="17"/>
        <v>12.114999999999997</v>
      </c>
      <c r="AD13" s="8">
        <f t="shared" si="17"/>
        <v>37.193049999999985</v>
      </c>
    </row>
    <row r="14" spans="1:30" x14ac:dyDescent="0.15">
      <c r="A14" s="1">
        <v>43079</v>
      </c>
      <c r="B14" s="7">
        <f>'[1]Production Summary'!J76</f>
        <v>0</v>
      </c>
      <c r="C14" s="8">
        <f t="shared" si="0"/>
        <v>0</v>
      </c>
      <c r="D14" s="10">
        <f t="shared" si="1"/>
        <v>0</v>
      </c>
      <c r="E14" s="7">
        <f>'[1]Production Summary'!E76</f>
        <v>0</v>
      </c>
      <c r="F14" s="8">
        <f t="shared" si="2"/>
        <v>0</v>
      </c>
      <c r="G14" s="10">
        <f t="shared" si="3"/>
        <v>0</v>
      </c>
      <c r="H14" s="7">
        <f>'[1]Production Summary'!G76</f>
        <v>0</v>
      </c>
      <c r="I14" s="8">
        <f t="shared" si="4"/>
        <v>0</v>
      </c>
      <c r="J14" s="10">
        <f t="shared" si="5"/>
        <v>0</v>
      </c>
      <c r="K14" s="7">
        <f>'[1]Production Summary'!T76</f>
        <v>0</v>
      </c>
      <c r="L14" s="8">
        <f t="shared" si="6"/>
        <v>0</v>
      </c>
      <c r="M14" s="10">
        <f t="shared" si="7"/>
        <v>0</v>
      </c>
      <c r="N14" s="54">
        <f t="shared" si="8"/>
        <v>0</v>
      </c>
      <c r="O14" s="7">
        <f>'[1]Production Summary'!I76</f>
        <v>13758000.000000006</v>
      </c>
      <c r="P14" s="8">
        <f t="shared" si="9"/>
        <v>13.758000000000006</v>
      </c>
      <c r="Q14" s="10">
        <f t="shared" si="10"/>
        <v>42.237060000000014</v>
      </c>
      <c r="R14" s="7">
        <f>'[1]Production Summary'!C76</f>
        <v>14120000</v>
      </c>
      <c r="S14" s="8">
        <f t="shared" si="11"/>
        <v>14.12</v>
      </c>
      <c r="T14" s="10">
        <f t="shared" si="12"/>
        <v>43.348399999999998</v>
      </c>
      <c r="U14" s="7">
        <f>'[1]Production Summary'!F76</f>
        <v>0</v>
      </c>
      <c r="V14" s="8">
        <f t="shared" si="13"/>
        <v>0</v>
      </c>
      <c r="W14" s="10">
        <f t="shared" si="14"/>
        <v>0</v>
      </c>
      <c r="X14" s="7">
        <f>'[1]Production Summary'!AB76</f>
        <v>355999.99999999453</v>
      </c>
      <c r="Y14" s="8">
        <f t="shared" si="15"/>
        <v>0.35599999999999454</v>
      </c>
      <c r="Z14" s="10">
        <f t="shared" si="16"/>
        <v>1.0929199999999832</v>
      </c>
      <c r="AA14" s="15"/>
      <c r="AB14" s="7">
        <f t="shared" si="17"/>
        <v>13758000.000000006</v>
      </c>
      <c r="AC14" s="8">
        <f t="shared" si="17"/>
        <v>13.758000000000006</v>
      </c>
      <c r="AD14" s="8">
        <f t="shared" si="17"/>
        <v>42.237060000000014</v>
      </c>
    </row>
    <row r="15" spans="1:30" x14ac:dyDescent="0.15">
      <c r="A15" s="1">
        <v>43080</v>
      </c>
      <c r="B15" s="7">
        <f>'[1]Production Summary'!J77</f>
        <v>0</v>
      </c>
      <c r="C15" s="8">
        <f t="shared" si="0"/>
        <v>0</v>
      </c>
      <c r="D15" s="10">
        <f t="shared" si="1"/>
        <v>0</v>
      </c>
      <c r="E15" s="7">
        <f>'[1]Production Summary'!E77</f>
        <v>0</v>
      </c>
      <c r="F15" s="8">
        <f t="shared" si="2"/>
        <v>0</v>
      </c>
      <c r="G15" s="10">
        <f t="shared" si="3"/>
        <v>0</v>
      </c>
      <c r="H15" s="7">
        <f>'[1]Production Summary'!G77</f>
        <v>0</v>
      </c>
      <c r="I15" s="8">
        <f t="shared" si="4"/>
        <v>0</v>
      </c>
      <c r="J15" s="10">
        <f t="shared" si="5"/>
        <v>0</v>
      </c>
      <c r="K15" s="7">
        <f>'[1]Production Summary'!T77</f>
        <v>0</v>
      </c>
      <c r="L15" s="8">
        <f t="shared" si="6"/>
        <v>0</v>
      </c>
      <c r="M15" s="10">
        <f t="shared" si="7"/>
        <v>0</v>
      </c>
      <c r="N15" s="54">
        <f t="shared" si="8"/>
        <v>0</v>
      </c>
      <c r="O15" s="7">
        <f>'[1]Production Summary'!I77</f>
        <v>13918000</v>
      </c>
      <c r="P15" s="8">
        <f t="shared" si="9"/>
        <v>13.917999999999999</v>
      </c>
      <c r="Q15" s="10">
        <f t="shared" si="10"/>
        <v>42.728259999999999</v>
      </c>
      <c r="R15" s="7">
        <f>'[1]Production Summary'!C77</f>
        <v>14282000</v>
      </c>
      <c r="S15" s="8">
        <f t="shared" si="11"/>
        <v>14.282</v>
      </c>
      <c r="T15" s="10">
        <f t="shared" si="12"/>
        <v>43.845739999999999</v>
      </c>
      <c r="U15" s="7">
        <f>'[1]Production Summary'!F77</f>
        <v>0</v>
      </c>
      <c r="V15" s="8">
        <f t="shared" si="13"/>
        <v>0</v>
      </c>
      <c r="W15" s="10">
        <f t="shared" si="14"/>
        <v>0</v>
      </c>
      <c r="X15" s="7">
        <f>'[1]Production Summary'!AB77</f>
        <v>356999.9999999993</v>
      </c>
      <c r="Y15" s="8">
        <f t="shared" si="15"/>
        <v>0.35699999999999932</v>
      </c>
      <c r="Z15" s="10">
        <f t="shared" si="16"/>
        <v>1.0959899999999978</v>
      </c>
      <c r="AA15" s="15"/>
      <c r="AB15" s="7">
        <f t="shared" si="17"/>
        <v>13918000</v>
      </c>
      <c r="AC15" s="8">
        <f t="shared" si="17"/>
        <v>13.917999999999999</v>
      </c>
      <c r="AD15" s="8">
        <f t="shared" si="17"/>
        <v>42.728259999999999</v>
      </c>
    </row>
    <row r="16" spans="1:30" x14ac:dyDescent="0.15">
      <c r="A16" s="1">
        <v>43081</v>
      </c>
      <c r="B16" s="7">
        <f>'[1]Production Summary'!J78</f>
        <v>0</v>
      </c>
      <c r="C16" s="8">
        <f t="shared" si="0"/>
        <v>0</v>
      </c>
      <c r="D16" s="10">
        <f t="shared" si="1"/>
        <v>0</v>
      </c>
      <c r="E16" s="7">
        <f>'[1]Production Summary'!E78</f>
        <v>0</v>
      </c>
      <c r="F16" s="8">
        <f t="shared" si="2"/>
        <v>0</v>
      </c>
      <c r="G16" s="10">
        <f t="shared" si="3"/>
        <v>0</v>
      </c>
      <c r="H16" s="7">
        <f>'[1]Production Summary'!G78</f>
        <v>0</v>
      </c>
      <c r="I16" s="8">
        <f t="shared" si="4"/>
        <v>0</v>
      </c>
      <c r="J16" s="10">
        <f t="shared" si="5"/>
        <v>0</v>
      </c>
      <c r="K16" s="7">
        <f>'[1]Production Summary'!T78</f>
        <v>0</v>
      </c>
      <c r="L16" s="8">
        <f t="shared" si="6"/>
        <v>0</v>
      </c>
      <c r="M16" s="10">
        <f t="shared" si="7"/>
        <v>0</v>
      </c>
      <c r="N16" s="21"/>
      <c r="O16" s="7">
        <f>'[1]Production Summary'!I78</f>
        <v>11979999.999999998</v>
      </c>
      <c r="P16" s="8">
        <f t="shared" si="9"/>
        <v>11.979999999999999</v>
      </c>
      <c r="Q16" s="10">
        <f t="shared" si="10"/>
        <v>36.778599999999997</v>
      </c>
      <c r="R16" s="7">
        <f>'[1]Production Summary'!C78</f>
        <v>12420000</v>
      </c>
      <c r="S16" s="8">
        <f t="shared" si="11"/>
        <v>12.42</v>
      </c>
      <c r="T16" s="10">
        <f t="shared" si="12"/>
        <v>38.129399999999997</v>
      </c>
      <c r="U16" s="7">
        <f>'[1]Production Summary'!F78</f>
        <v>0</v>
      </c>
      <c r="V16" s="8">
        <f t="shared" si="13"/>
        <v>0</v>
      </c>
      <c r="W16" s="10">
        <f t="shared" si="14"/>
        <v>0</v>
      </c>
      <c r="X16" s="7">
        <f>'[1]Production Summary'!AB78</f>
        <v>432000.00000000215</v>
      </c>
      <c r="Y16" s="8">
        <f t="shared" si="15"/>
        <v>0.43200000000000216</v>
      </c>
      <c r="Z16" s="10">
        <f t="shared" si="16"/>
        <v>1.3262400000000065</v>
      </c>
      <c r="AA16" s="15"/>
      <c r="AB16" s="7">
        <f t="shared" si="17"/>
        <v>11979999.999999998</v>
      </c>
      <c r="AC16" s="8">
        <f t="shared" si="17"/>
        <v>11.979999999999999</v>
      </c>
      <c r="AD16" s="8">
        <f t="shared" si="17"/>
        <v>36.778599999999997</v>
      </c>
    </row>
    <row r="17" spans="1:30" x14ac:dyDescent="0.15">
      <c r="A17" s="1">
        <v>43082</v>
      </c>
      <c r="B17" s="7">
        <f>'[1]Production Summary'!J79</f>
        <v>0</v>
      </c>
      <c r="C17" s="8">
        <f t="shared" si="0"/>
        <v>0</v>
      </c>
      <c r="D17" s="10">
        <f t="shared" si="1"/>
        <v>0</v>
      </c>
      <c r="E17" s="7">
        <f>'[1]Production Summary'!E79</f>
        <v>0</v>
      </c>
      <c r="F17" s="8">
        <f t="shared" si="2"/>
        <v>0</v>
      </c>
      <c r="G17" s="10">
        <f t="shared" si="3"/>
        <v>0</v>
      </c>
      <c r="H17" s="7">
        <f>'[1]Production Summary'!G79</f>
        <v>0</v>
      </c>
      <c r="I17" s="8">
        <f t="shared" si="4"/>
        <v>0</v>
      </c>
      <c r="J17" s="10">
        <f t="shared" si="5"/>
        <v>0</v>
      </c>
      <c r="K17" s="7">
        <f>'[1]Production Summary'!T79</f>
        <v>0</v>
      </c>
      <c r="L17" s="8">
        <f t="shared" si="6"/>
        <v>0</v>
      </c>
      <c r="M17" s="10">
        <f t="shared" si="7"/>
        <v>0</v>
      </c>
      <c r="N17" s="21"/>
      <c r="O17" s="7">
        <f>'[1]Production Summary'!I79</f>
        <v>11089999.999999996</v>
      </c>
      <c r="P17" s="8">
        <f t="shared" si="9"/>
        <v>11.089999999999996</v>
      </c>
      <c r="Q17" s="10">
        <f t="shared" si="10"/>
        <v>34.046299999999988</v>
      </c>
      <c r="R17" s="7">
        <f>'[1]Production Summary'!C79</f>
        <v>11469000</v>
      </c>
      <c r="S17" s="8">
        <f t="shared" si="11"/>
        <v>11.468999999999999</v>
      </c>
      <c r="T17" s="10">
        <f t="shared" si="12"/>
        <v>35.209829999999997</v>
      </c>
      <c r="U17" s="7">
        <f>'[1]Production Summary'!F79</f>
        <v>0</v>
      </c>
      <c r="V17" s="8">
        <f t="shared" si="13"/>
        <v>0</v>
      </c>
      <c r="W17" s="10">
        <f t="shared" si="14"/>
        <v>0</v>
      </c>
      <c r="X17" s="7">
        <f>'[1]Production Summary'!AB79</f>
        <v>373000.00000000466</v>
      </c>
      <c r="Y17" s="8">
        <f t="shared" si="15"/>
        <v>0.37300000000000466</v>
      </c>
      <c r="Z17" s="10">
        <f t="shared" si="16"/>
        <v>1.1451100000000143</v>
      </c>
      <c r="AA17" s="15"/>
      <c r="AB17" s="7">
        <f t="shared" si="17"/>
        <v>11089999.999999996</v>
      </c>
      <c r="AC17" s="8">
        <f t="shared" si="17"/>
        <v>11.089999999999996</v>
      </c>
      <c r="AD17" s="8">
        <f t="shared" si="17"/>
        <v>34.046299999999988</v>
      </c>
    </row>
    <row r="18" spans="1:30" x14ac:dyDescent="0.15">
      <c r="A18" s="1">
        <v>43083</v>
      </c>
      <c r="B18" s="7">
        <f>'[1]Production Summary'!J80</f>
        <v>0</v>
      </c>
      <c r="C18" s="8">
        <f t="shared" si="0"/>
        <v>0</v>
      </c>
      <c r="D18" s="10">
        <f t="shared" si="1"/>
        <v>0</v>
      </c>
      <c r="E18" s="7">
        <f>'[1]Production Summary'!E80</f>
        <v>0</v>
      </c>
      <c r="F18" s="8">
        <f t="shared" si="2"/>
        <v>0</v>
      </c>
      <c r="G18" s="10">
        <f t="shared" si="3"/>
        <v>0</v>
      </c>
      <c r="H18" s="7">
        <f>'[1]Production Summary'!G80</f>
        <v>0</v>
      </c>
      <c r="I18" s="8">
        <f t="shared" si="4"/>
        <v>0</v>
      </c>
      <c r="J18" s="10">
        <f t="shared" si="5"/>
        <v>0</v>
      </c>
      <c r="K18" s="7">
        <f>'[1]Production Summary'!T80</f>
        <v>0</v>
      </c>
      <c r="L18" s="8">
        <f t="shared" si="6"/>
        <v>0</v>
      </c>
      <c r="M18" s="10">
        <f t="shared" si="7"/>
        <v>0</v>
      </c>
      <c r="N18" s="21"/>
      <c r="O18" s="7">
        <f>'[1]Production Summary'!I80</f>
        <v>11736000.000000009</v>
      </c>
      <c r="P18" s="8">
        <f t="shared" si="9"/>
        <v>11.73600000000001</v>
      </c>
      <c r="Q18" s="10">
        <f t="shared" si="10"/>
        <v>36.029520000000026</v>
      </c>
      <c r="R18" s="7">
        <f>'[1]Production Summary'!C80</f>
        <v>11983000</v>
      </c>
      <c r="S18" s="8">
        <f t="shared" si="11"/>
        <v>11.983000000000001</v>
      </c>
      <c r="T18" s="10">
        <f t="shared" si="12"/>
        <v>36.78781</v>
      </c>
      <c r="U18" s="7">
        <f>'[1]Production Summary'!F80</f>
        <v>0</v>
      </c>
      <c r="V18" s="8">
        <f t="shared" si="13"/>
        <v>0</v>
      </c>
      <c r="W18" s="10">
        <f t="shared" si="14"/>
        <v>0</v>
      </c>
      <c r="X18" s="7">
        <f>'[1]Production Summary'!AB80</f>
        <v>241999.99999999022</v>
      </c>
      <c r="Y18" s="8">
        <f t="shared" si="15"/>
        <v>0.24199999999999022</v>
      </c>
      <c r="Z18" s="10">
        <f t="shared" si="16"/>
        <v>0.74293999999996996</v>
      </c>
      <c r="AA18" s="15"/>
      <c r="AB18" s="7">
        <f t="shared" si="17"/>
        <v>11736000.000000009</v>
      </c>
      <c r="AC18" s="8">
        <f t="shared" si="17"/>
        <v>11.73600000000001</v>
      </c>
      <c r="AD18" s="8">
        <f t="shared" si="17"/>
        <v>36.029520000000026</v>
      </c>
    </row>
    <row r="19" spans="1:30" x14ac:dyDescent="0.15">
      <c r="A19" s="1">
        <v>43084</v>
      </c>
      <c r="B19" s="7">
        <f>'[1]Production Summary'!J81</f>
        <v>0</v>
      </c>
      <c r="C19" s="8">
        <f t="shared" si="0"/>
        <v>0</v>
      </c>
      <c r="D19" s="10">
        <f t="shared" si="1"/>
        <v>0</v>
      </c>
      <c r="E19" s="7">
        <f>'[1]Production Summary'!E81</f>
        <v>0</v>
      </c>
      <c r="F19" s="8">
        <f t="shared" si="2"/>
        <v>0</v>
      </c>
      <c r="G19" s="10">
        <f t="shared" si="3"/>
        <v>0</v>
      </c>
      <c r="H19" s="7">
        <f>'[1]Production Summary'!G81</f>
        <v>0</v>
      </c>
      <c r="I19" s="8">
        <f t="shared" si="4"/>
        <v>0</v>
      </c>
      <c r="J19" s="10">
        <f t="shared" si="5"/>
        <v>0</v>
      </c>
      <c r="K19" s="7">
        <f>'[1]Production Summary'!T81</f>
        <v>0</v>
      </c>
      <c r="L19" s="8">
        <f t="shared" si="6"/>
        <v>0</v>
      </c>
      <c r="M19" s="10">
        <f t="shared" si="7"/>
        <v>0</v>
      </c>
      <c r="N19" s="21"/>
      <c r="O19" s="7">
        <f>'[1]Production Summary'!I81</f>
        <v>12191000</v>
      </c>
      <c r="P19" s="8">
        <f t="shared" si="9"/>
        <v>12.191000000000001</v>
      </c>
      <c r="Q19" s="10">
        <f t="shared" si="10"/>
        <v>37.426369999999999</v>
      </c>
      <c r="R19" s="7">
        <f>'[1]Production Summary'!C81</f>
        <v>12593000</v>
      </c>
      <c r="S19" s="8">
        <f t="shared" si="11"/>
        <v>12.593</v>
      </c>
      <c r="T19" s="10">
        <f t="shared" si="12"/>
        <v>38.660509999999995</v>
      </c>
      <c r="U19" s="7">
        <f>'[1]Production Summary'!F81</f>
        <v>0</v>
      </c>
      <c r="V19" s="8">
        <f t="shared" si="13"/>
        <v>0</v>
      </c>
      <c r="W19" s="10">
        <f t="shared" si="14"/>
        <v>0</v>
      </c>
      <c r="X19" s="7">
        <f>'[1]Production Summary'!AB81</f>
        <v>393000.0000000007</v>
      </c>
      <c r="Y19" s="8">
        <f t="shared" si="15"/>
        <v>0.39300000000000068</v>
      </c>
      <c r="Z19" s="10">
        <f t="shared" si="16"/>
        <v>1.206510000000002</v>
      </c>
      <c r="AA19" s="15"/>
      <c r="AB19" s="7">
        <f t="shared" si="17"/>
        <v>12191000</v>
      </c>
      <c r="AC19" s="8">
        <f t="shared" si="17"/>
        <v>12.191000000000001</v>
      </c>
      <c r="AD19" s="8">
        <f>D19+Q19</f>
        <v>37.426369999999999</v>
      </c>
    </row>
    <row r="20" spans="1:30" x14ac:dyDescent="0.15">
      <c r="A20" s="1">
        <v>43085</v>
      </c>
      <c r="B20" s="7">
        <f>'[1]Production Summary'!J82</f>
        <v>0</v>
      </c>
      <c r="C20" s="8">
        <f t="shared" si="0"/>
        <v>0</v>
      </c>
      <c r="D20" s="10">
        <f t="shared" si="1"/>
        <v>0</v>
      </c>
      <c r="E20" s="7">
        <f>'[1]Production Summary'!E82</f>
        <v>0</v>
      </c>
      <c r="F20" s="8">
        <f t="shared" si="2"/>
        <v>0</v>
      </c>
      <c r="G20" s="10">
        <f t="shared" si="3"/>
        <v>0</v>
      </c>
      <c r="H20" s="7">
        <f>'[1]Production Summary'!G82</f>
        <v>0</v>
      </c>
      <c r="I20" s="8">
        <f t="shared" si="4"/>
        <v>0</v>
      </c>
      <c r="J20" s="10">
        <f t="shared" si="5"/>
        <v>0</v>
      </c>
      <c r="K20" s="7">
        <f>'[1]Production Summary'!T82</f>
        <v>0</v>
      </c>
      <c r="L20" s="8">
        <f t="shared" si="6"/>
        <v>0</v>
      </c>
      <c r="M20" s="10">
        <f t="shared" si="7"/>
        <v>0</v>
      </c>
      <c r="N20" s="21"/>
      <c r="O20" s="7">
        <f>'[1]Production Summary'!I82</f>
        <v>12797999.999999998</v>
      </c>
      <c r="P20" s="8">
        <f t="shared" si="9"/>
        <v>12.797999999999998</v>
      </c>
      <c r="Q20" s="10">
        <f t="shared" si="10"/>
        <v>39.28985999999999</v>
      </c>
      <c r="R20" s="7">
        <f>'[1]Production Summary'!C82</f>
        <v>13098000</v>
      </c>
      <c r="S20" s="8">
        <f t="shared" si="11"/>
        <v>13.098000000000001</v>
      </c>
      <c r="T20" s="10">
        <f t="shared" si="12"/>
        <v>40.210859999999997</v>
      </c>
      <c r="U20" s="7">
        <f>'[1]Production Summary'!F82</f>
        <v>0</v>
      </c>
      <c r="V20" s="8">
        <f t="shared" si="13"/>
        <v>0</v>
      </c>
      <c r="W20" s="10">
        <f t="shared" si="14"/>
        <v>0</v>
      </c>
      <c r="X20" s="7">
        <f>'[1]Production Summary'!AB82</f>
        <v>295000.00000000169</v>
      </c>
      <c r="Y20" s="8">
        <f t="shared" si="15"/>
        <v>0.29500000000000171</v>
      </c>
      <c r="Z20" s="10">
        <f t="shared" si="16"/>
        <v>0.90565000000000517</v>
      </c>
      <c r="AA20" s="15"/>
      <c r="AB20" s="7">
        <f t="shared" si="17"/>
        <v>12797999.999999998</v>
      </c>
      <c r="AC20" s="8">
        <f t="shared" si="17"/>
        <v>12.797999999999998</v>
      </c>
      <c r="AD20" s="8">
        <f t="shared" si="17"/>
        <v>39.28985999999999</v>
      </c>
    </row>
    <row r="21" spans="1:30" x14ac:dyDescent="0.15">
      <c r="A21" s="1">
        <v>43086</v>
      </c>
      <c r="B21" s="7">
        <f>'[1]Production Summary'!J83</f>
        <v>0</v>
      </c>
      <c r="C21" s="8">
        <f t="shared" si="0"/>
        <v>0</v>
      </c>
      <c r="D21" s="10">
        <f t="shared" si="1"/>
        <v>0</v>
      </c>
      <c r="E21" s="7">
        <f>'[1]Production Summary'!E83</f>
        <v>0</v>
      </c>
      <c r="F21" s="8">
        <f t="shared" si="2"/>
        <v>0</v>
      </c>
      <c r="G21" s="10">
        <f t="shared" si="3"/>
        <v>0</v>
      </c>
      <c r="H21" s="7">
        <f>'[1]Production Summary'!G83</f>
        <v>0</v>
      </c>
      <c r="I21" s="8">
        <f t="shared" si="4"/>
        <v>0</v>
      </c>
      <c r="J21" s="10">
        <f t="shared" si="5"/>
        <v>0</v>
      </c>
      <c r="K21" s="7">
        <f>'[1]Production Summary'!T83</f>
        <v>12539</v>
      </c>
      <c r="L21" s="8">
        <f t="shared" si="6"/>
        <v>1.2539E-2</v>
      </c>
      <c r="M21" s="10">
        <f t="shared" si="7"/>
        <v>3.8494729999999998E-2</v>
      </c>
      <c r="N21" s="21"/>
      <c r="O21" s="7">
        <f>'[1]Production Summary'!I83</f>
        <v>12907000</v>
      </c>
      <c r="P21" s="8">
        <f t="shared" si="9"/>
        <v>12.907</v>
      </c>
      <c r="Q21" s="10">
        <f t="shared" si="10"/>
        <v>39.624490000000002</v>
      </c>
      <c r="R21" s="7">
        <f>'[1]Production Summary'!C83</f>
        <v>13277000</v>
      </c>
      <c r="S21" s="8">
        <f t="shared" si="11"/>
        <v>13.276999999999999</v>
      </c>
      <c r="T21" s="10">
        <f t="shared" si="12"/>
        <v>40.760389999999994</v>
      </c>
      <c r="U21" s="7">
        <f>'[1]Production Summary'!F83</f>
        <v>0</v>
      </c>
      <c r="V21" s="8">
        <f t="shared" si="13"/>
        <v>0</v>
      </c>
      <c r="W21" s="10">
        <f t="shared" si="14"/>
        <v>0</v>
      </c>
      <c r="X21" s="7">
        <f>'[1]Production Summary'!AB83</f>
        <v>362999.99999999953</v>
      </c>
      <c r="Y21" s="8">
        <f t="shared" si="15"/>
        <v>0.36299999999999955</v>
      </c>
      <c r="Z21" s="10">
        <f t="shared" si="16"/>
        <v>1.1144099999999986</v>
      </c>
      <c r="AA21" s="15"/>
      <c r="AB21" s="7">
        <f t="shared" si="17"/>
        <v>12907000</v>
      </c>
      <c r="AC21" s="8">
        <f t="shared" si="17"/>
        <v>12.907</v>
      </c>
      <c r="AD21" s="8">
        <f t="shared" si="17"/>
        <v>39.624490000000002</v>
      </c>
    </row>
    <row r="22" spans="1:30" x14ac:dyDescent="0.15">
      <c r="A22" s="1">
        <v>43087</v>
      </c>
      <c r="B22" s="7">
        <f>'[1]Production Summary'!J84</f>
        <v>0</v>
      </c>
      <c r="C22" s="8">
        <f t="shared" si="0"/>
        <v>0</v>
      </c>
      <c r="D22" s="10">
        <f t="shared" si="1"/>
        <v>0</v>
      </c>
      <c r="E22" s="7">
        <f>'[1]Production Summary'!E84</f>
        <v>0</v>
      </c>
      <c r="F22" s="8">
        <f t="shared" si="2"/>
        <v>0</v>
      </c>
      <c r="G22" s="10">
        <f t="shared" si="3"/>
        <v>0</v>
      </c>
      <c r="H22" s="7">
        <f>'[1]Production Summary'!G84</f>
        <v>0</v>
      </c>
      <c r="I22" s="8">
        <f t="shared" si="4"/>
        <v>0</v>
      </c>
      <c r="J22" s="10">
        <f t="shared" si="5"/>
        <v>0</v>
      </c>
      <c r="K22" s="7">
        <f>'[1]Production Summary'!T84</f>
        <v>0</v>
      </c>
      <c r="L22" s="8">
        <f t="shared" si="6"/>
        <v>0</v>
      </c>
      <c r="M22" s="10">
        <f t="shared" si="7"/>
        <v>0</v>
      </c>
      <c r="N22" s="21"/>
      <c r="O22" s="7">
        <f>'[1]Production Summary'!I84</f>
        <v>13006000</v>
      </c>
      <c r="P22" s="8">
        <f t="shared" si="9"/>
        <v>13.006</v>
      </c>
      <c r="Q22" s="10">
        <f t="shared" si="10"/>
        <v>39.928419999999996</v>
      </c>
      <c r="R22" s="7">
        <f>'[1]Production Summary'!C84</f>
        <v>13502000</v>
      </c>
      <c r="S22" s="8">
        <f t="shared" si="11"/>
        <v>13.502000000000001</v>
      </c>
      <c r="T22" s="10">
        <f t="shared" si="12"/>
        <v>41.451140000000002</v>
      </c>
      <c r="U22" s="7">
        <f>'[1]Production Summary'!F84</f>
        <v>0</v>
      </c>
      <c r="V22" s="8">
        <f t="shared" si="13"/>
        <v>0</v>
      </c>
      <c r="W22" s="10">
        <f t="shared" si="14"/>
        <v>0</v>
      </c>
      <c r="X22" s="7">
        <f>'[1]Production Summary'!AB84</f>
        <v>484999.99999999942</v>
      </c>
      <c r="Y22" s="8">
        <f t="shared" si="15"/>
        <v>0.48499999999999943</v>
      </c>
      <c r="Z22" s="10">
        <f t="shared" si="16"/>
        <v>1.4889499999999982</v>
      </c>
      <c r="AA22" s="15"/>
      <c r="AB22" s="7">
        <f t="shared" si="17"/>
        <v>13006000</v>
      </c>
      <c r="AC22" s="8">
        <f t="shared" si="17"/>
        <v>13.006</v>
      </c>
      <c r="AD22" s="8">
        <f t="shared" si="17"/>
        <v>39.928419999999996</v>
      </c>
    </row>
    <row r="23" spans="1:30" x14ac:dyDescent="0.15">
      <c r="A23" s="1">
        <v>43088</v>
      </c>
      <c r="B23" s="7">
        <f>'[1]Production Summary'!J85</f>
        <v>0</v>
      </c>
      <c r="C23" s="8">
        <f t="shared" si="0"/>
        <v>0</v>
      </c>
      <c r="D23" s="10">
        <f t="shared" si="1"/>
        <v>0</v>
      </c>
      <c r="E23" s="7">
        <f>'[1]Production Summary'!E85</f>
        <v>0</v>
      </c>
      <c r="F23" s="8">
        <f t="shared" si="2"/>
        <v>0</v>
      </c>
      <c r="G23" s="10">
        <f t="shared" si="3"/>
        <v>0</v>
      </c>
      <c r="H23" s="7">
        <f>'[1]Production Summary'!G85</f>
        <v>0</v>
      </c>
      <c r="I23" s="8">
        <f t="shared" si="4"/>
        <v>0</v>
      </c>
      <c r="J23" s="10">
        <f t="shared" si="5"/>
        <v>0</v>
      </c>
      <c r="K23" s="7">
        <f>'[1]Production Summary'!T85</f>
        <v>75479</v>
      </c>
      <c r="L23" s="8">
        <f t="shared" si="6"/>
        <v>7.5479000000000004E-2</v>
      </c>
      <c r="M23" s="10">
        <f t="shared" si="7"/>
        <v>0.23172053000000001</v>
      </c>
      <c r="N23" s="21"/>
      <c r="O23" s="7">
        <f>'[1]Production Summary'!I85</f>
        <v>12872999.999999994</v>
      </c>
      <c r="P23" s="8">
        <f t="shared" si="9"/>
        <v>12.872999999999994</v>
      </c>
      <c r="Q23" s="10">
        <f t="shared" si="10"/>
        <v>39.520109999999981</v>
      </c>
      <c r="R23" s="7">
        <f>'[1]Production Summary'!C85</f>
        <v>13256000</v>
      </c>
      <c r="S23" s="8">
        <f t="shared" si="11"/>
        <v>13.256</v>
      </c>
      <c r="T23" s="10">
        <f t="shared" si="12"/>
        <v>40.695920000000001</v>
      </c>
      <c r="U23" s="7">
        <f>'[1]Production Summary'!F85</f>
        <v>0</v>
      </c>
      <c r="V23" s="8">
        <f t="shared" si="13"/>
        <v>0</v>
      </c>
      <c r="W23" s="10">
        <f t="shared" si="14"/>
        <v>0</v>
      </c>
      <c r="X23" s="7">
        <f>'[1]Production Summary'!AB85</f>
        <v>376000.00000000477</v>
      </c>
      <c r="Y23" s="8">
        <f t="shared" si="15"/>
        <v>0.37600000000000477</v>
      </c>
      <c r="Z23" s="10">
        <f t="shared" si="16"/>
        <v>1.1543200000000147</v>
      </c>
      <c r="AA23" s="15"/>
      <c r="AB23" s="7">
        <f t="shared" si="17"/>
        <v>12872999.999999994</v>
      </c>
      <c r="AC23" s="8">
        <f t="shared" si="17"/>
        <v>12.872999999999994</v>
      </c>
      <c r="AD23" s="8">
        <f t="shared" si="17"/>
        <v>39.520109999999981</v>
      </c>
    </row>
    <row r="24" spans="1:30" x14ac:dyDescent="0.15">
      <c r="A24" s="1">
        <v>43089</v>
      </c>
      <c r="B24" s="7">
        <f>'[1]Production Summary'!J86</f>
        <v>0</v>
      </c>
      <c r="C24" s="8">
        <f t="shared" si="0"/>
        <v>0</v>
      </c>
      <c r="D24" s="10">
        <f t="shared" si="1"/>
        <v>0</v>
      </c>
      <c r="E24" s="7">
        <f>'[1]Production Summary'!E86</f>
        <v>0</v>
      </c>
      <c r="F24" s="8">
        <f t="shared" si="2"/>
        <v>0</v>
      </c>
      <c r="G24" s="10">
        <f t="shared" si="3"/>
        <v>0</v>
      </c>
      <c r="H24" s="7">
        <f>'[1]Production Summary'!G86</f>
        <v>0</v>
      </c>
      <c r="I24" s="8">
        <f t="shared" si="4"/>
        <v>0</v>
      </c>
      <c r="J24" s="10">
        <f t="shared" si="5"/>
        <v>0</v>
      </c>
      <c r="K24" s="7">
        <f>'[1]Production Summary'!T86</f>
        <v>0</v>
      </c>
      <c r="L24" s="8">
        <f t="shared" si="6"/>
        <v>0</v>
      </c>
      <c r="M24" s="10">
        <f t="shared" si="7"/>
        <v>0</v>
      </c>
      <c r="N24" s="21"/>
      <c r="O24" s="7">
        <f>'[1]Production Summary'!I86</f>
        <v>11642000.000000007</v>
      </c>
      <c r="P24" s="8">
        <f t="shared" si="9"/>
        <v>11.642000000000007</v>
      </c>
      <c r="Q24" s="10">
        <f t="shared" si="10"/>
        <v>35.740940000000016</v>
      </c>
      <c r="R24" s="7">
        <f>'[1]Production Summary'!C86</f>
        <v>11934000</v>
      </c>
      <c r="S24" s="8">
        <f t="shared" si="11"/>
        <v>11.933999999999999</v>
      </c>
      <c r="T24" s="10">
        <f t="shared" si="12"/>
        <v>36.637379999999993</v>
      </c>
      <c r="U24" s="7">
        <f>'[1]Production Summary'!F86</f>
        <v>0</v>
      </c>
      <c r="V24" s="8">
        <f t="shared" si="13"/>
        <v>0</v>
      </c>
      <c r="W24" s="10">
        <f t="shared" si="14"/>
        <v>0</v>
      </c>
      <c r="X24" s="7">
        <f>'[1]Production Summary'!AB86</f>
        <v>286999.99999999191</v>
      </c>
      <c r="Y24" s="8">
        <f t="shared" si="15"/>
        <v>0.28699999999999193</v>
      </c>
      <c r="Z24" s="10">
        <f t="shared" si="16"/>
        <v>0.88108999999997517</v>
      </c>
      <c r="AA24" s="15"/>
      <c r="AB24" s="7">
        <f t="shared" si="17"/>
        <v>11642000.000000007</v>
      </c>
      <c r="AC24" s="8">
        <f t="shared" si="17"/>
        <v>11.642000000000007</v>
      </c>
      <c r="AD24" s="8">
        <f>D24+Q24</f>
        <v>35.740940000000016</v>
      </c>
    </row>
    <row r="25" spans="1:30" x14ac:dyDescent="0.15">
      <c r="A25" s="1">
        <v>43090</v>
      </c>
      <c r="B25" s="7">
        <f>'[1]Production Summary'!J87</f>
        <v>0</v>
      </c>
      <c r="C25" s="8">
        <f t="shared" si="0"/>
        <v>0</v>
      </c>
      <c r="D25" s="10">
        <f t="shared" si="1"/>
        <v>0</v>
      </c>
      <c r="E25" s="7">
        <f>'[1]Production Summary'!E87</f>
        <v>0</v>
      </c>
      <c r="F25" s="8">
        <f t="shared" si="2"/>
        <v>0</v>
      </c>
      <c r="G25" s="10">
        <f t="shared" si="3"/>
        <v>0</v>
      </c>
      <c r="H25" s="7">
        <f>'[1]Production Summary'!G87</f>
        <v>0</v>
      </c>
      <c r="I25" s="8">
        <f t="shared" si="4"/>
        <v>0</v>
      </c>
      <c r="J25" s="10">
        <f t="shared" si="5"/>
        <v>0</v>
      </c>
      <c r="K25" s="7">
        <f>'[1]Production Summary'!T87</f>
        <v>80974</v>
      </c>
      <c r="L25" s="8">
        <f t="shared" si="6"/>
        <v>8.0974000000000004E-2</v>
      </c>
      <c r="M25" s="10">
        <f t="shared" si="7"/>
        <v>0.24859017999999999</v>
      </c>
      <c r="N25" s="21"/>
      <c r="O25" s="7">
        <f>'[1]Production Summary'!I87</f>
        <v>10641999.999999994</v>
      </c>
      <c r="P25" s="8">
        <f t="shared" si="9"/>
        <v>10.641999999999994</v>
      </c>
      <c r="Q25" s="10">
        <f t="shared" si="10"/>
        <v>32.67093999999998</v>
      </c>
      <c r="R25" s="7">
        <f>'[1]Production Summary'!C87</f>
        <v>11035000</v>
      </c>
      <c r="S25" s="8">
        <f t="shared" si="11"/>
        <v>11.035</v>
      </c>
      <c r="T25" s="10">
        <f t="shared" si="12"/>
        <v>33.877449999999996</v>
      </c>
      <c r="U25" s="7">
        <f>'[1]Production Summary'!F87</f>
        <v>0</v>
      </c>
      <c r="V25" s="8">
        <f t="shared" si="13"/>
        <v>0</v>
      </c>
      <c r="W25" s="10">
        <f t="shared" si="14"/>
        <v>0</v>
      </c>
      <c r="X25" s="7">
        <f>'[1]Production Summary'!AB87</f>
        <v>385000.00000000512</v>
      </c>
      <c r="Y25" s="8">
        <f t="shared" si="15"/>
        <v>0.38500000000000512</v>
      </c>
      <c r="Z25" s="10">
        <f t="shared" si="16"/>
        <v>1.1819500000000156</v>
      </c>
      <c r="AA25" s="15"/>
      <c r="AB25" s="7">
        <f t="shared" si="17"/>
        <v>10641999.999999994</v>
      </c>
      <c r="AC25" s="8">
        <f t="shared" si="17"/>
        <v>10.641999999999994</v>
      </c>
      <c r="AD25" s="8">
        <f t="shared" si="17"/>
        <v>32.67093999999998</v>
      </c>
    </row>
    <row r="26" spans="1:30" x14ac:dyDescent="0.15">
      <c r="A26" s="1">
        <v>43091</v>
      </c>
      <c r="B26" s="7">
        <f>'[1]Production Summary'!J88</f>
        <v>0</v>
      </c>
      <c r="C26" s="8">
        <f t="shared" si="0"/>
        <v>0</v>
      </c>
      <c r="D26" s="10">
        <f t="shared" si="1"/>
        <v>0</v>
      </c>
      <c r="E26" s="7">
        <f>'[1]Production Summary'!E88</f>
        <v>0</v>
      </c>
      <c r="F26" s="8">
        <f t="shared" si="2"/>
        <v>0</v>
      </c>
      <c r="G26" s="10">
        <f t="shared" si="3"/>
        <v>0</v>
      </c>
      <c r="H26" s="7">
        <f>'[1]Production Summary'!G88</f>
        <v>0</v>
      </c>
      <c r="I26" s="8">
        <f t="shared" si="4"/>
        <v>0</v>
      </c>
      <c r="J26" s="10">
        <f t="shared" si="5"/>
        <v>0</v>
      </c>
      <c r="K26" s="7">
        <f>'[1]Production Summary'!T88</f>
        <v>0</v>
      </c>
      <c r="L26" s="8">
        <f t="shared" si="6"/>
        <v>0</v>
      </c>
      <c r="M26" s="10">
        <f t="shared" si="7"/>
        <v>0</v>
      </c>
      <c r="N26" s="21"/>
      <c r="O26" s="7">
        <f>'[1]Production Summary'!I88</f>
        <v>12175000</v>
      </c>
      <c r="P26" s="8">
        <f t="shared" si="9"/>
        <v>12.175000000000001</v>
      </c>
      <c r="Q26" s="10">
        <f t="shared" si="10"/>
        <v>37.377250000000004</v>
      </c>
      <c r="R26" s="7">
        <f>'[1]Production Summary'!C88</f>
        <v>12413000</v>
      </c>
      <c r="S26" s="8">
        <f t="shared" si="11"/>
        <v>12.413</v>
      </c>
      <c r="T26" s="10">
        <f t="shared" si="12"/>
        <v>38.107909999999997</v>
      </c>
      <c r="U26" s="7">
        <f>'[1]Production Summary'!F88</f>
        <v>0</v>
      </c>
      <c r="V26" s="8">
        <f t="shared" si="13"/>
        <v>0</v>
      </c>
      <c r="W26" s="10">
        <f t="shared" si="14"/>
        <v>0</v>
      </c>
      <c r="X26" s="7">
        <f>'[1]Production Summary'!AB88</f>
        <v>234999.99999999942</v>
      </c>
      <c r="Y26" s="8">
        <f t="shared" si="15"/>
        <v>0.23499999999999943</v>
      </c>
      <c r="Z26" s="10">
        <f t="shared" si="16"/>
        <v>0.72144999999999826</v>
      </c>
      <c r="AA26" s="15"/>
      <c r="AB26" s="7">
        <f t="shared" si="17"/>
        <v>12175000</v>
      </c>
      <c r="AC26" s="8">
        <f t="shared" si="17"/>
        <v>12.175000000000001</v>
      </c>
      <c r="AD26" s="8">
        <f t="shared" si="17"/>
        <v>37.377250000000004</v>
      </c>
    </row>
    <row r="27" spans="1:30" x14ac:dyDescent="0.15">
      <c r="A27" s="1">
        <v>43092</v>
      </c>
      <c r="B27" s="7">
        <f>'[1]Production Summary'!J89</f>
        <v>0</v>
      </c>
      <c r="C27" s="8">
        <f t="shared" si="0"/>
        <v>0</v>
      </c>
      <c r="D27" s="10">
        <f t="shared" si="1"/>
        <v>0</v>
      </c>
      <c r="E27" s="7">
        <f>'[1]Production Summary'!E89</f>
        <v>0</v>
      </c>
      <c r="F27" s="8">
        <f t="shared" si="2"/>
        <v>0</v>
      </c>
      <c r="G27" s="10">
        <f t="shared" si="3"/>
        <v>0</v>
      </c>
      <c r="H27" s="7">
        <f>'[1]Production Summary'!G89</f>
        <v>0</v>
      </c>
      <c r="I27" s="8">
        <f t="shared" si="4"/>
        <v>0</v>
      </c>
      <c r="J27" s="10">
        <f t="shared" si="5"/>
        <v>0</v>
      </c>
      <c r="K27" s="7">
        <f>'[1]Production Summary'!T89</f>
        <v>9966</v>
      </c>
      <c r="L27" s="8">
        <f t="shared" si="6"/>
        <v>9.9659999999999992E-3</v>
      </c>
      <c r="M27" s="10">
        <f t="shared" si="7"/>
        <v>3.0595619999999997E-2</v>
      </c>
      <c r="N27" s="21"/>
      <c r="O27" s="7">
        <f>'[1]Production Summary'!I89</f>
        <v>12163999.999999994</v>
      </c>
      <c r="P27" s="8">
        <f t="shared" si="9"/>
        <v>12.163999999999994</v>
      </c>
      <c r="Q27" s="10">
        <f t="shared" si="10"/>
        <v>37.343479999999978</v>
      </c>
      <c r="R27" s="7">
        <f>'[1]Production Summary'!C89</f>
        <v>12551000</v>
      </c>
      <c r="S27" s="8">
        <f t="shared" si="11"/>
        <v>12.551</v>
      </c>
      <c r="T27" s="10">
        <f t="shared" si="12"/>
        <v>38.531569999999995</v>
      </c>
      <c r="U27" s="7">
        <f>'[1]Production Summary'!F89</f>
        <v>0</v>
      </c>
      <c r="V27" s="8">
        <f t="shared" si="13"/>
        <v>0</v>
      </c>
      <c r="W27" s="10">
        <f t="shared" si="14"/>
        <v>0</v>
      </c>
      <c r="X27" s="7">
        <f>'[1]Production Summary'!AB89</f>
        <v>379000.00000000489</v>
      </c>
      <c r="Y27" s="8">
        <f t="shared" si="15"/>
        <v>0.37900000000000489</v>
      </c>
      <c r="Z27" s="10">
        <f t="shared" si="16"/>
        <v>1.1635300000000151</v>
      </c>
      <c r="AA27" s="15"/>
      <c r="AB27" s="7">
        <f t="shared" si="17"/>
        <v>12163999.999999994</v>
      </c>
      <c r="AC27" s="8">
        <f t="shared" si="17"/>
        <v>12.163999999999994</v>
      </c>
      <c r="AD27" s="8">
        <f t="shared" si="17"/>
        <v>37.343479999999978</v>
      </c>
    </row>
    <row r="28" spans="1:30" x14ac:dyDescent="0.15">
      <c r="A28" s="1">
        <v>43093</v>
      </c>
      <c r="B28" s="7">
        <f>'[1]Production Summary'!J90</f>
        <v>0</v>
      </c>
      <c r="C28" s="8">
        <f t="shared" si="0"/>
        <v>0</v>
      </c>
      <c r="D28" s="10">
        <f t="shared" si="1"/>
        <v>0</v>
      </c>
      <c r="E28" s="7">
        <f>'[1]Production Summary'!E90</f>
        <v>0</v>
      </c>
      <c r="F28" s="8">
        <f t="shared" si="2"/>
        <v>0</v>
      </c>
      <c r="G28" s="10">
        <f t="shared" si="3"/>
        <v>0</v>
      </c>
      <c r="H28" s="7">
        <f>'[1]Production Summary'!G90</f>
        <v>0</v>
      </c>
      <c r="I28" s="8">
        <f t="shared" si="4"/>
        <v>0</v>
      </c>
      <c r="J28" s="10">
        <f t="shared" si="5"/>
        <v>0</v>
      </c>
      <c r="K28" s="7">
        <f>'[1]Production Summary'!T90</f>
        <v>21427</v>
      </c>
      <c r="L28" s="8">
        <f t="shared" si="6"/>
        <v>2.1427000000000002E-2</v>
      </c>
      <c r="M28" s="10">
        <f t="shared" si="7"/>
        <v>6.5780889999999995E-2</v>
      </c>
      <c r="N28" s="21"/>
      <c r="O28" s="7">
        <f>'[1]Production Summary'!I90</f>
        <v>12717999.999999998</v>
      </c>
      <c r="P28" s="8">
        <f t="shared" si="9"/>
        <v>12.717999999999998</v>
      </c>
      <c r="Q28" s="10">
        <f t="shared" si="10"/>
        <v>39.044259999999994</v>
      </c>
      <c r="R28" s="7">
        <f>'[1]Production Summary'!C90</f>
        <v>13036000</v>
      </c>
      <c r="S28" s="8">
        <f t="shared" si="11"/>
        <v>13.036</v>
      </c>
      <c r="T28" s="10">
        <f t="shared" si="12"/>
        <v>40.020519999999998</v>
      </c>
      <c r="U28" s="7">
        <f>'[1]Production Summary'!F90</f>
        <v>0</v>
      </c>
      <c r="V28" s="8">
        <f t="shared" si="13"/>
        <v>0</v>
      </c>
      <c r="W28" s="10">
        <f t="shared" si="14"/>
        <v>0</v>
      </c>
      <c r="X28" s="7">
        <f>'[1]Production Summary'!AB90</f>
        <v>310000.00000000227</v>
      </c>
      <c r="Y28" s="8">
        <f t="shared" si="15"/>
        <v>0.31000000000000227</v>
      </c>
      <c r="Z28" s="10">
        <f t="shared" si="16"/>
        <v>0.95170000000000698</v>
      </c>
      <c r="AA28" s="15"/>
      <c r="AB28" s="7">
        <f t="shared" si="17"/>
        <v>12717999.999999998</v>
      </c>
      <c r="AC28" s="8">
        <f t="shared" si="17"/>
        <v>12.717999999999998</v>
      </c>
      <c r="AD28" s="8">
        <f t="shared" si="17"/>
        <v>39.044259999999994</v>
      </c>
    </row>
    <row r="29" spans="1:30" x14ac:dyDescent="0.15">
      <c r="A29" s="1">
        <v>43094</v>
      </c>
      <c r="B29" s="7">
        <f>'[1]Production Summary'!J91</f>
        <v>0</v>
      </c>
      <c r="C29" s="8">
        <f t="shared" si="0"/>
        <v>0</v>
      </c>
      <c r="D29" s="10">
        <f t="shared" si="1"/>
        <v>0</v>
      </c>
      <c r="E29" s="7">
        <f>'[1]Production Summary'!E91</f>
        <v>0</v>
      </c>
      <c r="F29" s="8">
        <f t="shared" si="2"/>
        <v>0</v>
      </c>
      <c r="G29" s="10">
        <f t="shared" si="3"/>
        <v>0</v>
      </c>
      <c r="H29" s="7">
        <f>'[1]Production Summary'!G91</f>
        <v>0</v>
      </c>
      <c r="I29" s="8">
        <f t="shared" si="4"/>
        <v>0</v>
      </c>
      <c r="J29" s="10">
        <f t="shared" si="5"/>
        <v>0</v>
      </c>
      <c r="K29" s="7">
        <f>'[1]Production Summary'!T91</f>
        <v>231774</v>
      </c>
      <c r="L29" s="8">
        <f t="shared" si="6"/>
        <v>0.23177400000000001</v>
      </c>
      <c r="M29" s="10">
        <f t="shared" si="7"/>
        <v>0.71154618000000003</v>
      </c>
      <c r="N29" s="21"/>
      <c r="O29" s="7">
        <f>'[1]Production Summary'!I91</f>
        <v>12757000.000000009</v>
      </c>
      <c r="P29" s="8">
        <f t="shared" si="9"/>
        <v>12.757000000000009</v>
      </c>
      <c r="Q29" s="10">
        <f t="shared" si="10"/>
        <v>39.163990000000027</v>
      </c>
      <c r="R29" s="7">
        <f>'[1]Production Summary'!C91</f>
        <v>13161000</v>
      </c>
      <c r="S29" s="8">
        <f t="shared" si="11"/>
        <v>13.161</v>
      </c>
      <c r="T29" s="10">
        <f t="shared" si="12"/>
        <v>40.404269999999997</v>
      </c>
      <c r="U29" s="7">
        <f>'[1]Production Summary'!F91</f>
        <v>0</v>
      </c>
      <c r="V29" s="8">
        <f t="shared" si="13"/>
        <v>0</v>
      </c>
      <c r="W29" s="10">
        <f t="shared" si="14"/>
        <v>0</v>
      </c>
      <c r="X29" s="7">
        <f>'[1]Production Summary'!AB91</f>
        <v>396999.99999999139</v>
      </c>
      <c r="Y29" s="8">
        <f t="shared" si="15"/>
        <v>0.39699999999999136</v>
      </c>
      <c r="Z29" s="10">
        <f t="shared" si="16"/>
        <v>1.2187899999999734</v>
      </c>
      <c r="AA29" s="15"/>
      <c r="AB29" s="7">
        <f t="shared" si="17"/>
        <v>12757000.000000009</v>
      </c>
      <c r="AC29" s="8">
        <f t="shared" si="17"/>
        <v>12.757000000000009</v>
      </c>
      <c r="AD29" s="8">
        <f t="shared" si="17"/>
        <v>39.163990000000027</v>
      </c>
    </row>
    <row r="30" spans="1:30" x14ac:dyDescent="0.15">
      <c r="A30" s="1">
        <v>43095</v>
      </c>
      <c r="B30" s="7">
        <f>'[1]Production Summary'!J92</f>
        <v>0</v>
      </c>
      <c r="C30" s="8">
        <f t="shared" si="0"/>
        <v>0</v>
      </c>
      <c r="D30" s="10">
        <f t="shared" si="1"/>
        <v>0</v>
      </c>
      <c r="E30" s="7">
        <f>'[1]Production Summary'!E92</f>
        <v>0</v>
      </c>
      <c r="F30" s="8">
        <f t="shared" si="2"/>
        <v>0</v>
      </c>
      <c r="G30" s="10">
        <f t="shared" si="3"/>
        <v>0</v>
      </c>
      <c r="H30" s="7">
        <f>'[1]Production Summary'!G92</f>
        <v>0</v>
      </c>
      <c r="I30" s="8">
        <f>H30/100000000</f>
        <v>0</v>
      </c>
      <c r="J30" s="10">
        <f t="shared" si="5"/>
        <v>0</v>
      </c>
      <c r="K30" s="7">
        <f>'[1]Production Summary'!T92</f>
        <v>0</v>
      </c>
      <c r="L30" s="8">
        <f t="shared" si="6"/>
        <v>0</v>
      </c>
      <c r="M30" s="10">
        <f t="shared" si="7"/>
        <v>0</v>
      </c>
      <c r="N30" s="21"/>
      <c r="O30" s="7">
        <f>'[1]Production Summary'!I92</f>
        <v>11445999.999999991</v>
      </c>
      <c r="P30" s="8">
        <f t="shared" si="9"/>
        <v>11.445999999999991</v>
      </c>
      <c r="Q30" s="10">
        <f t="shared" si="10"/>
        <v>35.139219999999973</v>
      </c>
      <c r="R30" s="7">
        <f>'[1]Production Summary'!C92</f>
        <v>11809000</v>
      </c>
      <c r="S30" s="8">
        <f t="shared" si="11"/>
        <v>11.808999999999999</v>
      </c>
      <c r="T30" s="10">
        <f t="shared" si="12"/>
        <v>36.253629999999994</v>
      </c>
      <c r="U30" s="7">
        <f>'[1]Production Summary'!F92</f>
        <v>0</v>
      </c>
      <c r="V30" s="8">
        <f t="shared" si="13"/>
        <v>0</v>
      </c>
      <c r="W30" s="10">
        <f t="shared" si="14"/>
        <v>0</v>
      </c>
      <c r="X30" s="7">
        <f>'[1]Production Summary'!AB92</f>
        <v>356000.00000000873</v>
      </c>
      <c r="Y30" s="8">
        <f t="shared" si="15"/>
        <v>0.35600000000000875</v>
      </c>
      <c r="Z30" s="10">
        <f t="shared" si="16"/>
        <v>1.0929200000000268</v>
      </c>
      <c r="AA30" s="15"/>
      <c r="AB30" s="7">
        <f t="shared" si="17"/>
        <v>11445999.999999991</v>
      </c>
      <c r="AC30" s="8">
        <f t="shared" si="17"/>
        <v>11.445999999999991</v>
      </c>
      <c r="AD30" s="8">
        <f>D30+Q30</f>
        <v>35.139219999999973</v>
      </c>
    </row>
    <row r="31" spans="1:30" x14ac:dyDescent="0.15">
      <c r="A31" s="1">
        <v>43096</v>
      </c>
      <c r="B31" s="7">
        <f>'[1]Production Summary'!J93</f>
        <v>0</v>
      </c>
      <c r="C31" s="8">
        <f t="shared" si="0"/>
        <v>0</v>
      </c>
      <c r="D31" s="10">
        <f t="shared" si="1"/>
        <v>0</v>
      </c>
      <c r="E31" s="7">
        <f>'[1]Production Summary'!E93</f>
        <v>0</v>
      </c>
      <c r="F31" s="8">
        <f t="shared" si="2"/>
        <v>0</v>
      </c>
      <c r="G31" s="10">
        <f t="shared" si="3"/>
        <v>0</v>
      </c>
      <c r="H31" s="7">
        <f>'[1]Production Summary'!G93</f>
        <v>0</v>
      </c>
      <c r="I31" s="8">
        <f t="shared" si="4"/>
        <v>0</v>
      </c>
      <c r="J31" s="10">
        <f t="shared" si="5"/>
        <v>0</v>
      </c>
      <c r="K31" s="7">
        <f>'[1]Production Summary'!T93</f>
        <v>0</v>
      </c>
      <c r="L31" s="8">
        <f t="shared" si="6"/>
        <v>0</v>
      </c>
      <c r="M31" s="10">
        <f t="shared" si="7"/>
        <v>0</v>
      </c>
      <c r="N31" s="21"/>
      <c r="O31" s="7">
        <f>'[1]Production Summary'!I93</f>
        <v>12246000.000000013</v>
      </c>
      <c r="P31" s="8">
        <f t="shared" si="9"/>
        <v>12.246000000000013</v>
      </c>
      <c r="Q31" s="10">
        <f t="shared" si="10"/>
        <v>37.59522000000004</v>
      </c>
      <c r="R31" s="7">
        <f>'[1]Production Summary'!C93</f>
        <v>12556000</v>
      </c>
      <c r="S31" s="8">
        <f t="shared" si="11"/>
        <v>12.555999999999999</v>
      </c>
      <c r="T31" s="10">
        <f t="shared" si="12"/>
        <v>38.546919999999993</v>
      </c>
      <c r="U31" s="7">
        <f>'[1]Production Summary'!F93</f>
        <v>0</v>
      </c>
      <c r="V31" s="8">
        <f t="shared" si="13"/>
        <v>0</v>
      </c>
      <c r="W31" s="10">
        <f t="shared" si="14"/>
        <v>0</v>
      </c>
      <c r="X31" s="7">
        <f>'[1]Production Summary'!AB93</f>
        <v>303999.99999998783</v>
      </c>
      <c r="Y31" s="8">
        <f t="shared" si="15"/>
        <v>0.30399999999998784</v>
      </c>
      <c r="Z31" s="10">
        <f t="shared" si="16"/>
        <v>0.93327999999996258</v>
      </c>
      <c r="AA31" s="15"/>
      <c r="AB31" s="7">
        <f t="shared" si="17"/>
        <v>12246000.000000013</v>
      </c>
      <c r="AC31" s="8">
        <f t="shared" si="17"/>
        <v>12.246000000000013</v>
      </c>
      <c r="AD31" s="8">
        <f t="shared" si="17"/>
        <v>37.59522000000004</v>
      </c>
    </row>
    <row r="32" spans="1:30" x14ac:dyDescent="0.15">
      <c r="A32" s="1">
        <v>43097</v>
      </c>
      <c r="B32" s="7">
        <f>'[1]Production Summary'!J94</f>
        <v>0</v>
      </c>
      <c r="C32" s="8">
        <f t="shared" si="0"/>
        <v>0</v>
      </c>
      <c r="D32" s="10">
        <f t="shared" si="1"/>
        <v>0</v>
      </c>
      <c r="E32" s="7">
        <f>'[1]Production Summary'!E94</f>
        <v>0</v>
      </c>
      <c r="F32" s="8">
        <f t="shared" si="2"/>
        <v>0</v>
      </c>
      <c r="G32" s="10">
        <f t="shared" si="3"/>
        <v>0</v>
      </c>
      <c r="H32" s="7">
        <f>'[1]Production Summary'!G94</f>
        <v>0</v>
      </c>
      <c r="I32" s="8">
        <f t="shared" si="4"/>
        <v>0</v>
      </c>
      <c r="J32" s="10">
        <f t="shared" si="5"/>
        <v>0</v>
      </c>
      <c r="K32" s="7">
        <f>'[1]Production Summary'!T94</f>
        <v>0</v>
      </c>
      <c r="L32" s="8">
        <f t="shared" si="6"/>
        <v>0</v>
      </c>
      <c r="M32" s="10">
        <f t="shared" si="7"/>
        <v>0</v>
      </c>
      <c r="N32" s="21"/>
      <c r="O32" s="7">
        <f>'[1]Production Summary'!I94</f>
        <v>10519999.999999991</v>
      </c>
      <c r="P32" s="8">
        <f t="shared" si="9"/>
        <v>10.519999999999991</v>
      </c>
      <c r="Q32" s="10">
        <f t="shared" si="10"/>
        <v>32.29639999999997</v>
      </c>
      <c r="R32" s="7">
        <f>'[1]Production Summary'!C94</f>
        <v>10890000</v>
      </c>
      <c r="S32" s="8">
        <f t="shared" si="11"/>
        <v>10.89</v>
      </c>
      <c r="T32" s="10">
        <f t="shared" si="12"/>
        <v>33.432299999999998</v>
      </c>
      <c r="U32" s="7">
        <f>'[1]Production Summary'!F94</f>
        <v>0</v>
      </c>
      <c r="V32" s="8">
        <f t="shared" si="13"/>
        <v>0</v>
      </c>
      <c r="W32" s="10">
        <f t="shared" si="14"/>
        <v>0</v>
      </c>
      <c r="X32" s="7">
        <f>'[1]Production Summary'!AB94</f>
        <v>362000.00000000896</v>
      </c>
      <c r="Y32" s="8">
        <f t="shared" si="15"/>
        <v>0.36200000000000898</v>
      </c>
      <c r="Z32" s="10">
        <f t="shared" si="16"/>
        <v>1.1113400000000275</v>
      </c>
      <c r="AA32" s="15"/>
      <c r="AB32" s="7">
        <f t="shared" si="17"/>
        <v>10519999.999999991</v>
      </c>
      <c r="AC32" s="8">
        <f t="shared" si="17"/>
        <v>10.519999999999991</v>
      </c>
      <c r="AD32" s="8">
        <f t="shared" si="17"/>
        <v>32.29639999999997</v>
      </c>
    </row>
    <row r="33" spans="1:30" x14ac:dyDescent="0.15">
      <c r="A33" s="1">
        <v>43098</v>
      </c>
      <c r="B33" s="7">
        <f>'[1]Production Summary'!J95</f>
        <v>0</v>
      </c>
      <c r="C33" s="8">
        <f t="shared" si="0"/>
        <v>0</v>
      </c>
      <c r="D33" s="10">
        <f t="shared" si="1"/>
        <v>0</v>
      </c>
      <c r="E33" s="7">
        <f>'[1]Production Summary'!E95</f>
        <v>0</v>
      </c>
      <c r="F33" s="8">
        <f t="shared" si="2"/>
        <v>0</v>
      </c>
      <c r="G33" s="10">
        <f t="shared" si="3"/>
        <v>0</v>
      </c>
      <c r="H33" s="7">
        <f>'[1]Production Summary'!G95</f>
        <v>0</v>
      </c>
      <c r="I33" s="8">
        <f t="shared" si="4"/>
        <v>0</v>
      </c>
      <c r="J33" s="10">
        <f t="shared" si="5"/>
        <v>0</v>
      </c>
      <c r="K33" s="7">
        <f>'[1]Production Summary'!T95</f>
        <v>0</v>
      </c>
      <c r="L33" s="8">
        <f t="shared" si="6"/>
        <v>0</v>
      </c>
      <c r="M33" s="10">
        <f t="shared" si="7"/>
        <v>0</v>
      </c>
      <c r="N33" s="21"/>
      <c r="O33" s="7">
        <f>'[1]Production Summary'!I95</f>
        <v>11504000.000000009</v>
      </c>
      <c r="P33" s="8">
        <f t="shared" si="9"/>
        <v>11.504000000000008</v>
      </c>
      <c r="Q33" s="10">
        <f t="shared" si="10"/>
        <v>35.317280000000025</v>
      </c>
      <c r="R33" s="7">
        <f>'[1]Production Summary'!C95</f>
        <v>11744000</v>
      </c>
      <c r="S33" s="8">
        <f t="shared" si="11"/>
        <v>11.744</v>
      </c>
      <c r="T33" s="10">
        <f t="shared" si="12"/>
        <v>36.054079999999999</v>
      </c>
      <c r="U33" s="7">
        <f>'[1]Production Summary'!F95</f>
        <v>0</v>
      </c>
      <c r="V33" s="8">
        <f t="shared" si="13"/>
        <v>0</v>
      </c>
      <c r="W33" s="10">
        <f t="shared" si="14"/>
        <v>0</v>
      </c>
      <c r="X33" s="7">
        <f>'[1]Production Summary'!AB95</f>
        <v>235999.99999998999</v>
      </c>
      <c r="Y33" s="8">
        <f t="shared" si="15"/>
        <v>0.23599999999999</v>
      </c>
      <c r="Z33" s="10">
        <f t="shared" si="16"/>
        <v>0.7245199999999693</v>
      </c>
      <c r="AA33" s="15"/>
      <c r="AB33" s="7">
        <f t="shared" si="17"/>
        <v>11504000.000000009</v>
      </c>
      <c r="AC33" s="8">
        <f t="shared" si="17"/>
        <v>11.504000000000008</v>
      </c>
      <c r="AD33" s="8">
        <f t="shared" si="17"/>
        <v>35.317280000000025</v>
      </c>
    </row>
    <row r="34" spans="1:30" x14ac:dyDescent="0.15">
      <c r="A34" s="1">
        <v>43099</v>
      </c>
      <c r="B34" s="7">
        <f>'[1]Production Summary'!J96</f>
        <v>0</v>
      </c>
      <c r="C34" s="8">
        <f t="shared" si="0"/>
        <v>0</v>
      </c>
      <c r="D34" s="10">
        <f t="shared" si="1"/>
        <v>0</v>
      </c>
      <c r="E34" s="7">
        <f>'[1]Production Summary'!E96</f>
        <v>0</v>
      </c>
      <c r="F34" s="8">
        <f t="shared" si="2"/>
        <v>0</v>
      </c>
      <c r="G34" s="10">
        <f t="shared" si="3"/>
        <v>0</v>
      </c>
      <c r="H34" s="7">
        <f>'[1]Production Summary'!G96</f>
        <v>0</v>
      </c>
      <c r="I34" s="8">
        <f>H34/100000000</f>
        <v>0</v>
      </c>
      <c r="J34" s="10">
        <f t="shared" si="5"/>
        <v>0</v>
      </c>
      <c r="K34" s="7">
        <f>'[1]Production Summary'!T96</f>
        <v>0</v>
      </c>
      <c r="L34" s="8">
        <f t="shared" si="6"/>
        <v>0</v>
      </c>
      <c r="M34" s="10">
        <f t="shared" si="7"/>
        <v>0</v>
      </c>
      <c r="N34" s="21"/>
      <c r="O34" s="7">
        <f>'[1]Production Summary'!I96</f>
        <v>13121000</v>
      </c>
      <c r="P34" s="8">
        <f t="shared" si="9"/>
        <v>13.121</v>
      </c>
      <c r="Q34" s="10">
        <f t="shared" si="10"/>
        <v>40.281469999999999</v>
      </c>
      <c r="R34" s="7">
        <f>'[1]Production Summary'!C96</f>
        <v>13498000</v>
      </c>
      <c r="S34" s="8">
        <f t="shared" si="11"/>
        <v>13.497999999999999</v>
      </c>
      <c r="T34" s="10">
        <f t="shared" si="12"/>
        <v>41.438859999999998</v>
      </c>
      <c r="U34" s="7">
        <f>'[1]Production Summary'!F96</f>
        <v>0</v>
      </c>
      <c r="V34" s="8">
        <f t="shared" si="13"/>
        <v>0</v>
      </c>
      <c r="W34" s="10">
        <f t="shared" si="14"/>
        <v>0</v>
      </c>
      <c r="X34" s="7">
        <f>'[1]Production Summary'!AB96</f>
        <v>368999.99999999977</v>
      </c>
      <c r="Y34" s="8">
        <f t="shared" si="15"/>
        <v>0.36899999999999977</v>
      </c>
      <c r="Z34" s="10">
        <f t="shared" si="16"/>
        <v>1.1328299999999993</v>
      </c>
      <c r="AA34" s="15"/>
      <c r="AB34" s="7">
        <f t="shared" si="17"/>
        <v>13121000</v>
      </c>
      <c r="AC34" s="8">
        <f t="shared" si="17"/>
        <v>13.121</v>
      </c>
      <c r="AD34" s="8">
        <f t="shared" si="17"/>
        <v>40.281469999999999</v>
      </c>
    </row>
    <row r="35" spans="1:30" ht="14" thickBot="1" x14ac:dyDescent="0.2">
      <c r="A35" s="1">
        <v>43100</v>
      </c>
      <c r="B35" s="53">
        <f>'[1]Production Summary'!J97</f>
        <v>0</v>
      </c>
      <c r="C35" s="9">
        <f t="shared" si="0"/>
        <v>0</v>
      </c>
      <c r="D35" s="11">
        <f t="shared" si="1"/>
        <v>0</v>
      </c>
      <c r="E35" s="7">
        <f>'[1]Production Summary'!E97</f>
        <v>0</v>
      </c>
      <c r="F35" s="9">
        <f t="shared" si="2"/>
        <v>0</v>
      </c>
      <c r="G35" s="11">
        <f t="shared" si="3"/>
        <v>0</v>
      </c>
      <c r="H35" s="7">
        <f>'[1]Production Summary'!G97</f>
        <v>0</v>
      </c>
      <c r="I35" s="9">
        <f>H35/100000000</f>
        <v>0</v>
      </c>
      <c r="J35" s="11">
        <f t="shared" si="5"/>
        <v>0</v>
      </c>
      <c r="K35" s="7">
        <f>'[1]Production Summary'!T97</f>
        <v>0</v>
      </c>
      <c r="L35" s="9">
        <f t="shared" si="6"/>
        <v>0</v>
      </c>
      <c r="M35" s="11">
        <f t="shared" si="7"/>
        <v>0</v>
      </c>
      <c r="N35" s="21"/>
      <c r="O35" s="7">
        <f>'[1]Production Summary'!I97</f>
        <v>12041999.999999994</v>
      </c>
      <c r="P35" s="9">
        <f t="shared" si="9"/>
        <v>12.041999999999994</v>
      </c>
      <c r="Q35" s="11">
        <f t="shared" si="10"/>
        <v>36.968939999999982</v>
      </c>
      <c r="R35" s="7">
        <f>'[1]Production Summary'!C97</f>
        <v>12453000</v>
      </c>
      <c r="S35" s="9">
        <f t="shared" si="11"/>
        <v>12.452999999999999</v>
      </c>
      <c r="T35" s="11">
        <f t="shared" si="12"/>
        <v>38.230709999999995</v>
      </c>
      <c r="U35" s="7">
        <f>'[1]Production Summary'!F97</f>
        <v>0</v>
      </c>
      <c r="V35" s="9">
        <f t="shared" si="13"/>
        <v>0</v>
      </c>
      <c r="W35" s="11">
        <f t="shared" si="14"/>
        <v>0</v>
      </c>
      <c r="X35" s="7">
        <f>'[1]Production Summary'!AB97</f>
        <v>403000.00000000582</v>
      </c>
      <c r="Y35" s="9">
        <f t="shared" si="15"/>
        <v>0.4030000000000058</v>
      </c>
      <c r="Z35" s="11">
        <f t="shared" si="16"/>
        <v>1.2372100000000177</v>
      </c>
      <c r="AA35" s="15"/>
      <c r="AB35" s="7">
        <f t="shared" si="17"/>
        <v>12041999.999999994</v>
      </c>
      <c r="AC35" s="8">
        <f t="shared" si="17"/>
        <v>12.041999999999994</v>
      </c>
      <c r="AD35" s="8">
        <f t="shared" si="17"/>
        <v>36.968939999999982</v>
      </c>
    </row>
    <row r="36" spans="1:30" ht="14" thickBot="1" x14ac:dyDescent="0.2">
      <c r="A36" s="20"/>
      <c r="B36" s="37"/>
      <c r="C36" s="38">
        <f>SUM(C5:C35)</f>
        <v>0</v>
      </c>
      <c r="D36" s="38">
        <f>SUM(D5:D35)</f>
        <v>0</v>
      </c>
      <c r="E36" s="37"/>
      <c r="F36" s="38">
        <f>SUM(F5:F35)</f>
        <v>0</v>
      </c>
      <c r="G36" s="38">
        <f>SUM(G5:G35)</f>
        <v>0</v>
      </c>
      <c r="H36" s="37"/>
      <c r="I36" s="38">
        <f>SUM(I5:I35)</f>
        <v>0</v>
      </c>
      <c r="J36" s="38">
        <f>SUM(J5:J35)</f>
        <v>0</v>
      </c>
      <c r="K36" s="37"/>
      <c r="L36" s="38">
        <f>SUM(L5:L35)</f>
        <v>0.58725700000000003</v>
      </c>
      <c r="M36" s="38">
        <f>SUM(M5:M35)</f>
        <v>1.8028789900000002</v>
      </c>
      <c r="N36" s="14"/>
      <c r="O36" s="37"/>
      <c r="P36" s="38">
        <f>SUM(P5:P35)</f>
        <v>376.27499999999998</v>
      </c>
      <c r="Q36" s="38">
        <f>SUM(Q5:Q35)</f>
        <v>1155.1642499999998</v>
      </c>
      <c r="R36" s="37"/>
      <c r="S36" s="38">
        <f>SUM(S5:S35)</f>
        <v>387.31400000000002</v>
      </c>
      <c r="T36" s="38">
        <f>SUM(T5:T35)</f>
        <v>1189.0539800000001</v>
      </c>
      <c r="U36" s="37"/>
      <c r="V36" s="38">
        <f>SUM(V5:V35)</f>
        <v>0</v>
      </c>
      <c r="W36" s="38">
        <f>SUM(W5:W35)</f>
        <v>0</v>
      </c>
      <c r="X36" s="37"/>
      <c r="Y36" s="38">
        <f>SUM(Y5:Y35)</f>
        <v>10.832999999999998</v>
      </c>
      <c r="Z36" s="38">
        <f>SUM(Z5:Z35)</f>
        <v>33.257309999999997</v>
      </c>
      <c r="AA36" s="14"/>
      <c r="AB36" s="37"/>
      <c r="AC36" s="38">
        <f>SUM(AC5:AC35)</f>
        <v>376.27499999999998</v>
      </c>
      <c r="AD36" s="38">
        <f>SUM(AD5:AD35)</f>
        <v>1155.1642499999998</v>
      </c>
    </row>
    <row r="37" spans="1:30" x14ac:dyDescent="0.15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K3:M3"/>
    <mergeCell ref="X3:Z3"/>
  </mergeCells>
  <phoneticPr fontId="1" type="noConversion"/>
  <pageMargins left="0.75" right="0.75" top="1" bottom="1" header="0.5" footer="0.5"/>
  <headerFooter alignWithMargins="0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AD36"/>
  <sheetViews>
    <sheetView workbookViewId="0">
      <pane xSplit="1" ySplit="4" topLeftCell="N20" activePane="bottomRight" state="frozen"/>
      <selection pane="topRight" activeCell="B1" sqref="B1"/>
      <selection pane="bottomLeft" activeCell="A5" sqref="A5"/>
      <selection pane="bottomRight" activeCell="AB5" sqref="AB5"/>
    </sheetView>
  </sheetViews>
  <sheetFormatPr baseColWidth="10" defaultColWidth="8.83203125" defaultRowHeight="13" x14ac:dyDescent="0.15"/>
  <cols>
    <col min="2" max="2" width="10.83203125" customWidth="1"/>
    <col min="3" max="3" width="7.6640625" style="18" customWidth="1"/>
    <col min="5" max="5" width="13.5" style="3" bestFit="1" customWidth="1"/>
    <col min="6" max="6" width="8.33203125" style="3" customWidth="1"/>
    <col min="7" max="7" width="9.1640625" style="3"/>
    <col min="8" max="8" width="11.6640625" style="3" customWidth="1"/>
    <col min="9" max="10" width="9.1640625" style="3"/>
    <col min="11" max="11" width="11.83203125" style="14" customWidth="1"/>
    <col min="12" max="12" width="11" style="3" customWidth="1"/>
    <col min="13" max="13" width="11.1640625" style="3" bestFit="1" customWidth="1"/>
    <col min="14" max="14" width="9.1640625" style="3"/>
    <col min="15" max="15" width="13.5" style="3" bestFit="1" customWidth="1"/>
    <col min="16" max="17" width="9.1640625" style="3"/>
    <col min="18" max="18" width="11.6640625" style="3" bestFit="1" customWidth="1"/>
    <col min="19" max="21" width="9.1640625" style="3"/>
    <col min="22" max="22" width="11.6640625" bestFit="1" customWidth="1"/>
    <col min="28" max="28" width="12.6640625" customWidth="1"/>
  </cols>
  <sheetData>
    <row r="1" spans="1:30" ht="13.5" customHeight="1" x14ac:dyDescent="0.15">
      <c r="A1" s="41"/>
      <c r="B1" s="39"/>
      <c r="C1" s="25"/>
      <c r="D1" s="25"/>
      <c r="E1" s="25"/>
      <c r="F1" s="25"/>
      <c r="U1" s="14"/>
      <c r="V1" s="3"/>
      <c r="W1" s="3"/>
      <c r="X1" s="3"/>
    </row>
    <row r="2" spans="1:30" ht="14" thickBot="1" x14ac:dyDescent="0.2">
      <c r="A2" s="3"/>
      <c r="B2" s="3"/>
      <c r="C2" s="24"/>
      <c r="D2" s="3"/>
      <c r="U2" s="14"/>
      <c r="V2" s="3"/>
      <c r="W2" s="3"/>
      <c r="X2" s="3"/>
    </row>
    <row r="3" spans="1:30" ht="60.75" customHeight="1" thickBot="1" x14ac:dyDescent="0.2">
      <c r="A3" s="3"/>
      <c r="B3" s="59" t="s">
        <v>10</v>
      </c>
      <c r="C3" s="60"/>
      <c r="D3" s="61"/>
      <c r="E3" s="59" t="s">
        <v>11</v>
      </c>
      <c r="F3" s="60"/>
      <c r="G3" s="61"/>
      <c r="H3" s="59" t="s">
        <v>12</v>
      </c>
      <c r="I3" s="60"/>
      <c r="J3" s="61"/>
      <c r="K3" s="59" t="s">
        <v>13</v>
      </c>
      <c r="L3" s="60"/>
      <c r="M3" s="61"/>
      <c r="N3" s="19"/>
      <c r="O3" s="59" t="s">
        <v>4</v>
      </c>
      <c r="P3" s="60"/>
      <c r="Q3" s="61"/>
      <c r="R3" s="59" t="s">
        <v>3</v>
      </c>
      <c r="S3" s="60"/>
      <c r="T3" s="61"/>
      <c r="U3" s="59" t="s">
        <v>6</v>
      </c>
      <c r="V3" s="60"/>
      <c r="W3" s="61"/>
      <c r="X3" s="59" t="s">
        <v>7</v>
      </c>
      <c r="Y3" s="60"/>
      <c r="Z3" s="61"/>
      <c r="AA3" s="19"/>
      <c r="AB3" s="56" t="s">
        <v>8</v>
      </c>
      <c r="AC3" s="57"/>
      <c r="AD3" s="58"/>
    </row>
    <row r="4" spans="1:30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4" t="s">
        <v>0</v>
      </c>
      <c r="AC4" s="35" t="s">
        <v>1</v>
      </c>
      <c r="AD4" s="36" t="s">
        <v>2</v>
      </c>
    </row>
    <row r="5" spans="1:30" x14ac:dyDescent="0.15">
      <c r="A5" s="27">
        <v>43101</v>
      </c>
      <c r="B5" s="7">
        <f>'[2]Production Summary'!J6</f>
        <v>0</v>
      </c>
      <c r="C5" s="8">
        <f>B5/1000000</f>
        <v>0</v>
      </c>
      <c r="D5" s="10">
        <f>C5*3.07</f>
        <v>0</v>
      </c>
      <c r="E5" s="7">
        <f>'[2]Production Summary'!E6</f>
        <v>0</v>
      </c>
      <c r="F5" s="8">
        <f>E5/1000000</f>
        <v>0</v>
      </c>
      <c r="G5" s="10">
        <f>F5*3.07</f>
        <v>0</v>
      </c>
      <c r="H5" s="7">
        <f>'[2]Production Summary'!G6</f>
        <v>0</v>
      </c>
      <c r="I5" s="8">
        <f>H5/1000000</f>
        <v>0</v>
      </c>
      <c r="J5" s="10">
        <f>I5*3.07</f>
        <v>0</v>
      </c>
      <c r="K5" s="7">
        <f>'[2]Production Summary'!T6</f>
        <v>0</v>
      </c>
      <c r="L5" s="8">
        <f>K5/1000000</f>
        <v>0</v>
      </c>
      <c r="M5" s="10">
        <f>L5*3.07</f>
        <v>0</v>
      </c>
      <c r="N5" s="21"/>
      <c r="O5" s="7">
        <f>'[2]Production Summary'!I6</f>
        <v>12665999.999999993</v>
      </c>
      <c r="P5" s="8">
        <f>O5/1000000</f>
        <v>12.665999999999993</v>
      </c>
      <c r="Q5" s="10">
        <f>P5*3.07</f>
        <v>38.884619999999977</v>
      </c>
      <c r="R5" s="7">
        <f>'[2]Production Summary'!C6</f>
        <v>13010000</v>
      </c>
      <c r="S5" s="8">
        <f>R5/1000000</f>
        <v>13.01</v>
      </c>
      <c r="T5" s="10">
        <f>S5*3.07</f>
        <v>39.9407</v>
      </c>
      <c r="U5" s="7">
        <f>'[2]Production Summary'!F6</f>
        <v>0</v>
      </c>
      <c r="V5" s="8">
        <f>U5/1000000</f>
        <v>0</v>
      </c>
      <c r="W5" s="10">
        <f>V5*3.07</f>
        <v>0</v>
      </c>
      <c r="X5" s="7">
        <f>'[2]Production Summary'!AB6</f>
        <v>338000.00000000809</v>
      </c>
      <c r="Y5" s="8">
        <f>X5/1000000</f>
        <v>0.33800000000000807</v>
      </c>
      <c r="Z5" s="10">
        <f>Y5*3.07</f>
        <v>1.0376600000000247</v>
      </c>
      <c r="AA5" s="15"/>
      <c r="AB5" s="7">
        <f>B5+O5</f>
        <v>12665999.999999993</v>
      </c>
      <c r="AC5" s="8">
        <f>C5+P5</f>
        <v>12.665999999999993</v>
      </c>
      <c r="AD5" s="8">
        <f>D5+Q5</f>
        <v>38.884619999999977</v>
      </c>
    </row>
    <row r="6" spans="1:30" x14ac:dyDescent="0.15">
      <c r="A6" s="27">
        <v>43102</v>
      </c>
      <c r="B6" s="7">
        <f>'[2]Production Summary'!J7</f>
        <v>0</v>
      </c>
      <c r="C6" s="8">
        <f t="shared" ref="C6:C35" si="0">B6/1000000</f>
        <v>0</v>
      </c>
      <c r="D6" s="10">
        <f t="shared" ref="D6:D35" si="1">C6*3.07</f>
        <v>0</v>
      </c>
      <c r="E6" s="7">
        <f>'[2]Production Summary'!E7</f>
        <v>0</v>
      </c>
      <c r="F6" s="8">
        <f t="shared" ref="F6:F35" si="2">E6/1000000</f>
        <v>0</v>
      </c>
      <c r="G6" s="10">
        <f t="shared" ref="G6:G35" si="3">F6*3.07</f>
        <v>0</v>
      </c>
      <c r="H6" s="7">
        <f>'[2]Production Summary'!G7</f>
        <v>0</v>
      </c>
      <c r="I6" s="8">
        <f t="shared" ref="I6:I35" si="4">H6/1000000</f>
        <v>0</v>
      </c>
      <c r="J6" s="10">
        <f t="shared" ref="J6:J35" si="5">I6*3.07</f>
        <v>0</v>
      </c>
      <c r="K6" s="7">
        <f>'[2]Production Summary'!T7</f>
        <v>0</v>
      </c>
      <c r="L6" s="8">
        <f t="shared" ref="L6:L35" si="6">K6/1000000</f>
        <v>0</v>
      </c>
      <c r="M6" s="10">
        <f t="shared" ref="M6:M35" si="7">L6*3.07</f>
        <v>0</v>
      </c>
      <c r="N6" s="21"/>
      <c r="O6" s="7">
        <f>'[2]Production Summary'!I7</f>
        <v>11676000.000000011</v>
      </c>
      <c r="P6" s="8">
        <f t="shared" ref="P6:P35" si="8">O6/1000000</f>
        <v>11.676000000000011</v>
      </c>
      <c r="Q6" s="10">
        <f t="shared" ref="Q6:Q35" si="9">P6*3.07</f>
        <v>35.845320000000029</v>
      </c>
      <c r="R6" s="7">
        <f>'[2]Production Summary'!C7</f>
        <v>12009000</v>
      </c>
      <c r="S6" s="8">
        <f t="shared" ref="S6:S35" si="10">R6/1000000</f>
        <v>12.009</v>
      </c>
      <c r="T6" s="10">
        <f t="shared" ref="T6:T35" si="11">S6*3.07</f>
        <v>36.867629999999998</v>
      </c>
      <c r="U6" s="7">
        <f>'[2]Production Summary'!F7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'[2]Production Summary'!AB7</f>
        <v>324999.99999998865</v>
      </c>
      <c r="Y6" s="8">
        <f t="shared" ref="Y6:Y35" si="14">X6/1000000</f>
        <v>0.32499999999998863</v>
      </c>
      <c r="Z6" s="10">
        <f t="shared" ref="Z6:Z35" si="15">Y6*3.07</f>
        <v>0.99774999999996505</v>
      </c>
      <c r="AA6" s="15"/>
      <c r="AB6" s="7">
        <f t="shared" ref="AB6:AD35" si="16">B6+O6</f>
        <v>11676000.000000011</v>
      </c>
      <c r="AC6" s="8">
        <f t="shared" si="16"/>
        <v>11.676000000000011</v>
      </c>
      <c r="AD6" s="8">
        <f t="shared" si="16"/>
        <v>35.845320000000029</v>
      </c>
    </row>
    <row r="7" spans="1:30" x14ac:dyDescent="0.15">
      <c r="A7" s="27">
        <v>43103</v>
      </c>
      <c r="B7" s="7">
        <f>'[2]Production Summary'!J8</f>
        <v>0</v>
      </c>
      <c r="C7" s="8">
        <f t="shared" si="0"/>
        <v>0</v>
      </c>
      <c r="D7" s="10">
        <f t="shared" si="1"/>
        <v>0</v>
      </c>
      <c r="E7" s="7">
        <f>'[2]Production Summary'!E8</f>
        <v>0</v>
      </c>
      <c r="F7" s="8">
        <f t="shared" si="2"/>
        <v>0</v>
      </c>
      <c r="G7" s="10">
        <f t="shared" si="3"/>
        <v>0</v>
      </c>
      <c r="H7" s="7">
        <f>'[2]Production Summary'!G8</f>
        <v>0</v>
      </c>
      <c r="I7" s="8">
        <f t="shared" si="4"/>
        <v>0</v>
      </c>
      <c r="J7" s="10">
        <f t="shared" si="5"/>
        <v>0</v>
      </c>
      <c r="K7" s="7">
        <f>'[2]Production Summary'!T8</f>
        <v>0</v>
      </c>
      <c r="L7" s="8">
        <f t="shared" si="6"/>
        <v>0</v>
      </c>
      <c r="M7" s="10">
        <f t="shared" si="7"/>
        <v>0</v>
      </c>
      <c r="N7" s="21"/>
      <c r="O7" s="7">
        <f>'[2]Production Summary'!I8</f>
        <v>12188999.999999989</v>
      </c>
      <c r="P7" s="8">
        <f t="shared" si="8"/>
        <v>12.188999999999989</v>
      </c>
      <c r="Q7" s="10">
        <f t="shared" si="9"/>
        <v>37.420229999999968</v>
      </c>
      <c r="R7" s="7">
        <f>'[2]Production Summary'!C8</f>
        <v>12464000</v>
      </c>
      <c r="S7" s="8">
        <f t="shared" si="10"/>
        <v>12.464</v>
      </c>
      <c r="T7" s="10">
        <f t="shared" si="11"/>
        <v>38.264479999999999</v>
      </c>
      <c r="U7" s="7">
        <f>'[2]Production Summary'!F8</f>
        <v>0</v>
      </c>
      <c r="V7" s="8">
        <f t="shared" si="12"/>
        <v>0</v>
      </c>
      <c r="W7" s="10">
        <f t="shared" si="13"/>
        <v>0</v>
      </c>
      <c r="X7" s="7">
        <f>'[2]Production Summary'!AB8</f>
        <v>270000.00000001024</v>
      </c>
      <c r="Y7" s="8">
        <f t="shared" si="14"/>
        <v>0.27000000000001023</v>
      </c>
      <c r="Z7" s="10">
        <f t="shared" si="15"/>
        <v>0.82890000000003139</v>
      </c>
      <c r="AA7" s="15"/>
      <c r="AB7" s="7">
        <f t="shared" si="16"/>
        <v>12188999.999999989</v>
      </c>
      <c r="AC7" s="8">
        <f t="shared" si="16"/>
        <v>12.188999999999989</v>
      </c>
      <c r="AD7" s="8">
        <f t="shared" si="16"/>
        <v>37.420229999999968</v>
      </c>
    </row>
    <row r="8" spans="1:30" x14ac:dyDescent="0.15">
      <c r="A8" s="27">
        <v>43104</v>
      </c>
      <c r="B8" s="7">
        <f>'[2]Production Summary'!J9</f>
        <v>0</v>
      </c>
      <c r="C8" s="8">
        <f t="shared" si="0"/>
        <v>0</v>
      </c>
      <c r="D8" s="10">
        <f t="shared" si="1"/>
        <v>0</v>
      </c>
      <c r="E8" s="7">
        <f>'[2]Production Summary'!E9</f>
        <v>0</v>
      </c>
      <c r="F8" s="8">
        <f t="shared" si="2"/>
        <v>0</v>
      </c>
      <c r="G8" s="10">
        <f t="shared" si="3"/>
        <v>0</v>
      </c>
      <c r="H8" s="7">
        <f>'[2]Production Summary'!G9</f>
        <v>0</v>
      </c>
      <c r="I8" s="8">
        <f t="shared" si="4"/>
        <v>0</v>
      </c>
      <c r="J8" s="10">
        <f t="shared" si="5"/>
        <v>0</v>
      </c>
      <c r="K8" s="7">
        <f>'[2]Production Summary'!T9</f>
        <v>0</v>
      </c>
      <c r="L8" s="8">
        <f t="shared" si="6"/>
        <v>0</v>
      </c>
      <c r="M8" s="10">
        <f t="shared" si="7"/>
        <v>0</v>
      </c>
      <c r="N8" s="21"/>
      <c r="O8" s="7">
        <f>'[2]Production Summary'!I9</f>
        <v>11847000.000032874</v>
      </c>
      <c r="P8" s="8">
        <f t="shared" si="8"/>
        <v>11.847000000032875</v>
      </c>
      <c r="Q8" s="10">
        <f t="shared" si="9"/>
        <v>36.370290000100923</v>
      </c>
      <c r="R8" s="7">
        <f>'[2]Production Summary'!C9</f>
        <v>12160666.666699573</v>
      </c>
      <c r="S8" s="8">
        <f t="shared" si="10"/>
        <v>12.160666666699573</v>
      </c>
      <c r="T8" s="10">
        <f t="shared" si="11"/>
        <v>37.333246666767685</v>
      </c>
      <c r="U8" s="7">
        <f>'[2]Production Summary'!F9</f>
        <v>0</v>
      </c>
      <c r="V8" s="8">
        <f t="shared" si="12"/>
        <v>0</v>
      </c>
      <c r="W8" s="10">
        <f t="shared" si="13"/>
        <v>0</v>
      </c>
      <c r="X8" s="7">
        <f>'[2]Production Summary'!AB9</f>
        <v>306666.66666670039</v>
      </c>
      <c r="Y8" s="8">
        <f t="shared" si="14"/>
        <v>0.30666666666670039</v>
      </c>
      <c r="Z8" s="10">
        <f t="shared" si="15"/>
        <v>0.94146666666677015</v>
      </c>
      <c r="AA8" s="15"/>
      <c r="AB8" s="7">
        <f t="shared" si="16"/>
        <v>11847000.000032874</v>
      </c>
      <c r="AC8" s="8">
        <f t="shared" si="16"/>
        <v>11.847000000032875</v>
      </c>
      <c r="AD8" s="8">
        <f>D8+Q8</f>
        <v>36.370290000100923</v>
      </c>
    </row>
    <row r="9" spans="1:30" x14ac:dyDescent="0.15">
      <c r="A9" s="27">
        <v>43105</v>
      </c>
      <c r="B9" s="7">
        <f>'[2]Production Summary'!J10</f>
        <v>0</v>
      </c>
      <c r="C9" s="8">
        <f t="shared" si="0"/>
        <v>0</v>
      </c>
      <c r="D9" s="10">
        <f t="shared" si="1"/>
        <v>0</v>
      </c>
      <c r="E9" s="7">
        <f>'[2]Production Summary'!E10</f>
        <v>0</v>
      </c>
      <c r="F9" s="8">
        <f t="shared" si="2"/>
        <v>0</v>
      </c>
      <c r="G9" s="10">
        <f t="shared" si="3"/>
        <v>0</v>
      </c>
      <c r="H9" s="7">
        <f>'[2]Production Summary'!G10</f>
        <v>0</v>
      </c>
      <c r="I9" s="8">
        <f t="shared" si="4"/>
        <v>0</v>
      </c>
      <c r="J9" s="10">
        <f t="shared" si="5"/>
        <v>0</v>
      </c>
      <c r="K9" s="7">
        <f>'[2]Production Summary'!T10</f>
        <v>0</v>
      </c>
      <c r="L9" s="8">
        <f t="shared" si="6"/>
        <v>0</v>
      </c>
      <c r="M9" s="10">
        <f t="shared" si="7"/>
        <v>0</v>
      </c>
      <c r="N9" s="21"/>
      <c r="O9" s="7">
        <f>'[2]Production Summary'!I10</f>
        <v>12598999.99996713</v>
      </c>
      <c r="P9" s="8">
        <f t="shared" si="8"/>
        <v>12.59899999996713</v>
      </c>
      <c r="Q9" s="10">
        <f t="shared" si="9"/>
        <v>38.67892999989909</v>
      </c>
      <c r="R9" s="7">
        <f>'[2]Production Summary'!C10</f>
        <v>13121333.333300427</v>
      </c>
      <c r="S9" s="8">
        <f t="shared" si="10"/>
        <v>13.121333333300427</v>
      </c>
      <c r="T9" s="10">
        <f t="shared" si="11"/>
        <v>40.28249333323231</v>
      </c>
      <c r="U9" s="7">
        <f>'[2]Production Summary'!F10</f>
        <v>0</v>
      </c>
      <c r="V9" s="8">
        <f t="shared" si="12"/>
        <v>0</v>
      </c>
      <c r="W9" s="10">
        <f t="shared" si="13"/>
        <v>0</v>
      </c>
      <c r="X9" s="7">
        <f>'[2]Production Summary'!AB10</f>
        <v>514333.33333329757</v>
      </c>
      <c r="Y9" s="8">
        <f t="shared" si="14"/>
        <v>0.51433333333329756</v>
      </c>
      <c r="Z9" s="10">
        <f t="shared" si="15"/>
        <v>1.5790033333332234</v>
      </c>
      <c r="AA9" s="15"/>
      <c r="AB9" s="7">
        <f t="shared" si="16"/>
        <v>12598999.99996713</v>
      </c>
      <c r="AC9" s="8">
        <f t="shared" si="16"/>
        <v>12.59899999996713</v>
      </c>
      <c r="AD9" s="8">
        <f t="shared" si="16"/>
        <v>38.67892999989909</v>
      </c>
    </row>
    <row r="10" spans="1:30" x14ac:dyDescent="0.15">
      <c r="A10" s="27">
        <v>43106</v>
      </c>
      <c r="B10" s="7">
        <f>'[2]Production Summary'!J11</f>
        <v>0</v>
      </c>
      <c r="C10" s="8">
        <f t="shared" si="0"/>
        <v>0</v>
      </c>
      <c r="D10" s="10">
        <f t="shared" si="1"/>
        <v>0</v>
      </c>
      <c r="E10" s="7">
        <f>'[2]Production Summary'!E11</f>
        <v>0</v>
      </c>
      <c r="F10" s="8">
        <f t="shared" si="2"/>
        <v>0</v>
      </c>
      <c r="G10" s="10">
        <f t="shared" si="3"/>
        <v>0</v>
      </c>
      <c r="H10" s="7">
        <f>'[2]Production Summary'!G11</f>
        <v>0</v>
      </c>
      <c r="I10" s="8">
        <f t="shared" si="4"/>
        <v>0</v>
      </c>
      <c r="J10" s="10">
        <f t="shared" si="5"/>
        <v>0</v>
      </c>
      <c r="K10" s="7">
        <f>'[2]Production Summary'!T11</f>
        <v>0</v>
      </c>
      <c r="L10" s="8">
        <f t="shared" si="6"/>
        <v>0</v>
      </c>
      <c r="M10" s="10">
        <f t="shared" si="7"/>
        <v>0</v>
      </c>
      <c r="N10" s="21"/>
      <c r="O10" s="7">
        <f>'[2]Production Summary'!I11</f>
        <v>12516000.000000004</v>
      </c>
      <c r="P10" s="8">
        <f t="shared" si="8"/>
        <v>12.516000000000004</v>
      </c>
      <c r="Q10" s="10">
        <f t="shared" si="9"/>
        <v>38.424120000000009</v>
      </c>
      <c r="R10" s="7">
        <f>'[2]Production Summary'!C11</f>
        <v>12799000</v>
      </c>
      <c r="S10" s="8">
        <f t="shared" si="10"/>
        <v>12.798999999999999</v>
      </c>
      <c r="T10" s="10">
        <f t="shared" si="11"/>
        <v>39.292929999999998</v>
      </c>
      <c r="U10" s="7">
        <f>'[2]Production Summary'!F11</f>
        <v>0</v>
      </c>
      <c r="V10" s="8">
        <f t="shared" si="12"/>
        <v>0</v>
      </c>
      <c r="W10" s="10">
        <f t="shared" si="13"/>
        <v>0</v>
      </c>
      <c r="X10" s="7">
        <f>'[2]Production Summary'!AB11</f>
        <v>278999.99999999639</v>
      </c>
      <c r="Y10" s="8">
        <f t="shared" si="14"/>
        <v>0.27899999999999642</v>
      </c>
      <c r="Z10" s="10">
        <f t="shared" si="15"/>
        <v>0.85652999999998891</v>
      </c>
      <c r="AA10" s="15"/>
      <c r="AB10" s="7">
        <f t="shared" si="16"/>
        <v>12516000.000000004</v>
      </c>
      <c r="AC10" s="8">
        <f t="shared" si="16"/>
        <v>12.516000000000004</v>
      </c>
      <c r="AD10" s="8">
        <f t="shared" si="16"/>
        <v>38.424120000000009</v>
      </c>
    </row>
    <row r="11" spans="1:30" x14ac:dyDescent="0.15">
      <c r="A11" s="27">
        <v>43107</v>
      </c>
      <c r="B11" s="7">
        <f>'[2]Production Summary'!J12</f>
        <v>0</v>
      </c>
      <c r="C11" s="8">
        <f t="shared" si="0"/>
        <v>0</v>
      </c>
      <c r="D11" s="10">
        <f t="shared" si="1"/>
        <v>0</v>
      </c>
      <c r="E11" s="7">
        <f>'[2]Production Summary'!E12</f>
        <v>0</v>
      </c>
      <c r="F11" s="8">
        <f t="shared" si="2"/>
        <v>0</v>
      </c>
      <c r="G11" s="10">
        <f t="shared" si="3"/>
        <v>0</v>
      </c>
      <c r="H11" s="7">
        <f>'[2]Production Summary'!G12</f>
        <v>0</v>
      </c>
      <c r="I11" s="8">
        <f t="shared" si="4"/>
        <v>0</v>
      </c>
      <c r="J11" s="10">
        <f t="shared" si="5"/>
        <v>0</v>
      </c>
      <c r="K11" s="7">
        <f>'[2]Production Summary'!T12</f>
        <v>0</v>
      </c>
      <c r="L11" s="8">
        <f t="shared" si="6"/>
        <v>0</v>
      </c>
      <c r="M11" s="10">
        <f t="shared" si="7"/>
        <v>0</v>
      </c>
      <c r="N11" s="21"/>
      <c r="O11" s="7">
        <f>'[2]Production Summary'!I12</f>
        <v>12889999.999999994</v>
      </c>
      <c r="P11" s="8">
        <f t="shared" si="8"/>
        <v>12.889999999999995</v>
      </c>
      <c r="Q11" s="10">
        <f t="shared" si="9"/>
        <v>39.572299999999984</v>
      </c>
      <c r="R11" s="7">
        <f>'[2]Production Summary'!C12</f>
        <v>13283000</v>
      </c>
      <c r="S11" s="8">
        <f t="shared" si="10"/>
        <v>13.282999999999999</v>
      </c>
      <c r="T11" s="10">
        <f t="shared" si="11"/>
        <v>40.778809999999993</v>
      </c>
      <c r="U11" s="7">
        <f>'[2]Production Summary'!F12</f>
        <v>0</v>
      </c>
      <c r="V11" s="8">
        <f t="shared" si="12"/>
        <v>0</v>
      </c>
      <c r="W11" s="10">
        <f t="shared" si="13"/>
        <v>0</v>
      </c>
      <c r="X11" s="7">
        <f>'[2]Production Summary'!AB12</f>
        <v>385000.00000000512</v>
      </c>
      <c r="Y11" s="8">
        <f t="shared" si="14"/>
        <v>0.38500000000000512</v>
      </c>
      <c r="Z11" s="10">
        <f t="shared" si="15"/>
        <v>1.1819500000000156</v>
      </c>
      <c r="AA11" s="15"/>
      <c r="AB11" s="7">
        <f t="shared" si="16"/>
        <v>12889999.999999994</v>
      </c>
      <c r="AC11" s="8">
        <f t="shared" si="16"/>
        <v>12.889999999999995</v>
      </c>
      <c r="AD11" s="8">
        <f t="shared" si="16"/>
        <v>39.572299999999984</v>
      </c>
    </row>
    <row r="12" spans="1:30" x14ac:dyDescent="0.15">
      <c r="A12" s="27">
        <v>43108</v>
      </c>
      <c r="B12" s="7">
        <f>'[2]Production Summary'!J13</f>
        <v>0</v>
      </c>
      <c r="C12" s="8">
        <f t="shared" si="0"/>
        <v>0</v>
      </c>
      <c r="D12" s="10">
        <f t="shared" si="1"/>
        <v>0</v>
      </c>
      <c r="E12" s="7">
        <f>'[2]Production Summary'!E13</f>
        <v>0</v>
      </c>
      <c r="F12" s="8">
        <f t="shared" si="2"/>
        <v>0</v>
      </c>
      <c r="G12" s="10">
        <f t="shared" si="3"/>
        <v>0</v>
      </c>
      <c r="H12" s="7">
        <f>'[2]Production Summary'!G13</f>
        <v>0</v>
      </c>
      <c r="I12" s="8">
        <f t="shared" si="4"/>
        <v>0</v>
      </c>
      <c r="J12" s="10">
        <f t="shared" si="5"/>
        <v>0</v>
      </c>
      <c r="K12" s="7">
        <f>'[2]Production Summary'!T13</f>
        <v>0</v>
      </c>
      <c r="L12" s="8">
        <f t="shared" si="6"/>
        <v>0</v>
      </c>
      <c r="M12" s="10">
        <f t="shared" si="7"/>
        <v>0</v>
      </c>
      <c r="N12" s="21"/>
      <c r="O12" s="7">
        <f>'[2]Production Summary'!I13</f>
        <v>13512000.000000013</v>
      </c>
      <c r="P12" s="8">
        <f t="shared" si="8"/>
        <v>13.512000000000013</v>
      </c>
      <c r="Q12" s="10">
        <f t="shared" si="9"/>
        <v>41.481840000000041</v>
      </c>
      <c r="R12" s="7">
        <f>'[2]Production Summary'!C13</f>
        <v>13823000</v>
      </c>
      <c r="S12" s="8">
        <f t="shared" si="10"/>
        <v>13.823</v>
      </c>
      <c r="T12" s="10">
        <f t="shared" si="11"/>
        <v>42.436610000000002</v>
      </c>
      <c r="U12" s="7">
        <f>'[2]Production Summary'!F13</f>
        <v>0</v>
      </c>
      <c r="V12" s="8">
        <f t="shared" si="12"/>
        <v>0</v>
      </c>
      <c r="W12" s="10">
        <f t="shared" si="13"/>
        <v>0</v>
      </c>
      <c r="X12" s="7">
        <f>'[2]Production Summary'!AB13</f>
        <v>303999.99999998783</v>
      </c>
      <c r="Y12" s="8">
        <f t="shared" si="14"/>
        <v>0.30399999999998784</v>
      </c>
      <c r="Z12" s="10">
        <f t="shared" si="15"/>
        <v>0.93327999999996258</v>
      </c>
      <c r="AA12" s="15"/>
      <c r="AB12" s="7">
        <f t="shared" si="16"/>
        <v>13512000.000000013</v>
      </c>
      <c r="AC12" s="8">
        <f t="shared" si="16"/>
        <v>13.512000000000013</v>
      </c>
      <c r="AD12" s="8">
        <f t="shared" si="16"/>
        <v>41.481840000000041</v>
      </c>
    </row>
    <row r="13" spans="1:30" x14ac:dyDescent="0.15">
      <c r="A13" s="27">
        <v>43109</v>
      </c>
      <c r="B13" s="7">
        <f>'[2]Production Summary'!J14</f>
        <v>0</v>
      </c>
      <c r="C13" s="8">
        <f t="shared" si="0"/>
        <v>0</v>
      </c>
      <c r="D13" s="10">
        <f t="shared" si="1"/>
        <v>0</v>
      </c>
      <c r="E13" s="7">
        <f>'[2]Production Summary'!E14</f>
        <v>0</v>
      </c>
      <c r="F13" s="8">
        <f t="shared" si="2"/>
        <v>0</v>
      </c>
      <c r="G13" s="10">
        <f t="shared" si="3"/>
        <v>0</v>
      </c>
      <c r="H13" s="7">
        <f>'[2]Production Summary'!G14</f>
        <v>0</v>
      </c>
      <c r="I13" s="8">
        <f t="shared" si="4"/>
        <v>0</v>
      </c>
      <c r="J13" s="10">
        <f t="shared" si="5"/>
        <v>0</v>
      </c>
      <c r="K13" s="7">
        <f>'[2]Production Summary'!T14</f>
        <v>0</v>
      </c>
      <c r="L13" s="8">
        <f t="shared" si="6"/>
        <v>0</v>
      </c>
      <c r="M13" s="10">
        <f t="shared" si="7"/>
        <v>0</v>
      </c>
      <c r="N13" s="21"/>
      <c r="O13" s="7">
        <f>'[2]Production Summary'!I14</f>
        <v>12213999.999999994</v>
      </c>
      <c r="P13" s="8">
        <f t="shared" si="8"/>
        <v>12.213999999999995</v>
      </c>
      <c r="Q13" s="10">
        <f t="shared" si="9"/>
        <v>37.496979999999986</v>
      </c>
      <c r="R13" s="7">
        <f>'[2]Production Summary'!C14</f>
        <v>12509000</v>
      </c>
      <c r="S13" s="8">
        <f t="shared" si="10"/>
        <v>12.509</v>
      </c>
      <c r="T13" s="10">
        <f t="shared" si="11"/>
        <v>38.402630000000002</v>
      </c>
      <c r="U13" s="7">
        <f>'[2]Production Summary'!F14</f>
        <v>0</v>
      </c>
      <c r="V13" s="8">
        <f t="shared" si="12"/>
        <v>0</v>
      </c>
      <c r="W13" s="10">
        <f t="shared" si="13"/>
        <v>0</v>
      </c>
      <c r="X13" s="7">
        <f>'[2]Production Summary'!AB14</f>
        <v>290000.00000000623</v>
      </c>
      <c r="Y13" s="8">
        <f t="shared" si="14"/>
        <v>0.29000000000000625</v>
      </c>
      <c r="Z13" s="10">
        <f t="shared" si="15"/>
        <v>0.89030000000001919</v>
      </c>
      <c r="AA13" s="15"/>
      <c r="AB13" s="7">
        <f t="shared" si="16"/>
        <v>12213999.999999994</v>
      </c>
      <c r="AC13" s="8">
        <f t="shared" si="16"/>
        <v>12.213999999999995</v>
      </c>
      <c r="AD13" s="8">
        <f t="shared" si="16"/>
        <v>37.496979999999986</v>
      </c>
    </row>
    <row r="14" spans="1:30" x14ac:dyDescent="0.15">
      <c r="A14" s="27">
        <v>43110</v>
      </c>
      <c r="B14" s="7">
        <f>'[2]Production Summary'!J15</f>
        <v>0</v>
      </c>
      <c r="C14" s="8">
        <f t="shared" si="0"/>
        <v>0</v>
      </c>
      <c r="D14" s="10">
        <f t="shared" si="1"/>
        <v>0</v>
      </c>
      <c r="E14" s="7">
        <f>'[2]Production Summary'!E15</f>
        <v>0</v>
      </c>
      <c r="F14" s="8">
        <f t="shared" si="2"/>
        <v>0</v>
      </c>
      <c r="G14" s="10">
        <f t="shared" si="3"/>
        <v>0</v>
      </c>
      <c r="H14" s="7">
        <f>'[2]Production Summary'!G15</f>
        <v>0</v>
      </c>
      <c r="I14" s="8">
        <f t="shared" si="4"/>
        <v>0</v>
      </c>
      <c r="J14" s="10">
        <f t="shared" si="5"/>
        <v>0</v>
      </c>
      <c r="K14" s="7">
        <f>'[2]Production Summary'!T15</f>
        <v>0</v>
      </c>
      <c r="L14" s="8">
        <f t="shared" si="6"/>
        <v>0</v>
      </c>
      <c r="M14" s="10">
        <f t="shared" si="7"/>
        <v>0</v>
      </c>
      <c r="N14" s="21"/>
      <c r="O14" s="7">
        <f>'[2]Production Summary'!I15</f>
        <v>11329999.999999993</v>
      </c>
      <c r="P14" s="8">
        <f t="shared" si="8"/>
        <v>11.329999999999993</v>
      </c>
      <c r="Q14" s="10">
        <f t="shared" si="9"/>
        <v>34.783099999999976</v>
      </c>
      <c r="R14" s="7">
        <f>'[2]Production Summary'!C15</f>
        <v>11768000</v>
      </c>
      <c r="S14" s="8">
        <f t="shared" si="10"/>
        <v>11.768000000000001</v>
      </c>
      <c r="T14" s="10">
        <f t="shared" si="11"/>
        <v>36.127760000000002</v>
      </c>
      <c r="U14" s="7">
        <f>'[2]Production Summary'!F15</f>
        <v>0</v>
      </c>
      <c r="V14" s="8">
        <f t="shared" si="12"/>
        <v>0</v>
      </c>
      <c r="W14" s="10">
        <f t="shared" si="13"/>
        <v>0</v>
      </c>
      <c r="X14" s="7">
        <f>'[2]Production Summary'!AB15</f>
        <v>430000.00000000681</v>
      </c>
      <c r="Y14" s="8">
        <f t="shared" si="14"/>
        <v>0.43000000000000682</v>
      </c>
      <c r="Z14" s="10">
        <f t="shared" si="15"/>
        <v>1.3201000000000209</v>
      </c>
      <c r="AA14" s="15"/>
      <c r="AB14" s="7">
        <f t="shared" si="16"/>
        <v>11329999.999999993</v>
      </c>
      <c r="AC14" s="8">
        <f t="shared" si="16"/>
        <v>11.329999999999993</v>
      </c>
      <c r="AD14" s="8">
        <f t="shared" si="16"/>
        <v>34.783099999999976</v>
      </c>
    </row>
    <row r="15" spans="1:30" x14ac:dyDescent="0.15">
      <c r="A15" s="27">
        <v>43111</v>
      </c>
      <c r="B15" s="7">
        <f>'[2]Production Summary'!J16</f>
        <v>0</v>
      </c>
      <c r="C15" s="8">
        <f t="shared" si="0"/>
        <v>0</v>
      </c>
      <c r="D15" s="10">
        <f t="shared" si="1"/>
        <v>0</v>
      </c>
      <c r="E15" s="7">
        <f>'[2]Production Summary'!E16</f>
        <v>0</v>
      </c>
      <c r="F15" s="8">
        <f t="shared" si="2"/>
        <v>0</v>
      </c>
      <c r="G15" s="10">
        <f t="shared" si="3"/>
        <v>0</v>
      </c>
      <c r="H15" s="7">
        <f>'[2]Production Summary'!G16</f>
        <v>0</v>
      </c>
      <c r="I15" s="8">
        <f t="shared" si="4"/>
        <v>0</v>
      </c>
      <c r="J15" s="10">
        <f t="shared" si="5"/>
        <v>0</v>
      </c>
      <c r="K15" s="7">
        <f>'[2]Production Summary'!T16</f>
        <v>0</v>
      </c>
      <c r="L15" s="8">
        <f t="shared" si="6"/>
        <v>0</v>
      </c>
      <c r="M15" s="10">
        <f t="shared" si="7"/>
        <v>0</v>
      </c>
      <c r="N15" s="21"/>
      <c r="O15" s="7">
        <f>'[2]Production Summary'!I16</f>
        <v>11457000.000000013</v>
      </c>
      <c r="P15" s="8">
        <f t="shared" si="8"/>
        <v>11.457000000000013</v>
      </c>
      <c r="Q15" s="10">
        <f t="shared" si="9"/>
        <v>35.172990000000041</v>
      </c>
      <c r="R15" s="7">
        <f>'[2]Production Summary'!C16</f>
        <v>11761000</v>
      </c>
      <c r="S15" s="8">
        <f t="shared" si="10"/>
        <v>11.760999999999999</v>
      </c>
      <c r="T15" s="10">
        <f t="shared" si="11"/>
        <v>36.106269999999995</v>
      </c>
      <c r="U15" s="7">
        <f>'[2]Production Summary'!F16</f>
        <v>0</v>
      </c>
      <c r="V15" s="8">
        <f t="shared" si="12"/>
        <v>0</v>
      </c>
      <c r="W15" s="10">
        <f t="shared" si="13"/>
        <v>0</v>
      </c>
      <c r="X15" s="7">
        <f>'[2]Production Summary'!AB16</f>
        <v>297999.9999999876</v>
      </c>
      <c r="Y15" s="8">
        <f t="shared" si="14"/>
        <v>0.29799999999998761</v>
      </c>
      <c r="Z15" s="10">
        <f t="shared" si="15"/>
        <v>0.91485999999996193</v>
      </c>
      <c r="AA15" s="15"/>
      <c r="AB15" s="7">
        <f t="shared" si="16"/>
        <v>11457000.000000013</v>
      </c>
      <c r="AC15" s="8">
        <f t="shared" si="16"/>
        <v>11.457000000000013</v>
      </c>
      <c r="AD15" s="8">
        <f t="shared" si="16"/>
        <v>35.172990000000041</v>
      </c>
    </row>
    <row r="16" spans="1:30" x14ac:dyDescent="0.15">
      <c r="A16" s="27">
        <v>43112</v>
      </c>
      <c r="B16" s="7">
        <f>'[2]Production Summary'!J17</f>
        <v>0</v>
      </c>
      <c r="C16" s="8">
        <f t="shared" si="0"/>
        <v>0</v>
      </c>
      <c r="D16" s="10">
        <f t="shared" si="1"/>
        <v>0</v>
      </c>
      <c r="E16" s="7">
        <f>'[2]Production Summary'!E17</f>
        <v>0</v>
      </c>
      <c r="F16" s="8">
        <f t="shared" si="2"/>
        <v>0</v>
      </c>
      <c r="G16" s="10">
        <f t="shared" si="3"/>
        <v>0</v>
      </c>
      <c r="H16" s="7">
        <f>'[2]Production Summary'!G17</f>
        <v>0</v>
      </c>
      <c r="I16" s="8">
        <f t="shared" si="4"/>
        <v>0</v>
      </c>
      <c r="J16" s="10">
        <f t="shared" si="5"/>
        <v>0</v>
      </c>
      <c r="K16" s="7">
        <f>'[2]Production Summary'!T17</f>
        <v>0</v>
      </c>
      <c r="L16" s="8">
        <f t="shared" si="6"/>
        <v>0</v>
      </c>
      <c r="M16" s="10">
        <f t="shared" si="7"/>
        <v>0</v>
      </c>
      <c r="N16" s="21"/>
      <c r="O16" s="7">
        <f>'[2]Production Summary'!I17</f>
        <v>11306000</v>
      </c>
      <c r="P16" s="8">
        <f t="shared" si="8"/>
        <v>11.305999999999999</v>
      </c>
      <c r="Q16" s="10">
        <f t="shared" si="9"/>
        <v>34.709419999999994</v>
      </c>
      <c r="R16" s="7">
        <f>'[2]Production Summary'!C17</f>
        <v>11706000</v>
      </c>
      <c r="S16" s="8">
        <f t="shared" si="10"/>
        <v>11.706</v>
      </c>
      <c r="T16" s="10">
        <f t="shared" si="11"/>
        <v>35.937419999999996</v>
      </c>
      <c r="U16" s="7">
        <f>'[2]Production Summary'!F17</f>
        <v>0</v>
      </c>
      <c r="V16" s="8">
        <f t="shared" si="12"/>
        <v>0</v>
      </c>
      <c r="W16" s="10">
        <f t="shared" si="13"/>
        <v>0</v>
      </c>
      <c r="X16" s="7">
        <f>'[2]Production Summary'!AB17</f>
        <v>393000.0000000007</v>
      </c>
      <c r="Y16" s="8">
        <f t="shared" si="14"/>
        <v>0.39300000000000068</v>
      </c>
      <c r="Z16" s="10">
        <f t="shared" si="15"/>
        <v>1.206510000000002</v>
      </c>
      <c r="AA16" s="15"/>
      <c r="AB16" s="7">
        <f t="shared" si="16"/>
        <v>11306000</v>
      </c>
      <c r="AC16" s="8">
        <f t="shared" si="16"/>
        <v>11.305999999999999</v>
      </c>
      <c r="AD16" s="8">
        <f t="shared" si="16"/>
        <v>34.709419999999994</v>
      </c>
    </row>
    <row r="17" spans="1:30" x14ac:dyDescent="0.15">
      <c r="A17" s="27">
        <v>43113</v>
      </c>
      <c r="B17" s="7">
        <f>'[2]Production Summary'!J18</f>
        <v>0</v>
      </c>
      <c r="C17" s="8">
        <f t="shared" si="0"/>
        <v>0</v>
      </c>
      <c r="D17" s="10">
        <f t="shared" si="1"/>
        <v>0</v>
      </c>
      <c r="E17" s="7">
        <f>'[2]Production Summary'!E18</f>
        <v>0</v>
      </c>
      <c r="F17" s="8">
        <f t="shared" si="2"/>
        <v>0</v>
      </c>
      <c r="G17" s="10">
        <f t="shared" si="3"/>
        <v>0</v>
      </c>
      <c r="H17" s="7">
        <f>'[2]Production Summary'!G18</f>
        <v>0</v>
      </c>
      <c r="I17" s="8">
        <f t="shared" si="4"/>
        <v>0</v>
      </c>
      <c r="J17" s="10">
        <f t="shared" si="5"/>
        <v>0</v>
      </c>
      <c r="K17" s="7">
        <f>'[2]Production Summary'!T18</f>
        <v>0</v>
      </c>
      <c r="L17" s="8">
        <f t="shared" si="6"/>
        <v>0</v>
      </c>
      <c r="M17" s="10">
        <f t="shared" si="7"/>
        <v>0</v>
      </c>
      <c r="N17" s="21"/>
      <c r="O17" s="7">
        <f>'[2]Production Summary'!I18</f>
        <v>11156999.999999993</v>
      </c>
      <c r="P17" s="8">
        <f t="shared" si="8"/>
        <v>11.156999999999993</v>
      </c>
      <c r="Q17" s="10">
        <f t="shared" si="9"/>
        <v>34.251989999999978</v>
      </c>
      <c r="R17" s="7">
        <f>'[2]Production Summary'!C18</f>
        <v>11375000</v>
      </c>
      <c r="S17" s="8">
        <f t="shared" si="10"/>
        <v>11.375</v>
      </c>
      <c r="T17" s="10">
        <f t="shared" si="11"/>
        <v>34.921250000000001</v>
      </c>
      <c r="U17" s="7">
        <f>'[2]Production Summary'!F18</f>
        <v>0</v>
      </c>
      <c r="V17" s="8">
        <f t="shared" si="12"/>
        <v>0</v>
      </c>
      <c r="W17" s="10">
        <f t="shared" si="13"/>
        <v>0</v>
      </c>
      <c r="X17" s="7">
        <f>'[2]Production Summary'!AB18</f>
        <v>213000.00000000806</v>
      </c>
      <c r="Y17" s="8">
        <f t="shared" si="14"/>
        <v>0.21300000000000807</v>
      </c>
      <c r="Z17" s="10">
        <f t="shared" si="15"/>
        <v>0.65391000000002475</v>
      </c>
      <c r="AA17" s="15"/>
      <c r="AB17" s="7">
        <f t="shared" si="16"/>
        <v>11156999.999999993</v>
      </c>
      <c r="AC17" s="8">
        <f t="shared" si="16"/>
        <v>11.156999999999993</v>
      </c>
      <c r="AD17" s="8">
        <f t="shared" si="16"/>
        <v>34.251989999999978</v>
      </c>
    </row>
    <row r="18" spans="1:30" x14ac:dyDescent="0.15">
      <c r="A18" s="27">
        <v>43114</v>
      </c>
      <c r="B18" s="7">
        <f>'[2]Production Summary'!J19</f>
        <v>0</v>
      </c>
      <c r="C18" s="8">
        <f t="shared" si="0"/>
        <v>0</v>
      </c>
      <c r="D18" s="10">
        <f t="shared" si="1"/>
        <v>0</v>
      </c>
      <c r="E18" s="7">
        <f>'[2]Production Summary'!E19</f>
        <v>0</v>
      </c>
      <c r="F18" s="8">
        <f t="shared" si="2"/>
        <v>0</v>
      </c>
      <c r="G18" s="10">
        <f t="shared" si="3"/>
        <v>0</v>
      </c>
      <c r="H18" s="7">
        <f>'[2]Production Summary'!G19</f>
        <v>0</v>
      </c>
      <c r="I18" s="8">
        <f t="shared" si="4"/>
        <v>0</v>
      </c>
      <c r="J18" s="10">
        <f t="shared" si="5"/>
        <v>0</v>
      </c>
      <c r="K18" s="7">
        <f>'[2]Production Summary'!T19</f>
        <v>0</v>
      </c>
      <c r="L18" s="8">
        <f t="shared" si="6"/>
        <v>0</v>
      </c>
      <c r="M18" s="10">
        <f t="shared" si="7"/>
        <v>0</v>
      </c>
      <c r="N18" s="21"/>
      <c r="O18" s="7">
        <f>'[2]Production Summary'!I19</f>
        <v>11541500.000000002</v>
      </c>
      <c r="P18" s="8">
        <f t="shared" si="8"/>
        <v>11.541500000000001</v>
      </c>
      <c r="Q18" s="10">
        <f t="shared" si="9"/>
        <v>35.432405000000003</v>
      </c>
      <c r="R18" s="7">
        <f>'[2]Production Summary'!C19</f>
        <v>11733500</v>
      </c>
      <c r="S18" s="8">
        <f t="shared" si="10"/>
        <v>11.733499999999999</v>
      </c>
      <c r="T18" s="10">
        <f t="shared" si="11"/>
        <v>36.021844999999999</v>
      </c>
      <c r="U18" s="7">
        <f>'[2]Production Summary'!F19</f>
        <v>0</v>
      </c>
      <c r="V18" s="8">
        <f t="shared" si="12"/>
        <v>0</v>
      </c>
      <c r="W18" s="10">
        <f t="shared" si="13"/>
        <v>0</v>
      </c>
      <c r="X18" s="7">
        <f>'[2]Production Summary'!AB19</f>
        <v>186999.99999999761</v>
      </c>
      <c r="Y18" s="8">
        <f t="shared" si="14"/>
        <v>0.18699999999999761</v>
      </c>
      <c r="Z18" s="10">
        <f t="shared" si="15"/>
        <v>0.57408999999999266</v>
      </c>
      <c r="AA18" s="15"/>
      <c r="AB18" s="7">
        <f t="shared" si="16"/>
        <v>11541500.000000002</v>
      </c>
      <c r="AC18" s="8">
        <f t="shared" si="16"/>
        <v>11.541500000000001</v>
      </c>
      <c r="AD18" s="8">
        <f t="shared" si="16"/>
        <v>35.432405000000003</v>
      </c>
    </row>
    <row r="19" spans="1:30" x14ac:dyDescent="0.15">
      <c r="A19" s="27">
        <v>43115</v>
      </c>
      <c r="B19" s="7">
        <f>'[2]Production Summary'!J20</f>
        <v>0</v>
      </c>
      <c r="C19" s="8">
        <f t="shared" si="0"/>
        <v>0</v>
      </c>
      <c r="D19" s="10">
        <f t="shared" si="1"/>
        <v>0</v>
      </c>
      <c r="E19" s="7">
        <f>'[2]Production Summary'!E20</f>
        <v>0</v>
      </c>
      <c r="F19" s="8">
        <f t="shared" si="2"/>
        <v>0</v>
      </c>
      <c r="G19" s="10">
        <f t="shared" si="3"/>
        <v>0</v>
      </c>
      <c r="H19" s="7">
        <f>'[2]Production Summary'!G20</f>
        <v>0</v>
      </c>
      <c r="I19" s="8">
        <f t="shared" si="4"/>
        <v>0</v>
      </c>
      <c r="J19" s="10">
        <f t="shared" si="5"/>
        <v>0</v>
      </c>
      <c r="K19" s="7">
        <f>'[2]Production Summary'!T20</f>
        <v>0</v>
      </c>
      <c r="L19" s="8">
        <f t="shared" si="6"/>
        <v>0</v>
      </c>
      <c r="M19" s="10">
        <f t="shared" si="7"/>
        <v>0</v>
      </c>
      <c r="N19" s="21"/>
      <c r="O19" s="7">
        <f>'[2]Production Summary'!I20</f>
        <v>11151199.999999257</v>
      </c>
      <c r="P19" s="8">
        <f t="shared" si="8"/>
        <v>11.151199999999257</v>
      </c>
      <c r="Q19" s="10">
        <f t="shared" si="9"/>
        <v>34.234183999997718</v>
      </c>
      <c r="R19" s="7">
        <f>'[2]Production Summary'!C20</f>
        <v>11623199.999999255</v>
      </c>
      <c r="S19" s="8">
        <f t="shared" si="10"/>
        <v>11.623199999999255</v>
      </c>
      <c r="T19" s="10">
        <f t="shared" si="11"/>
        <v>35.683223999997708</v>
      </c>
      <c r="U19" s="7">
        <f>'[2]Production Summary'!F20</f>
        <v>0</v>
      </c>
      <c r="V19" s="8">
        <f t="shared" si="12"/>
        <v>0</v>
      </c>
      <c r="W19" s="10">
        <f t="shared" si="13"/>
        <v>0</v>
      </c>
      <c r="X19" s="7">
        <f>'[2]Production Summary'!AB20</f>
        <v>463999.99999999866</v>
      </c>
      <c r="Y19" s="8">
        <f t="shared" si="14"/>
        <v>0.46399999999999864</v>
      </c>
      <c r="Z19" s="10">
        <f t="shared" si="15"/>
        <v>1.4244799999999957</v>
      </c>
      <c r="AA19" s="15"/>
      <c r="AB19" s="7">
        <f t="shared" si="16"/>
        <v>11151199.999999257</v>
      </c>
      <c r="AC19" s="8">
        <f t="shared" si="16"/>
        <v>11.151199999999257</v>
      </c>
      <c r="AD19" s="8">
        <f>D19+Q19</f>
        <v>34.234183999997718</v>
      </c>
    </row>
    <row r="20" spans="1:30" x14ac:dyDescent="0.15">
      <c r="A20" s="27">
        <v>43116</v>
      </c>
      <c r="B20" s="7">
        <f>'[2]Production Summary'!J21</f>
        <v>0</v>
      </c>
      <c r="C20" s="8">
        <f t="shared" si="0"/>
        <v>0</v>
      </c>
      <c r="D20" s="10">
        <f t="shared" si="1"/>
        <v>0</v>
      </c>
      <c r="E20" s="7">
        <f>'[2]Production Summary'!E21</f>
        <v>0</v>
      </c>
      <c r="F20" s="8">
        <f t="shared" si="2"/>
        <v>0</v>
      </c>
      <c r="G20" s="10">
        <f t="shared" si="3"/>
        <v>0</v>
      </c>
      <c r="H20" s="7">
        <f>'[2]Production Summary'!G21</f>
        <v>0</v>
      </c>
      <c r="I20" s="8">
        <f t="shared" si="4"/>
        <v>0</v>
      </c>
      <c r="J20" s="10">
        <f t="shared" si="5"/>
        <v>0</v>
      </c>
      <c r="K20" s="7">
        <f>'[2]Production Summary'!T21</f>
        <v>0</v>
      </c>
      <c r="L20" s="8">
        <f t="shared" si="6"/>
        <v>0</v>
      </c>
      <c r="M20" s="10">
        <f t="shared" si="7"/>
        <v>0</v>
      </c>
      <c r="N20" s="21"/>
      <c r="O20" s="7">
        <f>'[2]Production Summary'!I21</f>
        <v>14201300.000000743</v>
      </c>
      <c r="P20" s="8">
        <f t="shared" si="8"/>
        <v>14.201300000000742</v>
      </c>
      <c r="Q20" s="10">
        <f t="shared" si="9"/>
        <v>43.597991000002274</v>
      </c>
      <c r="R20" s="7">
        <f>'[2]Production Summary'!C21</f>
        <v>14245300.000000745</v>
      </c>
      <c r="S20" s="8">
        <f t="shared" si="10"/>
        <v>14.245300000000745</v>
      </c>
      <c r="T20" s="10">
        <f t="shared" si="11"/>
        <v>43.733071000002283</v>
      </c>
      <c r="U20" s="7">
        <f>'[2]Production Summary'!F21</f>
        <v>0</v>
      </c>
      <c r="V20" s="8">
        <f t="shared" si="12"/>
        <v>0</v>
      </c>
      <c r="W20" s="10">
        <f t="shared" si="13"/>
        <v>0</v>
      </c>
      <c r="X20" s="7">
        <f>'[2]Production Summary'!AB21</f>
        <v>36000.000000001368</v>
      </c>
      <c r="Y20" s="8">
        <f t="shared" si="14"/>
        <v>3.6000000000001371E-2</v>
      </c>
      <c r="Z20" s="10">
        <f t="shared" si="15"/>
        <v>0.1105200000000042</v>
      </c>
      <c r="AA20" s="15"/>
      <c r="AB20" s="7">
        <f t="shared" si="16"/>
        <v>14201300.000000743</v>
      </c>
      <c r="AC20" s="8">
        <f t="shared" si="16"/>
        <v>14.201300000000742</v>
      </c>
      <c r="AD20" s="8">
        <f t="shared" si="16"/>
        <v>43.597991000002274</v>
      </c>
    </row>
    <row r="21" spans="1:30" x14ac:dyDescent="0.15">
      <c r="A21" s="27">
        <v>43117</v>
      </c>
      <c r="B21" s="7">
        <f>'[2]Production Summary'!J22</f>
        <v>0</v>
      </c>
      <c r="C21" s="8">
        <f t="shared" si="0"/>
        <v>0</v>
      </c>
      <c r="D21" s="10">
        <f t="shared" si="1"/>
        <v>0</v>
      </c>
      <c r="E21" s="7">
        <f>'[2]Production Summary'!E22</f>
        <v>0</v>
      </c>
      <c r="F21" s="8">
        <f t="shared" si="2"/>
        <v>0</v>
      </c>
      <c r="G21" s="10">
        <f t="shared" si="3"/>
        <v>0</v>
      </c>
      <c r="H21" s="7">
        <f>'[2]Production Summary'!G22</f>
        <v>0</v>
      </c>
      <c r="I21" s="8">
        <f t="shared" si="4"/>
        <v>0</v>
      </c>
      <c r="J21" s="10">
        <f t="shared" si="5"/>
        <v>0</v>
      </c>
      <c r="K21" s="7">
        <f>'[2]Production Summary'!T22</f>
        <v>0</v>
      </c>
      <c r="L21" s="8">
        <f t="shared" si="6"/>
        <v>0</v>
      </c>
      <c r="M21" s="10">
        <f t="shared" si="7"/>
        <v>0</v>
      </c>
      <c r="N21" s="21"/>
      <c r="O21" s="7">
        <f>'[2]Production Summary'!I22</f>
        <v>10290999.999999996</v>
      </c>
      <c r="P21" s="8">
        <f t="shared" si="8"/>
        <v>10.290999999999997</v>
      </c>
      <c r="Q21" s="10">
        <f t="shared" si="9"/>
        <v>31.59336999999999</v>
      </c>
      <c r="R21" s="7">
        <f>'[2]Production Summary'!C22</f>
        <v>11005000</v>
      </c>
      <c r="S21" s="8">
        <f t="shared" si="10"/>
        <v>11.005000000000001</v>
      </c>
      <c r="T21" s="10">
        <f t="shared" si="11"/>
        <v>33.785350000000001</v>
      </c>
      <c r="U21" s="7">
        <f>'[2]Production Summary'!F22</f>
        <v>0</v>
      </c>
      <c r="V21" s="8">
        <f t="shared" si="12"/>
        <v>0</v>
      </c>
      <c r="W21" s="10">
        <f t="shared" si="13"/>
        <v>0</v>
      </c>
      <c r="X21" s="7">
        <f>'[2]Production Summary'!AB22</f>
        <v>706000.00000000303</v>
      </c>
      <c r="Y21" s="8">
        <f t="shared" si="14"/>
        <v>0.70600000000000307</v>
      </c>
      <c r="Z21" s="10">
        <f t="shared" si="15"/>
        <v>2.1674200000000092</v>
      </c>
      <c r="AA21" s="15"/>
      <c r="AB21" s="7">
        <f t="shared" si="16"/>
        <v>10290999.999999996</v>
      </c>
      <c r="AC21" s="8">
        <f t="shared" si="16"/>
        <v>10.290999999999997</v>
      </c>
      <c r="AD21" s="8">
        <f t="shared" si="16"/>
        <v>31.59336999999999</v>
      </c>
    </row>
    <row r="22" spans="1:30" x14ac:dyDescent="0.15">
      <c r="A22" s="27">
        <v>43118</v>
      </c>
      <c r="B22" s="7">
        <f>'[2]Production Summary'!J23</f>
        <v>0</v>
      </c>
      <c r="C22" s="8">
        <f t="shared" si="0"/>
        <v>0</v>
      </c>
      <c r="D22" s="10">
        <f t="shared" si="1"/>
        <v>0</v>
      </c>
      <c r="E22" s="7">
        <f>'[2]Production Summary'!E23</f>
        <v>0</v>
      </c>
      <c r="F22" s="8">
        <f t="shared" si="2"/>
        <v>0</v>
      </c>
      <c r="G22" s="10">
        <f t="shared" si="3"/>
        <v>0</v>
      </c>
      <c r="H22" s="7">
        <f>'[2]Production Summary'!G23</f>
        <v>0</v>
      </c>
      <c r="I22" s="8">
        <f t="shared" si="4"/>
        <v>0</v>
      </c>
      <c r="J22" s="10">
        <f t="shared" si="5"/>
        <v>0</v>
      </c>
      <c r="K22" s="7">
        <f>'[2]Production Summary'!T23</f>
        <v>0</v>
      </c>
      <c r="L22" s="8">
        <f t="shared" si="6"/>
        <v>0</v>
      </c>
      <c r="M22" s="10">
        <f t="shared" si="7"/>
        <v>0</v>
      </c>
      <c r="N22" s="21"/>
      <c r="O22" s="7">
        <f>'[2]Production Summary'!I23</f>
        <v>12211000</v>
      </c>
      <c r="P22" s="8">
        <f t="shared" si="8"/>
        <v>12.211</v>
      </c>
      <c r="Q22" s="10">
        <f t="shared" si="9"/>
        <v>37.487769999999998</v>
      </c>
      <c r="R22" s="7">
        <f>'[2]Production Summary'!C23</f>
        <v>12440000</v>
      </c>
      <c r="S22" s="8">
        <f t="shared" si="10"/>
        <v>12.44</v>
      </c>
      <c r="T22" s="10">
        <f t="shared" si="11"/>
        <v>38.190799999999996</v>
      </c>
      <c r="U22" s="7">
        <f>'[2]Production Summary'!F23</f>
        <v>0</v>
      </c>
      <c r="V22" s="8">
        <f t="shared" si="12"/>
        <v>0</v>
      </c>
      <c r="W22" s="10">
        <f t="shared" si="13"/>
        <v>0</v>
      </c>
      <c r="X22" s="7">
        <f>'[2]Production Summary'!AB23</f>
        <v>225999.9999999991</v>
      </c>
      <c r="Y22" s="8">
        <f t="shared" si="14"/>
        <v>0.22599999999999909</v>
      </c>
      <c r="Z22" s="10">
        <f t="shared" si="15"/>
        <v>0.69381999999999722</v>
      </c>
      <c r="AA22" s="15"/>
      <c r="AB22" s="7">
        <f t="shared" si="16"/>
        <v>12211000</v>
      </c>
      <c r="AC22" s="8">
        <f t="shared" si="16"/>
        <v>12.211</v>
      </c>
      <c r="AD22" s="8">
        <f t="shared" si="16"/>
        <v>37.487769999999998</v>
      </c>
    </row>
    <row r="23" spans="1:30" x14ac:dyDescent="0.15">
      <c r="A23" s="27">
        <v>43119</v>
      </c>
      <c r="B23" s="7">
        <f>'[2]Production Summary'!J24</f>
        <v>0</v>
      </c>
      <c r="C23" s="8">
        <f t="shared" si="0"/>
        <v>0</v>
      </c>
      <c r="D23" s="10">
        <f t="shared" si="1"/>
        <v>0</v>
      </c>
      <c r="E23" s="7">
        <f>'[2]Production Summary'!E24</f>
        <v>0</v>
      </c>
      <c r="F23" s="8">
        <f t="shared" si="2"/>
        <v>0</v>
      </c>
      <c r="G23" s="10">
        <f t="shared" si="3"/>
        <v>0</v>
      </c>
      <c r="H23" s="7">
        <f>'[2]Production Summary'!G24</f>
        <v>0</v>
      </c>
      <c r="I23" s="8">
        <f t="shared" si="4"/>
        <v>0</v>
      </c>
      <c r="J23" s="10">
        <f t="shared" si="5"/>
        <v>0</v>
      </c>
      <c r="K23" s="7">
        <f>'[2]Production Summary'!T24</f>
        <v>0</v>
      </c>
      <c r="L23" s="8">
        <f t="shared" si="6"/>
        <v>0</v>
      </c>
      <c r="M23" s="10">
        <f t="shared" si="7"/>
        <v>0</v>
      </c>
      <c r="N23" s="21"/>
      <c r="O23" s="7">
        <f>'[2]Production Summary'!I24</f>
        <v>11723000</v>
      </c>
      <c r="P23" s="8">
        <f t="shared" si="8"/>
        <v>11.723000000000001</v>
      </c>
      <c r="Q23" s="10">
        <f t="shared" si="9"/>
        <v>35.989609999999999</v>
      </c>
      <c r="R23" s="7">
        <f>'[2]Production Summary'!C24</f>
        <v>11997000</v>
      </c>
      <c r="S23" s="8">
        <f t="shared" si="10"/>
        <v>11.997</v>
      </c>
      <c r="T23" s="10">
        <f t="shared" si="11"/>
        <v>36.83079</v>
      </c>
      <c r="U23" s="7">
        <f>'[2]Production Summary'!F24</f>
        <v>0</v>
      </c>
      <c r="V23" s="8">
        <f t="shared" si="12"/>
        <v>0</v>
      </c>
      <c r="W23" s="10">
        <f t="shared" si="13"/>
        <v>0</v>
      </c>
      <c r="X23" s="7">
        <f>'[2]Production Summary'!AB24</f>
        <v>268000.0000000007</v>
      </c>
      <c r="Y23" s="8">
        <f t="shared" si="14"/>
        <v>0.26800000000000068</v>
      </c>
      <c r="Z23" s="10">
        <f t="shared" si="15"/>
        <v>0.82276000000000205</v>
      </c>
      <c r="AA23" s="15"/>
      <c r="AB23" s="7">
        <f t="shared" si="16"/>
        <v>11723000</v>
      </c>
      <c r="AC23" s="8">
        <f t="shared" si="16"/>
        <v>11.723000000000001</v>
      </c>
      <c r="AD23" s="8">
        <f t="shared" si="16"/>
        <v>35.989609999999999</v>
      </c>
    </row>
    <row r="24" spans="1:30" x14ac:dyDescent="0.15">
      <c r="A24" s="27">
        <v>43120</v>
      </c>
      <c r="B24" s="7">
        <f>'[2]Production Summary'!J25</f>
        <v>0</v>
      </c>
      <c r="C24" s="8">
        <f t="shared" si="0"/>
        <v>0</v>
      </c>
      <c r="D24" s="10">
        <f t="shared" si="1"/>
        <v>0</v>
      </c>
      <c r="E24" s="7">
        <f>'[2]Production Summary'!E25</f>
        <v>0</v>
      </c>
      <c r="F24" s="8">
        <f t="shared" si="2"/>
        <v>0</v>
      </c>
      <c r="G24" s="10">
        <f t="shared" si="3"/>
        <v>0</v>
      </c>
      <c r="H24" s="7">
        <f>'[2]Production Summary'!G25</f>
        <v>0</v>
      </c>
      <c r="I24" s="8">
        <f t="shared" si="4"/>
        <v>0</v>
      </c>
      <c r="J24" s="10">
        <f t="shared" si="5"/>
        <v>0</v>
      </c>
      <c r="K24" s="7">
        <f>'[2]Production Summary'!T25</f>
        <v>0</v>
      </c>
      <c r="L24" s="8">
        <f t="shared" si="6"/>
        <v>0</v>
      </c>
      <c r="M24" s="10">
        <f t="shared" si="7"/>
        <v>0</v>
      </c>
      <c r="N24" s="21"/>
      <c r="O24" s="7">
        <f>'[2]Production Summary'!I25</f>
        <v>11755000.000000007</v>
      </c>
      <c r="P24" s="8">
        <f t="shared" si="8"/>
        <v>11.755000000000008</v>
      </c>
      <c r="Q24" s="10">
        <f t="shared" si="9"/>
        <v>36.087850000000024</v>
      </c>
      <c r="R24" s="7">
        <f>'[2]Production Summary'!C25</f>
        <v>12041000</v>
      </c>
      <c r="S24" s="8">
        <f t="shared" si="10"/>
        <v>12.041</v>
      </c>
      <c r="T24" s="10">
        <f t="shared" si="11"/>
        <v>36.965870000000002</v>
      </c>
      <c r="U24" s="7">
        <f>'[2]Production Summary'!F25</f>
        <v>0</v>
      </c>
      <c r="V24" s="8">
        <f t="shared" si="12"/>
        <v>0</v>
      </c>
      <c r="W24" s="10">
        <f t="shared" si="13"/>
        <v>0</v>
      </c>
      <c r="X24" s="7">
        <f>'[2]Production Summary'!AB25</f>
        <v>280999.99999999168</v>
      </c>
      <c r="Y24" s="8">
        <f t="shared" si="14"/>
        <v>0.2809999999999917</v>
      </c>
      <c r="Z24" s="10">
        <f t="shared" si="15"/>
        <v>0.86266999999997451</v>
      </c>
      <c r="AA24" s="15"/>
      <c r="AB24" s="7">
        <f t="shared" si="16"/>
        <v>11755000.000000007</v>
      </c>
      <c r="AC24" s="8">
        <f t="shared" si="16"/>
        <v>11.755000000000008</v>
      </c>
      <c r="AD24" s="8">
        <f>D24+Q24</f>
        <v>36.087850000000024</v>
      </c>
    </row>
    <row r="25" spans="1:30" x14ac:dyDescent="0.15">
      <c r="A25" s="27">
        <v>43121</v>
      </c>
      <c r="B25" s="7">
        <f>'[2]Production Summary'!J26</f>
        <v>0</v>
      </c>
      <c r="C25" s="8">
        <f t="shared" si="0"/>
        <v>0</v>
      </c>
      <c r="D25" s="10">
        <f t="shared" si="1"/>
        <v>0</v>
      </c>
      <c r="E25" s="7">
        <f>'[2]Production Summary'!E26</f>
        <v>0</v>
      </c>
      <c r="F25" s="8">
        <f t="shared" si="2"/>
        <v>0</v>
      </c>
      <c r="G25" s="10">
        <f t="shared" si="3"/>
        <v>0</v>
      </c>
      <c r="H25" s="7">
        <f>'[2]Production Summary'!G26</f>
        <v>0</v>
      </c>
      <c r="I25" s="8">
        <f t="shared" si="4"/>
        <v>0</v>
      </c>
      <c r="J25" s="10">
        <f t="shared" si="5"/>
        <v>0</v>
      </c>
      <c r="K25" s="7">
        <f>'[2]Production Summary'!T26</f>
        <v>0</v>
      </c>
      <c r="L25" s="8">
        <f t="shared" si="6"/>
        <v>0</v>
      </c>
      <c r="M25" s="10">
        <f t="shared" si="7"/>
        <v>0</v>
      </c>
      <c r="N25" s="21"/>
      <c r="O25" s="7">
        <f>'[2]Production Summary'!I26</f>
        <v>12651999.999999998</v>
      </c>
      <c r="P25" s="8">
        <f t="shared" si="8"/>
        <v>12.651999999999997</v>
      </c>
      <c r="Q25" s="10">
        <f t="shared" si="9"/>
        <v>38.841639999999991</v>
      </c>
      <c r="R25" s="7">
        <f>'[2]Production Summary'!C26</f>
        <v>12976000</v>
      </c>
      <c r="S25" s="8">
        <f t="shared" si="10"/>
        <v>12.976000000000001</v>
      </c>
      <c r="T25" s="10">
        <f t="shared" si="11"/>
        <v>39.836320000000001</v>
      </c>
      <c r="U25" s="7">
        <f>'[2]Production Summary'!F26</f>
        <v>0</v>
      </c>
      <c r="V25" s="8">
        <f t="shared" si="12"/>
        <v>0</v>
      </c>
      <c r="W25" s="10">
        <f t="shared" si="13"/>
        <v>0</v>
      </c>
      <c r="X25" s="7">
        <f>'[2]Production Summary'!AB26</f>
        <v>319000.00000000262</v>
      </c>
      <c r="Y25" s="8">
        <f t="shared" si="14"/>
        <v>0.31900000000000261</v>
      </c>
      <c r="Z25" s="10">
        <f t="shared" si="15"/>
        <v>0.97933000000000803</v>
      </c>
      <c r="AA25" s="15"/>
      <c r="AB25" s="7">
        <f t="shared" si="16"/>
        <v>12651999.999999998</v>
      </c>
      <c r="AC25" s="8">
        <f t="shared" si="16"/>
        <v>12.651999999999997</v>
      </c>
      <c r="AD25" s="8">
        <f t="shared" si="16"/>
        <v>38.841639999999991</v>
      </c>
    </row>
    <row r="26" spans="1:30" x14ac:dyDescent="0.15">
      <c r="A26" s="27">
        <v>43122</v>
      </c>
      <c r="B26" s="7">
        <f>'[2]Production Summary'!J27</f>
        <v>0</v>
      </c>
      <c r="C26" s="8">
        <f t="shared" si="0"/>
        <v>0</v>
      </c>
      <c r="D26" s="10">
        <f t="shared" si="1"/>
        <v>0</v>
      </c>
      <c r="E26" s="7">
        <f>'[2]Production Summary'!E27</f>
        <v>0</v>
      </c>
      <c r="F26" s="8">
        <f t="shared" si="2"/>
        <v>0</v>
      </c>
      <c r="G26" s="10">
        <f t="shared" si="3"/>
        <v>0</v>
      </c>
      <c r="H26" s="7">
        <f>'[2]Production Summary'!G27</f>
        <v>0</v>
      </c>
      <c r="I26" s="8">
        <f t="shared" si="4"/>
        <v>0</v>
      </c>
      <c r="J26" s="10">
        <f t="shared" si="5"/>
        <v>0</v>
      </c>
      <c r="K26" s="7">
        <f>'[2]Production Summary'!T27</f>
        <v>0</v>
      </c>
      <c r="L26" s="8">
        <f t="shared" si="6"/>
        <v>0</v>
      </c>
      <c r="M26" s="10">
        <f t="shared" si="7"/>
        <v>0</v>
      </c>
      <c r="N26" s="21"/>
      <c r="O26" s="7">
        <f>'[2]Production Summary'!I27</f>
        <v>13033999.999999994</v>
      </c>
      <c r="P26" s="8">
        <f t="shared" si="8"/>
        <v>13.033999999999994</v>
      </c>
      <c r="Q26" s="10">
        <f t="shared" si="9"/>
        <v>40.014379999999981</v>
      </c>
      <c r="R26" s="7">
        <f>'[2]Production Summary'!C27</f>
        <v>13462000</v>
      </c>
      <c r="S26" s="8">
        <f t="shared" si="10"/>
        <v>13.462</v>
      </c>
      <c r="T26" s="10">
        <f t="shared" si="11"/>
        <v>41.328339999999997</v>
      </c>
      <c r="U26" s="7">
        <f>'[2]Production Summary'!F27</f>
        <v>0</v>
      </c>
      <c r="V26" s="8">
        <f t="shared" si="12"/>
        <v>0</v>
      </c>
      <c r="W26" s="10">
        <f t="shared" si="13"/>
        <v>0</v>
      </c>
      <c r="X26" s="7">
        <f>'[2]Production Summary'!AB27</f>
        <v>418000.00000000634</v>
      </c>
      <c r="Y26" s="8">
        <f t="shared" si="14"/>
        <v>0.41800000000000637</v>
      </c>
      <c r="Z26" s="10">
        <f t="shared" si="15"/>
        <v>1.2832600000000194</v>
      </c>
      <c r="AA26" s="15"/>
      <c r="AB26" s="7">
        <f t="shared" si="16"/>
        <v>13033999.999999994</v>
      </c>
      <c r="AC26" s="8">
        <f t="shared" si="16"/>
        <v>13.033999999999994</v>
      </c>
      <c r="AD26" s="8">
        <f t="shared" si="16"/>
        <v>40.014379999999981</v>
      </c>
    </row>
    <row r="27" spans="1:30" x14ac:dyDescent="0.15">
      <c r="A27" s="27">
        <v>43123</v>
      </c>
      <c r="B27" s="7">
        <f>'[2]Production Summary'!J28</f>
        <v>0</v>
      </c>
      <c r="C27" s="8">
        <f t="shared" si="0"/>
        <v>0</v>
      </c>
      <c r="D27" s="10">
        <f t="shared" si="1"/>
        <v>0</v>
      </c>
      <c r="E27" s="7">
        <f>'[2]Production Summary'!E28</f>
        <v>0</v>
      </c>
      <c r="F27" s="8">
        <f t="shared" si="2"/>
        <v>0</v>
      </c>
      <c r="G27" s="10">
        <f t="shared" si="3"/>
        <v>0</v>
      </c>
      <c r="H27" s="7">
        <f>'[2]Production Summary'!G28</f>
        <v>0</v>
      </c>
      <c r="I27" s="8">
        <f t="shared" si="4"/>
        <v>0</v>
      </c>
      <c r="J27" s="10">
        <f t="shared" si="5"/>
        <v>0</v>
      </c>
      <c r="K27" s="7">
        <f>'[2]Production Summary'!T28</f>
        <v>0</v>
      </c>
      <c r="L27" s="8">
        <f t="shared" si="6"/>
        <v>0</v>
      </c>
      <c r="M27" s="10">
        <f t="shared" si="7"/>
        <v>0</v>
      </c>
      <c r="N27" s="21"/>
      <c r="O27" s="7">
        <f>'[2]Production Summary'!I28</f>
        <v>10916000.000000009</v>
      </c>
      <c r="P27" s="8">
        <f t="shared" si="8"/>
        <v>10.916000000000009</v>
      </c>
      <c r="Q27" s="10">
        <f t="shared" si="9"/>
        <v>33.512120000000024</v>
      </c>
      <c r="R27" s="7">
        <f>'[2]Production Summary'!C28</f>
        <v>11304000</v>
      </c>
      <c r="S27" s="8">
        <f t="shared" si="10"/>
        <v>11.304</v>
      </c>
      <c r="T27" s="10">
        <f t="shared" si="11"/>
        <v>34.703279999999999</v>
      </c>
      <c r="U27" s="7">
        <f>'[2]Production Summary'!F28</f>
        <v>0</v>
      </c>
      <c r="V27" s="8">
        <f t="shared" si="12"/>
        <v>0</v>
      </c>
      <c r="W27" s="10">
        <f t="shared" si="13"/>
        <v>0</v>
      </c>
      <c r="X27" s="7">
        <f>'[2]Production Summary'!AB28</f>
        <v>381999.9999999908</v>
      </c>
      <c r="Y27" s="8">
        <f t="shared" si="14"/>
        <v>0.38199999999999079</v>
      </c>
      <c r="Z27" s="10">
        <f t="shared" si="15"/>
        <v>1.1727399999999717</v>
      </c>
      <c r="AA27" s="15"/>
      <c r="AB27" s="7">
        <f t="shared" si="16"/>
        <v>10916000.000000009</v>
      </c>
      <c r="AC27" s="8">
        <f t="shared" si="16"/>
        <v>10.916000000000009</v>
      </c>
      <c r="AD27" s="8">
        <f t="shared" si="16"/>
        <v>33.512120000000024</v>
      </c>
    </row>
    <row r="28" spans="1:30" x14ac:dyDescent="0.15">
      <c r="A28" s="27">
        <v>43124</v>
      </c>
      <c r="B28" s="7">
        <f>'[2]Production Summary'!J29</f>
        <v>0</v>
      </c>
      <c r="C28" s="8">
        <f t="shared" si="0"/>
        <v>0</v>
      </c>
      <c r="D28" s="10">
        <f t="shared" si="1"/>
        <v>0</v>
      </c>
      <c r="E28" s="7">
        <f>'[2]Production Summary'!E29</f>
        <v>0</v>
      </c>
      <c r="F28" s="8">
        <f t="shared" si="2"/>
        <v>0</v>
      </c>
      <c r="G28" s="10">
        <f t="shared" si="3"/>
        <v>0</v>
      </c>
      <c r="H28" s="7">
        <f>'[2]Production Summary'!G29</f>
        <v>0</v>
      </c>
      <c r="I28" s="8">
        <f t="shared" si="4"/>
        <v>0</v>
      </c>
      <c r="J28" s="10">
        <f t="shared" si="5"/>
        <v>0</v>
      </c>
      <c r="K28" s="7">
        <f>'[2]Production Summary'!T29</f>
        <v>0</v>
      </c>
      <c r="L28" s="8">
        <f t="shared" si="6"/>
        <v>0</v>
      </c>
      <c r="M28" s="10">
        <f t="shared" si="7"/>
        <v>0</v>
      </c>
      <c r="N28" s="21"/>
      <c r="O28" s="7">
        <f>'[2]Production Summary'!I29</f>
        <v>11122999.999999989</v>
      </c>
      <c r="P28" s="8">
        <f t="shared" si="8"/>
        <v>11.122999999999989</v>
      </c>
      <c r="Q28" s="10">
        <f t="shared" si="9"/>
        <v>34.147609999999965</v>
      </c>
      <c r="R28" s="7">
        <f>'[2]Production Summary'!C29</f>
        <v>11428000</v>
      </c>
      <c r="S28" s="8">
        <f t="shared" si="10"/>
        <v>11.428000000000001</v>
      </c>
      <c r="T28" s="10">
        <f t="shared" si="11"/>
        <v>35.083959999999998</v>
      </c>
      <c r="U28" s="7">
        <f>'[2]Production Summary'!F29</f>
        <v>0</v>
      </c>
      <c r="V28" s="8">
        <f t="shared" si="12"/>
        <v>0</v>
      </c>
      <c r="W28" s="10">
        <f t="shared" si="13"/>
        <v>0</v>
      </c>
      <c r="X28" s="7">
        <f>'[2]Production Summary'!AB29</f>
        <v>300000.00000001135</v>
      </c>
      <c r="Y28" s="8">
        <f t="shared" si="14"/>
        <v>0.30000000000001137</v>
      </c>
      <c r="Z28" s="10">
        <f t="shared" si="15"/>
        <v>0.9210000000000349</v>
      </c>
      <c r="AA28" s="15"/>
      <c r="AB28" s="7">
        <f t="shared" si="16"/>
        <v>11122999.999999989</v>
      </c>
      <c r="AC28" s="8">
        <f t="shared" si="16"/>
        <v>11.122999999999989</v>
      </c>
      <c r="AD28" s="8">
        <f t="shared" si="16"/>
        <v>34.147609999999965</v>
      </c>
    </row>
    <row r="29" spans="1:30" x14ac:dyDescent="0.15">
      <c r="A29" s="27">
        <v>43125</v>
      </c>
      <c r="B29" s="7">
        <f>'[2]Production Summary'!J30</f>
        <v>0</v>
      </c>
      <c r="C29" s="8">
        <f t="shared" si="0"/>
        <v>0</v>
      </c>
      <c r="D29" s="10">
        <f t="shared" si="1"/>
        <v>0</v>
      </c>
      <c r="E29" s="7">
        <f>'[2]Production Summary'!E30</f>
        <v>0</v>
      </c>
      <c r="F29" s="8">
        <f t="shared" si="2"/>
        <v>0</v>
      </c>
      <c r="G29" s="10">
        <f t="shared" si="3"/>
        <v>0</v>
      </c>
      <c r="H29" s="7">
        <f>'[2]Production Summary'!G30</f>
        <v>0</v>
      </c>
      <c r="I29" s="8">
        <f t="shared" si="4"/>
        <v>0</v>
      </c>
      <c r="J29" s="10">
        <f t="shared" si="5"/>
        <v>0</v>
      </c>
      <c r="K29" s="7">
        <f>'[2]Production Summary'!T30</f>
        <v>0</v>
      </c>
      <c r="L29" s="8">
        <f t="shared" si="6"/>
        <v>0</v>
      </c>
      <c r="M29" s="10">
        <f t="shared" si="7"/>
        <v>0</v>
      </c>
      <c r="N29" s="21"/>
      <c r="O29" s="7">
        <f>'[2]Production Summary'!I30</f>
        <v>11219000.000000002</v>
      </c>
      <c r="P29" s="8">
        <f t="shared" si="8"/>
        <v>11.219000000000001</v>
      </c>
      <c r="Q29" s="10">
        <f t="shared" si="9"/>
        <v>34.442329999999998</v>
      </c>
      <c r="R29" s="7">
        <f>'[2]Production Summary'!C30</f>
        <v>11559000</v>
      </c>
      <c r="S29" s="8">
        <f t="shared" si="10"/>
        <v>11.558999999999999</v>
      </c>
      <c r="T29" s="10">
        <f t="shared" si="11"/>
        <v>35.486129999999996</v>
      </c>
      <c r="U29" s="7">
        <f>'[2]Production Summary'!F30</f>
        <v>0</v>
      </c>
      <c r="V29" s="8">
        <f t="shared" si="12"/>
        <v>0</v>
      </c>
      <c r="W29" s="10">
        <f t="shared" si="13"/>
        <v>0</v>
      </c>
      <c r="X29" s="7">
        <f>'[2]Production Summary'!AB30</f>
        <v>332999.99999999843</v>
      </c>
      <c r="Y29" s="8">
        <f t="shared" si="14"/>
        <v>0.33299999999999841</v>
      </c>
      <c r="Z29" s="10">
        <f t="shared" si="15"/>
        <v>1.0223099999999952</v>
      </c>
      <c r="AA29" s="15"/>
      <c r="AB29" s="7">
        <f t="shared" si="16"/>
        <v>11219000.000000002</v>
      </c>
      <c r="AC29" s="8">
        <f t="shared" si="16"/>
        <v>11.219000000000001</v>
      </c>
      <c r="AD29" s="8">
        <f t="shared" si="16"/>
        <v>34.442329999999998</v>
      </c>
    </row>
    <row r="30" spans="1:30" x14ac:dyDescent="0.15">
      <c r="A30" s="27">
        <v>43126</v>
      </c>
      <c r="B30" s="7">
        <f>'[2]Production Summary'!J31</f>
        <v>0</v>
      </c>
      <c r="C30" s="8">
        <f t="shared" si="0"/>
        <v>0</v>
      </c>
      <c r="D30" s="10">
        <f t="shared" si="1"/>
        <v>0</v>
      </c>
      <c r="E30" s="7">
        <f>'[2]Production Summary'!E31</f>
        <v>0</v>
      </c>
      <c r="F30" s="8">
        <f t="shared" si="2"/>
        <v>0</v>
      </c>
      <c r="G30" s="10">
        <f t="shared" si="3"/>
        <v>0</v>
      </c>
      <c r="H30" s="7">
        <f>'[2]Production Summary'!G31</f>
        <v>0</v>
      </c>
      <c r="I30" s="8">
        <f t="shared" si="4"/>
        <v>0</v>
      </c>
      <c r="J30" s="10">
        <f t="shared" si="5"/>
        <v>0</v>
      </c>
      <c r="K30" s="7">
        <f>'[2]Production Summary'!T31</f>
        <v>0</v>
      </c>
      <c r="L30" s="8">
        <f t="shared" si="6"/>
        <v>0</v>
      </c>
      <c r="M30" s="10">
        <f t="shared" si="7"/>
        <v>0</v>
      </c>
      <c r="N30" s="21"/>
      <c r="O30" s="7">
        <f>'[2]Production Summary'!I31</f>
        <v>11761000</v>
      </c>
      <c r="P30" s="8">
        <f t="shared" si="8"/>
        <v>11.760999999999999</v>
      </c>
      <c r="Q30" s="10">
        <f t="shared" si="9"/>
        <v>36.106269999999995</v>
      </c>
      <c r="R30" s="7">
        <f>'[2]Production Summary'!C31</f>
        <v>12014000</v>
      </c>
      <c r="S30" s="8">
        <f t="shared" si="10"/>
        <v>12.013999999999999</v>
      </c>
      <c r="T30" s="10">
        <f t="shared" si="11"/>
        <v>36.882979999999996</v>
      </c>
      <c r="U30" s="7">
        <f>'[2]Production Summary'!F31</f>
        <v>0</v>
      </c>
      <c r="V30" s="8">
        <f t="shared" si="12"/>
        <v>0</v>
      </c>
      <c r="W30" s="10">
        <f t="shared" si="13"/>
        <v>0</v>
      </c>
      <c r="X30" s="7">
        <f>'[2]Production Summary'!AB31</f>
        <v>246999.99999999988</v>
      </c>
      <c r="Y30" s="8">
        <f t="shared" si="14"/>
        <v>0.24699999999999989</v>
      </c>
      <c r="Z30" s="10">
        <f t="shared" si="15"/>
        <v>0.75828999999999958</v>
      </c>
      <c r="AA30" s="15"/>
      <c r="AB30" s="7">
        <f t="shared" si="16"/>
        <v>11761000</v>
      </c>
      <c r="AC30" s="8">
        <f t="shared" si="16"/>
        <v>11.760999999999999</v>
      </c>
      <c r="AD30" s="8">
        <f>D30+Q30</f>
        <v>36.106269999999995</v>
      </c>
    </row>
    <row r="31" spans="1:30" x14ac:dyDescent="0.15">
      <c r="A31" s="27">
        <v>43127</v>
      </c>
      <c r="B31" s="7">
        <f>'[2]Production Summary'!J32</f>
        <v>0</v>
      </c>
      <c r="C31" s="8">
        <f t="shared" si="0"/>
        <v>0</v>
      </c>
      <c r="D31" s="10">
        <f t="shared" si="1"/>
        <v>0</v>
      </c>
      <c r="E31" s="7">
        <f>'[2]Production Summary'!E32</f>
        <v>0</v>
      </c>
      <c r="F31" s="8">
        <f t="shared" si="2"/>
        <v>0</v>
      </c>
      <c r="G31" s="10">
        <f t="shared" si="3"/>
        <v>0</v>
      </c>
      <c r="H31" s="7">
        <f>'[2]Production Summary'!G32</f>
        <v>0</v>
      </c>
      <c r="I31" s="8">
        <f t="shared" si="4"/>
        <v>0</v>
      </c>
      <c r="J31" s="10">
        <f t="shared" si="5"/>
        <v>0</v>
      </c>
      <c r="K31" s="7">
        <f>'[2]Production Summary'!T32</f>
        <v>0</v>
      </c>
      <c r="L31" s="8">
        <f t="shared" si="6"/>
        <v>0</v>
      </c>
      <c r="M31" s="10">
        <f t="shared" si="7"/>
        <v>0</v>
      </c>
      <c r="N31" s="21"/>
      <c r="O31" s="7">
        <f>'[2]Production Summary'!I32</f>
        <v>13132000.000000009</v>
      </c>
      <c r="P31" s="8">
        <f t="shared" si="8"/>
        <v>13.132000000000009</v>
      </c>
      <c r="Q31" s="10">
        <f t="shared" si="9"/>
        <v>40.315240000000024</v>
      </c>
      <c r="R31" s="7">
        <f>'[2]Production Summary'!C32</f>
        <v>13506000</v>
      </c>
      <c r="S31" s="8">
        <f t="shared" si="10"/>
        <v>13.506</v>
      </c>
      <c r="T31" s="10">
        <f t="shared" si="11"/>
        <v>41.463419999999999</v>
      </c>
      <c r="U31" s="7">
        <f>'[2]Production Summary'!F32</f>
        <v>0</v>
      </c>
      <c r="V31" s="8">
        <f t="shared" si="12"/>
        <v>0</v>
      </c>
      <c r="W31" s="10">
        <f t="shared" si="13"/>
        <v>0</v>
      </c>
      <c r="X31" s="7">
        <f>'[2]Production Summary'!AB32</f>
        <v>366999.99999999022</v>
      </c>
      <c r="Y31" s="8">
        <f t="shared" si="14"/>
        <v>0.36699999999999022</v>
      </c>
      <c r="Z31" s="10">
        <f t="shared" si="15"/>
        <v>1.12668999999997</v>
      </c>
      <c r="AA31" s="15"/>
      <c r="AB31" s="7">
        <f t="shared" si="16"/>
        <v>13132000.000000009</v>
      </c>
      <c r="AC31" s="8">
        <f t="shared" si="16"/>
        <v>13.132000000000009</v>
      </c>
      <c r="AD31" s="8">
        <f t="shared" si="16"/>
        <v>40.315240000000024</v>
      </c>
    </row>
    <row r="32" spans="1:30" x14ac:dyDescent="0.15">
      <c r="A32" s="27">
        <v>43128</v>
      </c>
      <c r="B32" s="7">
        <f>'[2]Production Summary'!J33</f>
        <v>0</v>
      </c>
      <c r="C32" s="8">
        <f t="shared" si="0"/>
        <v>0</v>
      </c>
      <c r="D32" s="10">
        <f t="shared" si="1"/>
        <v>0</v>
      </c>
      <c r="E32" s="7">
        <f>'[2]Production Summary'!E33</f>
        <v>0</v>
      </c>
      <c r="F32" s="8">
        <f t="shared" si="2"/>
        <v>0</v>
      </c>
      <c r="G32" s="10">
        <f t="shared" si="3"/>
        <v>0</v>
      </c>
      <c r="H32" s="7">
        <f>'[2]Production Summary'!G33</f>
        <v>0</v>
      </c>
      <c r="I32" s="8">
        <f t="shared" si="4"/>
        <v>0</v>
      </c>
      <c r="J32" s="10">
        <f t="shared" si="5"/>
        <v>0</v>
      </c>
      <c r="K32" s="7">
        <f>'[2]Production Summary'!T33</f>
        <v>0</v>
      </c>
      <c r="L32" s="8">
        <f t="shared" si="6"/>
        <v>0</v>
      </c>
      <c r="M32" s="10">
        <f t="shared" si="7"/>
        <v>0</v>
      </c>
      <c r="N32" s="21"/>
      <c r="O32" s="7">
        <f>'[2]Production Summary'!I33</f>
        <v>12805999.999999996</v>
      </c>
      <c r="P32" s="8">
        <f t="shared" si="8"/>
        <v>12.805999999999996</v>
      </c>
      <c r="Q32" s="10">
        <f t="shared" si="9"/>
        <v>39.314419999999984</v>
      </c>
      <c r="R32" s="7">
        <f>'[2]Production Summary'!C33</f>
        <v>13167000</v>
      </c>
      <c r="S32" s="8">
        <f t="shared" si="10"/>
        <v>13.167</v>
      </c>
      <c r="T32" s="10">
        <f t="shared" si="11"/>
        <v>40.422689999999996</v>
      </c>
      <c r="U32" s="7">
        <f>'[2]Production Summary'!F33</f>
        <v>0</v>
      </c>
      <c r="V32" s="8">
        <f t="shared" si="12"/>
        <v>0</v>
      </c>
      <c r="W32" s="10">
        <f t="shared" si="13"/>
        <v>0</v>
      </c>
      <c r="X32" s="7">
        <f>'[2]Production Summary'!AB33</f>
        <v>355000.00000000396</v>
      </c>
      <c r="Y32" s="8">
        <f t="shared" si="14"/>
        <v>0.35500000000000398</v>
      </c>
      <c r="Z32" s="10">
        <f t="shared" si="15"/>
        <v>1.0898500000000122</v>
      </c>
      <c r="AA32" s="15"/>
      <c r="AB32" s="7">
        <f t="shared" si="16"/>
        <v>12805999.999999996</v>
      </c>
      <c r="AC32" s="8">
        <f t="shared" si="16"/>
        <v>12.805999999999996</v>
      </c>
      <c r="AD32" s="8">
        <f t="shared" si="16"/>
        <v>39.314419999999984</v>
      </c>
    </row>
    <row r="33" spans="1:30" x14ac:dyDescent="0.15">
      <c r="A33" s="27">
        <v>43129</v>
      </c>
      <c r="B33" s="7">
        <f>'[2]Production Summary'!J34</f>
        <v>0</v>
      </c>
      <c r="C33" s="8">
        <f t="shared" si="0"/>
        <v>0</v>
      </c>
      <c r="D33" s="10">
        <f t="shared" si="1"/>
        <v>0</v>
      </c>
      <c r="E33" s="7">
        <f>'[2]Production Summary'!E34</f>
        <v>0</v>
      </c>
      <c r="F33" s="8">
        <f t="shared" si="2"/>
        <v>0</v>
      </c>
      <c r="G33" s="10">
        <f t="shared" si="3"/>
        <v>0</v>
      </c>
      <c r="H33" s="7">
        <f>'[2]Production Summary'!G34</f>
        <v>0</v>
      </c>
      <c r="I33" s="8">
        <f t="shared" si="4"/>
        <v>0</v>
      </c>
      <c r="J33" s="10">
        <f t="shared" si="5"/>
        <v>0</v>
      </c>
      <c r="K33" s="7">
        <f>'[2]Production Summary'!T34</f>
        <v>10309</v>
      </c>
      <c r="L33" s="8">
        <f t="shared" si="6"/>
        <v>1.0309E-2</v>
      </c>
      <c r="M33" s="10">
        <f t="shared" si="7"/>
        <v>3.1648629999999997E-2</v>
      </c>
      <c r="N33" s="21"/>
      <c r="O33" s="7">
        <f>'[2]Production Summary'!I34</f>
        <v>9966999.9999999981</v>
      </c>
      <c r="P33" s="8">
        <f t="shared" si="8"/>
        <v>9.9669999999999987</v>
      </c>
      <c r="Q33" s="10">
        <f t="shared" si="9"/>
        <v>30.598689999999994</v>
      </c>
      <c r="R33" s="7">
        <f>'[2]Production Summary'!C34</f>
        <v>10272000</v>
      </c>
      <c r="S33" s="8">
        <f t="shared" si="10"/>
        <v>10.272</v>
      </c>
      <c r="T33" s="10">
        <f t="shared" si="11"/>
        <v>31.535039999999999</v>
      </c>
      <c r="U33" s="7">
        <f>'[2]Production Summary'!F34</f>
        <v>0</v>
      </c>
      <c r="V33" s="8">
        <f t="shared" si="12"/>
        <v>0</v>
      </c>
      <c r="W33" s="10">
        <f t="shared" si="13"/>
        <v>0</v>
      </c>
      <c r="X33" s="7">
        <f>'[2]Production Summary'!AB34</f>
        <v>298000.0000000018</v>
      </c>
      <c r="Y33" s="8">
        <f t="shared" si="14"/>
        <v>0.29800000000000182</v>
      </c>
      <c r="Z33" s="10">
        <f t="shared" si="15"/>
        <v>0.91486000000000556</v>
      </c>
      <c r="AA33" s="15"/>
      <c r="AB33" s="7">
        <f t="shared" si="16"/>
        <v>9966999.9999999981</v>
      </c>
      <c r="AC33" s="8">
        <f t="shared" si="16"/>
        <v>9.9669999999999987</v>
      </c>
      <c r="AD33" s="8">
        <f t="shared" si="16"/>
        <v>30.598689999999994</v>
      </c>
    </row>
    <row r="34" spans="1:30" x14ac:dyDescent="0.15">
      <c r="A34" s="27">
        <v>43130</v>
      </c>
      <c r="B34" s="7">
        <f>'[2]Production Summary'!J35</f>
        <v>0</v>
      </c>
      <c r="C34" s="8">
        <f t="shared" si="0"/>
        <v>0</v>
      </c>
      <c r="D34" s="10">
        <f t="shared" si="1"/>
        <v>0</v>
      </c>
      <c r="E34" s="7">
        <f>'[2]Production Summary'!E35</f>
        <v>0</v>
      </c>
      <c r="F34" s="8">
        <f t="shared" si="2"/>
        <v>0</v>
      </c>
      <c r="G34" s="10">
        <f t="shared" si="3"/>
        <v>0</v>
      </c>
      <c r="H34" s="7">
        <f>'[2]Production Summary'!G35</f>
        <v>0</v>
      </c>
      <c r="I34" s="8">
        <f t="shared" si="4"/>
        <v>0</v>
      </c>
      <c r="J34" s="10">
        <f t="shared" si="5"/>
        <v>0</v>
      </c>
      <c r="K34" s="7">
        <f>'[2]Production Summary'!T35</f>
        <v>0</v>
      </c>
      <c r="L34" s="8">
        <f t="shared" si="6"/>
        <v>0</v>
      </c>
      <c r="M34" s="10">
        <f t="shared" si="7"/>
        <v>0</v>
      </c>
      <c r="N34" s="21"/>
      <c r="O34" s="7">
        <f>'[2]Production Summary'!I35</f>
        <v>11775000</v>
      </c>
      <c r="P34" s="8">
        <f t="shared" si="8"/>
        <v>11.775</v>
      </c>
      <c r="Q34" s="10">
        <f t="shared" si="9"/>
        <v>36.149250000000002</v>
      </c>
      <c r="R34" s="7">
        <f>'[2]Production Summary'!C35</f>
        <v>12135000</v>
      </c>
      <c r="S34" s="8">
        <f t="shared" si="10"/>
        <v>12.135</v>
      </c>
      <c r="T34" s="10">
        <f t="shared" si="11"/>
        <v>37.254449999999999</v>
      </c>
      <c r="U34" s="7">
        <f>'[2]Production Summary'!F35</f>
        <v>0</v>
      </c>
      <c r="V34" s="8">
        <f t="shared" si="12"/>
        <v>0</v>
      </c>
      <c r="W34" s="10">
        <f t="shared" si="13"/>
        <v>0</v>
      </c>
      <c r="X34" s="7">
        <f>'[2]Production Summary'!AB35</f>
        <v>353999.99999999919</v>
      </c>
      <c r="Y34" s="8">
        <f t="shared" si="14"/>
        <v>0.3539999999999992</v>
      </c>
      <c r="Z34" s="10">
        <f t="shared" si="15"/>
        <v>1.0867799999999974</v>
      </c>
      <c r="AA34" s="15"/>
      <c r="AB34" s="7">
        <f t="shared" si="16"/>
        <v>11775000</v>
      </c>
      <c r="AC34" s="8">
        <f t="shared" si="16"/>
        <v>11.775</v>
      </c>
      <c r="AD34" s="8">
        <f t="shared" si="16"/>
        <v>36.149250000000002</v>
      </c>
    </row>
    <row r="35" spans="1:30" ht="14" thickBot="1" x14ac:dyDescent="0.2">
      <c r="A35" s="27">
        <v>43131</v>
      </c>
      <c r="B35" s="7">
        <f>'[2]Production Summary'!J36</f>
        <v>0</v>
      </c>
      <c r="C35" s="8">
        <f t="shared" si="0"/>
        <v>0</v>
      </c>
      <c r="D35" s="10">
        <f t="shared" si="1"/>
        <v>0</v>
      </c>
      <c r="E35" s="7">
        <f>'[2]Production Summary'!E36</f>
        <v>0</v>
      </c>
      <c r="F35" s="8">
        <f t="shared" si="2"/>
        <v>0</v>
      </c>
      <c r="G35" s="10">
        <f t="shared" si="3"/>
        <v>0</v>
      </c>
      <c r="H35" s="7">
        <f>'[2]Production Summary'!G36</f>
        <v>0</v>
      </c>
      <c r="I35" s="8">
        <f t="shared" si="4"/>
        <v>0</v>
      </c>
      <c r="J35" s="10">
        <f t="shared" si="5"/>
        <v>0</v>
      </c>
      <c r="K35" s="7">
        <f>'[2]Production Summary'!T36</f>
        <v>9242</v>
      </c>
      <c r="L35" s="8">
        <f t="shared" si="6"/>
        <v>9.2420000000000002E-3</v>
      </c>
      <c r="M35" s="10">
        <f t="shared" si="7"/>
        <v>2.8372939999999999E-2</v>
      </c>
      <c r="N35" s="21"/>
      <c r="O35" s="7">
        <f>'[2]Production Summary'!I36</f>
        <v>12018000.000000002</v>
      </c>
      <c r="P35" s="8">
        <f t="shared" si="8"/>
        <v>12.018000000000002</v>
      </c>
      <c r="Q35" s="10">
        <f t="shared" si="9"/>
        <v>36.895260000000007</v>
      </c>
      <c r="R35" s="7">
        <f>'[2]Production Summary'!C36</f>
        <v>12326000</v>
      </c>
      <c r="S35" s="8">
        <f t="shared" si="10"/>
        <v>12.326000000000001</v>
      </c>
      <c r="T35" s="10">
        <f t="shared" si="11"/>
        <v>37.840820000000001</v>
      </c>
      <c r="U35" s="7">
        <f>'[2]Production Summary'!F36</f>
        <v>0</v>
      </c>
      <c r="V35" s="8">
        <f t="shared" si="12"/>
        <v>0</v>
      </c>
      <c r="W35" s="10">
        <f t="shared" si="13"/>
        <v>0</v>
      </c>
      <c r="X35" s="7">
        <f>'[2]Production Summary'!AB36</f>
        <v>302999.99999999726</v>
      </c>
      <c r="Y35" s="8">
        <f t="shared" si="14"/>
        <v>0.30299999999999727</v>
      </c>
      <c r="Z35" s="10">
        <f t="shared" si="15"/>
        <v>0.93020999999999154</v>
      </c>
      <c r="AA35" s="15"/>
      <c r="AB35" s="7">
        <f t="shared" si="16"/>
        <v>12018000.000000002</v>
      </c>
      <c r="AC35" s="8">
        <f t="shared" si="16"/>
        <v>12.018000000000002</v>
      </c>
      <c r="AD35" s="8">
        <f t="shared" si="16"/>
        <v>36.895260000000007</v>
      </c>
    </row>
    <row r="36" spans="1:30" s="18" customFormat="1" ht="14" thickBot="1" x14ac:dyDescent="0.2">
      <c r="A36" s="15"/>
      <c r="B36" s="37"/>
      <c r="C36" s="38">
        <f t="shared" ref="C36:W36" si="17">SUM(C5:C35)</f>
        <v>0</v>
      </c>
      <c r="D36" s="38">
        <f t="shared" si="17"/>
        <v>0</v>
      </c>
      <c r="E36" s="37"/>
      <c r="F36" s="38">
        <f t="shared" si="17"/>
        <v>0</v>
      </c>
      <c r="G36" s="38">
        <f t="shared" si="17"/>
        <v>0</v>
      </c>
      <c r="H36" s="37"/>
      <c r="I36" s="38">
        <f t="shared" si="17"/>
        <v>0</v>
      </c>
      <c r="J36" s="38">
        <f t="shared" si="17"/>
        <v>0</v>
      </c>
      <c r="K36" s="37"/>
      <c r="L36" s="38">
        <f>SUM(L5:L35)</f>
        <v>1.9550999999999999E-2</v>
      </c>
      <c r="M36" s="38">
        <f>SUM(M5:M35)</f>
        <v>6.0021569999999996E-2</v>
      </c>
      <c r="N36" s="14"/>
      <c r="O36" s="37"/>
      <c r="P36" s="38">
        <f t="shared" si="17"/>
        <v>370.63600000000002</v>
      </c>
      <c r="Q36" s="38">
        <f t="shared" si="17"/>
        <v>1137.8525199999997</v>
      </c>
      <c r="R36" s="37"/>
      <c r="S36" s="38">
        <f t="shared" si="17"/>
        <v>381.02299999999991</v>
      </c>
      <c r="T36" s="38">
        <f t="shared" si="17"/>
        <v>1169.7406099999996</v>
      </c>
      <c r="U36" s="37"/>
      <c r="V36" s="38">
        <f t="shared" si="17"/>
        <v>0</v>
      </c>
      <c r="W36" s="38">
        <f t="shared" si="17"/>
        <v>0</v>
      </c>
      <c r="X36" s="37"/>
      <c r="Y36" s="38">
        <f>SUM(Y5:Y35)</f>
        <v>10.189999999999998</v>
      </c>
      <c r="Z36" s="38">
        <f>SUM(Z5:Z35)</f>
        <v>31.283299999999993</v>
      </c>
      <c r="AA36" s="14"/>
      <c r="AB36" s="37"/>
      <c r="AC36" s="38">
        <f>SUM(AC5:AC35)</f>
        <v>370.63600000000002</v>
      </c>
      <c r="AD36" s="38">
        <f>AC36*3.07</f>
        <v>1137.8525199999999</v>
      </c>
    </row>
  </sheetData>
  <mergeCells count="9">
    <mergeCell ref="AB3:AD3"/>
    <mergeCell ref="B3:D3"/>
    <mergeCell ref="O3:Q3"/>
    <mergeCell ref="U3:W3"/>
    <mergeCell ref="E3:G3"/>
    <mergeCell ref="H3:J3"/>
    <mergeCell ref="R3:T3"/>
    <mergeCell ref="K3:M3"/>
    <mergeCell ref="X3:Z3"/>
  </mergeCells>
  <phoneticPr fontId="1" type="noConversion"/>
  <pageMargins left="0.75" right="0.75" top="1" bottom="1" header="0.5" footer="0.5"/>
  <pageSetup scale="40" orientation="landscape" r:id="rId1"/>
  <headerFooter alignWithMargins="0">
    <oddFooter>&amp;R&amp;D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AD37"/>
  <sheetViews>
    <sheetView tabSelected="1" workbookViewId="0">
      <pane xSplit="1" ySplit="4" topLeftCell="Q5" activePane="bottomRight" state="frozen"/>
      <selection pane="topRight" activeCell="B1" sqref="B1"/>
      <selection pane="bottomLeft" activeCell="A5" sqref="A5"/>
      <selection pane="bottomRight" activeCell="AD34" sqref="AD34"/>
    </sheetView>
  </sheetViews>
  <sheetFormatPr baseColWidth="10" defaultColWidth="8.83203125" defaultRowHeight="13" x14ac:dyDescent="0.15"/>
  <cols>
    <col min="2" max="2" width="11.6640625" customWidth="1"/>
    <col min="5" max="5" width="11.5" customWidth="1"/>
    <col min="8" max="8" width="11.6640625" customWidth="1"/>
    <col min="11" max="11" width="14.83203125" bestFit="1" customWidth="1"/>
    <col min="12" max="12" width="11.5" customWidth="1"/>
    <col min="15" max="15" width="11.5" customWidth="1"/>
    <col min="18" max="18" width="11.5" customWidth="1"/>
    <col min="22" max="22" width="11" customWidth="1"/>
    <col min="24" max="24" width="13.6640625" customWidth="1"/>
    <col min="28" max="28" width="14.5" bestFit="1" customWidth="1"/>
  </cols>
  <sheetData>
    <row r="1" spans="1:30" x14ac:dyDescent="0.15">
      <c r="A1" s="41"/>
      <c r="B1" s="39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">
      <c r="A3" s="3"/>
      <c r="B3" s="59" t="s">
        <v>10</v>
      </c>
      <c r="C3" s="60"/>
      <c r="D3" s="61"/>
      <c r="E3" s="59" t="s">
        <v>11</v>
      </c>
      <c r="F3" s="60"/>
      <c r="G3" s="61"/>
      <c r="H3" s="59" t="s">
        <v>12</v>
      </c>
      <c r="I3" s="60"/>
      <c r="J3" s="61"/>
      <c r="K3" s="59" t="s">
        <v>13</v>
      </c>
      <c r="L3" s="60"/>
      <c r="M3" s="61"/>
      <c r="N3" s="19"/>
      <c r="O3" s="59" t="s">
        <v>4</v>
      </c>
      <c r="P3" s="60"/>
      <c r="Q3" s="61"/>
      <c r="R3" s="59" t="s">
        <v>3</v>
      </c>
      <c r="S3" s="60"/>
      <c r="T3" s="61"/>
      <c r="U3" s="59" t="s">
        <v>6</v>
      </c>
      <c r="V3" s="60"/>
      <c r="W3" s="61"/>
      <c r="X3" s="59" t="s">
        <v>7</v>
      </c>
      <c r="Y3" s="60"/>
      <c r="Z3" s="61"/>
      <c r="AA3" s="19"/>
      <c r="AB3" s="56" t="s">
        <v>8</v>
      </c>
      <c r="AC3" s="57"/>
      <c r="AD3" s="58"/>
    </row>
    <row r="4" spans="1:30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4" t="s">
        <v>0</v>
      </c>
      <c r="AC4" s="35" t="s">
        <v>1</v>
      </c>
      <c r="AD4" s="36" t="s">
        <v>2</v>
      </c>
    </row>
    <row r="5" spans="1:30" x14ac:dyDescent="0.15">
      <c r="A5" s="27">
        <v>43132</v>
      </c>
      <c r="B5" s="7">
        <f>'[2]Production Summary'!J37</f>
        <v>0</v>
      </c>
      <c r="C5" s="8">
        <f>B5/1000000</f>
        <v>0</v>
      </c>
      <c r="D5" s="10">
        <f>C5*3.07</f>
        <v>0</v>
      </c>
      <c r="E5" s="7">
        <f>'[2]Production Summary'!E37</f>
        <v>0</v>
      </c>
      <c r="F5" s="8">
        <f>E5/1000000</f>
        <v>0</v>
      </c>
      <c r="G5" s="10">
        <f>F5*3.07</f>
        <v>0</v>
      </c>
      <c r="H5" s="7">
        <f>'[2]Production Summary'!G37</f>
        <v>0</v>
      </c>
      <c r="I5" s="8">
        <f>H5/1000000</f>
        <v>0</v>
      </c>
      <c r="J5" s="10">
        <f>I5*3.07</f>
        <v>0</v>
      </c>
      <c r="K5" s="7">
        <f>'[2]Production Summary'!T37</f>
        <v>0</v>
      </c>
      <c r="L5" s="8">
        <f>K5/1000000</f>
        <v>0</v>
      </c>
      <c r="M5" s="10">
        <f>L5*3.07</f>
        <v>0</v>
      </c>
      <c r="N5" s="21"/>
      <c r="O5" s="7">
        <f>'[2]Production Summary'!I37</f>
        <v>11651999.999999996</v>
      </c>
      <c r="P5" s="8">
        <f>O5/1000000</f>
        <v>11.651999999999996</v>
      </c>
      <c r="Q5" s="10">
        <f>P5*3.07</f>
        <v>35.771639999999984</v>
      </c>
      <c r="R5" s="7">
        <f>'[2]Production Summary'!C37</f>
        <v>11906000</v>
      </c>
      <c r="S5" s="8">
        <f>R5/1000000</f>
        <v>11.906000000000001</v>
      </c>
      <c r="T5" s="10">
        <f>S5*3.07</f>
        <v>36.55142</v>
      </c>
      <c r="U5" s="7">
        <f>'[2]Production Summary'!F37</f>
        <v>0</v>
      </c>
      <c r="V5" s="8">
        <f>U5/1000000</f>
        <v>0</v>
      </c>
      <c r="W5" s="10">
        <f>V5*3.07</f>
        <v>0</v>
      </c>
      <c r="X5" s="7">
        <f>'[2]Production Summary'!AB37</f>
        <v>248000.00000000466</v>
      </c>
      <c r="Y5" s="8">
        <f>X5/1000000</f>
        <v>0.24800000000000466</v>
      </c>
      <c r="Z5" s="10">
        <f>Y5*3.07</f>
        <v>0.76136000000001425</v>
      </c>
      <c r="AA5" s="15"/>
      <c r="AB5" s="7">
        <f>B5+O5</f>
        <v>11651999.999999996</v>
      </c>
      <c r="AC5" s="8">
        <f>C5+P5</f>
        <v>11.651999999999996</v>
      </c>
      <c r="AD5" s="8">
        <f>D5+Q5</f>
        <v>35.771639999999984</v>
      </c>
    </row>
    <row r="6" spans="1:30" x14ac:dyDescent="0.15">
      <c r="A6" s="27">
        <v>43133</v>
      </c>
      <c r="B6" s="7">
        <f>'[2]Production Summary'!J38</f>
        <v>0</v>
      </c>
      <c r="C6" s="8">
        <f t="shared" ref="C6:C32" si="0">B6/1000000</f>
        <v>0</v>
      </c>
      <c r="D6" s="10">
        <f t="shared" ref="D6:D32" si="1">C6*3.07</f>
        <v>0</v>
      </c>
      <c r="E6" s="7">
        <f>'[2]Production Summary'!E38</f>
        <v>0</v>
      </c>
      <c r="F6" s="8">
        <f t="shared" ref="F6:F32" si="2">E6/1000000</f>
        <v>0</v>
      </c>
      <c r="G6" s="10">
        <f t="shared" ref="G6:G32" si="3">F6*3.07</f>
        <v>0</v>
      </c>
      <c r="H6" s="7">
        <f>'[2]Production Summary'!G38</f>
        <v>0</v>
      </c>
      <c r="I6" s="8">
        <f t="shared" ref="I6:I32" si="4">H6/1000000</f>
        <v>0</v>
      </c>
      <c r="J6" s="10">
        <f t="shared" ref="J6:J32" si="5">I6*3.07</f>
        <v>0</v>
      </c>
      <c r="K6" s="7">
        <f>'[2]Production Summary'!T38</f>
        <v>0</v>
      </c>
      <c r="L6" s="8">
        <f t="shared" ref="L6:L23" si="6">K6/1000000</f>
        <v>0</v>
      </c>
      <c r="M6" s="10">
        <f t="shared" ref="M6:M32" si="7">L6*3.07</f>
        <v>0</v>
      </c>
      <c r="N6" s="21"/>
      <c r="O6" s="7">
        <f>'[2]Production Summary'!I38</f>
        <v>11841999.999999998</v>
      </c>
      <c r="P6" s="8">
        <f t="shared" ref="P6:P32" si="8">O6/1000000</f>
        <v>11.841999999999999</v>
      </c>
      <c r="Q6" s="10">
        <f t="shared" ref="Q6:Q32" si="9">P6*3.07</f>
        <v>36.354939999999992</v>
      </c>
      <c r="R6" s="7">
        <f>'[2]Production Summary'!C38</f>
        <v>12142000</v>
      </c>
      <c r="S6" s="8">
        <f t="shared" ref="S6:S32" si="10">R6/1000000</f>
        <v>12.141999999999999</v>
      </c>
      <c r="T6" s="10">
        <f t="shared" ref="T6:T32" si="11">S6*3.07</f>
        <v>37.275939999999999</v>
      </c>
      <c r="U6" s="7">
        <f>'[2]Production Summary'!F38</f>
        <v>0</v>
      </c>
      <c r="V6" s="8">
        <f t="shared" ref="V6:V32" si="12">U6/1000000</f>
        <v>0</v>
      </c>
      <c r="W6" s="10">
        <f t="shared" ref="W6:W32" si="13">V6*3.07</f>
        <v>0</v>
      </c>
      <c r="X6" s="7">
        <f>'[2]Production Summary'!AB38</f>
        <v>295000.00000000169</v>
      </c>
      <c r="Y6" s="8">
        <f t="shared" ref="Y6:Y32" si="14">X6/1000000</f>
        <v>0.29500000000000171</v>
      </c>
      <c r="Z6" s="10">
        <f t="shared" ref="Z6:Z32" si="15">Y6*3.07</f>
        <v>0.90565000000000517</v>
      </c>
      <c r="AA6" s="15"/>
      <c r="AB6" s="7">
        <f t="shared" ref="AB6:AB17" si="16">B6+O6</f>
        <v>11841999.999999998</v>
      </c>
      <c r="AC6" s="8">
        <f t="shared" ref="AB6:AD34" si="17">C6+P6</f>
        <v>11.841999999999999</v>
      </c>
      <c r="AD6" s="8">
        <f t="shared" si="17"/>
        <v>36.354939999999992</v>
      </c>
    </row>
    <row r="7" spans="1:30" x14ac:dyDescent="0.15">
      <c r="A7" s="27">
        <v>43134</v>
      </c>
      <c r="B7" s="7">
        <f>'[2]Production Summary'!J39</f>
        <v>0</v>
      </c>
      <c r="C7" s="8">
        <f t="shared" si="0"/>
        <v>0</v>
      </c>
      <c r="D7" s="10">
        <f t="shared" si="1"/>
        <v>0</v>
      </c>
      <c r="E7" s="7">
        <f>'[2]Production Summary'!E39</f>
        <v>0</v>
      </c>
      <c r="F7" s="8">
        <f t="shared" si="2"/>
        <v>0</v>
      </c>
      <c r="G7" s="10">
        <f t="shared" si="3"/>
        <v>0</v>
      </c>
      <c r="H7" s="7">
        <f>'[2]Production Summary'!G39</f>
        <v>0</v>
      </c>
      <c r="I7" s="8">
        <f t="shared" si="4"/>
        <v>0</v>
      </c>
      <c r="J7" s="10">
        <f t="shared" si="5"/>
        <v>0</v>
      </c>
      <c r="K7" s="7">
        <f>'[2]Production Summary'!T39</f>
        <v>0</v>
      </c>
      <c r="L7" s="8">
        <f t="shared" si="6"/>
        <v>0</v>
      </c>
      <c r="M7" s="10">
        <f t="shared" si="7"/>
        <v>0</v>
      </c>
      <c r="N7" s="21"/>
      <c r="O7" s="7">
        <f>'[2]Production Summary'!I39</f>
        <v>11832000.000000002</v>
      </c>
      <c r="P7" s="8">
        <f t="shared" si="8"/>
        <v>11.832000000000003</v>
      </c>
      <c r="Q7" s="10">
        <f t="shared" si="9"/>
        <v>36.324240000000003</v>
      </c>
      <c r="R7" s="7">
        <f>'[2]Production Summary'!C39</f>
        <v>12151000</v>
      </c>
      <c r="S7" s="8">
        <f t="shared" si="10"/>
        <v>12.151</v>
      </c>
      <c r="T7" s="10">
        <f t="shared" si="11"/>
        <v>37.303570000000001</v>
      </c>
      <c r="U7" s="7">
        <f>'[2]Production Summary'!F39</f>
        <v>0</v>
      </c>
      <c r="V7" s="8">
        <f t="shared" si="12"/>
        <v>0</v>
      </c>
      <c r="W7" s="10">
        <f t="shared" si="13"/>
        <v>0</v>
      </c>
      <c r="X7" s="7">
        <f>'[2]Production Summary'!AB39</f>
        <v>311999.99999999761</v>
      </c>
      <c r="Y7" s="8">
        <f t="shared" si="14"/>
        <v>0.31199999999999761</v>
      </c>
      <c r="Z7" s="10">
        <f t="shared" si="15"/>
        <v>0.95783999999999259</v>
      </c>
      <c r="AA7" s="15"/>
      <c r="AB7" s="7">
        <f t="shared" si="16"/>
        <v>11832000.000000002</v>
      </c>
      <c r="AC7" s="8">
        <f t="shared" si="17"/>
        <v>11.832000000000003</v>
      </c>
      <c r="AD7" s="8">
        <f t="shared" si="17"/>
        <v>36.324240000000003</v>
      </c>
    </row>
    <row r="8" spans="1:30" x14ac:dyDescent="0.15">
      <c r="A8" s="27">
        <v>43135</v>
      </c>
      <c r="B8" s="7">
        <f>'[2]Production Summary'!J40</f>
        <v>0</v>
      </c>
      <c r="C8" s="8">
        <f t="shared" si="0"/>
        <v>0</v>
      </c>
      <c r="D8" s="10">
        <f t="shared" si="1"/>
        <v>0</v>
      </c>
      <c r="E8" s="7">
        <f>'[2]Production Summary'!E40</f>
        <v>0</v>
      </c>
      <c r="F8" s="8">
        <f t="shared" si="2"/>
        <v>0</v>
      </c>
      <c r="G8" s="10">
        <f t="shared" si="3"/>
        <v>0</v>
      </c>
      <c r="H8" s="7">
        <f>'[2]Production Summary'!G40</f>
        <v>0</v>
      </c>
      <c r="I8" s="8">
        <f t="shared" si="4"/>
        <v>0</v>
      </c>
      <c r="J8" s="10">
        <f t="shared" si="5"/>
        <v>0</v>
      </c>
      <c r="K8" s="7">
        <f>'[2]Production Summary'!T40</f>
        <v>0</v>
      </c>
      <c r="L8" s="8">
        <f t="shared" si="6"/>
        <v>0</v>
      </c>
      <c r="M8" s="10">
        <f t="shared" si="7"/>
        <v>0</v>
      </c>
      <c r="N8" s="21"/>
      <c r="O8" s="7">
        <f>'[2]Production Summary'!I40</f>
        <v>12432000</v>
      </c>
      <c r="P8" s="8">
        <f t="shared" si="8"/>
        <v>12.432</v>
      </c>
      <c r="Q8" s="10">
        <f t="shared" si="9"/>
        <v>38.166240000000002</v>
      </c>
      <c r="R8" s="7">
        <f>'[2]Production Summary'!C40</f>
        <v>12803000</v>
      </c>
      <c r="S8" s="8">
        <f t="shared" si="10"/>
        <v>12.803000000000001</v>
      </c>
      <c r="T8" s="10">
        <f t="shared" si="11"/>
        <v>39.305210000000002</v>
      </c>
      <c r="U8" s="7">
        <f>'[2]Production Summary'!F40</f>
        <v>0</v>
      </c>
      <c r="V8" s="8">
        <f t="shared" si="12"/>
        <v>0</v>
      </c>
      <c r="W8" s="10">
        <f t="shared" si="13"/>
        <v>0</v>
      </c>
      <c r="X8" s="7">
        <f>'[2]Production Summary'!AB40</f>
        <v>362999.99999999953</v>
      </c>
      <c r="Y8" s="8">
        <f t="shared" si="14"/>
        <v>0.36299999999999955</v>
      </c>
      <c r="Z8" s="10">
        <f t="shared" si="15"/>
        <v>1.1144099999999986</v>
      </c>
      <c r="AA8" s="15"/>
      <c r="AB8" s="7">
        <f t="shared" si="16"/>
        <v>12432000</v>
      </c>
      <c r="AC8" s="8">
        <f t="shared" si="17"/>
        <v>12.432</v>
      </c>
      <c r="AD8" s="8">
        <f>D8+Q8</f>
        <v>38.166240000000002</v>
      </c>
    </row>
    <row r="9" spans="1:30" x14ac:dyDescent="0.15">
      <c r="A9" s="27">
        <v>43136</v>
      </c>
      <c r="B9" s="7">
        <f>'[2]Production Summary'!J41</f>
        <v>0</v>
      </c>
      <c r="C9" s="8">
        <f t="shared" si="0"/>
        <v>0</v>
      </c>
      <c r="D9" s="10">
        <f t="shared" si="1"/>
        <v>0</v>
      </c>
      <c r="E9" s="7">
        <f>'[2]Production Summary'!E41</f>
        <v>0</v>
      </c>
      <c r="F9" s="8">
        <f t="shared" si="2"/>
        <v>0</v>
      </c>
      <c r="G9" s="10">
        <f t="shared" si="3"/>
        <v>0</v>
      </c>
      <c r="H9" s="7">
        <f>'[2]Production Summary'!G41</f>
        <v>0</v>
      </c>
      <c r="I9" s="8">
        <f t="shared" si="4"/>
        <v>0</v>
      </c>
      <c r="J9" s="10">
        <f t="shared" si="5"/>
        <v>0</v>
      </c>
      <c r="K9" s="7">
        <f>'[2]Production Summary'!T41</f>
        <v>0</v>
      </c>
      <c r="L9" s="8">
        <f t="shared" si="6"/>
        <v>0</v>
      </c>
      <c r="M9" s="10">
        <f t="shared" si="7"/>
        <v>0</v>
      </c>
      <c r="N9" s="21"/>
      <c r="O9" s="7">
        <f>'[2]Production Summary'!I41</f>
        <v>13108000.000000006</v>
      </c>
      <c r="P9" s="8">
        <f t="shared" si="8"/>
        <v>13.108000000000006</v>
      </c>
      <c r="Q9" s="10">
        <f t="shared" si="9"/>
        <v>40.241560000000014</v>
      </c>
      <c r="R9" s="7">
        <f>'[2]Production Summary'!C41</f>
        <v>13482000</v>
      </c>
      <c r="S9" s="8">
        <f t="shared" si="10"/>
        <v>13.481999999999999</v>
      </c>
      <c r="T9" s="10">
        <f t="shared" si="11"/>
        <v>41.389739999999996</v>
      </c>
      <c r="U9" s="7">
        <f>'[2]Production Summary'!F41</f>
        <v>0</v>
      </c>
      <c r="V9" s="8">
        <f t="shared" si="12"/>
        <v>0</v>
      </c>
      <c r="W9" s="10">
        <f t="shared" si="13"/>
        <v>0</v>
      </c>
      <c r="X9" s="7">
        <f>'[2]Production Summary'!AB41</f>
        <v>367999.99999999499</v>
      </c>
      <c r="Y9" s="8">
        <f t="shared" si="14"/>
        <v>0.367999999999995</v>
      </c>
      <c r="Z9" s="10">
        <f t="shared" si="15"/>
        <v>1.1297599999999846</v>
      </c>
      <c r="AA9" s="15"/>
      <c r="AB9" s="7">
        <f t="shared" si="16"/>
        <v>13108000.000000006</v>
      </c>
      <c r="AC9" s="8">
        <f t="shared" si="17"/>
        <v>13.108000000000006</v>
      </c>
      <c r="AD9" s="8">
        <f t="shared" si="17"/>
        <v>40.241560000000014</v>
      </c>
    </row>
    <row r="10" spans="1:30" x14ac:dyDescent="0.15">
      <c r="A10" s="27">
        <v>43137</v>
      </c>
      <c r="B10" s="7">
        <f>'[2]Production Summary'!J42</f>
        <v>0</v>
      </c>
      <c r="C10" s="8">
        <f t="shared" si="0"/>
        <v>0</v>
      </c>
      <c r="D10" s="10">
        <f t="shared" si="1"/>
        <v>0</v>
      </c>
      <c r="E10" s="7">
        <f>'[2]Production Summary'!E42</f>
        <v>0</v>
      </c>
      <c r="F10" s="8">
        <f t="shared" si="2"/>
        <v>0</v>
      </c>
      <c r="G10" s="10">
        <f t="shared" si="3"/>
        <v>0</v>
      </c>
      <c r="H10" s="7">
        <f>'[2]Production Summary'!G42</f>
        <v>0</v>
      </c>
      <c r="I10" s="8">
        <f t="shared" si="4"/>
        <v>0</v>
      </c>
      <c r="J10" s="10">
        <f t="shared" si="5"/>
        <v>0</v>
      </c>
      <c r="K10" s="7">
        <f>'[2]Production Summary'!T42</f>
        <v>0</v>
      </c>
      <c r="L10" s="8">
        <f t="shared" si="6"/>
        <v>0</v>
      </c>
      <c r="M10" s="10">
        <f t="shared" si="7"/>
        <v>0</v>
      </c>
      <c r="N10" s="21"/>
      <c r="O10" s="7">
        <f>'[2]Production Summary'!I42</f>
        <v>12066999.999999994</v>
      </c>
      <c r="P10" s="8">
        <f t="shared" si="8"/>
        <v>12.066999999999995</v>
      </c>
      <c r="Q10" s="10">
        <f t="shared" si="9"/>
        <v>37.045689999999979</v>
      </c>
      <c r="R10" s="7">
        <f>'[2]Production Summary'!C42</f>
        <v>12329000</v>
      </c>
      <c r="S10" s="8">
        <f t="shared" si="10"/>
        <v>12.329000000000001</v>
      </c>
      <c r="T10" s="10">
        <f t="shared" si="11"/>
        <v>37.850029999999997</v>
      </c>
      <c r="U10" s="7">
        <f>'[2]Production Summary'!F42</f>
        <v>0</v>
      </c>
      <c r="V10" s="8">
        <f t="shared" si="12"/>
        <v>0</v>
      </c>
      <c r="W10" s="10">
        <f t="shared" si="13"/>
        <v>0</v>
      </c>
      <c r="X10" s="7">
        <f>'[2]Production Summary'!AB42</f>
        <v>257000.00000000501</v>
      </c>
      <c r="Y10" s="8">
        <f t="shared" si="14"/>
        <v>0.257000000000005</v>
      </c>
      <c r="Z10" s="10">
        <f t="shared" si="15"/>
        <v>0.78899000000001529</v>
      </c>
      <c r="AA10" s="15"/>
      <c r="AB10" s="7">
        <f t="shared" si="16"/>
        <v>12066999.999999994</v>
      </c>
      <c r="AC10" s="8">
        <f t="shared" si="17"/>
        <v>12.066999999999995</v>
      </c>
      <c r="AD10" s="8">
        <f t="shared" si="17"/>
        <v>37.045689999999979</v>
      </c>
    </row>
    <row r="11" spans="1:30" x14ac:dyDescent="0.15">
      <c r="A11" s="27">
        <v>43138</v>
      </c>
      <c r="B11" s="7">
        <f>'[2]Production Summary'!J43</f>
        <v>0</v>
      </c>
      <c r="C11" s="8">
        <f t="shared" si="0"/>
        <v>0</v>
      </c>
      <c r="D11" s="10">
        <f t="shared" si="1"/>
        <v>0</v>
      </c>
      <c r="E11" s="7">
        <f>'[2]Production Summary'!E43</f>
        <v>0</v>
      </c>
      <c r="F11" s="8">
        <f t="shared" si="2"/>
        <v>0</v>
      </c>
      <c r="G11" s="10">
        <f t="shared" si="3"/>
        <v>0</v>
      </c>
      <c r="H11" s="7">
        <f>'[2]Production Summary'!G43</f>
        <v>0</v>
      </c>
      <c r="I11" s="8">
        <f t="shared" si="4"/>
        <v>0</v>
      </c>
      <c r="J11" s="10">
        <f t="shared" si="5"/>
        <v>0</v>
      </c>
      <c r="K11" s="7">
        <f>'[2]Production Summary'!T43</f>
        <v>0</v>
      </c>
      <c r="L11" s="8">
        <f t="shared" si="6"/>
        <v>0</v>
      </c>
      <c r="M11" s="10">
        <f t="shared" si="7"/>
        <v>0</v>
      </c>
      <c r="N11" s="21"/>
      <c r="O11" s="7">
        <f>'[2]Production Summary'!I43</f>
        <v>11090999.999999994</v>
      </c>
      <c r="P11" s="8">
        <f t="shared" si="8"/>
        <v>11.090999999999994</v>
      </c>
      <c r="Q11" s="10">
        <f t="shared" si="9"/>
        <v>34.049369999999982</v>
      </c>
      <c r="R11" s="7">
        <f>'[2]Production Summary'!C43</f>
        <v>11390000</v>
      </c>
      <c r="S11" s="8">
        <f t="shared" si="10"/>
        <v>11.39</v>
      </c>
      <c r="T11" s="10">
        <f t="shared" si="11"/>
        <v>34.967300000000002</v>
      </c>
      <c r="U11" s="7">
        <f>'[2]Production Summary'!F43</f>
        <v>0</v>
      </c>
      <c r="V11" s="8">
        <f t="shared" si="12"/>
        <v>0</v>
      </c>
      <c r="W11" s="10">
        <f t="shared" si="13"/>
        <v>0</v>
      </c>
      <c r="X11" s="7">
        <f>'[2]Production Summary'!AB43</f>
        <v>293000.00000000634</v>
      </c>
      <c r="Y11" s="8">
        <f t="shared" si="14"/>
        <v>0.29300000000000637</v>
      </c>
      <c r="Z11" s="10">
        <f t="shared" si="15"/>
        <v>0.89951000000001946</v>
      </c>
      <c r="AA11" s="15"/>
      <c r="AB11" s="7">
        <f t="shared" si="16"/>
        <v>11090999.999999994</v>
      </c>
      <c r="AC11" s="8">
        <f t="shared" si="17"/>
        <v>11.090999999999994</v>
      </c>
      <c r="AD11" s="8">
        <f t="shared" si="17"/>
        <v>34.049369999999982</v>
      </c>
    </row>
    <row r="12" spans="1:30" x14ac:dyDescent="0.15">
      <c r="A12" s="27">
        <v>43139</v>
      </c>
      <c r="B12" s="7">
        <f>'[2]Production Summary'!J44</f>
        <v>0</v>
      </c>
      <c r="C12" s="8">
        <f t="shared" si="0"/>
        <v>0</v>
      </c>
      <c r="D12" s="10">
        <f t="shared" si="1"/>
        <v>0</v>
      </c>
      <c r="E12" s="7">
        <f>'[2]Production Summary'!E44</f>
        <v>0</v>
      </c>
      <c r="F12" s="8">
        <f t="shared" si="2"/>
        <v>0</v>
      </c>
      <c r="G12" s="10">
        <f t="shared" si="3"/>
        <v>0</v>
      </c>
      <c r="H12" s="7">
        <f>'[2]Production Summary'!G44</f>
        <v>0</v>
      </c>
      <c r="I12" s="8">
        <f t="shared" si="4"/>
        <v>0</v>
      </c>
      <c r="J12" s="10">
        <f t="shared" si="5"/>
        <v>0</v>
      </c>
      <c r="K12" s="7">
        <f>'[2]Production Summary'!T44</f>
        <v>0</v>
      </c>
      <c r="L12" s="8">
        <f t="shared" si="6"/>
        <v>0</v>
      </c>
      <c r="M12" s="10">
        <f t="shared" si="7"/>
        <v>0</v>
      </c>
      <c r="N12" s="21"/>
      <c r="O12" s="7">
        <f>'[2]Production Summary'!I44</f>
        <v>11191000.000000006</v>
      </c>
      <c r="P12" s="8">
        <f t="shared" si="8"/>
        <v>11.191000000000006</v>
      </c>
      <c r="Q12" s="10">
        <f t="shared" si="9"/>
        <v>34.35637000000002</v>
      </c>
      <c r="R12" s="7">
        <f>'[2]Production Summary'!C44</f>
        <v>11545000</v>
      </c>
      <c r="S12" s="8">
        <f t="shared" si="10"/>
        <v>11.545</v>
      </c>
      <c r="T12" s="10">
        <f t="shared" si="11"/>
        <v>35.443149999999996</v>
      </c>
      <c r="U12" s="7">
        <f>'[2]Production Summary'!F44</f>
        <v>0</v>
      </c>
      <c r="V12" s="8">
        <f t="shared" si="12"/>
        <v>0</v>
      </c>
      <c r="W12" s="10">
        <f t="shared" si="13"/>
        <v>0</v>
      </c>
      <c r="X12" s="7">
        <f>'[2]Production Summary'!AB44</f>
        <v>346999.99999999418</v>
      </c>
      <c r="Y12" s="8">
        <f t="shared" si="14"/>
        <v>0.3469999999999942</v>
      </c>
      <c r="Z12" s="10">
        <f t="shared" si="15"/>
        <v>1.0652899999999821</v>
      </c>
      <c r="AA12" s="15"/>
      <c r="AB12" s="7">
        <f t="shared" si="16"/>
        <v>11191000.000000006</v>
      </c>
      <c r="AC12" s="8">
        <f t="shared" si="17"/>
        <v>11.191000000000006</v>
      </c>
      <c r="AD12" s="8">
        <f t="shared" si="17"/>
        <v>34.35637000000002</v>
      </c>
    </row>
    <row r="13" spans="1:30" x14ac:dyDescent="0.15">
      <c r="A13" s="27">
        <v>43140</v>
      </c>
      <c r="B13" s="7">
        <f>'[2]Production Summary'!J45</f>
        <v>0</v>
      </c>
      <c r="C13" s="8">
        <f t="shared" si="0"/>
        <v>0</v>
      </c>
      <c r="D13" s="10">
        <f t="shared" si="1"/>
        <v>0</v>
      </c>
      <c r="E13" s="7">
        <f>'[2]Production Summary'!E45</f>
        <v>0</v>
      </c>
      <c r="F13" s="8">
        <f t="shared" si="2"/>
        <v>0</v>
      </c>
      <c r="G13" s="10">
        <f t="shared" si="3"/>
        <v>0</v>
      </c>
      <c r="H13" s="7">
        <f>'[2]Production Summary'!G45</f>
        <v>0</v>
      </c>
      <c r="I13" s="8">
        <f t="shared" si="4"/>
        <v>0</v>
      </c>
      <c r="J13" s="10">
        <f t="shared" si="5"/>
        <v>0</v>
      </c>
      <c r="K13" s="7">
        <f>'[2]Production Summary'!T45</f>
        <v>0</v>
      </c>
      <c r="L13" s="8">
        <f t="shared" si="6"/>
        <v>0</v>
      </c>
      <c r="M13" s="10">
        <f t="shared" si="7"/>
        <v>0</v>
      </c>
      <c r="N13" s="21"/>
      <c r="O13" s="7">
        <f>'[2]Production Summary'!I45</f>
        <v>10335000</v>
      </c>
      <c r="P13" s="8">
        <f t="shared" si="8"/>
        <v>10.335000000000001</v>
      </c>
      <c r="Q13" s="10">
        <f t="shared" si="9"/>
        <v>31.728450000000002</v>
      </c>
      <c r="R13" s="7">
        <f>'[2]Production Summary'!C45</f>
        <v>10704000</v>
      </c>
      <c r="S13" s="8">
        <f t="shared" si="10"/>
        <v>10.704000000000001</v>
      </c>
      <c r="T13" s="10">
        <f t="shared" si="11"/>
        <v>32.861280000000001</v>
      </c>
      <c r="U13" s="7">
        <f>'[2]Production Summary'!F45</f>
        <v>0</v>
      </c>
      <c r="V13" s="8">
        <f t="shared" si="12"/>
        <v>0</v>
      </c>
      <c r="W13" s="10">
        <f t="shared" si="13"/>
        <v>0</v>
      </c>
      <c r="X13" s="7">
        <f>'[2]Production Summary'!AB45</f>
        <v>362999.99999999953</v>
      </c>
      <c r="Y13" s="8">
        <f t="shared" si="14"/>
        <v>0.36299999999999955</v>
      </c>
      <c r="Z13" s="10">
        <f t="shared" si="15"/>
        <v>1.1144099999999986</v>
      </c>
      <c r="AA13" s="15"/>
      <c r="AB13" s="7">
        <f t="shared" si="16"/>
        <v>10335000</v>
      </c>
      <c r="AC13" s="8">
        <f t="shared" si="17"/>
        <v>10.335000000000001</v>
      </c>
      <c r="AD13" s="8">
        <f t="shared" si="17"/>
        <v>31.728450000000002</v>
      </c>
    </row>
    <row r="14" spans="1:30" x14ac:dyDescent="0.15">
      <c r="A14" s="27">
        <v>43141</v>
      </c>
      <c r="B14" s="7">
        <f>'[2]Production Summary'!J46</f>
        <v>0</v>
      </c>
      <c r="C14" s="8">
        <f t="shared" si="0"/>
        <v>0</v>
      </c>
      <c r="D14" s="10">
        <f t="shared" si="1"/>
        <v>0</v>
      </c>
      <c r="E14" s="7">
        <f>'[2]Production Summary'!E46</f>
        <v>0</v>
      </c>
      <c r="F14" s="8">
        <f t="shared" si="2"/>
        <v>0</v>
      </c>
      <c r="G14" s="10">
        <f t="shared" si="3"/>
        <v>0</v>
      </c>
      <c r="H14" s="7">
        <f>'[2]Production Summary'!G46</f>
        <v>0</v>
      </c>
      <c r="I14" s="8">
        <f t="shared" si="4"/>
        <v>0</v>
      </c>
      <c r="J14" s="10">
        <f t="shared" si="5"/>
        <v>0</v>
      </c>
      <c r="K14" s="7">
        <f>'[2]Production Summary'!T46</f>
        <v>0</v>
      </c>
      <c r="L14" s="8">
        <f t="shared" si="6"/>
        <v>0</v>
      </c>
      <c r="M14" s="10">
        <f t="shared" si="7"/>
        <v>0</v>
      </c>
      <c r="N14" s="21"/>
      <c r="O14" s="7">
        <f>'[2]Production Summary'!I46</f>
        <v>11930999.999999998</v>
      </c>
      <c r="P14" s="8">
        <f t="shared" si="8"/>
        <v>11.930999999999997</v>
      </c>
      <c r="Q14" s="10">
        <f t="shared" si="9"/>
        <v>36.62816999999999</v>
      </c>
      <c r="R14" s="7">
        <f>'[2]Production Summary'!C46</f>
        <v>12254000</v>
      </c>
      <c r="S14" s="8">
        <f t="shared" si="10"/>
        <v>12.254</v>
      </c>
      <c r="T14" s="10">
        <f t="shared" si="11"/>
        <v>37.619779999999999</v>
      </c>
      <c r="U14" s="7">
        <f>'[2]Production Summary'!F46</f>
        <v>0</v>
      </c>
      <c r="V14" s="8">
        <f t="shared" si="12"/>
        <v>0</v>
      </c>
      <c r="W14" s="10">
        <f t="shared" si="13"/>
        <v>0</v>
      </c>
      <c r="X14" s="7">
        <f>'[2]Production Summary'!AB46</f>
        <v>316000.0000000025</v>
      </c>
      <c r="Y14" s="8">
        <f t="shared" si="14"/>
        <v>0.3160000000000025</v>
      </c>
      <c r="Z14" s="10">
        <f t="shared" si="15"/>
        <v>0.97012000000000764</v>
      </c>
      <c r="AA14" s="15"/>
      <c r="AB14" s="7">
        <f t="shared" si="16"/>
        <v>11930999.999999998</v>
      </c>
      <c r="AC14" s="8">
        <f t="shared" si="17"/>
        <v>11.930999999999997</v>
      </c>
      <c r="AD14" s="8">
        <f t="shared" si="17"/>
        <v>36.62816999999999</v>
      </c>
    </row>
    <row r="15" spans="1:30" x14ac:dyDescent="0.15">
      <c r="A15" s="27">
        <v>43142</v>
      </c>
      <c r="B15" s="7">
        <f>'[2]Production Summary'!J47</f>
        <v>0</v>
      </c>
      <c r="C15" s="8">
        <f t="shared" si="0"/>
        <v>0</v>
      </c>
      <c r="D15" s="10">
        <f t="shared" si="1"/>
        <v>0</v>
      </c>
      <c r="E15" s="7">
        <f>'[2]Production Summary'!E47</f>
        <v>0</v>
      </c>
      <c r="F15" s="8">
        <f t="shared" si="2"/>
        <v>0</v>
      </c>
      <c r="G15" s="10">
        <f t="shared" si="3"/>
        <v>0</v>
      </c>
      <c r="H15" s="7">
        <f>'[2]Production Summary'!G47</f>
        <v>0</v>
      </c>
      <c r="I15" s="8">
        <f t="shared" si="4"/>
        <v>0</v>
      </c>
      <c r="J15" s="10">
        <f t="shared" si="5"/>
        <v>0</v>
      </c>
      <c r="K15" s="7">
        <f>'[2]Production Summary'!T47</f>
        <v>0</v>
      </c>
      <c r="L15" s="8">
        <f t="shared" si="6"/>
        <v>0</v>
      </c>
      <c r="M15" s="10">
        <f t="shared" si="7"/>
        <v>0</v>
      </c>
      <c r="N15" s="21"/>
      <c r="O15" s="7">
        <f>'[2]Production Summary'!I47</f>
        <v>13280000.000000006</v>
      </c>
      <c r="P15" s="8">
        <f t="shared" si="8"/>
        <v>13.280000000000006</v>
      </c>
      <c r="Q15" s="10">
        <f t="shared" si="9"/>
        <v>40.769600000000018</v>
      </c>
      <c r="R15" s="7">
        <f>'[2]Production Summary'!C47</f>
        <v>13512000</v>
      </c>
      <c r="S15" s="8">
        <f t="shared" si="10"/>
        <v>13.512</v>
      </c>
      <c r="T15" s="10">
        <f t="shared" si="11"/>
        <v>41.481839999999998</v>
      </c>
      <c r="U15" s="7">
        <f>'[2]Production Summary'!F47</f>
        <v>0</v>
      </c>
      <c r="V15" s="8">
        <f t="shared" si="12"/>
        <v>0</v>
      </c>
      <c r="W15" s="10">
        <f t="shared" si="13"/>
        <v>0</v>
      </c>
      <c r="X15" s="7">
        <f>'[2]Production Summary'!AB47</f>
        <v>227999.99999999444</v>
      </c>
      <c r="Y15" s="8">
        <f t="shared" si="14"/>
        <v>0.22799999999999443</v>
      </c>
      <c r="Z15" s="10">
        <f t="shared" si="15"/>
        <v>0.69995999999998282</v>
      </c>
      <c r="AA15" s="15"/>
      <c r="AB15" s="7">
        <f t="shared" si="16"/>
        <v>13280000.000000006</v>
      </c>
      <c r="AC15" s="8">
        <f t="shared" si="17"/>
        <v>13.280000000000006</v>
      </c>
      <c r="AD15" s="8">
        <f t="shared" si="17"/>
        <v>40.769600000000018</v>
      </c>
    </row>
    <row r="16" spans="1:30" x14ac:dyDescent="0.15">
      <c r="A16" s="27">
        <v>43143</v>
      </c>
      <c r="B16" s="7">
        <f>'[2]Production Summary'!J48</f>
        <v>0</v>
      </c>
      <c r="C16" s="8">
        <f t="shared" si="0"/>
        <v>0</v>
      </c>
      <c r="D16" s="10">
        <f t="shared" si="1"/>
        <v>0</v>
      </c>
      <c r="E16" s="7">
        <f>'[2]Production Summary'!E48</f>
        <v>0</v>
      </c>
      <c r="F16" s="8">
        <f t="shared" si="2"/>
        <v>0</v>
      </c>
      <c r="G16" s="10">
        <f t="shared" si="3"/>
        <v>0</v>
      </c>
      <c r="H16" s="7">
        <f>'[2]Production Summary'!G48</f>
        <v>0</v>
      </c>
      <c r="I16" s="8">
        <f t="shared" si="4"/>
        <v>0</v>
      </c>
      <c r="J16" s="10">
        <f t="shared" si="5"/>
        <v>0</v>
      </c>
      <c r="K16" s="7">
        <f>'[2]Production Summary'!T48</f>
        <v>0</v>
      </c>
      <c r="L16" s="8">
        <f t="shared" si="6"/>
        <v>0</v>
      </c>
      <c r="M16" s="10">
        <f t="shared" si="7"/>
        <v>0</v>
      </c>
      <c r="N16" s="21"/>
      <c r="O16" s="7">
        <f>'[2]Production Summary'!I48</f>
        <v>12813999.999999991</v>
      </c>
      <c r="P16" s="8">
        <f t="shared" si="8"/>
        <v>12.813999999999991</v>
      </c>
      <c r="Q16" s="10">
        <f t="shared" si="9"/>
        <v>39.338979999999971</v>
      </c>
      <c r="R16" s="7">
        <f>'[2]Production Summary'!C48</f>
        <v>13183000</v>
      </c>
      <c r="S16" s="8">
        <f t="shared" si="10"/>
        <v>13.183</v>
      </c>
      <c r="T16" s="10">
        <f t="shared" si="11"/>
        <v>40.471809999999998</v>
      </c>
      <c r="U16" s="7">
        <f>'[2]Production Summary'!F48</f>
        <v>0</v>
      </c>
      <c r="V16" s="8">
        <f t="shared" si="12"/>
        <v>0</v>
      </c>
      <c r="W16" s="10">
        <f t="shared" si="13"/>
        <v>0</v>
      </c>
      <c r="X16" s="7">
        <f>'[2]Production Summary'!AB48</f>
        <v>362000.00000000896</v>
      </c>
      <c r="Y16" s="8">
        <f t="shared" si="14"/>
        <v>0.36200000000000898</v>
      </c>
      <c r="Z16" s="10">
        <f t="shared" si="15"/>
        <v>1.1113400000000275</v>
      </c>
      <c r="AA16" s="15"/>
      <c r="AB16" s="7">
        <f t="shared" si="16"/>
        <v>12813999.999999991</v>
      </c>
      <c r="AC16" s="8">
        <f t="shared" si="17"/>
        <v>12.813999999999991</v>
      </c>
      <c r="AD16" s="8">
        <f t="shared" si="17"/>
        <v>39.338979999999971</v>
      </c>
    </row>
    <row r="17" spans="1:30" x14ac:dyDescent="0.15">
      <c r="A17" s="27">
        <v>43144</v>
      </c>
      <c r="B17" s="7">
        <f>'[2]Production Summary'!J49</f>
        <v>0</v>
      </c>
      <c r="C17" s="8">
        <f t="shared" si="0"/>
        <v>0</v>
      </c>
      <c r="D17" s="10">
        <f t="shared" si="1"/>
        <v>0</v>
      </c>
      <c r="E17" s="7">
        <f>'[2]Production Summary'!E49</f>
        <v>0</v>
      </c>
      <c r="F17" s="8">
        <f t="shared" si="2"/>
        <v>0</v>
      </c>
      <c r="G17" s="10">
        <f t="shared" si="3"/>
        <v>0</v>
      </c>
      <c r="H17" s="7">
        <f>'[2]Production Summary'!G49</f>
        <v>0</v>
      </c>
      <c r="I17" s="8">
        <f t="shared" si="4"/>
        <v>0</v>
      </c>
      <c r="J17" s="10">
        <f t="shared" si="5"/>
        <v>0</v>
      </c>
      <c r="K17" s="7">
        <f>'[2]Production Summary'!T49</f>
        <v>0</v>
      </c>
      <c r="L17" s="8">
        <f t="shared" si="6"/>
        <v>0</v>
      </c>
      <c r="M17" s="10">
        <f t="shared" si="7"/>
        <v>0</v>
      </c>
      <c r="N17" s="21"/>
      <c r="O17" s="7">
        <f>'[2]Production Summary'!I49</f>
        <v>12326000.000000006</v>
      </c>
      <c r="P17" s="8">
        <f t="shared" si="8"/>
        <v>12.326000000000006</v>
      </c>
      <c r="Q17" s="10">
        <f t="shared" si="9"/>
        <v>37.840820000000015</v>
      </c>
      <c r="R17" s="7">
        <f>'[2]Production Summary'!C49</f>
        <v>12689000</v>
      </c>
      <c r="S17" s="8">
        <f t="shared" si="10"/>
        <v>12.689</v>
      </c>
      <c r="T17" s="10">
        <f t="shared" si="11"/>
        <v>38.95523</v>
      </c>
      <c r="U17" s="7">
        <f>'[2]Production Summary'!F49</f>
        <v>0</v>
      </c>
      <c r="V17" s="8">
        <f t="shared" si="12"/>
        <v>0</v>
      </c>
      <c r="W17" s="10">
        <f t="shared" si="13"/>
        <v>0</v>
      </c>
      <c r="X17" s="7">
        <f>'[2]Production Summary'!AB49</f>
        <v>355999.99999999453</v>
      </c>
      <c r="Y17" s="8">
        <f t="shared" si="14"/>
        <v>0.35599999999999454</v>
      </c>
      <c r="Z17" s="10">
        <f t="shared" si="15"/>
        <v>1.0929199999999832</v>
      </c>
      <c r="AA17" s="15"/>
      <c r="AB17" s="7">
        <f t="shared" si="16"/>
        <v>12326000.000000006</v>
      </c>
      <c r="AC17" s="8">
        <f t="shared" si="17"/>
        <v>12.326000000000006</v>
      </c>
      <c r="AD17" s="8">
        <f t="shared" si="17"/>
        <v>37.840820000000015</v>
      </c>
    </row>
    <row r="18" spans="1:30" x14ac:dyDescent="0.15">
      <c r="A18" s="27">
        <v>43145</v>
      </c>
      <c r="B18" s="7">
        <f>'[2]Production Summary'!J50</f>
        <v>0</v>
      </c>
      <c r="C18" s="8">
        <f t="shared" si="0"/>
        <v>0</v>
      </c>
      <c r="D18" s="10">
        <f t="shared" si="1"/>
        <v>0</v>
      </c>
      <c r="E18" s="7">
        <f>'[2]Production Summary'!E50</f>
        <v>0</v>
      </c>
      <c r="F18" s="8">
        <f t="shared" si="2"/>
        <v>0</v>
      </c>
      <c r="G18" s="10">
        <f t="shared" si="3"/>
        <v>0</v>
      </c>
      <c r="H18" s="7">
        <f>'[2]Production Summary'!G50</f>
        <v>0</v>
      </c>
      <c r="I18" s="8">
        <f t="shared" si="4"/>
        <v>0</v>
      </c>
      <c r="J18" s="10">
        <f t="shared" si="5"/>
        <v>0</v>
      </c>
      <c r="K18" s="7">
        <f>'[2]Production Summary'!T50</f>
        <v>0</v>
      </c>
      <c r="L18" s="8">
        <f t="shared" ref="L18:L20" si="18">K18/1000000</f>
        <v>0</v>
      </c>
      <c r="M18" s="10">
        <f t="shared" ref="M18:M20" si="19">L18*3.07</f>
        <v>0</v>
      </c>
      <c r="N18" s="21"/>
      <c r="O18" s="7">
        <f>'[2]Production Summary'!I50</f>
        <v>11129000</v>
      </c>
      <c r="P18" s="8">
        <f t="shared" si="8"/>
        <v>11.129</v>
      </c>
      <c r="Q18" s="10">
        <f t="shared" si="9"/>
        <v>34.166029999999999</v>
      </c>
      <c r="R18" s="7">
        <f>'[2]Production Summary'!C50</f>
        <v>11385000</v>
      </c>
      <c r="S18" s="8">
        <f t="shared" si="10"/>
        <v>11.385</v>
      </c>
      <c r="T18" s="10">
        <f t="shared" si="11"/>
        <v>34.951949999999997</v>
      </c>
      <c r="U18" s="7">
        <f>'[2]Production Summary'!F50</f>
        <v>0</v>
      </c>
      <c r="V18" s="8">
        <f t="shared" si="12"/>
        <v>0</v>
      </c>
      <c r="W18" s="10">
        <f t="shared" si="13"/>
        <v>0</v>
      </c>
      <c r="X18" s="7">
        <f>'[2]Production Summary'!AB50</f>
        <v>250000</v>
      </c>
      <c r="Y18" s="8">
        <f t="shared" si="14"/>
        <v>0.25</v>
      </c>
      <c r="Z18" s="10">
        <f t="shared" si="15"/>
        <v>0.76749999999999996</v>
      </c>
      <c r="AA18" s="15"/>
      <c r="AB18" s="7">
        <f t="shared" si="17"/>
        <v>11129000</v>
      </c>
      <c r="AC18" s="8">
        <f t="shared" si="17"/>
        <v>11.129</v>
      </c>
      <c r="AD18" s="8">
        <f t="shared" si="17"/>
        <v>34.166029999999999</v>
      </c>
    </row>
    <row r="19" spans="1:30" x14ac:dyDescent="0.15">
      <c r="A19" s="27">
        <v>43146</v>
      </c>
      <c r="B19" s="7">
        <f>'[2]Production Summary'!J51</f>
        <v>0</v>
      </c>
      <c r="C19" s="8">
        <f t="shared" si="0"/>
        <v>0</v>
      </c>
      <c r="D19" s="10">
        <f t="shared" si="1"/>
        <v>0</v>
      </c>
      <c r="E19" s="7">
        <f>'[2]Production Summary'!E51</f>
        <v>0</v>
      </c>
      <c r="F19" s="8">
        <f t="shared" si="2"/>
        <v>0</v>
      </c>
      <c r="G19" s="10">
        <f t="shared" si="3"/>
        <v>0</v>
      </c>
      <c r="H19" s="7">
        <f>'[2]Production Summary'!G51</f>
        <v>0</v>
      </c>
      <c r="I19" s="8">
        <f t="shared" si="4"/>
        <v>0</v>
      </c>
      <c r="J19" s="10">
        <f t="shared" si="5"/>
        <v>0</v>
      </c>
      <c r="K19" s="7">
        <f>'[2]Production Summary'!T51</f>
        <v>0</v>
      </c>
      <c r="L19" s="8">
        <f t="shared" si="18"/>
        <v>0</v>
      </c>
      <c r="M19" s="10">
        <f t="shared" si="19"/>
        <v>0</v>
      </c>
      <c r="N19" s="21"/>
      <c r="O19" s="7">
        <f>'[2]Production Summary'!I51</f>
        <v>10973000.000000002</v>
      </c>
      <c r="P19" s="8">
        <f t="shared" si="8"/>
        <v>10.973000000000003</v>
      </c>
      <c r="Q19" s="10">
        <f t="shared" si="9"/>
        <v>33.687110000000004</v>
      </c>
      <c r="R19" s="7">
        <f>'[2]Production Summary'!C51</f>
        <v>11162000</v>
      </c>
      <c r="S19" s="8">
        <f t="shared" si="10"/>
        <v>11.162000000000001</v>
      </c>
      <c r="T19" s="10">
        <f t="shared" si="11"/>
        <v>34.267339999999997</v>
      </c>
      <c r="U19" s="7">
        <f>'[2]Production Summary'!F51</f>
        <v>0</v>
      </c>
      <c r="V19" s="8">
        <f t="shared" si="12"/>
        <v>0</v>
      </c>
      <c r="W19" s="10">
        <f t="shared" si="13"/>
        <v>0</v>
      </c>
      <c r="X19" s="7">
        <f>'[2]Production Summary'!AB51</f>
        <v>183999.9999999975</v>
      </c>
      <c r="Y19" s="8">
        <f t="shared" si="14"/>
        <v>0.1839999999999975</v>
      </c>
      <c r="Z19" s="10">
        <f t="shared" si="15"/>
        <v>0.56487999999999228</v>
      </c>
      <c r="AA19" s="15"/>
      <c r="AB19" s="7">
        <f t="shared" si="17"/>
        <v>10973000.000000002</v>
      </c>
      <c r="AC19" s="8">
        <f t="shared" si="17"/>
        <v>10.973000000000003</v>
      </c>
      <c r="AD19" s="8">
        <f>D19+Q19</f>
        <v>33.687110000000004</v>
      </c>
    </row>
    <row r="20" spans="1:30" x14ac:dyDescent="0.15">
      <c r="A20" s="27">
        <v>43147</v>
      </c>
      <c r="B20" s="7">
        <f>'[2]Production Summary'!J52</f>
        <v>0</v>
      </c>
      <c r="C20" s="8">
        <f t="shared" si="0"/>
        <v>0</v>
      </c>
      <c r="D20" s="10">
        <f t="shared" si="1"/>
        <v>0</v>
      </c>
      <c r="E20" s="7">
        <f>'[2]Production Summary'!E52</f>
        <v>0</v>
      </c>
      <c r="F20" s="8">
        <f t="shared" si="2"/>
        <v>0</v>
      </c>
      <c r="G20" s="10">
        <f t="shared" si="3"/>
        <v>0</v>
      </c>
      <c r="H20" s="7">
        <f>'[2]Production Summary'!G52</f>
        <v>0</v>
      </c>
      <c r="I20" s="8">
        <f t="shared" si="4"/>
        <v>0</v>
      </c>
      <c r="J20" s="10">
        <f t="shared" si="5"/>
        <v>0</v>
      </c>
      <c r="K20" s="7">
        <f>'[2]Production Summary'!T52</f>
        <v>0</v>
      </c>
      <c r="L20" s="8">
        <f t="shared" si="18"/>
        <v>0</v>
      </c>
      <c r="M20" s="10">
        <f t="shared" si="19"/>
        <v>0</v>
      </c>
      <c r="N20" s="21"/>
      <c r="O20" s="7">
        <f>'[2]Production Summary'!I52</f>
        <v>12008000</v>
      </c>
      <c r="P20" s="8">
        <f t="shared" si="8"/>
        <v>12.007999999999999</v>
      </c>
      <c r="Q20" s="10">
        <f t="shared" si="9"/>
        <v>36.864559999999997</v>
      </c>
      <c r="R20" s="7">
        <f>'[2]Production Summary'!C52</f>
        <v>12276000</v>
      </c>
      <c r="S20" s="8">
        <f t="shared" si="10"/>
        <v>12.276</v>
      </c>
      <c r="T20" s="10">
        <f t="shared" si="11"/>
        <v>37.68732</v>
      </c>
      <c r="U20" s="7">
        <f>'[2]Production Summary'!F52</f>
        <v>0</v>
      </c>
      <c r="V20" s="8">
        <f t="shared" si="12"/>
        <v>0</v>
      </c>
      <c r="W20" s="10">
        <f t="shared" si="13"/>
        <v>0</v>
      </c>
      <c r="X20" s="7">
        <f>'[2]Production Summary'!AB52</f>
        <v>262000.00000000047</v>
      </c>
      <c r="Y20" s="8">
        <f t="shared" si="14"/>
        <v>0.26200000000000045</v>
      </c>
      <c r="Z20" s="10">
        <f t="shared" si="15"/>
        <v>0.80434000000000139</v>
      </c>
      <c r="AA20" s="15"/>
      <c r="AB20" s="7">
        <f t="shared" si="17"/>
        <v>12008000</v>
      </c>
      <c r="AC20" s="8">
        <f t="shared" si="17"/>
        <v>12.007999999999999</v>
      </c>
      <c r="AD20" s="8">
        <f t="shared" si="17"/>
        <v>36.864559999999997</v>
      </c>
    </row>
    <row r="21" spans="1:30" x14ac:dyDescent="0.15">
      <c r="A21" s="27">
        <v>43148</v>
      </c>
      <c r="B21" s="7">
        <f>'[2]Production Summary'!J53</f>
        <v>0</v>
      </c>
      <c r="C21" s="8">
        <f t="shared" si="0"/>
        <v>0</v>
      </c>
      <c r="D21" s="10">
        <f t="shared" si="1"/>
        <v>0</v>
      </c>
      <c r="E21" s="7">
        <f>'[2]Production Summary'!E53</f>
        <v>0</v>
      </c>
      <c r="F21" s="8">
        <f t="shared" si="2"/>
        <v>0</v>
      </c>
      <c r="G21" s="10">
        <f t="shared" si="3"/>
        <v>0</v>
      </c>
      <c r="H21" s="7">
        <f>'[2]Production Summary'!G53</f>
        <v>0</v>
      </c>
      <c r="I21" s="8">
        <f t="shared" si="4"/>
        <v>0</v>
      </c>
      <c r="J21" s="10">
        <f t="shared" si="5"/>
        <v>0</v>
      </c>
      <c r="K21" s="7">
        <f>'[2]Production Summary'!T53</f>
        <v>0</v>
      </c>
      <c r="L21" s="8">
        <f t="shared" si="6"/>
        <v>0</v>
      </c>
      <c r="M21" s="10">
        <f t="shared" si="7"/>
        <v>0</v>
      </c>
      <c r="N21" s="21"/>
      <c r="O21" s="7">
        <f>'[2]Production Summary'!I53</f>
        <v>12242000.000000006</v>
      </c>
      <c r="P21" s="8">
        <f t="shared" si="8"/>
        <v>12.242000000000006</v>
      </c>
      <c r="Q21" s="10">
        <f t="shared" si="9"/>
        <v>37.582940000000015</v>
      </c>
      <c r="R21" s="7">
        <f>'[2]Production Summary'!C53</f>
        <v>12498000</v>
      </c>
      <c r="S21" s="8">
        <f t="shared" si="10"/>
        <v>12.497999999999999</v>
      </c>
      <c r="T21" s="10">
        <f t="shared" si="11"/>
        <v>38.368859999999998</v>
      </c>
      <c r="U21" s="7">
        <f>'[2]Production Summary'!F53</f>
        <v>0</v>
      </c>
      <c r="V21" s="8">
        <f t="shared" si="12"/>
        <v>0</v>
      </c>
      <c r="W21" s="10">
        <f t="shared" si="13"/>
        <v>0</v>
      </c>
      <c r="X21" s="7">
        <f>'[2]Production Summary'!AB53</f>
        <v>248999.99999999523</v>
      </c>
      <c r="Y21" s="8">
        <f t="shared" si="14"/>
        <v>0.24899999999999523</v>
      </c>
      <c r="Z21" s="10">
        <f t="shared" si="15"/>
        <v>0.76442999999998529</v>
      </c>
      <c r="AA21" s="15"/>
      <c r="AB21" s="7">
        <f t="shared" si="17"/>
        <v>12242000.000000006</v>
      </c>
      <c r="AC21" s="8">
        <f t="shared" si="17"/>
        <v>12.242000000000006</v>
      </c>
      <c r="AD21" s="8">
        <f t="shared" si="17"/>
        <v>37.582940000000015</v>
      </c>
    </row>
    <row r="22" spans="1:30" x14ac:dyDescent="0.15">
      <c r="A22" s="27">
        <v>43149</v>
      </c>
      <c r="B22" s="7">
        <f>'[2]Production Summary'!J54</f>
        <v>0</v>
      </c>
      <c r="C22" s="8">
        <f t="shared" si="0"/>
        <v>0</v>
      </c>
      <c r="D22" s="10">
        <f t="shared" si="1"/>
        <v>0</v>
      </c>
      <c r="E22" s="7">
        <f>'[2]Production Summary'!E54</f>
        <v>0</v>
      </c>
      <c r="F22" s="8">
        <f t="shared" si="2"/>
        <v>0</v>
      </c>
      <c r="G22" s="10">
        <f t="shared" si="3"/>
        <v>0</v>
      </c>
      <c r="H22" s="7">
        <f>'[2]Production Summary'!G54</f>
        <v>0</v>
      </c>
      <c r="I22" s="8">
        <f t="shared" si="4"/>
        <v>0</v>
      </c>
      <c r="J22" s="10">
        <f t="shared" si="5"/>
        <v>0</v>
      </c>
      <c r="K22" s="7">
        <f>'[2]Production Summary'!T54</f>
        <v>0</v>
      </c>
      <c r="L22" s="8">
        <f t="shared" si="6"/>
        <v>0</v>
      </c>
      <c r="M22" s="10">
        <f t="shared" si="7"/>
        <v>0</v>
      </c>
      <c r="N22" s="21"/>
      <c r="O22" s="7">
        <f>'[2]Production Summary'!I54</f>
        <v>12070999.999999991</v>
      </c>
      <c r="P22" s="8">
        <f t="shared" si="8"/>
        <v>12.070999999999991</v>
      </c>
      <c r="Q22" s="10">
        <f t="shared" si="9"/>
        <v>37.057969999999969</v>
      </c>
      <c r="R22" s="7">
        <f>'[2]Production Summary'!C54</f>
        <v>12326000</v>
      </c>
      <c r="S22" s="8">
        <f t="shared" si="10"/>
        <v>12.326000000000001</v>
      </c>
      <c r="T22" s="10">
        <f t="shared" si="11"/>
        <v>37.840820000000001</v>
      </c>
      <c r="U22" s="7">
        <f>'[2]Production Summary'!F54</f>
        <v>0</v>
      </c>
      <c r="V22" s="8">
        <f t="shared" si="12"/>
        <v>0</v>
      </c>
      <c r="W22" s="10">
        <f t="shared" si="13"/>
        <v>0</v>
      </c>
      <c r="X22" s="7">
        <f>'[2]Production Summary'!AB54</f>
        <v>249000.00000000943</v>
      </c>
      <c r="Y22" s="8">
        <f t="shared" si="14"/>
        <v>0.24900000000000944</v>
      </c>
      <c r="Z22" s="10">
        <f t="shared" si="15"/>
        <v>0.76443000000002892</v>
      </c>
      <c r="AA22" s="15"/>
      <c r="AB22" s="7">
        <f t="shared" si="17"/>
        <v>12070999.999999991</v>
      </c>
      <c r="AC22" s="8">
        <f t="shared" si="17"/>
        <v>12.070999999999991</v>
      </c>
      <c r="AD22" s="8">
        <f t="shared" si="17"/>
        <v>37.057969999999969</v>
      </c>
    </row>
    <row r="23" spans="1:30" x14ac:dyDescent="0.15">
      <c r="A23" s="27">
        <v>43150</v>
      </c>
      <c r="B23" s="7">
        <f>'[2]Production Summary'!J55</f>
        <v>0</v>
      </c>
      <c r="C23" s="8">
        <f t="shared" si="0"/>
        <v>0</v>
      </c>
      <c r="D23" s="10">
        <f t="shared" si="1"/>
        <v>0</v>
      </c>
      <c r="E23" s="7">
        <f>'[2]Production Summary'!E55</f>
        <v>0</v>
      </c>
      <c r="F23" s="8">
        <f t="shared" si="2"/>
        <v>0</v>
      </c>
      <c r="G23" s="10">
        <f t="shared" si="3"/>
        <v>0</v>
      </c>
      <c r="H23" s="7">
        <f>'[2]Production Summary'!G55</f>
        <v>0</v>
      </c>
      <c r="I23" s="8">
        <f t="shared" si="4"/>
        <v>0</v>
      </c>
      <c r="J23" s="10">
        <f t="shared" si="5"/>
        <v>0</v>
      </c>
      <c r="K23" s="7">
        <f>'[2]Production Summary'!T55</f>
        <v>0</v>
      </c>
      <c r="L23" s="8">
        <f t="shared" si="6"/>
        <v>0</v>
      </c>
      <c r="M23" s="10">
        <f t="shared" si="7"/>
        <v>0</v>
      </c>
      <c r="N23" s="21"/>
      <c r="O23" s="7">
        <f>'[2]Production Summary'!I55</f>
        <v>12251000</v>
      </c>
      <c r="P23" s="8">
        <f t="shared" si="8"/>
        <v>12.250999999999999</v>
      </c>
      <c r="Q23" s="10">
        <f t="shared" si="9"/>
        <v>37.610569999999996</v>
      </c>
      <c r="R23" s="7">
        <f>'[2]Production Summary'!C55</f>
        <v>12520000</v>
      </c>
      <c r="S23" s="8">
        <f t="shared" si="10"/>
        <v>12.52</v>
      </c>
      <c r="T23" s="10">
        <f t="shared" si="11"/>
        <v>38.436399999999999</v>
      </c>
      <c r="U23" s="7">
        <f>'[2]Production Summary'!F55</f>
        <v>0</v>
      </c>
      <c r="V23" s="8">
        <f t="shared" si="12"/>
        <v>0</v>
      </c>
      <c r="W23" s="10">
        <f t="shared" si="13"/>
        <v>0</v>
      </c>
      <c r="X23" s="7">
        <f>'[2]Production Summary'!AB55</f>
        <v>262000.00000000047</v>
      </c>
      <c r="Y23" s="8">
        <f t="shared" si="14"/>
        <v>0.26200000000000045</v>
      </c>
      <c r="Z23" s="10">
        <f t="shared" si="15"/>
        <v>0.80434000000000139</v>
      </c>
      <c r="AA23" s="15"/>
      <c r="AB23" s="7">
        <f t="shared" si="17"/>
        <v>12251000</v>
      </c>
      <c r="AC23" s="8">
        <f t="shared" si="17"/>
        <v>12.250999999999999</v>
      </c>
      <c r="AD23" s="8">
        <f t="shared" si="17"/>
        <v>37.610569999999996</v>
      </c>
    </row>
    <row r="24" spans="1:30" x14ac:dyDescent="0.15">
      <c r="A24" s="27">
        <v>43151</v>
      </c>
      <c r="B24" s="7">
        <f>'[2]Production Summary'!J56</f>
        <v>0</v>
      </c>
      <c r="C24" s="8">
        <f t="shared" si="0"/>
        <v>0</v>
      </c>
      <c r="D24" s="10">
        <f t="shared" si="1"/>
        <v>0</v>
      </c>
      <c r="E24" s="7">
        <f>'[2]Production Summary'!E56</f>
        <v>0</v>
      </c>
      <c r="F24" s="8">
        <f t="shared" si="2"/>
        <v>0</v>
      </c>
      <c r="G24" s="10">
        <f t="shared" si="3"/>
        <v>0</v>
      </c>
      <c r="H24" s="7">
        <f>'[2]Production Summary'!G56</f>
        <v>0</v>
      </c>
      <c r="I24" s="8">
        <f t="shared" si="4"/>
        <v>0</v>
      </c>
      <c r="J24" s="10">
        <f t="shared" si="5"/>
        <v>0</v>
      </c>
      <c r="K24" s="7">
        <f>'[2]Production Summary'!T56</f>
        <v>0</v>
      </c>
      <c r="L24" s="8">
        <f t="shared" ref="L24:L32" si="20">K24/1000000</f>
        <v>0</v>
      </c>
      <c r="M24" s="10">
        <f t="shared" si="7"/>
        <v>0</v>
      </c>
      <c r="N24" s="21"/>
      <c r="O24" s="7">
        <f>'[2]Production Summary'!I56</f>
        <v>12024000.000000009</v>
      </c>
      <c r="P24" s="8">
        <f t="shared" si="8"/>
        <v>12.02400000000001</v>
      </c>
      <c r="Q24" s="10">
        <f t="shared" si="9"/>
        <v>36.913680000000028</v>
      </c>
      <c r="R24" s="7">
        <f>'[2]Production Summary'!C56</f>
        <v>12278000</v>
      </c>
      <c r="S24" s="8">
        <f t="shared" si="10"/>
        <v>12.278</v>
      </c>
      <c r="T24" s="10">
        <f t="shared" si="11"/>
        <v>37.693460000000002</v>
      </c>
      <c r="U24" s="7">
        <f>'[2]Production Summary'!F56</f>
        <v>0</v>
      </c>
      <c r="V24" s="8">
        <f t="shared" si="12"/>
        <v>0</v>
      </c>
      <c r="W24" s="10">
        <f t="shared" si="13"/>
        <v>0</v>
      </c>
      <c r="X24" s="7">
        <f>'[2]Production Summary'!AB56</f>
        <v>247999.99999999045</v>
      </c>
      <c r="Y24" s="8">
        <f t="shared" si="14"/>
        <v>0.24799999999999045</v>
      </c>
      <c r="Z24" s="10">
        <f t="shared" si="15"/>
        <v>0.76135999999997062</v>
      </c>
      <c r="AA24" s="15"/>
      <c r="AB24" s="7">
        <f t="shared" si="17"/>
        <v>12024000.000000009</v>
      </c>
      <c r="AC24" s="8">
        <f t="shared" si="17"/>
        <v>12.02400000000001</v>
      </c>
      <c r="AD24" s="8">
        <f>D24+Q24</f>
        <v>36.913680000000028</v>
      </c>
    </row>
    <row r="25" spans="1:30" x14ac:dyDescent="0.15">
      <c r="A25" s="27">
        <v>43152</v>
      </c>
      <c r="B25" s="7">
        <f>'[2]Production Summary'!J57</f>
        <v>0</v>
      </c>
      <c r="C25" s="8">
        <f t="shared" si="0"/>
        <v>0</v>
      </c>
      <c r="D25" s="10">
        <f t="shared" si="1"/>
        <v>0</v>
      </c>
      <c r="E25" s="7">
        <f>'[2]Production Summary'!E57</f>
        <v>0</v>
      </c>
      <c r="F25" s="8">
        <f t="shared" si="2"/>
        <v>0</v>
      </c>
      <c r="G25" s="10">
        <f t="shared" si="3"/>
        <v>0</v>
      </c>
      <c r="H25" s="7">
        <f>'[2]Production Summary'!G57</f>
        <v>0</v>
      </c>
      <c r="I25" s="8">
        <f t="shared" si="4"/>
        <v>0</v>
      </c>
      <c r="J25" s="10">
        <f t="shared" si="5"/>
        <v>0</v>
      </c>
      <c r="K25" s="7">
        <f>'[2]Production Summary'!T57</f>
        <v>0</v>
      </c>
      <c r="L25" s="8">
        <f t="shared" si="20"/>
        <v>0</v>
      </c>
      <c r="M25" s="10">
        <f t="shared" si="7"/>
        <v>0</v>
      </c>
      <c r="N25" s="21"/>
      <c r="O25" s="7">
        <f>'[2]Production Summary'!I57</f>
        <v>11122999.999999998</v>
      </c>
      <c r="P25" s="8">
        <f t="shared" si="8"/>
        <v>11.122999999999998</v>
      </c>
      <c r="Q25" s="10">
        <f t="shared" si="9"/>
        <v>34.147609999999993</v>
      </c>
      <c r="R25" s="7">
        <f>'[2]Production Summary'!C57</f>
        <v>11325000</v>
      </c>
      <c r="S25" s="8">
        <f t="shared" si="10"/>
        <v>11.324999999999999</v>
      </c>
      <c r="T25" s="10">
        <f t="shared" si="11"/>
        <v>34.767749999999999</v>
      </c>
      <c r="U25" s="7">
        <f>'[2]Production Summary'!F57</f>
        <v>0</v>
      </c>
      <c r="V25" s="8">
        <f t="shared" si="12"/>
        <v>0</v>
      </c>
      <c r="W25" s="10">
        <f t="shared" si="13"/>
        <v>0</v>
      </c>
      <c r="X25" s="7">
        <f>'[2]Production Summary'!AB57</f>
        <v>197000.00000000274</v>
      </c>
      <c r="Y25" s="8">
        <f t="shared" si="14"/>
        <v>0.19700000000000273</v>
      </c>
      <c r="Z25" s="10">
        <f t="shared" si="15"/>
        <v>0.60479000000000838</v>
      </c>
      <c r="AA25" s="15"/>
      <c r="AB25" s="7">
        <f t="shared" si="17"/>
        <v>11122999.999999998</v>
      </c>
      <c r="AC25" s="8">
        <f t="shared" si="17"/>
        <v>11.122999999999998</v>
      </c>
      <c r="AD25" s="8">
        <f t="shared" si="17"/>
        <v>34.147609999999993</v>
      </c>
    </row>
    <row r="26" spans="1:30" x14ac:dyDescent="0.15">
      <c r="A26" s="27">
        <v>43153</v>
      </c>
      <c r="B26" s="7">
        <f>'[2]Production Summary'!J58</f>
        <v>0</v>
      </c>
      <c r="C26" s="8">
        <f t="shared" si="0"/>
        <v>0</v>
      </c>
      <c r="D26" s="10">
        <f t="shared" si="1"/>
        <v>0</v>
      </c>
      <c r="E26" s="7">
        <f>'[2]Production Summary'!E58</f>
        <v>0</v>
      </c>
      <c r="F26" s="8">
        <f t="shared" si="2"/>
        <v>0</v>
      </c>
      <c r="G26" s="10">
        <f t="shared" si="3"/>
        <v>0</v>
      </c>
      <c r="H26" s="7">
        <f>'[2]Production Summary'!G58</f>
        <v>0</v>
      </c>
      <c r="I26" s="8">
        <f t="shared" si="4"/>
        <v>0</v>
      </c>
      <c r="J26" s="10">
        <f t="shared" si="5"/>
        <v>0</v>
      </c>
      <c r="K26" s="7">
        <f>'[2]Production Summary'!T58</f>
        <v>0</v>
      </c>
      <c r="L26" s="8">
        <f t="shared" si="20"/>
        <v>0</v>
      </c>
      <c r="M26" s="10">
        <f t="shared" si="7"/>
        <v>0</v>
      </c>
      <c r="N26" s="21"/>
      <c r="O26" s="7">
        <f>'[2]Production Summary'!I58</f>
        <v>12205999.999999991</v>
      </c>
      <c r="P26" s="8">
        <f t="shared" si="8"/>
        <v>12.205999999999991</v>
      </c>
      <c r="Q26" s="10">
        <f t="shared" si="9"/>
        <v>37.472419999999971</v>
      </c>
      <c r="R26" s="7">
        <f>'[2]Production Summary'!C58</f>
        <v>12461000</v>
      </c>
      <c r="S26" s="8">
        <f t="shared" si="10"/>
        <v>12.461</v>
      </c>
      <c r="T26" s="10">
        <f t="shared" si="11"/>
        <v>38.255269999999996</v>
      </c>
      <c r="U26" s="7">
        <f>'[2]Production Summary'!F58</f>
        <v>0</v>
      </c>
      <c r="V26" s="8">
        <f t="shared" si="12"/>
        <v>0</v>
      </c>
      <c r="W26" s="10">
        <f t="shared" si="13"/>
        <v>0</v>
      </c>
      <c r="X26" s="7">
        <f>'[2]Production Summary'!AB58</f>
        <v>249000.00000000943</v>
      </c>
      <c r="Y26" s="8">
        <f t="shared" si="14"/>
        <v>0.24900000000000944</v>
      </c>
      <c r="Z26" s="10">
        <f t="shared" si="15"/>
        <v>0.76443000000002892</v>
      </c>
      <c r="AA26" s="15"/>
      <c r="AB26" s="7">
        <f t="shared" si="17"/>
        <v>12205999.999999991</v>
      </c>
      <c r="AC26" s="8">
        <f t="shared" si="17"/>
        <v>12.205999999999991</v>
      </c>
      <c r="AD26" s="8">
        <f t="shared" si="17"/>
        <v>37.472419999999971</v>
      </c>
    </row>
    <row r="27" spans="1:30" x14ac:dyDescent="0.15">
      <c r="A27" s="27">
        <v>43154</v>
      </c>
      <c r="B27" s="7">
        <f>'[2]Production Summary'!J59</f>
        <v>0</v>
      </c>
      <c r="C27" s="8">
        <f t="shared" si="0"/>
        <v>0</v>
      </c>
      <c r="D27" s="10">
        <f t="shared" si="1"/>
        <v>0</v>
      </c>
      <c r="E27" s="7">
        <f>'[2]Production Summary'!E59</f>
        <v>0</v>
      </c>
      <c r="F27" s="8">
        <f t="shared" si="2"/>
        <v>0</v>
      </c>
      <c r="G27" s="10">
        <f t="shared" si="3"/>
        <v>0</v>
      </c>
      <c r="H27" s="7">
        <f>'[2]Production Summary'!G59</f>
        <v>0</v>
      </c>
      <c r="I27" s="8">
        <f t="shared" si="4"/>
        <v>0</v>
      </c>
      <c r="J27" s="10">
        <f t="shared" si="5"/>
        <v>0</v>
      </c>
      <c r="K27" s="7">
        <f>'[2]Production Summary'!T59</f>
        <v>0</v>
      </c>
      <c r="L27" s="8">
        <f t="shared" si="20"/>
        <v>0</v>
      </c>
      <c r="M27" s="10">
        <f t="shared" si="7"/>
        <v>0</v>
      </c>
      <c r="N27" s="21"/>
      <c r="O27" s="7">
        <f>'[2]Production Summary'!I59</f>
        <v>12029000.000000007</v>
      </c>
      <c r="P27" s="8">
        <f t="shared" si="8"/>
        <v>12.029000000000007</v>
      </c>
      <c r="Q27" s="10">
        <f t="shared" si="9"/>
        <v>36.929030000000019</v>
      </c>
      <c r="R27" s="7">
        <f>'[2]Production Summary'!C59</f>
        <v>12342000</v>
      </c>
      <c r="S27" s="8">
        <f t="shared" si="10"/>
        <v>12.342000000000001</v>
      </c>
      <c r="T27" s="10">
        <f t="shared" si="11"/>
        <v>37.889940000000003</v>
      </c>
      <c r="U27" s="7">
        <f>'[2]Production Summary'!F59</f>
        <v>0</v>
      </c>
      <c r="V27" s="8">
        <f t="shared" si="12"/>
        <v>0</v>
      </c>
      <c r="W27" s="10">
        <f t="shared" si="13"/>
        <v>0</v>
      </c>
      <c r="X27" s="7">
        <f>'[2]Production Summary'!AB59</f>
        <v>304999.99999999261</v>
      </c>
      <c r="Y27" s="8">
        <f t="shared" si="14"/>
        <v>0.30499999999999261</v>
      </c>
      <c r="Z27" s="10">
        <f t="shared" si="15"/>
        <v>0.93634999999997726</v>
      </c>
      <c r="AA27" s="15"/>
      <c r="AB27" s="7">
        <f t="shared" si="17"/>
        <v>12029000.000000007</v>
      </c>
      <c r="AC27" s="8">
        <f t="shared" si="17"/>
        <v>12.029000000000007</v>
      </c>
      <c r="AD27" s="8">
        <f t="shared" si="17"/>
        <v>36.929030000000019</v>
      </c>
    </row>
    <row r="28" spans="1:30" x14ac:dyDescent="0.15">
      <c r="A28" s="27">
        <v>43155</v>
      </c>
      <c r="B28" s="7">
        <f>'[2]Production Summary'!J60</f>
        <v>0</v>
      </c>
      <c r="C28" s="8">
        <f t="shared" si="0"/>
        <v>0</v>
      </c>
      <c r="D28" s="10">
        <f t="shared" si="1"/>
        <v>0</v>
      </c>
      <c r="E28" s="7">
        <f>'[2]Production Summary'!E60</f>
        <v>0</v>
      </c>
      <c r="F28" s="8">
        <f t="shared" si="2"/>
        <v>0</v>
      </c>
      <c r="G28" s="10">
        <f t="shared" si="3"/>
        <v>0</v>
      </c>
      <c r="H28" s="7">
        <f>'[2]Production Summary'!G60</f>
        <v>0</v>
      </c>
      <c r="I28" s="8">
        <f t="shared" si="4"/>
        <v>0</v>
      </c>
      <c r="J28" s="10">
        <f t="shared" si="5"/>
        <v>0</v>
      </c>
      <c r="K28" s="7">
        <f>'[2]Production Summary'!T60</f>
        <v>0</v>
      </c>
      <c r="L28" s="8">
        <f t="shared" si="20"/>
        <v>0</v>
      </c>
      <c r="M28" s="10">
        <f t="shared" si="7"/>
        <v>0</v>
      </c>
      <c r="N28" s="21"/>
      <c r="O28" s="7">
        <f>'[2]Production Summary'!I60</f>
        <v>12165000</v>
      </c>
      <c r="P28" s="8">
        <f t="shared" si="8"/>
        <v>12.164999999999999</v>
      </c>
      <c r="Q28" s="10">
        <f t="shared" si="9"/>
        <v>37.346549999999993</v>
      </c>
      <c r="R28" s="7">
        <f>'[2]Production Summary'!C60</f>
        <v>12431000</v>
      </c>
      <c r="S28" s="8">
        <f t="shared" si="10"/>
        <v>12.430999999999999</v>
      </c>
      <c r="T28" s="10">
        <f t="shared" si="11"/>
        <v>38.163169999999994</v>
      </c>
      <c r="U28" s="7">
        <f>'[2]Production Summary'!F60</f>
        <v>0</v>
      </c>
      <c r="V28" s="8">
        <f t="shared" si="12"/>
        <v>0</v>
      </c>
      <c r="W28" s="10">
        <f t="shared" si="13"/>
        <v>0</v>
      </c>
      <c r="X28" s="7">
        <f>'[2]Production Summary'!AB60</f>
        <v>259000.00000000035</v>
      </c>
      <c r="Y28" s="8">
        <f t="shared" si="14"/>
        <v>0.25900000000000034</v>
      </c>
      <c r="Z28" s="10">
        <f t="shared" si="15"/>
        <v>0.795130000000001</v>
      </c>
      <c r="AA28" s="15"/>
      <c r="AB28" s="7">
        <f t="shared" si="17"/>
        <v>12165000</v>
      </c>
      <c r="AC28" s="8">
        <f t="shared" si="17"/>
        <v>12.164999999999999</v>
      </c>
      <c r="AD28" s="8">
        <f t="shared" si="17"/>
        <v>37.346549999999993</v>
      </c>
    </row>
    <row r="29" spans="1:30" x14ac:dyDescent="0.15">
      <c r="A29" s="27">
        <v>43156</v>
      </c>
      <c r="B29" s="7">
        <f>'[2]Production Summary'!J61</f>
        <v>0</v>
      </c>
      <c r="C29" s="8">
        <f t="shared" si="0"/>
        <v>0</v>
      </c>
      <c r="D29" s="10">
        <f t="shared" si="1"/>
        <v>0</v>
      </c>
      <c r="E29" s="7">
        <f>'[2]Production Summary'!E61</f>
        <v>0</v>
      </c>
      <c r="F29" s="8">
        <f t="shared" si="2"/>
        <v>0</v>
      </c>
      <c r="G29" s="10">
        <f t="shared" si="3"/>
        <v>0</v>
      </c>
      <c r="H29" s="7">
        <f>'[2]Production Summary'!G61</f>
        <v>0</v>
      </c>
      <c r="I29" s="8">
        <f t="shared" si="4"/>
        <v>0</v>
      </c>
      <c r="J29" s="10">
        <f t="shared" si="5"/>
        <v>0</v>
      </c>
      <c r="K29" s="7">
        <f>'[2]Production Summary'!T61</f>
        <v>0</v>
      </c>
      <c r="L29" s="8">
        <f t="shared" si="20"/>
        <v>0</v>
      </c>
      <c r="M29" s="10">
        <f t="shared" si="7"/>
        <v>0</v>
      </c>
      <c r="N29" s="21"/>
      <c r="O29" s="7">
        <f>'[2]Production Summary'!I61</f>
        <v>11750000.000000004</v>
      </c>
      <c r="P29" s="8">
        <f t="shared" si="8"/>
        <v>11.750000000000004</v>
      </c>
      <c r="Q29" s="10">
        <f t="shared" si="9"/>
        <v>36.072500000000012</v>
      </c>
      <c r="R29" s="7">
        <f>'[2]Production Summary'!C61</f>
        <v>12017000</v>
      </c>
      <c r="S29" s="8">
        <f t="shared" si="10"/>
        <v>12.016999999999999</v>
      </c>
      <c r="T29" s="10">
        <f t="shared" si="11"/>
        <v>36.892189999999999</v>
      </c>
      <c r="U29" s="7">
        <f>'[2]Production Summary'!F61</f>
        <v>0</v>
      </c>
      <c r="V29" s="8">
        <f t="shared" si="12"/>
        <v>0</v>
      </c>
      <c r="W29" s="10">
        <f t="shared" si="13"/>
        <v>0</v>
      </c>
      <c r="X29" s="7">
        <f>'[2]Production Summary'!AB61</f>
        <v>260999.99999999569</v>
      </c>
      <c r="Y29" s="8">
        <f t="shared" si="14"/>
        <v>0.26099999999999568</v>
      </c>
      <c r="Z29" s="10">
        <f t="shared" si="15"/>
        <v>0.80126999999998672</v>
      </c>
      <c r="AA29" s="15"/>
      <c r="AB29" s="7">
        <f t="shared" si="17"/>
        <v>11750000.000000004</v>
      </c>
      <c r="AC29" s="8">
        <f t="shared" si="17"/>
        <v>11.750000000000004</v>
      </c>
      <c r="AD29" s="8">
        <f t="shared" si="17"/>
        <v>36.072500000000012</v>
      </c>
    </row>
    <row r="30" spans="1:30" x14ac:dyDescent="0.15">
      <c r="A30" s="27">
        <v>43157</v>
      </c>
      <c r="B30" s="7">
        <f>'[2]Production Summary'!J62</f>
        <v>0</v>
      </c>
      <c r="C30" s="8">
        <f t="shared" si="0"/>
        <v>0</v>
      </c>
      <c r="D30" s="10">
        <f t="shared" si="1"/>
        <v>0</v>
      </c>
      <c r="E30" s="7">
        <f>'[2]Production Summary'!E62</f>
        <v>0</v>
      </c>
      <c r="F30" s="8">
        <f t="shared" si="2"/>
        <v>0</v>
      </c>
      <c r="G30" s="10">
        <f t="shared" si="3"/>
        <v>0</v>
      </c>
      <c r="H30" s="7">
        <f>'[2]Production Summary'!G62</f>
        <v>0</v>
      </c>
      <c r="I30" s="8">
        <f t="shared" si="4"/>
        <v>0</v>
      </c>
      <c r="J30" s="10">
        <f t="shared" si="5"/>
        <v>0</v>
      </c>
      <c r="K30" s="7">
        <f>'[2]Production Summary'!T62</f>
        <v>0</v>
      </c>
      <c r="L30" s="8">
        <f t="shared" si="20"/>
        <v>0</v>
      </c>
      <c r="M30" s="10">
        <f t="shared" si="7"/>
        <v>0</v>
      </c>
      <c r="N30" s="21"/>
      <c r="O30" s="7">
        <f>'[2]Production Summary'!I62</f>
        <v>12471000</v>
      </c>
      <c r="P30" s="8">
        <f t="shared" si="8"/>
        <v>12.471</v>
      </c>
      <c r="Q30" s="10">
        <f t="shared" si="9"/>
        <v>38.285969999999999</v>
      </c>
      <c r="R30" s="7">
        <f>'[2]Production Summary'!C62</f>
        <v>12728000</v>
      </c>
      <c r="S30" s="8">
        <f t="shared" si="10"/>
        <v>12.728</v>
      </c>
      <c r="T30" s="10">
        <f t="shared" si="11"/>
        <v>39.074959999999997</v>
      </c>
      <c r="U30" s="7">
        <f>'[2]Production Summary'!F62</f>
        <v>0</v>
      </c>
      <c r="V30" s="8">
        <f t="shared" si="12"/>
        <v>0</v>
      </c>
      <c r="W30" s="10">
        <f t="shared" si="13"/>
        <v>0</v>
      </c>
      <c r="X30" s="7">
        <f>'[2]Production Summary'!AB62</f>
        <v>250000</v>
      </c>
      <c r="Y30" s="8">
        <f t="shared" si="14"/>
        <v>0.25</v>
      </c>
      <c r="Z30" s="10">
        <f t="shared" si="15"/>
        <v>0.76749999999999996</v>
      </c>
      <c r="AA30" s="15"/>
      <c r="AB30" s="7">
        <f t="shared" si="17"/>
        <v>12471000</v>
      </c>
      <c r="AC30" s="8">
        <f t="shared" si="17"/>
        <v>12.471</v>
      </c>
      <c r="AD30" s="8">
        <f>D30+Q30</f>
        <v>38.285969999999999</v>
      </c>
    </row>
    <row r="31" spans="1:30" x14ac:dyDescent="0.15">
      <c r="A31" s="27">
        <v>43158</v>
      </c>
      <c r="B31" s="7">
        <f>'[2]Production Summary'!J63</f>
        <v>0</v>
      </c>
      <c r="C31" s="8">
        <f t="shared" si="0"/>
        <v>0</v>
      </c>
      <c r="D31" s="10">
        <f t="shared" si="1"/>
        <v>0</v>
      </c>
      <c r="E31" s="7">
        <f>'[2]Production Summary'!E63</f>
        <v>0</v>
      </c>
      <c r="F31" s="8">
        <f t="shared" si="2"/>
        <v>0</v>
      </c>
      <c r="G31" s="10">
        <f t="shared" si="3"/>
        <v>0</v>
      </c>
      <c r="H31" s="7">
        <f>'[2]Production Summary'!G63</f>
        <v>0</v>
      </c>
      <c r="I31" s="8">
        <f t="shared" si="4"/>
        <v>0</v>
      </c>
      <c r="J31" s="10">
        <f t="shared" si="5"/>
        <v>0</v>
      </c>
      <c r="K31" s="7">
        <f>'[2]Production Summary'!T63</f>
        <v>0</v>
      </c>
      <c r="L31" s="8">
        <f t="shared" si="20"/>
        <v>0</v>
      </c>
      <c r="M31" s="10">
        <f t="shared" si="7"/>
        <v>0</v>
      </c>
      <c r="N31" s="21"/>
      <c r="O31" s="7">
        <f>'[2]Production Summary'!I63</f>
        <v>12352999.999999993</v>
      </c>
      <c r="P31" s="8">
        <f t="shared" si="8"/>
        <v>12.352999999999993</v>
      </c>
      <c r="Q31" s="10">
        <f t="shared" si="9"/>
        <v>37.923709999999978</v>
      </c>
      <c r="R31" s="7">
        <f>'[2]Production Summary'!C63</f>
        <v>12557000</v>
      </c>
      <c r="S31" s="8">
        <f t="shared" si="10"/>
        <v>12.557</v>
      </c>
      <c r="T31" s="10">
        <f t="shared" si="11"/>
        <v>38.549990000000001</v>
      </c>
      <c r="U31" s="7">
        <f>'[2]Production Summary'!F63</f>
        <v>0</v>
      </c>
      <c r="V31" s="8">
        <f t="shared" si="12"/>
        <v>0</v>
      </c>
      <c r="W31" s="10">
        <f t="shared" si="13"/>
        <v>0</v>
      </c>
      <c r="X31" s="7">
        <f>'[2]Production Summary'!AB63</f>
        <v>198000.00000000751</v>
      </c>
      <c r="Y31" s="8">
        <f t="shared" si="14"/>
        <v>0.1980000000000075</v>
      </c>
      <c r="Z31" s="10">
        <f t="shared" si="15"/>
        <v>0.60786000000002305</v>
      </c>
      <c r="AA31" s="15"/>
      <c r="AB31" s="7">
        <f t="shared" si="17"/>
        <v>12352999.999999993</v>
      </c>
      <c r="AC31" s="8">
        <f t="shared" si="17"/>
        <v>12.352999999999993</v>
      </c>
      <c r="AD31" s="8">
        <f t="shared" si="17"/>
        <v>37.923709999999978</v>
      </c>
    </row>
    <row r="32" spans="1:30" x14ac:dyDescent="0.15">
      <c r="A32" s="27">
        <v>43159</v>
      </c>
      <c r="B32" s="7">
        <f>'[2]Production Summary'!J64</f>
        <v>0</v>
      </c>
      <c r="C32" s="8">
        <f t="shared" si="0"/>
        <v>0</v>
      </c>
      <c r="D32" s="10">
        <f t="shared" si="1"/>
        <v>0</v>
      </c>
      <c r="E32" s="7">
        <f>'[2]Production Summary'!E64</f>
        <v>0</v>
      </c>
      <c r="F32" s="8">
        <f t="shared" si="2"/>
        <v>0</v>
      </c>
      <c r="G32" s="10">
        <f t="shared" si="3"/>
        <v>0</v>
      </c>
      <c r="H32" s="7">
        <f>'[2]Production Summary'!G64</f>
        <v>0</v>
      </c>
      <c r="I32" s="8">
        <f t="shared" si="4"/>
        <v>0</v>
      </c>
      <c r="J32" s="10">
        <f t="shared" si="5"/>
        <v>0</v>
      </c>
      <c r="K32" s="7">
        <f>'[2]Production Summary'!T64</f>
        <v>0</v>
      </c>
      <c r="L32" s="8">
        <f t="shared" si="20"/>
        <v>0</v>
      </c>
      <c r="M32" s="10">
        <f t="shared" si="7"/>
        <v>0</v>
      </c>
      <c r="N32" s="21"/>
      <c r="O32" s="7">
        <f>'[2]Production Summary'!I64</f>
        <v>12206000.000000002</v>
      </c>
      <c r="P32" s="8">
        <f t="shared" si="8"/>
        <v>12.206000000000001</v>
      </c>
      <c r="Q32" s="10">
        <f t="shared" si="9"/>
        <v>37.47242</v>
      </c>
      <c r="R32" s="7">
        <f>'[2]Production Summary'!C64</f>
        <v>12525000</v>
      </c>
      <c r="S32" s="8">
        <f t="shared" si="10"/>
        <v>12.525</v>
      </c>
      <c r="T32" s="10">
        <f t="shared" si="11"/>
        <v>38.451749999999997</v>
      </c>
      <c r="U32" s="7">
        <f>'[2]Production Summary'!F64</f>
        <v>0</v>
      </c>
      <c r="V32" s="8">
        <f t="shared" si="12"/>
        <v>0</v>
      </c>
      <c r="W32" s="10">
        <f t="shared" si="13"/>
        <v>0</v>
      </c>
      <c r="X32" s="7">
        <f>'[2]Production Summary'!AB64</f>
        <v>311999.99999999761</v>
      </c>
      <c r="Y32" s="8">
        <f t="shared" si="14"/>
        <v>0.31199999999999761</v>
      </c>
      <c r="Z32" s="10">
        <f t="shared" si="15"/>
        <v>0.95783999999999259</v>
      </c>
      <c r="AA32" s="15"/>
      <c r="AB32" s="7">
        <f t="shared" si="17"/>
        <v>12206000.000000002</v>
      </c>
      <c r="AC32" s="8">
        <f t="shared" si="17"/>
        <v>12.206000000000001</v>
      </c>
      <c r="AD32" s="8">
        <f t="shared" si="17"/>
        <v>37.47242</v>
      </c>
    </row>
    <row r="33" spans="1:30" ht="14" thickBot="1" x14ac:dyDescent="0.2">
      <c r="A33" s="27"/>
      <c r="B33" s="7">
        <v>0</v>
      </c>
      <c r="C33" s="8">
        <f t="shared" ref="C33" si="21">B33/1000000</f>
        <v>0</v>
      </c>
      <c r="D33" s="10">
        <f t="shared" ref="D33" si="22">C33*3.07</f>
        <v>0</v>
      </c>
      <c r="E33" s="7">
        <v>0</v>
      </c>
      <c r="F33" s="8">
        <f t="shared" ref="F33" si="23">E33/1000000</f>
        <v>0</v>
      </c>
      <c r="G33" s="10">
        <f t="shared" ref="G33" si="24">F33*3.07</f>
        <v>0</v>
      </c>
      <c r="H33" s="7">
        <v>0</v>
      </c>
      <c r="I33" s="8">
        <f t="shared" ref="I33" si="25">H33/1000000</f>
        <v>0</v>
      </c>
      <c r="J33" s="10">
        <f t="shared" ref="J33" si="26">I33*3.07</f>
        <v>0</v>
      </c>
      <c r="K33" s="7">
        <v>0</v>
      </c>
      <c r="L33" s="8">
        <f t="shared" ref="L33" si="27">K33/1000000</f>
        <v>0</v>
      </c>
      <c r="M33" s="10">
        <f t="shared" ref="M33" si="28">L33*3.07</f>
        <v>0</v>
      </c>
      <c r="N33" s="21"/>
      <c r="O33" s="7">
        <v>0</v>
      </c>
      <c r="P33" s="8">
        <f t="shared" ref="P33" si="29">O33/1000000</f>
        <v>0</v>
      </c>
      <c r="Q33" s="10">
        <f t="shared" ref="Q33" si="30">P33*3.07</f>
        <v>0</v>
      </c>
      <c r="R33" s="7">
        <v>0</v>
      </c>
      <c r="S33" s="8">
        <f t="shared" ref="S33" si="31">R33/1000000</f>
        <v>0</v>
      </c>
      <c r="T33" s="10">
        <f t="shared" ref="T33" si="32">S33*3.07</f>
        <v>0</v>
      </c>
      <c r="U33" s="7">
        <v>0</v>
      </c>
      <c r="V33" s="8">
        <f t="shared" ref="V33" si="33">U33/1000000</f>
        <v>0</v>
      </c>
      <c r="W33" s="10">
        <f t="shared" ref="W33" si="34">V33*3.07</f>
        <v>0</v>
      </c>
      <c r="X33" s="7">
        <v>0</v>
      </c>
      <c r="Y33" s="8">
        <f t="shared" ref="Y33" si="35">X33/1000000</f>
        <v>0</v>
      </c>
      <c r="Z33" s="10">
        <f t="shared" ref="Z33" si="36">Y33*3.07</f>
        <v>0</v>
      </c>
      <c r="AA33" s="15"/>
      <c r="AB33" s="7">
        <f t="shared" ref="AB33" si="37">B33+O33</f>
        <v>0</v>
      </c>
      <c r="AC33" s="8">
        <f t="shared" ref="AC33" si="38">C33+P33</f>
        <v>0</v>
      </c>
      <c r="AD33" s="8"/>
    </row>
    <row r="34" spans="1:30" ht="14" thickBot="1" x14ac:dyDescent="0.2">
      <c r="A34" s="28"/>
      <c r="B34" s="37"/>
      <c r="C34" s="38">
        <f>SUM(C5:C33)</f>
        <v>0</v>
      </c>
      <c r="D34" s="38">
        <f t="shared" ref="D34:J34" si="39">SUM(D5:D33)</f>
        <v>0</v>
      </c>
      <c r="E34" s="37"/>
      <c r="F34" s="38">
        <f t="shared" si="39"/>
        <v>0</v>
      </c>
      <c r="G34" s="38">
        <f t="shared" si="39"/>
        <v>0</v>
      </c>
      <c r="H34" s="37"/>
      <c r="I34" s="38">
        <f t="shared" si="39"/>
        <v>0</v>
      </c>
      <c r="J34" s="38">
        <f t="shared" si="39"/>
        <v>0</v>
      </c>
      <c r="K34" s="37"/>
      <c r="L34" s="38">
        <f>SUM(L5:L33)</f>
        <v>0</v>
      </c>
      <c r="M34" s="38">
        <f>SUM(M5:M33)</f>
        <v>0</v>
      </c>
      <c r="N34" s="14"/>
      <c r="O34" s="37"/>
      <c r="P34" s="38">
        <f>SUM(P5:P33)</f>
        <v>334.90200000000004</v>
      </c>
      <c r="Q34" s="38">
        <f>SUM(Q5:Q33)</f>
        <v>1028.1491399999998</v>
      </c>
      <c r="R34" s="37"/>
      <c r="S34" s="38">
        <f>SUM(S5:S33)</f>
        <v>342.92099999999994</v>
      </c>
      <c r="T34" s="38">
        <f>SUM(T5:T33)</f>
        <v>1052.7674700000002</v>
      </c>
      <c r="U34" s="37"/>
      <c r="V34" s="38">
        <f>SUM(V5:V33)</f>
        <v>0</v>
      </c>
      <c r="W34" s="38">
        <f>SUM(W5:W33)</f>
        <v>0</v>
      </c>
      <c r="X34" s="37"/>
      <c r="Y34" s="38">
        <f>SUM(Y5:Y33)</f>
        <v>7.8430000000000035</v>
      </c>
      <c r="Z34" s="38">
        <f>SUM(Z5:Z33)</f>
        <v>24.07801000000001</v>
      </c>
      <c r="AA34" s="14"/>
      <c r="AB34" s="37">
        <f t="shared" si="17"/>
        <v>0</v>
      </c>
      <c r="AC34" s="38">
        <f t="shared" si="17"/>
        <v>334.90200000000004</v>
      </c>
      <c r="AD34" s="38">
        <f>D34+Q34</f>
        <v>1028.1491399999998</v>
      </c>
    </row>
    <row r="35" spans="1:30" x14ac:dyDescent="0.15">
      <c r="A35" s="12"/>
      <c r="B35" s="13"/>
      <c r="C35" s="15"/>
      <c r="D35" s="15"/>
      <c r="E35" s="13"/>
      <c r="F35" s="15"/>
      <c r="G35" s="15"/>
      <c r="H35" s="13"/>
      <c r="I35" s="15"/>
      <c r="J35" s="15"/>
      <c r="K35" s="21"/>
      <c r="L35" s="13"/>
      <c r="M35" s="15"/>
      <c r="N35" s="15"/>
      <c r="O35" s="13"/>
      <c r="P35" s="15"/>
      <c r="Q35" s="15"/>
      <c r="R35" s="13"/>
      <c r="S35" s="15"/>
      <c r="T35" s="15"/>
      <c r="U35" s="15"/>
      <c r="V35" s="13"/>
      <c r="W35" s="16"/>
      <c r="X35" s="16"/>
    </row>
    <row r="36" spans="1:30" x14ac:dyDescent="0.15">
      <c r="B36" s="20"/>
      <c r="C36" s="18"/>
      <c r="E36" s="3"/>
      <c r="F36" s="3"/>
      <c r="G36" s="3"/>
      <c r="H36" s="3"/>
      <c r="I36" s="3"/>
      <c r="J36" s="3"/>
      <c r="K36" s="14"/>
      <c r="L36" s="14"/>
      <c r="M36" s="3"/>
      <c r="N36" s="3"/>
      <c r="O36" s="3"/>
      <c r="P36" s="3"/>
      <c r="Q36" s="3"/>
      <c r="R36" s="14"/>
      <c r="S36" s="3"/>
      <c r="T36" s="3"/>
      <c r="U36" s="14"/>
    </row>
    <row r="37" spans="1:30" x14ac:dyDescent="0.15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B3:D3"/>
    <mergeCell ref="E3:G3"/>
    <mergeCell ref="H3:J3"/>
    <mergeCell ref="O3:Q3"/>
    <mergeCell ref="X3:Z3"/>
    <mergeCell ref="K3:M3"/>
  </mergeCells>
  <phoneticPr fontId="1" type="noConversion"/>
  <pageMargins left="0.75" right="0.75" top="1" bottom="1" header="0.5" footer="0.5"/>
  <pageSetup scale="86" orientation="landscape" r:id="rId1"/>
  <headerFooter alignWithMargins="0">
    <oddFooter>&amp;R&amp;D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37"/>
  <sheetViews>
    <sheetView workbookViewId="0">
      <pane xSplit="1" ySplit="4" topLeftCell="P17" activePane="bottomRight" state="frozen"/>
      <selection pane="topRight" activeCell="B1" sqref="B1"/>
      <selection pane="bottomLeft" activeCell="A5" sqref="A5"/>
      <selection pane="bottomRight" activeCell="T22" sqref="T22"/>
    </sheetView>
  </sheetViews>
  <sheetFormatPr baseColWidth="10" defaultColWidth="8.83203125" defaultRowHeight="13" x14ac:dyDescent="0.15"/>
  <cols>
    <col min="2" max="2" width="12.6640625" customWidth="1"/>
    <col min="5" max="5" width="11.33203125" customWidth="1"/>
    <col min="8" max="8" width="16.1640625" customWidth="1"/>
    <col min="10" max="10" width="10.6640625" customWidth="1"/>
    <col min="11" max="11" width="12.5" customWidth="1"/>
    <col min="12" max="12" width="10.5" customWidth="1"/>
    <col min="15" max="15" width="10.5" customWidth="1"/>
    <col min="18" max="18" width="10.83203125" customWidth="1"/>
    <col min="22" max="22" width="11.83203125" customWidth="1"/>
    <col min="28" max="28" width="13.5" bestFit="1" customWidth="1"/>
  </cols>
  <sheetData>
    <row r="1" spans="1:32" x14ac:dyDescent="0.15">
      <c r="A1" s="41"/>
      <c r="B1" s="39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">
      <c r="A3" s="3"/>
      <c r="B3" s="59" t="s">
        <v>10</v>
      </c>
      <c r="C3" s="60"/>
      <c r="D3" s="61"/>
      <c r="E3" s="59" t="s">
        <v>11</v>
      </c>
      <c r="F3" s="60"/>
      <c r="G3" s="61"/>
      <c r="H3" s="59" t="s">
        <v>12</v>
      </c>
      <c r="I3" s="60"/>
      <c r="J3" s="61"/>
      <c r="K3" s="59" t="s">
        <v>13</v>
      </c>
      <c r="L3" s="60"/>
      <c r="M3" s="61"/>
      <c r="N3" s="19"/>
      <c r="O3" s="59" t="s">
        <v>4</v>
      </c>
      <c r="P3" s="60"/>
      <c r="Q3" s="61"/>
      <c r="R3" s="59" t="s">
        <v>3</v>
      </c>
      <c r="S3" s="60"/>
      <c r="T3" s="61"/>
      <c r="U3" s="59" t="s">
        <v>6</v>
      </c>
      <c r="V3" s="60"/>
      <c r="W3" s="61"/>
      <c r="X3" s="59" t="s">
        <v>7</v>
      </c>
      <c r="Y3" s="60"/>
      <c r="Z3" s="61"/>
      <c r="AA3" s="19"/>
      <c r="AB3" s="56" t="s">
        <v>8</v>
      </c>
      <c r="AC3" s="57"/>
      <c r="AD3" s="58"/>
      <c r="AF3" s="33" t="s">
        <v>9</v>
      </c>
    </row>
    <row r="4" spans="1:32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0" t="s">
        <v>0</v>
      </c>
      <c r="AC4" s="31" t="s">
        <v>1</v>
      </c>
      <c r="AD4" s="32" t="s">
        <v>2</v>
      </c>
      <c r="AF4" s="5" t="s">
        <v>2</v>
      </c>
    </row>
    <row r="5" spans="1:32" x14ac:dyDescent="0.15">
      <c r="A5" s="27">
        <v>43160</v>
      </c>
      <c r="B5" s="7">
        <f>'[2]Production Summary'!J65</f>
        <v>0</v>
      </c>
      <c r="C5" s="8">
        <f>B5/1000000</f>
        <v>0</v>
      </c>
      <c r="D5" s="10">
        <f t="shared" ref="D5:D35" si="0">C5*3.07</f>
        <v>0</v>
      </c>
      <c r="E5" s="7">
        <f>'[2]Production Summary'!E65</f>
        <v>0</v>
      </c>
      <c r="F5" s="8">
        <f>E5/1000000</f>
        <v>0</v>
      </c>
      <c r="G5" s="10">
        <f>F5*3.07</f>
        <v>0</v>
      </c>
      <c r="H5" s="7">
        <f>'[2]Production Summary'!G65</f>
        <v>0</v>
      </c>
      <c r="I5" s="8">
        <f>H5/1000000</f>
        <v>0</v>
      </c>
      <c r="J5" s="10">
        <f>I5*3.07</f>
        <v>0</v>
      </c>
      <c r="K5" s="7">
        <f>'[2]Production Summary'!T65</f>
        <v>0</v>
      </c>
      <c r="L5" s="8">
        <f>K5/1000000</f>
        <v>0</v>
      </c>
      <c r="M5" s="10">
        <f>L5*3.07</f>
        <v>0</v>
      </c>
      <c r="N5" s="21"/>
      <c r="O5" s="7">
        <f>'[2]Production Summary'!I65</f>
        <v>11246000.000000006</v>
      </c>
      <c r="P5" s="8">
        <f>O5/1000000</f>
        <v>11.246000000000006</v>
      </c>
      <c r="Q5" s="10">
        <f>P5*3.07</f>
        <v>34.525220000000019</v>
      </c>
      <c r="R5" s="7">
        <f>'[2]Production Summary'!C65</f>
        <v>11501000</v>
      </c>
      <c r="S5" s="8">
        <f>R5/1000000</f>
        <v>11.500999999999999</v>
      </c>
      <c r="T5" s="10">
        <f>S5*3.07</f>
        <v>35.308069999999994</v>
      </c>
      <c r="U5" s="7">
        <f>'[2]Production Summary'!F65</f>
        <v>0</v>
      </c>
      <c r="V5" s="8">
        <f>U5/1000000</f>
        <v>0</v>
      </c>
      <c r="W5" s="10">
        <f>V5*3.07</f>
        <v>0</v>
      </c>
      <c r="X5" s="7">
        <f>'[2]Production Summary'!AB65</f>
        <v>248999.99999999523</v>
      </c>
      <c r="Y5" s="8">
        <f>X5/1000000</f>
        <v>0.24899999999999523</v>
      </c>
      <c r="Z5" s="10">
        <f>Y5*3.07</f>
        <v>0.76442999999998529</v>
      </c>
      <c r="AA5" s="15"/>
      <c r="AB5" s="7">
        <f>B5+O5</f>
        <v>11246000.000000006</v>
      </c>
      <c r="AC5" s="8">
        <f>C5+P5</f>
        <v>11.246000000000006</v>
      </c>
      <c r="AD5" s="8">
        <f>D5+Q5</f>
        <v>34.525220000000019</v>
      </c>
      <c r="AF5" s="8">
        <f>T5-Q5-Z5</f>
        <v>1.8419999999989667E-2</v>
      </c>
    </row>
    <row r="6" spans="1:32" x14ac:dyDescent="0.15">
      <c r="A6" s="27">
        <v>43161</v>
      </c>
      <c r="B6" s="7">
        <f>'[2]Production Summary'!J66</f>
        <v>0</v>
      </c>
      <c r="C6" s="8">
        <f t="shared" ref="C6:C35" si="1">B6/1000000</f>
        <v>0</v>
      </c>
      <c r="D6" s="10">
        <f t="shared" si="0"/>
        <v>0</v>
      </c>
      <c r="E6" s="7">
        <f>'[2]Production Summary'!E66</f>
        <v>0</v>
      </c>
      <c r="F6" s="8">
        <f t="shared" ref="F6:F35" si="2">E6/1000000</f>
        <v>0</v>
      </c>
      <c r="G6" s="10">
        <f t="shared" ref="G6:G35" si="3">F6*3.07</f>
        <v>0</v>
      </c>
      <c r="H6" s="7">
        <f>'[2]Production Summary'!G66</f>
        <v>0</v>
      </c>
      <c r="I6" s="8">
        <f t="shared" ref="I6:I35" si="4">H6/1000000</f>
        <v>0</v>
      </c>
      <c r="J6" s="10">
        <f t="shared" ref="J6:J35" si="5">I6*3.07</f>
        <v>0</v>
      </c>
      <c r="K6" s="7">
        <f>'[2]Production Summary'!T66</f>
        <v>9486</v>
      </c>
      <c r="L6" s="8">
        <f t="shared" ref="L6:L35" si="6">K6/1000000</f>
        <v>9.4859999999999996E-3</v>
      </c>
      <c r="M6" s="10">
        <f t="shared" ref="M6:M35" si="7">L6*3.07</f>
        <v>2.9122019999999998E-2</v>
      </c>
      <c r="N6" s="21"/>
      <c r="O6" s="7">
        <f>'[2]Production Summary'!I66</f>
        <v>12301999.999999998</v>
      </c>
      <c r="P6" s="8">
        <f t="shared" ref="P6:P35" si="8">O6/1000000</f>
        <v>12.301999999999998</v>
      </c>
      <c r="Q6" s="10">
        <f t="shared" ref="Q6:Q35" si="9">P6*3.07</f>
        <v>37.767139999999991</v>
      </c>
      <c r="R6" s="7">
        <f>'[2]Production Summary'!C66</f>
        <v>12626000</v>
      </c>
      <c r="S6" s="8">
        <f t="shared" ref="S6:S35" si="10">R6/1000000</f>
        <v>12.625999999999999</v>
      </c>
      <c r="T6" s="10">
        <f t="shared" ref="T6:T35" si="11">S6*3.07</f>
        <v>38.761819999999993</v>
      </c>
      <c r="U6" s="7">
        <f>'[2]Production Summary'!F66</f>
        <v>0</v>
      </c>
      <c r="V6" s="8">
        <f t="shared" ref="V6:V35" si="12">U6/1000000</f>
        <v>0</v>
      </c>
      <c r="W6" s="10">
        <f t="shared" ref="W6:W35" si="13">V6*3.07</f>
        <v>0</v>
      </c>
      <c r="X6" s="7">
        <f>'[2]Production Summary'!AB66</f>
        <v>316000.0000000025</v>
      </c>
      <c r="Y6" s="8">
        <f t="shared" ref="Y6:Y35" si="14">X6/1000000</f>
        <v>0.3160000000000025</v>
      </c>
      <c r="Z6" s="10">
        <f t="shared" ref="Z6:Z35" si="15">Y6*3.07</f>
        <v>0.97012000000000764</v>
      </c>
      <c r="AA6" s="15"/>
      <c r="AB6" s="7">
        <f t="shared" ref="AB6:AD35" si="16">B6+O6</f>
        <v>12301999.999999998</v>
      </c>
      <c r="AC6" s="8">
        <f t="shared" si="16"/>
        <v>12.301999999999998</v>
      </c>
      <c r="AD6" s="8">
        <f t="shared" si="16"/>
        <v>37.767139999999991</v>
      </c>
      <c r="AF6" s="8">
        <f>T6-Q6-Z6</f>
        <v>2.4559999999994808E-2</v>
      </c>
    </row>
    <row r="7" spans="1:32" x14ac:dyDescent="0.15">
      <c r="A7" s="27">
        <v>43162</v>
      </c>
      <c r="B7" s="7">
        <f>'[2]Production Summary'!J67</f>
        <v>0</v>
      </c>
      <c r="C7" s="8">
        <f t="shared" si="1"/>
        <v>0</v>
      </c>
      <c r="D7" s="10">
        <f t="shared" si="0"/>
        <v>0</v>
      </c>
      <c r="E7" s="7">
        <f>'[2]Production Summary'!E67</f>
        <v>0</v>
      </c>
      <c r="F7" s="8">
        <f t="shared" si="2"/>
        <v>0</v>
      </c>
      <c r="G7" s="10">
        <f t="shared" si="3"/>
        <v>0</v>
      </c>
      <c r="H7" s="7">
        <f>'[2]Production Summary'!G67</f>
        <v>0</v>
      </c>
      <c r="I7" s="8">
        <f t="shared" si="4"/>
        <v>0</v>
      </c>
      <c r="J7" s="10">
        <f t="shared" si="5"/>
        <v>0</v>
      </c>
      <c r="K7" s="7">
        <f>'[2]Production Summary'!T67</f>
        <v>0</v>
      </c>
      <c r="L7" s="8">
        <f t="shared" si="6"/>
        <v>0</v>
      </c>
      <c r="M7" s="10">
        <f t="shared" si="7"/>
        <v>0</v>
      </c>
      <c r="N7" s="21"/>
      <c r="O7" s="7">
        <f>'[2]Production Summary'!I67</f>
        <v>11766999.999999998</v>
      </c>
      <c r="P7" s="8">
        <f t="shared" si="8"/>
        <v>11.766999999999998</v>
      </c>
      <c r="Q7" s="10">
        <f t="shared" si="9"/>
        <v>36.124689999999994</v>
      </c>
      <c r="R7" s="7">
        <f>'[2]Production Summary'!C67</f>
        <v>11969000</v>
      </c>
      <c r="S7" s="8">
        <f t="shared" si="10"/>
        <v>11.968999999999999</v>
      </c>
      <c r="T7" s="10">
        <f t="shared" si="11"/>
        <v>36.744829999999993</v>
      </c>
      <c r="U7" s="7">
        <f>'[2]Production Summary'!F67</f>
        <v>0</v>
      </c>
      <c r="V7" s="8">
        <f t="shared" si="12"/>
        <v>0</v>
      </c>
      <c r="W7" s="10">
        <f t="shared" si="13"/>
        <v>0</v>
      </c>
      <c r="X7" s="7">
        <f>'[2]Production Summary'!AB67</f>
        <v>197000.00000000274</v>
      </c>
      <c r="Y7" s="8">
        <f t="shared" si="14"/>
        <v>0.19700000000000273</v>
      </c>
      <c r="Z7" s="10">
        <f t="shared" si="15"/>
        <v>0.60479000000000838</v>
      </c>
      <c r="AA7" s="15"/>
      <c r="AB7" s="7">
        <f t="shared" si="16"/>
        <v>11766999.999999998</v>
      </c>
      <c r="AC7" s="8">
        <f t="shared" si="16"/>
        <v>11.766999999999998</v>
      </c>
      <c r="AD7" s="8">
        <f t="shared" si="16"/>
        <v>36.124689999999994</v>
      </c>
      <c r="AF7" s="8">
        <f t="shared" ref="AF7:AF14" si="17">T7-Q7-Z7</f>
        <v>1.5349999999990871E-2</v>
      </c>
    </row>
    <row r="8" spans="1:32" x14ac:dyDescent="0.15">
      <c r="A8" s="27">
        <v>43163</v>
      </c>
      <c r="B8" s="7">
        <f>'[2]Production Summary'!J68</f>
        <v>0</v>
      </c>
      <c r="C8" s="8">
        <f t="shared" si="1"/>
        <v>0</v>
      </c>
      <c r="D8" s="10">
        <f t="shared" si="0"/>
        <v>0</v>
      </c>
      <c r="E8" s="7">
        <f>'[2]Production Summary'!E68</f>
        <v>0</v>
      </c>
      <c r="F8" s="8">
        <f t="shared" si="2"/>
        <v>0</v>
      </c>
      <c r="G8" s="10">
        <f t="shared" si="3"/>
        <v>0</v>
      </c>
      <c r="H8" s="7">
        <f>'[2]Production Summary'!G68</f>
        <v>0</v>
      </c>
      <c r="I8" s="8">
        <f t="shared" si="4"/>
        <v>0</v>
      </c>
      <c r="J8" s="10">
        <f t="shared" si="5"/>
        <v>0</v>
      </c>
      <c r="K8" s="7">
        <f>'[2]Production Summary'!T68</f>
        <v>0</v>
      </c>
      <c r="L8" s="8">
        <f t="shared" si="6"/>
        <v>0</v>
      </c>
      <c r="M8" s="10">
        <f t="shared" si="7"/>
        <v>0</v>
      </c>
      <c r="N8" s="21"/>
      <c r="O8" s="7">
        <f>'[2]Production Summary'!I68</f>
        <v>12164000.000000002</v>
      </c>
      <c r="P8" s="8">
        <f t="shared" si="8"/>
        <v>12.164000000000001</v>
      </c>
      <c r="Q8" s="10">
        <f t="shared" si="9"/>
        <v>37.34348</v>
      </c>
      <c r="R8" s="7">
        <f>'[2]Production Summary'!C68</f>
        <v>12353000</v>
      </c>
      <c r="S8" s="8">
        <f t="shared" si="10"/>
        <v>12.353</v>
      </c>
      <c r="T8" s="10">
        <f t="shared" si="11"/>
        <v>37.92371</v>
      </c>
      <c r="U8" s="7">
        <f>'[2]Production Summary'!F68</f>
        <v>0</v>
      </c>
      <c r="V8" s="8">
        <f t="shared" si="12"/>
        <v>0</v>
      </c>
      <c r="W8" s="10">
        <f t="shared" si="13"/>
        <v>0</v>
      </c>
      <c r="X8" s="7">
        <f>'[2]Production Summary'!AB68</f>
        <v>183999.9999999975</v>
      </c>
      <c r="Y8" s="8">
        <f t="shared" si="14"/>
        <v>0.1839999999999975</v>
      </c>
      <c r="Z8" s="10">
        <f t="shared" si="15"/>
        <v>0.56487999999999228</v>
      </c>
      <c r="AA8" s="15"/>
      <c r="AB8" s="7">
        <f t="shared" si="16"/>
        <v>12164000.000000002</v>
      </c>
      <c r="AC8" s="8">
        <f t="shared" si="16"/>
        <v>12.164000000000001</v>
      </c>
      <c r="AD8" s="8">
        <f>D8+Q8</f>
        <v>37.34348</v>
      </c>
      <c r="AF8" s="8">
        <f t="shared" si="17"/>
        <v>1.5350000000007968E-2</v>
      </c>
    </row>
    <row r="9" spans="1:32" x14ac:dyDescent="0.15">
      <c r="A9" s="27">
        <v>43164</v>
      </c>
      <c r="B9" s="7">
        <f>'[2]Production Summary'!J69</f>
        <v>0</v>
      </c>
      <c r="C9" s="8">
        <f t="shared" si="1"/>
        <v>0</v>
      </c>
      <c r="D9" s="10">
        <f t="shared" si="0"/>
        <v>0</v>
      </c>
      <c r="E9" s="7">
        <f>'[2]Production Summary'!E69</f>
        <v>1000000</v>
      </c>
      <c r="F9" s="8">
        <f t="shared" si="2"/>
        <v>1</v>
      </c>
      <c r="G9" s="10">
        <f t="shared" si="3"/>
        <v>3.07</v>
      </c>
      <c r="H9" s="7">
        <f>'[2]Production Summary'!G69</f>
        <v>0</v>
      </c>
      <c r="I9" s="8">
        <f t="shared" si="4"/>
        <v>0</v>
      </c>
      <c r="J9" s="10">
        <f t="shared" si="5"/>
        <v>0</v>
      </c>
      <c r="K9" s="7">
        <f>'[2]Production Summary'!T69</f>
        <v>93780</v>
      </c>
      <c r="L9" s="8">
        <f t="shared" si="6"/>
        <v>9.3780000000000002E-2</v>
      </c>
      <c r="M9" s="10">
        <f t="shared" si="7"/>
        <v>0.28790460000000001</v>
      </c>
      <c r="N9" s="21"/>
      <c r="O9" s="7">
        <f>'[2]Production Summary'!I69</f>
        <v>11689999.999999994</v>
      </c>
      <c r="P9" s="8">
        <f t="shared" si="8"/>
        <v>11.689999999999994</v>
      </c>
      <c r="Q9" s="10">
        <f t="shared" si="9"/>
        <v>35.88829999999998</v>
      </c>
      <c r="R9" s="7">
        <f>'[2]Production Summary'!C69</f>
        <v>11959000</v>
      </c>
      <c r="S9" s="8">
        <f t="shared" si="10"/>
        <v>11.959</v>
      </c>
      <c r="T9" s="10">
        <f t="shared" si="11"/>
        <v>36.714129999999997</v>
      </c>
      <c r="U9" s="7">
        <f>'[2]Production Summary'!F69</f>
        <v>0</v>
      </c>
      <c r="V9" s="8">
        <f t="shared" si="12"/>
        <v>0</v>
      </c>
      <c r="W9" s="10">
        <f t="shared" si="13"/>
        <v>0</v>
      </c>
      <c r="X9" s="7">
        <f>'[2]Production Summary'!AB69</f>
        <v>263000.00000000524</v>
      </c>
      <c r="Y9" s="8">
        <f t="shared" si="14"/>
        <v>0.26300000000000523</v>
      </c>
      <c r="Z9" s="10">
        <f t="shared" si="15"/>
        <v>0.80741000000001606</v>
      </c>
      <c r="AA9" s="15"/>
      <c r="AB9" s="7">
        <f t="shared" si="16"/>
        <v>11689999.999999994</v>
      </c>
      <c r="AC9" s="8">
        <f t="shared" si="16"/>
        <v>11.689999999999994</v>
      </c>
      <c r="AD9" s="8">
        <f t="shared" si="16"/>
        <v>35.88829999999998</v>
      </c>
      <c r="AF9" s="8">
        <f t="shared" si="17"/>
        <v>1.8420000000001546E-2</v>
      </c>
    </row>
    <row r="10" spans="1:32" x14ac:dyDescent="0.15">
      <c r="A10" s="27">
        <v>43165</v>
      </c>
      <c r="B10" s="7">
        <f>'[2]Production Summary'!J70</f>
        <v>0</v>
      </c>
      <c r="C10" s="8">
        <f t="shared" si="1"/>
        <v>0</v>
      </c>
      <c r="D10" s="10">
        <f t="shared" si="0"/>
        <v>0</v>
      </c>
      <c r="E10" s="7">
        <f>'[2]Production Summary'!E70</f>
        <v>0</v>
      </c>
      <c r="F10" s="8">
        <f t="shared" si="2"/>
        <v>0</v>
      </c>
      <c r="G10" s="10">
        <f t="shared" si="3"/>
        <v>0</v>
      </c>
      <c r="H10" s="7">
        <f>'[2]Production Summary'!G70</f>
        <v>0</v>
      </c>
      <c r="I10" s="8">
        <f t="shared" si="4"/>
        <v>0</v>
      </c>
      <c r="J10" s="10">
        <f t="shared" si="5"/>
        <v>0</v>
      </c>
      <c r="K10" s="7">
        <f>'[2]Production Summary'!T70</f>
        <v>207728</v>
      </c>
      <c r="L10" s="8">
        <f t="shared" si="6"/>
        <v>0.207728</v>
      </c>
      <c r="M10" s="10">
        <f t="shared" si="7"/>
        <v>0.63772496000000001</v>
      </c>
      <c r="N10" s="21"/>
      <c r="O10" s="7">
        <f>'[2]Production Summary'!I70</f>
        <v>11842000</v>
      </c>
      <c r="P10" s="8">
        <f t="shared" si="8"/>
        <v>11.842000000000001</v>
      </c>
      <c r="Q10" s="10">
        <f t="shared" si="9"/>
        <v>36.354939999999999</v>
      </c>
      <c r="R10" s="7">
        <f>'[2]Production Summary'!C70</f>
        <v>12099000</v>
      </c>
      <c r="S10" s="8">
        <f t="shared" si="10"/>
        <v>12.099</v>
      </c>
      <c r="T10" s="10">
        <f t="shared" si="11"/>
        <v>37.143929999999997</v>
      </c>
      <c r="U10" s="7">
        <f>'[2]Production Summary'!F70</f>
        <v>0</v>
      </c>
      <c r="V10" s="8">
        <f t="shared" si="12"/>
        <v>0</v>
      </c>
      <c r="W10" s="10">
        <f t="shared" si="13"/>
        <v>0</v>
      </c>
      <c r="X10" s="7">
        <f>'[2]Production Summary'!AB70</f>
        <v>250000</v>
      </c>
      <c r="Y10" s="8">
        <f t="shared" si="14"/>
        <v>0.25</v>
      </c>
      <c r="Z10" s="10">
        <f t="shared" si="15"/>
        <v>0.76749999999999996</v>
      </c>
      <c r="AA10" s="15"/>
      <c r="AB10" s="7">
        <f t="shared" si="16"/>
        <v>11842000</v>
      </c>
      <c r="AC10" s="8">
        <f t="shared" si="16"/>
        <v>11.842000000000001</v>
      </c>
      <c r="AD10" s="8">
        <f t="shared" si="16"/>
        <v>36.354939999999999</v>
      </c>
      <c r="AF10" s="8">
        <f t="shared" si="17"/>
        <v>2.1489999999998344E-2</v>
      </c>
    </row>
    <row r="11" spans="1:32" x14ac:dyDescent="0.15">
      <c r="A11" s="27">
        <v>43166</v>
      </c>
      <c r="B11" s="7">
        <f>'[2]Production Summary'!J71</f>
        <v>0</v>
      </c>
      <c r="C11" s="8">
        <f t="shared" si="1"/>
        <v>0</v>
      </c>
      <c r="D11" s="10">
        <f t="shared" si="0"/>
        <v>0</v>
      </c>
      <c r="E11" s="7">
        <f>'[2]Production Summary'!E71</f>
        <v>2000000</v>
      </c>
      <c r="F11" s="8">
        <f t="shared" si="2"/>
        <v>2</v>
      </c>
      <c r="G11" s="10">
        <f t="shared" si="3"/>
        <v>6.14</v>
      </c>
      <c r="H11" s="7">
        <f>'[2]Production Summary'!G71</f>
        <v>0</v>
      </c>
      <c r="I11" s="8">
        <f t="shared" si="4"/>
        <v>0</v>
      </c>
      <c r="J11" s="10">
        <f t="shared" si="5"/>
        <v>0</v>
      </c>
      <c r="K11" s="7">
        <f>'[2]Production Summary'!T71</f>
        <v>1773295</v>
      </c>
      <c r="L11" s="8">
        <f t="shared" si="6"/>
        <v>1.7732950000000001</v>
      </c>
      <c r="M11" s="10">
        <f t="shared" si="7"/>
        <v>5.4440156499999999</v>
      </c>
      <c r="N11" s="21"/>
      <c r="O11" s="7">
        <f>'[2]Production Summary'!I71</f>
        <v>12595000.000000009</v>
      </c>
      <c r="P11" s="8">
        <f t="shared" si="8"/>
        <v>12.59500000000001</v>
      </c>
      <c r="Q11" s="10">
        <f t="shared" si="9"/>
        <v>38.666650000000025</v>
      </c>
      <c r="R11" s="7">
        <f>'[2]Production Summary'!C71</f>
        <v>12849000</v>
      </c>
      <c r="S11" s="8">
        <f t="shared" si="10"/>
        <v>12.849</v>
      </c>
      <c r="T11" s="10">
        <f t="shared" si="11"/>
        <v>39.446429999999999</v>
      </c>
      <c r="U11" s="7">
        <f>'[2]Production Summary'!F71</f>
        <v>0</v>
      </c>
      <c r="V11" s="8">
        <f t="shared" si="12"/>
        <v>0</v>
      </c>
      <c r="W11" s="10">
        <f t="shared" si="13"/>
        <v>0</v>
      </c>
      <c r="X11" s="7">
        <f>'[2]Production Summary'!AB71</f>
        <v>247999.99999999045</v>
      </c>
      <c r="Y11" s="8">
        <f t="shared" si="14"/>
        <v>0.24799999999999045</v>
      </c>
      <c r="Z11" s="10">
        <f t="shared" si="15"/>
        <v>0.76135999999997062</v>
      </c>
      <c r="AA11" s="15"/>
      <c r="AB11" s="7">
        <f t="shared" si="16"/>
        <v>12595000.000000009</v>
      </c>
      <c r="AC11" s="8">
        <f t="shared" si="16"/>
        <v>12.59500000000001</v>
      </c>
      <c r="AD11" s="8">
        <f t="shared" si="16"/>
        <v>38.666650000000025</v>
      </c>
      <c r="AF11" s="8">
        <f t="shared" si="17"/>
        <v>1.8420000000003323E-2</v>
      </c>
    </row>
    <row r="12" spans="1:32" x14ac:dyDescent="0.15">
      <c r="A12" s="27">
        <v>43167</v>
      </c>
      <c r="B12" s="7">
        <f>'[2]Production Summary'!J72</f>
        <v>0</v>
      </c>
      <c r="C12" s="8">
        <f t="shared" si="1"/>
        <v>0</v>
      </c>
      <c r="D12" s="10">
        <f t="shared" si="0"/>
        <v>0</v>
      </c>
      <c r="E12" s="7">
        <f>'[2]Production Summary'!E72</f>
        <v>5000000</v>
      </c>
      <c r="F12" s="8">
        <f t="shared" si="2"/>
        <v>5</v>
      </c>
      <c r="G12" s="10">
        <f t="shared" si="3"/>
        <v>15.35</v>
      </c>
      <c r="H12" s="7">
        <f>'[2]Production Summary'!G72</f>
        <v>0</v>
      </c>
      <c r="I12" s="8">
        <f t="shared" si="4"/>
        <v>0</v>
      </c>
      <c r="J12" s="10">
        <f t="shared" si="5"/>
        <v>0</v>
      </c>
      <c r="K12" s="7">
        <f>'[2]Production Summary'!T72</f>
        <v>12425</v>
      </c>
      <c r="L12" s="8">
        <f t="shared" si="6"/>
        <v>1.2425E-2</v>
      </c>
      <c r="M12" s="10">
        <f t="shared" si="7"/>
        <v>3.8144749999999998E-2</v>
      </c>
      <c r="N12" s="21"/>
      <c r="O12" s="7">
        <f>'[2]Production Summary'!I72</f>
        <v>12552999.999999991</v>
      </c>
      <c r="P12" s="8">
        <f t="shared" si="8"/>
        <v>12.55299999999999</v>
      </c>
      <c r="Q12" s="10">
        <f t="shared" si="9"/>
        <v>38.537709999999969</v>
      </c>
      <c r="R12" s="7">
        <f>'[2]Production Summary'!C72</f>
        <v>12943000</v>
      </c>
      <c r="S12" s="8">
        <f t="shared" si="10"/>
        <v>12.943</v>
      </c>
      <c r="T12" s="10">
        <f t="shared" si="11"/>
        <v>39.735009999999996</v>
      </c>
      <c r="U12" s="7">
        <f>'[2]Production Summary'!F72</f>
        <v>0</v>
      </c>
      <c r="V12" s="8">
        <f t="shared" si="12"/>
        <v>0</v>
      </c>
      <c r="W12" s="10">
        <f t="shared" si="13"/>
        <v>0</v>
      </c>
      <c r="X12" s="7">
        <f>'[2]Production Summary'!AB72</f>
        <v>380000.00000000966</v>
      </c>
      <c r="Y12" s="8">
        <f t="shared" si="14"/>
        <v>0.38000000000000966</v>
      </c>
      <c r="Z12" s="10">
        <f t="shared" si="15"/>
        <v>1.1666000000000296</v>
      </c>
      <c r="AA12" s="15"/>
      <c r="AB12" s="7">
        <f t="shared" si="16"/>
        <v>12552999.999999991</v>
      </c>
      <c r="AC12" s="8">
        <f t="shared" si="16"/>
        <v>12.55299999999999</v>
      </c>
      <c r="AD12" s="8">
        <f t="shared" si="16"/>
        <v>38.537709999999969</v>
      </c>
      <c r="AF12" s="8">
        <f t="shared" si="17"/>
        <v>3.0699999999997285E-2</v>
      </c>
    </row>
    <row r="13" spans="1:32" x14ac:dyDescent="0.15">
      <c r="A13" s="27">
        <v>43168</v>
      </c>
      <c r="B13" s="7">
        <f>'[2]Production Summary'!J73</f>
        <v>0</v>
      </c>
      <c r="C13" s="8">
        <f t="shared" si="1"/>
        <v>0</v>
      </c>
      <c r="D13" s="10">
        <f t="shared" si="0"/>
        <v>0</v>
      </c>
      <c r="E13" s="7">
        <f>'[2]Production Summary'!E73</f>
        <v>5000000</v>
      </c>
      <c r="F13" s="8">
        <f t="shared" si="2"/>
        <v>5</v>
      </c>
      <c r="G13" s="10">
        <f t="shared" si="3"/>
        <v>15.35</v>
      </c>
      <c r="H13" s="7">
        <f>'[2]Production Summary'!G73</f>
        <v>0</v>
      </c>
      <c r="I13" s="8">
        <f t="shared" si="4"/>
        <v>0</v>
      </c>
      <c r="J13" s="10">
        <f t="shared" si="5"/>
        <v>0</v>
      </c>
      <c r="K13" s="7">
        <f>'[2]Production Summary'!T73</f>
        <v>1871648</v>
      </c>
      <c r="L13" s="8">
        <f t="shared" si="6"/>
        <v>1.871648</v>
      </c>
      <c r="M13" s="10">
        <f t="shared" si="7"/>
        <v>5.7459593599999996</v>
      </c>
      <c r="N13" s="21"/>
      <c r="O13" s="7">
        <f>'[2]Production Summary'!I73</f>
        <v>12186000.000000007</v>
      </c>
      <c r="P13" s="8">
        <f t="shared" si="8"/>
        <v>12.186000000000007</v>
      </c>
      <c r="Q13" s="10">
        <f t="shared" si="9"/>
        <v>37.411020000000022</v>
      </c>
      <c r="R13" s="7">
        <f>'[2]Production Summary'!C73</f>
        <v>12389000</v>
      </c>
      <c r="S13" s="8">
        <f t="shared" si="10"/>
        <v>12.388999999999999</v>
      </c>
      <c r="T13" s="10">
        <f t="shared" si="11"/>
        <v>38.034229999999994</v>
      </c>
      <c r="U13" s="7">
        <f>'[2]Production Summary'!F73</f>
        <v>0</v>
      </c>
      <c r="V13" s="8">
        <f t="shared" si="12"/>
        <v>0</v>
      </c>
      <c r="W13" s="10">
        <f t="shared" si="13"/>
        <v>0</v>
      </c>
      <c r="X13" s="7">
        <f>'[2]Production Summary'!AB73</f>
        <v>197999.99999999331</v>
      </c>
      <c r="Y13" s="8">
        <f t="shared" si="14"/>
        <v>0.19799999999999329</v>
      </c>
      <c r="Z13" s="10">
        <f t="shared" si="15"/>
        <v>0.60785999999997942</v>
      </c>
      <c r="AA13" s="15"/>
      <c r="AB13" s="7">
        <f t="shared" si="16"/>
        <v>12186000.000000007</v>
      </c>
      <c r="AC13" s="8">
        <f t="shared" si="16"/>
        <v>12.186000000000007</v>
      </c>
      <c r="AD13" s="8">
        <f>D13+Q13</f>
        <v>37.411020000000022</v>
      </c>
      <c r="AF13" s="8">
        <f t="shared" si="17"/>
        <v>1.5349999999992425E-2</v>
      </c>
    </row>
    <row r="14" spans="1:32" x14ac:dyDescent="0.15">
      <c r="A14" s="27">
        <v>43169</v>
      </c>
      <c r="B14" s="7">
        <f>'[2]Production Summary'!J74</f>
        <v>0</v>
      </c>
      <c r="C14" s="8">
        <f t="shared" si="1"/>
        <v>0</v>
      </c>
      <c r="D14" s="10">
        <f t="shared" si="0"/>
        <v>0</v>
      </c>
      <c r="E14" s="7">
        <f>'[2]Production Summary'!E74</f>
        <v>5000000</v>
      </c>
      <c r="F14" s="8">
        <f t="shared" si="2"/>
        <v>5</v>
      </c>
      <c r="G14" s="10">
        <f t="shared" si="3"/>
        <v>15.35</v>
      </c>
      <c r="H14" s="7">
        <f>'[2]Production Summary'!G74</f>
        <v>0</v>
      </c>
      <c r="I14" s="8">
        <f t="shared" si="4"/>
        <v>0</v>
      </c>
      <c r="J14" s="10">
        <f t="shared" si="5"/>
        <v>0</v>
      </c>
      <c r="K14" s="7">
        <f>'[2]Production Summary'!T74</f>
        <v>471615</v>
      </c>
      <c r="L14" s="8">
        <f t="shared" si="6"/>
        <v>0.47161500000000001</v>
      </c>
      <c r="M14" s="10">
        <f t="shared" si="7"/>
        <v>1.44785805</v>
      </c>
      <c r="N14" s="21"/>
      <c r="O14" s="7">
        <f>'[2]Production Summary'!I74</f>
        <v>12161999.999999993</v>
      </c>
      <c r="P14" s="8">
        <f t="shared" si="8"/>
        <v>12.161999999999992</v>
      </c>
      <c r="Q14" s="10">
        <f t="shared" si="9"/>
        <v>37.337339999999976</v>
      </c>
      <c r="R14" s="7">
        <f>'[2]Production Summary'!C74</f>
        <v>12618000</v>
      </c>
      <c r="S14" s="8">
        <f t="shared" si="10"/>
        <v>12.618</v>
      </c>
      <c r="T14" s="10">
        <f t="shared" si="11"/>
        <v>38.737259999999999</v>
      </c>
      <c r="U14" s="7">
        <f>'[2]Production Summary'!F74</f>
        <v>0</v>
      </c>
      <c r="V14" s="8">
        <f t="shared" si="12"/>
        <v>0</v>
      </c>
      <c r="W14" s="10">
        <f t="shared" si="13"/>
        <v>0</v>
      </c>
      <c r="X14" s="7">
        <f>'[2]Production Summary'!AB74</f>
        <v>445000.00000000739</v>
      </c>
      <c r="Y14" s="8">
        <f t="shared" si="14"/>
        <v>0.44500000000000739</v>
      </c>
      <c r="Z14" s="10">
        <f t="shared" si="15"/>
        <v>1.3661500000000226</v>
      </c>
      <c r="AA14" s="15"/>
      <c r="AB14" s="7">
        <f t="shared" si="16"/>
        <v>12161999.999999993</v>
      </c>
      <c r="AC14" s="8">
        <f t="shared" si="16"/>
        <v>12.161999999999992</v>
      </c>
      <c r="AD14" s="8">
        <f t="shared" si="16"/>
        <v>37.337339999999976</v>
      </c>
      <c r="AF14" s="8">
        <f t="shared" si="17"/>
        <v>3.37700000000003E-2</v>
      </c>
    </row>
    <row r="15" spans="1:32" x14ac:dyDescent="0.15">
      <c r="A15" s="27">
        <v>43170</v>
      </c>
      <c r="B15" s="7">
        <f>'[2]Production Summary'!J75</f>
        <v>0</v>
      </c>
      <c r="C15" s="8">
        <f t="shared" si="1"/>
        <v>0</v>
      </c>
      <c r="D15" s="10">
        <f t="shared" si="0"/>
        <v>0</v>
      </c>
      <c r="E15" s="7">
        <f>'[2]Production Summary'!E75</f>
        <v>5000000</v>
      </c>
      <c r="F15" s="8">
        <f t="shared" si="2"/>
        <v>5</v>
      </c>
      <c r="G15" s="10">
        <f t="shared" si="3"/>
        <v>15.35</v>
      </c>
      <c r="H15" s="7">
        <f>'[2]Production Summary'!G75</f>
        <v>0</v>
      </c>
      <c r="I15" s="8">
        <f t="shared" si="4"/>
        <v>0</v>
      </c>
      <c r="J15" s="10">
        <f t="shared" si="5"/>
        <v>0</v>
      </c>
      <c r="K15" s="7">
        <f>'[2]Production Summary'!T75</f>
        <v>435553</v>
      </c>
      <c r="L15" s="8">
        <f t="shared" si="6"/>
        <v>0.43555300000000002</v>
      </c>
      <c r="M15" s="10">
        <f t="shared" si="7"/>
        <v>1.33714771</v>
      </c>
      <c r="N15" s="21"/>
      <c r="O15" s="7">
        <f>'[2]Production Summary'!I75</f>
        <v>12719000.000000006</v>
      </c>
      <c r="P15" s="8">
        <f t="shared" si="8"/>
        <v>12.719000000000005</v>
      </c>
      <c r="Q15" s="10">
        <f t="shared" si="9"/>
        <v>39.047330000000009</v>
      </c>
      <c r="R15" s="7">
        <f>'[2]Production Summary'!C75</f>
        <v>12954000</v>
      </c>
      <c r="S15" s="8">
        <f t="shared" si="10"/>
        <v>12.954000000000001</v>
      </c>
      <c r="T15" s="10">
        <f t="shared" si="11"/>
        <v>39.76878</v>
      </c>
      <c r="U15" s="7">
        <f>'[2]Production Summary'!F75</f>
        <v>0</v>
      </c>
      <c r="V15" s="8">
        <f t="shared" si="12"/>
        <v>0</v>
      </c>
      <c r="W15" s="10">
        <f t="shared" si="13"/>
        <v>0</v>
      </c>
      <c r="X15" s="7">
        <f>'[2]Production Summary'!AB75</f>
        <v>227999.99999999444</v>
      </c>
      <c r="Y15" s="8">
        <f t="shared" si="14"/>
        <v>0.22799999999999443</v>
      </c>
      <c r="Z15" s="10">
        <f t="shared" si="15"/>
        <v>0.69995999999998282</v>
      </c>
      <c r="AA15" s="15"/>
      <c r="AB15" s="7">
        <f t="shared" si="16"/>
        <v>12719000.000000006</v>
      </c>
      <c r="AC15" s="8">
        <f t="shared" si="16"/>
        <v>12.719000000000005</v>
      </c>
      <c r="AD15" s="8">
        <f t="shared" si="16"/>
        <v>39.047330000000009</v>
      </c>
      <c r="AF15" s="8">
        <f>T15-Q15-Z15</f>
        <v>2.1490000000007337E-2</v>
      </c>
    </row>
    <row r="16" spans="1:32" x14ac:dyDescent="0.15">
      <c r="A16" s="27">
        <v>43171</v>
      </c>
      <c r="B16" s="7">
        <f>'[2]Production Summary'!J76</f>
        <v>0</v>
      </c>
      <c r="C16" s="8">
        <f t="shared" si="1"/>
        <v>0</v>
      </c>
      <c r="D16" s="10">
        <f t="shared" si="0"/>
        <v>0</v>
      </c>
      <c r="E16" s="7">
        <f>'[2]Production Summary'!E76</f>
        <v>5000000</v>
      </c>
      <c r="F16" s="8">
        <f t="shared" si="2"/>
        <v>5</v>
      </c>
      <c r="G16" s="10">
        <f t="shared" si="3"/>
        <v>15.35</v>
      </c>
      <c r="H16" s="7">
        <f>'[2]Production Summary'!G76</f>
        <v>0</v>
      </c>
      <c r="I16" s="8">
        <f t="shared" si="4"/>
        <v>0</v>
      </c>
      <c r="J16" s="10">
        <f t="shared" si="5"/>
        <v>0</v>
      </c>
      <c r="K16" s="7">
        <f>'[2]Production Summary'!T76</f>
        <v>387999</v>
      </c>
      <c r="L16" s="8">
        <f t="shared" si="6"/>
        <v>0.38799899999999998</v>
      </c>
      <c r="M16" s="10">
        <f t="shared" si="7"/>
        <v>1.1911569299999998</v>
      </c>
      <c r="N16" s="21"/>
      <c r="O16" s="7">
        <f>'[2]Production Summary'!I76</f>
        <v>12138000</v>
      </c>
      <c r="P16" s="8">
        <f t="shared" si="8"/>
        <v>12.138</v>
      </c>
      <c r="Q16" s="10">
        <f t="shared" si="9"/>
        <v>37.263659999999994</v>
      </c>
      <c r="R16" s="7">
        <f>'[2]Production Summary'!C76</f>
        <v>12412000</v>
      </c>
      <c r="S16" s="8">
        <f t="shared" si="10"/>
        <v>12.412000000000001</v>
      </c>
      <c r="T16" s="10">
        <f t="shared" si="11"/>
        <v>38.104840000000003</v>
      </c>
      <c r="U16" s="7">
        <f>'[2]Production Summary'!F76</f>
        <v>0</v>
      </c>
      <c r="V16" s="8">
        <f t="shared" si="12"/>
        <v>0</v>
      </c>
      <c r="W16" s="10">
        <f t="shared" si="13"/>
        <v>0</v>
      </c>
      <c r="X16" s="7">
        <f>'[2]Production Summary'!AB76</f>
        <v>268000.0000000007</v>
      </c>
      <c r="Y16" s="8">
        <f t="shared" si="14"/>
        <v>0.26800000000000068</v>
      </c>
      <c r="Z16" s="10">
        <f t="shared" si="15"/>
        <v>0.82276000000000205</v>
      </c>
      <c r="AA16" s="15"/>
      <c r="AB16" s="7">
        <f t="shared" si="16"/>
        <v>12138000</v>
      </c>
      <c r="AC16" s="8">
        <f t="shared" si="16"/>
        <v>12.138</v>
      </c>
      <c r="AD16" s="8">
        <f t="shared" si="16"/>
        <v>37.263659999999994</v>
      </c>
      <c r="AF16" s="8">
        <f>T16-Q16-Z16</f>
        <v>1.8420000000006431E-2</v>
      </c>
    </row>
    <row r="17" spans="1:32" x14ac:dyDescent="0.15">
      <c r="A17" s="27">
        <v>43172</v>
      </c>
      <c r="B17" s="7">
        <f>'[2]Production Summary'!J77</f>
        <v>0</v>
      </c>
      <c r="C17" s="8">
        <f t="shared" si="1"/>
        <v>0</v>
      </c>
      <c r="D17" s="10">
        <f t="shared" si="0"/>
        <v>0</v>
      </c>
      <c r="E17" s="7">
        <f>'[2]Production Summary'!E77</f>
        <v>5000000</v>
      </c>
      <c r="F17" s="8">
        <f t="shared" si="2"/>
        <v>5</v>
      </c>
      <c r="G17" s="10">
        <f t="shared" si="3"/>
        <v>15.35</v>
      </c>
      <c r="H17" s="7">
        <f>'[2]Production Summary'!G77</f>
        <v>0</v>
      </c>
      <c r="I17" s="8">
        <f t="shared" si="4"/>
        <v>0</v>
      </c>
      <c r="J17" s="10">
        <f t="shared" si="5"/>
        <v>0</v>
      </c>
      <c r="K17" s="7">
        <f>'[2]Production Summary'!T77</f>
        <v>393266</v>
      </c>
      <c r="L17" s="8">
        <f t="shared" si="6"/>
        <v>0.393266</v>
      </c>
      <c r="M17" s="10">
        <f t="shared" si="7"/>
        <v>1.2073266199999999</v>
      </c>
      <c r="N17" s="21"/>
      <c r="O17" s="7">
        <f>'[2]Production Summary'!I77</f>
        <v>12059999.999999994</v>
      </c>
      <c r="P17" s="8">
        <f t="shared" si="8"/>
        <v>12.059999999999995</v>
      </c>
      <c r="Q17" s="10">
        <f t="shared" si="9"/>
        <v>37.024199999999986</v>
      </c>
      <c r="R17" s="7">
        <f>'[2]Production Summary'!C77</f>
        <v>12321000</v>
      </c>
      <c r="S17" s="8">
        <f t="shared" si="10"/>
        <v>12.321</v>
      </c>
      <c r="T17" s="10">
        <f t="shared" si="11"/>
        <v>37.825469999999996</v>
      </c>
      <c r="U17" s="7">
        <f>'[2]Production Summary'!F77</f>
        <v>0</v>
      </c>
      <c r="V17" s="8">
        <f t="shared" si="12"/>
        <v>0</v>
      </c>
      <c r="W17" s="10">
        <f t="shared" si="13"/>
        <v>0</v>
      </c>
      <c r="X17" s="7">
        <f>'[2]Production Summary'!AB77</f>
        <v>254000.00000000489</v>
      </c>
      <c r="Y17" s="8">
        <f t="shared" si="14"/>
        <v>0.25400000000000489</v>
      </c>
      <c r="Z17" s="10">
        <f t="shared" si="15"/>
        <v>0.77978000000001502</v>
      </c>
      <c r="AA17" s="15"/>
      <c r="AB17" s="7">
        <f t="shared" si="16"/>
        <v>12059999.999999994</v>
      </c>
      <c r="AC17" s="8">
        <f t="shared" si="16"/>
        <v>12.059999999999995</v>
      </c>
      <c r="AD17" s="8">
        <f t="shared" si="16"/>
        <v>37.024199999999986</v>
      </c>
      <c r="AF17" s="8">
        <f>T17-Q17-Z17</f>
        <v>2.1489999999994458E-2</v>
      </c>
    </row>
    <row r="18" spans="1:32" x14ac:dyDescent="0.15">
      <c r="A18" s="27">
        <v>43173</v>
      </c>
      <c r="B18" s="7">
        <f>'[2]Production Summary'!J78</f>
        <v>0</v>
      </c>
      <c r="C18" s="8">
        <f t="shared" si="1"/>
        <v>0</v>
      </c>
      <c r="D18" s="10">
        <f t="shared" si="0"/>
        <v>0</v>
      </c>
      <c r="E18" s="7">
        <f>'[2]Production Summary'!E78</f>
        <v>5000000</v>
      </c>
      <c r="F18" s="8">
        <f t="shared" si="2"/>
        <v>5</v>
      </c>
      <c r="G18" s="10">
        <f t="shared" si="3"/>
        <v>15.35</v>
      </c>
      <c r="H18" s="7">
        <f>'[2]Production Summary'!G78</f>
        <v>0</v>
      </c>
      <c r="I18" s="8">
        <f t="shared" si="4"/>
        <v>0</v>
      </c>
      <c r="J18" s="10">
        <f t="shared" si="5"/>
        <v>0</v>
      </c>
      <c r="K18" s="7">
        <f>'[2]Production Summary'!T78</f>
        <v>600020</v>
      </c>
      <c r="L18" s="8">
        <f t="shared" si="6"/>
        <v>0.60002</v>
      </c>
      <c r="M18" s="10">
        <f t="shared" si="7"/>
        <v>1.8420614</v>
      </c>
      <c r="N18" s="21"/>
      <c r="O18" s="7">
        <f>'[2]Production Summary'!I78</f>
        <v>10820000.000000009</v>
      </c>
      <c r="P18" s="8">
        <f t="shared" si="8"/>
        <v>10.820000000000009</v>
      </c>
      <c r="Q18" s="10">
        <f t="shared" si="9"/>
        <v>33.217400000000026</v>
      </c>
      <c r="R18" s="7">
        <f>'[2]Production Summary'!C78</f>
        <v>11083000</v>
      </c>
      <c r="S18" s="8">
        <f t="shared" si="10"/>
        <v>11.083</v>
      </c>
      <c r="T18" s="10">
        <f t="shared" si="11"/>
        <v>34.024810000000002</v>
      </c>
      <c r="U18" s="7">
        <f>'[2]Production Summary'!F78</f>
        <v>0</v>
      </c>
      <c r="V18" s="8">
        <f t="shared" si="12"/>
        <v>0</v>
      </c>
      <c r="W18" s="10">
        <f t="shared" si="13"/>
        <v>0</v>
      </c>
      <c r="X18" s="7">
        <f>'[2]Production Summary'!AB78</f>
        <v>256999.9999999908</v>
      </c>
      <c r="Y18" s="8">
        <f t="shared" si="14"/>
        <v>0.25699999999999079</v>
      </c>
      <c r="Z18" s="10">
        <f t="shared" si="15"/>
        <v>0.78898999999997166</v>
      </c>
      <c r="AA18" s="15"/>
      <c r="AB18" s="7">
        <f t="shared" si="16"/>
        <v>10820000.000000009</v>
      </c>
      <c r="AC18" s="8">
        <f t="shared" si="16"/>
        <v>10.820000000000009</v>
      </c>
      <c r="AD18" s="8">
        <f t="shared" si="16"/>
        <v>33.217400000000026</v>
      </c>
      <c r="AF18" s="8">
        <f>T18-Q18-Z18</f>
        <v>1.8420000000004322E-2</v>
      </c>
    </row>
    <row r="19" spans="1:32" x14ac:dyDescent="0.15">
      <c r="A19" s="27">
        <v>43174</v>
      </c>
      <c r="B19" s="7">
        <f>'[2]Production Summary'!J79</f>
        <v>4200000</v>
      </c>
      <c r="C19" s="8">
        <f t="shared" si="1"/>
        <v>4.2</v>
      </c>
      <c r="D19" s="10">
        <f t="shared" si="0"/>
        <v>12.894</v>
      </c>
      <c r="E19" s="7">
        <f>'[2]Production Summary'!E79</f>
        <v>6000000</v>
      </c>
      <c r="F19" s="8">
        <f t="shared" si="2"/>
        <v>6</v>
      </c>
      <c r="G19" s="10">
        <f t="shared" si="3"/>
        <v>18.419999999999998</v>
      </c>
      <c r="H19" s="7">
        <f>'[2]Production Summary'!G79</f>
        <v>0</v>
      </c>
      <c r="I19" s="8">
        <f t="shared" si="4"/>
        <v>0</v>
      </c>
      <c r="J19" s="10">
        <f t="shared" si="5"/>
        <v>0</v>
      </c>
      <c r="K19" s="7">
        <f>'[2]Production Summary'!T79</f>
        <v>388274</v>
      </c>
      <c r="L19" s="8">
        <f t="shared" si="6"/>
        <v>0.38827400000000001</v>
      </c>
      <c r="M19" s="10">
        <f t="shared" si="7"/>
        <v>1.1920011799999999</v>
      </c>
      <c r="N19" s="21"/>
      <c r="O19" s="7">
        <f>'[2]Production Summary'!I79</f>
        <v>8459999.9999999888</v>
      </c>
      <c r="P19" s="8">
        <f t="shared" si="8"/>
        <v>8.4599999999999884</v>
      </c>
      <c r="Q19" s="10">
        <f t="shared" si="9"/>
        <v>25.972199999999962</v>
      </c>
      <c r="R19" s="7">
        <f>'[2]Production Summary'!C79</f>
        <v>8649000</v>
      </c>
      <c r="S19" s="8">
        <f t="shared" si="10"/>
        <v>8.6489999999999991</v>
      </c>
      <c r="T19" s="10">
        <f t="shared" si="11"/>
        <v>26.552429999999998</v>
      </c>
      <c r="U19" s="7">
        <f>'[2]Production Summary'!F79</f>
        <v>0</v>
      </c>
      <c r="V19" s="8">
        <f t="shared" si="12"/>
        <v>0</v>
      </c>
      <c r="W19" s="10">
        <f t="shared" si="13"/>
        <v>0</v>
      </c>
      <c r="X19" s="7">
        <f>'[2]Production Summary'!AB79</f>
        <v>184000.0000000117</v>
      </c>
      <c r="Y19" s="8">
        <f t="shared" si="14"/>
        <v>0.18400000000001171</v>
      </c>
      <c r="Z19" s="10">
        <f t="shared" si="15"/>
        <v>0.56488000000003591</v>
      </c>
      <c r="AA19" s="15"/>
      <c r="AB19" s="7">
        <f t="shared" si="16"/>
        <v>12659999.999999989</v>
      </c>
      <c r="AC19" s="8">
        <f t="shared" si="16"/>
        <v>12.659999999999989</v>
      </c>
      <c r="AD19" s="8">
        <f>D19+Q19</f>
        <v>38.866199999999964</v>
      </c>
      <c r="AF19" s="8">
        <f>T19-Q19-Z19</f>
        <v>1.5349999999999864E-2</v>
      </c>
    </row>
    <row r="20" spans="1:32" x14ac:dyDescent="0.15">
      <c r="A20" s="27">
        <v>43175</v>
      </c>
      <c r="B20" s="7">
        <f>'[2]Production Summary'!J80</f>
        <v>5499999.9999999991</v>
      </c>
      <c r="C20" s="8">
        <f t="shared" si="1"/>
        <v>5.4999999999999991</v>
      </c>
      <c r="D20" s="10">
        <f t="shared" si="0"/>
        <v>16.884999999999998</v>
      </c>
      <c r="E20" s="7">
        <f>'[2]Production Summary'!E80</f>
        <v>5000000</v>
      </c>
      <c r="F20" s="8">
        <f t="shared" si="2"/>
        <v>5</v>
      </c>
      <c r="G20" s="10">
        <f t="shared" si="3"/>
        <v>15.35</v>
      </c>
      <c r="H20" s="7">
        <f>'[2]Production Summary'!G80</f>
        <v>0</v>
      </c>
      <c r="I20" s="8">
        <f t="shared" si="4"/>
        <v>0</v>
      </c>
      <c r="J20" s="10">
        <f t="shared" si="5"/>
        <v>0</v>
      </c>
      <c r="K20" s="7">
        <f>'[2]Production Summary'!T80</f>
        <v>448568</v>
      </c>
      <c r="L20" s="8">
        <f t="shared" si="6"/>
        <v>0.44856800000000002</v>
      </c>
      <c r="M20" s="10">
        <f t="shared" si="7"/>
        <v>1.37710376</v>
      </c>
      <c r="N20" s="21"/>
      <c r="O20" s="7">
        <f>'[2]Production Summary'!I80</f>
        <v>5587000.0000000112</v>
      </c>
      <c r="P20" s="8">
        <f t="shared" si="8"/>
        <v>5.5870000000000113</v>
      </c>
      <c r="Q20" s="10">
        <f t="shared" si="9"/>
        <v>17.152090000000033</v>
      </c>
      <c r="R20" s="7">
        <f>'[2]Production Summary'!C80</f>
        <v>5789000</v>
      </c>
      <c r="S20" s="8">
        <f t="shared" si="10"/>
        <v>5.7889999999999997</v>
      </c>
      <c r="T20" s="10">
        <f t="shared" si="11"/>
        <v>17.772229999999997</v>
      </c>
      <c r="U20" s="7">
        <f>'[2]Production Summary'!F80</f>
        <v>0</v>
      </c>
      <c r="V20" s="8">
        <f t="shared" si="12"/>
        <v>0</v>
      </c>
      <c r="W20" s="10">
        <f t="shared" si="13"/>
        <v>0</v>
      </c>
      <c r="X20" s="7">
        <f>'[2]Production Summary'!AB80</f>
        <v>196999.9999999885</v>
      </c>
      <c r="Y20" s="8">
        <f t="shared" si="14"/>
        <v>0.19699999999998852</v>
      </c>
      <c r="Z20" s="10">
        <f t="shared" si="15"/>
        <v>0.60478999999996474</v>
      </c>
      <c r="AA20" s="15"/>
      <c r="AB20" s="7">
        <f t="shared" si="16"/>
        <v>11087000.000000011</v>
      </c>
      <c r="AC20" s="8">
        <f t="shared" si="16"/>
        <v>11.08700000000001</v>
      </c>
      <c r="AD20" s="8">
        <f t="shared" si="16"/>
        <v>34.037090000000035</v>
      </c>
      <c r="AF20" s="8">
        <f t="shared" ref="AF20:AF35" si="18">T20-Q20-Z20</f>
        <v>1.5349999999998976E-2</v>
      </c>
    </row>
    <row r="21" spans="1:32" x14ac:dyDescent="0.15">
      <c r="A21" s="27">
        <v>43176</v>
      </c>
      <c r="B21" s="7">
        <f>'[2]Production Summary'!J81</f>
        <v>4600000.0000000019</v>
      </c>
      <c r="C21" s="8">
        <f t="shared" si="1"/>
        <v>4.6000000000000014</v>
      </c>
      <c r="D21" s="10">
        <f t="shared" si="0"/>
        <v>14.122000000000003</v>
      </c>
      <c r="E21" s="7">
        <f>'[2]Production Summary'!E81</f>
        <v>5000000</v>
      </c>
      <c r="F21" s="8">
        <f t="shared" si="2"/>
        <v>5</v>
      </c>
      <c r="G21" s="10">
        <f t="shared" si="3"/>
        <v>15.35</v>
      </c>
      <c r="H21" s="7">
        <f>'[2]Production Summary'!G81</f>
        <v>0</v>
      </c>
      <c r="I21" s="8">
        <f t="shared" si="4"/>
        <v>0</v>
      </c>
      <c r="J21" s="10">
        <f t="shared" si="5"/>
        <v>0</v>
      </c>
      <c r="K21" s="7">
        <f>'[2]Production Summary'!T81</f>
        <v>462410</v>
      </c>
      <c r="L21" s="8">
        <f t="shared" si="6"/>
        <v>0.46240999999999999</v>
      </c>
      <c r="M21" s="10">
        <f t="shared" si="7"/>
        <v>1.4195986999999999</v>
      </c>
      <c r="N21" s="21"/>
      <c r="O21" s="7">
        <f>'[2]Production Summary'!I81</f>
        <v>6930999.9999999981</v>
      </c>
      <c r="P21" s="8">
        <f t="shared" si="8"/>
        <v>6.9309999999999983</v>
      </c>
      <c r="Q21" s="10">
        <f t="shared" si="9"/>
        <v>21.278169999999992</v>
      </c>
      <c r="R21" s="7">
        <f>'[2]Production Summary'!C81</f>
        <v>7121000</v>
      </c>
      <c r="S21" s="8">
        <f t="shared" si="10"/>
        <v>7.1210000000000004</v>
      </c>
      <c r="T21" s="10">
        <f t="shared" si="11"/>
        <v>21.861470000000001</v>
      </c>
      <c r="U21" s="7">
        <f>'[2]Production Summary'!F81</f>
        <v>0</v>
      </c>
      <c r="V21" s="8">
        <f t="shared" si="12"/>
        <v>0</v>
      </c>
      <c r="W21" s="10">
        <f t="shared" si="13"/>
        <v>0</v>
      </c>
      <c r="X21" s="7">
        <f>'[2]Production Summary'!AB81</f>
        <v>185000.00000000227</v>
      </c>
      <c r="Y21" s="8">
        <f t="shared" si="14"/>
        <v>0.18500000000000227</v>
      </c>
      <c r="Z21" s="10">
        <f t="shared" si="15"/>
        <v>0.56795000000000695</v>
      </c>
      <c r="AA21" s="15"/>
      <c r="AB21" s="7">
        <f t="shared" si="16"/>
        <v>11531000</v>
      </c>
      <c r="AC21" s="8">
        <f t="shared" si="16"/>
        <v>11.530999999999999</v>
      </c>
      <c r="AD21" s="8">
        <f t="shared" si="16"/>
        <v>35.400169999999996</v>
      </c>
      <c r="AF21" s="8">
        <f t="shared" si="18"/>
        <v>1.5350000000001418E-2</v>
      </c>
    </row>
    <row r="22" spans="1:32" x14ac:dyDescent="0.15">
      <c r="A22" s="27">
        <v>43177</v>
      </c>
      <c r="B22" s="7">
        <f>'[2]Production Summary'!J82</f>
        <v>6000000</v>
      </c>
      <c r="C22" s="8">
        <f t="shared" si="1"/>
        <v>6</v>
      </c>
      <c r="D22" s="10">
        <f t="shared" si="0"/>
        <v>18.419999999999998</v>
      </c>
      <c r="E22" s="7">
        <f>'[2]Production Summary'!E82</f>
        <v>7000000</v>
      </c>
      <c r="F22" s="8">
        <f t="shared" si="2"/>
        <v>7</v>
      </c>
      <c r="G22" s="10">
        <f t="shared" si="3"/>
        <v>21.49</v>
      </c>
      <c r="H22" s="7">
        <f>'[2]Production Summary'!G82</f>
        <v>0</v>
      </c>
      <c r="I22" s="8">
        <f t="shared" si="4"/>
        <v>0</v>
      </c>
      <c r="J22" s="10">
        <f t="shared" si="5"/>
        <v>0</v>
      </c>
      <c r="K22" s="7">
        <f>'[2]Production Summary'!T82</f>
        <v>538177</v>
      </c>
      <c r="L22" s="8">
        <f t="shared" si="6"/>
        <v>0.53817700000000002</v>
      </c>
      <c r="M22" s="10">
        <f t="shared" si="7"/>
        <v>1.6522033899999999</v>
      </c>
      <c r="N22" s="21"/>
      <c r="O22" s="7">
        <f>'[2]Production Summary'!I82</f>
        <v>7340999.9999999916</v>
      </c>
      <c r="P22" s="8">
        <f t="shared" si="8"/>
        <v>7.3409999999999913</v>
      </c>
      <c r="Q22" s="10">
        <f t="shared" si="9"/>
        <v>22.536869999999972</v>
      </c>
      <c r="R22" s="7">
        <f>'[2]Production Summary'!C82</f>
        <v>7441000</v>
      </c>
      <c r="S22" s="8">
        <f t="shared" si="10"/>
        <v>7.4409999999999998</v>
      </c>
      <c r="T22" s="10">
        <f t="shared" si="11"/>
        <v>22.843869999999999</v>
      </c>
      <c r="U22" s="7">
        <f>'[2]Production Summary'!F82</f>
        <v>0</v>
      </c>
      <c r="V22" s="8">
        <f t="shared" si="12"/>
        <v>0</v>
      </c>
      <c r="W22" s="10">
        <f t="shared" si="13"/>
        <v>0</v>
      </c>
      <c r="X22" s="7">
        <f>'[2]Production Summary'!AB82</f>
        <v>97000.000000008411</v>
      </c>
      <c r="Y22" s="8">
        <f t="shared" si="14"/>
        <v>9.7000000000008413E-2</v>
      </c>
      <c r="Z22" s="10">
        <f t="shared" si="15"/>
        <v>0.29779000000002581</v>
      </c>
      <c r="AA22" s="15"/>
      <c r="AB22" s="7">
        <f t="shared" si="16"/>
        <v>13340999.999999993</v>
      </c>
      <c r="AC22" s="8">
        <f t="shared" si="16"/>
        <v>13.34099999999999</v>
      </c>
      <c r="AD22" s="8">
        <f t="shared" si="16"/>
        <v>40.956869999999967</v>
      </c>
      <c r="AF22" s="8">
        <f t="shared" si="18"/>
        <v>9.2100000000012172E-3</v>
      </c>
    </row>
    <row r="23" spans="1:32" x14ac:dyDescent="0.15">
      <c r="A23" s="27">
        <v>43178</v>
      </c>
      <c r="B23" s="7">
        <f>'[2]Production Summary'!J83</f>
        <v>6199999.9999999991</v>
      </c>
      <c r="C23" s="8">
        <f t="shared" si="1"/>
        <v>6.1999999999999993</v>
      </c>
      <c r="D23" s="10">
        <f t="shared" si="0"/>
        <v>19.033999999999995</v>
      </c>
      <c r="E23" s="7">
        <f>'[2]Production Summary'!E83</f>
        <v>6000000</v>
      </c>
      <c r="F23" s="8">
        <f t="shared" si="2"/>
        <v>6</v>
      </c>
      <c r="G23" s="10">
        <f t="shared" si="3"/>
        <v>18.419999999999998</v>
      </c>
      <c r="H23" s="7">
        <f>'[2]Production Summary'!G83</f>
        <v>0</v>
      </c>
      <c r="I23" s="8">
        <f t="shared" si="4"/>
        <v>0</v>
      </c>
      <c r="J23" s="10">
        <f t="shared" si="5"/>
        <v>0</v>
      </c>
      <c r="K23" s="7">
        <f>'[2]Production Summary'!T83</f>
        <v>591818</v>
      </c>
      <c r="L23" s="8">
        <f t="shared" si="6"/>
        <v>0.59181799999999996</v>
      </c>
      <c r="M23" s="10">
        <f t="shared" si="7"/>
        <v>1.8168812599999997</v>
      </c>
      <c r="N23" s="21"/>
      <c r="O23" s="7">
        <f>'[2]Production Summary'!I83</f>
        <v>5872000.0000000028</v>
      </c>
      <c r="P23" s="8">
        <f t="shared" si="8"/>
        <v>5.8720000000000026</v>
      </c>
      <c r="Q23" s="10">
        <f t="shared" si="9"/>
        <v>18.027040000000007</v>
      </c>
      <c r="R23" s="7">
        <f>'[2]Production Summary'!C83</f>
        <v>6041000</v>
      </c>
      <c r="S23" s="8">
        <f t="shared" si="10"/>
        <v>6.0410000000000004</v>
      </c>
      <c r="T23" s="10">
        <f t="shared" si="11"/>
        <v>18.545870000000001</v>
      </c>
      <c r="U23" s="7">
        <f>'[2]Production Summary'!F83</f>
        <v>0</v>
      </c>
      <c r="V23" s="8">
        <f t="shared" si="12"/>
        <v>0</v>
      </c>
      <c r="W23" s="10">
        <f t="shared" si="13"/>
        <v>0</v>
      </c>
      <c r="X23" s="7">
        <f>'[2]Production Summary'!AB83</f>
        <v>165999.99999999683</v>
      </c>
      <c r="Y23" s="8">
        <f t="shared" si="14"/>
        <v>0.16599999999999682</v>
      </c>
      <c r="Z23" s="10">
        <f t="shared" si="15"/>
        <v>0.50961999999999019</v>
      </c>
      <c r="AA23" s="15"/>
      <c r="AB23" s="7">
        <f t="shared" si="16"/>
        <v>12072000.000000002</v>
      </c>
      <c r="AC23" s="8">
        <f t="shared" si="16"/>
        <v>12.072000000000003</v>
      </c>
      <c r="AD23" s="8">
        <f t="shared" si="16"/>
        <v>37.061040000000006</v>
      </c>
      <c r="AF23" s="8">
        <f t="shared" si="18"/>
        <v>9.2100000000039373E-3</v>
      </c>
    </row>
    <row r="24" spans="1:32" x14ac:dyDescent="0.15">
      <c r="A24" s="27">
        <v>43179</v>
      </c>
      <c r="B24" s="7">
        <f>'[2]Production Summary'!J84</f>
        <v>6399999.9999999981</v>
      </c>
      <c r="C24" s="8">
        <f t="shared" si="1"/>
        <v>6.3999999999999986</v>
      </c>
      <c r="D24" s="10">
        <f t="shared" si="0"/>
        <v>19.647999999999996</v>
      </c>
      <c r="E24" s="7">
        <f>'[2]Production Summary'!E84</f>
        <v>8000000</v>
      </c>
      <c r="F24" s="8">
        <f t="shared" si="2"/>
        <v>8</v>
      </c>
      <c r="G24" s="10">
        <f t="shared" si="3"/>
        <v>24.56</v>
      </c>
      <c r="H24" s="7">
        <f>'[2]Production Summary'!G84</f>
        <v>0</v>
      </c>
      <c r="I24" s="8">
        <f t="shared" si="4"/>
        <v>0</v>
      </c>
      <c r="J24" s="10">
        <f t="shared" si="5"/>
        <v>0</v>
      </c>
      <c r="K24" s="7">
        <f>'[2]Production Summary'!T84</f>
        <v>683514</v>
      </c>
      <c r="L24" s="8">
        <f t="shared" si="6"/>
        <v>0.68351399999999995</v>
      </c>
      <c r="M24" s="10">
        <f t="shared" si="7"/>
        <v>2.0983879799999996</v>
      </c>
      <c r="N24" s="21"/>
      <c r="O24" s="7">
        <f>'[2]Production Summary'!I84</f>
        <v>5835999.9999999953</v>
      </c>
      <c r="P24" s="8">
        <f t="shared" si="8"/>
        <v>5.835999999999995</v>
      </c>
      <c r="Q24" s="10">
        <f t="shared" si="9"/>
        <v>17.916519999999984</v>
      </c>
      <c r="R24" s="7">
        <f>'[2]Production Summary'!C84</f>
        <v>5956000</v>
      </c>
      <c r="S24" s="8">
        <f t="shared" si="10"/>
        <v>5.9560000000000004</v>
      </c>
      <c r="T24" s="10">
        <f t="shared" si="11"/>
        <v>18.28492</v>
      </c>
      <c r="U24" s="7">
        <f>'[2]Production Summary'!F84</f>
        <v>0</v>
      </c>
      <c r="V24" s="8">
        <f t="shared" si="12"/>
        <v>0</v>
      </c>
      <c r="W24" s="10">
        <f t="shared" si="13"/>
        <v>0</v>
      </c>
      <c r="X24" s="7">
        <f>'[2]Production Summary'!AB84</f>
        <v>117000.00000000444</v>
      </c>
      <c r="Y24" s="8">
        <f t="shared" si="14"/>
        <v>0.11700000000000443</v>
      </c>
      <c r="Z24" s="10">
        <f t="shared" si="15"/>
        <v>0.35919000000001361</v>
      </c>
      <c r="AA24" s="15"/>
      <c r="AB24" s="7">
        <f t="shared" si="16"/>
        <v>12235999.999999993</v>
      </c>
      <c r="AC24" s="8">
        <f t="shared" si="16"/>
        <v>12.235999999999994</v>
      </c>
      <c r="AD24" s="8">
        <f>D24+Q24</f>
        <v>37.56451999999998</v>
      </c>
      <c r="AF24" s="8">
        <f t="shared" si="18"/>
        <v>9.2100000000017723E-3</v>
      </c>
    </row>
    <row r="25" spans="1:32" x14ac:dyDescent="0.15">
      <c r="A25" s="27">
        <v>43180</v>
      </c>
      <c r="B25" s="7">
        <f>'[2]Production Summary'!J85</f>
        <v>7800000.0000000047</v>
      </c>
      <c r="C25" s="8">
        <f t="shared" si="1"/>
        <v>7.8000000000000043</v>
      </c>
      <c r="D25" s="10">
        <f t="shared" si="0"/>
        <v>23.946000000000012</v>
      </c>
      <c r="E25" s="7">
        <f>'[2]Production Summary'!E85</f>
        <v>9000000</v>
      </c>
      <c r="F25" s="8">
        <f t="shared" si="2"/>
        <v>9</v>
      </c>
      <c r="G25" s="10">
        <f t="shared" si="3"/>
        <v>27.63</v>
      </c>
      <c r="H25" s="7">
        <f>'[2]Production Summary'!G85</f>
        <v>0</v>
      </c>
      <c r="I25" s="8">
        <f t="shared" si="4"/>
        <v>0</v>
      </c>
      <c r="J25" s="10">
        <f t="shared" si="5"/>
        <v>0</v>
      </c>
      <c r="K25" s="7">
        <f>'[2]Production Summary'!T85</f>
        <v>801384</v>
      </c>
      <c r="L25" s="8">
        <f t="shared" si="6"/>
        <v>0.80138399999999999</v>
      </c>
      <c r="M25" s="10">
        <f t="shared" si="7"/>
        <v>2.46024888</v>
      </c>
      <c r="N25" s="21"/>
      <c r="O25" s="7">
        <f>'[2]Production Summary'!I85</f>
        <v>5927000.0000000112</v>
      </c>
      <c r="P25" s="8">
        <f t="shared" si="8"/>
        <v>5.9270000000000111</v>
      </c>
      <c r="Q25" s="10">
        <f t="shared" si="9"/>
        <v>18.195890000000034</v>
      </c>
      <c r="R25" s="7">
        <f>'[2]Production Summary'!C85</f>
        <v>6126000</v>
      </c>
      <c r="S25" s="8">
        <f t="shared" si="10"/>
        <v>6.1260000000000003</v>
      </c>
      <c r="T25" s="10">
        <f t="shared" si="11"/>
        <v>18.806819999999998</v>
      </c>
      <c r="U25" s="7">
        <f>'[2]Production Summary'!F85</f>
        <v>0</v>
      </c>
      <c r="V25" s="8">
        <f t="shared" si="12"/>
        <v>0</v>
      </c>
      <c r="W25" s="10">
        <f t="shared" si="13"/>
        <v>0</v>
      </c>
      <c r="X25" s="7">
        <f>'[2]Production Summary'!AB85</f>
        <v>193999.99999998842</v>
      </c>
      <c r="Y25" s="8">
        <f t="shared" si="14"/>
        <v>0.1939999999999884</v>
      </c>
      <c r="Z25" s="10">
        <f t="shared" si="15"/>
        <v>0.59557999999996436</v>
      </c>
      <c r="AA25" s="15"/>
      <c r="AB25" s="7">
        <f t="shared" si="16"/>
        <v>13727000.000000015</v>
      </c>
      <c r="AC25" s="8">
        <f t="shared" si="16"/>
        <v>13.727000000000015</v>
      </c>
      <c r="AD25" s="8">
        <f t="shared" si="16"/>
        <v>42.141890000000046</v>
      </c>
      <c r="AF25" s="8">
        <f t="shared" si="18"/>
        <v>1.5349999999999864E-2</v>
      </c>
    </row>
    <row r="26" spans="1:32" x14ac:dyDescent="0.15">
      <c r="A26" s="27">
        <v>43181</v>
      </c>
      <c r="B26" s="7">
        <f>'[2]Production Summary'!J86</f>
        <v>7500000</v>
      </c>
      <c r="C26" s="8">
        <f t="shared" si="1"/>
        <v>7.5</v>
      </c>
      <c r="D26" s="10">
        <f t="shared" si="0"/>
        <v>23.024999999999999</v>
      </c>
      <c r="E26" s="7">
        <f>'[2]Production Summary'!E86</f>
        <v>8000000</v>
      </c>
      <c r="F26" s="8">
        <f t="shared" si="2"/>
        <v>8</v>
      </c>
      <c r="G26" s="10">
        <f t="shared" si="3"/>
        <v>24.56</v>
      </c>
      <c r="H26" s="7">
        <f>'[2]Production Summary'!G86</f>
        <v>0</v>
      </c>
      <c r="I26" s="8">
        <f t="shared" si="4"/>
        <v>0</v>
      </c>
      <c r="J26" s="10">
        <f t="shared" si="5"/>
        <v>0</v>
      </c>
      <c r="K26" s="7">
        <f>'[2]Production Summary'!T86</f>
        <v>932985</v>
      </c>
      <c r="L26" s="8">
        <f t="shared" si="6"/>
        <v>0.93298499999999995</v>
      </c>
      <c r="M26" s="10">
        <f t="shared" si="7"/>
        <v>2.8642639499999998</v>
      </c>
      <c r="N26" s="21"/>
      <c r="O26" s="7">
        <f>'[2]Production Summary'!I86</f>
        <v>5825999.9999999879</v>
      </c>
      <c r="P26" s="8">
        <f t="shared" si="8"/>
        <v>5.8259999999999881</v>
      </c>
      <c r="Q26" s="10">
        <f t="shared" si="9"/>
        <v>17.885819999999963</v>
      </c>
      <c r="R26" s="7">
        <f>'[2]Production Summary'!C86</f>
        <v>6015000</v>
      </c>
      <c r="S26" s="8">
        <f t="shared" si="10"/>
        <v>6.0149999999999997</v>
      </c>
      <c r="T26" s="10">
        <f t="shared" si="11"/>
        <v>18.466049999999999</v>
      </c>
      <c r="U26" s="7">
        <f>'[2]Production Summary'!F86</f>
        <v>0</v>
      </c>
      <c r="V26" s="8">
        <f t="shared" si="12"/>
        <v>0</v>
      </c>
      <c r="W26" s="10">
        <f t="shared" si="13"/>
        <v>0</v>
      </c>
      <c r="X26" s="7">
        <f>'[2]Production Summary'!AB86</f>
        <v>184000.0000000117</v>
      </c>
      <c r="Y26" s="8">
        <f t="shared" si="14"/>
        <v>0.18400000000001171</v>
      </c>
      <c r="Z26" s="10">
        <f t="shared" si="15"/>
        <v>0.56488000000003591</v>
      </c>
      <c r="AA26" s="15"/>
      <c r="AB26" s="7">
        <f t="shared" si="16"/>
        <v>13325999.999999989</v>
      </c>
      <c r="AC26" s="8">
        <f t="shared" si="16"/>
        <v>13.325999999999988</v>
      </c>
      <c r="AD26" s="8">
        <f t="shared" si="16"/>
        <v>40.910819999999958</v>
      </c>
      <c r="AF26" s="8">
        <f t="shared" si="18"/>
        <v>1.5349999999999864E-2</v>
      </c>
    </row>
    <row r="27" spans="1:32" x14ac:dyDescent="0.15">
      <c r="A27" s="27">
        <v>43182</v>
      </c>
      <c r="B27" s="7">
        <f>'[2]Production Summary'!J87</f>
        <v>7199999.9999999953</v>
      </c>
      <c r="C27" s="8">
        <f t="shared" si="1"/>
        <v>7.1999999999999957</v>
      </c>
      <c r="D27" s="10">
        <f t="shared" si="0"/>
        <v>22.103999999999985</v>
      </c>
      <c r="E27" s="7">
        <f>'[2]Production Summary'!E87</f>
        <v>9000000</v>
      </c>
      <c r="F27" s="8">
        <f t="shared" si="2"/>
        <v>9</v>
      </c>
      <c r="G27" s="10">
        <f t="shared" si="3"/>
        <v>27.63</v>
      </c>
      <c r="H27" s="7">
        <f>'[2]Production Summary'!G87</f>
        <v>0</v>
      </c>
      <c r="I27" s="8">
        <f t="shared" si="4"/>
        <v>0</v>
      </c>
      <c r="J27" s="10">
        <f t="shared" si="5"/>
        <v>0</v>
      </c>
      <c r="K27" s="7">
        <f>'[2]Production Summary'!T87</f>
        <v>954303</v>
      </c>
      <c r="L27" s="8">
        <f t="shared" si="6"/>
        <v>0.95430300000000001</v>
      </c>
      <c r="M27" s="10">
        <f t="shared" si="7"/>
        <v>2.9297102100000001</v>
      </c>
      <c r="N27" s="21"/>
      <c r="O27" s="7">
        <f>'[2]Production Summary'!I87</f>
        <v>5928000.0000000121</v>
      </c>
      <c r="P27" s="8">
        <f t="shared" si="8"/>
        <v>5.9280000000000124</v>
      </c>
      <c r="Q27" s="10">
        <f t="shared" si="9"/>
        <v>18.198960000000039</v>
      </c>
      <c r="R27" s="7">
        <f>'[2]Production Summary'!C87</f>
        <v>5995000</v>
      </c>
      <c r="S27" s="8">
        <f t="shared" si="10"/>
        <v>5.9950000000000001</v>
      </c>
      <c r="T27" s="10">
        <f t="shared" si="11"/>
        <v>18.40465</v>
      </c>
      <c r="U27" s="7">
        <f>'[2]Production Summary'!F87</f>
        <v>0</v>
      </c>
      <c r="V27" s="8">
        <f t="shared" si="12"/>
        <v>0</v>
      </c>
      <c r="W27" s="10">
        <f t="shared" si="13"/>
        <v>0</v>
      </c>
      <c r="X27" s="7">
        <f>'[2]Production Summary'!AB87</f>
        <v>65999.999999988286</v>
      </c>
      <c r="Y27" s="8">
        <f t="shared" si="14"/>
        <v>6.599999999998829E-2</v>
      </c>
      <c r="Z27" s="10">
        <f t="shared" si="15"/>
        <v>0.20261999999996405</v>
      </c>
      <c r="AA27" s="15"/>
      <c r="AB27" s="7">
        <f t="shared" si="16"/>
        <v>13128000.000000007</v>
      </c>
      <c r="AC27" s="8">
        <f t="shared" si="16"/>
        <v>13.128000000000007</v>
      </c>
      <c r="AD27" s="8">
        <f t="shared" si="16"/>
        <v>40.302960000000027</v>
      </c>
      <c r="AF27" s="8">
        <f t="shared" si="18"/>
        <v>3.0699999999974636E-3</v>
      </c>
    </row>
    <row r="28" spans="1:32" x14ac:dyDescent="0.15">
      <c r="A28" s="27">
        <v>43183</v>
      </c>
      <c r="B28" s="7">
        <f>'[2]Production Summary'!J88</f>
        <v>7800000.0000000047</v>
      </c>
      <c r="C28" s="8">
        <f t="shared" si="1"/>
        <v>7.8000000000000043</v>
      </c>
      <c r="D28" s="10">
        <f t="shared" si="0"/>
        <v>23.946000000000012</v>
      </c>
      <c r="E28" s="7">
        <f>'[2]Production Summary'!E88</f>
        <v>9000000</v>
      </c>
      <c r="F28" s="8">
        <f t="shared" si="2"/>
        <v>9</v>
      </c>
      <c r="G28" s="10">
        <f t="shared" si="3"/>
        <v>27.63</v>
      </c>
      <c r="H28" s="7">
        <f>'[2]Production Summary'!G88</f>
        <v>0</v>
      </c>
      <c r="I28" s="8">
        <f t="shared" si="4"/>
        <v>0</v>
      </c>
      <c r="J28" s="10">
        <f t="shared" si="5"/>
        <v>0</v>
      </c>
      <c r="K28" s="7">
        <f>'[2]Production Summary'!T88</f>
        <v>953036</v>
      </c>
      <c r="L28" s="8">
        <f t="shared" si="6"/>
        <v>0.95303599999999999</v>
      </c>
      <c r="M28" s="10">
        <f t="shared" si="7"/>
        <v>2.9258205199999998</v>
      </c>
      <c r="N28" s="21"/>
      <c r="O28" s="7">
        <f>'[2]Production Summary'!I88</f>
        <v>5910999.9999999925</v>
      </c>
      <c r="P28" s="8">
        <f t="shared" si="8"/>
        <v>5.9109999999999925</v>
      </c>
      <c r="Q28" s="10">
        <f t="shared" si="9"/>
        <v>18.146769999999975</v>
      </c>
      <c r="R28" s="7">
        <f>'[2]Production Summary'!C88</f>
        <v>5986000</v>
      </c>
      <c r="S28" s="8">
        <f t="shared" si="10"/>
        <v>5.9859999999999998</v>
      </c>
      <c r="T28" s="10">
        <f t="shared" si="11"/>
        <v>18.377019999999998</v>
      </c>
      <c r="U28" s="7">
        <f>'[2]Production Summary'!F88</f>
        <v>0</v>
      </c>
      <c r="V28" s="8">
        <f t="shared" si="12"/>
        <v>0</v>
      </c>
      <c r="W28" s="10">
        <f t="shared" si="13"/>
        <v>0</v>
      </c>
      <c r="X28" s="7">
        <f>'[2]Production Summary'!AB88</f>
        <v>73000.000000007509</v>
      </c>
      <c r="Y28" s="8">
        <f t="shared" si="14"/>
        <v>7.3000000000007503E-2</v>
      </c>
      <c r="Z28" s="10">
        <f t="shared" si="15"/>
        <v>0.22411000000002301</v>
      </c>
      <c r="AA28" s="15"/>
      <c r="AB28" s="7">
        <f t="shared" si="16"/>
        <v>13710999.999999996</v>
      </c>
      <c r="AC28" s="8">
        <f t="shared" si="16"/>
        <v>13.710999999999997</v>
      </c>
      <c r="AD28" s="8">
        <f t="shared" si="16"/>
        <v>42.092769999999987</v>
      </c>
      <c r="AF28" s="8">
        <f t="shared" si="18"/>
        <v>6.1399999999999233E-3</v>
      </c>
    </row>
    <row r="29" spans="1:32" x14ac:dyDescent="0.15">
      <c r="A29" s="27">
        <v>43184</v>
      </c>
      <c r="B29" s="7">
        <f>'[2]Production Summary'!J89</f>
        <v>7799999.9999999972</v>
      </c>
      <c r="C29" s="8">
        <f t="shared" si="1"/>
        <v>7.7999999999999972</v>
      </c>
      <c r="D29" s="10">
        <f t="shared" si="0"/>
        <v>23.945999999999991</v>
      </c>
      <c r="E29" s="7">
        <f>'[2]Production Summary'!E89</f>
        <v>8000000</v>
      </c>
      <c r="F29" s="8">
        <f t="shared" si="2"/>
        <v>8</v>
      </c>
      <c r="G29" s="10">
        <f t="shared" si="3"/>
        <v>24.56</v>
      </c>
      <c r="H29" s="7">
        <f>'[2]Production Summary'!G89</f>
        <v>0</v>
      </c>
      <c r="I29" s="8">
        <f t="shared" si="4"/>
        <v>0</v>
      </c>
      <c r="J29" s="10">
        <f t="shared" si="5"/>
        <v>0</v>
      </c>
      <c r="K29" s="7">
        <f>'[2]Production Summary'!T89</f>
        <v>658772</v>
      </c>
      <c r="L29" s="8">
        <f t="shared" si="6"/>
        <v>0.65877200000000002</v>
      </c>
      <c r="M29" s="10">
        <f t="shared" si="7"/>
        <v>2.0224300400000002</v>
      </c>
      <c r="N29" s="21"/>
      <c r="O29" s="7">
        <f>'[2]Production Summary'!I89</f>
        <v>5818999.9999999972</v>
      </c>
      <c r="P29" s="8">
        <f t="shared" si="8"/>
        <v>5.8189999999999973</v>
      </c>
      <c r="Q29" s="10">
        <f t="shared" si="9"/>
        <v>17.864329999999992</v>
      </c>
      <c r="R29" s="7">
        <f>'[2]Production Summary'!C89</f>
        <v>6024000</v>
      </c>
      <c r="S29" s="8">
        <f t="shared" si="10"/>
        <v>6.024</v>
      </c>
      <c r="T29" s="10">
        <f t="shared" si="11"/>
        <v>18.493679999999998</v>
      </c>
      <c r="U29" s="7">
        <f>'[2]Production Summary'!F89</f>
        <v>0</v>
      </c>
      <c r="V29" s="8">
        <f t="shared" si="12"/>
        <v>0</v>
      </c>
      <c r="W29" s="10">
        <f t="shared" si="13"/>
        <v>0</v>
      </c>
      <c r="X29" s="7">
        <f>'[2]Production Summary'!AB89</f>
        <v>200000.00000000285</v>
      </c>
      <c r="Y29" s="8">
        <f t="shared" si="14"/>
        <v>0.20000000000000284</v>
      </c>
      <c r="Z29" s="10">
        <f t="shared" si="15"/>
        <v>0.61400000000000865</v>
      </c>
      <c r="AA29" s="15"/>
      <c r="AB29" s="7">
        <f t="shared" si="16"/>
        <v>13618999.999999994</v>
      </c>
      <c r="AC29" s="8">
        <f t="shared" si="16"/>
        <v>13.618999999999994</v>
      </c>
      <c r="AD29" s="8">
        <f t="shared" si="16"/>
        <v>41.810329999999979</v>
      </c>
      <c r="AF29" s="8">
        <f t="shared" si="18"/>
        <v>1.5349999999997199E-2</v>
      </c>
    </row>
    <row r="30" spans="1:32" x14ac:dyDescent="0.15">
      <c r="A30" s="27">
        <v>43185</v>
      </c>
      <c r="B30" s="7">
        <f>'[2]Production Summary'!J90</f>
        <v>6000000</v>
      </c>
      <c r="C30" s="8">
        <f t="shared" si="1"/>
        <v>6</v>
      </c>
      <c r="D30" s="10">
        <f t="shared" si="0"/>
        <v>18.419999999999998</v>
      </c>
      <c r="E30" s="7">
        <f>'[2]Production Summary'!E90</f>
        <v>7000000</v>
      </c>
      <c r="F30" s="8">
        <f t="shared" si="2"/>
        <v>7</v>
      </c>
      <c r="G30" s="10">
        <f t="shared" si="3"/>
        <v>21.49</v>
      </c>
      <c r="H30" s="7">
        <f>'[2]Production Summary'!G90</f>
        <v>0</v>
      </c>
      <c r="I30" s="8">
        <f t="shared" si="4"/>
        <v>0</v>
      </c>
      <c r="J30" s="10">
        <f t="shared" si="5"/>
        <v>0</v>
      </c>
      <c r="K30" s="7">
        <f>'[2]Production Summary'!T90</f>
        <v>734362</v>
      </c>
      <c r="L30" s="8">
        <f t="shared" si="6"/>
        <v>0.73436199999999996</v>
      </c>
      <c r="M30" s="10">
        <f t="shared" si="7"/>
        <v>2.25449134</v>
      </c>
      <c r="N30" s="21"/>
      <c r="O30" s="7">
        <f>'[2]Production Summary'!I90</f>
        <v>5739000.0000000121</v>
      </c>
      <c r="P30" s="8">
        <f t="shared" si="8"/>
        <v>5.7390000000000123</v>
      </c>
      <c r="Q30" s="10">
        <f t="shared" si="9"/>
        <v>17.618730000000038</v>
      </c>
      <c r="R30" s="7">
        <f>'[2]Production Summary'!C90</f>
        <v>5917000</v>
      </c>
      <c r="S30" s="8">
        <f t="shared" si="10"/>
        <v>5.9169999999999998</v>
      </c>
      <c r="T30" s="10">
        <f t="shared" si="11"/>
        <v>18.165189999999999</v>
      </c>
      <c r="U30" s="7">
        <f>'[2]Production Summary'!F90</f>
        <v>0</v>
      </c>
      <c r="V30" s="8">
        <f t="shared" si="12"/>
        <v>0</v>
      </c>
      <c r="W30" s="10">
        <f t="shared" si="13"/>
        <v>0</v>
      </c>
      <c r="X30" s="7">
        <f>'[2]Production Summary'!AB90</f>
        <v>172999.9999999876</v>
      </c>
      <c r="Y30" s="8">
        <f t="shared" si="14"/>
        <v>0.17299999999998761</v>
      </c>
      <c r="Z30" s="10">
        <f t="shared" si="15"/>
        <v>0.53110999999996189</v>
      </c>
      <c r="AA30" s="15"/>
      <c r="AB30" s="7">
        <f t="shared" si="16"/>
        <v>11739000.000000011</v>
      </c>
      <c r="AC30" s="8">
        <f t="shared" si="16"/>
        <v>11.739000000000011</v>
      </c>
      <c r="AD30" s="8">
        <f>D30+Q30</f>
        <v>36.038730000000037</v>
      </c>
      <c r="AF30" s="8">
        <f t="shared" si="18"/>
        <v>1.5349999999998754E-2</v>
      </c>
    </row>
    <row r="31" spans="1:32" x14ac:dyDescent="0.15">
      <c r="A31" s="27">
        <v>43186</v>
      </c>
      <c r="B31" s="7">
        <f>'[2]Production Summary'!J91</f>
        <v>7299999.9999999972</v>
      </c>
      <c r="C31" s="8">
        <f t="shared" si="1"/>
        <v>7.2999999999999972</v>
      </c>
      <c r="D31" s="10">
        <f t="shared" si="0"/>
        <v>22.410999999999991</v>
      </c>
      <c r="E31" s="7">
        <f>'[2]Production Summary'!E91</f>
        <v>8000000</v>
      </c>
      <c r="F31" s="8">
        <f t="shared" si="2"/>
        <v>8</v>
      </c>
      <c r="G31" s="10">
        <f t="shared" si="3"/>
        <v>24.56</v>
      </c>
      <c r="H31" s="7">
        <f>'[2]Production Summary'!G91</f>
        <v>0</v>
      </c>
      <c r="I31" s="8">
        <f t="shared" si="4"/>
        <v>0</v>
      </c>
      <c r="J31" s="10">
        <f t="shared" si="5"/>
        <v>0</v>
      </c>
      <c r="K31" s="7">
        <f>'[2]Production Summary'!T91</f>
        <v>796835</v>
      </c>
      <c r="L31" s="8">
        <f t="shared" si="6"/>
        <v>0.79683499999999996</v>
      </c>
      <c r="M31" s="10">
        <f t="shared" si="7"/>
        <v>2.4462834499999997</v>
      </c>
      <c r="N31" s="21"/>
      <c r="O31" s="7">
        <f>'[2]Production Summary'!I91</f>
        <v>5951999.9999999907</v>
      </c>
      <c r="P31" s="8">
        <f t="shared" si="8"/>
        <v>5.9519999999999911</v>
      </c>
      <c r="Q31" s="10">
        <f t="shared" si="9"/>
        <v>18.272639999999971</v>
      </c>
      <c r="R31" s="7">
        <f>'[2]Production Summary'!C91</f>
        <v>6073000</v>
      </c>
      <c r="S31" s="8">
        <f t="shared" si="10"/>
        <v>6.0730000000000004</v>
      </c>
      <c r="T31" s="10">
        <f t="shared" si="11"/>
        <v>18.644110000000001</v>
      </c>
      <c r="U31" s="7">
        <f>'[2]Production Summary'!F91</f>
        <v>0</v>
      </c>
      <c r="V31" s="8">
        <f t="shared" si="12"/>
        <v>0</v>
      </c>
      <c r="W31" s="10">
        <f t="shared" si="13"/>
        <v>0</v>
      </c>
      <c r="X31" s="7">
        <f>'[2]Production Summary'!AB91</f>
        <v>118000.00000000921</v>
      </c>
      <c r="Y31" s="8">
        <f t="shared" si="14"/>
        <v>0.11800000000000921</v>
      </c>
      <c r="Z31" s="10">
        <f t="shared" si="15"/>
        <v>0.36226000000002823</v>
      </c>
      <c r="AA31" s="15"/>
      <c r="AB31" s="7">
        <f t="shared" si="16"/>
        <v>13251999.999999989</v>
      </c>
      <c r="AC31" s="8">
        <f t="shared" si="16"/>
        <v>13.251999999999988</v>
      </c>
      <c r="AD31" s="8">
        <f t="shared" si="16"/>
        <v>40.683639999999961</v>
      </c>
      <c r="AF31" s="8">
        <f>T31-Q31-Z31</f>
        <v>9.2100000000023829E-3</v>
      </c>
    </row>
    <row r="32" spans="1:32" x14ac:dyDescent="0.15">
      <c r="A32" s="27">
        <v>43187</v>
      </c>
      <c r="B32" s="7">
        <f>'[2]Production Summary'!J92</f>
        <v>8100000.0000000084</v>
      </c>
      <c r="C32" s="8">
        <f t="shared" si="1"/>
        <v>8.1000000000000085</v>
      </c>
      <c r="D32" s="10">
        <f t="shared" si="0"/>
        <v>24.867000000000026</v>
      </c>
      <c r="E32" s="7">
        <f>'[2]Production Summary'!E92</f>
        <v>9000000</v>
      </c>
      <c r="F32" s="8">
        <f t="shared" si="2"/>
        <v>9</v>
      </c>
      <c r="G32" s="10">
        <f t="shared" si="3"/>
        <v>27.63</v>
      </c>
      <c r="H32" s="7">
        <f>'[2]Production Summary'!G92</f>
        <v>0</v>
      </c>
      <c r="I32" s="8">
        <f t="shared" si="4"/>
        <v>0</v>
      </c>
      <c r="J32" s="10">
        <f t="shared" si="5"/>
        <v>0</v>
      </c>
      <c r="K32" s="7">
        <f>'[2]Production Summary'!T92</f>
        <v>1114313</v>
      </c>
      <c r="L32" s="8">
        <f t="shared" si="6"/>
        <v>1.1143130000000001</v>
      </c>
      <c r="M32" s="10">
        <f t="shared" si="7"/>
        <v>3.4209409100000001</v>
      </c>
      <c r="N32" s="21"/>
      <c r="O32" s="7">
        <f>'[2]Production Summary'!I92</f>
        <v>5869000.0000000056</v>
      </c>
      <c r="P32" s="8">
        <f t="shared" si="8"/>
        <v>5.869000000000006</v>
      </c>
      <c r="Q32" s="10">
        <f t="shared" si="9"/>
        <v>18.017830000000018</v>
      </c>
      <c r="R32" s="7">
        <f>'[2]Production Summary'!C92</f>
        <v>5981000</v>
      </c>
      <c r="S32" s="8">
        <f t="shared" si="10"/>
        <v>5.9809999999999999</v>
      </c>
      <c r="T32" s="10">
        <f t="shared" si="11"/>
        <v>18.36167</v>
      </c>
      <c r="U32" s="7">
        <f>'[2]Production Summary'!F92</f>
        <v>0</v>
      </c>
      <c r="V32" s="8">
        <f t="shared" si="12"/>
        <v>0</v>
      </c>
      <c r="W32" s="10">
        <f t="shared" si="13"/>
        <v>0</v>
      </c>
      <c r="X32" s="7">
        <f>'[2]Production Summary'!AB92</f>
        <v>108999.99999999466</v>
      </c>
      <c r="Y32" s="8">
        <f t="shared" si="14"/>
        <v>0.10899999999999466</v>
      </c>
      <c r="Z32" s="10">
        <f t="shared" si="15"/>
        <v>0.33462999999998355</v>
      </c>
      <c r="AA32" s="15"/>
      <c r="AB32" s="7">
        <f t="shared" si="16"/>
        <v>13969000.000000015</v>
      </c>
      <c r="AC32" s="8">
        <f t="shared" si="16"/>
        <v>13.969000000000015</v>
      </c>
      <c r="AD32" s="8">
        <f t="shared" si="16"/>
        <v>42.884830000000044</v>
      </c>
      <c r="AF32" s="8">
        <f t="shared" si="18"/>
        <v>9.2099999999988302E-3</v>
      </c>
    </row>
    <row r="33" spans="1:32" x14ac:dyDescent="0.15">
      <c r="A33" s="27">
        <v>43188</v>
      </c>
      <c r="B33" s="7">
        <f>'[2]Production Summary'!J93</f>
        <v>8399999.9999999907</v>
      </c>
      <c r="C33" s="8">
        <f t="shared" si="1"/>
        <v>8.3999999999999915</v>
      </c>
      <c r="D33" s="10">
        <f t="shared" si="0"/>
        <v>25.787999999999972</v>
      </c>
      <c r="E33" s="7">
        <f>'[2]Production Summary'!E93</f>
        <v>9000000</v>
      </c>
      <c r="F33" s="8">
        <f t="shared" si="2"/>
        <v>9</v>
      </c>
      <c r="G33" s="10">
        <f t="shared" si="3"/>
        <v>27.63</v>
      </c>
      <c r="H33" s="7">
        <f>'[2]Production Summary'!G93</f>
        <v>0</v>
      </c>
      <c r="I33" s="8">
        <f t="shared" si="4"/>
        <v>0</v>
      </c>
      <c r="J33" s="10">
        <f t="shared" si="5"/>
        <v>0</v>
      </c>
      <c r="K33" s="7">
        <f>'[2]Production Summary'!T93</f>
        <v>718356</v>
      </c>
      <c r="L33" s="8">
        <f t="shared" si="6"/>
        <v>0.71835599999999999</v>
      </c>
      <c r="M33" s="10">
        <f t="shared" si="7"/>
        <v>2.2053529199999997</v>
      </c>
      <c r="N33" s="21"/>
      <c r="O33" s="7">
        <f>'[2]Production Summary'!I93</f>
        <v>5804000.0000000037</v>
      </c>
      <c r="P33" s="8">
        <f t="shared" si="8"/>
        <v>5.8040000000000038</v>
      </c>
      <c r="Q33" s="10">
        <f t="shared" si="9"/>
        <v>17.818280000000012</v>
      </c>
      <c r="R33" s="7">
        <f>'[2]Production Summary'!C93</f>
        <v>5962000</v>
      </c>
      <c r="S33" s="8">
        <f t="shared" si="10"/>
        <v>5.9619999999999997</v>
      </c>
      <c r="T33" s="10">
        <f t="shared" si="11"/>
        <v>18.303339999999999</v>
      </c>
      <c r="U33" s="7">
        <f>'[2]Production Summary'!F93</f>
        <v>0</v>
      </c>
      <c r="V33" s="8">
        <f t="shared" si="12"/>
        <v>0</v>
      </c>
      <c r="W33" s="10">
        <f t="shared" si="13"/>
        <v>0</v>
      </c>
      <c r="X33" s="7">
        <f>'[2]Production Summary'!AB93</f>
        <v>153999.99999999636</v>
      </c>
      <c r="Y33" s="8">
        <f t="shared" si="14"/>
        <v>0.15399999999999636</v>
      </c>
      <c r="Z33" s="10">
        <f t="shared" si="15"/>
        <v>0.47277999999998882</v>
      </c>
      <c r="AA33" s="15"/>
      <c r="AB33" s="7">
        <f t="shared" si="16"/>
        <v>14203999.999999994</v>
      </c>
      <c r="AC33" s="8">
        <f t="shared" si="16"/>
        <v>14.203999999999995</v>
      </c>
      <c r="AD33" s="8">
        <f t="shared" si="16"/>
        <v>43.606279999999984</v>
      </c>
      <c r="AF33" s="8">
        <f t="shared" si="18"/>
        <v>1.2279999999997682E-2</v>
      </c>
    </row>
    <row r="34" spans="1:32" x14ac:dyDescent="0.15">
      <c r="A34" s="27">
        <v>43189</v>
      </c>
      <c r="B34" s="7">
        <f>'[2]Production Summary'!J94</f>
        <v>6600000.0000000084</v>
      </c>
      <c r="C34" s="8">
        <f t="shared" si="1"/>
        <v>6.6000000000000085</v>
      </c>
      <c r="D34" s="10">
        <f t="shared" si="0"/>
        <v>20.262000000000025</v>
      </c>
      <c r="E34" s="7">
        <f>'[2]Production Summary'!E94</f>
        <v>8000000</v>
      </c>
      <c r="F34" s="8">
        <f t="shared" si="2"/>
        <v>8</v>
      </c>
      <c r="G34" s="10">
        <f t="shared" si="3"/>
        <v>24.56</v>
      </c>
      <c r="H34" s="7">
        <f>'[2]Production Summary'!G94</f>
        <v>0</v>
      </c>
      <c r="I34" s="8">
        <f t="shared" si="4"/>
        <v>0</v>
      </c>
      <c r="J34" s="10">
        <f t="shared" si="5"/>
        <v>0</v>
      </c>
      <c r="K34" s="7">
        <f>'[2]Production Summary'!T94</f>
        <v>745970</v>
      </c>
      <c r="L34" s="8">
        <f t="shared" si="6"/>
        <v>0.74597000000000002</v>
      </c>
      <c r="M34" s="10">
        <f t="shared" si="7"/>
        <v>2.2901278999999999</v>
      </c>
      <c r="N34" s="21"/>
      <c r="O34" s="7">
        <f>'[2]Production Summary'!I94</f>
        <v>5855999.9999999935</v>
      </c>
      <c r="P34" s="8">
        <f t="shared" si="8"/>
        <v>5.8559999999999937</v>
      </c>
      <c r="Q34" s="10">
        <f t="shared" si="9"/>
        <v>17.97791999999998</v>
      </c>
      <c r="R34" s="7">
        <f>'[2]Production Summary'!C94</f>
        <v>6043000</v>
      </c>
      <c r="S34" s="8">
        <f t="shared" si="10"/>
        <v>6.0430000000000001</v>
      </c>
      <c r="T34" s="10">
        <f t="shared" si="11"/>
        <v>18.552009999999999</v>
      </c>
      <c r="U34" s="7">
        <f>'[2]Production Summary'!F94</f>
        <v>0</v>
      </c>
      <c r="V34" s="8">
        <f t="shared" si="12"/>
        <v>0</v>
      </c>
      <c r="W34" s="10">
        <f t="shared" si="13"/>
        <v>0</v>
      </c>
      <c r="X34" s="7">
        <f>'[2]Production Summary'!AB94</f>
        <v>183000.00000000693</v>
      </c>
      <c r="Y34" s="8">
        <f t="shared" si="14"/>
        <v>0.18300000000000693</v>
      </c>
      <c r="Z34" s="10">
        <f t="shared" si="15"/>
        <v>0.56181000000002124</v>
      </c>
      <c r="AA34" s="15"/>
      <c r="AB34" s="7">
        <f t="shared" si="16"/>
        <v>12456000.000000002</v>
      </c>
      <c r="AC34" s="8">
        <f t="shared" si="16"/>
        <v>12.456000000000003</v>
      </c>
      <c r="AD34" s="8">
        <f t="shared" si="16"/>
        <v>38.239920000000005</v>
      </c>
      <c r="AF34" s="8">
        <f t="shared" si="18"/>
        <v>1.2279999999998292E-2</v>
      </c>
    </row>
    <row r="35" spans="1:32" ht="14" thickBot="1" x14ac:dyDescent="0.2">
      <c r="A35" s="27">
        <v>43190</v>
      </c>
      <c r="B35" s="7">
        <f>'[2]Production Summary'!J95</f>
        <v>6399999.9999999916</v>
      </c>
      <c r="C35" s="8">
        <f t="shared" si="1"/>
        <v>6.3999999999999915</v>
      </c>
      <c r="D35" s="10">
        <f t="shared" si="0"/>
        <v>19.647999999999971</v>
      </c>
      <c r="E35" s="7">
        <f>'[2]Production Summary'!E95</f>
        <v>7000000</v>
      </c>
      <c r="F35" s="8">
        <f t="shared" si="2"/>
        <v>7</v>
      </c>
      <c r="G35" s="10">
        <f t="shared" si="3"/>
        <v>21.49</v>
      </c>
      <c r="H35" s="7">
        <f>'[2]Production Summary'!G95</f>
        <v>0</v>
      </c>
      <c r="I35" s="8">
        <f t="shared" si="4"/>
        <v>0</v>
      </c>
      <c r="J35" s="10">
        <f t="shared" si="5"/>
        <v>0</v>
      </c>
      <c r="K35" s="7">
        <f>'[2]Production Summary'!T95</f>
        <v>666951.80000000005</v>
      </c>
      <c r="L35" s="8">
        <f t="shared" si="6"/>
        <v>0.66695180000000009</v>
      </c>
      <c r="M35" s="10">
        <f t="shared" si="7"/>
        <v>2.0475420260000003</v>
      </c>
      <c r="N35" s="21"/>
      <c r="O35" s="7">
        <f>'[2]Production Summary'!I95</f>
        <v>5793000.0000000019</v>
      </c>
      <c r="P35" s="8">
        <f t="shared" si="8"/>
        <v>5.7930000000000019</v>
      </c>
      <c r="Q35" s="10">
        <f t="shared" si="9"/>
        <v>17.784510000000004</v>
      </c>
      <c r="R35" s="7">
        <f>'[2]Production Summary'!C95</f>
        <v>5994000</v>
      </c>
      <c r="S35" s="8">
        <f t="shared" si="10"/>
        <v>5.9939999999999998</v>
      </c>
      <c r="T35" s="10">
        <f t="shared" si="11"/>
        <v>18.401579999999999</v>
      </c>
      <c r="U35" s="7">
        <f>'[2]Production Summary'!F95</f>
        <v>0</v>
      </c>
      <c r="V35" s="8">
        <f t="shared" si="12"/>
        <v>0</v>
      </c>
      <c r="W35" s="10">
        <f t="shared" si="13"/>
        <v>0</v>
      </c>
      <c r="X35" s="7">
        <f>'[2]Production Summary'!AB95</f>
        <v>195999.99999999796</v>
      </c>
      <c r="Y35" s="8">
        <f t="shared" si="14"/>
        <v>0.19599999999999795</v>
      </c>
      <c r="Z35" s="10">
        <f t="shared" si="15"/>
        <v>0.6017199999999937</v>
      </c>
      <c r="AA35" s="15"/>
      <c r="AB35" s="7">
        <f t="shared" si="16"/>
        <v>12192999.999999993</v>
      </c>
      <c r="AC35" s="8">
        <f t="shared" si="16"/>
        <v>12.192999999999994</v>
      </c>
      <c r="AD35" s="8">
        <f t="shared" si="16"/>
        <v>37.432509999999979</v>
      </c>
      <c r="AF35" s="8">
        <f t="shared" si="18"/>
        <v>1.5350000000000974E-2</v>
      </c>
    </row>
    <row r="36" spans="1:32" ht="14" thickBot="1" x14ac:dyDescent="0.2">
      <c r="A36" s="14"/>
      <c r="B36" s="37"/>
      <c r="C36" s="38">
        <f>SUM(C5:C35)</f>
        <v>113.8</v>
      </c>
      <c r="D36" s="38">
        <f t="shared" ref="D36:J36" si="19">SUM(D5:D35)</f>
        <v>349.36599999999993</v>
      </c>
      <c r="E36" s="37"/>
      <c r="F36" s="38">
        <f t="shared" si="19"/>
        <v>166</v>
      </c>
      <c r="G36" s="38">
        <f t="shared" si="19"/>
        <v>509.62</v>
      </c>
      <c r="H36" s="37"/>
      <c r="I36" s="38">
        <f t="shared" si="19"/>
        <v>0</v>
      </c>
      <c r="J36" s="38">
        <f t="shared" si="19"/>
        <v>0</v>
      </c>
      <c r="K36" s="37"/>
      <c r="L36" s="38">
        <f>SUM(L5:L35)</f>
        <v>18.4468438</v>
      </c>
      <c r="M36" s="38">
        <f>SUM(M5:M35)</f>
        <v>56.631810466000012</v>
      </c>
      <c r="N36" s="14"/>
      <c r="O36" s="37"/>
      <c r="P36" s="38">
        <f>SUM(P5:P35)</f>
        <v>272.69500000000005</v>
      </c>
      <c r="Q36" s="38">
        <f>SUM(Q5:Q35)</f>
        <v>837.17364999999995</v>
      </c>
      <c r="R36" s="37"/>
      <c r="S36" s="38">
        <f>SUM(S5:S35)</f>
        <v>279.18899999999996</v>
      </c>
      <c r="T36" s="38">
        <f>SUM(T5:T35)</f>
        <v>857.11023000000023</v>
      </c>
      <c r="U36" s="37"/>
      <c r="V36" s="38">
        <f>SUM(V5:V35)</f>
        <v>0</v>
      </c>
      <c r="W36" s="38">
        <f>SUM(W5:W35)</f>
        <v>0</v>
      </c>
      <c r="X36" s="37"/>
      <c r="Y36" s="38">
        <f>SUM(Y5:Y35)</f>
        <v>6.3329999999999984</v>
      </c>
      <c r="Z36" s="38">
        <f>SUM(Z5:Z35)</f>
        <v>19.442309999999992</v>
      </c>
      <c r="AA36" s="14"/>
      <c r="AB36" s="37"/>
      <c r="AC36" s="38">
        <f>SUM(AC5:AC35)</f>
        <v>386.495</v>
      </c>
      <c r="AD36" s="38">
        <f>AC36*3.07</f>
        <v>1186.5396499999999</v>
      </c>
      <c r="AF36" s="38">
        <f>SUM(AF5:AF35)</f>
        <v>0.4942699999999875</v>
      </c>
    </row>
    <row r="37" spans="1:32" x14ac:dyDescent="0.15">
      <c r="C37" s="18"/>
      <c r="E37" s="3"/>
      <c r="F37" s="3"/>
      <c r="G37" s="3"/>
      <c r="H37" s="3"/>
      <c r="I37" s="3"/>
      <c r="J37" s="15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>
    <oddFooter>&amp;R&amp;D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pageSetUpPr fitToPage="1"/>
  </sheetPr>
  <dimension ref="A1:AF36"/>
  <sheetViews>
    <sheetView workbookViewId="0">
      <pane xSplit="1" ySplit="4" topLeftCell="P17" activePane="bottomRight" state="frozen"/>
      <selection activeCell="D6" sqref="D5:D6"/>
      <selection pane="topRight" activeCell="D6" sqref="D5:D6"/>
      <selection pane="bottomLeft" activeCell="D6" sqref="D5:D6"/>
      <selection pane="bottomRight" activeCell="K17" sqref="K17"/>
    </sheetView>
  </sheetViews>
  <sheetFormatPr baseColWidth="10" defaultColWidth="8.83203125" defaultRowHeight="13" x14ac:dyDescent="0.15"/>
  <cols>
    <col min="2" max="2" width="13.33203125" customWidth="1"/>
    <col min="5" max="5" width="13.1640625" customWidth="1"/>
    <col min="7" max="7" width="9.33203125" bestFit="1" customWidth="1"/>
    <col min="8" max="8" width="15.1640625" customWidth="1"/>
    <col min="9" max="10" width="9.33203125" bestFit="1" customWidth="1"/>
    <col min="11" max="11" width="10.33203125" customWidth="1"/>
    <col min="12" max="12" width="11.6640625" bestFit="1" customWidth="1"/>
    <col min="15" max="15" width="10.6640625" customWidth="1"/>
    <col min="16" max="17" width="9.33203125" bestFit="1" customWidth="1"/>
    <col min="18" max="18" width="10.6640625" customWidth="1"/>
    <col min="19" max="20" width="9.33203125" bestFit="1" customWidth="1"/>
    <col min="21" max="21" width="10.5" customWidth="1"/>
    <col min="22" max="22" width="10.83203125" customWidth="1"/>
    <col min="23" max="23" width="9" bestFit="1" customWidth="1"/>
    <col min="24" max="24" width="12.1640625" customWidth="1"/>
    <col min="25" max="26" width="9" bestFit="1" customWidth="1"/>
    <col min="28" max="28" width="13.1640625" customWidth="1"/>
  </cols>
  <sheetData>
    <row r="1" spans="1:30" x14ac:dyDescent="0.15">
      <c r="A1" s="41"/>
      <c r="B1" s="55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">
      <c r="A3" s="3"/>
      <c r="B3" s="59" t="s">
        <v>10</v>
      </c>
      <c r="C3" s="60"/>
      <c r="D3" s="61"/>
      <c r="E3" s="59" t="s">
        <v>11</v>
      </c>
      <c r="F3" s="60"/>
      <c r="G3" s="61"/>
      <c r="H3" s="59" t="s">
        <v>12</v>
      </c>
      <c r="I3" s="60"/>
      <c r="J3" s="61"/>
      <c r="K3" s="59" t="s">
        <v>13</v>
      </c>
      <c r="L3" s="60"/>
      <c r="M3" s="61"/>
      <c r="N3" s="19"/>
      <c r="O3" s="59" t="s">
        <v>4</v>
      </c>
      <c r="P3" s="60"/>
      <c r="Q3" s="61"/>
      <c r="R3" s="59" t="s">
        <v>3</v>
      </c>
      <c r="S3" s="60"/>
      <c r="T3" s="61"/>
      <c r="U3" s="59" t="s">
        <v>6</v>
      </c>
      <c r="V3" s="60"/>
      <c r="W3" s="61"/>
      <c r="X3" s="59" t="s">
        <v>7</v>
      </c>
      <c r="Y3" s="60"/>
      <c r="Z3" s="61"/>
      <c r="AA3" s="19"/>
      <c r="AB3" s="56" t="s">
        <v>8</v>
      </c>
      <c r="AC3" s="57"/>
      <c r="AD3" s="58"/>
    </row>
    <row r="4" spans="1:30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4" t="s">
        <v>0</v>
      </c>
      <c r="AC4" s="35" t="s">
        <v>1</v>
      </c>
      <c r="AD4" s="36" t="s">
        <v>2</v>
      </c>
    </row>
    <row r="5" spans="1:30" x14ac:dyDescent="0.15">
      <c r="A5" s="27">
        <v>43191</v>
      </c>
      <c r="B5" s="7">
        <f>'[3]Production Summary'!J6</f>
        <v>7400000.0000000056</v>
      </c>
      <c r="C5" s="8">
        <f>B5/1000000</f>
        <v>7.4000000000000057</v>
      </c>
      <c r="D5" s="10">
        <f>C5*3.07</f>
        <v>22.718000000000018</v>
      </c>
      <c r="E5" s="7">
        <f>'[3]Production Summary'!E6</f>
        <v>8000000</v>
      </c>
      <c r="F5" s="8">
        <f>E5/1000000</f>
        <v>8</v>
      </c>
      <c r="G5" s="10">
        <f>F5*3.07</f>
        <v>24.56</v>
      </c>
      <c r="H5" s="7">
        <f>'[3]Production Summary'!G6</f>
        <v>0</v>
      </c>
      <c r="I5" s="8">
        <f t="shared" ref="I5:I34" si="0">H5/1000000</f>
        <v>0</v>
      </c>
      <c r="J5" s="10">
        <f>I5*3.07</f>
        <v>0</v>
      </c>
      <c r="K5" s="7">
        <f>'[3]Production Summary'!T6</f>
        <v>779184</v>
      </c>
      <c r="L5" s="8">
        <f>K5/1000000</f>
        <v>0.77918399999999999</v>
      </c>
      <c r="M5" s="10">
        <f>L5*3.07</f>
        <v>2.3920948799999997</v>
      </c>
      <c r="N5" s="21"/>
      <c r="O5" s="7">
        <f>'[3]Production Summary'!I6</f>
        <v>5832999.9999999925</v>
      </c>
      <c r="P5" s="8">
        <f>O5/1000000</f>
        <v>5.8329999999999922</v>
      </c>
      <c r="Q5" s="10">
        <f>P5*3.07</f>
        <v>17.907309999999974</v>
      </c>
      <c r="R5" s="7">
        <f>'[3]Production Summary'!C6</f>
        <v>6024000</v>
      </c>
      <c r="S5" s="8">
        <f>R5/1000000</f>
        <v>6.024</v>
      </c>
      <c r="T5" s="10">
        <f>S5*3.07</f>
        <v>18.493679999999998</v>
      </c>
      <c r="U5" s="7">
        <f>'[3]Production Summary'!F6</f>
        <v>0</v>
      </c>
      <c r="V5" s="8">
        <f>U5/1000000</f>
        <v>0</v>
      </c>
      <c r="W5" s="10">
        <f>V5*3.07</f>
        <v>0</v>
      </c>
      <c r="X5" s="7">
        <f>'[3]Production Summary'!AB6</f>
        <v>186000.00000000704</v>
      </c>
      <c r="Y5" s="8">
        <f>X5/1000000</f>
        <v>0.18600000000000705</v>
      </c>
      <c r="Z5" s="10">
        <f>Y5*3.07</f>
        <v>0.57102000000002162</v>
      </c>
      <c r="AA5" s="15"/>
      <c r="AB5" s="7">
        <f>B5+O5</f>
        <v>13232999.999999998</v>
      </c>
      <c r="AC5" s="8">
        <f>C5+P5</f>
        <v>13.232999999999997</v>
      </c>
      <c r="AD5" s="8">
        <f>D5+Q5</f>
        <v>40.625309999999992</v>
      </c>
    </row>
    <row r="6" spans="1:30" x14ac:dyDescent="0.15">
      <c r="A6" s="27">
        <v>43192</v>
      </c>
      <c r="B6" s="7">
        <f>'[3]Production Summary'!J7</f>
        <v>8200000.0000000028</v>
      </c>
      <c r="C6" s="8">
        <f t="shared" ref="C6:C34" si="1">B6/1000000</f>
        <v>8.2000000000000028</v>
      </c>
      <c r="D6" s="10">
        <f t="shared" ref="D6:D34" si="2">C6*3.07</f>
        <v>25.174000000000007</v>
      </c>
      <c r="E6" s="7">
        <f>'[3]Production Summary'!E7</f>
        <v>10000000</v>
      </c>
      <c r="F6" s="8">
        <f t="shared" ref="F6:F34" si="3">E6/1000000</f>
        <v>10</v>
      </c>
      <c r="G6" s="10">
        <f t="shared" ref="G6:G34" si="4">F6*3.07</f>
        <v>30.7</v>
      </c>
      <c r="H6" s="7">
        <f>'[3]Production Summary'!G7</f>
        <v>0</v>
      </c>
      <c r="I6" s="8">
        <f t="shared" si="0"/>
        <v>0</v>
      </c>
      <c r="J6" s="10">
        <f t="shared" ref="J6:J34" si="5">I6*3.07</f>
        <v>0</v>
      </c>
      <c r="K6" s="7">
        <f>'[3]Production Summary'!T7</f>
        <v>1082035</v>
      </c>
      <c r="L6" s="8">
        <f t="shared" ref="L6:L34" si="6">K6/1000000</f>
        <v>1.0820350000000001</v>
      </c>
      <c r="M6" s="10">
        <f t="shared" ref="M6:M34" si="7">L6*3.07</f>
        <v>3.3218474499999999</v>
      </c>
      <c r="N6" s="21"/>
      <c r="O6" s="7">
        <f>'[3]Production Summary'!I7</f>
        <v>5927000.0000000019</v>
      </c>
      <c r="P6" s="8">
        <f t="shared" ref="P6:P34" si="8">O6/1000000</f>
        <v>5.9270000000000023</v>
      </c>
      <c r="Q6" s="10">
        <f t="shared" ref="Q6:Q34" si="9">P6*3.07</f>
        <v>18.195890000000006</v>
      </c>
      <c r="R6" s="7">
        <f>'[3]Production Summary'!C7</f>
        <v>5994000</v>
      </c>
      <c r="S6" s="8">
        <f t="shared" ref="S6:S34" si="10">R6/1000000</f>
        <v>5.9939999999999998</v>
      </c>
      <c r="T6" s="10">
        <f t="shared" ref="T6:T34" si="11">S6*3.07</f>
        <v>18.401579999999999</v>
      </c>
      <c r="U6" s="7">
        <f>'[3]Production Summary'!F7</f>
        <v>0</v>
      </c>
      <c r="V6" s="8">
        <f t="shared" ref="V6:V34" si="12">U6/1000000</f>
        <v>0</v>
      </c>
      <c r="W6" s="10">
        <f t="shared" ref="W6:W34" si="13">V6*3.07</f>
        <v>0</v>
      </c>
      <c r="X6" s="7">
        <f>'[3]Production Summary'!AB7</f>
        <v>64999.99999999773</v>
      </c>
      <c r="Y6" s="8">
        <f t="shared" ref="Y6:Y34" si="14">X6/1000000</f>
        <v>6.4999999999997726E-2</v>
      </c>
      <c r="Z6" s="10">
        <f t="shared" ref="Z6:Z34" si="15">Y6*3.07</f>
        <v>0.19954999999999301</v>
      </c>
      <c r="AA6" s="15"/>
      <c r="AB6" s="7">
        <f t="shared" ref="AB6:AD35" si="16">B6+O6</f>
        <v>14127000.000000004</v>
      </c>
      <c r="AC6" s="8">
        <f t="shared" si="16"/>
        <v>14.127000000000006</v>
      </c>
      <c r="AD6" s="8">
        <f t="shared" si="16"/>
        <v>43.369890000000012</v>
      </c>
    </row>
    <row r="7" spans="1:30" x14ac:dyDescent="0.15">
      <c r="A7" s="27">
        <v>43193</v>
      </c>
      <c r="B7" s="7">
        <f>'[3]Production Summary'!J8</f>
        <v>8099999.9999999944</v>
      </c>
      <c r="C7" s="8">
        <f t="shared" si="1"/>
        <v>8.0999999999999943</v>
      </c>
      <c r="D7" s="10">
        <f t="shared" si="2"/>
        <v>24.86699999999998</v>
      </c>
      <c r="E7" s="7">
        <f>'[3]Production Summary'!E8</f>
        <v>9000000</v>
      </c>
      <c r="F7" s="8">
        <f t="shared" si="3"/>
        <v>9</v>
      </c>
      <c r="G7" s="10">
        <f t="shared" si="4"/>
        <v>27.63</v>
      </c>
      <c r="H7" s="7">
        <f>'[3]Production Summary'!G8</f>
        <v>0</v>
      </c>
      <c r="I7" s="8">
        <f t="shared" si="0"/>
        <v>0</v>
      </c>
      <c r="J7" s="10">
        <f t="shared" si="5"/>
        <v>0</v>
      </c>
      <c r="K7" s="7">
        <f>'[3]Production Summary'!T8</f>
        <v>749030</v>
      </c>
      <c r="L7" s="8">
        <f t="shared" si="6"/>
        <v>0.74902999999999997</v>
      </c>
      <c r="M7" s="10">
        <f t="shared" si="7"/>
        <v>2.2995220999999999</v>
      </c>
      <c r="N7" s="21"/>
      <c r="O7" s="7">
        <f>'[3]Production Summary'!I8</f>
        <v>5932999.9999999972</v>
      </c>
      <c r="P7" s="8">
        <f t="shared" si="8"/>
        <v>5.9329999999999972</v>
      </c>
      <c r="Q7" s="10">
        <f t="shared" si="9"/>
        <v>18.21430999999999</v>
      </c>
      <c r="R7" s="7">
        <f>'[3]Production Summary'!C8</f>
        <v>6000000</v>
      </c>
      <c r="S7" s="8">
        <f t="shared" si="10"/>
        <v>6</v>
      </c>
      <c r="T7" s="10">
        <f t="shared" si="11"/>
        <v>18.419999999999998</v>
      </c>
      <c r="U7" s="7">
        <f>'[3]Production Summary'!F8</f>
        <v>0</v>
      </c>
      <c r="V7" s="8">
        <f t="shared" si="12"/>
        <v>0</v>
      </c>
      <c r="W7" s="10">
        <f t="shared" si="13"/>
        <v>0</v>
      </c>
      <c r="X7" s="7">
        <f>'[3]Production Summary'!AB8</f>
        <v>66000.000000002503</v>
      </c>
      <c r="Y7" s="8">
        <f t="shared" si="14"/>
        <v>6.6000000000002501E-2</v>
      </c>
      <c r="Z7" s="10">
        <f t="shared" si="15"/>
        <v>0.20262000000000766</v>
      </c>
      <c r="AA7" s="15"/>
      <c r="AB7" s="7">
        <f t="shared" si="16"/>
        <v>14032999.999999993</v>
      </c>
      <c r="AC7" s="8">
        <f t="shared" si="16"/>
        <v>14.032999999999991</v>
      </c>
      <c r="AD7" s="8">
        <f t="shared" si="16"/>
        <v>43.081309999999974</v>
      </c>
    </row>
    <row r="8" spans="1:30" x14ac:dyDescent="0.15">
      <c r="A8" s="27">
        <v>43194</v>
      </c>
      <c r="B8" s="7">
        <f>'[3]Production Summary'!J9</f>
        <v>7099999.9999999944</v>
      </c>
      <c r="C8" s="8">
        <f t="shared" si="1"/>
        <v>7.0999999999999943</v>
      </c>
      <c r="D8" s="10">
        <f t="shared" si="2"/>
        <v>21.796999999999983</v>
      </c>
      <c r="E8" s="7">
        <f>'[3]Production Summary'!E9</f>
        <v>7000000</v>
      </c>
      <c r="F8" s="8">
        <f t="shared" si="3"/>
        <v>7</v>
      </c>
      <c r="G8" s="10">
        <f t="shared" si="4"/>
        <v>21.49</v>
      </c>
      <c r="H8" s="7">
        <f>'[3]Production Summary'!G9</f>
        <v>0</v>
      </c>
      <c r="I8" s="8">
        <f t="shared" si="0"/>
        <v>0</v>
      </c>
      <c r="J8" s="10">
        <f t="shared" si="5"/>
        <v>0</v>
      </c>
      <c r="K8" s="7">
        <f>'[3]Production Summary'!T9</f>
        <v>685386</v>
      </c>
      <c r="L8" s="8">
        <f t="shared" si="6"/>
        <v>0.68538600000000005</v>
      </c>
      <c r="M8" s="10">
        <f t="shared" si="7"/>
        <v>2.1041350200000002</v>
      </c>
      <c r="N8" s="21"/>
      <c r="O8" s="7">
        <f>'[3]Production Summary'!I9</f>
        <v>5819000.0000000075</v>
      </c>
      <c r="P8" s="8">
        <f t="shared" si="8"/>
        <v>5.8190000000000071</v>
      </c>
      <c r="Q8" s="10">
        <f t="shared" si="9"/>
        <v>17.86433000000002</v>
      </c>
      <c r="R8" s="7">
        <f>'[3]Production Summary'!C9</f>
        <v>6007000</v>
      </c>
      <c r="S8" s="8">
        <f t="shared" ref="S8:S16" si="17">R8/1000000</f>
        <v>6.0069999999999997</v>
      </c>
      <c r="T8" s="10">
        <f t="shared" ref="T8:T16" si="18">S8*3.07</f>
        <v>18.441489999999998</v>
      </c>
      <c r="U8" s="7">
        <f>'[3]Production Summary'!F9</f>
        <v>0</v>
      </c>
      <c r="V8" s="8">
        <f t="shared" si="12"/>
        <v>0</v>
      </c>
      <c r="W8" s="10">
        <f t="shared" si="13"/>
        <v>0</v>
      </c>
      <c r="X8" s="7">
        <f>'[3]Production Summary'!AB9</f>
        <v>182999.99999999272</v>
      </c>
      <c r="Y8" s="8">
        <f t="shared" si="14"/>
        <v>0.18299999999999272</v>
      </c>
      <c r="Z8" s="10">
        <f t="shared" si="15"/>
        <v>0.56180999999997761</v>
      </c>
      <c r="AA8" s="15"/>
      <c r="AB8" s="7">
        <f t="shared" si="16"/>
        <v>12919000.000000002</v>
      </c>
      <c r="AC8" s="8">
        <f t="shared" si="16"/>
        <v>12.919</v>
      </c>
      <c r="AD8" s="8">
        <f>D8+Q8</f>
        <v>39.661330000000007</v>
      </c>
    </row>
    <row r="9" spans="1:30" x14ac:dyDescent="0.15">
      <c r="A9" s="27">
        <v>43195</v>
      </c>
      <c r="B9" s="7">
        <f>'[3]Production Summary'!J10</f>
        <v>8800000.0000000112</v>
      </c>
      <c r="C9" s="8">
        <f t="shared" si="1"/>
        <v>8.8000000000000114</v>
      </c>
      <c r="D9" s="10">
        <f t="shared" si="2"/>
        <v>27.016000000000034</v>
      </c>
      <c r="E9" s="7">
        <f>'[3]Production Summary'!E10</f>
        <v>10000000</v>
      </c>
      <c r="F9" s="8">
        <f t="shared" si="3"/>
        <v>10</v>
      </c>
      <c r="G9" s="10">
        <f t="shared" si="4"/>
        <v>30.7</v>
      </c>
      <c r="H9" s="7">
        <f>'[3]Production Summary'!G10</f>
        <v>0</v>
      </c>
      <c r="I9" s="8">
        <f t="shared" si="0"/>
        <v>0</v>
      </c>
      <c r="J9" s="10">
        <f t="shared" si="5"/>
        <v>0</v>
      </c>
      <c r="K9" s="7">
        <f>'[3]Production Summary'!T10</f>
        <v>887631</v>
      </c>
      <c r="L9" s="8">
        <f t="shared" si="6"/>
        <v>0.88763099999999995</v>
      </c>
      <c r="M9" s="10">
        <f t="shared" si="7"/>
        <v>2.7250271699999997</v>
      </c>
      <c r="N9" s="21"/>
      <c r="O9" s="7">
        <f>'[3]Production Summary'!I10</f>
        <v>5696000.0000000037</v>
      </c>
      <c r="P9" s="8">
        <f t="shared" ref="P9:P13" si="19">O9/1000000</f>
        <v>5.6960000000000033</v>
      </c>
      <c r="Q9" s="10">
        <f t="shared" ref="Q9:Q13" si="20">P9*3.07</f>
        <v>17.486720000000009</v>
      </c>
      <c r="R9" s="7">
        <f>'[3]Production Summary'!C10</f>
        <v>5969000</v>
      </c>
      <c r="S9" s="8">
        <f t="shared" si="17"/>
        <v>5.9690000000000003</v>
      </c>
      <c r="T9" s="10">
        <f t="shared" si="18"/>
        <v>18.324829999999999</v>
      </c>
      <c r="U9" s="7">
        <f>'[3]Production Summary'!F10</f>
        <v>0</v>
      </c>
      <c r="V9" s="8">
        <f t="shared" si="12"/>
        <v>0</v>
      </c>
      <c r="W9" s="10">
        <f t="shared" si="13"/>
        <v>0</v>
      </c>
      <c r="X9" s="7">
        <f>'[3]Production Summary'!AB10</f>
        <v>266999.99999999593</v>
      </c>
      <c r="Y9" s="8">
        <f t="shared" si="14"/>
        <v>0.26699999999999591</v>
      </c>
      <c r="Z9" s="10">
        <f t="shared" si="15"/>
        <v>0.81968999999998737</v>
      </c>
      <c r="AA9" s="15"/>
      <c r="AB9" s="7">
        <f t="shared" si="16"/>
        <v>14496000.000000015</v>
      </c>
      <c r="AC9" s="8">
        <f t="shared" si="16"/>
        <v>14.496000000000015</v>
      </c>
      <c r="AD9" s="8">
        <f t="shared" si="16"/>
        <v>44.502720000000039</v>
      </c>
    </row>
    <row r="10" spans="1:30" x14ac:dyDescent="0.15">
      <c r="A10" s="27">
        <v>43196</v>
      </c>
      <c r="B10" s="7">
        <f>'[3]Production Summary'!J11</f>
        <v>9000000</v>
      </c>
      <c r="C10" s="8">
        <f t="shared" si="1"/>
        <v>9</v>
      </c>
      <c r="D10" s="10">
        <f t="shared" si="2"/>
        <v>27.63</v>
      </c>
      <c r="E10" s="7">
        <f>'[3]Production Summary'!E11</f>
        <v>10000000</v>
      </c>
      <c r="F10" s="8">
        <f t="shared" si="3"/>
        <v>10</v>
      </c>
      <c r="G10" s="10">
        <f t="shared" si="4"/>
        <v>30.7</v>
      </c>
      <c r="H10" s="7">
        <f>'[3]Production Summary'!G11</f>
        <v>0</v>
      </c>
      <c r="I10" s="8">
        <f t="shared" si="0"/>
        <v>0</v>
      </c>
      <c r="J10" s="10">
        <f t="shared" si="5"/>
        <v>0</v>
      </c>
      <c r="K10" s="7">
        <f>'[3]Production Summary'!T11</f>
        <v>1081976</v>
      </c>
      <c r="L10" s="8">
        <f t="shared" si="6"/>
        <v>1.081976</v>
      </c>
      <c r="M10" s="10">
        <f t="shared" si="7"/>
        <v>3.3216663199999998</v>
      </c>
      <c r="N10" s="21"/>
      <c r="O10" s="7">
        <f>'[3]Production Summary'!I11</f>
        <v>5815999.9999999916</v>
      </c>
      <c r="P10" s="8">
        <f t="shared" si="19"/>
        <v>5.8159999999999918</v>
      </c>
      <c r="Q10" s="10">
        <f t="shared" si="20"/>
        <v>17.855119999999975</v>
      </c>
      <c r="R10" s="7">
        <f>'[3]Production Summary'!C11</f>
        <v>6038000</v>
      </c>
      <c r="S10" s="8">
        <f t="shared" si="17"/>
        <v>6.0380000000000003</v>
      </c>
      <c r="T10" s="10">
        <f t="shared" si="18"/>
        <v>18.536660000000001</v>
      </c>
      <c r="U10" s="7">
        <f>'[3]Production Summary'!F11</f>
        <v>0</v>
      </c>
      <c r="V10" s="8">
        <f t="shared" si="12"/>
        <v>0</v>
      </c>
      <c r="W10" s="10">
        <f t="shared" si="13"/>
        <v>0</v>
      </c>
      <c r="X10" s="7">
        <f>'[3]Production Summary'!AB11</f>
        <v>216000.00000000818</v>
      </c>
      <c r="Y10" s="8">
        <f t="shared" si="14"/>
        <v>0.21600000000000819</v>
      </c>
      <c r="Z10" s="10">
        <f t="shared" si="15"/>
        <v>0.66312000000002513</v>
      </c>
      <c r="AA10" s="15"/>
      <c r="AB10" s="7">
        <f t="shared" si="16"/>
        <v>14815999.999999993</v>
      </c>
      <c r="AC10" s="8">
        <f t="shared" si="16"/>
        <v>14.815999999999992</v>
      </c>
      <c r="AD10" s="8">
        <f t="shared" si="16"/>
        <v>45.485119999999974</v>
      </c>
    </row>
    <row r="11" spans="1:30" x14ac:dyDescent="0.15">
      <c r="A11" s="27">
        <v>43197</v>
      </c>
      <c r="B11" s="7">
        <f>'[3]Production Summary'!J12</f>
        <v>9199999.9999999888</v>
      </c>
      <c r="C11" s="8">
        <f t="shared" si="1"/>
        <v>9.1999999999999886</v>
      </c>
      <c r="D11" s="10">
        <f t="shared" si="2"/>
        <v>28.243999999999964</v>
      </c>
      <c r="E11" s="7">
        <f>'[3]Production Summary'!E12</f>
        <v>11000000</v>
      </c>
      <c r="F11" s="8">
        <f t="shared" si="3"/>
        <v>11</v>
      </c>
      <c r="G11" s="10">
        <f t="shared" si="4"/>
        <v>33.769999999999996</v>
      </c>
      <c r="H11" s="7">
        <f>'[3]Production Summary'!G12</f>
        <v>0</v>
      </c>
      <c r="I11" s="8">
        <f t="shared" si="0"/>
        <v>0</v>
      </c>
      <c r="J11" s="10">
        <f t="shared" si="5"/>
        <v>0</v>
      </c>
      <c r="K11" s="7">
        <f>'[3]Production Summary'!T12</f>
        <v>1160822</v>
      </c>
      <c r="L11" s="8">
        <f t="shared" ref="L11:L12" si="21">K11/1000000</f>
        <v>1.160822</v>
      </c>
      <c r="M11" s="10">
        <f t="shared" ref="M11:M12" si="22">L11*3.07</f>
        <v>3.5637235399999998</v>
      </c>
      <c r="N11" s="21"/>
      <c r="O11" s="7">
        <f>'[3]Production Summary'!I12</f>
        <v>5895000.0000000019</v>
      </c>
      <c r="P11" s="8">
        <f t="shared" si="19"/>
        <v>5.8950000000000022</v>
      </c>
      <c r="Q11" s="10">
        <f t="shared" si="20"/>
        <v>18.097650000000005</v>
      </c>
      <c r="R11" s="7">
        <f>'[3]Production Summary'!C12</f>
        <v>5962000</v>
      </c>
      <c r="S11" s="8">
        <f t="shared" si="17"/>
        <v>5.9619999999999997</v>
      </c>
      <c r="T11" s="10">
        <f t="shared" si="18"/>
        <v>18.303339999999999</v>
      </c>
      <c r="U11" s="7">
        <f>'[3]Production Summary'!F12</f>
        <v>0</v>
      </c>
      <c r="V11" s="8">
        <f t="shared" si="12"/>
        <v>0</v>
      </c>
      <c r="W11" s="10">
        <f t="shared" si="13"/>
        <v>0</v>
      </c>
      <c r="X11" s="7">
        <f>'[3]Production Summary'!AB12</f>
        <v>64999.99999999773</v>
      </c>
      <c r="Y11" s="8">
        <f t="shared" si="14"/>
        <v>6.4999999999997726E-2</v>
      </c>
      <c r="Z11" s="10">
        <f t="shared" si="15"/>
        <v>0.19954999999999301</v>
      </c>
      <c r="AA11" s="15"/>
      <c r="AB11" s="7">
        <f t="shared" si="16"/>
        <v>15094999.999999991</v>
      </c>
      <c r="AC11" s="8">
        <f t="shared" si="16"/>
        <v>15.094999999999992</v>
      </c>
      <c r="AD11" s="8">
        <f t="shared" si="16"/>
        <v>46.341649999999973</v>
      </c>
    </row>
    <row r="12" spans="1:30" x14ac:dyDescent="0.15">
      <c r="A12" s="27">
        <v>43198</v>
      </c>
      <c r="B12" s="7">
        <f>'[3]Production Summary'!J13</f>
        <v>10599999.999999994</v>
      </c>
      <c r="C12" s="8">
        <f t="shared" si="1"/>
        <v>10.599999999999994</v>
      </c>
      <c r="D12" s="10">
        <f t="shared" si="2"/>
        <v>32.54199999999998</v>
      </c>
      <c r="E12" s="7">
        <f>'[3]Production Summary'!E13</f>
        <v>12000000</v>
      </c>
      <c r="F12" s="8">
        <f t="shared" si="3"/>
        <v>12</v>
      </c>
      <c r="G12" s="10">
        <f t="shared" si="4"/>
        <v>36.839999999999996</v>
      </c>
      <c r="H12" s="7">
        <f>'[3]Production Summary'!G13</f>
        <v>0</v>
      </c>
      <c r="I12" s="8">
        <f t="shared" si="0"/>
        <v>0</v>
      </c>
      <c r="J12" s="10">
        <f t="shared" si="5"/>
        <v>0</v>
      </c>
      <c r="K12" s="7">
        <f>'[3]Production Summary'!T13</f>
        <v>1049788</v>
      </c>
      <c r="L12" s="8">
        <f t="shared" si="21"/>
        <v>1.0497879999999999</v>
      </c>
      <c r="M12" s="10">
        <f t="shared" si="22"/>
        <v>3.2228491599999995</v>
      </c>
      <c r="N12" s="21"/>
      <c r="O12" s="7">
        <f>'[3]Production Summary'!I13</f>
        <v>5551999.9999999963</v>
      </c>
      <c r="P12" s="8">
        <f t="shared" si="19"/>
        <v>5.551999999999996</v>
      </c>
      <c r="Q12" s="10">
        <f t="shared" si="20"/>
        <v>17.044639999999987</v>
      </c>
      <c r="R12" s="7">
        <f>'[3]Production Summary'!C13</f>
        <v>5916000</v>
      </c>
      <c r="S12" s="8">
        <f t="shared" si="17"/>
        <v>5.9160000000000004</v>
      </c>
      <c r="T12" s="10">
        <f t="shared" si="18"/>
        <v>18.162120000000002</v>
      </c>
      <c r="U12" s="7">
        <f>'[3]Production Summary'!F13</f>
        <v>0</v>
      </c>
      <c r="V12" s="8">
        <f t="shared" si="12"/>
        <v>0</v>
      </c>
      <c r="W12" s="10">
        <f t="shared" si="13"/>
        <v>0</v>
      </c>
      <c r="X12" s="7">
        <f>'[3]Production Summary'!AB13</f>
        <v>358000.00000000407</v>
      </c>
      <c r="Y12" s="8">
        <f t="shared" si="14"/>
        <v>0.35800000000000409</v>
      </c>
      <c r="Z12" s="10">
        <f t="shared" si="15"/>
        <v>1.0990600000000126</v>
      </c>
      <c r="AA12" s="15"/>
      <c r="AB12" s="7">
        <f t="shared" si="16"/>
        <v>16151999.999999991</v>
      </c>
      <c r="AC12" s="8">
        <f t="shared" si="16"/>
        <v>16.15199999999999</v>
      </c>
      <c r="AD12" s="8">
        <f t="shared" si="16"/>
        <v>49.586639999999967</v>
      </c>
    </row>
    <row r="13" spans="1:30" x14ac:dyDescent="0.15">
      <c r="A13" s="27">
        <v>43199</v>
      </c>
      <c r="B13" s="7">
        <f>'[3]Production Summary'!J14</f>
        <v>12900000.000000006</v>
      </c>
      <c r="C13" s="8">
        <f t="shared" si="1"/>
        <v>12.900000000000006</v>
      </c>
      <c r="D13" s="10">
        <f t="shared" si="2"/>
        <v>39.603000000000016</v>
      </c>
      <c r="E13" s="7">
        <f>'[3]Production Summary'!E14</f>
        <v>14000000</v>
      </c>
      <c r="F13" s="8">
        <f t="shared" si="3"/>
        <v>14</v>
      </c>
      <c r="G13" s="10">
        <f t="shared" si="4"/>
        <v>42.98</v>
      </c>
      <c r="H13" s="7">
        <f>'[3]Production Summary'!G14</f>
        <v>0</v>
      </c>
      <c r="I13" s="8">
        <f t="shared" si="0"/>
        <v>0</v>
      </c>
      <c r="J13" s="10">
        <f t="shared" si="5"/>
        <v>0</v>
      </c>
      <c r="K13" s="7">
        <f>'[3]Production Summary'!T14</f>
        <v>1223513</v>
      </c>
      <c r="L13" s="8">
        <f t="shared" si="6"/>
        <v>1.2235130000000001</v>
      </c>
      <c r="M13" s="10">
        <f t="shared" si="7"/>
        <v>3.75618491</v>
      </c>
      <c r="N13" s="21"/>
      <c r="O13" s="7">
        <f>'[3]Production Summary'!I14</f>
        <v>1629000.000000004</v>
      </c>
      <c r="P13" s="8">
        <f t="shared" si="19"/>
        <v>1.629000000000004</v>
      </c>
      <c r="Q13" s="10">
        <f t="shared" si="20"/>
        <v>5.0010300000000116</v>
      </c>
      <c r="R13" s="7">
        <f>'[3]Production Summary'!C14</f>
        <v>1775000</v>
      </c>
      <c r="S13" s="8">
        <f t="shared" si="17"/>
        <v>1.7749999999999999</v>
      </c>
      <c r="T13" s="10">
        <f t="shared" si="18"/>
        <v>5.4492499999999993</v>
      </c>
      <c r="U13" s="7">
        <f>'[3]Production Summary'!F14</f>
        <v>0</v>
      </c>
      <c r="V13" s="8">
        <f t="shared" si="12"/>
        <v>0</v>
      </c>
      <c r="W13" s="10">
        <f t="shared" si="13"/>
        <v>0</v>
      </c>
      <c r="X13" s="7">
        <f>'[3]Production Summary'!AB14</f>
        <v>144999.99999999601</v>
      </c>
      <c r="Y13" s="8">
        <f t="shared" si="14"/>
        <v>0.14499999999999602</v>
      </c>
      <c r="Z13" s="10">
        <f t="shared" si="15"/>
        <v>0.44514999999998778</v>
      </c>
      <c r="AA13" s="15"/>
      <c r="AB13" s="7">
        <f t="shared" si="16"/>
        <v>14529000.000000009</v>
      </c>
      <c r="AC13" s="8">
        <f t="shared" si="16"/>
        <v>14.529000000000011</v>
      </c>
      <c r="AD13" s="8">
        <f t="shared" si="16"/>
        <v>44.60403000000003</v>
      </c>
    </row>
    <row r="14" spans="1:30" x14ac:dyDescent="0.15">
      <c r="A14" s="27">
        <v>43200</v>
      </c>
      <c r="B14" s="7">
        <f>'[3]Production Summary'!J15</f>
        <v>13099999.999999994</v>
      </c>
      <c r="C14" s="8">
        <f t="shared" si="1"/>
        <v>13.099999999999994</v>
      </c>
      <c r="D14" s="10">
        <f t="shared" si="2"/>
        <v>40.216999999999977</v>
      </c>
      <c r="E14" s="7">
        <f>'[3]Production Summary'!E15</f>
        <v>15000000</v>
      </c>
      <c r="F14" s="8">
        <f t="shared" si="3"/>
        <v>15</v>
      </c>
      <c r="G14" s="10">
        <f t="shared" si="4"/>
        <v>46.05</v>
      </c>
      <c r="H14" s="7">
        <f>'[3]Production Summary'!G15</f>
        <v>0</v>
      </c>
      <c r="I14" s="8">
        <f t="shared" si="0"/>
        <v>0</v>
      </c>
      <c r="J14" s="10">
        <f t="shared" si="5"/>
        <v>0</v>
      </c>
      <c r="K14" s="7">
        <f>'[3]Production Summary'!T15</f>
        <v>1361425</v>
      </c>
      <c r="L14" s="8">
        <f t="shared" si="6"/>
        <v>1.3614250000000001</v>
      </c>
      <c r="M14" s="10">
        <f t="shared" si="7"/>
        <v>4.1795747500000004</v>
      </c>
      <c r="N14" s="21"/>
      <c r="O14" s="7">
        <f>'[3]Production Summary'!I15</f>
        <v>0</v>
      </c>
      <c r="P14" s="8">
        <f t="shared" si="8"/>
        <v>0</v>
      </c>
      <c r="Q14" s="10">
        <f t="shared" si="9"/>
        <v>0</v>
      </c>
      <c r="R14" s="7">
        <f>'[3]Production Summary'!C15</f>
        <v>0</v>
      </c>
      <c r="S14" s="8">
        <f t="shared" si="17"/>
        <v>0</v>
      </c>
      <c r="T14" s="10">
        <f t="shared" si="18"/>
        <v>0</v>
      </c>
      <c r="U14" s="7">
        <f>'[3]Production Summary'!F15</f>
        <v>0</v>
      </c>
      <c r="V14" s="8">
        <f t="shared" si="12"/>
        <v>0</v>
      </c>
      <c r="W14" s="10">
        <f t="shared" si="13"/>
        <v>0</v>
      </c>
      <c r="X14" s="7">
        <f>'[3]Production Summary'!AB15</f>
        <v>0</v>
      </c>
      <c r="Y14" s="8">
        <f t="shared" si="14"/>
        <v>0</v>
      </c>
      <c r="Z14" s="10">
        <f t="shared" si="15"/>
        <v>0</v>
      </c>
      <c r="AA14" s="15"/>
      <c r="AB14" s="7">
        <f t="shared" si="16"/>
        <v>13099999.999999994</v>
      </c>
      <c r="AC14" s="8">
        <f t="shared" si="16"/>
        <v>13.099999999999994</v>
      </c>
      <c r="AD14" s="8">
        <f t="shared" si="16"/>
        <v>40.216999999999977</v>
      </c>
    </row>
    <row r="15" spans="1:30" x14ac:dyDescent="0.15">
      <c r="A15" s="27">
        <v>43201</v>
      </c>
      <c r="B15" s="7">
        <f>'[3]Production Summary'!J16</f>
        <v>11200000.000000017</v>
      </c>
      <c r="C15" s="8">
        <f t="shared" si="1"/>
        <v>11.200000000000017</v>
      </c>
      <c r="D15" s="10">
        <f t="shared" si="2"/>
        <v>34.38400000000005</v>
      </c>
      <c r="E15" s="7">
        <f>'[3]Production Summary'!E16</f>
        <v>12000000</v>
      </c>
      <c r="F15" s="8">
        <f t="shared" si="3"/>
        <v>12</v>
      </c>
      <c r="G15" s="10">
        <f t="shared" si="4"/>
        <v>36.839999999999996</v>
      </c>
      <c r="H15" s="7">
        <f>'[3]Production Summary'!G16</f>
        <v>0</v>
      </c>
      <c r="I15" s="8">
        <f t="shared" si="0"/>
        <v>0</v>
      </c>
      <c r="J15" s="10">
        <f t="shared" si="5"/>
        <v>0</v>
      </c>
      <c r="K15" s="7">
        <f>'[3]Production Summary'!T16</f>
        <v>1081337</v>
      </c>
      <c r="L15" s="8">
        <f t="shared" si="6"/>
        <v>1.081337</v>
      </c>
      <c r="M15" s="10">
        <f t="shared" si="7"/>
        <v>3.3197045899999997</v>
      </c>
      <c r="N15" s="21"/>
      <c r="O15" s="7">
        <f>'[3]Production Summary'!I16</f>
        <v>0</v>
      </c>
      <c r="P15" s="8">
        <f t="shared" si="8"/>
        <v>0</v>
      </c>
      <c r="Q15" s="10">
        <f t="shared" si="9"/>
        <v>0</v>
      </c>
      <c r="R15" s="7">
        <f>'[3]Production Summary'!C16</f>
        <v>0</v>
      </c>
      <c r="S15" s="8">
        <f t="shared" si="17"/>
        <v>0</v>
      </c>
      <c r="T15" s="10">
        <f t="shared" si="18"/>
        <v>0</v>
      </c>
      <c r="U15" s="7">
        <f>'[3]Production Summary'!F16</f>
        <v>0</v>
      </c>
      <c r="V15" s="8">
        <f t="shared" si="12"/>
        <v>0</v>
      </c>
      <c r="W15" s="10">
        <f t="shared" si="13"/>
        <v>0</v>
      </c>
      <c r="X15" s="7">
        <f>'[3]Production Summary'!AB16</f>
        <v>0</v>
      </c>
      <c r="Y15" s="8">
        <f t="shared" si="14"/>
        <v>0</v>
      </c>
      <c r="Z15" s="10">
        <f t="shared" si="15"/>
        <v>0</v>
      </c>
      <c r="AA15" s="15"/>
      <c r="AB15" s="7">
        <f t="shared" si="16"/>
        <v>11200000.000000017</v>
      </c>
      <c r="AC15" s="8">
        <f t="shared" si="16"/>
        <v>11.200000000000017</v>
      </c>
      <c r="AD15" s="8">
        <f t="shared" si="16"/>
        <v>34.38400000000005</v>
      </c>
    </row>
    <row r="16" spans="1:30" x14ac:dyDescent="0.15">
      <c r="A16" s="27">
        <v>43202</v>
      </c>
      <c r="B16" s="7">
        <f>'[3]Production Summary'!J17</f>
        <v>13199999.999999989</v>
      </c>
      <c r="C16" s="8">
        <f t="shared" si="1"/>
        <v>13.199999999999989</v>
      </c>
      <c r="D16" s="10">
        <f t="shared" si="2"/>
        <v>40.523999999999965</v>
      </c>
      <c r="E16" s="7">
        <f>'[3]Production Summary'!E17</f>
        <v>15000000</v>
      </c>
      <c r="F16" s="8">
        <f t="shared" si="3"/>
        <v>15</v>
      </c>
      <c r="G16" s="10">
        <f t="shared" si="4"/>
        <v>46.05</v>
      </c>
      <c r="H16" s="7">
        <f>'[3]Production Summary'!G17</f>
        <v>0</v>
      </c>
      <c r="I16" s="8">
        <f t="shared" si="0"/>
        <v>0</v>
      </c>
      <c r="J16" s="10">
        <f t="shared" si="5"/>
        <v>0</v>
      </c>
      <c r="K16" s="7">
        <f>'[3]Production Summary'!T17</f>
        <v>1269867</v>
      </c>
      <c r="L16" s="8">
        <f t="shared" si="6"/>
        <v>1.2698670000000001</v>
      </c>
      <c r="M16" s="10">
        <f t="shared" si="7"/>
        <v>3.8984916900000002</v>
      </c>
      <c r="N16" s="21"/>
      <c r="O16" s="7">
        <f>'[3]Production Summary'!I17</f>
        <v>0</v>
      </c>
      <c r="P16" s="8">
        <f t="shared" si="8"/>
        <v>0</v>
      </c>
      <c r="Q16" s="10">
        <f t="shared" si="9"/>
        <v>0</v>
      </c>
      <c r="R16" s="7">
        <f>'[3]Production Summary'!C17</f>
        <v>0</v>
      </c>
      <c r="S16" s="8">
        <f t="shared" si="17"/>
        <v>0</v>
      </c>
      <c r="T16" s="10">
        <f t="shared" si="18"/>
        <v>0</v>
      </c>
      <c r="U16" s="7">
        <f>'[3]Production Summary'!F17</f>
        <v>0</v>
      </c>
      <c r="V16" s="8">
        <f t="shared" si="12"/>
        <v>0</v>
      </c>
      <c r="W16" s="10">
        <f t="shared" si="13"/>
        <v>0</v>
      </c>
      <c r="X16" s="7">
        <f>'[3]Production Summary'!AB17</f>
        <v>0</v>
      </c>
      <c r="Y16" s="8">
        <f t="shared" si="14"/>
        <v>0</v>
      </c>
      <c r="Z16" s="10">
        <f t="shared" si="15"/>
        <v>0</v>
      </c>
      <c r="AA16" s="15"/>
      <c r="AB16" s="7">
        <f t="shared" si="16"/>
        <v>13199999.999999989</v>
      </c>
      <c r="AC16" s="8">
        <f t="shared" si="16"/>
        <v>13.199999999999989</v>
      </c>
      <c r="AD16" s="8">
        <f t="shared" si="16"/>
        <v>40.523999999999965</v>
      </c>
    </row>
    <row r="17" spans="1:30" x14ac:dyDescent="0.15">
      <c r="A17" s="27">
        <v>43203</v>
      </c>
      <c r="B17" s="7">
        <f>'[3]Production Summary'!J18</f>
        <v>13400000.000000006</v>
      </c>
      <c r="C17" s="8">
        <f t="shared" si="1"/>
        <v>13.400000000000006</v>
      </c>
      <c r="D17" s="10">
        <f t="shared" si="2"/>
        <v>41.138000000000012</v>
      </c>
      <c r="E17" s="7">
        <f>'[3]Production Summary'!E18</f>
        <v>15000000</v>
      </c>
      <c r="F17" s="8">
        <f t="shared" si="3"/>
        <v>15</v>
      </c>
      <c r="G17" s="10">
        <f t="shared" si="4"/>
        <v>46.05</v>
      </c>
      <c r="H17" s="7">
        <f>'[3]Production Summary'!G18</f>
        <v>0</v>
      </c>
      <c r="I17" s="8">
        <f t="shared" si="0"/>
        <v>0</v>
      </c>
      <c r="J17" s="10">
        <f t="shared" si="5"/>
        <v>0</v>
      </c>
      <c r="K17" s="7">
        <f>'[3]Production Summary'!T18</f>
        <v>1478629</v>
      </c>
      <c r="L17" s="8">
        <f t="shared" si="6"/>
        <v>1.478629</v>
      </c>
      <c r="M17" s="10">
        <f t="shared" si="7"/>
        <v>4.53939103</v>
      </c>
      <c r="N17" s="21"/>
      <c r="O17" s="7">
        <f>'[3]Production Summary'!I18</f>
        <v>0</v>
      </c>
      <c r="P17" s="8">
        <f t="shared" si="8"/>
        <v>0</v>
      </c>
      <c r="Q17" s="10">
        <f t="shared" si="9"/>
        <v>0</v>
      </c>
      <c r="R17" s="7">
        <f>'[3]Production Summary'!C18</f>
        <v>0</v>
      </c>
      <c r="S17" s="8">
        <f t="shared" si="10"/>
        <v>0</v>
      </c>
      <c r="T17" s="10">
        <f t="shared" si="11"/>
        <v>0</v>
      </c>
      <c r="U17" s="7">
        <f>'[3]Production Summary'!F18</f>
        <v>0</v>
      </c>
      <c r="V17" s="8">
        <f t="shared" si="12"/>
        <v>0</v>
      </c>
      <c r="W17" s="10">
        <f t="shared" si="13"/>
        <v>0</v>
      </c>
      <c r="X17" s="7">
        <f>'[3]Production Summary'!AB18</f>
        <v>0</v>
      </c>
      <c r="Y17" s="8">
        <f t="shared" si="14"/>
        <v>0</v>
      </c>
      <c r="Z17" s="10">
        <f t="shared" si="15"/>
        <v>0</v>
      </c>
      <c r="AA17" s="15"/>
      <c r="AB17" s="7">
        <f t="shared" si="16"/>
        <v>13400000.000000006</v>
      </c>
      <c r="AC17" s="8">
        <f t="shared" si="16"/>
        <v>13.400000000000006</v>
      </c>
      <c r="AD17" s="8">
        <f t="shared" si="16"/>
        <v>41.138000000000012</v>
      </c>
    </row>
    <row r="18" spans="1:30" x14ac:dyDescent="0.15">
      <c r="A18" s="27">
        <v>43204</v>
      </c>
      <c r="B18" s="7">
        <f>'[3]Production Summary'!J19</f>
        <v>13699999.999999989</v>
      </c>
      <c r="C18" s="8">
        <f t="shared" si="1"/>
        <v>13.699999999999989</v>
      </c>
      <c r="D18" s="10">
        <f t="shared" si="2"/>
        <v>42.058999999999962</v>
      </c>
      <c r="E18" s="7">
        <f>'[3]Production Summary'!E19</f>
        <v>15000000</v>
      </c>
      <c r="F18" s="8">
        <f t="shared" si="3"/>
        <v>15</v>
      </c>
      <c r="G18" s="10">
        <f t="shared" si="4"/>
        <v>46.05</v>
      </c>
      <c r="H18" s="7">
        <f>'[3]Production Summary'!G19</f>
        <v>0</v>
      </c>
      <c r="I18" s="8">
        <f t="shared" si="0"/>
        <v>0</v>
      </c>
      <c r="J18" s="10">
        <f t="shared" si="5"/>
        <v>0</v>
      </c>
      <c r="K18" s="7">
        <f>'[3]Production Summary'!T19</f>
        <v>1455221</v>
      </c>
      <c r="L18" s="8">
        <f t="shared" si="6"/>
        <v>1.4552210000000001</v>
      </c>
      <c r="M18" s="10">
        <f t="shared" si="7"/>
        <v>4.4675284700000004</v>
      </c>
      <c r="N18" s="21"/>
      <c r="O18" s="7">
        <f>'[3]Production Summary'!I19</f>
        <v>0</v>
      </c>
      <c r="P18" s="8">
        <f t="shared" si="8"/>
        <v>0</v>
      </c>
      <c r="Q18" s="10">
        <f t="shared" si="9"/>
        <v>0</v>
      </c>
      <c r="R18" s="7">
        <f>'[3]Production Summary'!C19</f>
        <v>0</v>
      </c>
      <c r="S18" s="8">
        <f t="shared" si="10"/>
        <v>0</v>
      </c>
      <c r="T18" s="10">
        <f t="shared" si="11"/>
        <v>0</v>
      </c>
      <c r="U18" s="7">
        <f>'[3]Production Summary'!F19</f>
        <v>0</v>
      </c>
      <c r="V18" s="8">
        <f t="shared" si="12"/>
        <v>0</v>
      </c>
      <c r="W18" s="10">
        <f t="shared" si="13"/>
        <v>0</v>
      </c>
      <c r="X18" s="7">
        <f>'[3]Production Summary'!AB19</f>
        <v>0</v>
      </c>
      <c r="Y18" s="8">
        <f t="shared" si="14"/>
        <v>0</v>
      </c>
      <c r="Z18" s="10">
        <f t="shared" si="15"/>
        <v>0</v>
      </c>
      <c r="AA18" s="15"/>
      <c r="AB18" s="7">
        <f t="shared" si="16"/>
        <v>13699999.999999989</v>
      </c>
      <c r="AC18" s="8">
        <f t="shared" si="16"/>
        <v>13.699999999999989</v>
      </c>
      <c r="AD18" s="8">
        <f t="shared" si="16"/>
        <v>42.058999999999962</v>
      </c>
    </row>
    <row r="19" spans="1:30" x14ac:dyDescent="0.15">
      <c r="A19" s="27">
        <v>43205</v>
      </c>
      <c r="B19" s="7">
        <f>'[3]Production Summary'!J20</f>
        <v>14000000</v>
      </c>
      <c r="C19" s="8">
        <f t="shared" si="1"/>
        <v>14</v>
      </c>
      <c r="D19" s="10">
        <f t="shared" si="2"/>
        <v>42.98</v>
      </c>
      <c r="E19" s="7">
        <f>'[3]Production Summary'!E20</f>
        <v>16000000</v>
      </c>
      <c r="F19" s="8">
        <f t="shared" si="3"/>
        <v>16</v>
      </c>
      <c r="G19" s="10">
        <f t="shared" si="4"/>
        <v>49.12</v>
      </c>
      <c r="H19" s="7">
        <f>'[3]Production Summary'!G20</f>
        <v>0</v>
      </c>
      <c r="I19" s="8">
        <f t="shared" si="0"/>
        <v>0</v>
      </c>
      <c r="J19" s="10">
        <f t="shared" si="5"/>
        <v>0</v>
      </c>
      <c r="K19" s="7">
        <f>'[3]Production Summary'!T20</f>
        <v>1403717</v>
      </c>
      <c r="L19" s="8">
        <f t="shared" si="6"/>
        <v>1.4037170000000001</v>
      </c>
      <c r="M19" s="10">
        <f t="shared" si="7"/>
        <v>4.3094111900000005</v>
      </c>
      <c r="N19" s="21"/>
      <c r="O19" s="7">
        <f>'[3]Production Summary'!I20</f>
        <v>0</v>
      </c>
      <c r="P19" s="8">
        <f t="shared" si="8"/>
        <v>0</v>
      </c>
      <c r="Q19" s="10">
        <f t="shared" si="9"/>
        <v>0</v>
      </c>
      <c r="R19" s="7">
        <f>'[3]Production Summary'!C20</f>
        <v>0</v>
      </c>
      <c r="S19" s="8">
        <f t="shared" si="10"/>
        <v>0</v>
      </c>
      <c r="T19" s="10">
        <f t="shared" si="11"/>
        <v>0</v>
      </c>
      <c r="U19" s="7">
        <f>'[3]Production Summary'!F20</f>
        <v>0</v>
      </c>
      <c r="V19" s="8">
        <f t="shared" si="12"/>
        <v>0</v>
      </c>
      <c r="W19" s="10">
        <f t="shared" si="13"/>
        <v>0</v>
      </c>
      <c r="X19" s="7">
        <f>'[3]Production Summary'!AB20</f>
        <v>0</v>
      </c>
      <c r="Y19" s="8">
        <f t="shared" si="14"/>
        <v>0</v>
      </c>
      <c r="Z19" s="10">
        <f t="shared" si="15"/>
        <v>0</v>
      </c>
      <c r="AA19" s="15"/>
      <c r="AB19" s="7">
        <f t="shared" si="16"/>
        <v>14000000</v>
      </c>
      <c r="AC19" s="8">
        <f t="shared" si="16"/>
        <v>14</v>
      </c>
      <c r="AD19" s="8">
        <f>D19+Q19</f>
        <v>42.98</v>
      </c>
    </row>
    <row r="20" spans="1:30" x14ac:dyDescent="0.15">
      <c r="A20" s="27">
        <v>43206</v>
      </c>
      <c r="B20" s="7">
        <f>'[3]Production Summary'!J21</f>
        <v>15600000.000000022</v>
      </c>
      <c r="C20" s="8">
        <f t="shared" si="1"/>
        <v>15.600000000000023</v>
      </c>
      <c r="D20" s="10">
        <f t="shared" si="2"/>
        <v>47.892000000000067</v>
      </c>
      <c r="E20" s="7">
        <f>'[3]Production Summary'!E21</f>
        <v>18000000</v>
      </c>
      <c r="F20" s="8">
        <f t="shared" si="3"/>
        <v>18</v>
      </c>
      <c r="G20" s="10">
        <f t="shared" si="4"/>
        <v>55.26</v>
      </c>
      <c r="H20" s="7">
        <f>'[3]Production Summary'!G21</f>
        <v>0</v>
      </c>
      <c r="I20" s="8">
        <f t="shared" si="0"/>
        <v>0</v>
      </c>
      <c r="J20" s="10">
        <f t="shared" si="5"/>
        <v>0</v>
      </c>
      <c r="K20" s="7">
        <f>'[3]Production Summary'!T21</f>
        <v>1563166</v>
      </c>
      <c r="L20" s="8">
        <f t="shared" si="6"/>
        <v>1.5631660000000001</v>
      </c>
      <c r="M20" s="10">
        <f t="shared" si="7"/>
        <v>4.7989196199999995</v>
      </c>
      <c r="N20" s="21"/>
      <c r="O20" s="7">
        <f>'[3]Production Summary'!I21</f>
        <v>0</v>
      </c>
      <c r="P20" s="8">
        <f t="shared" si="8"/>
        <v>0</v>
      </c>
      <c r="Q20" s="10">
        <f t="shared" si="9"/>
        <v>0</v>
      </c>
      <c r="R20" s="7">
        <f>'[3]Production Summary'!C21</f>
        <v>0</v>
      </c>
      <c r="S20" s="8">
        <f t="shared" si="10"/>
        <v>0</v>
      </c>
      <c r="T20" s="10">
        <f t="shared" si="11"/>
        <v>0</v>
      </c>
      <c r="U20" s="7">
        <f>'[3]Production Summary'!F21</f>
        <v>0</v>
      </c>
      <c r="V20" s="8">
        <f t="shared" si="12"/>
        <v>0</v>
      </c>
      <c r="W20" s="10">
        <f t="shared" si="13"/>
        <v>0</v>
      </c>
      <c r="X20" s="7">
        <f>'[3]Production Summary'!AB21</f>
        <v>0</v>
      </c>
      <c r="Y20" s="8">
        <f t="shared" si="14"/>
        <v>0</v>
      </c>
      <c r="Z20" s="10">
        <f t="shared" si="15"/>
        <v>0</v>
      </c>
      <c r="AA20" s="15"/>
      <c r="AB20" s="7">
        <f t="shared" si="16"/>
        <v>15600000.000000022</v>
      </c>
      <c r="AC20" s="8">
        <f t="shared" si="16"/>
        <v>15.600000000000023</v>
      </c>
      <c r="AD20" s="8">
        <f t="shared" si="16"/>
        <v>47.892000000000067</v>
      </c>
    </row>
    <row r="21" spans="1:30" x14ac:dyDescent="0.15">
      <c r="A21" s="27">
        <v>43207</v>
      </c>
      <c r="B21" s="7">
        <f>'[3]Production Summary'!J22</f>
        <v>14000000</v>
      </c>
      <c r="C21" s="8">
        <f t="shared" si="1"/>
        <v>14</v>
      </c>
      <c r="D21" s="10">
        <f t="shared" si="2"/>
        <v>42.98</v>
      </c>
      <c r="E21" s="7">
        <f>'[3]Production Summary'!E22</f>
        <v>15000000</v>
      </c>
      <c r="F21" s="8">
        <f t="shared" si="3"/>
        <v>15</v>
      </c>
      <c r="G21" s="10">
        <f t="shared" si="4"/>
        <v>46.05</v>
      </c>
      <c r="H21" s="7">
        <f>'[3]Production Summary'!G22</f>
        <v>0</v>
      </c>
      <c r="I21" s="8">
        <f t="shared" si="0"/>
        <v>0</v>
      </c>
      <c r="J21" s="10">
        <f t="shared" si="5"/>
        <v>0</v>
      </c>
      <c r="K21" s="7">
        <f>'[3]Production Summary'!T22</f>
        <v>1293212</v>
      </c>
      <c r="L21" s="8">
        <f t="shared" si="6"/>
        <v>1.293212</v>
      </c>
      <c r="M21" s="10">
        <f t="shared" si="7"/>
        <v>3.9701608399999997</v>
      </c>
      <c r="N21" s="21"/>
      <c r="O21" s="7">
        <f>'[3]Production Summary'!I22</f>
        <v>0</v>
      </c>
      <c r="P21" s="8">
        <f t="shared" si="8"/>
        <v>0</v>
      </c>
      <c r="Q21" s="10">
        <f t="shared" si="9"/>
        <v>0</v>
      </c>
      <c r="R21" s="7">
        <f>'[3]Production Summary'!C22</f>
        <v>0</v>
      </c>
      <c r="S21" s="8">
        <f t="shared" si="10"/>
        <v>0</v>
      </c>
      <c r="T21" s="10">
        <f t="shared" si="11"/>
        <v>0</v>
      </c>
      <c r="U21" s="7">
        <f>'[3]Production Summary'!F22</f>
        <v>0</v>
      </c>
      <c r="V21" s="8">
        <f t="shared" si="12"/>
        <v>0</v>
      </c>
      <c r="W21" s="10">
        <f t="shared" si="13"/>
        <v>0</v>
      </c>
      <c r="X21" s="7">
        <f>'[3]Production Summary'!AB22</f>
        <v>0</v>
      </c>
      <c r="Y21" s="8">
        <f t="shared" si="14"/>
        <v>0</v>
      </c>
      <c r="Z21" s="10">
        <f t="shared" si="15"/>
        <v>0</v>
      </c>
      <c r="AA21" s="15"/>
      <c r="AB21" s="7">
        <f t="shared" si="16"/>
        <v>14000000</v>
      </c>
      <c r="AC21" s="8">
        <f t="shared" si="16"/>
        <v>14</v>
      </c>
      <c r="AD21" s="8">
        <f t="shared" si="16"/>
        <v>42.98</v>
      </c>
    </row>
    <row r="22" spans="1:30" x14ac:dyDescent="0.15">
      <c r="A22" s="27">
        <v>43208</v>
      </c>
      <c r="B22" s="7">
        <f>'[3]Production Summary'!J23</f>
        <v>14599999.999999966</v>
      </c>
      <c r="C22" s="8">
        <f t="shared" si="1"/>
        <v>14.599999999999966</v>
      </c>
      <c r="D22" s="10">
        <f t="shared" si="2"/>
        <v>44.821999999999896</v>
      </c>
      <c r="E22" s="7">
        <f>'[3]Production Summary'!E23</f>
        <v>16000000</v>
      </c>
      <c r="F22" s="8">
        <f t="shared" si="3"/>
        <v>16</v>
      </c>
      <c r="G22" s="10">
        <f t="shared" si="4"/>
        <v>49.12</v>
      </c>
      <c r="H22" s="7">
        <f>'[3]Production Summary'!G23</f>
        <v>0</v>
      </c>
      <c r="I22" s="8">
        <f t="shared" si="0"/>
        <v>0</v>
      </c>
      <c r="J22" s="10">
        <f t="shared" si="5"/>
        <v>0</v>
      </c>
      <c r="K22" s="7">
        <f>'[3]Production Summary'!T23</f>
        <v>1517021</v>
      </c>
      <c r="L22" s="8">
        <f t="shared" si="6"/>
        <v>1.517021</v>
      </c>
      <c r="M22" s="10">
        <f t="shared" si="7"/>
        <v>4.6572544699999998</v>
      </c>
      <c r="N22" s="21"/>
      <c r="O22" s="7">
        <f>'[3]Production Summary'!I23</f>
        <v>0</v>
      </c>
      <c r="P22" s="8">
        <f t="shared" si="8"/>
        <v>0</v>
      </c>
      <c r="Q22" s="10">
        <f t="shared" si="9"/>
        <v>0</v>
      </c>
      <c r="R22" s="7">
        <f>'[3]Production Summary'!C23</f>
        <v>0</v>
      </c>
      <c r="S22" s="8">
        <f t="shared" si="10"/>
        <v>0</v>
      </c>
      <c r="T22" s="10">
        <f t="shared" si="11"/>
        <v>0</v>
      </c>
      <c r="U22" s="7">
        <f>'[3]Production Summary'!F23</f>
        <v>0</v>
      </c>
      <c r="V22" s="8">
        <f t="shared" si="12"/>
        <v>0</v>
      </c>
      <c r="W22" s="10">
        <f t="shared" si="13"/>
        <v>0</v>
      </c>
      <c r="X22" s="7">
        <f>'[3]Production Summary'!AB23</f>
        <v>0</v>
      </c>
      <c r="Y22" s="8">
        <f t="shared" si="14"/>
        <v>0</v>
      </c>
      <c r="Z22" s="10">
        <f t="shared" si="15"/>
        <v>0</v>
      </c>
      <c r="AA22" s="15"/>
      <c r="AB22" s="7">
        <f t="shared" si="16"/>
        <v>14599999.999999966</v>
      </c>
      <c r="AC22" s="8">
        <f t="shared" si="16"/>
        <v>14.599999999999966</v>
      </c>
      <c r="AD22" s="8">
        <f t="shared" si="16"/>
        <v>44.821999999999896</v>
      </c>
    </row>
    <row r="23" spans="1:30" x14ac:dyDescent="0.15">
      <c r="A23" s="27">
        <v>43209</v>
      </c>
      <c r="B23" s="7">
        <f>'[3]Production Summary'!J24</f>
        <v>14800000.000000011</v>
      </c>
      <c r="C23" s="8">
        <f t="shared" si="1"/>
        <v>14.800000000000011</v>
      </c>
      <c r="D23" s="10">
        <f t="shared" si="2"/>
        <v>45.436000000000035</v>
      </c>
      <c r="E23" s="7">
        <f>'[3]Production Summary'!E24</f>
        <v>18000000</v>
      </c>
      <c r="F23" s="8">
        <f t="shared" si="3"/>
        <v>18</v>
      </c>
      <c r="G23" s="10">
        <f t="shared" si="4"/>
        <v>55.26</v>
      </c>
      <c r="H23" s="7">
        <f>'[3]Production Summary'!G24</f>
        <v>0</v>
      </c>
      <c r="I23" s="8">
        <f t="shared" si="0"/>
        <v>0</v>
      </c>
      <c r="J23" s="10">
        <f t="shared" si="5"/>
        <v>0</v>
      </c>
      <c r="K23" s="7">
        <f>'[3]Production Summary'!T24</f>
        <v>1582106</v>
      </c>
      <c r="L23" s="8">
        <f t="shared" si="6"/>
        <v>1.582106</v>
      </c>
      <c r="M23" s="10">
        <f t="shared" si="7"/>
        <v>4.8570654199999996</v>
      </c>
      <c r="N23" s="21"/>
      <c r="O23" s="7">
        <f>'[3]Production Summary'!I24</f>
        <v>0</v>
      </c>
      <c r="P23" s="8">
        <f t="shared" si="8"/>
        <v>0</v>
      </c>
      <c r="Q23" s="10">
        <f t="shared" si="9"/>
        <v>0</v>
      </c>
      <c r="R23" s="7">
        <f>'[3]Production Summary'!C24</f>
        <v>0</v>
      </c>
      <c r="S23" s="8">
        <f t="shared" si="10"/>
        <v>0</v>
      </c>
      <c r="T23" s="10">
        <f t="shared" si="11"/>
        <v>0</v>
      </c>
      <c r="U23" s="7">
        <f>'[3]Production Summary'!F24</f>
        <v>0</v>
      </c>
      <c r="V23" s="8">
        <f t="shared" si="12"/>
        <v>0</v>
      </c>
      <c r="W23" s="10">
        <f t="shared" si="13"/>
        <v>0</v>
      </c>
      <c r="X23" s="7">
        <f>'[3]Production Summary'!AB24</f>
        <v>0</v>
      </c>
      <c r="Y23" s="8">
        <f t="shared" si="14"/>
        <v>0</v>
      </c>
      <c r="Z23" s="10">
        <f t="shared" si="15"/>
        <v>0</v>
      </c>
      <c r="AA23" s="15"/>
      <c r="AB23" s="7">
        <f t="shared" si="16"/>
        <v>14800000.000000011</v>
      </c>
      <c r="AC23" s="8">
        <f t="shared" si="16"/>
        <v>14.800000000000011</v>
      </c>
      <c r="AD23" s="8">
        <f t="shared" si="16"/>
        <v>45.436000000000035</v>
      </c>
    </row>
    <row r="24" spans="1:30" x14ac:dyDescent="0.15">
      <c r="A24" s="27">
        <v>43210</v>
      </c>
      <c r="B24" s="7">
        <f>'[3]Production Summary'!J25</f>
        <v>18199999.999999989</v>
      </c>
      <c r="C24" s="8">
        <f t="shared" si="1"/>
        <v>18.199999999999989</v>
      </c>
      <c r="D24" s="10">
        <f t="shared" si="2"/>
        <v>55.87399999999996</v>
      </c>
      <c r="E24" s="7">
        <f>'[3]Production Summary'!E25</f>
        <v>20000000</v>
      </c>
      <c r="F24" s="8">
        <f t="shared" si="3"/>
        <v>20</v>
      </c>
      <c r="G24" s="10">
        <f t="shared" si="4"/>
        <v>61.4</v>
      </c>
      <c r="H24" s="7">
        <f>'[3]Production Summary'!G25</f>
        <v>0</v>
      </c>
      <c r="I24" s="8">
        <f t="shared" si="0"/>
        <v>0</v>
      </c>
      <c r="J24" s="10">
        <f t="shared" si="5"/>
        <v>0</v>
      </c>
      <c r="K24" s="7">
        <f>'[3]Production Summary'!T25</f>
        <v>1798069</v>
      </c>
      <c r="L24" s="8">
        <f t="shared" si="6"/>
        <v>1.7980689999999999</v>
      </c>
      <c r="M24" s="10">
        <f t="shared" si="7"/>
        <v>5.5200718299999991</v>
      </c>
      <c r="N24" s="21"/>
      <c r="O24" s="7">
        <f>'[3]Production Summary'!I25</f>
        <v>0</v>
      </c>
      <c r="P24" s="8">
        <f t="shared" si="8"/>
        <v>0</v>
      </c>
      <c r="Q24" s="10">
        <f t="shared" si="9"/>
        <v>0</v>
      </c>
      <c r="R24" s="7">
        <f>'[3]Production Summary'!C25</f>
        <v>0</v>
      </c>
      <c r="S24" s="8">
        <f t="shared" si="10"/>
        <v>0</v>
      </c>
      <c r="T24" s="10">
        <f t="shared" si="11"/>
        <v>0</v>
      </c>
      <c r="U24" s="7">
        <f>'[3]Production Summary'!F25</f>
        <v>0</v>
      </c>
      <c r="V24" s="8">
        <f t="shared" si="12"/>
        <v>0</v>
      </c>
      <c r="W24" s="10">
        <f t="shared" si="13"/>
        <v>0</v>
      </c>
      <c r="X24" s="7">
        <f>'[3]Production Summary'!AB25</f>
        <v>0</v>
      </c>
      <c r="Y24" s="8">
        <f t="shared" si="14"/>
        <v>0</v>
      </c>
      <c r="Z24" s="10">
        <f t="shared" si="15"/>
        <v>0</v>
      </c>
      <c r="AA24" s="15"/>
      <c r="AB24" s="7">
        <f t="shared" si="16"/>
        <v>18199999.999999989</v>
      </c>
      <c r="AC24" s="8">
        <f t="shared" si="16"/>
        <v>18.199999999999989</v>
      </c>
      <c r="AD24" s="8">
        <f>D24+Q24</f>
        <v>55.87399999999996</v>
      </c>
    </row>
    <row r="25" spans="1:30" x14ac:dyDescent="0.15">
      <c r="A25" s="27">
        <v>43211</v>
      </c>
      <c r="B25" s="7">
        <f>'[3]Production Summary'!J26</f>
        <v>15800000.000000011</v>
      </c>
      <c r="C25" s="8">
        <f t="shared" si="1"/>
        <v>15.800000000000011</v>
      </c>
      <c r="D25" s="10">
        <f t="shared" si="2"/>
        <v>48.506000000000036</v>
      </c>
      <c r="E25" s="7">
        <f>'[3]Production Summary'!E26</f>
        <v>18000000</v>
      </c>
      <c r="F25" s="8">
        <f t="shared" si="3"/>
        <v>18</v>
      </c>
      <c r="G25" s="10">
        <f t="shared" si="4"/>
        <v>55.26</v>
      </c>
      <c r="H25" s="7">
        <f>'[3]Production Summary'!G26</f>
        <v>0</v>
      </c>
      <c r="I25" s="8">
        <f t="shared" si="0"/>
        <v>0</v>
      </c>
      <c r="J25" s="10">
        <f t="shared" si="5"/>
        <v>0</v>
      </c>
      <c r="K25" s="7">
        <f>'[3]Production Summary'!T26</f>
        <v>1854283</v>
      </c>
      <c r="L25" s="8">
        <f t="shared" si="6"/>
        <v>1.8542829999999999</v>
      </c>
      <c r="M25" s="10">
        <f t="shared" si="7"/>
        <v>5.6926488099999997</v>
      </c>
      <c r="N25" s="21"/>
      <c r="O25" s="7">
        <f>'[3]Production Summary'!I26</f>
        <v>0</v>
      </c>
      <c r="P25" s="8">
        <f t="shared" si="8"/>
        <v>0</v>
      </c>
      <c r="Q25" s="10">
        <f t="shared" si="9"/>
        <v>0</v>
      </c>
      <c r="R25" s="7">
        <f>'[3]Production Summary'!C26</f>
        <v>0</v>
      </c>
      <c r="S25" s="8">
        <f t="shared" si="10"/>
        <v>0</v>
      </c>
      <c r="T25" s="10">
        <f t="shared" si="11"/>
        <v>0</v>
      </c>
      <c r="U25" s="7">
        <f>'[3]Production Summary'!F26</f>
        <v>0</v>
      </c>
      <c r="V25" s="8">
        <f t="shared" si="12"/>
        <v>0</v>
      </c>
      <c r="W25" s="10">
        <f t="shared" si="13"/>
        <v>0</v>
      </c>
      <c r="X25" s="7">
        <f>'[3]Production Summary'!AB26</f>
        <v>0</v>
      </c>
      <c r="Y25" s="8">
        <f t="shared" si="14"/>
        <v>0</v>
      </c>
      <c r="Z25" s="10">
        <f t="shared" si="15"/>
        <v>0</v>
      </c>
      <c r="AA25" s="15"/>
      <c r="AB25" s="7">
        <f t="shared" si="16"/>
        <v>15800000.000000011</v>
      </c>
      <c r="AC25" s="8">
        <f t="shared" si="16"/>
        <v>15.800000000000011</v>
      </c>
      <c r="AD25" s="8">
        <f t="shared" si="16"/>
        <v>48.506000000000036</v>
      </c>
    </row>
    <row r="26" spans="1:30" x14ac:dyDescent="0.15">
      <c r="A26" s="27">
        <v>43212</v>
      </c>
      <c r="B26" s="7">
        <f>'[3]Production Summary'!J27</f>
        <v>14800000.000000011</v>
      </c>
      <c r="C26" s="8">
        <f t="shared" si="1"/>
        <v>14.800000000000011</v>
      </c>
      <c r="D26" s="10">
        <f t="shared" si="2"/>
        <v>45.436000000000035</v>
      </c>
      <c r="E26" s="7">
        <f>'[3]Production Summary'!E27</f>
        <v>16000000</v>
      </c>
      <c r="F26" s="8">
        <f t="shared" si="3"/>
        <v>16</v>
      </c>
      <c r="G26" s="10">
        <f t="shared" si="4"/>
        <v>49.12</v>
      </c>
      <c r="H26" s="7">
        <f>'[3]Production Summary'!G27</f>
        <v>0</v>
      </c>
      <c r="I26" s="8">
        <f t="shared" si="0"/>
        <v>0</v>
      </c>
      <c r="J26" s="10">
        <f t="shared" si="5"/>
        <v>0</v>
      </c>
      <c r="K26" s="7">
        <f>'[3]Production Summary'!T27</f>
        <v>1715604</v>
      </c>
      <c r="L26" s="8">
        <f t="shared" si="6"/>
        <v>1.7156039999999999</v>
      </c>
      <c r="M26" s="10">
        <f t="shared" si="7"/>
        <v>5.2669042799999994</v>
      </c>
      <c r="N26" s="21"/>
      <c r="O26" s="7">
        <f>'[3]Production Summary'!I27</f>
        <v>0</v>
      </c>
      <c r="P26" s="8">
        <f t="shared" si="8"/>
        <v>0</v>
      </c>
      <c r="Q26" s="10">
        <f t="shared" si="9"/>
        <v>0</v>
      </c>
      <c r="R26" s="7">
        <f>'[3]Production Summary'!C27</f>
        <v>0</v>
      </c>
      <c r="S26" s="8">
        <f t="shared" si="10"/>
        <v>0</v>
      </c>
      <c r="T26" s="10">
        <f t="shared" si="11"/>
        <v>0</v>
      </c>
      <c r="U26" s="7">
        <f>'[3]Production Summary'!F27</f>
        <v>0</v>
      </c>
      <c r="V26" s="8">
        <f t="shared" si="12"/>
        <v>0</v>
      </c>
      <c r="W26" s="10">
        <f t="shared" si="13"/>
        <v>0</v>
      </c>
      <c r="X26" s="7">
        <f>'[3]Production Summary'!AB27</f>
        <v>0</v>
      </c>
      <c r="Y26" s="8">
        <f t="shared" si="14"/>
        <v>0</v>
      </c>
      <c r="Z26" s="10">
        <f t="shared" si="15"/>
        <v>0</v>
      </c>
      <c r="AA26" s="15"/>
      <c r="AB26" s="7">
        <f t="shared" si="16"/>
        <v>14800000.000000011</v>
      </c>
      <c r="AC26" s="8">
        <f t="shared" si="16"/>
        <v>14.800000000000011</v>
      </c>
      <c r="AD26" s="8">
        <f t="shared" si="16"/>
        <v>45.436000000000035</v>
      </c>
    </row>
    <row r="27" spans="1:30" x14ac:dyDescent="0.15">
      <c r="A27" s="27">
        <v>43213</v>
      </c>
      <c r="B27" s="7">
        <f>'[3]Production Summary'!J28</f>
        <v>16500000</v>
      </c>
      <c r="C27" s="8">
        <f t="shared" si="1"/>
        <v>16.5</v>
      </c>
      <c r="D27" s="10">
        <f t="shared" si="2"/>
        <v>50.654999999999994</v>
      </c>
      <c r="E27" s="7">
        <f>'[3]Production Summary'!E28</f>
        <v>19000000</v>
      </c>
      <c r="F27" s="8">
        <f t="shared" si="3"/>
        <v>19</v>
      </c>
      <c r="G27" s="10">
        <f t="shared" si="4"/>
        <v>58.33</v>
      </c>
      <c r="H27" s="7">
        <f>'[3]Production Summary'!G28</f>
        <v>0</v>
      </c>
      <c r="I27" s="8">
        <f t="shared" si="0"/>
        <v>0</v>
      </c>
      <c r="J27" s="10">
        <f t="shared" si="5"/>
        <v>0</v>
      </c>
      <c r="K27" s="7">
        <f>'[3]Production Summary'!T28</f>
        <v>1633379</v>
      </c>
      <c r="L27" s="8">
        <f t="shared" si="6"/>
        <v>1.6333789999999999</v>
      </c>
      <c r="M27" s="10">
        <f t="shared" si="7"/>
        <v>5.0144735299999992</v>
      </c>
      <c r="N27" s="21"/>
      <c r="O27" s="7">
        <f>'[3]Production Summary'!I28</f>
        <v>0</v>
      </c>
      <c r="P27" s="8">
        <f t="shared" si="8"/>
        <v>0</v>
      </c>
      <c r="Q27" s="10">
        <f t="shared" si="9"/>
        <v>0</v>
      </c>
      <c r="R27" s="7">
        <f>'[3]Production Summary'!C28</f>
        <v>0</v>
      </c>
      <c r="S27" s="8">
        <f t="shared" si="10"/>
        <v>0</v>
      </c>
      <c r="T27" s="10">
        <f t="shared" si="11"/>
        <v>0</v>
      </c>
      <c r="U27" s="7">
        <f>'[3]Production Summary'!F28</f>
        <v>0</v>
      </c>
      <c r="V27" s="8">
        <f t="shared" si="12"/>
        <v>0</v>
      </c>
      <c r="W27" s="10">
        <f t="shared" si="13"/>
        <v>0</v>
      </c>
      <c r="X27" s="7">
        <f>'[3]Production Summary'!AB28</f>
        <v>0</v>
      </c>
      <c r="Y27" s="8">
        <f t="shared" si="14"/>
        <v>0</v>
      </c>
      <c r="Z27" s="10">
        <f t="shared" si="15"/>
        <v>0</v>
      </c>
      <c r="AA27" s="15"/>
      <c r="AB27" s="7">
        <f t="shared" si="16"/>
        <v>16500000</v>
      </c>
      <c r="AC27" s="8">
        <f t="shared" si="16"/>
        <v>16.5</v>
      </c>
      <c r="AD27" s="8">
        <f t="shared" si="16"/>
        <v>50.654999999999994</v>
      </c>
    </row>
    <row r="28" spans="1:30" x14ac:dyDescent="0.15">
      <c r="A28" s="27">
        <v>43214</v>
      </c>
      <c r="B28" s="7">
        <f>'[3]Production Summary'!J29</f>
        <v>19500000</v>
      </c>
      <c r="C28" s="8">
        <f t="shared" si="1"/>
        <v>19.5</v>
      </c>
      <c r="D28" s="10">
        <f t="shared" si="2"/>
        <v>59.864999999999995</v>
      </c>
      <c r="E28" s="7">
        <f>'[3]Production Summary'!E29</f>
        <v>21000000</v>
      </c>
      <c r="F28" s="8">
        <f t="shared" si="3"/>
        <v>21</v>
      </c>
      <c r="G28" s="10">
        <f t="shared" si="4"/>
        <v>64.47</v>
      </c>
      <c r="H28" s="7">
        <f>'[3]Production Summary'!G29</f>
        <v>0</v>
      </c>
      <c r="I28" s="8">
        <f t="shared" si="0"/>
        <v>0</v>
      </c>
      <c r="J28" s="10">
        <f t="shared" si="5"/>
        <v>0</v>
      </c>
      <c r="K28" s="7">
        <f>'[3]Production Summary'!T29</f>
        <v>1797210</v>
      </c>
      <c r="L28" s="8">
        <f t="shared" si="6"/>
        <v>1.79721</v>
      </c>
      <c r="M28" s="10">
        <f t="shared" si="7"/>
        <v>5.5174346999999999</v>
      </c>
      <c r="N28" s="21"/>
      <c r="O28" s="7">
        <f>'[3]Production Summary'!I29</f>
        <v>0</v>
      </c>
      <c r="P28" s="8">
        <f t="shared" si="8"/>
        <v>0</v>
      </c>
      <c r="Q28" s="10">
        <f t="shared" si="9"/>
        <v>0</v>
      </c>
      <c r="R28" s="7">
        <f>'[3]Production Summary'!C29</f>
        <v>0</v>
      </c>
      <c r="S28" s="8">
        <f t="shared" si="10"/>
        <v>0</v>
      </c>
      <c r="T28" s="10">
        <f t="shared" si="11"/>
        <v>0</v>
      </c>
      <c r="U28" s="7">
        <f>'[3]Production Summary'!F29</f>
        <v>0</v>
      </c>
      <c r="V28" s="8">
        <f t="shared" si="12"/>
        <v>0</v>
      </c>
      <c r="W28" s="10">
        <f t="shared" si="13"/>
        <v>0</v>
      </c>
      <c r="X28" s="7">
        <f>'[3]Production Summary'!AB29</f>
        <v>0</v>
      </c>
      <c r="Y28" s="8">
        <f t="shared" si="14"/>
        <v>0</v>
      </c>
      <c r="Z28" s="10">
        <f t="shared" si="15"/>
        <v>0</v>
      </c>
      <c r="AA28" s="15"/>
      <c r="AB28" s="7">
        <f t="shared" si="16"/>
        <v>19500000</v>
      </c>
      <c r="AC28" s="8">
        <f t="shared" si="16"/>
        <v>19.5</v>
      </c>
      <c r="AD28" s="8">
        <f t="shared" si="16"/>
        <v>59.864999999999995</v>
      </c>
    </row>
    <row r="29" spans="1:30" x14ac:dyDescent="0.15">
      <c r="A29" s="27">
        <v>43215</v>
      </c>
      <c r="B29" s="7">
        <f>'[3]Production Summary'!J30</f>
        <v>20699999.999999989</v>
      </c>
      <c r="C29" s="8">
        <f t="shared" si="1"/>
        <v>20.699999999999989</v>
      </c>
      <c r="D29" s="10">
        <f t="shared" si="2"/>
        <v>63.548999999999964</v>
      </c>
      <c r="E29" s="7">
        <f>'[3]Production Summary'!E30</f>
        <v>23000000</v>
      </c>
      <c r="F29" s="8">
        <f t="shared" si="3"/>
        <v>23</v>
      </c>
      <c r="G29" s="10">
        <f t="shared" si="4"/>
        <v>70.61</v>
      </c>
      <c r="H29" s="7">
        <f>'[3]Production Summary'!G30</f>
        <v>0</v>
      </c>
      <c r="I29" s="8">
        <f t="shared" si="0"/>
        <v>0</v>
      </c>
      <c r="J29" s="10">
        <f t="shared" si="5"/>
        <v>0</v>
      </c>
      <c r="K29" s="7">
        <f>'[3]Production Summary'!T30</f>
        <v>2221493</v>
      </c>
      <c r="L29" s="8">
        <f t="shared" si="6"/>
        <v>2.2214930000000002</v>
      </c>
      <c r="M29" s="10">
        <f t="shared" si="7"/>
        <v>6.8199835100000001</v>
      </c>
      <c r="N29" s="21"/>
      <c r="O29" s="7">
        <f>'[3]Production Summary'!I30</f>
        <v>0</v>
      </c>
      <c r="P29" s="8">
        <f t="shared" si="8"/>
        <v>0</v>
      </c>
      <c r="Q29" s="10">
        <f t="shared" si="9"/>
        <v>0</v>
      </c>
      <c r="R29" s="7">
        <f>'[3]Production Summary'!C30</f>
        <v>0</v>
      </c>
      <c r="S29" s="8">
        <f t="shared" si="10"/>
        <v>0</v>
      </c>
      <c r="T29" s="10">
        <f t="shared" si="11"/>
        <v>0</v>
      </c>
      <c r="U29" s="7">
        <f>'[3]Production Summary'!F30</f>
        <v>0</v>
      </c>
      <c r="V29" s="8">
        <f t="shared" si="12"/>
        <v>0</v>
      </c>
      <c r="W29" s="10">
        <f t="shared" si="13"/>
        <v>0</v>
      </c>
      <c r="X29" s="7">
        <f>'[3]Production Summary'!AB30</f>
        <v>0</v>
      </c>
      <c r="Y29" s="8">
        <f t="shared" si="14"/>
        <v>0</v>
      </c>
      <c r="Z29" s="10">
        <f t="shared" si="15"/>
        <v>0</v>
      </c>
      <c r="AA29" s="15"/>
      <c r="AB29" s="7">
        <f t="shared" si="16"/>
        <v>20699999.999999989</v>
      </c>
      <c r="AC29" s="8">
        <f t="shared" si="16"/>
        <v>20.699999999999989</v>
      </c>
      <c r="AD29" s="8">
        <f t="shared" si="16"/>
        <v>63.548999999999964</v>
      </c>
    </row>
    <row r="30" spans="1:30" x14ac:dyDescent="0.15">
      <c r="A30" s="27">
        <v>43216</v>
      </c>
      <c r="B30" s="7">
        <f>'[3]Production Summary'!J31</f>
        <v>18800000.000000011</v>
      </c>
      <c r="C30" s="8">
        <f t="shared" si="1"/>
        <v>18.800000000000011</v>
      </c>
      <c r="D30" s="10">
        <f t="shared" si="2"/>
        <v>57.71600000000003</v>
      </c>
      <c r="E30" s="7">
        <f>'[3]Production Summary'!E31</f>
        <v>22000000</v>
      </c>
      <c r="F30" s="8">
        <f t="shared" si="3"/>
        <v>22</v>
      </c>
      <c r="G30" s="10">
        <f t="shared" si="4"/>
        <v>67.539999999999992</v>
      </c>
      <c r="H30" s="7">
        <f>'[3]Production Summary'!G31</f>
        <v>0</v>
      </c>
      <c r="I30" s="8">
        <f t="shared" si="0"/>
        <v>0</v>
      </c>
      <c r="J30" s="10">
        <f t="shared" si="5"/>
        <v>0</v>
      </c>
      <c r="K30" s="7">
        <f>'[3]Production Summary'!T31</f>
        <v>2643826</v>
      </c>
      <c r="L30" s="8">
        <f t="shared" si="6"/>
        <v>2.6438259999999998</v>
      </c>
      <c r="M30" s="10">
        <f t="shared" si="7"/>
        <v>8.1165458199999989</v>
      </c>
      <c r="N30" s="21"/>
      <c r="O30" s="7">
        <f>'[3]Production Summary'!I31</f>
        <v>0</v>
      </c>
      <c r="P30" s="8">
        <f t="shared" si="8"/>
        <v>0</v>
      </c>
      <c r="Q30" s="10">
        <f t="shared" si="9"/>
        <v>0</v>
      </c>
      <c r="R30" s="7">
        <f>'[3]Production Summary'!C31</f>
        <v>129000</v>
      </c>
      <c r="S30" s="8">
        <f t="shared" si="10"/>
        <v>0.129</v>
      </c>
      <c r="T30" s="10">
        <f t="shared" si="11"/>
        <v>0.39602999999999999</v>
      </c>
      <c r="U30" s="7">
        <f>'[3]Production Summary'!F31</f>
        <v>0</v>
      </c>
      <c r="V30" s="8">
        <f t="shared" si="12"/>
        <v>0</v>
      </c>
      <c r="W30" s="10">
        <f t="shared" si="13"/>
        <v>0</v>
      </c>
      <c r="X30" s="7">
        <f>'[3]Production Summary'!AB31</f>
        <v>353000.00000000861</v>
      </c>
      <c r="Y30" s="8">
        <f t="shared" si="14"/>
        <v>0.35300000000000864</v>
      </c>
      <c r="Z30" s="10">
        <f t="shared" si="15"/>
        <v>1.0837100000000264</v>
      </c>
      <c r="AA30" s="15"/>
      <c r="AB30" s="7">
        <f t="shared" si="16"/>
        <v>18800000.000000011</v>
      </c>
      <c r="AC30" s="8">
        <f t="shared" si="16"/>
        <v>18.800000000000011</v>
      </c>
      <c r="AD30" s="8">
        <f>D30+Q30</f>
        <v>57.71600000000003</v>
      </c>
    </row>
    <row r="31" spans="1:30" x14ac:dyDescent="0.15">
      <c r="A31" s="27">
        <v>43217</v>
      </c>
      <c r="B31" s="7">
        <f>'[3]Production Summary'!J32</f>
        <v>17699999.999999989</v>
      </c>
      <c r="C31" s="8">
        <f t="shared" si="1"/>
        <v>17.699999999999989</v>
      </c>
      <c r="D31" s="10">
        <f t="shared" si="2"/>
        <v>54.338999999999963</v>
      </c>
      <c r="E31" s="7">
        <f>'[3]Production Summary'!E32</f>
        <v>20000000</v>
      </c>
      <c r="F31" s="8">
        <f t="shared" si="3"/>
        <v>20</v>
      </c>
      <c r="G31" s="10">
        <f t="shared" si="4"/>
        <v>61.4</v>
      </c>
      <c r="H31" s="7">
        <f>'[3]Production Summary'!G32</f>
        <v>0</v>
      </c>
      <c r="I31" s="8">
        <f t="shared" si="0"/>
        <v>0</v>
      </c>
      <c r="J31" s="10">
        <f t="shared" si="5"/>
        <v>0</v>
      </c>
      <c r="K31" s="7">
        <f>'[3]Production Summary'!T32</f>
        <v>1741991</v>
      </c>
      <c r="L31" s="8">
        <f t="shared" si="6"/>
        <v>1.7419910000000001</v>
      </c>
      <c r="M31" s="10">
        <f t="shared" si="7"/>
        <v>5.3479123699999995</v>
      </c>
      <c r="N31" s="21"/>
      <c r="O31" s="7">
        <f>'[3]Production Summary'!I32</f>
        <v>3888999.9999999972</v>
      </c>
      <c r="P31" s="8">
        <f t="shared" si="8"/>
        <v>3.8889999999999971</v>
      </c>
      <c r="Q31" s="10">
        <f t="shared" si="9"/>
        <v>11.939229999999991</v>
      </c>
      <c r="R31" s="7">
        <f>'[3]Production Summary'!C32</f>
        <v>3962000</v>
      </c>
      <c r="S31" s="8">
        <f t="shared" si="10"/>
        <v>3.9620000000000002</v>
      </c>
      <c r="T31" s="10">
        <f t="shared" si="11"/>
        <v>12.16334</v>
      </c>
      <c r="U31" s="7">
        <f>'[3]Production Summary'!F32</f>
        <v>0</v>
      </c>
      <c r="V31" s="8">
        <f t="shared" si="12"/>
        <v>0</v>
      </c>
      <c r="W31" s="10">
        <f t="shared" si="13"/>
        <v>0</v>
      </c>
      <c r="X31" s="7">
        <f>'[3]Production Summary'!AB32</f>
        <v>72000.000000002736</v>
      </c>
      <c r="Y31" s="8">
        <f t="shared" si="14"/>
        <v>7.2000000000002742E-2</v>
      </c>
      <c r="Z31" s="10">
        <f t="shared" si="15"/>
        <v>0.2210400000000084</v>
      </c>
      <c r="AA31" s="15"/>
      <c r="AB31" s="7">
        <f t="shared" si="16"/>
        <v>21588999.999999985</v>
      </c>
      <c r="AC31" s="8">
        <f t="shared" si="16"/>
        <v>21.588999999999984</v>
      </c>
      <c r="AD31" s="8">
        <f t="shared" si="16"/>
        <v>66.278229999999951</v>
      </c>
    </row>
    <row r="32" spans="1:30" x14ac:dyDescent="0.15">
      <c r="A32" s="27">
        <v>43218</v>
      </c>
      <c r="B32" s="7">
        <f>'[3]Production Summary'!J33</f>
        <v>14800000.000000011</v>
      </c>
      <c r="C32" s="8">
        <f t="shared" si="1"/>
        <v>14.800000000000011</v>
      </c>
      <c r="D32" s="10">
        <f t="shared" si="2"/>
        <v>45.436000000000035</v>
      </c>
      <c r="E32" s="7">
        <f>'[3]Production Summary'!E33</f>
        <v>16000000</v>
      </c>
      <c r="F32" s="8">
        <f t="shared" si="3"/>
        <v>16</v>
      </c>
      <c r="G32" s="10">
        <f t="shared" si="4"/>
        <v>49.12</v>
      </c>
      <c r="H32" s="7">
        <f>'[3]Production Summary'!G33</f>
        <v>0</v>
      </c>
      <c r="I32" s="8">
        <f t="shared" si="0"/>
        <v>0</v>
      </c>
      <c r="J32" s="10">
        <f t="shared" si="5"/>
        <v>0</v>
      </c>
      <c r="K32" s="7">
        <f>'[3]Production Summary'!T33</f>
        <v>1564315</v>
      </c>
      <c r="L32" s="8">
        <f t="shared" si="6"/>
        <v>1.5643149999999999</v>
      </c>
      <c r="M32" s="10">
        <f t="shared" si="7"/>
        <v>4.8024470499999996</v>
      </c>
      <c r="N32" s="21"/>
      <c r="O32" s="7">
        <f>'[3]Production Summary'!I33</f>
        <v>5551000</v>
      </c>
      <c r="P32" s="8">
        <f t="shared" si="8"/>
        <v>5.5510000000000002</v>
      </c>
      <c r="Q32" s="10">
        <f t="shared" si="9"/>
        <v>17.04157</v>
      </c>
      <c r="R32" s="7">
        <f>'[3]Production Summary'!C33</f>
        <v>6186000</v>
      </c>
      <c r="S32" s="8">
        <f t="shared" si="10"/>
        <v>6.1859999999999999</v>
      </c>
      <c r="T32" s="10">
        <f t="shared" si="11"/>
        <v>18.991019999999999</v>
      </c>
      <c r="U32" s="7">
        <f>'[3]Production Summary'!F33</f>
        <v>0</v>
      </c>
      <c r="V32" s="8">
        <f t="shared" si="12"/>
        <v>0</v>
      </c>
      <c r="W32" s="10">
        <f t="shared" si="13"/>
        <v>0</v>
      </c>
      <c r="X32" s="7">
        <f>'[3]Production Summary'!AB33</f>
        <v>631000.00000000023</v>
      </c>
      <c r="Y32" s="8">
        <f t="shared" si="14"/>
        <v>0.63100000000000023</v>
      </c>
      <c r="Z32" s="10">
        <f t="shared" si="15"/>
        <v>1.9371700000000005</v>
      </c>
      <c r="AA32" s="15"/>
      <c r="AB32" s="7">
        <f t="shared" si="16"/>
        <v>20351000.000000011</v>
      </c>
      <c r="AC32" s="8">
        <f t="shared" si="16"/>
        <v>20.351000000000013</v>
      </c>
      <c r="AD32" s="8">
        <f t="shared" si="16"/>
        <v>62.477570000000036</v>
      </c>
    </row>
    <row r="33" spans="1:32" x14ac:dyDescent="0.15">
      <c r="A33" s="27">
        <v>43219</v>
      </c>
      <c r="B33" s="7">
        <f>'[3]Production Summary'!J34</f>
        <v>11800000.000000011</v>
      </c>
      <c r="C33" s="8">
        <f t="shared" si="1"/>
        <v>11.800000000000011</v>
      </c>
      <c r="D33" s="10">
        <f t="shared" si="2"/>
        <v>36.226000000000035</v>
      </c>
      <c r="E33" s="7">
        <f>'[3]Production Summary'!E34</f>
        <v>13000000</v>
      </c>
      <c r="F33" s="8">
        <f t="shared" si="3"/>
        <v>13</v>
      </c>
      <c r="G33" s="10">
        <f t="shared" si="4"/>
        <v>39.909999999999997</v>
      </c>
      <c r="H33" s="7">
        <f>'[3]Production Summary'!G34</f>
        <v>0</v>
      </c>
      <c r="I33" s="8">
        <f t="shared" si="0"/>
        <v>0</v>
      </c>
      <c r="J33" s="10">
        <f t="shared" si="5"/>
        <v>0</v>
      </c>
      <c r="K33" s="7">
        <f>'[3]Production Summary'!T34</f>
        <v>1201107</v>
      </c>
      <c r="L33" s="8">
        <f t="shared" si="6"/>
        <v>1.2011069999999999</v>
      </c>
      <c r="M33" s="10">
        <f t="shared" si="7"/>
        <v>3.6873984899999996</v>
      </c>
      <c r="N33" s="21"/>
      <c r="O33" s="7">
        <f>'[3]Production Summary'!I34</f>
        <v>5386999.9999999981</v>
      </c>
      <c r="P33" s="8">
        <f t="shared" si="8"/>
        <v>5.3869999999999978</v>
      </c>
      <c r="Q33" s="10">
        <f t="shared" si="9"/>
        <v>16.538089999999993</v>
      </c>
      <c r="R33" s="7">
        <f>'[3]Production Summary'!C34</f>
        <v>5450000</v>
      </c>
      <c r="S33" s="8">
        <f t="shared" si="10"/>
        <v>5.45</v>
      </c>
      <c r="T33" s="10">
        <f t="shared" si="11"/>
        <v>16.7315</v>
      </c>
      <c r="U33" s="7">
        <f>'[3]Production Summary'!F34</f>
        <v>0</v>
      </c>
      <c r="V33" s="8">
        <f t="shared" si="12"/>
        <v>0</v>
      </c>
      <c r="W33" s="10">
        <f t="shared" si="13"/>
        <v>0</v>
      </c>
      <c r="X33" s="7">
        <f>'[3]Production Summary'!AB34</f>
        <v>51000.000000001935</v>
      </c>
      <c r="Y33" s="8">
        <f t="shared" si="14"/>
        <v>5.1000000000001933E-2</v>
      </c>
      <c r="Z33" s="10">
        <f t="shared" si="15"/>
        <v>0.15657000000000593</v>
      </c>
      <c r="AA33" s="15"/>
      <c r="AB33" s="7">
        <f t="shared" si="16"/>
        <v>17187000.000000007</v>
      </c>
      <c r="AC33" s="8">
        <f t="shared" si="16"/>
        <v>17.187000000000008</v>
      </c>
      <c r="AD33" s="8">
        <f t="shared" si="16"/>
        <v>52.764090000000024</v>
      </c>
    </row>
    <row r="34" spans="1:32" ht="14" thickBot="1" x14ac:dyDescent="0.2">
      <c r="A34" s="27">
        <v>43220</v>
      </c>
      <c r="B34" s="7">
        <f>'[3]Production Summary'!J35</f>
        <v>9699999.9999999888</v>
      </c>
      <c r="C34" s="8">
        <f t="shared" si="1"/>
        <v>9.6999999999999886</v>
      </c>
      <c r="D34" s="10">
        <f t="shared" si="2"/>
        <v>29.778999999999964</v>
      </c>
      <c r="E34" s="7">
        <f>'[3]Production Summary'!E35</f>
        <v>10000000</v>
      </c>
      <c r="F34" s="8">
        <f t="shared" si="3"/>
        <v>10</v>
      </c>
      <c r="G34" s="10">
        <f t="shared" si="4"/>
        <v>30.7</v>
      </c>
      <c r="H34" s="7">
        <f>'[3]Production Summary'!G35</f>
        <v>0</v>
      </c>
      <c r="I34" s="8">
        <f t="shared" si="0"/>
        <v>0</v>
      </c>
      <c r="J34" s="10">
        <f t="shared" si="5"/>
        <v>0</v>
      </c>
      <c r="K34" s="7">
        <f>'[3]Production Summary'!T35</f>
        <v>1105423</v>
      </c>
      <c r="L34" s="8">
        <f t="shared" si="6"/>
        <v>1.105423</v>
      </c>
      <c r="M34" s="10">
        <f t="shared" si="7"/>
        <v>3.3936486100000001</v>
      </c>
      <c r="N34" s="21"/>
      <c r="O34" s="7">
        <f>'[3]Production Summary'!I35</f>
        <v>4723000.0000000112</v>
      </c>
      <c r="P34" s="8">
        <f t="shared" si="8"/>
        <v>4.7230000000000114</v>
      </c>
      <c r="Q34" s="10">
        <f t="shared" si="9"/>
        <v>14.499610000000034</v>
      </c>
      <c r="R34" s="7">
        <f>'[3]Production Summary'!C35</f>
        <v>4942000</v>
      </c>
      <c r="S34" s="8">
        <f t="shared" si="10"/>
        <v>4.9420000000000002</v>
      </c>
      <c r="T34" s="10">
        <f t="shared" si="11"/>
        <v>15.171939999999999</v>
      </c>
      <c r="U34" s="7">
        <f>'[3]Production Summary'!F35</f>
        <v>0</v>
      </c>
      <c r="V34" s="8">
        <f t="shared" si="12"/>
        <v>0</v>
      </c>
      <c r="W34" s="10">
        <f t="shared" si="13"/>
        <v>0</v>
      </c>
      <c r="X34" s="7">
        <f>'[3]Production Summary'!AB35</f>
        <v>214999.9999999892</v>
      </c>
      <c r="Y34" s="8">
        <f t="shared" si="14"/>
        <v>0.2149999999999892</v>
      </c>
      <c r="Z34" s="10">
        <f t="shared" si="15"/>
        <v>0.66004999999996683</v>
      </c>
      <c r="AA34" s="15"/>
      <c r="AB34" s="7">
        <f t="shared" si="16"/>
        <v>14423000</v>
      </c>
      <c r="AC34" s="8">
        <f t="shared" si="16"/>
        <v>14.423</v>
      </c>
      <c r="AD34" s="8">
        <f t="shared" si="16"/>
        <v>44.27861</v>
      </c>
    </row>
    <row r="35" spans="1:32" ht="14" thickBot="1" x14ac:dyDescent="0.2">
      <c r="A35" s="3"/>
      <c r="B35" s="37"/>
      <c r="C35" s="38">
        <f>SUM(C5:C34)</f>
        <v>397.2</v>
      </c>
      <c r="D35" s="38">
        <f>SUM(D5:D34)</f>
        <v>1219.404</v>
      </c>
      <c r="E35" s="37"/>
      <c r="F35" s="38">
        <f>SUM(F5:F34)</f>
        <v>444</v>
      </c>
      <c r="G35" s="38">
        <f>SUM(G5:G34)</f>
        <v>1363.08</v>
      </c>
      <c r="H35" s="38"/>
      <c r="I35" s="38">
        <f>SUM(I5:I34)</f>
        <v>0</v>
      </c>
      <c r="J35" s="38">
        <f>SUM(J5:J34)</f>
        <v>0</v>
      </c>
      <c r="K35" s="37"/>
      <c r="L35" s="38">
        <f>SUM(L5:L34)</f>
        <v>41.981766</v>
      </c>
      <c r="M35" s="38">
        <f>SUM(M5:M34)</f>
        <v>128.88402162</v>
      </c>
      <c r="N35" s="14"/>
      <c r="O35" s="38"/>
      <c r="P35" s="38">
        <f>SUM(P5:P34)</f>
        <v>67.650000000000006</v>
      </c>
      <c r="Q35" s="38">
        <f>SUM(Q5:Q34)</f>
        <v>207.68549999999999</v>
      </c>
      <c r="R35" s="38"/>
      <c r="S35" s="38">
        <f>SUM(S5:S34)</f>
        <v>70.353999999999985</v>
      </c>
      <c r="T35" s="38">
        <f>SUM(T5:T34)</f>
        <v>215.98678000000004</v>
      </c>
      <c r="U35" s="38"/>
      <c r="V35" s="38">
        <f>SUM(V5:V34)</f>
        <v>0</v>
      </c>
      <c r="W35" s="38">
        <f>SUM(W5:W34)</f>
        <v>0</v>
      </c>
      <c r="X35" s="38"/>
      <c r="Y35" s="38">
        <f>SUM(Y5:Y34)</f>
        <v>2.8730000000000047</v>
      </c>
      <c r="Z35" s="38">
        <f>SUM(Z5:Z34)</f>
        <v>8.8201100000000139</v>
      </c>
      <c r="AA35" s="14"/>
      <c r="AB35" s="37">
        <f t="shared" si="16"/>
        <v>0</v>
      </c>
      <c r="AC35" s="38">
        <f t="shared" si="16"/>
        <v>464.85</v>
      </c>
      <c r="AD35" s="38">
        <f t="shared" si="16"/>
        <v>1427.0895</v>
      </c>
      <c r="AF35" s="18"/>
    </row>
    <row r="36" spans="1:32" x14ac:dyDescent="0.15">
      <c r="C36" s="18"/>
      <c r="E36" s="3"/>
      <c r="F36" s="3"/>
      <c r="G36" s="3"/>
      <c r="H36" s="3"/>
      <c r="I36" s="3"/>
      <c r="J36" s="15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23"/>
      <c r="AC36" s="29"/>
      <c r="AD36" s="23"/>
    </row>
  </sheetData>
  <mergeCells count="9">
    <mergeCell ref="R3:T3"/>
    <mergeCell ref="U3:W3"/>
    <mergeCell ref="AB3:AD3"/>
    <mergeCell ref="B3:D3"/>
    <mergeCell ref="E3:G3"/>
    <mergeCell ref="H3:J3"/>
    <mergeCell ref="O3:Q3"/>
    <mergeCell ref="K3:M3"/>
    <mergeCell ref="X3:Z3"/>
  </mergeCells>
  <phoneticPr fontId="1" type="noConversion"/>
  <pageMargins left="0.34" right="0.43" top="1" bottom="1" header="0.5" footer="0.5"/>
  <pageSetup paperSize="5" scale="54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pageSetUpPr fitToPage="1"/>
  </sheetPr>
  <dimension ref="A1:AD38"/>
  <sheetViews>
    <sheetView workbookViewId="0">
      <pane xSplit="1" ySplit="4" topLeftCell="N20" activePane="bottomRight" state="frozen"/>
      <selection activeCell="W33" sqref="W33:W35"/>
      <selection pane="topRight" activeCell="W33" sqref="W33:W35"/>
      <selection pane="bottomLeft" activeCell="W33" sqref="W33:W35"/>
      <selection pane="bottomRight" activeCell="D36" sqref="D36"/>
    </sheetView>
  </sheetViews>
  <sheetFormatPr baseColWidth="10" defaultColWidth="8.83203125" defaultRowHeight="13" x14ac:dyDescent="0.15"/>
  <cols>
    <col min="2" max="2" width="11.5" customWidth="1"/>
    <col min="5" max="5" width="11.1640625" customWidth="1"/>
    <col min="8" max="8" width="14.5" bestFit="1" customWidth="1"/>
    <col min="11" max="11" width="10.33203125" customWidth="1"/>
    <col min="12" max="12" width="11" customWidth="1"/>
    <col min="15" max="15" width="11.6640625" customWidth="1"/>
    <col min="18" max="18" width="11.33203125" customWidth="1"/>
    <col min="22" max="22" width="10.5" customWidth="1"/>
    <col min="24" max="24" width="11.6640625" bestFit="1" customWidth="1"/>
    <col min="28" max="28" width="13.33203125" customWidth="1"/>
  </cols>
  <sheetData>
    <row r="1" spans="1:30" x14ac:dyDescent="0.15">
      <c r="A1" s="41"/>
      <c r="B1" s="39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">
      <c r="A3" s="3"/>
      <c r="B3" s="59" t="s">
        <v>10</v>
      </c>
      <c r="C3" s="60"/>
      <c r="D3" s="61"/>
      <c r="E3" s="59" t="s">
        <v>11</v>
      </c>
      <c r="F3" s="60"/>
      <c r="G3" s="61"/>
      <c r="H3" s="59" t="s">
        <v>12</v>
      </c>
      <c r="I3" s="60"/>
      <c r="J3" s="61"/>
      <c r="K3" s="59" t="s">
        <v>13</v>
      </c>
      <c r="L3" s="60"/>
      <c r="M3" s="61"/>
      <c r="N3" s="19"/>
      <c r="O3" s="59" t="s">
        <v>4</v>
      </c>
      <c r="P3" s="60"/>
      <c r="Q3" s="61"/>
      <c r="R3" s="59" t="s">
        <v>3</v>
      </c>
      <c r="S3" s="60"/>
      <c r="T3" s="61"/>
      <c r="U3" s="59" t="s">
        <v>15</v>
      </c>
      <c r="V3" s="60"/>
      <c r="W3" s="61"/>
      <c r="X3" s="59" t="s">
        <v>7</v>
      </c>
      <c r="Y3" s="60"/>
      <c r="Z3" s="61"/>
      <c r="AA3" s="19"/>
      <c r="AB3" s="56" t="s">
        <v>8</v>
      </c>
      <c r="AC3" s="57"/>
      <c r="AD3" s="58"/>
    </row>
    <row r="4" spans="1:30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</row>
    <row r="5" spans="1:30" x14ac:dyDescent="0.15">
      <c r="A5" s="27">
        <v>43221</v>
      </c>
      <c r="B5" s="7">
        <f>'[3]Production Summary'!J36</f>
        <v>8100000.0000000224</v>
      </c>
      <c r="C5" s="8">
        <f t="shared" ref="C5" si="0">B5/1000000</f>
        <v>8.1000000000000227</v>
      </c>
      <c r="D5" s="10">
        <f t="shared" ref="D5" si="1">C5*3.07</f>
        <v>24.867000000000068</v>
      </c>
      <c r="E5" s="7">
        <f>'[3]Production Summary'!E36</f>
        <v>11000000</v>
      </c>
      <c r="F5" s="8">
        <f t="shared" ref="F5" si="2">E5/1000000</f>
        <v>11</v>
      </c>
      <c r="G5" s="10">
        <f t="shared" ref="G5" si="3">F5*3.07</f>
        <v>33.769999999999996</v>
      </c>
      <c r="H5" s="7">
        <f>'[3]Production Summary'!G36</f>
        <v>0</v>
      </c>
      <c r="I5" s="8">
        <f t="shared" ref="I5" si="4">H5/1000000</f>
        <v>0</v>
      </c>
      <c r="J5" s="10">
        <f t="shared" ref="J5" si="5">I5*3.07</f>
        <v>0</v>
      </c>
      <c r="K5" s="7">
        <f>'[3]Production Summary'!T36</f>
        <v>1173161</v>
      </c>
      <c r="L5" s="8">
        <f t="shared" ref="L5" si="6">K5/1000000</f>
        <v>1.1731609999999999</v>
      </c>
      <c r="M5" s="10">
        <f t="shared" ref="M5" si="7">L5*3.07</f>
        <v>3.6016042699999997</v>
      </c>
      <c r="N5" s="21"/>
      <c r="O5" s="7">
        <f>'[3]Production Summary'!I36</f>
        <v>5024000.0000000009</v>
      </c>
      <c r="P5" s="8">
        <f t="shared" ref="P5" si="8">O5/1000000</f>
        <v>5.0240000000000009</v>
      </c>
      <c r="Q5" s="10">
        <f t="shared" ref="Q5" si="9">P5*3.07</f>
        <v>15.423680000000003</v>
      </c>
      <c r="R5" s="7">
        <f>'[3]Production Summary'!C36</f>
        <v>5254000</v>
      </c>
      <c r="S5" s="8">
        <f t="shared" ref="S5" si="10">R5/1000000</f>
        <v>5.2539999999999996</v>
      </c>
      <c r="T5" s="10">
        <f t="shared" ref="T5" si="11">S5*3.07</f>
        <v>16.129779999999997</v>
      </c>
      <c r="U5" s="7">
        <f>'[3]Production Summary'!F36</f>
        <v>0</v>
      </c>
      <c r="V5" s="8">
        <f t="shared" ref="V5" si="12">U5/1000000</f>
        <v>0</v>
      </c>
      <c r="W5" s="10">
        <f t="shared" ref="W5" si="13">V5*3.07</f>
        <v>0</v>
      </c>
      <c r="X5" s="7">
        <f>'[3]Production Summary'!AB36</f>
        <v>225999.9999999991</v>
      </c>
      <c r="Y5" s="8">
        <f t="shared" ref="Y5" si="14">X5/1000000</f>
        <v>0.22599999999999909</v>
      </c>
      <c r="Z5" s="10">
        <f t="shared" ref="Z5" si="15">Y5*3.07</f>
        <v>0.69381999999999722</v>
      </c>
      <c r="AA5" s="15"/>
      <c r="AB5" s="7">
        <f t="shared" ref="AB5:AD5" si="16">B5+O5</f>
        <v>13124000.000000022</v>
      </c>
      <c r="AC5" s="8">
        <f t="shared" si="16"/>
        <v>13.124000000000024</v>
      </c>
      <c r="AD5" s="8">
        <f t="shared" si="16"/>
        <v>40.290680000000073</v>
      </c>
    </row>
    <row r="6" spans="1:30" x14ac:dyDescent="0.15">
      <c r="A6" s="27">
        <v>43222</v>
      </c>
      <c r="B6" s="7">
        <f>'[3]Production Summary'!J37</f>
        <v>12500000</v>
      </c>
      <c r="C6" s="8">
        <f t="shared" ref="C6:C35" si="17">B6/1000000</f>
        <v>12.5</v>
      </c>
      <c r="D6" s="10">
        <f t="shared" ref="D6:D35" si="18">C6*3.07</f>
        <v>38.375</v>
      </c>
      <c r="E6" s="7">
        <f>'[3]Production Summary'!E37</f>
        <v>13000000</v>
      </c>
      <c r="F6" s="8">
        <f t="shared" ref="F6:F35" si="19">E6/1000000</f>
        <v>13</v>
      </c>
      <c r="G6" s="10">
        <f t="shared" ref="G6:G35" si="20">F6*3.07</f>
        <v>39.909999999999997</v>
      </c>
      <c r="H6" s="7">
        <f>'[3]Production Summary'!G37</f>
        <v>0</v>
      </c>
      <c r="I6" s="8">
        <f t="shared" ref="I6:I35" si="21">H6/1000000</f>
        <v>0</v>
      </c>
      <c r="J6" s="10">
        <f t="shared" ref="J6:J35" si="22">I6*3.07</f>
        <v>0</v>
      </c>
      <c r="K6" s="7">
        <f>'[3]Production Summary'!T37</f>
        <v>1174571</v>
      </c>
      <c r="L6" s="8">
        <f t="shared" ref="L6:L35" si="23">K6/1000000</f>
        <v>1.174571</v>
      </c>
      <c r="M6" s="10">
        <f t="shared" ref="M6:M35" si="24">L6*3.07</f>
        <v>3.60593297</v>
      </c>
      <c r="N6" s="21"/>
      <c r="O6" s="7">
        <f>'[3]Production Summary'!I37</f>
        <v>4934999.9999999907</v>
      </c>
      <c r="P6" s="8">
        <f t="shared" ref="P6:P35" si="25">O6/1000000</f>
        <v>4.9349999999999907</v>
      </c>
      <c r="Q6" s="10">
        <f t="shared" ref="Q6:Q35" si="26">P6*3.07</f>
        <v>15.150449999999971</v>
      </c>
      <c r="R6" s="7">
        <f>'[3]Production Summary'!C37</f>
        <v>5068000</v>
      </c>
      <c r="S6" s="8">
        <f t="shared" ref="S6:S35" si="27">R6/1000000</f>
        <v>5.0679999999999996</v>
      </c>
      <c r="T6" s="10">
        <f t="shared" ref="T6:T35" si="28">S6*3.07</f>
        <v>15.558759999999998</v>
      </c>
      <c r="U6" s="7">
        <f>'[3]Production Summary'!F37</f>
        <v>0</v>
      </c>
      <c r="V6" s="8">
        <f t="shared" ref="V6:V35" si="29">U6/1000000</f>
        <v>0</v>
      </c>
      <c r="W6" s="10">
        <f t="shared" ref="W6:W35" si="30">V6*3.07</f>
        <v>0</v>
      </c>
      <c r="X6" s="7">
        <f>'[3]Production Summary'!AB37</f>
        <v>130000.00000000966</v>
      </c>
      <c r="Y6" s="8">
        <f t="shared" ref="Y6:Y35" si="31">X6/1000000</f>
        <v>0.13000000000000966</v>
      </c>
      <c r="Z6" s="10">
        <f t="shared" ref="Z6:Z35" si="32">Y6*3.07</f>
        <v>0.39910000000002965</v>
      </c>
      <c r="AA6" s="15"/>
      <c r="AB6" s="7">
        <f t="shared" ref="AB6:AD35" si="33">B6+O6</f>
        <v>17434999.999999993</v>
      </c>
      <c r="AC6" s="8">
        <f t="shared" si="33"/>
        <v>17.434999999999992</v>
      </c>
      <c r="AD6" s="8">
        <f t="shared" si="33"/>
        <v>53.525449999999971</v>
      </c>
    </row>
    <row r="7" spans="1:30" x14ac:dyDescent="0.15">
      <c r="A7" s="27">
        <v>43223</v>
      </c>
      <c r="B7" s="7">
        <f>'[3]Production Summary'!J38</f>
        <v>12799999.999999955</v>
      </c>
      <c r="C7" s="8">
        <f t="shared" si="17"/>
        <v>12.799999999999955</v>
      </c>
      <c r="D7" s="10">
        <f t="shared" si="18"/>
        <v>39.295999999999857</v>
      </c>
      <c r="E7" s="7">
        <f>'[3]Production Summary'!E38</f>
        <v>14000000</v>
      </c>
      <c r="F7" s="8">
        <f t="shared" si="19"/>
        <v>14</v>
      </c>
      <c r="G7" s="10">
        <f t="shared" si="20"/>
        <v>42.98</v>
      </c>
      <c r="H7" s="7">
        <f>'[3]Production Summary'!G38</f>
        <v>0</v>
      </c>
      <c r="I7" s="8">
        <f t="shared" si="21"/>
        <v>0</v>
      </c>
      <c r="J7" s="10">
        <f t="shared" si="22"/>
        <v>0</v>
      </c>
      <c r="K7" s="7">
        <f>'[3]Production Summary'!T38</f>
        <v>1469165</v>
      </c>
      <c r="L7" s="8">
        <f t="shared" si="23"/>
        <v>1.4691650000000001</v>
      </c>
      <c r="M7" s="10">
        <f t="shared" si="24"/>
        <v>4.5103365499999999</v>
      </c>
      <c r="N7" s="21"/>
      <c r="O7" s="7">
        <f>'[3]Production Summary'!I38</f>
        <v>4739000</v>
      </c>
      <c r="P7" s="8">
        <f t="shared" si="25"/>
        <v>4.7389999999999999</v>
      </c>
      <c r="Q7" s="10">
        <f t="shared" si="26"/>
        <v>14.548729999999999</v>
      </c>
      <c r="R7" s="7">
        <f>'[3]Production Summary'!C38</f>
        <v>4873000</v>
      </c>
      <c r="S7" s="8">
        <f t="shared" si="27"/>
        <v>4.8730000000000002</v>
      </c>
      <c r="T7" s="10">
        <f t="shared" si="28"/>
        <v>14.96011</v>
      </c>
      <c r="U7" s="7">
        <f>'[3]Production Summary'!F38</f>
        <v>0</v>
      </c>
      <c r="V7" s="8">
        <f t="shared" si="29"/>
        <v>0</v>
      </c>
      <c r="W7" s="10">
        <f t="shared" si="30"/>
        <v>0</v>
      </c>
      <c r="X7" s="7">
        <f>'[3]Production Summary'!AB38</f>
        <v>131000.00000000023</v>
      </c>
      <c r="Y7" s="8">
        <f t="shared" si="31"/>
        <v>0.13100000000000023</v>
      </c>
      <c r="Z7" s="10">
        <f t="shared" si="32"/>
        <v>0.40217000000000069</v>
      </c>
      <c r="AA7" s="15"/>
      <c r="AB7" s="7">
        <f t="shared" si="33"/>
        <v>17538999.999999955</v>
      </c>
      <c r="AC7" s="8">
        <f t="shared" si="33"/>
        <v>17.538999999999955</v>
      </c>
      <c r="AD7" s="8">
        <f t="shared" si="33"/>
        <v>53.844729999999856</v>
      </c>
    </row>
    <row r="8" spans="1:30" x14ac:dyDescent="0.15">
      <c r="A8" s="27">
        <v>43224</v>
      </c>
      <c r="B8" s="7">
        <f>'[3]Production Summary'!J39</f>
        <v>15300000.000000069</v>
      </c>
      <c r="C8" s="8">
        <f t="shared" si="17"/>
        <v>15.300000000000068</v>
      </c>
      <c r="D8" s="10">
        <f t="shared" si="18"/>
        <v>46.97100000000021</v>
      </c>
      <c r="E8" s="7">
        <f>'[3]Production Summary'!E39</f>
        <v>18000000</v>
      </c>
      <c r="F8" s="8">
        <f t="shared" si="19"/>
        <v>18</v>
      </c>
      <c r="G8" s="10">
        <f t="shared" si="20"/>
        <v>55.26</v>
      </c>
      <c r="H8" s="7">
        <f>'[3]Production Summary'!G39</f>
        <v>0</v>
      </c>
      <c r="I8" s="8">
        <f t="shared" si="21"/>
        <v>0</v>
      </c>
      <c r="J8" s="10">
        <f t="shared" si="22"/>
        <v>0</v>
      </c>
      <c r="K8" s="7">
        <f>'[3]Production Summary'!T39</f>
        <v>1696741</v>
      </c>
      <c r="L8" s="8">
        <f t="shared" si="23"/>
        <v>1.6967410000000001</v>
      </c>
      <c r="M8" s="10">
        <f t="shared" si="24"/>
        <v>5.2089948699999997</v>
      </c>
      <c r="N8" s="21"/>
      <c r="O8" s="7">
        <f>'[3]Production Summary'!I39</f>
        <v>4783000.0000000047</v>
      </c>
      <c r="P8" s="8">
        <f t="shared" si="25"/>
        <v>4.7830000000000048</v>
      </c>
      <c r="Q8" s="10">
        <f t="shared" si="26"/>
        <v>14.683810000000014</v>
      </c>
      <c r="R8" s="7">
        <f>'[3]Production Summary'!C39</f>
        <v>4917000</v>
      </c>
      <c r="S8" s="8">
        <f t="shared" si="27"/>
        <v>4.9169999999999998</v>
      </c>
      <c r="T8" s="10">
        <f t="shared" si="28"/>
        <v>15.095189999999999</v>
      </c>
      <c r="U8" s="7">
        <f>'[3]Production Summary'!F39</f>
        <v>0</v>
      </c>
      <c r="V8" s="8">
        <f t="shared" si="29"/>
        <v>0</v>
      </c>
      <c r="W8" s="10">
        <f t="shared" si="30"/>
        <v>0</v>
      </c>
      <c r="X8" s="7">
        <f>'[3]Production Summary'!AB39</f>
        <v>129999.99999999546</v>
      </c>
      <c r="Y8" s="8">
        <f t="shared" si="31"/>
        <v>0.12999999999999545</v>
      </c>
      <c r="Z8" s="10">
        <f t="shared" si="32"/>
        <v>0.39909999999998602</v>
      </c>
      <c r="AA8" s="15"/>
      <c r="AB8" s="7">
        <f t="shared" si="33"/>
        <v>20083000.000000075</v>
      </c>
      <c r="AC8" s="8">
        <f t="shared" si="33"/>
        <v>20.083000000000073</v>
      </c>
      <c r="AD8" s="8">
        <f t="shared" si="33"/>
        <v>61.654810000000225</v>
      </c>
    </row>
    <row r="9" spans="1:30" x14ac:dyDescent="0.15">
      <c r="A9" s="27">
        <v>43225</v>
      </c>
      <c r="B9" s="7">
        <f>'[3]Production Summary'!J40</f>
        <v>19000000</v>
      </c>
      <c r="C9" s="8">
        <f t="shared" si="17"/>
        <v>19</v>
      </c>
      <c r="D9" s="10">
        <f t="shared" si="18"/>
        <v>58.33</v>
      </c>
      <c r="E9" s="7">
        <f>'[3]Production Summary'!E40</f>
        <v>20000000</v>
      </c>
      <c r="F9" s="8">
        <f t="shared" si="19"/>
        <v>20</v>
      </c>
      <c r="G9" s="10">
        <f t="shared" si="20"/>
        <v>61.4</v>
      </c>
      <c r="H9" s="7">
        <f>'[3]Production Summary'!G40</f>
        <v>0</v>
      </c>
      <c r="I9" s="8">
        <f t="shared" si="21"/>
        <v>0</v>
      </c>
      <c r="J9" s="10">
        <f t="shared" si="22"/>
        <v>0</v>
      </c>
      <c r="K9" s="7">
        <f>'[3]Production Summary'!T40</f>
        <v>1771630</v>
      </c>
      <c r="L9" s="8">
        <f t="shared" si="23"/>
        <v>1.77163</v>
      </c>
      <c r="M9" s="10">
        <f t="shared" si="24"/>
        <v>5.4389041000000002</v>
      </c>
      <c r="N9" s="21"/>
      <c r="O9" s="7">
        <f>'[3]Production Summary'!I40</f>
        <v>5497999.9999999953</v>
      </c>
      <c r="P9" s="8">
        <f t="shared" si="25"/>
        <v>5.4979999999999958</v>
      </c>
      <c r="Q9" s="10">
        <f t="shared" si="26"/>
        <v>16.878859999999985</v>
      </c>
      <c r="R9" s="7">
        <f>'[3]Production Summary'!C40</f>
        <v>5633000</v>
      </c>
      <c r="S9" s="8">
        <f t="shared" si="27"/>
        <v>5.633</v>
      </c>
      <c r="T9" s="10">
        <f t="shared" si="28"/>
        <v>17.293309999999998</v>
      </c>
      <c r="U9" s="7">
        <f>'[3]Production Summary'!F40</f>
        <v>0</v>
      </c>
      <c r="V9" s="8">
        <f t="shared" si="29"/>
        <v>0</v>
      </c>
      <c r="W9" s="10">
        <f t="shared" si="30"/>
        <v>0</v>
      </c>
      <c r="X9" s="7">
        <f>'[3]Production Summary'!AB40</f>
        <v>132000.00000000501</v>
      </c>
      <c r="Y9" s="8">
        <f t="shared" si="31"/>
        <v>0.132000000000005</v>
      </c>
      <c r="Z9" s="10">
        <f t="shared" si="32"/>
        <v>0.40524000000001531</v>
      </c>
      <c r="AA9" s="15"/>
      <c r="AB9" s="7">
        <f t="shared" si="33"/>
        <v>24497999.999999996</v>
      </c>
      <c r="AC9" s="8">
        <f t="shared" si="33"/>
        <v>24.497999999999998</v>
      </c>
      <c r="AD9" s="8">
        <f t="shared" si="33"/>
        <v>75.208859999999987</v>
      </c>
    </row>
    <row r="10" spans="1:30" x14ac:dyDescent="0.15">
      <c r="A10" s="27">
        <v>43226</v>
      </c>
      <c r="B10" s="7">
        <f>'[3]Production Summary'!J41</f>
        <v>16599999.999999909</v>
      </c>
      <c r="C10" s="8">
        <f t="shared" si="17"/>
        <v>16.599999999999909</v>
      </c>
      <c r="D10" s="10">
        <f t="shared" si="18"/>
        <v>50.961999999999719</v>
      </c>
      <c r="E10" s="7">
        <f>'[3]Production Summary'!E41</f>
        <v>19000000</v>
      </c>
      <c r="F10" s="8">
        <f t="shared" si="19"/>
        <v>19</v>
      </c>
      <c r="G10" s="10">
        <f t="shared" si="20"/>
        <v>58.33</v>
      </c>
      <c r="H10" s="7">
        <f>'[3]Production Summary'!G41</f>
        <v>0</v>
      </c>
      <c r="I10" s="8">
        <f t="shared" si="21"/>
        <v>0</v>
      </c>
      <c r="J10" s="10">
        <f t="shared" si="22"/>
        <v>0</v>
      </c>
      <c r="K10" s="7">
        <f>'[3]Production Summary'!T41</f>
        <v>1619568</v>
      </c>
      <c r="L10" s="8">
        <f t="shared" si="23"/>
        <v>1.6195679999999999</v>
      </c>
      <c r="M10" s="10">
        <f t="shared" si="24"/>
        <v>4.9720737599999998</v>
      </c>
      <c r="N10" s="21"/>
      <c r="O10" s="7">
        <f>'[3]Production Summary'!I41</f>
        <v>5448000.0000000075</v>
      </c>
      <c r="P10" s="8">
        <f t="shared" si="25"/>
        <v>5.4480000000000075</v>
      </c>
      <c r="Q10" s="10">
        <f t="shared" si="26"/>
        <v>16.725360000000023</v>
      </c>
      <c r="R10" s="7">
        <f>'[3]Production Summary'!C41</f>
        <v>5633000</v>
      </c>
      <c r="S10" s="8">
        <f t="shared" si="27"/>
        <v>5.633</v>
      </c>
      <c r="T10" s="10">
        <f t="shared" si="28"/>
        <v>17.293309999999998</v>
      </c>
      <c r="U10" s="7">
        <f>'[3]Production Summary'!F41</f>
        <v>0</v>
      </c>
      <c r="V10" s="8">
        <f t="shared" si="29"/>
        <v>0</v>
      </c>
      <c r="W10" s="10">
        <f t="shared" si="30"/>
        <v>0</v>
      </c>
      <c r="X10" s="7">
        <f>'[3]Production Summary'!AB41</f>
        <v>179999.99999999261</v>
      </c>
      <c r="Y10" s="8">
        <f t="shared" si="31"/>
        <v>0.17999999999999261</v>
      </c>
      <c r="Z10" s="10">
        <f t="shared" si="32"/>
        <v>0.55259999999997733</v>
      </c>
      <c r="AA10" s="15"/>
      <c r="AB10" s="7">
        <f t="shared" si="33"/>
        <v>22047999.999999918</v>
      </c>
      <c r="AC10" s="8">
        <f t="shared" si="33"/>
        <v>22.047999999999917</v>
      </c>
      <c r="AD10" s="8">
        <f t="shared" si="33"/>
        <v>67.687359999999742</v>
      </c>
    </row>
    <row r="11" spans="1:30" x14ac:dyDescent="0.15">
      <c r="A11" s="27">
        <v>43227</v>
      </c>
      <c r="B11" s="7">
        <f>'[3]Production Summary'!J42</f>
        <v>11600000.000000022</v>
      </c>
      <c r="C11" s="8">
        <f t="shared" si="17"/>
        <v>11.600000000000023</v>
      </c>
      <c r="D11" s="10">
        <f t="shared" si="18"/>
        <v>35.612000000000066</v>
      </c>
      <c r="E11" s="7">
        <f>'[3]Production Summary'!E42</f>
        <v>13000000</v>
      </c>
      <c r="F11" s="8">
        <f t="shared" si="19"/>
        <v>13</v>
      </c>
      <c r="G11" s="10">
        <f t="shared" si="20"/>
        <v>39.909999999999997</v>
      </c>
      <c r="H11" s="7">
        <f>'[3]Production Summary'!G42</f>
        <v>0</v>
      </c>
      <c r="I11" s="8">
        <f t="shared" si="21"/>
        <v>0</v>
      </c>
      <c r="J11" s="10">
        <f t="shared" si="22"/>
        <v>0</v>
      </c>
      <c r="K11" s="7">
        <f>'[3]Production Summary'!T42</f>
        <v>1339698</v>
      </c>
      <c r="L11" s="8">
        <f t="shared" si="23"/>
        <v>1.3396980000000001</v>
      </c>
      <c r="M11" s="10">
        <f t="shared" si="24"/>
        <v>4.1128728599999995</v>
      </c>
      <c r="N11" s="21"/>
      <c r="O11" s="7">
        <f>'[3]Production Summary'!I42</f>
        <v>4901000.0000000019</v>
      </c>
      <c r="P11" s="8">
        <f t="shared" si="25"/>
        <v>4.9010000000000016</v>
      </c>
      <c r="Q11" s="10">
        <f t="shared" si="26"/>
        <v>15.046070000000004</v>
      </c>
      <c r="R11" s="7">
        <f>'[3]Production Summary'!C42</f>
        <v>4967000</v>
      </c>
      <c r="S11" s="8">
        <f t="shared" si="27"/>
        <v>4.9669999999999996</v>
      </c>
      <c r="T11" s="10">
        <f t="shared" si="28"/>
        <v>15.248689999999998</v>
      </c>
      <c r="U11" s="7">
        <f>'[3]Production Summary'!F42</f>
        <v>0</v>
      </c>
      <c r="V11" s="8">
        <f t="shared" si="29"/>
        <v>0</v>
      </c>
      <c r="W11" s="10">
        <f t="shared" si="30"/>
        <v>0</v>
      </c>
      <c r="X11" s="7">
        <f>'[3]Production Summary'!AB42</f>
        <v>64999.99999999773</v>
      </c>
      <c r="Y11" s="8">
        <f t="shared" si="31"/>
        <v>6.4999999999997726E-2</v>
      </c>
      <c r="Z11" s="10">
        <f t="shared" si="32"/>
        <v>0.19954999999999301</v>
      </c>
      <c r="AA11" s="15"/>
      <c r="AB11" s="7">
        <f t="shared" si="33"/>
        <v>16501000.000000024</v>
      </c>
      <c r="AC11" s="8">
        <f t="shared" si="33"/>
        <v>16.501000000000026</v>
      </c>
      <c r="AD11" s="8">
        <f t="shared" si="33"/>
        <v>50.658070000000066</v>
      </c>
    </row>
    <row r="12" spans="1:30" x14ac:dyDescent="0.15">
      <c r="A12" s="27">
        <v>43228</v>
      </c>
      <c r="B12" s="7">
        <f>'[3]Production Summary'!J43</f>
        <v>11000000</v>
      </c>
      <c r="C12" s="8">
        <f t="shared" si="17"/>
        <v>11</v>
      </c>
      <c r="D12" s="10">
        <f t="shared" si="18"/>
        <v>33.769999999999996</v>
      </c>
      <c r="E12" s="7">
        <f>'[3]Production Summary'!E43</f>
        <v>12000000</v>
      </c>
      <c r="F12" s="8">
        <f t="shared" si="19"/>
        <v>12</v>
      </c>
      <c r="G12" s="10">
        <f t="shared" si="20"/>
        <v>36.839999999999996</v>
      </c>
      <c r="H12" s="7">
        <f>'[3]Production Summary'!G43</f>
        <v>0</v>
      </c>
      <c r="I12" s="8">
        <f t="shared" si="21"/>
        <v>0</v>
      </c>
      <c r="J12" s="10">
        <f t="shared" si="22"/>
        <v>0</v>
      </c>
      <c r="K12" s="7">
        <f>'[3]Production Summary'!T43</f>
        <v>1076933</v>
      </c>
      <c r="L12" s="8">
        <f t="shared" si="23"/>
        <v>1.0769329999999999</v>
      </c>
      <c r="M12" s="10">
        <f t="shared" si="24"/>
        <v>3.3061843099999995</v>
      </c>
      <c r="N12" s="21"/>
      <c r="O12" s="7">
        <f>'[3]Production Summary'!I43</f>
        <v>5045999.9999999935</v>
      </c>
      <c r="P12" s="8">
        <f t="shared" si="25"/>
        <v>5.0459999999999932</v>
      </c>
      <c r="Q12" s="10">
        <f t="shared" si="26"/>
        <v>15.491219999999979</v>
      </c>
      <c r="R12" s="7">
        <f>'[3]Production Summary'!C43</f>
        <v>5100000</v>
      </c>
      <c r="S12" s="8">
        <f t="shared" si="27"/>
        <v>5.0999999999999996</v>
      </c>
      <c r="T12" s="10">
        <f t="shared" si="28"/>
        <v>15.656999999999998</v>
      </c>
      <c r="U12" s="7">
        <f>'[3]Production Summary'!F43</f>
        <v>0</v>
      </c>
      <c r="V12" s="8">
        <f t="shared" si="29"/>
        <v>0</v>
      </c>
      <c r="W12" s="10">
        <f t="shared" si="30"/>
        <v>0</v>
      </c>
      <c r="X12" s="7">
        <f>'[3]Production Summary'!AB43</f>
        <v>52000.000000006708</v>
      </c>
      <c r="Y12" s="8">
        <f t="shared" si="31"/>
        <v>5.2000000000006708E-2</v>
      </c>
      <c r="Z12" s="10">
        <f t="shared" si="32"/>
        <v>0.15964000000002057</v>
      </c>
      <c r="AA12" s="15"/>
      <c r="AB12" s="7">
        <f t="shared" si="33"/>
        <v>16045999.999999993</v>
      </c>
      <c r="AC12" s="8">
        <f t="shared" si="33"/>
        <v>16.045999999999992</v>
      </c>
      <c r="AD12" s="8">
        <f t="shared" si="33"/>
        <v>49.261219999999973</v>
      </c>
    </row>
    <row r="13" spans="1:30" x14ac:dyDescent="0.15">
      <c r="A13" s="27">
        <v>43229</v>
      </c>
      <c r="B13" s="7">
        <f>'[3]Production Summary'!J44</f>
        <v>10899999.999999978</v>
      </c>
      <c r="C13" s="8">
        <f t="shared" si="17"/>
        <v>10.899999999999977</v>
      </c>
      <c r="D13" s="10">
        <f t="shared" si="18"/>
        <v>33.46299999999993</v>
      </c>
      <c r="E13" s="7">
        <f>'[3]Production Summary'!E44</f>
        <v>13000000</v>
      </c>
      <c r="F13" s="8">
        <f t="shared" si="19"/>
        <v>13</v>
      </c>
      <c r="G13" s="10">
        <f t="shared" si="20"/>
        <v>39.909999999999997</v>
      </c>
      <c r="H13" s="7">
        <f>'[3]Production Summary'!G44</f>
        <v>0</v>
      </c>
      <c r="I13" s="8">
        <f t="shared" si="21"/>
        <v>0</v>
      </c>
      <c r="J13" s="10">
        <f t="shared" si="22"/>
        <v>0</v>
      </c>
      <c r="K13" s="7">
        <f>'[3]Production Summary'!T44</f>
        <v>1281729</v>
      </c>
      <c r="L13" s="8">
        <f t="shared" si="23"/>
        <v>1.2817289999999999</v>
      </c>
      <c r="M13" s="10">
        <f t="shared" si="24"/>
        <v>3.9349080299999994</v>
      </c>
      <c r="N13" s="21"/>
      <c r="O13" s="7">
        <f>'[3]Production Summary'!I44</f>
        <v>4806000.0000000093</v>
      </c>
      <c r="P13" s="8">
        <f t="shared" si="25"/>
        <v>4.8060000000000089</v>
      </c>
      <c r="Q13" s="10">
        <f t="shared" si="26"/>
        <v>14.754420000000026</v>
      </c>
      <c r="R13" s="7">
        <f>'[3]Production Summary'!C44</f>
        <v>4938000</v>
      </c>
      <c r="S13" s="8">
        <f t="shared" si="27"/>
        <v>4.9379999999999997</v>
      </c>
      <c r="T13" s="10">
        <f t="shared" si="28"/>
        <v>15.159659999999999</v>
      </c>
      <c r="U13" s="7">
        <f>'[3]Production Summary'!F44</f>
        <v>0</v>
      </c>
      <c r="V13" s="8">
        <f t="shared" si="29"/>
        <v>0</v>
      </c>
      <c r="W13" s="10">
        <f t="shared" si="30"/>
        <v>0</v>
      </c>
      <c r="X13" s="7">
        <f>'[3]Production Summary'!AB44</f>
        <v>128999.99999999067</v>
      </c>
      <c r="Y13" s="8">
        <f t="shared" si="31"/>
        <v>0.12899999999999068</v>
      </c>
      <c r="Z13" s="10">
        <f t="shared" si="32"/>
        <v>0.39602999999997135</v>
      </c>
      <c r="AA13" s="15"/>
      <c r="AB13" s="7">
        <f t="shared" si="33"/>
        <v>15705999.999999987</v>
      </c>
      <c r="AC13" s="8">
        <f t="shared" si="33"/>
        <v>15.705999999999985</v>
      </c>
      <c r="AD13" s="8">
        <f t="shared" si="33"/>
        <v>48.217419999999954</v>
      </c>
    </row>
    <row r="14" spans="1:30" x14ac:dyDescent="0.15">
      <c r="A14" s="27">
        <v>43230</v>
      </c>
      <c r="B14" s="7">
        <f>'[3]Production Summary'!J45</f>
        <v>11800000.000000069</v>
      </c>
      <c r="C14" s="8">
        <f t="shared" si="17"/>
        <v>11.800000000000068</v>
      </c>
      <c r="D14" s="10">
        <f t="shared" si="18"/>
        <v>36.226000000000205</v>
      </c>
      <c r="E14" s="7">
        <f>'[3]Production Summary'!E45</f>
        <v>12000000</v>
      </c>
      <c r="F14" s="8">
        <f t="shared" si="19"/>
        <v>12</v>
      </c>
      <c r="G14" s="10">
        <f t="shared" si="20"/>
        <v>36.839999999999996</v>
      </c>
      <c r="H14" s="7">
        <f>'[3]Production Summary'!G45</f>
        <v>0</v>
      </c>
      <c r="I14" s="8">
        <f t="shared" si="21"/>
        <v>0</v>
      </c>
      <c r="J14" s="10">
        <f t="shared" si="22"/>
        <v>0</v>
      </c>
      <c r="K14" s="7">
        <f>'[3]Production Summary'!T45</f>
        <v>1052393</v>
      </c>
      <c r="L14" s="8">
        <f t="shared" si="23"/>
        <v>1.0523929999999999</v>
      </c>
      <c r="M14" s="10">
        <f t="shared" si="24"/>
        <v>3.2308465099999997</v>
      </c>
      <c r="N14" s="21"/>
      <c r="O14" s="7">
        <f>'[3]Production Summary'!I45</f>
        <v>4936999.9999999898</v>
      </c>
      <c r="P14" s="8">
        <f t="shared" si="25"/>
        <v>4.9369999999999896</v>
      </c>
      <c r="Q14" s="10">
        <f t="shared" si="26"/>
        <v>15.156589999999968</v>
      </c>
      <c r="R14" s="7">
        <f>'[3]Production Summary'!C45</f>
        <v>5086000</v>
      </c>
      <c r="S14" s="8">
        <f t="shared" si="27"/>
        <v>5.0860000000000003</v>
      </c>
      <c r="T14" s="10">
        <f t="shared" si="28"/>
        <v>15.61402</v>
      </c>
      <c r="U14" s="7">
        <f>'[3]Production Summary'!F45</f>
        <v>0</v>
      </c>
      <c r="V14" s="8">
        <f t="shared" si="29"/>
        <v>0</v>
      </c>
      <c r="W14" s="10">
        <f t="shared" si="30"/>
        <v>0</v>
      </c>
      <c r="X14" s="7">
        <f>'[3]Production Summary'!AB45</f>
        <v>145000.00000001024</v>
      </c>
      <c r="Y14" s="8">
        <f t="shared" si="31"/>
        <v>0.14500000000001023</v>
      </c>
      <c r="Z14" s="10">
        <f t="shared" si="32"/>
        <v>0.44515000000003141</v>
      </c>
      <c r="AA14" s="15"/>
      <c r="AB14" s="7">
        <f t="shared" si="33"/>
        <v>16737000.00000006</v>
      </c>
      <c r="AC14" s="8">
        <f t="shared" si="33"/>
        <v>16.737000000000059</v>
      </c>
      <c r="AD14" s="8">
        <f t="shared" si="33"/>
        <v>51.382590000000171</v>
      </c>
    </row>
    <row r="15" spans="1:30" x14ac:dyDescent="0.15">
      <c r="A15" s="27">
        <v>43231</v>
      </c>
      <c r="B15" s="7">
        <f>'[3]Production Summary'!J46</f>
        <v>12100000.000000022</v>
      </c>
      <c r="C15" s="8">
        <f t="shared" si="17"/>
        <v>12.100000000000023</v>
      </c>
      <c r="D15" s="10">
        <f t="shared" si="18"/>
        <v>37.14700000000007</v>
      </c>
      <c r="E15" s="7">
        <f>'[3]Production Summary'!E46</f>
        <v>14000000</v>
      </c>
      <c r="F15" s="8">
        <f t="shared" si="19"/>
        <v>14</v>
      </c>
      <c r="G15" s="10">
        <f t="shared" si="20"/>
        <v>42.98</v>
      </c>
      <c r="H15" s="7">
        <f>'[3]Production Summary'!G46</f>
        <v>0</v>
      </c>
      <c r="I15" s="8">
        <f t="shared" si="21"/>
        <v>0</v>
      </c>
      <c r="J15" s="10">
        <f t="shared" si="22"/>
        <v>0</v>
      </c>
      <c r="K15" s="7">
        <f>'[3]Production Summary'!T46</f>
        <v>1529123</v>
      </c>
      <c r="L15" s="8">
        <f t="shared" si="23"/>
        <v>1.529123</v>
      </c>
      <c r="M15" s="10">
        <f t="shared" si="24"/>
        <v>4.6944076099999998</v>
      </c>
      <c r="N15" s="21"/>
      <c r="O15" s="7">
        <f>'[3]Production Summary'!I46</f>
        <v>4739000.0000000047</v>
      </c>
      <c r="P15" s="8">
        <f t="shared" si="25"/>
        <v>4.7390000000000043</v>
      </c>
      <c r="Q15" s="10">
        <f t="shared" si="26"/>
        <v>14.548730000000013</v>
      </c>
      <c r="R15" s="7">
        <f>'[3]Production Summary'!C46</f>
        <v>4872000</v>
      </c>
      <c r="S15" s="8">
        <f t="shared" si="27"/>
        <v>4.8719999999999999</v>
      </c>
      <c r="T15" s="10">
        <f t="shared" si="28"/>
        <v>14.957039999999999</v>
      </c>
      <c r="U15" s="7">
        <f>'[3]Production Summary'!F46</f>
        <v>0</v>
      </c>
      <c r="V15" s="8">
        <f t="shared" si="29"/>
        <v>0</v>
      </c>
      <c r="W15" s="10">
        <f t="shared" si="30"/>
        <v>0</v>
      </c>
      <c r="X15" s="7">
        <f>'[3]Production Summary'!AB46</f>
        <v>129999.99999999546</v>
      </c>
      <c r="Y15" s="8">
        <f t="shared" si="31"/>
        <v>0.12999999999999545</v>
      </c>
      <c r="Z15" s="10">
        <f t="shared" si="32"/>
        <v>0.39909999999998602</v>
      </c>
      <c r="AA15" s="15"/>
      <c r="AB15" s="7">
        <f t="shared" si="33"/>
        <v>16839000.000000026</v>
      </c>
      <c r="AC15" s="8">
        <f t="shared" si="33"/>
        <v>16.839000000000027</v>
      </c>
      <c r="AD15" s="8">
        <f t="shared" si="33"/>
        <v>51.695730000000083</v>
      </c>
    </row>
    <row r="16" spans="1:30" x14ac:dyDescent="0.15">
      <c r="A16" s="27">
        <v>43232</v>
      </c>
      <c r="B16" s="7">
        <f>'[3]Production Summary'!J47</f>
        <v>14599999.999999909</v>
      </c>
      <c r="C16" s="8">
        <f t="shared" si="17"/>
        <v>14.599999999999909</v>
      </c>
      <c r="D16" s="10">
        <f t="shared" si="18"/>
        <v>44.821999999999719</v>
      </c>
      <c r="E16" s="7">
        <f>'[3]Production Summary'!E47</f>
        <v>16000000</v>
      </c>
      <c r="F16" s="8">
        <f t="shared" si="19"/>
        <v>16</v>
      </c>
      <c r="G16" s="10">
        <f t="shared" si="20"/>
        <v>49.12</v>
      </c>
      <c r="H16" s="7">
        <f>'[3]Production Summary'!G47</f>
        <v>0</v>
      </c>
      <c r="I16" s="8">
        <f t="shared" si="21"/>
        <v>0</v>
      </c>
      <c r="J16" s="10">
        <f t="shared" si="22"/>
        <v>0</v>
      </c>
      <c r="K16" s="7">
        <f>'[3]Production Summary'!T47</f>
        <v>1722053</v>
      </c>
      <c r="L16" s="8">
        <f t="shared" si="23"/>
        <v>1.7220530000000001</v>
      </c>
      <c r="M16" s="10">
        <f t="shared" si="24"/>
        <v>5.2867027100000001</v>
      </c>
      <c r="N16" s="21"/>
      <c r="O16" s="7">
        <f>'[3]Production Summary'!I47</f>
        <v>4799000.0000000019</v>
      </c>
      <c r="P16" s="8">
        <f t="shared" si="25"/>
        <v>4.7990000000000022</v>
      </c>
      <c r="Q16" s="10">
        <f t="shared" si="26"/>
        <v>14.732930000000005</v>
      </c>
      <c r="R16" s="7">
        <f>'[3]Production Summary'!C47</f>
        <v>4865000</v>
      </c>
      <c r="S16" s="8">
        <f t="shared" si="27"/>
        <v>4.8650000000000002</v>
      </c>
      <c r="T16" s="10">
        <f t="shared" si="28"/>
        <v>14.935549999999999</v>
      </c>
      <c r="U16" s="7">
        <f>'[3]Production Summary'!F47</f>
        <v>0</v>
      </c>
      <c r="V16" s="8">
        <f t="shared" si="29"/>
        <v>0</v>
      </c>
      <c r="W16" s="10">
        <f t="shared" si="30"/>
        <v>0</v>
      </c>
      <c r="X16" s="7">
        <f>'[3]Production Summary'!AB47</f>
        <v>64999.99999999773</v>
      </c>
      <c r="Y16" s="8">
        <f t="shared" si="31"/>
        <v>6.4999999999997726E-2</v>
      </c>
      <c r="Z16" s="10">
        <f t="shared" si="32"/>
        <v>0.19954999999999301</v>
      </c>
      <c r="AA16" s="15"/>
      <c r="AB16" s="7">
        <f t="shared" si="33"/>
        <v>19398999.999999911</v>
      </c>
      <c r="AC16" s="8">
        <f t="shared" si="33"/>
        <v>19.398999999999912</v>
      </c>
      <c r="AD16" s="8">
        <f t="shared" si="33"/>
        <v>59.554929999999722</v>
      </c>
    </row>
    <row r="17" spans="1:30" x14ac:dyDescent="0.15">
      <c r="A17" s="27">
        <v>43233</v>
      </c>
      <c r="B17" s="7">
        <f>'[3]Production Summary'!J48</f>
        <v>17400000.000000089</v>
      </c>
      <c r="C17" s="8">
        <f t="shared" si="17"/>
        <v>17.400000000000091</v>
      </c>
      <c r="D17" s="10">
        <f t="shared" si="18"/>
        <v>53.418000000000276</v>
      </c>
      <c r="E17" s="7">
        <f>'[3]Production Summary'!E48</f>
        <v>20000000</v>
      </c>
      <c r="F17" s="8">
        <f t="shared" si="19"/>
        <v>20</v>
      </c>
      <c r="G17" s="10">
        <f t="shared" si="20"/>
        <v>61.4</v>
      </c>
      <c r="H17" s="7">
        <f>'[3]Production Summary'!G48</f>
        <v>0</v>
      </c>
      <c r="I17" s="8">
        <f t="shared" si="21"/>
        <v>0</v>
      </c>
      <c r="J17" s="10">
        <f t="shared" si="22"/>
        <v>0</v>
      </c>
      <c r="K17" s="7">
        <f>'[3]Production Summary'!T48</f>
        <v>1723776</v>
      </c>
      <c r="L17" s="8">
        <f t="shared" si="23"/>
        <v>1.723776</v>
      </c>
      <c r="M17" s="10">
        <f t="shared" si="24"/>
        <v>5.2919923199999994</v>
      </c>
      <c r="N17" s="21"/>
      <c r="O17" s="7">
        <f>'[3]Production Summary'!I48</f>
        <v>4915999.9999999907</v>
      </c>
      <c r="P17" s="8">
        <f t="shared" si="25"/>
        <v>4.9159999999999906</v>
      </c>
      <c r="Q17" s="10">
        <f t="shared" si="26"/>
        <v>15.092119999999971</v>
      </c>
      <c r="R17" s="7">
        <f>'[3]Production Summary'!C48</f>
        <v>5038000</v>
      </c>
      <c r="S17" s="8">
        <f t="shared" si="27"/>
        <v>5.0380000000000003</v>
      </c>
      <c r="T17" s="10">
        <f t="shared" si="28"/>
        <v>15.466659999999999</v>
      </c>
      <c r="U17" s="7">
        <f>'[3]Production Summary'!F48</f>
        <v>0</v>
      </c>
      <c r="V17" s="8">
        <f t="shared" si="29"/>
        <v>0</v>
      </c>
      <c r="W17" s="10">
        <f t="shared" si="30"/>
        <v>0</v>
      </c>
      <c r="X17" s="7">
        <f>'[3]Production Summary'!AB48</f>
        <v>118000.00000000921</v>
      </c>
      <c r="Y17" s="8">
        <f t="shared" si="31"/>
        <v>0.11800000000000921</v>
      </c>
      <c r="Z17" s="10">
        <f t="shared" si="32"/>
        <v>0.36226000000002823</v>
      </c>
      <c r="AA17" s="15"/>
      <c r="AB17" s="7">
        <f t="shared" si="33"/>
        <v>22316000.000000082</v>
      </c>
      <c r="AC17" s="8">
        <f t="shared" si="33"/>
        <v>22.316000000000081</v>
      </c>
      <c r="AD17" s="8">
        <f t="shared" si="33"/>
        <v>68.510120000000242</v>
      </c>
    </row>
    <row r="18" spans="1:30" x14ac:dyDescent="0.15">
      <c r="A18" s="27">
        <v>43234</v>
      </c>
      <c r="B18" s="7">
        <f>'[3]Production Summary'!J49</f>
        <v>19199999.999999933</v>
      </c>
      <c r="C18" s="8">
        <f t="shared" si="17"/>
        <v>19.199999999999932</v>
      </c>
      <c r="D18" s="10">
        <f t="shared" si="18"/>
        <v>58.943999999999789</v>
      </c>
      <c r="E18" s="7">
        <f>'[3]Production Summary'!E49</f>
        <v>20000000</v>
      </c>
      <c r="F18" s="8">
        <f t="shared" si="19"/>
        <v>20</v>
      </c>
      <c r="G18" s="10">
        <f t="shared" si="20"/>
        <v>61.4</v>
      </c>
      <c r="H18" s="7">
        <f>'[3]Production Summary'!G49</f>
        <v>0</v>
      </c>
      <c r="I18" s="8">
        <f t="shared" si="21"/>
        <v>0</v>
      </c>
      <c r="J18" s="10">
        <f t="shared" si="22"/>
        <v>0</v>
      </c>
      <c r="K18" s="7">
        <f>'[3]Production Summary'!T49</f>
        <v>1762383</v>
      </c>
      <c r="L18" s="8">
        <f t="shared" si="23"/>
        <v>1.762383</v>
      </c>
      <c r="M18" s="10">
        <f t="shared" si="24"/>
        <v>5.4105158099999997</v>
      </c>
      <c r="N18" s="21"/>
      <c r="O18" s="7">
        <f>'[3]Production Summary'!I49</f>
        <v>6455000.0000000047</v>
      </c>
      <c r="P18" s="8">
        <f t="shared" si="25"/>
        <v>6.4550000000000045</v>
      </c>
      <c r="Q18" s="10">
        <f t="shared" si="26"/>
        <v>19.816850000000013</v>
      </c>
      <c r="R18" s="7">
        <f>'[3]Production Summary'!C49</f>
        <v>6588000</v>
      </c>
      <c r="S18" s="8">
        <f t="shared" si="27"/>
        <v>6.5880000000000001</v>
      </c>
      <c r="T18" s="10">
        <f t="shared" si="28"/>
        <v>20.225159999999999</v>
      </c>
      <c r="U18" s="7">
        <f>'[3]Production Summary'!F49</f>
        <v>0</v>
      </c>
      <c r="V18" s="8">
        <f t="shared" si="29"/>
        <v>0</v>
      </c>
      <c r="W18" s="10">
        <f t="shared" si="30"/>
        <v>0</v>
      </c>
      <c r="X18" s="7">
        <f>'[3]Production Summary'!AB49</f>
        <v>129999.99999999546</v>
      </c>
      <c r="Y18" s="8">
        <f t="shared" si="31"/>
        <v>0.12999999999999545</v>
      </c>
      <c r="Z18" s="10">
        <f t="shared" si="32"/>
        <v>0.39909999999998602</v>
      </c>
      <c r="AA18" s="15"/>
      <c r="AB18" s="7">
        <f t="shared" si="33"/>
        <v>25654999.999999937</v>
      </c>
      <c r="AC18" s="8">
        <f t="shared" si="33"/>
        <v>25.654999999999937</v>
      </c>
      <c r="AD18" s="8">
        <f t="shared" si="33"/>
        <v>78.760849999999806</v>
      </c>
    </row>
    <row r="19" spans="1:30" x14ac:dyDescent="0.15">
      <c r="A19" s="27">
        <v>43235</v>
      </c>
      <c r="B19" s="7">
        <f>'[3]Production Summary'!J50</f>
        <v>21300000.000000067</v>
      </c>
      <c r="C19" s="8">
        <f t="shared" si="17"/>
        <v>21.300000000000068</v>
      </c>
      <c r="D19" s="10">
        <f t="shared" si="18"/>
        <v>65.391000000000204</v>
      </c>
      <c r="E19" s="7">
        <f>'[3]Production Summary'!E50</f>
        <v>24000000</v>
      </c>
      <c r="F19" s="8">
        <f t="shared" si="19"/>
        <v>24</v>
      </c>
      <c r="G19" s="10">
        <f t="shared" si="20"/>
        <v>73.679999999999993</v>
      </c>
      <c r="H19" s="7">
        <f>'[3]Production Summary'!G50</f>
        <v>0</v>
      </c>
      <c r="I19" s="8">
        <f t="shared" si="21"/>
        <v>0</v>
      </c>
      <c r="J19" s="10">
        <f t="shared" si="22"/>
        <v>0</v>
      </c>
      <c r="K19" s="7">
        <f>'[3]Production Summary'!T50</f>
        <v>2246475</v>
      </c>
      <c r="L19" s="8">
        <f t="shared" si="23"/>
        <v>2.2464750000000002</v>
      </c>
      <c r="M19" s="10">
        <f t="shared" si="24"/>
        <v>6.8966782499999999</v>
      </c>
      <c r="N19" s="21"/>
      <c r="O19" s="7">
        <f>'[3]Production Summary'!I50</f>
        <v>6973000</v>
      </c>
      <c r="P19" s="8">
        <f t="shared" si="25"/>
        <v>6.9729999999999999</v>
      </c>
      <c r="Q19" s="10">
        <f t="shared" si="26"/>
        <v>21.407109999999999</v>
      </c>
      <c r="R19" s="7">
        <f>'[3]Production Summary'!C50</f>
        <v>7107000</v>
      </c>
      <c r="S19" s="8">
        <f t="shared" si="27"/>
        <v>7.1070000000000002</v>
      </c>
      <c r="T19" s="10">
        <f t="shared" si="28"/>
        <v>21.818490000000001</v>
      </c>
      <c r="U19" s="7">
        <f>'[3]Production Summary'!F50</f>
        <v>0</v>
      </c>
      <c r="V19" s="8">
        <f t="shared" si="29"/>
        <v>0</v>
      </c>
      <c r="W19" s="10">
        <f t="shared" si="30"/>
        <v>0</v>
      </c>
      <c r="X19" s="7">
        <f>'[3]Production Summary'!AB50</f>
        <v>131000.00000000023</v>
      </c>
      <c r="Y19" s="8">
        <f t="shared" si="31"/>
        <v>0.13100000000000023</v>
      </c>
      <c r="Z19" s="10">
        <f t="shared" si="32"/>
        <v>0.40217000000000069</v>
      </c>
      <c r="AA19" s="15"/>
      <c r="AB19" s="7">
        <f t="shared" si="33"/>
        <v>28273000.000000067</v>
      </c>
      <c r="AC19" s="8">
        <f t="shared" si="33"/>
        <v>28.273000000000067</v>
      </c>
      <c r="AD19" s="8">
        <f t="shared" si="33"/>
        <v>86.798110000000207</v>
      </c>
    </row>
    <row r="20" spans="1:30" x14ac:dyDescent="0.15">
      <c r="A20" s="27">
        <v>43236</v>
      </c>
      <c r="B20" s="7">
        <f>'[3]Production Summary'!J51</f>
        <v>22399999.999999978</v>
      </c>
      <c r="C20" s="8">
        <f t="shared" si="17"/>
        <v>22.399999999999977</v>
      </c>
      <c r="D20" s="10">
        <f t="shared" si="18"/>
        <v>68.76799999999993</v>
      </c>
      <c r="E20" s="7">
        <f>'[3]Production Summary'!E51</f>
        <v>25000000</v>
      </c>
      <c r="F20" s="8">
        <f t="shared" si="19"/>
        <v>25</v>
      </c>
      <c r="G20" s="10">
        <f t="shared" si="20"/>
        <v>76.75</v>
      </c>
      <c r="H20" s="7">
        <f>'[3]Production Summary'!G51</f>
        <v>10000</v>
      </c>
      <c r="I20" s="8">
        <f t="shared" si="21"/>
        <v>0.01</v>
      </c>
      <c r="J20" s="10">
        <f t="shared" si="22"/>
        <v>3.0699999999999998E-2</v>
      </c>
      <c r="K20" s="7">
        <f>'[3]Production Summary'!T51</f>
        <v>2093578</v>
      </c>
      <c r="L20" s="8">
        <f t="shared" si="23"/>
        <v>2.0935779999999999</v>
      </c>
      <c r="M20" s="10">
        <f t="shared" si="24"/>
        <v>6.4272844599999992</v>
      </c>
      <c r="N20" s="21"/>
      <c r="O20" s="7">
        <f>'[3]Production Summary'!I51</f>
        <v>6291000</v>
      </c>
      <c r="P20" s="8">
        <f t="shared" si="25"/>
        <v>6.2910000000000004</v>
      </c>
      <c r="Q20" s="10">
        <f t="shared" si="26"/>
        <v>19.313369999999999</v>
      </c>
      <c r="R20" s="7">
        <f>'[3]Production Summary'!C51</f>
        <v>6545000</v>
      </c>
      <c r="S20" s="8">
        <f t="shared" si="27"/>
        <v>6.5449999999999999</v>
      </c>
      <c r="T20" s="10">
        <f t="shared" si="28"/>
        <v>20.093149999999998</v>
      </c>
      <c r="U20" s="7">
        <f>'[3]Production Summary'!F51</f>
        <v>0</v>
      </c>
      <c r="V20" s="8">
        <f t="shared" si="29"/>
        <v>0</v>
      </c>
      <c r="W20" s="10">
        <f t="shared" si="30"/>
        <v>0</v>
      </c>
      <c r="X20" s="7">
        <f>'[3]Production Summary'!AB51</f>
        <v>246999.99999999988</v>
      </c>
      <c r="Y20" s="8">
        <f t="shared" si="31"/>
        <v>0.24699999999999989</v>
      </c>
      <c r="Z20" s="10">
        <f t="shared" si="32"/>
        <v>0.75828999999999958</v>
      </c>
      <c r="AA20" s="15"/>
      <c r="AB20" s="7">
        <f t="shared" si="33"/>
        <v>28690999.999999978</v>
      </c>
      <c r="AC20" s="8">
        <f t="shared" si="33"/>
        <v>28.690999999999978</v>
      </c>
      <c r="AD20" s="8">
        <f t="shared" si="33"/>
        <v>88.081369999999936</v>
      </c>
    </row>
    <row r="21" spans="1:30" x14ac:dyDescent="0.15">
      <c r="A21" s="27">
        <v>43237</v>
      </c>
      <c r="B21" s="7">
        <f>'[3]Production Summary'!J52</f>
        <v>19600000.000000022</v>
      </c>
      <c r="C21" s="8">
        <f t="shared" si="17"/>
        <v>19.600000000000023</v>
      </c>
      <c r="D21" s="10">
        <f t="shared" si="18"/>
        <v>60.172000000000068</v>
      </c>
      <c r="E21" s="7">
        <f>'[3]Production Summary'!E52</f>
        <v>22000000</v>
      </c>
      <c r="F21" s="8">
        <f t="shared" si="19"/>
        <v>22</v>
      </c>
      <c r="G21" s="10">
        <f t="shared" si="20"/>
        <v>67.539999999999992</v>
      </c>
      <c r="H21" s="7">
        <f>'[3]Production Summary'!G52</f>
        <v>90000</v>
      </c>
      <c r="I21" s="8">
        <f t="shared" si="21"/>
        <v>0.09</v>
      </c>
      <c r="J21" s="10">
        <f t="shared" si="22"/>
        <v>0.27629999999999999</v>
      </c>
      <c r="K21" s="7">
        <f>'[3]Production Summary'!T52</f>
        <v>2060989</v>
      </c>
      <c r="L21" s="8">
        <f t="shared" si="23"/>
        <v>2.0609890000000002</v>
      </c>
      <c r="M21" s="10">
        <f t="shared" si="24"/>
        <v>6.3272362300000005</v>
      </c>
      <c r="N21" s="21"/>
      <c r="O21" s="7">
        <f>'[3]Production Summary'!I52</f>
        <v>5886000</v>
      </c>
      <c r="P21" s="8">
        <f t="shared" si="25"/>
        <v>5.8860000000000001</v>
      </c>
      <c r="Q21" s="10">
        <f t="shared" si="26"/>
        <v>18.07002</v>
      </c>
      <c r="R21" s="7">
        <f>'[3]Production Summary'!C52</f>
        <v>6020000</v>
      </c>
      <c r="S21" s="8">
        <f t="shared" si="27"/>
        <v>6.02</v>
      </c>
      <c r="T21" s="10">
        <f t="shared" si="28"/>
        <v>18.481399999999997</v>
      </c>
      <c r="U21" s="7">
        <f>'[3]Production Summary'!F52</f>
        <v>0</v>
      </c>
      <c r="V21" s="8">
        <f t="shared" si="29"/>
        <v>0</v>
      </c>
      <c r="W21" s="10">
        <f t="shared" si="30"/>
        <v>0</v>
      </c>
      <c r="X21" s="7">
        <f>'[3]Production Summary'!AB52</f>
        <v>131000.00000000023</v>
      </c>
      <c r="Y21" s="8">
        <f t="shared" si="31"/>
        <v>0.13100000000000023</v>
      </c>
      <c r="Z21" s="10">
        <f t="shared" si="32"/>
        <v>0.40217000000000069</v>
      </c>
      <c r="AA21" s="15"/>
      <c r="AB21" s="7">
        <f t="shared" si="33"/>
        <v>25486000.000000022</v>
      </c>
      <c r="AC21" s="8">
        <f t="shared" si="33"/>
        <v>25.486000000000022</v>
      </c>
      <c r="AD21" s="8">
        <f t="shared" si="33"/>
        <v>78.242020000000068</v>
      </c>
    </row>
    <row r="22" spans="1:30" x14ac:dyDescent="0.15">
      <c r="A22" s="27">
        <v>43238</v>
      </c>
      <c r="B22" s="7">
        <f>'[3]Production Summary'!J53</f>
        <v>19799999.999999955</v>
      </c>
      <c r="C22" s="8">
        <f t="shared" si="17"/>
        <v>19.799999999999955</v>
      </c>
      <c r="D22" s="10">
        <f t="shared" si="18"/>
        <v>60.785999999999859</v>
      </c>
      <c r="E22" s="7">
        <f>'[3]Production Summary'!E53</f>
        <v>22000000</v>
      </c>
      <c r="F22" s="8">
        <f t="shared" si="19"/>
        <v>22</v>
      </c>
      <c r="G22" s="10">
        <f t="shared" si="20"/>
        <v>67.539999999999992</v>
      </c>
      <c r="H22" s="7">
        <f>'[3]Production Summary'!G53</f>
        <v>10000</v>
      </c>
      <c r="I22" s="8">
        <f t="shared" si="21"/>
        <v>0.01</v>
      </c>
      <c r="J22" s="10">
        <f t="shared" si="22"/>
        <v>3.0699999999999998E-2</v>
      </c>
      <c r="K22" s="7">
        <f>'[3]Production Summary'!T53</f>
        <v>2273058</v>
      </c>
      <c r="L22" s="8">
        <f t="shared" si="23"/>
        <v>2.2730579999999998</v>
      </c>
      <c r="M22" s="10">
        <f t="shared" si="24"/>
        <v>6.9782880599999988</v>
      </c>
      <c r="N22" s="21"/>
      <c r="O22" s="7">
        <f>'[3]Production Summary'!I53</f>
        <v>4784000</v>
      </c>
      <c r="P22" s="8">
        <f t="shared" si="25"/>
        <v>4.7839999999999998</v>
      </c>
      <c r="Q22" s="10">
        <f t="shared" si="26"/>
        <v>14.686879999999999</v>
      </c>
      <c r="R22" s="7">
        <f>'[3]Production Summary'!C53</f>
        <v>5038000</v>
      </c>
      <c r="S22" s="8">
        <f t="shared" si="27"/>
        <v>5.0380000000000003</v>
      </c>
      <c r="T22" s="10">
        <f t="shared" si="28"/>
        <v>15.466659999999999</v>
      </c>
      <c r="U22" s="7">
        <f>'[3]Production Summary'!F53</f>
        <v>0</v>
      </c>
      <c r="V22" s="8">
        <f t="shared" si="29"/>
        <v>0</v>
      </c>
      <c r="W22" s="10">
        <f t="shared" si="30"/>
        <v>0</v>
      </c>
      <c r="X22" s="7">
        <f>'[3]Production Summary'!AB53</f>
        <v>246999.99999999988</v>
      </c>
      <c r="Y22" s="8">
        <f t="shared" si="31"/>
        <v>0.24699999999999989</v>
      </c>
      <c r="Z22" s="10">
        <f t="shared" si="32"/>
        <v>0.75828999999999958</v>
      </c>
      <c r="AA22" s="15"/>
      <c r="AB22" s="7">
        <f t="shared" si="33"/>
        <v>24583999.999999955</v>
      </c>
      <c r="AC22" s="8">
        <f t="shared" si="33"/>
        <v>24.583999999999953</v>
      </c>
      <c r="AD22" s="8">
        <f t="shared" si="33"/>
        <v>75.472879999999861</v>
      </c>
    </row>
    <row r="23" spans="1:30" x14ac:dyDescent="0.15">
      <c r="A23" s="27">
        <v>43239</v>
      </c>
      <c r="B23" s="7">
        <f>'[3]Production Summary'!J54</f>
        <v>19500000</v>
      </c>
      <c r="C23" s="8">
        <f t="shared" si="17"/>
        <v>19.5</v>
      </c>
      <c r="D23" s="10">
        <f t="shared" si="18"/>
        <v>59.864999999999995</v>
      </c>
      <c r="E23" s="7">
        <f>'[3]Production Summary'!E54</f>
        <v>21000000</v>
      </c>
      <c r="F23" s="8">
        <f t="shared" si="19"/>
        <v>21</v>
      </c>
      <c r="G23" s="10">
        <f t="shared" si="20"/>
        <v>64.47</v>
      </c>
      <c r="H23" s="7">
        <f>'[3]Production Summary'!G54</f>
        <v>10000</v>
      </c>
      <c r="I23" s="8">
        <f t="shared" si="21"/>
        <v>0.01</v>
      </c>
      <c r="J23" s="10">
        <f t="shared" si="22"/>
        <v>3.0699999999999998E-2</v>
      </c>
      <c r="K23" s="7">
        <f>'[3]Production Summary'!T54</f>
        <v>1852766</v>
      </c>
      <c r="L23" s="8">
        <f t="shared" si="23"/>
        <v>1.8527659999999999</v>
      </c>
      <c r="M23" s="10">
        <f t="shared" si="24"/>
        <v>5.6879916199999991</v>
      </c>
      <c r="N23" s="21"/>
      <c r="O23" s="7">
        <f>'[3]Production Summary'!I54</f>
        <v>4909000</v>
      </c>
      <c r="P23" s="8">
        <f t="shared" si="25"/>
        <v>4.9089999999999998</v>
      </c>
      <c r="Q23" s="10">
        <f t="shared" si="26"/>
        <v>15.070629999999998</v>
      </c>
      <c r="R23" s="7">
        <f>'[3]Production Summary'!C54</f>
        <v>5043000</v>
      </c>
      <c r="S23" s="8">
        <f t="shared" si="27"/>
        <v>5.0430000000000001</v>
      </c>
      <c r="T23" s="10">
        <f t="shared" si="28"/>
        <v>15.482009999999999</v>
      </c>
      <c r="U23" s="7">
        <f>'[3]Production Summary'!F54</f>
        <v>0</v>
      </c>
      <c r="V23" s="8">
        <f t="shared" si="29"/>
        <v>0</v>
      </c>
      <c r="W23" s="10">
        <f t="shared" si="30"/>
        <v>0</v>
      </c>
      <c r="X23" s="7">
        <f>'[3]Production Summary'!AB54</f>
        <v>131000.00000000023</v>
      </c>
      <c r="Y23" s="8">
        <f t="shared" si="31"/>
        <v>0.13100000000000023</v>
      </c>
      <c r="Z23" s="10">
        <f t="shared" si="32"/>
        <v>0.40217000000000069</v>
      </c>
      <c r="AA23" s="15"/>
      <c r="AB23" s="7">
        <f t="shared" si="33"/>
        <v>24409000</v>
      </c>
      <c r="AC23" s="8">
        <f t="shared" si="33"/>
        <v>24.408999999999999</v>
      </c>
      <c r="AD23" s="8">
        <f t="shared" si="33"/>
        <v>74.935629999999989</v>
      </c>
    </row>
    <row r="24" spans="1:30" x14ac:dyDescent="0.15">
      <c r="A24" s="27">
        <v>43240</v>
      </c>
      <c r="B24" s="7">
        <f>'[3]Production Summary'!J55</f>
        <v>12000000</v>
      </c>
      <c r="C24" s="8">
        <f t="shared" si="17"/>
        <v>12</v>
      </c>
      <c r="D24" s="10">
        <f t="shared" si="18"/>
        <v>36.839999999999996</v>
      </c>
      <c r="E24" s="7">
        <f>'[3]Production Summary'!E55</f>
        <v>14000000</v>
      </c>
      <c r="F24" s="8">
        <f t="shared" si="19"/>
        <v>14</v>
      </c>
      <c r="G24" s="10">
        <f t="shared" si="20"/>
        <v>42.98</v>
      </c>
      <c r="H24" s="7">
        <f>'[3]Production Summary'!G55</f>
        <v>10000</v>
      </c>
      <c r="I24" s="8">
        <f t="shared" si="21"/>
        <v>0.01</v>
      </c>
      <c r="J24" s="10">
        <f t="shared" si="22"/>
        <v>3.0699999999999998E-2</v>
      </c>
      <c r="K24" s="7">
        <f>'[3]Production Summary'!T55</f>
        <v>1171083</v>
      </c>
      <c r="L24" s="8">
        <f t="shared" si="23"/>
        <v>1.1710830000000001</v>
      </c>
      <c r="M24" s="10">
        <f t="shared" si="24"/>
        <v>3.5952248099999999</v>
      </c>
      <c r="N24" s="21"/>
      <c r="O24" s="7">
        <f>'[3]Production Summary'!I55</f>
        <v>5199000.0000000065</v>
      </c>
      <c r="P24" s="8">
        <f t="shared" si="25"/>
        <v>5.1990000000000069</v>
      </c>
      <c r="Q24" s="10">
        <f t="shared" si="26"/>
        <v>15.960930000000021</v>
      </c>
      <c r="R24" s="7">
        <f>'[3]Production Summary'!C55</f>
        <v>5399000</v>
      </c>
      <c r="S24" s="8">
        <f t="shared" si="27"/>
        <v>5.399</v>
      </c>
      <c r="T24" s="10">
        <f t="shared" si="28"/>
        <v>16.574929999999998</v>
      </c>
      <c r="U24" s="7">
        <f>'[3]Production Summary'!F55</f>
        <v>0</v>
      </c>
      <c r="V24" s="8">
        <f t="shared" si="29"/>
        <v>0</v>
      </c>
      <c r="W24" s="10">
        <f t="shared" si="30"/>
        <v>0</v>
      </c>
      <c r="X24" s="7">
        <f>'[3]Production Summary'!AB55</f>
        <v>194999.99999999319</v>
      </c>
      <c r="Y24" s="8">
        <f t="shared" si="31"/>
        <v>0.19499999999999318</v>
      </c>
      <c r="Z24" s="10">
        <f t="shared" si="32"/>
        <v>0.59864999999997903</v>
      </c>
      <c r="AA24" s="15"/>
      <c r="AB24" s="7">
        <f t="shared" si="33"/>
        <v>17199000.000000007</v>
      </c>
      <c r="AC24" s="8">
        <f t="shared" si="33"/>
        <v>17.199000000000005</v>
      </c>
      <c r="AD24" s="8">
        <f t="shared" si="33"/>
        <v>52.800930000000015</v>
      </c>
    </row>
    <row r="25" spans="1:30" x14ac:dyDescent="0.15">
      <c r="A25" s="27">
        <v>43241</v>
      </c>
      <c r="B25" s="7">
        <f>'[3]Production Summary'!J56</f>
        <v>13799999.999999955</v>
      </c>
      <c r="C25" s="8">
        <f t="shared" si="17"/>
        <v>13.799999999999955</v>
      </c>
      <c r="D25" s="10">
        <f t="shared" si="18"/>
        <v>42.365999999999858</v>
      </c>
      <c r="E25" s="7">
        <f>'[3]Production Summary'!E56</f>
        <v>15000000</v>
      </c>
      <c r="F25" s="8">
        <f t="shared" si="19"/>
        <v>15</v>
      </c>
      <c r="G25" s="10">
        <f t="shared" si="20"/>
        <v>46.05</v>
      </c>
      <c r="H25" s="7">
        <f>'[3]Production Summary'!G56</f>
        <v>30000</v>
      </c>
      <c r="I25" s="8">
        <f t="shared" si="21"/>
        <v>0.03</v>
      </c>
      <c r="J25" s="10">
        <f t="shared" si="22"/>
        <v>9.2099999999999987E-2</v>
      </c>
      <c r="K25" s="7">
        <f>'[3]Production Summary'!T56</f>
        <v>1459463</v>
      </c>
      <c r="L25" s="8">
        <f t="shared" si="23"/>
        <v>1.459463</v>
      </c>
      <c r="M25" s="10">
        <f t="shared" si="24"/>
        <v>4.4805514099999995</v>
      </c>
      <c r="N25" s="21"/>
      <c r="O25" s="7">
        <f>'[3]Production Summary'!I56</f>
        <v>5292000</v>
      </c>
      <c r="P25" s="8">
        <f t="shared" si="25"/>
        <v>5.2919999999999998</v>
      </c>
      <c r="Q25" s="10">
        <f t="shared" si="26"/>
        <v>16.24644</v>
      </c>
      <c r="R25" s="7">
        <f>'[3]Production Summary'!C56</f>
        <v>5414000</v>
      </c>
      <c r="S25" s="8">
        <f t="shared" si="27"/>
        <v>5.4139999999999997</v>
      </c>
      <c r="T25" s="10">
        <f t="shared" si="28"/>
        <v>16.620979999999999</v>
      </c>
      <c r="U25" s="7">
        <f>'[3]Production Summary'!F56</f>
        <v>0</v>
      </c>
      <c r="V25" s="8">
        <f t="shared" si="29"/>
        <v>0</v>
      </c>
      <c r="W25" s="10">
        <f t="shared" si="30"/>
        <v>0</v>
      </c>
      <c r="X25" s="7">
        <f>'[3]Production Summary'!AB56</f>
        <v>118999.99999999977</v>
      </c>
      <c r="Y25" s="8">
        <f t="shared" si="31"/>
        <v>0.11899999999999977</v>
      </c>
      <c r="Z25" s="10">
        <f t="shared" si="32"/>
        <v>0.36532999999999927</v>
      </c>
      <c r="AA25" s="15"/>
      <c r="AB25" s="7">
        <f t="shared" si="33"/>
        <v>19091999.999999955</v>
      </c>
      <c r="AC25" s="8">
        <f t="shared" si="33"/>
        <v>19.091999999999956</v>
      </c>
      <c r="AD25" s="8">
        <f t="shared" si="33"/>
        <v>58.612439999999857</v>
      </c>
    </row>
    <row r="26" spans="1:30" x14ac:dyDescent="0.15">
      <c r="A26" s="27">
        <v>43242</v>
      </c>
      <c r="B26" s="7">
        <f>'[3]Production Summary'!J57</f>
        <v>13500000</v>
      </c>
      <c r="C26" s="8">
        <f t="shared" si="17"/>
        <v>13.5</v>
      </c>
      <c r="D26" s="10">
        <f t="shared" si="18"/>
        <v>41.445</v>
      </c>
      <c r="E26" s="7">
        <f>'[3]Production Summary'!E57</f>
        <v>15000000</v>
      </c>
      <c r="F26" s="8">
        <f t="shared" si="19"/>
        <v>15</v>
      </c>
      <c r="G26" s="10">
        <f t="shared" si="20"/>
        <v>46.05</v>
      </c>
      <c r="H26" s="7">
        <f>'[3]Production Summary'!G57</f>
        <v>10000</v>
      </c>
      <c r="I26" s="8">
        <f t="shared" si="21"/>
        <v>0.01</v>
      </c>
      <c r="J26" s="10">
        <f t="shared" si="22"/>
        <v>3.0699999999999998E-2</v>
      </c>
      <c r="K26" s="7">
        <f>'[3]Production Summary'!T57</f>
        <v>1618194</v>
      </c>
      <c r="L26" s="8">
        <f t="shared" si="23"/>
        <v>1.6181939999999999</v>
      </c>
      <c r="M26" s="10">
        <f t="shared" si="24"/>
        <v>4.9678555799999993</v>
      </c>
      <c r="N26" s="21"/>
      <c r="O26" s="7">
        <f>'[3]Production Summary'!I57</f>
        <v>4779999.9999999907</v>
      </c>
      <c r="P26" s="8">
        <f t="shared" si="25"/>
        <v>4.7799999999999905</v>
      </c>
      <c r="Q26" s="10">
        <f t="shared" si="26"/>
        <v>14.67459999999997</v>
      </c>
      <c r="R26" s="7">
        <f>'[3]Production Summary'!C57</f>
        <v>4913000</v>
      </c>
      <c r="S26" s="8">
        <f t="shared" si="27"/>
        <v>4.9130000000000003</v>
      </c>
      <c r="T26" s="10">
        <f t="shared" si="28"/>
        <v>15.08291</v>
      </c>
      <c r="U26" s="7">
        <f>'[3]Production Summary'!F57</f>
        <v>0</v>
      </c>
      <c r="V26" s="8">
        <f t="shared" si="29"/>
        <v>0</v>
      </c>
      <c r="W26" s="10">
        <f t="shared" si="30"/>
        <v>0</v>
      </c>
      <c r="X26" s="7">
        <f>'[3]Production Summary'!AB57</f>
        <v>130000.00000000966</v>
      </c>
      <c r="Y26" s="8">
        <f t="shared" si="31"/>
        <v>0.13000000000000966</v>
      </c>
      <c r="Z26" s="10">
        <f t="shared" si="32"/>
        <v>0.39910000000002965</v>
      </c>
      <c r="AA26" s="15"/>
      <c r="AB26" s="7">
        <f t="shared" si="33"/>
        <v>18279999.999999993</v>
      </c>
      <c r="AC26" s="8">
        <f t="shared" si="33"/>
        <v>18.27999999999999</v>
      </c>
      <c r="AD26" s="8">
        <f t="shared" si="33"/>
        <v>56.11959999999997</v>
      </c>
    </row>
    <row r="27" spans="1:30" x14ac:dyDescent="0.15">
      <c r="A27" s="27">
        <v>43243</v>
      </c>
      <c r="B27" s="7">
        <f>'[3]Production Summary'!J58</f>
        <v>12600000.000000022</v>
      </c>
      <c r="C27" s="8">
        <f t="shared" si="17"/>
        <v>12.600000000000023</v>
      </c>
      <c r="D27" s="10">
        <f t="shared" si="18"/>
        <v>38.682000000000066</v>
      </c>
      <c r="E27" s="7">
        <f>'[3]Production Summary'!E58</f>
        <v>15000000</v>
      </c>
      <c r="F27" s="8">
        <f t="shared" si="19"/>
        <v>15</v>
      </c>
      <c r="G27" s="10">
        <f t="shared" si="20"/>
        <v>46.05</v>
      </c>
      <c r="H27" s="7">
        <f>'[3]Production Summary'!G58</f>
        <v>0</v>
      </c>
      <c r="I27" s="8">
        <f t="shared" si="21"/>
        <v>0</v>
      </c>
      <c r="J27" s="10">
        <f t="shared" si="22"/>
        <v>0</v>
      </c>
      <c r="K27" s="7">
        <f>'[3]Production Summary'!T58</f>
        <v>1548083</v>
      </c>
      <c r="L27" s="8">
        <f t="shared" si="23"/>
        <v>1.5480830000000001</v>
      </c>
      <c r="M27" s="10">
        <f t="shared" si="24"/>
        <v>4.7526148099999999</v>
      </c>
      <c r="N27" s="21"/>
      <c r="O27" s="7">
        <f>'[3]Production Summary'!I58</f>
        <v>4918000</v>
      </c>
      <c r="P27" s="8">
        <f t="shared" si="25"/>
        <v>4.9180000000000001</v>
      </c>
      <c r="Q27" s="10">
        <f t="shared" si="26"/>
        <v>15.09826</v>
      </c>
      <c r="R27" s="7">
        <f>'[3]Production Summary'!C58</f>
        <v>5052000</v>
      </c>
      <c r="S27" s="8">
        <f t="shared" si="27"/>
        <v>5.0519999999999996</v>
      </c>
      <c r="T27" s="10">
        <f t="shared" si="28"/>
        <v>15.509639999999997</v>
      </c>
      <c r="U27" s="7">
        <f>'[3]Production Summary'!F58</f>
        <v>0</v>
      </c>
      <c r="V27" s="8">
        <f t="shared" si="29"/>
        <v>0</v>
      </c>
      <c r="W27" s="10">
        <f t="shared" si="30"/>
        <v>0</v>
      </c>
      <c r="X27" s="7">
        <f>'[3]Production Summary'!AB58</f>
        <v>131000.00000000023</v>
      </c>
      <c r="Y27" s="8">
        <f t="shared" si="31"/>
        <v>0.13100000000000023</v>
      </c>
      <c r="Z27" s="10">
        <f t="shared" si="32"/>
        <v>0.40217000000000069</v>
      </c>
      <c r="AA27" s="15"/>
      <c r="AB27" s="7">
        <f t="shared" si="33"/>
        <v>17518000.000000022</v>
      </c>
      <c r="AC27" s="8">
        <f t="shared" si="33"/>
        <v>17.518000000000022</v>
      </c>
      <c r="AD27" s="8">
        <f t="shared" si="33"/>
        <v>53.780260000000069</v>
      </c>
    </row>
    <row r="28" spans="1:30" x14ac:dyDescent="0.15">
      <c r="A28" s="27">
        <v>43244</v>
      </c>
      <c r="B28" s="7">
        <f>'[3]Production Summary'!J59</f>
        <v>14600000.000000022</v>
      </c>
      <c r="C28" s="8">
        <f t="shared" si="17"/>
        <v>14.600000000000023</v>
      </c>
      <c r="D28" s="10">
        <f t="shared" si="18"/>
        <v>44.822000000000067</v>
      </c>
      <c r="E28" s="7">
        <f>'[3]Production Summary'!E59</f>
        <v>16000000</v>
      </c>
      <c r="F28" s="8">
        <f t="shared" si="19"/>
        <v>16</v>
      </c>
      <c r="G28" s="10">
        <f t="shared" si="20"/>
        <v>49.12</v>
      </c>
      <c r="H28" s="7">
        <f>'[3]Production Summary'!G59</f>
        <v>10000</v>
      </c>
      <c r="I28" s="8">
        <f t="shared" si="21"/>
        <v>0.01</v>
      </c>
      <c r="J28" s="10">
        <f t="shared" si="22"/>
        <v>3.0699999999999998E-2</v>
      </c>
      <c r="K28" s="7">
        <f>'[3]Production Summary'!T59</f>
        <v>1740570</v>
      </c>
      <c r="L28" s="8">
        <f t="shared" si="23"/>
        <v>1.74057</v>
      </c>
      <c r="M28" s="10">
        <f t="shared" si="24"/>
        <v>5.3435498999999993</v>
      </c>
      <c r="N28" s="21"/>
      <c r="O28" s="7">
        <f>'[3]Production Summary'!I59</f>
        <v>5189000.0000000047</v>
      </c>
      <c r="P28" s="8">
        <f t="shared" si="25"/>
        <v>5.1890000000000045</v>
      </c>
      <c r="Q28" s="10">
        <f t="shared" si="26"/>
        <v>15.930230000000012</v>
      </c>
      <c r="R28" s="7">
        <f>'[3]Production Summary'!C59</f>
        <v>5311000</v>
      </c>
      <c r="S28" s="8">
        <f t="shared" si="27"/>
        <v>5.3109999999999999</v>
      </c>
      <c r="T28" s="10">
        <f t="shared" si="28"/>
        <v>16.304769999999998</v>
      </c>
      <c r="U28" s="7">
        <f>'[3]Production Summary'!F59</f>
        <v>0</v>
      </c>
      <c r="V28" s="8">
        <f t="shared" si="29"/>
        <v>0</v>
      </c>
      <c r="W28" s="10">
        <f t="shared" si="30"/>
        <v>0</v>
      </c>
      <c r="X28" s="7">
        <f>'[3]Production Summary'!AB59</f>
        <v>117999.99999999499</v>
      </c>
      <c r="Y28" s="8">
        <f t="shared" si="31"/>
        <v>0.117999999999995</v>
      </c>
      <c r="Z28" s="10">
        <f t="shared" si="32"/>
        <v>0.36225999999998465</v>
      </c>
      <c r="AA28" s="15"/>
      <c r="AB28" s="7">
        <f t="shared" si="33"/>
        <v>19789000.000000026</v>
      </c>
      <c r="AC28" s="8">
        <f t="shared" si="33"/>
        <v>19.789000000000026</v>
      </c>
      <c r="AD28" s="8">
        <f t="shared" si="33"/>
        <v>60.752230000000083</v>
      </c>
    </row>
    <row r="29" spans="1:30" x14ac:dyDescent="0.15">
      <c r="A29" s="27">
        <v>43245</v>
      </c>
      <c r="B29" s="7">
        <f>'[3]Production Summary'!J60</f>
        <v>17200000.000000045</v>
      </c>
      <c r="C29" s="8">
        <f t="shared" si="17"/>
        <v>17.200000000000045</v>
      </c>
      <c r="D29" s="10">
        <f t="shared" si="18"/>
        <v>52.804000000000137</v>
      </c>
      <c r="E29" s="7">
        <f>'[3]Production Summary'!E60</f>
        <v>20000000</v>
      </c>
      <c r="F29" s="8">
        <f t="shared" si="19"/>
        <v>20</v>
      </c>
      <c r="G29" s="10">
        <f t="shared" si="20"/>
        <v>61.4</v>
      </c>
      <c r="H29" s="7">
        <f>'[3]Production Summary'!G60</f>
        <v>10000</v>
      </c>
      <c r="I29" s="8">
        <f t="shared" si="21"/>
        <v>0.01</v>
      </c>
      <c r="J29" s="10">
        <f t="shared" si="22"/>
        <v>3.0699999999999998E-2</v>
      </c>
      <c r="K29" s="7">
        <f>'[3]Production Summary'!T60</f>
        <v>1948086</v>
      </c>
      <c r="L29" s="8">
        <f t="shared" si="23"/>
        <v>1.948086</v>
      </c>
      <c r="M29" s="10">
        <f t="shared" si="24"/>
        <v>5.9806240199999996</v>
      </c>
      <c r="N29" s="21"/>
      <c r="O29" s="7">
        <f>'[3]Production Summary'!I60</f>
        <v>4929000</v>
      </c>
      <c r="P29" s="8">
        <f t="shared" si="25"/>
        <v>4.9290000000000003</v>
      </c>
      <c r="Q29" s="10">
        <f t="shared" si="26"/>
        <v>15.13203</v>
      </c>
      <c r="R29" s="7">
        <f>'[3]Production Summary'!C60</f>
        <v>5063000</v>
      </c>
      <c r="S29" s="8">
        <f t="shared" si="27"/>
        <v>5.0629999999999997</v>
      </c>
      <c r="T29" s="10">
        <f t="shared" si="28"/>
        <v>15.543409999999998</v>
      </c>
      <c r="U29" s="7">
        <f>'[3]Production Summary'!F60</f>
        <v>0</v>
      </c>
      <c r="V29" s="8">
        <f t="shared" si="29"/>
        <v>0</v>
      </c>
      <c r="W29" s="10">
        <f t="shared" si="30"/>
        <v>0</v>
      </c>
      <c r="X29" s="7">
        <f>'[3]Production Summary'!AB60</f>
        <v>131000.00000000023</v>
      </c>
      <c r="Y29" s="8">
        <f t="shared" si="31"/>
        <v>0.13100000000000023</v>
      </c>
      <c r="Z29" s="10">
        <f t="shared" si="32"/>
        <v>0.40217000000000069</v>
      </c>
      <c r="AA29" s="15"/>
      <c r="AB29" s="7">
        <f t="shared" si="33"/>
        <v>22129000.000000045</v>
      </c>
      <c r="AC29" s="8">
        <f t="shared" si="33"/>
        <v>22.129000000000048</v>
      </c>
      <c r="AD29" s="8">
        <f t="shared" si="33"/>
        <v>67.93603000000013</v>
      </c>
    </row>
    <row r="30" spans="1:30" x14ac:dyDescent="0.15">
      <c r="A30" s="27">
        <v>43246</v>
      </c>
      <c r="B30" s="7">
        <f>'[3]Production Summary'!J61</f>
        <v>17099999.999999911</v>
      </c>
      <c r="C30" s="8">
        <f t="shared" si="17"/>
        <v>17.099999999999909</v>
      </c>
      <c r="D30" s="10">
        <f t="shared" si="18"/>
        <v>52.496999999999716</v>
      </c>
      <c r="E30" s="7">
        <f>'[3]Production Summary'!E61</f>
        <v>19000000</v>
      </c>
      <c r="F30" s="8">
        <f t="shared" si="19"/>
        <v>19</v>
      </c>
      <c r="G30" s="10">
        <f t="shared" si="20"/>
        <v>58.33</v>
      </c>
      <c r="H30" s="7">
        <f>'[3]Production Summary'!G61</f>
        <v>10000</v>
      </c>
      <c r="I30" s="8">
        <f t="shared" si="21"/>
        <v>0.01</v>
      </c>
      <c r="J30" s="10">
        <f t="shared" si="22"/>
        <v>3.0699999999999998E-2</v>
      </c>
      <c r="K30" s="7">
        <f>'[3]Production Summary'!T61</f>
        <v>1956645</v>
      </c>
      <c r="L30" s="8">
        <f t="shared" si="23"/>
        <v>1.956645</v>
      </c>
      <c r="M30" s="10">
        <f t="shared" si="24"/>
        <v>6.0069001499999999</v>
      </c>
      <c r="N30" s="21"/>
      <c r="O30" s="7">
        <f>'[3]Production Summary'!I61</f>
        <v>4906999.9999999953</v>
      </c>
      <c r="P30" s="8">
        <f t="shared" si="25"/>
        <v>4.9069999999999956</v>
      </c>
      <c r="Q30" s="10">
        <f t="shared" si="26"/>
        <v>15.064489999999985</v>
      </c>
      <c r="R30" s="7">
        <f>'[3]Production Summary'!C61</f>
        <v>5042000</v>
      </c>
      <c r="S30" s="8">
        <f t="shared" si="27"/>
        <v>5.0419999999999998</v>
      </c>
      <c r="T30" s="10">
        <f t="shared" si="28"/>
        <v>15.478939999999998</v>
      </c>
      <c r="U30" s="7">
        <f>'[3]Production Summary'!F61</f>
        <v>0</v>
      </c>
      <c r="V30" s="8">
        <f t="shared" si="29"/>
        <v>0</v>
      </c>
      <c r="W30" s="10">
        <f t="shared" si="30"/>
        <v>0</v>
      </c>
      <c r="X30" s="7">
        <f>'[3]Production Summary'!AB61</f>
        <v>132000.00000000501</v>
      </c>
      <c r="Y30" s="8">
        <f t="shared" si="31"/>
        <v>0.132000000000005</v>
      </c>
      <c r="Z30" s="10">
        <f t="shared" si="32"/>
        <v>0.40524000000001531</v>
      </c>
      <c r="AA30" s="15"/>
      <c r="AB30" s="7">
        <f t="shared" si="33"/>
        <v>22006999.999999907</v>
      </c>
      <c r="AC30" s="8">
        <f t="shared" si="33"/>
        <v>22.006999999999906</v>
      </c>
      <c r="AD30" s="8">
        <f t="shared" si="33"/>
        <v>67.561489999999708</v>
      </c>
    </row>
    <row r="31" spans="1:30" x14ac:dyDescent="0.15">
      <c r="A31" s="27">
        <v>43247</v>
      </c>
      <c r="B31" s="7">
        <f>'[3]Production Summary'!J62</f>
        <v>18900000.000000089</v>
      </c>
      <c r="C31" s="8">
        <f t="shared" si="17"/>
        <v>18.900000000000091</v>
      </c>
      <c r="D31" s="10">
        <f t="shared" si="18"/>
        <v>58.023000000000273</v>
      </c>
      <c r="E31" s="7">
        <f>'[3]Production Summary'!E62</f>
        <v>21000000</v>
      </c>
      <c r="F31" s="8">
        <f t="shared" si="19"/>
        <v>21</v>
      </c>
      <c r="G31" s="10">
        <f t="shared" si="20"/>
        <v>64.47</v>
      </c>
      <c r="H31" s="7">
        <f>'[3]Production Summary'!G62</f>
        <v>10000</v>
      </c>
      <c r="I31" s="8">
        <f t="shared" si="21"/>
        <v>0.01</v>
      </c>
      <c r="J31" s="10">
        <f t="shared" si="22"/>
        <v>3.0699999999999998E-2</v>
      </c>
      <c r="K31" s="7">
        <f>'[3]Production Summary'!T62</f>
        <v>1905369</v>
      </c>
      <c r="L31" s="8">
        <f t="shared" si="23"/>
        <v>1.9053690000000001</v>
      </c>
      <c r="M31" s="10">
        <f t="shared" si="24"/>
        <v>5.8494828300000004</v>
      </c>
      <c r="N31" s="21"/>
      <c r="O31" s="7">
        <f>'[3]Production Summary'!I62</f>
        <v>4897000.0000000028</v>
      </c>
      <c r="P31" s="8">
        <f t="shared" si="25"/>
        <v>4.8970000000000029</v>
      </c>
      <c r="Q31" s="10">
        <f t="shared" si="26"/>
        <v>15.033790000000009</v>
      </c>
      <c r="R31" s="7">
        <f>'[3]Production Summary'!C62</f>
        <v>5086000</v>
      </c>
      <c r="S31" s="8">
        <f t="shared" si="27"/>
        <v>5.0860000000000003</v>
      </c>
      <c r="T31" s="10">
        <f t="shared" si="28"/>
        <v>15.61402</v>
      </c>
      <c r="U31" s="7">
        <f>'[3]Production Summary'!F62</f>
        <v>0</v>
      </c>
      <c r="V31" s="8">
        <f t="shared" si="29"/>
        <v>0</v>
      </c>
      <c r="W31" s="10">
        <f t="shared" si="30"/>
        <v>0</v>
      </c>
      <c r="X31" s="7">
        <f>'[3]Production Summary'!AB62</f>
        <v>183999.9999999975</v>
      </c>
      <c r="Y31" s="8">
        <f t="shared" si="31"/>
        <v>0.1839999999999975</v>
      </c>
      <c r="Z31" s="10">
        <f t="shared" si="32"/>
        <v>0.56487999999999228</v>
      </c>
      <c r="AA31" s="15"/>
      <c r="AB31" s="7">
        <f t="shared" si="33"/>
        <v>23797000.000000093</v>
      </c>
      <c r="AC31" s="8">
        <f t="shared" si="33"/>
        <v>23.797000000000093</v>
      </c>
      <c r="AD31" s="8">
        <f t="shared" si="33"/>
        <v>73.056790000000277</v>
      </c>
    </row>
    <row r="32" spans="1:30" x14ac:dyDescent="0.15">
      <c r="A32" s="27">
        <v>43248</v>
      </c>
      <c r="B32" s="7">
        <f>'[3]Production Summary'!J63</f>
        <v>16899999.999999978</v>
      </c>
      <c r="C32" s="8">
        <f t="shared" si="17"/>
        <v>16.899999999999977</v>
      </c>
      <c r="D32" s="10">
        <f t="shared" si="18"/>
        <v>51.882999999999925</v>
      </c>
      <c r="E32" s="7">
        <f>'[3]Production Summary'!E63</f>
        <v>14000000</v>
      </c>
      <c r="F32" s="8">
        <f t="shared" si="19"/>
        <v>14</v>
      </c>
      <c r="G32" s="10">
        <f t="shared" si="20"/>
        <v>42.98</v>
      </c>
      <c r="H32" s="7">
        <f>'[3]Production Summary'!G63</f>
        <v>5040000</v>
      </c>
      <c r="I32" s="8">
        <f t="shared" si="21"/>
        <v>5.04</v>
      </c>
      <c r="J32" s="10">
        <f t="shared" si="22"/>
        <v>15.472799999999999</v>
      </c>
      <c r="K32" s="7">
        <f>'[3]Production Summary'!T63</f>
        <v>1679348</v>
      </c>
      <c r="L32" s="8">
        <f t="shared" si="23"/>
        <v>1.6793480000000001</v>
      </c>
      <c r="M32" s="10">
        <f t="shared" si="24"/>
        <v>5.1555983599999999</v>
      </c>
      <c r="N32" s="21"/>
      <c r="O32" s="7">
        <f>'[3]Production Summary'!I63</f>
        <v>4951000.0000000065</v>
      </c>
      <c r="P32" s="8">
        <f t="shared" si="25"/>
        <v>4.9510000000000067</v>
      </c>
      <c r="Q32" s="10">
        <f t="shared" si="26"/>
        <v>15.199570000000019</v>
      </c>
      <c r="R32" s="7">
        <f>'[3]Production Summary'!C63</f>
        <v>5151000</v>
      </c>
      <c r="S32" s="8">
        <f t="shared" si="27"/>
        <v>5.1509999999999998</v>
      </c>
      <c r="T32" s="10">
        <f t="shared" si="28"/>
        <v>15.813569999999999</v>
      </c>
      <c r="U32" s="7">
        <f>'[3]Production Summary'!F63</f>
        <v>0</v>
      </c>
      <c r="V32" s="8">
        <f t="shared" si="29"/>
        <v>0</v>
      </c>
      <c r="W32" s="10">
        <f t="shared" si="30"/>
        <v>0</v>
      </c>
      <c r="X32" s="7">
        <f>'[3]Production Summary'!AB63</f>
        <v>194999.99999999319</v>
      </c>
      <c r="Y32" s="8">
        <f t="shared" si="31"/>
        <v>0.19499999999999318</v>
      </c>
      <c r="Z32" s="10">
        <f t="shared" si="32"/>
        <v>0.59864999999997903</v>
      </c>
      <c r="AA32" s="15"/>
      <c r="AB32" s="7">
        <f t="shared" si="33"/>
        <v>21850999.999999985</v>
      </c>
      <c r="AC32" s="8">
        <f t="shared" si="33"/>
        <v>21.850999999999985</v>
      </c>
      <c r="AD32" s="8">
        <f t="shared" si="33"/>
        <v>67.082569999999947</v>
      </c>
    </row>
    <row r="33" spans="1:30" x14ac:dyDescent="0.15">
      <c r="A33" s="27">
        <v>43249</v>
      </c>
      <c r="B33" s="7">
        <f>'[3]Production Summary'!J64</f>
        <v>14199999.999999931</v>
      </c>
      <c r="C33" s="8">
        <f t="shared" si="17"/>
        <v>14.199999999999932</v>
      </c>
      <c r="D33" s="10">
        <f t="shared" si="18"/>
        <v>43.593999999999788</v>
      </c>
      <c r="E33" s="7">
        <f>'[3]Production Summary'!E64</f>
        <v>7000000</v>
      </c>
      <c r="F33" s="8">
        <f t="shared" si="19"/>
        <v>7</v>
      </c>
      <c r="G33" s="10">
        <f t="shared" si="20"/>
        <v>21.49</v>
      </c>
      <c r="H33" s="7">
        <f>'[3]Production Summary'!G64</f>
        <v>7750000</v>
      </c>
      <c r="I33" s="8">
        <f t="shared" si="21"/>
        <v>7.75</v>
      </c>
      <c r="J33" s="10">
        <f t="shared" si="22"/>
        <v>23.7925</v>
      </c>
      <c r="K33" s="7">
        <f>'[3]Production Summary'!T64</f>
        <v>1568510</v>
      </c>
      <c r="L33" s="8">
        <f t="shared" si="23"/>
        <v>1.5685100000000001</v>
      </c>
      <c r="M33" s="10">
        <f t="shared" si="24"/>
        <v>4.8153256999999998</v>
      </c>
      <c r="N33" s="21"/>
      <c r="O33" s="7">
        <f>'[3]Production Summary'!I64</f>
        <v>5051000</v>
      </c>
      <c r="P33" s="8">
        <f t="shared" si="25"/>
        <v>5.0510000000000002</v>
      </c>
      <c r="Q33" s="10">
        <f t="shared" si="26"/>
        <v>15.50657</v>
      </c>
      <c r="R33" s="7">
        <f>'[3]Production Summary'!C64</f>
        <v>5051000</v>
      </c>
      <c r="S33" s="8">
        <f t="shared" si="27"/>
        <v>5.0510000000000002</v>
      </c>
      <c r="T33" s="10">
        <f t="shared" si="28"/>
        <v>15.50657</v>
      </c>
      <c r="U33" s="7">
        <f>'[3]Production Summary'!F64</f>
        <v>0</v>
      </c>
      <c r="V33" s="8">
        <f t="shared" si="29"/>
        <v>0</v>
      </c>
      <c r="W33" s="10">
        <f t="shared" si="30"/>
        <v>0</v>
      </c>
      <c r="X33" s="7">
        <f>'[3]Production Summary'!AB64</f>
        <v>0</v>
      </c>
      <c r="Y33" s="8">
        <f t="shared" si="31"/>
        <v>0</v>
      </c>
      <c r="Z33" s="10">
        <f t="shared" si="32"/>
        <v>0</v>
      </c>
      <c r="AA33" s="15"/>
      <c r="AB33" s="7">
        <f t="shared" si="33"/>
        <v>19250999.999999933</v>
      </c>
      <c r="AC33" s="8">
        <f t="shared" si="33"/>
        <v>19.250999999999934</v>
      </c>
      <c r="AD33" s="8">
        <f t="shared" si="33"/>
        <v>59.100569999999792</v>
      </c>
    </row>
    <row r="34" spans="1:30" x14ac:dyDescent="0.15">
      <c r="A34" s="27">
        <v>43250</v>
      </c>
      <c r="B34" s="7">
        <f>'[3]Production Summary'!J65</f>
        <v>16500000</v>
      </c>
      <c r="C34" s="8">
        <f t="shared" si="17"/>
        <v>16.5</v>
      </c>
      <c r="D34" s="10">
        <f t="shared" si="18"/>
        <v>50.654999999999994</v>
      </c>
      <c r="E34" s="7">
        <f>'[3]Production Summary'!E65</f>
        <v>10000000</v>
      </c>
      <c r="F34" s="8">
        <f t="shared" si="19"/>
        <v>10</v>
      </c>
      <c r="G34" s="10">
        <f t="shared" si="20"/>
        <v>30.7</v>
      </c>
      <c r="H34" s="7">
        <f>'[3]Production Summary'!G65</f>
        <v>9550000</v>
      </c>
      <c r="I34" s="8">
        <f t="shared" si="21"/>
        <v>9.5500000000000007</v>
      </c>
      <c r="J34" s="10">
        <f t="shared" si="22"/>
        <v>29.3185</v>
      </c>
      <c r="K34" s="7">
        <f>'[3]Production Summary'!T65</f>
        <v>1849502</v>
      </c>
      <c r="L34" s="8">
        <f t="shared" si="23"/>
        <v>1.849502</v>
      </c>
      <c r="M34" s="10">
        <f t="shared" si="24"/>
        <v>5.6779711399999995</v>
      </c>
      <c r="N34" s="21"/>
      <c r="O34" s="7">
        <f>'[3]Production Summary'!I65</f>
        <v>5020000.0000000028</v>
      </c>
      <c r="P34" s="8">
        <f t="shared" si="25"/>
        <v>5.0200000000000031</v>
      </c>
      <c r="Q34" s="10">
        <f t="shared" si="26"/>
        <v>15.411400000000009</v>
      </c>
      <c r="R34" s="7">
        <f>'[3]Production Summary'!C65</f>
        <v>5209000</v>
      </c>
      <c r="S34" s="8">
        <f t="shared" si="27"/>
        <v>5.2089999999999996</v>
      </c>
      <c r="T34" s="10">
        <f t="shared" si="28"/>
        <v>15.991629999999999</v>
      </c>
      <c r="U34" s="7">
        <f>'[3]Production Summary'!F65</f>
        <v>0</v>
      </c>
      <c r="V34" s="8">
        <f t="shared" si="29"/>
        <v>0</v>
      </c>
      <c r="W34" s="10">
        <f t="shared" si="30"/>
        <v>0</v>
      </c>
      <c r="X34" s="7">
        <f>'[3]Production Summary'!AB65</f>
        <v>183999.9999999975</v>
      </c>
      <c r="Y34" s="8">
        <f t="shared" si="31"/>
        <v>0.1839999999999975</v>
      </c>
      <c r="Z34" s="10">
        <f t="shared" si="32"/>
        <v>0.56487999999999228</v>
      </c>
      <c r="AA34" s="15"/>
      <c r="AB34" s="7">
        <f t="shared" si="33"/>
        <v>21520000.000000004</v>
      </c>
      <c r="AC34" s="8">
        <f t="shared" si="33"/>
        <v>21.520000000000003</v>
      </c>
      <c r="AD34" s="8">
        <f t="shared" si="33"/>
        <v>66.066400000000002</v>
      </c>
    </row>
    <row r="35" spans="1:30" ht="14" thickBot="1" x14ac:dyDescent="0.2">
      <c r="A35" s="27">
        <v>43251</v>
      </c>
      <c r="B35" s="7">
        <f>'[3]Production Summary'!J66</f>
        <v>19200000.000000045</v>
      </c>
      <c r="C35" s="8">
        <f t="shared" si="17"/>
        <v>19.200000000000045</v>
      </c>
      <c r="D35" s="10">
        <f t="shared" si="18"/>
        <v>58.944000000000138</v>
      </c>
      <c r="E35" s="7">
        <f>'[3]Production Summary'!E66</f>
        <v>13000000</v>
      </c>
      <c r="F35" s="8">
        <f t="shared" si="19"/>
        <v>13</v>
      </c>
      <c r="G35" s="10">
        <f t="shared" si="20"/>
        <v>39.909999999999997</v>
      </c>
      <c r="H35" s="7">
        <f>'[3]Production Summary'!G66</f>
        <v>7470000</v>
      </c>
      <c r="I35" s="8">
        <f t="shared" si="21"/>
        <v>7.47</v>
      </c>
      <c r="J35" s="10">
        <f t="shared" si="22"/>
        <v>22.932899999999997</v>
      </c>
      <c r="K35" s="7">
        <f>'[3]Production Summary'!T66</f>
        <v>1884394</v>
      </c>
      <c r="L35" s="8">
        <f t="shared" si="23"/>
        <v>1.8843939999999999</v>
      </c>
      <c r="M35" s="10">
        <f t="shared" si="24"/>
        <v>5.7850895799999993</v>
      </c>
      <c r="N35" s="21"/>
      <c r="O35" s="7">
        <f>'[3]Production Summary'!I66</f>
        <v>5134999.9999999925</v>
      </c>
      <c r="P35" s="8">
        <f t="shared" si="25"/>
        <v>5.1349999999999927</v>
      </c>
      <c r="Q35" s="10">
        <f t="shared" si="26"/>
        <v>15.764449999999977</v>
      </c>
      <c r="R35" s="7">
        <f>'[3]Production Summary'!C66</f>
        <v>5464000</v>
      </c>
      <c r="S35" s="8">
        <f t="shared" si="27"/>
        <v>5.4640000000000004</v>
      </c>
      <c r="T35" s="10">
        <f t="shared" si="28"/>
        <v>16.774480000000001</v>
      </c>
      <c r="U35" s="7">
        <f>'[3]Production Summary'!F66</f>
        <v>0</v>
      </c>
      <c r="V35" s="8">
        <f t="shared" si="29"/>
        <v>0</v>
      </c>
      <c r="W35" s="10">
        <f t="shared" si="30"/>
        <v>0</v>
      </c>
      <c r="X35" s="7">
        <f>'[3]Production Summary'!AB66</f>
        <v>323000.00000000751</v>
      </c>
      <c r="Y35" s="8">
        <f t="shared" si="31"/>
        <v>0.3230000000000075</v>
      </c>
      <c r="Z35" s="10">
        <f t="shared" si="32"/>
        <v>0.99161000000002297</v>
      </c>
      <c r="AA35" s="15"/>
      <c r="AB35" s="7">
        <f t="shared" si="33"/>
        <v>24335000.000000037</v>
      </c>
      <c r="AC35" s="8">
        <f t="shared" si="33"/>
        <v>24.335000000000036</v>
      </c>
      <c r="AD35" s="8">
        <f t="shared" si="33"/>
        <v>74.708450000000113</v>
      </c>
    </row>
    <row r="36" spans="1:30" s="18" customFormat="1" ht="14" thickBot="1" x14ac:dyDescent="0.2">
      <c r="A36" s="15"/>
      <c r="B36" s="37"/>
      <c r="C36" s="38">
        <f>SUM(C5:C35)</f>
        <v>482</v>
      </c>
      <c r="D36" s="38">
        <f t="shared" ref="D36" si="34">C36*3.07</f>
        <v>1479.74</v>
      </c>
      <c r="E36" s="37"/>
      <c r="F36" s="38">
        <f>SUM(F5:F35)</f>
        <v>508</v>
      </c>
      <c r="G36" s="38">
        <f t="shared" ref="G36" si="35">F36*3.07</f>
        <v>1559.56</v>
      </c>
      <c r="H36" s="37"/>
      <c r="I36" s="38">
        <f>SUM(I5:I35)</f>
        <v>30.02</v>
      </c>
      <c r="J36" s="38">
        <f t="shared" ref="J36" si="36">I36*3.07</f>
        <v>92.1614</v>
      </c>
      <c r="K36" s="37"/>
      <c r="L36" s="38">
        <f>SUM(L5:L35)</f>
        <v>51.249037000000008</v>
      </c>
      <c r="M36" s="38">
        <f>L36*3.07</f>
        <v>157.33454359000001</v>
      </c>
      <c r="N36" s="14"/>
      <c r="O36" s="37"/>
      <c r="P36" s="38">
        <f>SUM(P5:P35)</f>
        <v>160.13699999999997</v>
      </c>
      <c r="Q36" s="38">
        <f t="shared" ref="Q36" si="37">P36*3.07</f>
        <v>491.62058999999988</v>
      </c>
      <c r="R36" s="37"/>
      <c r="S36" s="38">
        <f>SUM(S5:S35)</f>
        <v>164.74</v>
      </c>
      <c r="T36" s="38">
        <f t="shared" ref="T36" si="38">S36*3.07</f>
        <v>505.7518</v>
      </c>
      <c r="U36" s="37"/>
      <c r="V36" s="38">
        <f>SUM(V5:V35)</f>
        <v>0</v>
      </c>
      <c r="W36" s="38">
        <f>V36*3.07</f>
        <v>0</v>
      </c>
      <c r="X36" s="37"/>
      <c r="Y36" s="38">
        <f>SUM(Y5:Y35)</f>
        <v>4.4920000000000044</v>
      </c>
      <c r="Z36" s="38">
        <f>Y36*3.07</f>
        <v>13.790440000000013</v>
      </c>
      <c r="AA36" s="14"/>
      <c r="AB36" s="37"/>
      <c r="AC36" s="38">
        <f>SUM(AC5:AC35)</f>
        <v>642.13700000000017</v>
      </c>
      <c r="AD36" s="38">
        <f>AC36*3.07</f>
        <v>1971.3605900000005</v>
      </c>
    </row>
    <row r="37" spans="1:30" x14ac:dyDescent="0.15">
      <c r="C37" s="18"/>
      <c r="E37" s="3"/>
      <c r="F37" s="3"/>
      <c r="G37" s="3"/>
      <c r="H37" s="3"/>
      <c r="I37" s="3"/>
      <c r="J37" s="15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  <c r="W37" s="29"/>
    </row>
    <row r="38" spans="1:30" x14ac:dyDescent="0.15">
      <c r="F38" s="18">
        <f>G36-330</f>
        <v>1229.56</v>
      </c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paperSize="5" scale="60" orientation="landscape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pageSetUpPr fitToPage="1"/>
  </sheetPr>
  <dimension ref="A1:AD43"/>
  <sheetViews>
    <sheetView workbookViewId="0">
      <pane xSplit="1" ySplit="4" topLeftCell="N20" activePane="bottomRight" state="frozen"/>
      <selection activeCell="W33" sqref="W33:W35"/>
      <selection pane="topRight" activeCell="W33" sqref="W33:W35"/>
      <selection pane="bottomLeft" activeCell="W33" sqref="W33:W35"/>
      <selection pane="bottomRight" activeCell="W39" sqref="W39"/>
    </sheetView>
  </sheetViews>
  <sheetFormatPr baseColWidth="10" defaultColWidth="8.83203125" defaultRowHeight="13" x14ac:dyDescent="0.15"/>
  <cols>
    <col min="2" max="2" width="11.1640625" customWidth="1"/>
    <col min="5" max="5" width="15.33203125" customWidth="1"/>
    <col min="7" max="7" width="11.5" customWidth="1"/>
    <col min="8" max="8" width="13.6640625" customWidth="1"/>
    <col min="11" max="11" width="11.6640625" bestFit="1" customWidth="1"/>
    <col min="12" max="12" width="11" customWidth="1"/>
    <col min="15" max="15" width="13.5" bestFit="1" customWidth="1"/>
    <col min="18" max="18" width="10.1640625" customWidth="1"/>
    <col min="19" max="21" width="9.1640625" customWidth="1"/>
    <col min="22" max="22" width="11.1640625" customWidth="1"/>
    <col min="23" max="23" width="9.1640625" customWidth="1"/>
    <col min="28" max="28" width="12.1640625" customWidth="1"/>
  </cols>
  <sheetData>
    <row r="1" spans="1:30" x14ac:dyDescent="0.15">
      <c r="A1" s="41"/>
      <c r="B1" s="39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0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0" ht="60.75" customHeight="1" thickBot="1" x14ac:dyDescent="0.2">
      <c r="A3" s="3"/>
      <c r="B3" s="59" t="s">
        <v>10</v>
      </c>
      <c r="C3" s="60"/>
      <c r="D3" s="61"/>
      <c r="E3" s="59" t="s">
        <v>11</v>
      </c>
      <c r="F3" s="60"/>
      <c r="G3" s="61"/>
      <c r="H3" s="59" t="s">
        <v>12</v>
      </c>
      <c r="I3" s="60"/>
      <c r="J3" s="61"/>
      <c r="K3" s="59" t="s">
        <v>13</v>
      </c>
      <c r="L3" s="60"/>
      <c r="M3" s="61"/>
      <c r="N3" s="19"/>
      <c r="O3" s="59" t="s">
        <v>4</v>
      </c>
      <c r="P3" s="60"/>
      <c r="Q3" s="61"/>
      <c r="R3" s="59" t="s">
        <v>3</v>
      </c>
      <c r="S3" s="60"/>
      <c r="T3" s="61"/>
      <c r="U3" s="59" t="s">
        <v>15</v>
      </c>
      <c r="V3" s="60"/>
      <c r="W3" s="61"/>
      <c r="X3" s="59" t="s">
        <v>7</v>
      </c>
      <c r="Y3" s="60"/>
      <c r="Z3" s="61"/>
      <c r="AA3" s="19"/>
      <c r="AB3" s="56" t="s">
        <v>8</v>
      </c>
      <c r="AC3" s="57"/>
      <c r="AD3" s="58"/>
    </row>
    <row r="4" spans="1:30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</row>
    <row r="5" spans="1:30" x14ac:dyDescent="0.15">
      <c r="A5" s="27">
        <v>43252</v>
      </c>
      <c r="B5" s="7">
        <f>'[3]Production Summary'!J67</f>
        <v>24299999.999999955</v>
      </c>
      <c r="C5" s="8">
        <f t="shared" ref="C5" si="0">B5/1000000</f>
        <v>24.299999999999955</v>
      </c>
      <c r="D5" s="10">
        <f t="shared" ref="D5" si="1">C5*3.07</f>
        <v>74.600999999999857</v>
      </c>
      <c r="E5" s="7">
        <f>'[3]Production Summary'!E67</f>
        <v>14000000</v>
      </c>
      <c r="F5" s="8">
        <f t="shared" ref="F5" si="2">E5/1000000</f>
        <v>14</v>
      </c>
      <c r="G5" s="10">
        <f t="shared" ref="G5" si="3">F5*3.07</f>
        <v>42.98</v>
      </c>
      <c r="H5" s="7">
        <f>'[3]Production Summary'!G67</f>
        <v>13210000</v>
      </c>
      <c r="I5" s="8">
        <f t="shared" ref="I5" si="4">H5/1000000</f>
        <v>13.21</v>
      </c>
      <c r="J5" s="10">
        <f t="shared" ref="J5" si="5">I5*3.07</f>
        <v>40.554700000000004</v>
      </c>
      <c r="K5" s="7">
        <f>'[3]Production Summary'!T67</f>
        <v>2564631</v>
      </c>
      <c r="L5" s="8">
        <f t="shared" ref="L5" si="6">K5/1000000</f>
        <v>2.5646309999999999</v>
      </c>
      <c r="M5" s="10">
        <f t="shared" ref="M5" si="7">L5*3.07</f>
        <v>7.8734171699999989</v>
      </c>
      <c r="N5" s="21"/>
      <c r="O5" s="7">
        <f>'[3]Production Summary'!I67</f>
        <v>5701999.9999999953</v>
      </c>
      <c r="P5" s="8">
        <f t="shared" ref="P5" si="8">O5/1000000</f>
        <v>5.7019999999999955</v>
      </c>
      <c r="Q5" s="10">
        <f t="shared" ref="Q5" si="9">P5*3.07</f>
        <v>17.505139999999987</v>
      </c>
      <c r="R5" s="7">
        <f>'[3]Production Summary'!C67</f>
        <v>5823000</v>
      </c>
      <c r="S5" s="8">
        <f t="shared" ref="S5" si="10">R5/1000000</f>
        <v>5.8230000000000004</v>
      </c>
      <c r="T5" s="10">
        <f t="shared" ref="T5" si="11">S5*3.07</f>
        <v>17.876609999999999</v>
      </c>
      <c r="U5" s="7">
        <f>'[3]Production Summary'!F67</f>
        <v>0</v>
      </c>
      <c r="V5" s="8">
        <f t="shared" ref="V5" si="12">U5/1000000</f>
        <v>0</v>
      </c>
      <c r="W5" s="10">
        <f t="shared" ref="W5" si="13">V5*3.07</f>
        <v>0</v>
      </c>
      <c r="X5" s="7">
        <f>'[3]Production Summary'!AB67</f>
        <v>117000.00000000444</v>
      </c>
      <c r="Y5" s="8">
        <f t="shared" ref="Y5" si="14">X5/1000000</f>
        <v>0.11700000000000443</v>
      </c>
      <c r="Z5" s="10">
        <f t="shared" ref="Z5" si="15">Y5*3.07</f>
        <v>0.35919000000001361</v>
      </c>
      <c r="AA5" s="15"/>
      <c r="AB5" s="7">
        <f>B5+O5</f>
        <v>30001999.999999952</v>
      </c>
      <c r="AC5" s="8">
        <f>C5+P5</f>
        <v>30.001999999999949</v>
      </c>
      <c r="AD5" s="8">
        <f>D5+Q5</f>
        <v>92.10613999999984</v>
      </c>
    </row>
    <row r="6" spans="1:30" x14ac:dyDescent="0.15">
      <c r="A6" s="27">
        <v>43253</v>
      </c>
      <c r="B6" s="7">
        <f>'[3]Production Summary'!J68</f>
        <v>21100000.000000138</v>
      </c>
      <c r="C6" s="8">
        <f t="shared" ref="C6:C34" si="16">B6/1000000</f>
        <v>21.100000000000136</v>
      </c>
      <c r="D6" s="10">
        <f t="shared" ref="D6:D34" si="17">C6*3.07</f>
        <v>64.777000000000413</v>
      </c>
      <c r="E6" s="7">
        <f>'[3]Production Summary'!E68</f>
        <v>13000000</v>
      </c>
      <c r="F6" s="8">
        <f t="shared" ref="F6:F34" si="18">E6/1000000</f>
        <v>13</v>
      </c>
      <c r="G6" s="10">
        <f t="shared" ref="G6:G34" si="19">F6*3.07</f>
        <v>39.909999999999997</v>
      </c>
      <c r="H6" s="7">
        <f>'[3]Production Summary'!G68</f>
        <v>10550000</v>
      </c>
      <c r="I6" s="8">
        <f t="shared" ref="I6:I34" si="20">H6/1000000</f>
        <v>10.55</v>
      </c>
      <c r="J6" s="10">
        <f t="shared" ref="J6:J34" si="21">I6*3.07</f>
        <v>32.388500000000001</v>
      </c>
      <c r="K6" s="7">
        <f>'[3]Production Summary'!T68</f>
        <v>2234196</v>
      </c>
      <c r="L6" s="8">
        <f t="shared" ref="L6:L34" si="22">K6/1000000</f>
        <v>2.2341959999999998</v>
      </c>
      <c r="M6" s="10">
        <f t="shared" ref="M6:M34" si="23">L6*3.07</f>
        <v>6.8589817199999992</v>
      </c>
      <c r="N6" s="21"/>
      <c r="O6" s="7">
        <f>'[3]Production Summary'!I68</f>
        <v>4864000.0000000065</v>
      </c>
      <c r="P6" s="8">
        <f t="shared" ref="P6:P34" si="24">O6/1000000</f>
        <v>4.8640000000000061</v>
      </c>
      <c r="Q6" s="10">
        <f t="shared" ref="Q6:Q34" si="25">P6*3.07</f>
        <v>14.932480000000018</v>
      </c>
      <c r="R6" s="7">
        <f>'[3]Production Summary'!C68</f>
        <v>5192000</v>
      </c>
      <c r="S6" s="8">
        <f t="shared" ref="S6:S34" si="26">R6/1000000</f>
        <v>5.1920000000000002</v>
      </c>
      <c r="T6" s="10">
        <f t="shared" ref="T6:T34" si="27">S6*3.07</f>
        <v>15.939439999999999</v>
      </c>
      <c r="U6" s="7">
        <f>'[3]Production Summary'!F68</f>
        <v>0</v>
      </c>
      <c r="V6" s="8">
        <f t="shared" ref="V6:V34" si="28">U6/1000000</f>
        <v>0</v>
      </c>
      <c r="W6" s="10">
        <f t="shared" ref="W6:W34" si="29">V6*3.07</f>
        <v>0</v>
      </c>
      <c r="X6" s="7">
        <f>'[3]Production Summary'!AB68</f>
        <v>319999.99999999319</v>
      </c>
      <c r="Y6" s="8">
        <f t="shared" ref="Y6:Y34" si="30">X6/1000000</f>
        <v>0.31999999999999318</v>
      </c>
      <c r="Z6" s="10">
        <f t="shared" ref="Z6:Z34" si="31">Y6*3.07</f>
        <v>0.98239999999997896</v>
      </c>
      <c r="AA6" s="15"/>
      <c r="AB6" s="7">
        <f t="shared" ref="AB6:AB34" si="32">B6+O6</f>
        <v>25964000.000000145</v>
      </c>
      <c r="AC6" s="8">
        <f t="shared" ref="AC6:AC34" si="33">C6+P6</f>
        <v>25.964000000000141</v>
      </c>
      <c r="AD6" s="8">
        <f t="shared" ref="AD6:AD34" si="34">D6+Q6</f>
        <v>79.709480000000426</v>
      </c>
    </row>
    <row r="7" spans="1:30" x14ac:dyDescent="0.15">
      <c r="A7" s="27">
        <v>43254</v>
      </c>
      <c r="B7" s="7">
        <f>'[3]Production Summary'!J69</f>
        <v>21699999.999999817</v>
      </c>
      <c r="C7" s="8">
        <f t="shared" si="16"/>
        <v>21.699999999999818</v>
      </c>
      <c r="D7" s="10">
        <f t="shared" si="17"/>
        <v>66.618999999999431</v>
      </c>
      <c r="E7" s="7">
        <f>'[3]Production Summary'!E69</f>
        <v>13000000</v>
      </c>
      <c r="F7" s="8">
        <f t="shared" si="18"/>
        <v>13</v>
      </c>
      <c r="G7" s="10">
        <f t="shared" si="19"/>
        <v>39.909999999999997</v>
      </c>
      <c r="H7" s="7">
        <f>'[3]Production Summary'!G69</f>
        <v>10870000</v>
      </c>
      <c r="I7" s="8">
        <f t="shared" si="20"/>
        <v>10.87</v>
      </c>
      <c r="J7" s="10">
        <f t="shared" si="21"/>
        <v>33.370899999999999</v>
      </c>
      <c r="K7" s="7">
        <f>'[3]Production Summary'!T69</f>
        <v>2127161</v>
      </c>
      <c r="L7" s="8">
        <f t="shared" si="22"/>
        <v>2.1271610000000001</v>
      </c>
      <c r="M7" s="10">
        <f t="shared" si="23"/>
        <v>6.5303842699999999</v>
      </c>
      <c r="N7" s="21"/>
      <c r="O7" s="7">
        <f>'[3]Production Summary'!I69</f>
        <v>5216000.0000000047</v>
      </c>
      <c r="P7" s="8">
        <f t="shared" si="24"/>
        <v>5.2160000000000046</v>
      </c>
      <c r="Q7" s="10">
        <f t="shared" si="25"/>
        <v>16.013120000000015</v>
      </c>
      <c r="R7" s="7">
        <f>'[3]Production Summary'!C69</f>
        <v>5337000</v>
      </c>
      <c r="S7" s="8">
        <f t="shared" si="26"/>
        <v>5.3369999999999997</v>
      </c>
      <c r="T7" s="10">
        <f t="shared" si="27"/>
        <v>16.384589999999999</v>
      </c>
      <c r="U7" s="7">
        <f>'[3]Production Summary'!F69</f>
        <v>0</v>
      </c>
      <c r="V7" s="8">
        <f t="shared" si="28"/>
        <v>0</v>
      </c>
      <c r="W7" s="10">
        <f t="shared" si="29"/>
        <v>0</v>
      </c>
      <c r="X7" s="7">
        <f>'[3]Production Summary'!AB69</f>
        <v>117999.99999999499</v>
      </c>
      <c r="Y7" s="8">
        <f t="shared" si="30"/>
        <v>0.117999999999995</v>
      </c>
      <c r="Z7" s="10">
        <f t="shared" si="31"/>
        <v>0.36225999999998465</v>
      </c>
      <c r="AA7" s="15"/>
      <c r="AB7" s="7">
        <f t="shared" si="32"/>
        <v>26915999.999999821</v>
      </c>
      <c r="AC7" s="8">
        <f t="shared" si="33"/>
        <v>26.915999999999823</v>
      </c>
      <c r="AD7" s="8">
        <f t="shared" si="34"/>
        <v>82.632119999999446</v>
      </c>
    </row>
    <row r="8" spans="1:30" x14ac:dyDescent="0.15">
      <c r="A8" s="27">
        <v>43255</v>
      </c>
      <c r="B8" s="7">
        <f>'[3]Production Summary'!J70</f>
        <v>20300000.000000183</v>
      </c>
      <c r="C8" s="8">
        <f t="shared" si="16"/>
        <v>20.300000000000182</v>
      </c>
      <c r="D8" s="10">
        <f t="shared" si="17"/>
        <v>62.321000000000552</v>
      </c>
      <c r="E8" s="7">
        <f>'[3]Production Summary'!E70</f>
        <v>13000000</v>
      </c>
      <c r="F8" s="8">
        <f t="shared" si="18"/>
        <v>13</v>
      </c>
      <c r="G8" s="10">
        <f t="shared" si="19"/>
        <v>39.909999999999997</v>
      </c>
      <c r="H8" s="7">
        <f>'[3]Production Summary'!G70</f>
        <v>9960000</v>
      </c>
      <c r="I8" s="8">
        <f t="shared" si="20"/>
        <v>9.9600000000000009</v>
      </c>
      <c r="J8" s="10">
        <f t="shared" si="21"/>
        <v>30.577200000000001</v>
      </c>
      <c r="K8" s="7">
        <f>'[3]Production Summary'!T70</f>
        <v>2270147</v>
      </c>
      <c r="L8" s="8">
        <f t="shared" si="22"/>
        <v>2.2701470000000001</v>
      </c>
      <c r="M8" s="10">
        <f t="shared" si="23"/>
        <v>6.9693512899999996</v>
      </c>
      <c r="N8" s="21"/>
      <c r="O8" s="7">
        <f>'[3]Production Summary'!I70</f>
        <v>5112999.9999999925</v>
      </c>
      <c r="P8" s="8">
        <f t="shared" si="24"/>
        <v>5.1129999999999924</v>
      </c>
      <c r="Q8" s="10">
        <f t="shared" si="25"/>
        <v>15.696909999999976</v>
      </c>
      <c r="R8" s="7">
        <f>'[3]Production Summary'!C70</f>
        <v>5313000</v>
      </c>
      <c r="S8" s="8">
        <f t="shared" si="26"/>
        <v>5.3129999999999997</v>
      </c>
      <c r="T8" s="10">
        <f t="shared" si="27"/>
        <v>16.31091</v>
      </c>
      <c r="U8" s="7">
        <f>'[3]Production Summary'!F70</f>
        <v>0</v>
      </c>
      <c r="V8" s="8">
        <f t="shared" si="28"/>
        <v>0</v>
      </c>
      <c r="W8" s="10">
        <f t="shared" si="29"/>
        <v>0</v>
      </c>
      <c r="X8" s="7">
        <f>'[3]Production Summary'!AB70</f>
        <v>195000.00000000739</v>
      </c>
      <c r="Y8" s="8">
        <f t="shared" si="30"/>
        <v>0.19500000000000739</v>
      </c>
      <c r="Z8" s="10">
        <f t="shared" si="31"/>
        <v>0.59865000000002266</v>
      </c>
      <c r="AA8" s="15"/>
      <c r="AB8" s="7">
        <f t="shared" si="32"/>
        <v>25413000.000000175</v>
      </c>
      <c r="AC8" s="8">
        <f t="shared" si="33"/>
        <v>25.413000000000174</v>
      </c>
      <c r="AD8" s="8">
        <f t="shared" si="34"/>
        <v>78.017910000000526</v>
      </c>
    </row>
    <row r="9" spans="1:30" x14ac:dyDescent="0.15">
      <c r="A9" s="27">
        <v>43256</v>
      </c>
      <c r="B9" s="7">
        <f>'[3]Production Summary'!J71</f>
        <v>21099999.999999911</v>
      </c>
      <c r="C9" s="8">
        <f t="shared" si="16"/>
        <v>21.099999999999909</v>
      </c>
      <c r="D9" s="10">
        <f t="shared" si="17"/>
        <v>64.776999999999717</v>
      </c>
      <c r="E9" s="7">
        <f>'[3]Production Summary'!E71</f>
        <v>14000000</v>
      </c>
      <c r="F9" s="8">
        <f t="shared" si="18"/>
        <v>14</v>
      </c>
      <c r="G9" s="10">
        <f t="shared" si="19"/>
        <v>42.98</v>
      </c>
      <c r="H9" s="7">
        <f>'[3]Production Summary'!G71</f>
        <v>9920000</v>
      </c>
      <c r="I9" s="8">
        <f t="shared" si="20"/>
        <v>9.92</v>
      </c>
      <c r="J9" s="10">
        <f t="shared" si="21"/>
        <v>30.4544</v>
      </c>
      <c r="K9" s="7">
        <f>'[3]Production Summary'!T71</f>
        <v>2085290</v>
      </c>
      <c r="L9" s="8">
        <f t="shared" si="22"/>
        <v>2.0852900000000001</v>
      </c>
      <c r="M9" s="10">
        <f t="shared" si="23"/>
        <v>6.4018402999999999</v>
      </c>
      <c r="N9" s="21"/>
      <c r="O9" s="7">
        <f>'[3]Production Summary'!I71</f>
        <v>5064000.0000000009</v>
      </c>
      <c r="P9" s="8">
        <f t="shared" si="24"/>
        <v>5.0640000000000009</v>
      </c>
      <c r="Q9" s="10">
        <f t="shared" si="25"/>
        <v>15.546480000000003</v>
      </c>
      <c r="R9" s="7">
        <f>'[3]Production Summary'!C71</f>
        <v>5301000</v>
      </c>
      <c r="S9" s="8">
        <f t="shared" si="26"/>
        <v>5.3010000000000002</v>
      </c>
      <c r="T9" s="10">
        <f t="shared" si="27"/>
        <v>16.274069999999998</v>
      </c>
      <c r="U9" s="7">
        <f>'[3]Production Summary'!F71</f>
        <v>0</v>
      </c>
      <c r="V9" s="8">
        <f t="shared" si="28"/>
        <v>0</v>
      </c>
      <c r="W9" s="10">
        <f t="shared" si="29"/>
        <v>0</v>
      </c>
      <c r="X9" s="7">
        <f>'[3]Production Summary'!AB71</f>
        <v>231999.99999999933</v>
      </c>
      <c r="Y9" s="8">
        <f t="shared" si="30"/>
        <v>0.23199999999999932</v>
      </c>
      <c r="Z9" s="10">
        <f t="shared" si="31"/>
        <v>0.71223999999999787</v>
      </c>
      <c r="AA9" s="15"/>
      <c r="AB9" s="7">
        <f t="shared" si="32"/>
        <v>26163999.999999911</v>
      </c>
      <c r="AC9" s="8">
        <f t="shared" si="33"/>
        <v>26.163999999999909</v>
      </c>
      <c r="AD9" s="8">
        <f t="shared" si="34"/>
        <v>80.323479999999719</v>
      </c>
    </row>
    <row r="10" spans="1:30" x14ac:dyDescent="0.15">
      <c r="A10" s="27">
        <v>43257</v>
      </c>
      <c r="B10" s="7">
        <f>'[3]Production Summary'!J72</f>
        <v>20099999.999999911</v>
      </c>
      <c r="C10" s="8">
        <f t="shared" si="16"/>
        <v>20.099999999999909</v>
      </c>
      <c r="D10" s="10">
        <f t="shared" si="17"/>
        <v>61.706999999999717</v>
      </c>
      <c r="E10" s="7">
        <f>'[3]Production Summary'!E72</f>
        <v>14000000</v>
      </c>
      <c r="F10" s="8">
        <f t="shared" si="18"/>
        <v>14</v>
      </c>
      <c r="G10" s="10">
        <f t="shared" si="19"/>
        <v>42.98</v>
      </c>
      <c r="H10" s="7">
        <f>'[3]Production Summary'!G72</f>
        <v>8340000</v>
      </c>
      <c r="I10" s="8">
        <f t="shared" si="20"/>
        <v>8.34</v>
      </c>
      <c r="J10" s="10">
        <f t="shared" si="21"/>
        <v>25.6038</v>
      </c>
      <c r="K10" s="7">
        <f>'[3]Production Summary'!T72</f>
        <v>2175082</v>
      </c>
      <c r="L10" s="8">
        <f t="shared" si="22"/>
        <v>2.1750820000000002</v>
      </c>
      <c r="M10" s="10">
        <f t="shared" si="23"/>
        <v>6.6775017400000003</v>
      </c>
      <c r="N10" s="21"/>
      <c r="O10" s="7">
        <f>'[3]Production Summary'!I72</f>
        <v>5332000.0000000047</v>
      </c>
      <c r="P10" s="8">
        <f t="shared" si="24"/>
        <v>5.3320000000000043</v>
      </c>
      <c r="Q10" s="10">
        <f t="shared" si="25"/>
        <v>16.369240000000012</v>
      </c>
      <c r="R10" s="7">
        <f>'[3]Production Summary'!C72</f>
        <v>5453000</v>
      </c>
      <c r="S10" s="8">
        <f t="shared" si="26"/>
        <v>5.4530000000000003</v>
      </c>
      <c r="T10" s="10">
        <f t="shared" si="27"/>
        <v>16.74071</v>
      </c>
      <c r="U10" s="7">
        <f>'[3]Production Summary'!F72</f>
        <v>0</v>
      </c>
      <c r="V10" s="8">
        <f t="shared" si="28"/>
        <v>0</v>
      </c>
      <c r="W10" s="10">
        <f t="shared" si="29"/>
        <v>0</v>
      </c>
      <c r="X10" s="7">
        <f>'[3]Production Summary'!AB72</f>
        <v>117999.99999999499</v>
      </c>
      <c r="Y10" s="8">
        <f t="shared" si="30"/>
        <v>0.117999999999995</v>
      </c>
      <c r="Z10" s="10">
        <f t="shared" si="31"/>
        <v>0.36225999999998465</v>
      </c>
      <c r="AA10" s="15"/>
      <c r="AB10" s="7">
        <f t="shared" si="32"/>
        <v>25431999.999999914</v>
      </c>
      <c r="AC10" s="8">
        <f t="shared" si="33"/>
        <v>25.431999999999913</v>
      </c>
      <c r="AD10" s="8">
        <f t="shared" si="34"/>
        <v>78.076239999999729</v>
      </c>
    </row>
    <row r="11" spans="1:30" x14ac:dyDescent="0.15">
      <c r="A11" s="27">
        <v>43258</v>
      </c>
      <c r="B11" s="7">
        <f>'[3]Production Summary'!J73</f>
        <v>23000000</v>
      </c>
      <c r="C11" s="8">
        <f t="shared" si="16"/>
        <v>23</v>
      </c>
      <c r="D11" s="10">
        <f t="shared" si="17"/>
        <v>70.61</v>
      </c>
      <c r="E11" s="7">
        <f>'[3]Production Summary'!E73</f>
        <v>15000000</v>
      </c>
      <c r="F11" s="8">
        <f t="shared" si="18"/>
        <v>15</v>
      </c>
      <c r="G11" s="10">
        <f t="shared" si="19"/>
        <v>46.05</v>
      </c>
      <c r="H11" s="7">
        <f>'[3]Production Summary'!G73</f>
        <v>10370000</v>
      </c>
      <c r="I11" s="8">
        <f t="shared" si="20"/>
        <v>10.37</v>
      </c>
      <c r="J11" s="10">
        <f t="shared" si="21"/>
        <v>31.835899999999995</v>
      </c>
      <c r="K11" s="7">
        <f>'[3]Production Summary'!T73</f>
        <v>2282550</v>
      </c>
      <c r="L11" s="8">
        <f t="shared" si="22"/>
        <v>2.2825500000000001</v>
      </c>
      <c r="M11" s="10">
        <f t="shared" si="23"/>
        <v>7.0074284999999996</v>
      </c>
      <c r="N11" s="21"/>
      <c r="O11" s="7">
        <f>'[3]Production Summary'!I73</f>
        <v>5313999.9999999879</v>
      </c>
      <c r="P11" s="8">
        <f t="shared" si="24"/>
        <v>5.3139999999999876</v>
      </c>
      <c r="Q11" s="10">
        <f t="shared" si="25"/>
        <v>16.313979999999962</v>
      </c>
      <c r="R11" s="7">
        <f>'[3]Production Summary'!C73</f>
        <v>5516000</v>
      </c>
      <c r="S11" s="8">
        <f t="shared" si="26"/>
        <v>5.516</v>
      </c>
      <c r="T11" s="10">
        <f t="shared" si="27"/>
        <v>16.93412</v>
      </c>
      <c r="U11" s="7">
        <f>'[3]Production Summary'!F73</f>
        <v>0</v>
      </c>
      <c r="V11" s="8">
        <f t="shared" si="28"/>
        <v>0</v>
      </c>
      <c r="W11" s="10">
        <f t="shared" si="29"/>
        <v>0</v>
      </c>
      <c r="X11" s="7">
        <f>'[3]Production Summary'!AB73</f>
        <v>196000.00000001217</v>
      </c>
      <c r="Y11" s="8">
        <f t="shared" si="30"/>
        <v>0.19600000000001216</v>
      </c>
      <c r="Z11" s="10">
        <f t="shared" si="31"/>
        <v>0.60172000000003734</v>
      </c>
      <c r="AA11" s="15"/>
      <c r="AB11" s="7">
        <f t="shared" si="32"/>
        <v>28313999.999999989</v>
      </c>
      <c r="AC11" s="8">
        <f t="shared" si="33"/>
        <v>28.313999999999986</v>
      </c>
      <c r="AD11" s="8">
        <f t="shared" si="34"/>
        <v>86.923979999999958</v>
      </c>
    </row>
    <row r="12" spans="1:30" x14ac:dyDescent="0.15">
      <c r="A12" s="27">
        <v>43259</v>
      </c>
      <c r="B12" s="7">
        <f>'[3]Production Summary'!J74</f>
        <v>22900000.000000089</v>
      </c>
      <c r="C12" s="8">
        <f t="shared" si="16"/>
        <v>22.900000000000091</v>
      </c>
      <c r="D12" s="10">
        <f t="shared" si="17"/>
        <v>70.303000000000281</v>
      </c>
      <c r="E12" s="7">
        <f>'[3]Production Summary'!E74</f>
        <v>16000000</v>
      </c>
      <c r="F12" s="8">
        <f t="shared" si="18"/>
        <v>16</v>
      </c>
      <c r="G12" s="10">
        <f t="shared" si="19"/>
        <v>49.12</v>
      </c>
      <c r="H12" s="7">
        <f>'[3]Production Summary'!G74</f>
        <v>9990000</v>
      </c>
      <c r="I12" s="8">
        <f t="shared" si="20"/>
        <v>9.99</v>
      </c>
      <c r="J12" s="10">
        <f t="shared" si="21"/>
        <v>30.6693</v>
      </c>
      <c r="K12" s="7">
        <f>'[3]Production Summary'!T74</f>
        <v>2219358</v>
      </c>
      <c r="L12" s="8">
        <f t="shared" si="22"/>
        <v>2.2193580000000002</v>
      </c>
      <c r="M12" s="10">
        <f t="shared" si="23"/>
        <v>6.8134290599999998</v>
      </c>
      <c r="N12" s="21"/>
      <c r="O12" s="7">
        <f>'[3]Production Summary'!I74</f>
        <v>5731000.0000000075</v>
      </c>
      <c r="P12" s="8">
        <f t="shared" si="24"/>
        <v>5.7310000000000079</v>
      </c>
      <c r="Q12" s="10">
        <f t="shared" si="25"/>
        <v>17.594170000000023</v>
      </c>
      <c r="R12" s="7">
        <f>'[3]Production Summary'!C74</f>
        <v>5913000</v>
      </c>
      <c r="S12" s="8">
        <f t="shared" si="26"/>
        <v>5.9130000000000003</v>
      </c>
      <c r="T12" s="10">
        <f t="shared" si="27"/>
        <v>18.152909999999999</v>
      </c>
      <c r="U12" s="7">
        <f>'[3]Production Summary'!F74</f>
        <v>0</v>
      </c>
      <c r="V12" s="8">
        <f t="shared" si="28"/>
        <v>0</v>
      </c>
      <c r="W12" s="10">
        <f t="shared" si="29"/>
        <v>0</v>
      </c>
      <c r="X12" s="7">
        <f>'[3]Production Summary'!AB74</f>
        <v>176999.99999999249</v>
      </c>
      <c r="Y12" s="8">
        <f t="shared" si="30"/>
        <v>0.1769999999999925</v>
      </c>
      <c r="Z12" s="10">
        <f t="shared" si="31"/>
        <v>0.54338999999997695</v>
      </c>
      <c r="AA12" s="15"/>
      <c r="AB12" s="7">
        <f t="shared" si="32"/>
        <v>28631000.000000097</v>
      </c>
      <c r="AC12" s="8">
        <f t="shared" si="33"/>
        <v>28.6310000000001</v>
      </c>
      <c r="AD12" s="8">
        <f t="shared" si="34"/>
        <v>87.897170000000301</v>
      </c>
    </row>
    <row r="13" spans="1:30" x14ac:dyDescent="0.15">
      <c r="A13" s="27">
        <v>43260</v>
      </c>
      <c r="B13" s="7">
        <f>'[3]Production Summary'!J75</f>
        <v>22500000</v>
      </c>
      <c r="C13" s="8">
        <f t="shared" si="16"/>
        <v>22.5</v>
      </c>
      <c r="D13" s="10">
        <f t="shared" si="17"/>
        <v>69.075000000000003</v>
      </c>
      <c r="E13" s="7">
        <f>'[3]Production Summary'!E75</f>
        <v>15000000</v>
      </c>
      <c r="F13" s="8">
        <f t="shared" si="18"/>
        <v>15</v>
      </c>
      <c r="G13" s="10">
        <f t="shared" si="19"/>
        <v>46.05</v>
      </c>
      <c r="H13" s="7">
        <f>'[3]Production Summary'!G75</f>
        <v>9970000</v>
      </c>
      <c r="I13" s="8">
        <f t="shared" si="20"/>
        <v>9.9700000000000006</v>
      </c>
      <c r="J13" s="10">
        <f t="shared" si="21"/>
        <v>30.607900000000001</v>
      </c>
      <c r="K13" s="7">
        <f>'[3]Production Summary'!T75</f>
        <v>2439908</v>
      </c>
      <c r="L13" s="8">
        <f t="shared" si="22"/>
        <v>2.439908</v>
      </c>
      <c r="M13" s="10">
        <f t="shared" si="23"/>
        <v>7.4905175599999998</v>
      </c>
      <c r="N13" s="21"/>
      <c r="O13" s="7">
        <f>'[3]Production Summary'!I75</f>
        <v>5570999.9999999953</v>
      </c>
      <c r="P13" s="8">
        <f t="shared" si="24"/>
        <v>5.5709999999999953</v>
      </c>
      <c r="Q13" s="10">
        <f t="shared" si="25"/>
        <v>17.102969999999985</v>
      </c>
      <c r="R13" s="7">
        <f>'[3]Production Summary'!C75</f>
        <v>5706000</v>
      </c>
      <c r="S13" s="8">
        <f t="shared" si="26"/>
        <v>5.7060000000000004</v>
      </c>
      <c r="T13" s="10">
        <f t="shared" si="27"/>
        <v>17.517420000000001</v>
      </c>
      <c r="U13" s="7">
        <f>'[3]Production Summary'!F75</f>
        <v>0</v>
      </c>
      <c r="V13" s="8">
        <f t="shared" si="28"/>
        <v>0</v>
      </c>
      <c r="W13" s="10">
        <f t="shared" si="29"/>
        <v>0</v>
      </c>
      <c r="X13" s="7">
        <f>'[3]Production Summary'!AB75</f>
        <v>132000.00000000501</v>
      </c>
      <c r="Y13" s="8">
        <f t="shared" si="30"/>
        <v>0.132000000000005</v>
      </c>
      <c r="Z13" s="10">
        <f t="shared" si="31"/>
        <v>0.40524000000001531</v>
      </c>
      <c r="AA13" s="15"/>
      <c r="AB13" s="7">
        <f t="shared" si="32"/>
        <v>28070999.999999996</v>
      </c>
      <c r="AC13" s="8">
        <f t="shared" si="33"/>
        <v>28.070999999999994</v>
      </c>
      <c r="AD13" s="8">
        <f t="shared" si="34"/>
        <v>86.177969999999988</v>
      </c>
    </row>
    <row r="14" spans="1:30" x14ac:dyDescent="0.15">
      <c r="A14" s="27">
        <v>43261</v>
      </c>
      <c r="B14" s="7">
        <f>'[3]Production Summary'!J76</f>
        <v>23500000</v>
      </c>
      <c r="C14" s="8">
        <f t="shared" si="16"/>
        <v>23.5</v>
      </c>
      <c r="D14" s="10">
        <f t="shared" si="17"/>
        <v>72.144999999999996</v>
      </c>
      <c r="E14" s="7">
        <f>'[3]Production Summary'!E76</f>
        <v>16000000</v>
      </c>
      <c r="F14" s="8">
        <f t="shared" si="18"/>
        <v>16</v>
      </c>
      <c r="G14" s="10">
        <f t="shared" si="19"/>
        <v>49.12</v>
      </c>
      <c r="H14" s="7">
        <f>'[3]Production Summary'!G76</f>
        <v>10000000</v>
      </c>
      <c r="I14" s="8">
        <f t="shared" si="20"/>
        <v>10</v>
      </c>
      <c r="J14" s="10">
        <f t="shared" si="21"/>
        <v>30.7</v>
      </c>
      <c r="K14" s="7">
        <f>'[3]Production Summary'!T76</f>
        <v>2088759</v>
      </c>
      <c r="L14" s="8">
        <f t="shared" si="22"/>
        <v>2.088759</v>
      </c>
      <c r="M14" s="10">
        <f t="shared" si="23"/>
        <v>6.4124901300000001</v>
      </c>
      <c r="N14" s="21"/>
      <c r="O14" s="7">
        <f>'[3]Production Summary'!I76</f>
        <v>5817999.9999999972</v>
      </c>
      <c r="P14" s="8">
        <f t="shared" si="24"/>
        <v>5.817999999999997</v>
      </c>
      <c r="Q14" s="10">
        <f t="shared" si="25"/>
        <v>17.861259999999991</v>
      </c>
      <c r="R14" s="7">
        <f>'[3]Production Summary'!C76</f>
        <v>5883000</v>
      </c>
      <c r="S14" s="8">
        <f t="shared" si="26"/>
        <v>5.883</v>
      </c>
      <c r="T14" s="10">
        <f t="shared" si="27"/>
        <v>18.06081</v>
      </c>
      <c r="U14" s="7">
        <f>'[3]Production Summary'!F76</f>
        <v>0</v>
      </c>
      <c r="V14" s="8">
        <f t="shared" si="28"/>
        <v>0</v>
      </c>
      <c r="W14" s="10">
        <f t="shared" si="29"/>
        <v>0</v>
      </c>
      <c r="X14" s="7">
        <f>'[3]Production Summary'!AB76</f>
        <v>63000.000000002387</v>
      </c>
      <c r="Y14" s="8">
        <f t="shared" si="30"/>
        <v>6.3000000000002387E-2</v>
      </c>
      <c r="Z14" s="10">
        <f t="shared" si="31"/>
        <v>0.19341000000000733</v>
      </c>
      <c r="AA14" s="15"/>
      <c r="AB14" s="7">
        <f t="shared" si="32"/>
        <v>29317999.999999996</v>
      </c>
      <c r="AC14" s="8">
        <f t="shared" si="33"/>
        <v>29.317999999999998</v>
      </c>
      <c r="AD14" s="8">
        <f t="shared" si="34"/>
        <v>90.006259999999983</v>
      </c>
    </row>
    <row r="15" spans="1:30" x14ac:dyDescent="0.15">
      <c r="A15" s="27">
        <v>43262</v>
      </c>
      <c r="B15" s="7">
        <f>'[3]Production Summary'!J77</f>
        <v>23299999.999999955</v>
      </c>
      <c r="C15" s="8">
        <f t="shared" si="16"/>
        <v>23.299999999999955</v>
      </c>
      <c r="D15" s="10">
        <f t="shared" si="17"/>
        <v>71.53099999999985</v>
      </c>
      <c r="E15" s="7">
        <f>'[3]Production Summary'!E77</f>
        <v>17000000</v>
      </c>
      <c r="F15" s="8">
        <f t="shared" si="18"/>
        <v>17</v>
      </c>
      <c r="G15" s="10">
        <f t="shared" si="19"/>
        <v>52.19</v>
      </c>
      <c r="H15" s="7">
        <f>'[3]Production Summary'!G77</f>
        <v>9740000</v>
      </c>
      <c r="I15" s="8">
        <f t="shared" si="20"/>
        <v>9.74</v>
      </c>
      <c r="J15" s="10">
        <f t="shared" si="21"/>
        <v>29.901799999999998</v>
      </c>
      <c r="K15" s="7">
        <f>'[3]Production Summary'!T77</f>
        <v>2425949</v>
      </c>
      <c r="L15" s="8">
        <f t="shared" si="22"/>
        <v>2.4259490000000001</v>
      </c>
      <c r="M15" s="10">
        <f t="shared" si="23"/>
        <v>7.4476634300000004</v>
      </c>
      <c r="N15" s="21"/>
      <c r="O15" s="7">
        <f>'[3]Production Summary'!I77</f>
        <v>7364000.0000000121</v>
      </c>
      <c r="P15" s="8">
        <f t="shared" si="24"/>
        <v>7.3640000000000123</v>
      </c>
      <c r="Q15" s="10">
        <f t="shared" si="25"/>
        <v>22.607480000000038</v>
      </c>
      <c r="R15" s="7">
        <f>'[3]Production Summary'!C77</f>
        <v>7554000</v>
      </c>
      <c r="S15" s="8">
        <f t="shared" si="26"/>
        <v>7.5540000000000003</v>
      </c>
      <c r="T15" s="10">
        <f t="shared" si="27"/>
        <v>23.19078</v>
      </c>
      <c r="U15" s="7">
        <f>'[3]Production Summary'!F77</f>
        <v>0</v>
      </c>
      <c r="V15" s="8">
        <f t="shared" si="28"/>
        <v>0</v>
      </c>
      <c r="W15" s="10">
        <f t="shared" si="29"/>
        <v>0</v>
      </c>
      <c r="X15" s="7">
        <f>'[3]Production Summary'!AB77</f>
        <v>184999.99999998807</v>
      </c>
      <c r="Y15" s="8">
        <f t="shared" si="30"/>
        <v>0.18499999999998806</v>
      </c>
      <c r="Z15" s="10">
        <f t="shared" si="31"/>
        <v>0.56794999999996332</v>
      </c>
      <c r="AA15" s="15"/>
      <c r="AB15" s="7">
        <f t="shared" si="32"/>
        <v>30663999.999999966</v>
      </c>
      <c r="AC15" s="8">
        <f t="shared" si="33"/>
        <v>30.663999999999966</v>
      </c>
      <c r="AD15" s="8">
        <f t="shared" si="34"/>
        <v>94.138479999999888</v>
      </c>
    </row>
    <row r="16" spans="1:30" x14ac:dyDescent="0.15">
      <c r="A16" s="27">
        <v>43263</v>
      </c>
      <c r="B16" s="7">
        <f>'[3]Production Summary'!J78</f>
        <v>23799999.999999955</v>
      </c>
      <c r="C16" s="8">
        <f t="shared" si="16"/>
        <v>23.799999999999955</v>
      </c>
      <c r="D16" s="10">
        <f t="shared" si="17"/>
        <v>73.06599999999986</v>
      </c>
      <c r="E16" s="7">
        <f>'[3]Production Summary'!E78</f>
        <v>16000000</v>
      </c>
      <c r="F16" s="8">
        <f t="shared" si="18"/>
        <v>16</v>
      </c>
      <c r="G16" s="10">
        <f t="shared" si="19"/>
        <v>49.12</v>
      </c>
      <c r="H16" s="7">
        <f>'[3]Production Summary'!G78</f>
        <v>9710000</v>
      </c>
      <c r="I16" s="8">
        <f t="shared" si="20"/>
        <v>9.7100000000000009</v>
      </c>
      <c r="J16" s="10">
        <f t="shared" si="21"/>
        <v>29.809699999999999</v>
      </c>
      <c r="K16" s="7">
        <f>'[3]Production Summary'!T78</f>
        <v>2241093</v>
      </c>
      <c r="L16" s="8">
        <f t="shared" si="22"/>
        <v>2.2410929999999998</v>
      </c>
      <c r="M16" s="10">
        <f t="shared" si="23"/>
        <v>6.8801555099999989</v>
      </c>
      <c r="N16" s="21"/>
      <c r="O16" s="7">
        <f>'[3]Production Summary'!I78</f>
        <v>11533999.999999998</v>
      </c>
      <c r="P16" s="8">
        <f t="shared" si="24"/>
        <v>11.533999999999999</v>
      </c>
      <c r="Q16" s="10">
        <f t="shared" si="25"/>
        <v>35.409379999999992</v>
      </c>
      <c r="R16" s="7">
        <f>'[3]Production Summary'!C78</f>
        <v>11736000</v>
      </c>
      <c r="S16" s="8">
        <f t="shared" si="26"/>
        <v>11.736000000000001</v>
      </c>
      <c r="T16" s="10">
        <f t="shared" si="27"/>
        <v>36.029519999999998</v>
      </c>
      <c r="U16" s="7">
        <f>'[3]Production Summary'!F78</f>
        <v>0</v>
      </c>
      <c r="V16" s="8">
        <f t="shared" si="28"/>
        <v>0</v>
      </c>
      <c r="W16" s="10">
        <f t="shared" si="29"/>
        <v>0</v>
      </c>
      <c r="X16" s="7">
        <f>'[3]Production Summary'!AB78</f>
        <v>197000.00000000274</v>
      </c>
      <c r="Y16" s="8">
        <f t="shared" si="30"/>
        <v>0.19700000000000273</v>
      </c>
      <c r="Z16" s="10">
        <f t="shared" si="31"/>
        <v>0.60479000000000838</v>
      </c>
      <c r="AA16" s="15"/>
      <c r="AB16" s="7">
        <f t="shared" si="32"/>
        <v>35333999.999999955</v>
      </c>
      <c r="AC16" s="8">
        <f t="shared" si="33"/>
        <v>35.333999999999953</v>
      </c>
      <c r="AD16" s="8">
        <f t="shared" si="34"/>
        <v>108.47537999999986</v>
      </c>
    </row>
    <row r="17" spans="1:30" x14ac:dyDescent="0.15">
      <c r="A17" s="27">
        <v>43264</v>
      </c>
      <c r="B17" s="7">
        <f>'[3]Production Summary'!J79</f>
        <v>21400000.000000089</v>
      </c>
      <c r="C17" s="8">
        <f t="shared" si="16"/>
        <v>21.400000000000091</v>
      </c>
      <c r="D17" s="10">
        <f t="shared" si="17"/>
        <v>65.698000000000278</v>
      </c>
      <c r="E17" s="7">
        <f>'[3]Production Summary'!E79</f>
        <v>16000000</v>
      </c>
      <c r="F17" s="8">
        <f t="shared" si="18"/>
        <v>16</v>
      </c>
      <c r="G17" s="10">
        <f t="shared" si="19"/>
        <v>49.12</v>
      </c>
      <c r="H17" s="7">
        <f>'[3]Production Summary'!G79</f>
        <v>8440000</v>
      </c>
      <c r="I17" s="8">
        <f t="shared" si="20"/>
        <v>8.44</v>
      </c>
      <c r="J17" s="10">
        <f t="shared" si="21"/>
        <v>25.910799999999998</v>
      </c>
      <c r="K17" s="7">
        <f>'[3]Production Summary'!T79</f>
        <v>2106773</v>
      </c>
      <c r="L17" s="8">
        <f t="shared" si="22"/>
        <v>2.106773</v>
      </c>
      <c r="M17" s="10">
        <f t="shared" si="23"/>
        <v>6.4677931099999997</v>
      </c>
      <c r="N17" s="21"/>
      <c r="O17" s="7">
        <f>'[3]Production Summary'!I79</f>
        <v>12614000</v>
      </c>
      <c r="P17" s="8">
        <f t="shared" si="24"/>
        <v>12.614000000000001</v>
      </c>
      <c r="Q17" s="10">
        <f t="shared" si="25"/>
        <v>38.724980000000002</v>
      </c>
      <c r="R17" s="7">
        <f>'[3]Production Summary'!C79</f>
        <v>12870000</v>
      </c>
      <c r="S17" s="8">
        <f t="shared" si="26"/>
        <v>12.87</v>
      </c>
      <c r="T17" s="10">
        <f t="shared" si="27"/>
        <v>39.510899999999992</v>
      </c>
      <c r="U17" s="7">
        <f>'[3]Production Summary'!F79</f>
        <v>0</v>
      </c>
      <c r="V17" s="8">
        <f t="shared" si="28"/>
        <v>0</v>
      </c>
      <c r="W17" s="10">
        <f t="shared" si="29"/>
        <v>0</v>
      </c>
      <c r="X17" s="7">
        <f>'[3]Production Summary'!AB79</f>
        <v>250000</v>
      </c>
      <c r="Y17" s="8">
        <f t="shared" si="30"/>
        <v>0.25</v>
      </c>
      <c r="Z17" s="10">
        <f t="shared" si="31"/>
        <v>0.76749999999999996</v>
      </c>
      <c r="AA17" s="15"/>
      <c r="AB17" s="7">
        <f t="shared" si="32"/>
        <v>34014000.000000089</v>
      </c>
      <c r="AC17" s="8">
        <f t="shared" si="33"/>
        <v>34.014000000000095</v>
      </c>
      <c r="AD17" s="8">
        <f t="shared" si="34"/>
        <v>104.42298000000028</v>
      </c>
    </row>
    <row r="18" spans="1:30" x14ac:dyDescent="0.15">
      <c r="A18" s="27">
        <v>43265</v>
      </c>
      <c r="B18" s="7">
        <f>'[3]Production Summary'!J80</f>
        <v>21500000</v>
      </c>
      <c r="C18" s="8">
        <f t="shared" si="16"/>
        <v>21.5</v>
      </c>
      <c r="D18" s="10">
        <f t="shared" si="17"/>
        <v>66.004999999999995</v>
      </c>
      <c r="E18" s="7">
        <f>'[3]Production Summary'!E80</f>
        <v>16000000</v>
      </c>
      <c r="F18" s="8">
        <f t="shared" si="18"/>
        <v>16</v>
      </c>
      <c r="G18" s="10">
        <f t="shared" si="19"/>
        <v>49.12</v>
      </c>
      <c r="H18" s="7">
        <f>'[3]Production Summary'!G80</f>
        <v>8880000</v>
      </c>
      <c r="I18" s="8">
        <f t="shared" si="20"/>
        <v>8.8800000000000008</v>
      </c>
      <c r="J18" s="10">
        <f t="shared" si="21"/>
        <v>27.261600000000001</v>
      </c>
      <c r="K18" s="7">
        <f>'[3]Production Summary'!T80</f>
        <v>2521452</v>
      </c>
      <c r="L18" s="8">
        <f t="shared" si="22"/>
        <v>2.521452</v>
      </c>
      <c r="M18" s="10">
        <f t="shared" si="23"/>
        <v>7.7408576399999998</v>
      </c>
      <c r="N18" s="21"/>
      <c r="O18" s="7">
        <f>'[3]Production Summary'!I80</f>
        <v>12921999.999999996</v>
      </c>
      <c r="P18" s="8">
        <f t="shared" si="24"/>
        <v>12.921999999999997</v>
      </c>
      <c r="Q18" s="10">
        <f t="shared" si="25"/>
        <v>39.670539999999988</v>
      </c>
      <c r="R18" s="7">
        <f>'[3]Production Summary'!C80</f>
        <v>13177000</v>
      </c>
      <c r="S18" s="8">
        <f t="shared" si="26"/>
        <v>13.177</v>
      </c>
      <c r="T18" s="10">
        <f t="shared" si="27"/>
        <v>40.453389999999999</v>
      </c>
      <c r="U18" s="7">
        <f>'[3]Production Summary'!F80</f>
        <v>0</v>
      </c>
      <c r="V18" s="8">
        <f t="shared" si="28"/>
        <v>0</v>
      </c>
      <c r="W18" s="10">
        <f t="shared" si="29"/>
        <v>0</v>
      </c>
      <c r="X18" s="7">
        <f>'[3]Production Summary'!AB80</f>
        <v>248000.00000000466</v>
      </c>
      <c r="Y18" s="8">
        <f t="shared" si="30"/>
        <v>0.24800000000000466</v>
      </c>
      <c r="Z18" s="10">
        <f t="shared" si="31"/>
        <v>0.76136000000001425</v>
      </c>
      <c r="AA18" s="15"/>
      <c r="AB18" s="7">
        <f t="shared" si="32"/>
        <v>34422000</v>
      </c>
      <c r="AC18" s="8">
        <f t="shared" si="33"/>
        <v>34.421999999999997</v>
      </c>
      <c r="AD18" s="8">
        <f t="shared" si="34"/>
        <v>105.67553999999998</v>
      </c>
    </row>
    <row r="19" spans="1:30" x14ac:dyDescent="0.15">
      <c r="A19" s="27">
        <v>43266</v>
      </c>
      <c r="B19" s="7">
        <f>'[3]Production Summary'!J81</f>
        <v>22700000.000000045</v>
      </c>
      <c r="C19" s="8">
        <f t="shared" si="16"/>
        <v>22.700000000000045</v>
      </c>
      <c r="D19" s="10">
        <f t="shared" si="17"/>
        <v>69.689000000000135</v>
      </c>
      <c r="E19" s="7">
        <f>'[3]Production Summary'!E81</f>
        <v>16000000</v>
      </c>
      <c r="F19" s="8">
        <f t="shared" si="18"/>
        <v>16</v>
      </c>
      <c r="G19" s="10">
        <f t="shared" si="19"/>
        <v>49.12</v>
      </c>
      <c r="H19" s="7">
        <f>'[3]Production Summary'!G81</f>
        <v>9120000</v>
      </c>
      <c r="I19" s="8">
        <f t="shared" si="20"/>
        <v>9.1199999999999992</v>
      </c>
      <c r="J19" s="10">
        <f t="shared" si="21"/>
        <v>27.998399999999997</v>
      </c>
      <c r="K19" s="7">
        <f>'[3]Production Summary'!T81</f>
        <v>2271694</v>
      </c>
      <c r="L19" s="8">
        <f t="shared" si="22"/>
        <v>2.2716940000000001</v>
      </c>
      <c r="M19" s="10">
        <f t="shared" si="23"/>
        <v>6.97410058</v>
      </c>
      <c r="N19" s="21"/>
      <c r="O19" s="7">
        <f>'[3]Production Summary'!I81</f>
        <v>13281000</v>
      </c>
      <c r="P19" s="8">
        <f t="shared" si="24"/>
        <v>13.281000000000001</v>
      </c>
      <c r="Q19" s="10">
        <f t="shared" si="25"/>
        <v>40.772669999999998</v>
      </c>
      <c r="R19" s="7">
        <f>'[3]Production Summary'!C81</f>
        <v>13549000</v>
      </c>
      <c r="S19" s="8">
        <f t="shared" si="26"/>
        <v>13.548999999999999</v>
      </c>
      <c r="T19" s="10">
        <f t="shared" si="27"/>
        <v>41.595429999999993</v>
      </c>
      <c r="U19" s="7">
        <f>'[3]Production Summary'!F81</f>
        <v>0</v>
      </c>
      <c r="V19" s="8">
        <f t="shared" si="28"/>
        <v>0</v>
      </c>
      <c r="W19" s="10">
        <f t="shared" si="29"/>
        <v>0</v>
      </c>
      <c r="X19" s="7">
        <f>'[3]Production Summary'!AB81</f>
        <v>262000.00000000047</v>
      </c>
      <c r="Y19" s="8">
        <f t="shared" si="30"/>
        <v>0.26200000000000045</v>
      </c>
      <c r="Z19" s="10">
        <f t="shared" si="31"/>
        <v>0.80434000000000139</v>
      </c>
      <c r="AA19" s="15"/>
      <c r="AB19" s="7">
        <f t="shared" si="32"/>
        <v>35981000.000000045</v>
      </c>
      <c r="AC19" s="8">
        <f t="shared" si="33"/>
        <v>35.981000000000044</v>
      </c>
      <c r="AD19" s="8">
        <f t="shared" si="34"/>
        <v>110.46167000000014</v>
      </c>
    </row>
    <row r="20" spans="1:30" x14ac:dyDescent="0.15">
      <c r="A20" s="27">
        <v>43267</v>
      </c>
      <c r="B20" s="7">
        <f>'[3]Production Summary'!J82</f>
        <v>21099999.999999911</v>
      </c>
      <c r="C20" s="8">
        <f t="shared" si="16"/>
        <v>21.099999999999909</v>
      </c>
      <c r="D20" s="10">
        <f t="shared" si="17"/>
        <v>64.776999999999717</v>
      </c>
      <c r="E20" s="7">
        <f>'[3]Production Summary'!E82</f>
        <v>16000000</v>
      </c>
      <c r="F20" s="8">
        <f t="shared" si="18"/>
        <v>16</v>
      </c>
      <c r="G20" s="10">
        <f t="shared" si="19"/>
        <v>49.12</v>
      </c>
      <c r="H20" s="7">
        <f>'[3]Production Summary'!G82</f>
        <v>8000000</v>
      </c>
      <c r="I20" s="8">
        <f t="shared" si="20"/>
        <v>8</v>
      </c>
      <c r="J20" s="10">
        <f t="shared" si="21"/>
        <v>24.56</v>
      </c>
      <c r="K20" s="7">
        <f>'[3]Production Summary'!T82</f>
        <v>2294576</v>
      </c>
      <c r="L20" s="8">
        <f t="shared" si="22"/>
        <v>2.2945760000000002</v>
      </c>
      <c r="M20" s="10">
        <f t="shared" si="23"/>
        <v>7.0443483200000001</v>
      </c>
      <c r="N20" s="21"/>
      <c r="O20" s="7">
        <f>'[3]Production Summary'!I82</f>
        <v>10247999.999999998</v>
      </c>
      <c r="P20" s="8">
        <f t="shared" si="24"/>
        <v>10.247999999999998</v>
      </c>
      <c r="Q20" s="10">
        <f t="shared" si="25"/>
        <v>31.461359999999992</v>
      </c>
      <c r="R20" s="7">
        <f>'[3]Production Summary'!C82</f>
        <v>10569000</v>
      </c>
      <c r="S20" s="8">
        <f t="shared" si="26"/>
        <v>10.569000000000001</v>
      </c>
      <c r="T20" s="10">
        <f t="shared" si="27"/>
        <v>32.446829999999999</v>
      </c>
      <c r="U20" s="7">
        <f>'[3]Production Summary'!F82</f>
        <v>0</v>
      </c>
      <c r="V20" s="8">
        <f t="shared" si="28"/>
        <v>0</v>
      </c>
      <c r="W20" s="10">
        <f t="shared" si="29"/>
        <v>0</v>
      </c>
      <c r="X20" s="7">
        <f>'[3]Production Summary'!AB82</f>
        <v>313000.00000000239</v>
      </c>
      <c r="Y20" s="8">
        <f t="shared" si="30"/>
        <v>0.31300000000000239</v>
      </c>
      <c r="Z20" s="10">
        <f t="shared" si="31"/>
        <v>0.96091000000000726</v>
      </c>
      <c r="AA20" s="15"/>
      <c r="AB20" s="7">
        <f t="shared" si="32"/>
        <v>31347999.999999911</v>
      </c>
      <c r="AC20" s="8">
        <f t="shared" si="33"/>
        <v>31.347999999999907</v>
      </c>
      <c r="AD20" s="8">
        <f t="shared" si="34"/>
        <v>96.238359999999716</v>
      </c>
    </row>
    <row r="21" spans="1:30" x14ac:dyDescent="0.15">
      <c r="A21" s="27">
        <v>43268</v>
      </c>
      <c r="B21" s="7">
        <f>'[3]Production Summary'!J83</f>
        <v>21299999.999999955</v>
      </c>
      <c r="C21" s="8">
        <f t="shared" si="16"/>
        <v>21.299999999999955</v>
      </c>
      <c r="D21" s="10">
        <f t="shared" si="17"/>
        <v>65.390999999999863</v>
      </c>
      <c r="E21" s="7">
        <f>'[3]Production Summary'!E83</f>
        <v>16000000</v>
      </c>
      <c r="F21" s="8">
        <f t="shared" si="18"/>
        <v>16</v>
      </c>
      <c r="G21" s="10">
        <f t="shared" si="19"/>
        <v>49.12</v>
      </c>
      <c r="H21" s="7">
        <f>'[3]Production Summary'!G83</f>
        <v>7940000</v>
      </c>
      <c r="I21" s="8">
        <f t="shared" si="20"/>
        <v>7.94</v>
      </c>
      <c r="J21" s="10">
        <f t="shared" si="21"/>
        <v>24.375800000000002</v>
      </c>
      <c r="K21" s="7">
        <f>'[3]Production Summary'!T83</f>
        <v>2132805</v>
      </c>
      <c r="L21" s="8">
        <f t="shared" si="22"/>
        <v>2.1328049999999998</v>
      </c>
      <c r="M21" s="10">
        <f t="shared" si="23"/>
        <v>6.5477113499999993</v>
      </c>
      <c r="N21" s="21"/>
      <c r="O21" s="7">
        <f>'[3]Production Summary'!I83</f>
        <v>9684000.0000000019</v>
      </c>
      <c r="P21" s="8">
        <f t="shared" si="24"/>
        <v>9.6840000000000011</v>
      </c>
      <c r="Q21" s="10">
        <f t="shared" si="25"/>
        <v>29.729880000000001</v>
      </c>
      <c r="R21" s="7">
        <f>'[3]Production Summary'!C83</f>
        <v>9870000</v>
      </c>
      <c r="S21" s="8">
        <f t="shared" si="26"/>
        <v>9.8699999999999992</v>
      </c>
      <c r="T21" s="10">
        <f t="shared" si="27"/>
        <v>30.300899999999995</v>
      </c>
      <c r="U21" s="7">
        <f>'[3]Production Summary'!F83</f>
        <v>0</v>
      </c>
      <c r="V21" s="8">
        <f t="shared" si="28"/>
        <v>0</v>
      </c>
      <c r="W21" s="10">
        <f t="shared" si="29"/>
        <v>0</v>
      </c>
      <c r="X21" s="7">
        <f>'[3]Production Summary'!AB83</f>
        <v>180999.99999999738</v>
      </c>
      <c r="Y21" s="8">
        <f t="shared" si="30"/>
        <v>0.18099999999999739</v>
      </c>
      <c r="Z21" s="10">
        <f t="shared" si="31"/>
        <v>0.55566999999999189</v>
      </c>
      <c r="AA21" s="15"/>
      <c r="AB21" s="7">
        <f t="shared" si="32"/>
        <v>30983999.999999955</v>
      </c>
      <c r="AC21" s="8">
        <f t="shared" si="33"/>
        <v>30.983999999999956</v>
      </c>
      <c r="AD21" s="8">
        <f t="shared" si="34"/>
        <v>95.120879999999858</v>
      </c>
    </row>
    <row r="22" spans="1:30" x14ac:dyDescent="0.15">
      <c r="A22" s="27">
        <v>43269</v>
      </c>
      <c r="B22" s="7">
        <f>'[3]Production Summary'!J84</f>
        <v>18900000.000000089</v>
      </c>
      <c r="C22" s="8">
        <f t="shared" si="16"/>
        <v>18.900000000000091</v>
      </c>
      <c r="D22" s="10">
        <f t="shared" si="17"/>
        <v>58.023000000000273</v>
      </c>
      <c r="E22" s="7">
        <f>'[3]Production Summary'!E84</f>
        <v>12000000</v>
      </c>
      <c r="F22" s="8">
        <f t="shared" si="18"/>
        <v>12</v>
      </c>
      <c r="G22" s="10">
        <f t="shared" si="19"/>
        <v>36.839999999999996</v>
      </c>
      <c r="H22" s="7">
        <f>'[3]Production Summary'!G84</f>
        <v>7510000</v>
      </c>
      <c r="I22" s="8">
        <f t="shared" si="20"/>
        <v>7.51</v>
      </c>
      <c r="J22" s="10">
        <f t="shared" si="21"/>
        <v>23.055699999999998</v>
      </c>
      <c r="K22" s="7">
        <f>'[3]Production Summary'!T84</f>
        <v>1620218</v>
      </c>
      <c r="L22" s="8">
        <f t="shared" si="22"/>
        <v>1.6202179999999999</v>
      </c>
      <c r="M22" s="10">
        <f t="shared" si="23"/>
        <v>4.9740692599999994</v>
      </c>
      <c r="N22" s="21"/>
      <c r="O22" s="7">
        <f>'[3]Production Summary'!I84</f>
        <v>6751000.0000000093</v>
      </c>
      <c r="P22" s="8">
        <f t="shared" si="24"/>
        <v>6.7510000000000092</v>
      </c>
      <c r="Q22" s="10">
        <f t="shared" si="25"/>
        <v>20.725570000000026</v>
      </c>
      <c r="R22" s="7">
        <f>'[3]Production Summary'!C84</f>
        <v>7017000</v>
      </c>
      <c r="S22" s="8">
        <f t="shared" si="26"/>
        <v>7.0170000000000003</v>
      </c>
      <c r="T22" s="10">
        <f t="shared" si="27"/>
        <v>21.542190000000002</v>
      </c>
      <c r="U22" s="7">
        <f>'[3]Production Summary'!F84</f>
        <v>0</v>
      </c>
      <c r="V22" s="8">
        <f t="shared" si="28"/>
        <v>0</v>
      </c>
      <c r="W22" s="10">
        <f t="shared" si="29"/>
        <v>0</v>
      </c>
      <c r="X22" s="7">
        <f>'[3]Production Summary'!AB84</f>
        <v>259999.99999999092</v>
      </c>
      <c r="Y22" s="8">
        <f t="shared" si="30"/>
        <v>0.25999999999999091</v>
      </c>
      <c r="Z22" s="10">
        <f t="shared" si="31"/>
        <v>0.79819999999997204</v>
      </c>
      <c r="AA22" s="15"/>
      <c r="AB22" s="7">
        <f t="shared" si="32"/>
        <v>25651000.000000097</v>
      </c>
      <c r="AC22" s="8">
        <f t="shared" si="33"/>
        <v>25.651000000000099</v>
      </c>
      <c r="AD22" s="8">
        <f t="shared" si="34"/>
        <v>78.748570000000299</v>
      </c>
    </row>
    <row r="23" spans="1:30" x14ac:dyDescent="0.15">
      <c r="A23" s="27">
        <v>43270</v>
      </c>
      <c r="B23" s="7">
        <f>'[3]Production Summary'!J85</f>
        <v>19000000</v>
      </c>
      <c r="C23" s="8">
        <f t="shared" si="16"/>
        <v>19</v>
      </c>
      <c r="D23" s="10">
        <f t="shared" si="17"/>
        <v>58.33</v>
      </c>
      <c r="E23" s="7">
        <f>'[3]Production Summary'!E85</f>
        <v>13000000</v>
      </c>
      <c r="F23" s="8">
        <f t="shared" si="18"/>
        <v>13</v>
      </c>
      <c r="G23" s="10">
        <f t="shared" si="19"/>
        <v>39.909999999999997</v>
      </c>
      <c r="H23" s="7">
        <f>'[3]Production Summary'!G85</f>
        <v>8120000</v>
      </c>
      <c r="I23" s="8">
        <f t="shared" si="20"/>
        <v>8.1199999999999992</v>
      </c>
      <c r="J23" s="10">
        <f t="shared" si="21"/>
        <v>24.928399999999996</v>
      </c>
      <c r="K23" s="7">
        <f>'[3]Production Summary'!T85</f>
        <v>1990806</v>
      </c>
      <c r="L23" s="8">
        <f t="shared" si="22"/>
        <v>1.9908060000000001</v>
      </c>
      <c r="M23" s="10">
        <f t="shared" si="23"/>
        <v>6.1117744199999997</v>
      </c>
      <c r="N23" s="21"/>
      <c r="O23" s="7">
        <f>'[3]Production Summary'!I85</f>
        <v>6616999.9999999953</v>
      </c>
      <c r="P23" s="8">
        <f t="shared" si="24"/>
        <v>6.6169999999999956</v>
      </c>
      <c r="Q23" s="10">
        <f t="shared" si="25"/>
        <v>20.314189999999986</v>
      </c>
      <c r="R23" s="7">
        <f>'[3]Production Summary'!C85</f>
        <v>6738000</v>
      </c>
      <c r="S23" s="8">
        <f t="shared" si="26"/>
        <v>6.7380000000000004</v>
      </c>
      <c r="T23" s="10">
        <f t="shared" si="27"/>
        <v>20.685659999999999</v>
      </c>
      <c r="U23" s="7">
        <f>'[3]Production Summary'!F85</f>
        <v>0</v>
      </c>
      <c r="V23" s="8">
        <f t="shared" si="28"/>
        <v>0</v>
      </c>
      <c r="W23" s="10">
        <f t="shared" si="29"/>
        <v>0</v>
      </c>
      <c r="X23" s="7">
        <f>'[3]Production Summary'!AB85</f>
        <v>117000.00000000444</v>
      </c>
      <c r="Y23" s="8">
        <f t="shared" si="30"/>
        <v>0.11700000000000443</v>
      </c>
      <c r="Z23" s="10">
        <f t="shared" si="31"/>
        <v>0.35919000000001361</v>
      </c>
      <c r="AA23" s="15"/>
      <c r="AB23" s="7">
        <f t="shared" si="32"/>
        <v>25616999.999999996</v>
      </c>
      <c r="AC23" s="8">
        <f t="shared" si="33"/>
        <v>25.616999999999997</v>
      </c>
      <c r="AD23" s="8">
        <f t="shared" si="34"/>
        <v>78.644189999999981</v>
      </c>
    </row>
    <row r="24" spans="1:30" x14ac:dyDescent="0.15">
      <c r="A24" s="27">
        <v>43271</v>
      </c>
      <c r="B24" s="7">
        <f>'[3]Production Summary'!J86</f>
        <v>22099999.999999911</v>
      </c>
      <c r="C24" s="8">
        <f t="shared" si="16"/>
        <v>22.099999999999909</v>
      </c>
      <c r="D24" s="10">
        <f t="shared" si="17"/>
        <v>67.846999999999724</v>
      </c>
      <c r="E24" s="7">
        <f>'[3]Production Summary'!E86</f>
        <v>14000000</v>
      </c>
      <c r="F24" s="8">
        <f t="shared" si="18"/>
        <v>14</v>
      </c>
      <c r="G24" s="10">
        <f t="shared" si="19"/>
        <v>42.98</v>
      </c>
      <c r="H24" s="7">
        <f>'[3]Production Summary'!G86</f>
        <v>10000000</v>
      </c>
      <c r="I24" s="8">
        <f t="shared" si="20"/>
        <v>10</v>
      </c>
      <c r="J24" s="10">
        <f t="shared" si="21"/>
        <v>30.7</v>
      </c>
      <c r="K24" s="7">
        <f>'[3]Production Summary'!T86</f>
        <v>2086576</v>
      </c>
      <c r="L24" s="8">
        <f t="shared" si="22"/>
        <v>2.086576</v>
      </c>
      <c r="M24" s="10">
        <f t="shared" si="23"/>
        <v>6.4057883199999992</v>
      </c>
      <c r="N24" s="21"/>
      <c r="O24" s="7">
        <f>'[3]Production Summary'!I86</f>
        <v>7867999.9999999972</v>
      </c>
      <c r="P24" s="8">
        <f t="shared" si="24"/>
        <v>7.8679999999999968</v>
      </c>
      <c r="Q24" s="10">
        <f t="shared" si="25"/>
        <v>24.154759999999989</v>
      </c>
      <c r="R24" s="7">
        <f>'[3]Production Summary'!C86</f>
        <v>8067000</v>
      </c>
      <c r="S24" s="8">
        <f t="shared" si="26"/>
        <v>8.0670000000000002</v>
      </c>
      <c r="T24" s="10">
        <f t="shared" si="27"/>
        <v>24.765689999999999</v>
      </c>
      <c r="U24" s="7">
        <f>'[3]Production Summary'!F86</f>
        <v>0</v>
      </c>
      <c r="V24" s="8">
        <f t="shared" si="28"/>
        <v>0</v>
      </c>
      <c r="W24" s="10">
        <f t="shared" si="29"/>
        <v>0</v>
      </c>
      <c r="X24" s="7">
        <f>'[3]Production Summary'!AB86</f>
        <v>194000.00000000262</v>
      </c>
      <c r="Y24" s="8">
        <f t="shared" si="30"/>
        <v>0.19400000000000261</v>
      </c>
      <c r="Z24" s="10">
        <f t="shared" si="31"/>
        <v>0.59558000000000799</v>
      </c>
      <c r="AA24" s="15"/>
      <c r="AB24" s="7">
        <f t="shared" si="32"/>
        <v>29967999.999999907</v>
      </c>
      <c r="AC24" s="8">
        <f t="shared" si="33"/>
        <v>29.967999999999904</v>
      </c>
      <c r="AD24" s="8">
        <f t="shared" si="34"/>
        <v>92.001759999999706</v>
      </c>
    </row>
    <row r="25" spans="1:30" x14ac:dyDescent="0.15">
      <c r="A25" s="27">
        <v>43272</v>
      </c>
      <c r="B25" s="7">
        <f>'[3]Production Summary'!J87</f>
        <v>21800000.000000183</v>
      </c>
      <c r="C25" s="8">
        <f t="shared" si="16"/>
        <v>21.800000000000182</v>
      </c>
      <c r="D25" s="10">
        <f t="shared" si="17"/>
        <v>66.926000000000556</v>
      </c>
      <c r="E25" s="7">
        <f>'[3]Production Summary'!E87</f>
        <v>15000000</v>
      </c>
      <c r="F25" s="8">
        <f t="shared" si="18"/>
        <v>15</v>
      </c>
      <c r="G25" s="10">
        <f t="shared" si="19"/>
        <v>46.05</v>
      </c>
      <c r="H25" s="7">
        <f>'[3]Production Summary'!G87</f>
        <v>9350000</v>
      </c>
      <c r="I25" s="8">
        <f t="shared" si="20"/>
        <v>9.35</v>
      </c>
      <c r="J25" s="10">
        <f t="shared" si="21"/>
        <v>28.704499999999996</v>
      </c>
      <c r="K25" s="7">
        <f>'[3]Production Summary'!T87</f>
        <v>2176848</v>
      </c>
      <c r="L25" s="8">
        <f t="shared" si="22"/>
        <v>2.1768480000000001</v>
      </c>
      <c r="M25" s="10">
        <f t="shared" si="23"/>
        <v>6.6829233600000002</v>
      </c>
      <c r="N25" s="21"/>
      <c r="O25" s="7">
        <f>'[3]Production Summary'!I87</f>
        <v>7236000</v>
      </c>
      <c r="P25" s="8">
        <f t="shared" si="24"/>
        <v>7.2359999999999998</v>
      </c>
      <c r="Q25" s="10">
        <f t="shared" si="25"/>
        <v>22.214519999999997</v>
      </c>
      <c r="R25" s="7">
        <f>'[3]Production Summary'!C87</f>
        <v>7370000</v>
      </c>
      <c r="S25" s="8">
        <f t="shared" si="26"/>
        <v>7.37</v>
      </c>
      <c r="T25" s="10">
        <f t="shared" si="27"/>
        <v>22.625899999999998</v>
      </c>
      <c r="U25" s="7">
        <f>'[3]Production Summary'!F87</f>
        <v>0</v>
      </c>
      <c r="V25" s="8">
        <f t="shared" si="28"/>
        <v>0</v>
      </c>
      <c r="W25" s="10">
        <f t="shared" si="29"/>
        <v>0</v>
      </c>
      <c r="X25" s="7">
        <f>'[3]Production Summary'!AB87</f>
        <v>131000.00000000023</v>
      </c>
      <c r="Y25" s="8">
        <f t="shared" si="30"/>
        <v>0.13100000000000023</v>
      </c>
      <c r="Z25" s="10">
        <f t="shared" si="31"/>
        <v>0.40217000000000069</v>
      </c>
      <c r="AA25" s="15"/>
      <c r="AB25" s="7">
        <f t="shared" si="32"/>
        <v>29036000.000000183</v>
      </c>
      <c r="AC25" s="8">
        <f t="shared" si="33"/>
        <v>29.036000000000183</v>
      </c>
      <c r="AD25" s="8">
        <f t="shared" si="34"/>
        <v>89.140520000000549</v>
      </c>
    </row>
    <row r="26" spans="1:30" x14ac:dyDescent="0.15">
      <c r="A26" s="27">
        <v>43273</v>
      </c>
      <c r="B26" s="7">
        <f>'[3]Production Summary'!J88</f>
        <v>16000000</v>
      </c>
      <c r="C26" s="8">
        <f t="shared" si="16"/>
        <v>16</v>
      </c>
      <c r="D26" s="10">
        <f t="shared" si="17"/>
        <v>49.12</v>
      </c>
      <c r="E26" s="7">
        <f>'[3]Production Summary'!E88</f>
        <v>11000000</v>
      </c>
      <c r="F26" s="8">
        <f t="shared" si="18"/>
        <v>11</v>
      </c>
      <c r="G26" s="10">
        <f t="shared" si="19"/>
        <v>33.769999999999996</v>
      </c>
      <c r="H26" s="7">
        <f>'[3]Production Summary'!G88</f>
        <v>6630000</v>
      </c>
      <c r="I26" s="8">
        <f t="shared" si="20"/>
        <v>6.63</v>
      </c>
      <c r="J26" s="10">
        <f t="shared" si="21"/>
        <v>20.354099999999999</v>
      </c>
      <c r="K26" s="7">
        <f>'[3]Production Summary'!T88</f>
        <v>1750391</v>
      </c>
      <c r="L26" s="8">
        <f t="shared" si="22"/>
        <v>1.750391</v>
      </c>
      <c r="M26" s="10">
        <f t="shared" si="23"/>
        <v>5.3737003699999999</v>
      </c>
      <c r="N26" s="21"/>
      <c r="O26" s="7">
        <f>'[3]Production Summary'!I88</f>
        <v>5385999.9999999953</v>
      </c>
      <c r="P26" s="8">
        <f t="shared" si="24"/>
        <v>5.3859999999999957</v>
      </c>
      <c r="Q26" s="10">
        <f t="shared" si="25"/>
        <v>16.535019999999985</v>
      </c>
      <c r="R26" s="7">
        <f>'[3]Production Summary'!C88</f>
        <v>5506000</v>
      </c>
      <c r="S26" s="8">
        <f t="shared" si="26"/>
        <v>5.5060000000000002</v>
      </c>
      <c r="T26" s="10">
        <f t="shared" si="27"/>
        <v>16.903420000000001</v>
      </c>
      <c r="U26" s="7">
        <f>'[3]Production Summary'!F88</f>
        <v>0</v>
      </c>
      <c r="V26" s="8">
        <f t="shared" si="28"/>
        <v>0</v>
      </c>
      <c r="W26" s="10">
        <f t="shared" si="29"/>
        <v>0</v>
      </c>
      <c r="X26" s="7">
        <f>'[3]Production Summary'!AB88</f>
        <v>117000.00000000444</v>
      </c>
      <c r="Y26" s="8">
        <f t="shared" si="30"/>
        <v>0.11700000000000443</v>
      </c>
      <c r="Z26" s="10">
        <f t="shared" si="31"/>
        <v>0.35919000000001361</v>
      </c>
      <c r="AA26" s="15"/>
      <c r="AB26" s="7">
        <f t="shared" si="32"/>
        <v>21385999.999999996</v>
      </c>
      <c r="AC26" s="8">
        <f t="shared" si="33"/>
        <v>21.385999999999996</v>
      </c>
      <c r="AD26" s="8">
        <f t="shared" si="34"/>
        <v>65.655019999999979</v>
      </c>
    </row>
    <row r="27" spans="1:30" x14ac:dyDescent="0.15">
      <c r="A27" s="27">
        <v>43274</v>
      </c>
      <c r="B27" s="7">
        <f>'[3]Production Summary'!J89</f>
        <v>13599999.999999909</v>
      </c>
      <c r="C27" s="8">
        <f t="shared" si="16"/>
        <v>13.599999999999909</v>
      </c>
      <c r="D27" s="10">
        <f t="shared" si="17"/>
        <v>41.751999999999718</v>
      </c>
      <c r="E27" s="7">
        <f>'[3]Production Summary'!E89</f>
        <v>9000000</v>
      </c>
      <c r="F27" s="8">
        <f t="shared" si="18"/>
        <v>9</v>
      </c>
      <c r="G27" s="10">
        <f t="shared" si="19"/>
        <v>27.63</v>
      </c>
      <c r="H27" s="7">
        <f>'[3]Production Summary'!G89</f>
        <v>6150000</v>
      </c>
      <c r="I27" s="8">
        <f t="shared" si="20"/>
        <v>6.15</v>
      </c>
      <c r="J27" s="10">
        <f t="shared" si="21"/>
        <v>18.880500000000001</v>
      </c>
      <c r="K27" s="7">
        <f>'[3]Production Summary'!T89</f>
        <v>1349579</v>
      </c>
      <c r="L27" s="8">
        <f t="shared" si="22"/>
        <v>1.3495790000000001</v>
      </c>
      <c r="M27" s="10">
        <f t="shared" si="23"/>
        <v>4.1432075299999997</v>
      </c>
      <c r="N27" s="21"/>
      <c r="O27" s="7">
        <f>'[3]Production Summary'!I89</f>
        <v>4905000.0000000047</v>
      </c>
      <c r="P27" s="8">
        <f t="shared" si="24"/>
        <v>4.9050000000000047</v>
      </c>
      <c r="Q27" s="10">
        <f t="shared" si="25"/>
        <v>15.058350000000013</v>
      </c>
      <c r="R27" s="7">
        <f>'[3]Production Summary'!C89</f>
        <v>5038000</v>
      </c>
      <c r="S27" s="8">
        <f t="shared" si="26"/>
        <v>5.0380000000000003</v>
      </c>
      <c r="T27" s="10">
        <f t="shared" si="27"/>
        <v>15.466659999999999</v>
      </c>
      <c r="U27" s="7">
        <f>'[3]Production Summary'!F89</f>
        <v>0</v>
      </c>
      <c r="V27" s="8">
        <f t="shared" si="28"/>
        <v>0</v>
      </c>
      <c r="W27" s="10">
        <f t="shared" si="29"/>
        <v>0</v>
      </c>
      <c r="X27" s="7">
        <f>'[3]Production Summary'!AB89</f>
        <v>129999.99999999546</v>
      </c>
      <c r="Y27" s="8">
        <f t="shared" si="30"/>
        <v>0.12999999999999545</v>
      </c>
      <c r="Z27" s="10">
        <f t="shared" si="31"/>
        <v>0.39909999999998602</v>
      </c>
      <c r="AA27" s="15"/>
      <c r="AB27" s="7">
        <f t="shared" si="32"/>
        <v>18504999.999999914</v>
      </c>
      <c r="AC27" s="8">
        <f t="shared" si="33"/>
        <v>18.504999999999914</v>
      </c>
      <c r="AD27" s="8">
        <f t="shared" si="34"/>
        <v>56.81034999999973</v>
      </c>
    </row>
    <row r="28" spans="1:30" x14ac:dyDescent="0.15">
      <c r="A28" s="27">
        <v>43275</v>
      </c>
      <c r="B28" s="7">
        <f>'[3]Production Summary'!J90</f>
        <v>23099999.999999911</v>
      </c>
      <c r="C28" s="8">
        <f t="shared" si="16"/>
        <v>23.099999999999909</v>
      </c>
      <c r="D28" s="10">
        <f t="shared" si="17"/>
        <v>70.916999999999717</v>
      </c>
      <c r="E28" s="7">
        <f>'[3]Production Summary'!E90</f>
        <v>15000000</v>
      </c>
      <c r="F28" s="8">
        <f t="shared" si="18"/>
        <v>15</v>
      </c>
      <c r="G28" s="10">
        <f t="shared" si="19"/>
        <v>46.05</v>
      </c>
      <c r="H28" s="7">
        <f>'[3]Production Summary'!G90</f>
        <v>9420000</v>
      </c>
      <c r="I28" s="8">
        <f t="shared" si="20"/>
        <v>9.42</v>
      </c>
      <c r="J28" s="10">
        <f t="shared" si="21"/>
        <v>28.9194</v>
      </c>
      <c r="K28" s="7">
        <f>'[3]Production Summary'!T90</f>
        <v>1998892</v>
      </c>
      <c r="L28" s="8">
        <f t="shared" si="22"/>
        <v>1.9988919999999999</v>
      </c>
      <c r="M28" s="10">
        <f t="shared" si="23"/>
        <v>6.1365984399999993</v>
      </c>
      <c r="N28" s="21"/>
      <c r="O28" s="7">
        <f>'[3]Production Summary'!I90</f>
        <v>5638999.9999999981</v>
      </c>
      <c r="P28" s="8">
        <f t="shared" si="24"/>
        <v>5.6389999999999985</v>
      </c>
      <c r="Q28" s="10">
        <f t="shared" si="25"/>
        <v>17.311729999999994</v>
      </c>
      <c r="R28" s="7">
        <f>'[3]Production Summary'!C90</f>
        <v>5829000</v>
      </c>
      <c r="S28" s="8">
        <f t="shared" si="26"/>
        <v>5.8289999999999997</v>
      </c>
      <c r="T28" s="10">
        <f t="shared" si="27"/>
        <v>17.895029999999998</v>
      </c>
      <c r="U28" s="7">
        <f>'[3]Production Summary'!F90</f>
        <v>0</v>
      </c>
      <c r="V28" s="8">
        <f t="shared" si="28"/>
        <v>0</v>
      </c>
      <c r="W28" s="10">
        <f t="shared" si="29"/>
        <v>0</v>
      </c>
      <c r="X28" s="7">
        <f>'[3]Production Summary'!AB90</f>
        <v>185000.00000000227</v>
      </c>
      <c r="Y28" s="8">
        <f t="shared" si="30"/>
        <v>0.18500000000000227</v>
      </c>
      <c r="Z28" s="10">
        <f t="shared" si="31"/>
        <v>0.56795000000000695</v>
      </c>
      <c r="AA28" s="15"/>
      <c r="AB28" s="7">
        <f t="shared" si="32"/>
        <v>28738999.999999911</v>
      </c>
      <c r="AC28" s="8">
        <f t="shared" si="33"/>
        <v>28.738999999999908</v>
      </c>
      <c r="AD28" s="8">
        <f t="shared" si="34"/>
        <v>88.228729999999715</v>
      </c>
    </row>
    <row r="29" spans="1:30" x14ac:dyDescent="0.15">
      <c r="A29" s="27">
        <v>43276</v>
      </c>
      <c r="B29" s="7">
        <f>'[3]Production Summary'!J91</f>
        <v>24000000</v>
      </c>
      <c r="C29" s="8">
        <f t="shared" si="16"/>
        <v>24</v>
      </c>
      <c r="D29" s="10">
        <f t="shared" si="17"/>
        <v>73.679999999999993</v>
      </c>
      <c r="E29" s="7">
        <f>'[3]Production Summary'!E91</f>
        <v>16000000</v>
      </c>
      <c r="F29" s="8">
        <f t="shared" si="18"/>
        <v>16</v>
      </c>
      <c r="G29" s="10">
        <f t="shared" si="19"/>
        <v>49.12</v>
      </c>
      <c r="H29" s="7">
        <f>'[3]Production Summary'!G91</f>
        <v>10070000</v>
      </c>
      <c r="I29" s="8">
        <f t="shared" si="20"/>
        <v>10.07</v>
      </c>
      <c r="J29" s="10">
        <f t="shared" si="21"/>
        <v>30.914899999999999</v>
      </c>
      <c r="K29" s="7">
        <f>'[3]Production Summary'!T91</f>
        <v>2332915</v>
      </c>
      <c r="L29" s="8">
        <f t="shared" si="22"/>
        <v>2.3329149999999998</v>
      </c>
      <c r="M29" s="10">
        <f t="shared" si="23"/>
        <v>7.1620490499999994</v>
      </c>
      <c r="N29" s="21"/>
      <c r="O29" s="7">
        <f>'[3]Production Summary'!I91</f>
        <v>5908000.0000000047</v>
      </c>
      <c r="P29" s="8">
        <f t="shared" si="24"/>
        <v>5.9080000000000048</v>
      </c>
      <c r="Q29" s="10">
        <f t="shared" si="25"/>
        <v>18.137560000000015</v>
      </c>
      <c r="R29" s="7">
        <f>'[3]Production Summary'!C91</f>
        <v>6038000</v>
      </c>
      <c r="S29" s="8">
        <f t="shared" si="26"/>
        <v>6.0380000000000003</v>
      </c>
      <c r="T29" s="10">
        <f t="shared" si="27"/>
        <v>18.536660000000001</v>
      </c>
      <c r="U29" s="7">
        <f>'[3]Production Summary'!F91</f>
        <v>0</v>
      </c>
      <c r="V29" s="8">
        <f t="shared" si="28"/>
        <v>0</v>
      </c>
      <c r="W29" s="10">
        <f t="shared" si="29"/>
        <v>0</v>
      </c>
      <c r="X29" s="7">
        <f>'[3]Production Summary'!AB91</f>
        <v>126999.99999999534</v>
      </c>
      <c r="Y29" s="8">
        <f t="shared" si="30"/>
        <v>0.12699999999999534</v>
      </c>
      <c r="Z29" s="10">
        <f t="shared" si="31"/>
        <v>0.38988999999998569</v>
      </c>
      <c r="AA29" s="15"/>
      <c r="AB29" s="7">
        <f t="shared" si="32"/>
        <v>29908000.000000004</v>
      </c>
      <c r="AC29" s="8">
        <f t="shared" si="33"/>
        <v>29.908000000000005</v>
      </c>
      <c r="AD29" s="8">
        <f t="shared" si="34"/>
        <v>91.817560000000014</v>
      </c>
    </row>
    <row r="30" spans="1:30" x14ac:dyDescent="0.15">
      <c r="A30" s="27">
        <v>43277</v>
      </c>
      <c r="B30" s="7">
        <f>'[3]Production Summary'!J92</f>
        <v>21400000.000000089</v>
      </c>
      <c r="C30" s="8">
        <f t="shared" si="16"/>
        <v>21.400000000000091</v>
      </c>
      <c r="D30" s="10">
        <f t="shared" si="17"/>
        <v>65.698000000000278</v>
      </c>
      <c r="E30" s="7">
        <f>'[3]Production Summary'!E92</f>
        <v>13000000</v>
      </c>
      <c r="F30" s="8">
        <f t="shared" si="18"/>
        <v>13</v>
      </c>
      <c r="G30" s="10">
        <f t="shared" si="19"/>
        <v>39.909999999999997</v>
      </c>
      <c r="H30" s="7">
        <f>'[3]Production Summary'!G92</f>
        <v>9390000</v>
      </c>
      <c r="I30" s="8">
        <f t="shared" si="20"/>
        <v>9.39</v>
      </c>
      <c r="J30" s="10">
        <f t="shared" si="21"/>
        <v>28.827300000000001</v>
      </c>
      <c r="K30" s="7">
        <f>'[3]Production Summary'!T92</f>
        <v>2091637</v>
      </c>
      <c r="L30" s="8">
        <f t="shared" si="22"/>
        <v>2.091637</v>
      </c>
      <c r="M30" s="10">
        <f t="shared" si="23"/>
        <v>6.4213255899999995</v>
      </c>
      <c r="N30" s="21"/>
      <c r="O30" s="7">
        <f>'[3]Production Summary'!I92</f>
        <v>9777000.0000000056</v>
      </c>
      <c r="P30" s="8">
        <f t="shared" si="24"/>
        <v>9.7770000000000064</v>
      </c>
      <c r="Q30" s="10">
        <f t="shared" si="25"/>
        <v>30.015390000000018</v>
      </c>
      <c r="R30" s="7">
        <f>'[3]Production Summary'!C92</f>
        <v>9899000</v>
      </c>
      <c r="S30" s="8">
        <f t="shared" si="26"/>
        <v>9.8989999999999991</v>
      </c>
      <c r="T30" s="10">
        <f t="shared" si="27"/>
        <v>30.389929999999996</v>
      </c>
      <c r="U30" s="7">
        <f>'[3]Production Summary'!F92</f>
        <v>0</v>
      </c>
      <c r="V30" s="8">
        <f t="shared" si="28"/>
        <v>0</v>
      </c>
      <c r="W30" s="10">
        <f t="shared" si="29"/>
        <v>0</v>
      </c>
      <c r="X30" s="7">
        <f>'[3]Production Summary'!AB92</f>
        <v>117999.99999999499</v>
      </c>
      <c r="Y30" s="8">
        <f t="shared" si="30"/>
        <v>0.117999999999995</v>
      </c>
      <c r="Z30" s="10">
        <f t="shared" si="31"/>
        <v>0.36225999999998465</v>
      </c>
      <c r="AA30" s="15"/>
      <c r="AB30" s="7">
        <f t="shared" si="32"/>
        <v>31177000.000000097</v>
      </c>
      <c r="AC30" s="8">
        <f t="shared" si="33"/>
        <v>31.177000000000099</v>
      </c>
      <c r="AD30" s="8">
        <f t="shared" si="34"/>
        <v>95.713390000000288</v>
      </c>
    </row>
    <row r="31" spans="1:30" x14ac:dyDescent="0.15">
      <c r="A31" s="27">
        <v>43278</v>
      </c>
      <c r="B31" s="7">
        <f>'[3]Production Summary'!J93</f>
        <v>22000000</v>
      </c>
      <c r="C31" s="8">
        <f t="shared" si="16"/>
        <v>22</v>
      </c>
      <c r="D31" s="10">
        <f t="shared" si="17"/>
        <v>67.539999999999992</v>
      </c>
      <c r="E31" s="7">
        <f>'[3]Production Summary'!E93</f>
        <v>15000000</v>
      </c>
      <c r="F31" s="8">
        <f t="shared" si="18"/>
        <v>15</v>
      </c>
      <c r="G31" s="10">
        <f t="shared" si="19"/>
        <v>46.05</v>
      </c>
      <c r="H31" s="7">
        <f>'[3]Production Summary'!G93</f>
        <v>9340000</v>
      </c>
      <c r="I31" s="8">
        <f t="shared" si="20"/>
        <v>9.34</v>
      </c>
      <c r="J31" s="10">
        <f t="shared" si="21"/>
        <v>28.673799999999996</v>
      </c>
      <c r="K31" s="7">
        <f>'[3]Production Summary'!T93</f>
        <v>2339123</v>
      </c>
      <c r="L31" s="8">
        <f t="shared" si="22"/>
        <v>2.3391229999999998</v>
      </c>
      <c r="M31" s="10">
        <f t="shared" si="23"/>
        <v>7.1811076099999989</v>
      </c>
      <c r="N31" s="21"/>
      <c r="O31" s="7">
        <f>'[3]Production Summary'!I93</f>
        <v>12071999.999999989</v>
      </c>
      <c r="P31" s="8">
        <f t="shared" si="24"/>
        <v>12.071999999999989</v>
      </c>
      <c r="Q31" s="10">
        <f t="shared" si="25"/>
        <v>37.061039999999963</v>
      </c>
      <c r="R31" s="7">
        <f>'[3]Production Summary'!C93</f>
        <v>12392000</v>
      </c>
      <c r="S31" s="8">
        <f t="shared" si="26"/>
        <v>12.391999999999999</v>
      </c>
      <c r="T31" s="10">
        <f t="shared" si="27"/>
        <v>38.043439999999997</v>
      </c>
      <c r="U31" s="7">
        <f>'[3]Production Summary'!F93</f>
        <v>0</v>
      </c>
      <c r="V31" s="8">
        <f t="shared" si="28"/>
        <v>0</v>
      </c>
      <c r="W31" s="10">
        <f t="shared" si="29"/>
        <v>0</v>
      </c>
      <c r="X31" s="7">
        <f>'[3]Production Summary'!AB93</f>
        <v>312000.00000001182</v>
      </c>
      <c r="Y31" s="8">
        <f t="shared" si="30"/>
        <v>0.31200000000001182</v>
      </c>
      <c r="Z31" s="10">
        <f t="shared" si="31"/>
        <v>0.95784000000003622</v>
      </c>
      <c r="AA31" s="15"/>
      <c r="AB31" s="7">
        <f t="shared" si="32"/>
        <v>34071999.999999985</v>
      </c>
      <c r="AC31" s="8">
        <f t="shared" si="33"/>
        <v>34.071999999999989</v>
      </c>
      <c r="AD31" s="8">
        <f t="shared" si="34"/>
        <v>104.60103999999995</v>
      </c>
    </row>
    <row r="32" spans="1:30" x14ac:dyDescent="0.15">
      <c r="A32" s="27">
        <v>43279</v>
      </c>
      <c r="B32" s="7">
        <f>'[3]Production Summary'!J94</f>
        <v>24000000</v>
      </c>
      <c r="C32" s="8">
        <f t="shared" si="16"/>
        <v>24</v>
      </c>
      <c r="D32" s="10">
        <f t="shared" si="17"/>
        <v>73.679999999999993</v>
      </c>
      <c r="E32" s="7">
        <f>'[3]Production Summary'!E94</f>
        <v>16000000</v>
      </c>
      <c r="F32" s="8">
        <f t="shared" si="18"/>
        <v>16</v>
      </c>
      <c r="G32" s="10">
        <f t="shared" si="19"/>
        <v>49.12</v>
      </c>
      <c r="H32" s="7">
        <f>'[3]Production Summary'!G94</f>
        <v>10140000</v>
      </c>
      <c r="I32" s="8">
        <f t="shared" si="20"/>
        <v>10.14</v>
      </c>
      <c r="J32" s="10">
        <f t="shared" si="21"/>
        <v>31.129799999999999</v>
      </c>
      <c r="K32" s="7">
        <f>'[3]Production Summary'!T94</f>
        <v>2755306</v>
      </c>
      <c r="L32" s="8">
        <f t="shared" si="22"/>
        <v>2.755306</v>
      </c>
      <c r="M32" s="10">
        <f t="shared" si="23"/>
        <v>8.4587894200000004</v>
      </c>
      <c r="N32" s="21"/>
      <c r="O32" s="7">
        <f>'[3]Production Summary'!I94</f>
        <v>13313000.000000002</v>
      </c>
      <c r="P32" s="8">
        <f t="shared" si="24"/>
        <v>13.313000000000002</v>
      </c>
      <c r="Q32" s="10">
        <f t="shared" si="25"/>
        <v>40.870910000000002</v>
      </c>
      <c r="R32" s="7">
        <f>'[3]Production Summary'!C94</f>
        <v>13379000</v>
      </c>
      <c r="S32" s="8">
        <f t="shared" si="26"/>
        <v>13.379</v>
      </c>
      <c r="T32" s="10">
        <f t="shared" si="27"/>
        <v>41.073529999999998</v>
      </c>
      <c r="U32" s="7">
        <f>'[3]Production Summary'!F94</f>
        <v>0</v>
      </c>
      <c r="V32" s="8">
        <f t="shared" si="28"/>
        <v>0</v>
      </c>
      <c r="W32" s="10">
        <f t="shared" si="29"/>
        <v>0</v>
      </c>
      <c r="X32" s="7">
        <f>'[3]Production Summary'!AB94</f>
        <v>64999.99999999773</v>
      </c>
      <c r="Y32" s="8">
        <f t="shared" si="30"/>
        <v>6.4999999999997726E-2</v>
      </c>
      <c r="Z32" s="10">
        <f t="shared" si="31"/>
        <v>0.19954999999999301</v>
      </c>
      <c r="AA32" s="15"/>
      <c r="AB32" s="7">
        <f t="shared" si="32"/>
        <v>37313000</v>
      </c>
      <c r="AC32" s="8">
        <f t="shared" si="33"/>
        <v>37.313000000000002</v>
      </c>
      <c r="AD32" s="8">
        <f t="shared" si="34"/>
        <v>114.55090999999999</v>
      </c>
    </row>
    <row r="33" spans="1:30" x14ac:dyDescent="0.15">
      <c r="A33" s="27">
        <v>43280</v>
      </c>
      <c r="B33" s="7">
        <f>'[3]Production Summary'!J95</f>
        <v>24299999.999999955</v>
      </c>
      <c r="C33" s="8">
        <f t="shared" si="16"/>
        <v>24.299999999999955</v>
      </c>
      <c r="D33" s="10">
        <f t="shared" si="17"/>
        <v>74.600999999999857</v>
      </c>
      <c r="E33" s="7">
        <f>'[3]Production Summary'!E95</f>
        <v>16000000</v>
      </c>
      <c r="F33" s="8">
        <f t="shared" si="18"/>
        <v>16</v>
      </c>
      <c r="G33" s="10">
        <f t="shared" si="19"/>
        <v>49.12</v>
      </c>
      <c r="H33" s="7">
        <f>'[3]Production Summary'!G95</f>
        <v>9830000</v>
      </c>
      <c r="I33" s="8">
        <f t="shared" si="20"/>
        <v>9.83</v>
      </c>
      <c r="J33" s="10">
        <f t="shared" si="21"/>
        <v>30.178099999999997</v>
      </c>
      <c r="K33" s="7">
        <f>'[3]Production Summary'!T95</f>
        <v>2414172</v>
      </c>
      <c r="L33" s="8">
        <f t="shared" si="22"/>
        <v>2.4141720000000002</v>
      </c>
      <c r="M33" s="10">
        <f t="shared" si="23"/>
        <v>7.4115080400000002</v>
      </c>
      <c r="N33" s="21"/>
      <c r="O33" s="7">
        <f>'[3]Production Summary'!I95</f>
        <v>13148999.999999998</v>
      </c>
      <c r="P33" s="8">
        <f t="shared" si="24"/>
        <v>13.148999999999997</v>
      </c>
      <c r="Q33" s="10">
        <f t="shared" si="25"/>
        <v>40.367429999999992</v>
      </c>
      <c r="R33" s="7">
        <f>'[3]Production Summary'!C95</f>
        <v>13470000</v>
      </c>
      <c r="S33" s="8">
        <f t="shared" si="26"/>
        <v>13.47</v>
      </c>
      <c r="T33" s="10">
        <f t="shared" si="27"/>
        <v>41.352899999999998</v>
      </c>
      <c r="U33" s="7">
        <f>'[3]Production Summary'!F95</f>
        <v>0</v>
      </c>
      <c r="V33" s="8">
        <f t="shared" si="28"/>
        <v>0</v>
      </c>
      <c r="W33" s="10">
        <f t="shared" si="29"/>
        <v>0</v>
      </c>
      <c r="X33" s="7">
        <f>'[3]Production Summary'!AB95</f>
        <v>313000.00000000239</v>
      </c>
      <c r="Y33" s="8">
        <f t="shared" si="30"/>
        <v>0.31300000000000239</v>
      </c>
      <c r="Z33" s="10">
        <f t="shared" si="31"/>
        <v>0.96091000000000726</v>
      </c>
      <c r="AA33" s="15"/>
      <c r="AB33" s="7">
        <f t="shared" si="32"/>
        <v>37448999.999999955</v>
      </c>
      <c r="AC33" s="8">
        <f t="shared" si="33"/>
        <v>37.448999999999955</v>
      </c>
      <c r="AD33" s="8">
        <f t="shared" si="34"/>
        <v>114.96842999999984</v>
      </c>
    </row>
    <row r="34" spans="1:30" ht="14" thickBot="1" x14ac:dyDescent="0.2">
      <c r="A34" s="27">
        <v>43281</v>
      </c>
      <c r="B34" s="7">
        <f>'[3]Production Summary'!J96</f>
        <v>21299999.999999955</v>
      </c>
      <c r="C34" s="8">
        <f t="shared" si="16"/>
        <v>21.299999999999955</v>
      </c>
      <c r="D34" s="10">
        <f t="shared" si="17"/>
        <v>65.390999999999863</v>
      </c>
      <c r="E34" s="7">
        <f>'[3]Production Summary'!E96</f>
        <v>13000000</v>
      </c>
      <c r="F34" s="8">
        <f t="shared" si="18"/>
        <v>13</v>
      </c>
      <c r="G34" s="10">
        <f t="shared" si="19"/>
        <v>39.909999999999997</v>
      </c>
      <c r="H34" s="7">
        <f>'[3]Production Summary'!G96</f>
        <v>8710000</v>
      </c>
      <c r="I34" s="8">
        <f t="shared" si="20"/>
        <v>8.7100000000000009</v>
      </c>
      <c r="J34" s="10">
        <f t="shared" si="21"/>
        <v>26.739700000000003</v>
      </c>
      <c r="K34" s="7">
        <f>'[3]Production Summary'!T96</f>
        <v>2210231</v>
      </c>
      <c r="L34" s="8">
        <f t="shared" si="22"/>
        <v>2.2102309999999998</v>
      </c>
      <c r="M34" s="10">
        <f t="shared" si="23"/>
        <v>6.7854091699999994</v>
      </c>
      <c r="N34" s="21"/>
      <c r="O34" s="7">
        <f>'[3]Production Summary'!I96</f>
        <v>12031000.000000006</v>
      </c>
      <c r="P34" s="8">
        <f t="shared" si="24"/>
        <v>12.031000000000006</v>
      </c>
      <c r="Q34" s="10">
        <f t="shared" si="25"/>
        <v>36.935170000000014</v>
      </c>
      <c r="R34" s="7">
        <f>'[3]Production Summary'!C96</f>
        <v>12415000</v>
      </c>
      <c r="S34" s="8">
        <f t="shared" si="26"/>
        <v>12.414999999999999</v>
      </c>
      <c r="T34" s="10">
        <f t="shared" si="27"/>
        <v>38.114049999999999</v>
      </c>
      <c r="U34" s="7">
        <f>'[3]Production Summary'!F96</f>
        <v>0</v>
      </c>
      <c r="V34" s="8">
        <f t="shared" si="28"/>
        <v>0</v>
      </c>
      <c r="W34" s="10">
        <f t="shared" si="29"/>
        <v>0</v>
      </c>
      <c r="X34" s="7">
        <f>'[3]Production Summary'!AB96</f>
        <v>373999.99999999523</v>
      </c>
      <c r="Y34" s="8">
        <f t="shared" si="30"/>
        <v>0.37399999999999523</v>
      </c>
      <c r="Z34" s="10">
        <f t="shared" si="31"/>
        <v>1.1481799999999853</v>
      </c>
      <c r="AA34" s="15"/>
      <c r="AB34" s="7">
        <f t="shared" si="32"/>
        <v>33330999.999999963</v>
      </c>
      <c r="AC34" s="8">
        <f t="shared" si="33"/>
        <v>33.33099999999996</v>
      </c>
      <c r="AD34" s="8">
        <f t="shared" si="34"/>
        <v>102.32616999999988</v>
      </c>
    </row>
    <row r="35" spans="1:30" ht="14" thickBot="1" x14ac:dyDescent="0.2">
      <c r="A35" s="3"/>
      <c r="B35" s="37"/>
      <c r="C35" s="38">
        <f>SUM(C5:C34)</f>
        <v>647.09999999999991</v>
      </c>
      <c r="D35" s="38">
        <f t="shared" ref="D35" si="35">C35*3.07</f>
        <v>1986.5969999999995</v>
      </c>
      <c r="E35" s="37"/>
      <c r="F35" s="38">
        <f>SUM(F5:F34)</f>
        <v>434</v>
      </c>
      <c r="G35" s="38">
        <f t="shared" ref="G35" si="36">F35*3.07</f>
        <v>1332.3799999999999</v>
      </c>
      <c r="H35" s="37"/>
      <c r="I35" s="38">
        <f>SUM(I5:I34)</f>
        <v>279.66999999999996</v>
      </c>
      <c r="J35" s="38">
        <f t="shared" ref="J35" si="37">I35*3.07</f>
        <v>858.58689999999979</v>
      </c>
      <c r="K35" s="37"/>
      <c r="L35" s="38">
        <f>SUM(L5:L34)</f>
        <v>65.598117999999985</v>
      </c>
      <c r="M35" s="38">
        <f t="shared" ref="M35" si="38">L35*3.07</f>
        <v>201.38622225999995</v>
      </c>
      <c r="N35" s="14"/>
      <c r="O35" s="37"/>
      <c r="P35" s="38">
        <f>SUM(P5:P34)</f>
        <v>242.024</v>
      </c>
      <c r="Q35" s="38">
        <f t="shared" ref="Q35" si="39">P35*3.07</f>
        <v>743.01367999999991</v>
      </c>
      <c r="R35" s="37"/>
      <c r="S35" s="38">
        <f>SUM(S5:S34)</f>
        <v>247.92000000000002</v>
      </c>
      <c r="T35" s="38">
        <f t="shared" ref="T35" si="40">S35*3.07</f>
        <v>761.11440000000005</v>
      </c>
      <c r="U35" s="37"/>
      <c r="V35" s="38">
        <f>SUM(V5:V34)</f>
        <v>0</v>
      </c>
      <c r="W35" s="38">
        <f t="shared" ref="W35" si="41">V35*3.07</f>
        <v>0</v>
      </c>
      <c r="X35" s="37"/>
      <c r="Y35" s="38">
        <f>SUM(Y5:Y34)</f>
        <v>5.7469999999999999</v>
      </c>
      <c r="Z35" s="38">
        <f t="shared" ref="Z35" si="42">Y35*3.07</f>
        <v>17.64329</v>
      </c>
      <c r="AA35" s="14"/>
      <c r="AB35" s="37"/>
      <c r="AC35" s="38">
        <f>SUM(AC5:AC34)</f>
        <v>889.12400000000002</v>
      </c>
      <c r="AD35" s="38">
        <f>AC35*3.07</f>
        <v>2729.6106799999998</v>
      </c>
    </row>
    <row r="36" spans="1:30" x14ac:dyDescent="0.15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14"/>
    </row>
    <row r="43" spans="1:30" x14ac:dyDescent="0.15">
      <c r="T43" s="18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pageSetUpPr fitToPage="1"/>
  </sheetPr>
  <dimension ref="A1:AI38"/>
  <sheetViews>
    <sheetView workbookViewId="0">
      <pane xSplit="1" ySplit="4" topLeftCell="N11" activePane="bottomRight" state="frozen"/>
      <selection activeCell="J30" sqref="J30:J32"/>
      <selection pane="topRight" activeCell="J30" sqref="J30:J32"/>
      <selection pane="bottomLeft" activeCell="J30" sqref="J30:J32"/>
      <selection pane="bottomRight" activeCell="AF24" sqref="AF24:AH27"/>
    </sheetView>
  </sheetViews>
  <sheetFormatPr baseColWidth="10" defaultColWidth="8.83203125" defaultRowHeight="13" x14ac:dyDescent="0.15"/>
  <cols>
    <col min="2" max="2" width="11.1640625" customWidth="1"/>
    <col min="5" max="5" width="11.33203125" customWidth="1"/>
    <col min="8" max="8" width="13.5" customWidth="1"/>
    <col min="9" max="9" width="9.6640625" customWidth="1"/>
    <col min="10" max="10" width="11.5" customWidth="1"/>
    <col min="11" max="11" width="13.5" bestFit="1" customWidth="1"/>
    <col min="12" max="12" width="11.5" customWidth="1"/>
    <col min="14" max="14" width="19.6640625" customWidth="1"/>
    <col min="15" max="15" width="11.1640625" customWidth="1"/>
    <col min="18" max="18" width="11.1640625" customWidth="1"/>
    <col min="21" max="21" width="10.6640625" bestFit="1" customWidth="1"/>
    <col min="22" max="22" width="10.5" customWidth="1"/>
    <col min="27" max="27" width="4.5" customWidth="1"/>
    <col min="28" max="28" width="10.6640625" customWidth="1"/>
    <col min="29" max="29" width="11.33203125" customWidth="1"/>
    <col min="30" max="30" width="10.83203125" customWidth="1"/>
    <col min="31" max="31" width="4.6640625" customWidth="1"/>
    <col min="32" max="32" width="12.1640625" customWidth="1"/>
  </cols>
  <sheetData>
    <row r="1" spans="1:34" s="3" customFormat="1" x14ac:dyDescent="0.15">
      <c r="A1" s="41"/>
      <c r="B1" s="39"/>
      <c r="C1" s="25"/>
      <c r="D1" s="25"/>
      <c r="E1" s="25"/>
      <c r="F1" s="25"/>
      <c r="K1" s="14"/>
      <c r="U1" s="14"/>
    </row>
    <row r="2" spans="1:34" s="3" customFormat="1" ht="14" thickBot="1" x14ac:dyDescent="0.2">
      <c r="C2" s="24"/>
      <c r="K2" s="14"/>
      <c r="U2" s="14"/>
    </row>
    <row r="3" spans="1:34" s="3" customFormat="1" ht="60.75" customHeight="1" thickBot="1" x14ac:dyDescent="0.2">
      <c r="B3" s="59" t="s">
        <v>10</v>
      </c>
      <c r="C3" s="60"/>
      <c r="D3" s="61"/>
      <c r="E3" s="59" t="s">
        <v>11</v>
      </c>
      <c r="F3" s="60"/>
      <c r="G3" s="61"/>
      <c r="H3" s="59" t="s">
        <v>12</v>
      </c>
      <c r="I3" s="60"/>
      <c r="J3" s="61"/>
      <c r="K3" s="59" t="s">
        <v>13</v>
      </c>
      <c r="L3" s="60"/>
      <c r="M3" s="61"/>
      <c r="N3" s="19"/>
      <c r="O3" s="59" t="s">
        <v>4</v>
      </c>
      <c r="P3" s="60"/>
      <c r="Q3" s="61"/>
      <c r="R3" s="59" t="s">
        <v>3</v>
      </c>
      <c r="S3" s="60"/>
      <c r="T3" s="61"/>
      <c r="U3" s="59" t="s">
        <v>15</v>
      </c>
      <c r="V3" s="60"/>
      <c r="W3" s="61"/>
      <c r="X3" s="59" t="s">
        <v>7</v>
      </c>
      <c r="Y3" s="60"/>
      <c r="Z3" s="61"/>
      <c r="AA3" s="19"/>
      <c r="AB3" s="56" t="s">
        <v>5</v>
      </c>
      <c r="AC3" s="57"/>
      <c r="AD3" s="58"/>
      <c r="AF3" s="59" t="s">
        <v>8</v>
      </c>
      <c r="AG3" s="60"/>
      <c r="AH3" s="61"/>
    </row>
    <row r="4" spans="1:34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4" t="s">
        <v>0</v>
      </c>
      <c r="AC4" s="5" t="s">
        <v>1</v>
      </c>
      <c r="AD4" s="6" t="s">
        <v>2</v>
      </c>
      <c r="AF4" s="34" t="s">
        <v>0</v>
      </c>
      <c r="AG4" s="35" t="s">
        <v>1</v>
      </c>
      <c r="AH4" s="36" t="s">
        <v>2</v>
      </c>
    </row>
    <row r="5" spans="1:34" x14ac:dyDescent="0.15">
      <c r="A5" s="27">
        <v>43282</v>
      </c>
      <c r="B5" s="7">
        <f>'[4]Production Summary'!$J6</f>
        <v>18000000</v>
      </c>
      <c r="C5" s="8">
        <f t="shared" ref="C5" si="0">B5/1000000</f>
        <v>18</v>
      </c>
      <c r="D5" s="10">
        <f t="shared" ref="D5" si="1">C5*3.07</f>
        <v>55.26</v>
      </c>
      <c r="E5" s="7">
        <f>'[4]Production Summary'!$E6</f>
        <v>6250000</v>
      </c>
      <c r="F5" s="8">
        <f t="shared" ref="F5" si="2">E5/1000000</f>
        <v>6.25</v>
      </c>
      <c r="G5" s="10">
        <f t="shared" ref="G5" si="3">F5*3.07</f>
        <v>19.1875</v>
      </c>
      <c r="H5" s="7">
        <f>'[4]Production Summary'!$G6</f>
        <v>11760000</v>
      </c>
      <c r="I5" s="8">
        <f t="shared" ref="I5" si="4">H5/1000000</f>
        <v>11.76</v>
      </c>
      <c r="J5" s="10">
        <f t="shared" ref="J5" si="5">I5*3.07</f>
        <v>36.103199999999994</v>
      </c>
      <c r="K5" s="7">
        <f>'[4]Production Summary'!$T6</f>
        <v>1821650</v>
      </c>
      <c r="L5" s="8">
        <f t="shared" ref="L5" si="6">K5/1000000</f>
        <v>1.82165</v>
      </c>
      <c r="M5" s="10">
        <f t="shared" ref="M5" si="7">L5*3.07</f>
        <v>5.5924654999999994</v>
      </c>
      <c r="N5" s="21"/>
      <c r="O5" s="7">
        <f>'[4]Production Summary'!$I6</f>
        <v>16750000.000000002</v>
      </c>
      <c r="P5" s="8">
        <f t="shared" ref="P5" si="8">O5/1000000</f>
        <v>16.750000000000004</v>
      </c>
      <c r="Q5" s="10">
        <f t="shared" ref="Q5" si="9">P5*3.07</f>
        <v>51.422500000000007</v>
      </c>
      <c r="R5" s="7">
        <f>'[4]Production Summary'!$C6</f>
        <v>14082000</v>
      </c>
      <c r="S5" s="8">
        <f t="shared" ref="S5" si="10">R5/1000000</f>
        <v>14.082000000000001</v>
      </c>
      <c r="T5" s="10">
        <f t="shared" ref="T5" si="11">S5*3.07</f>
        <v>43.231740000000002</v>
      </c>
      <c r="U5" s="7">
        <f>'[4]Production Summary'!$F6</f>
        <v>32000</v>
      </c>
      <c r="V5" s="8">
        <f t="shared" ref="V5" si="12">U5/1000000</f>
        <v>3.2000000000000001E-2</v>
      </c>
      <c r="W5" s="10">
        <f t="shared" ref="W5" si="13">V5*3.07</f>
        <v>9.8239999999999994E-2</v>
      </c>
      <c r="X5" s="7">
        <f>'[4]Production Summary'!$AB6</f>
        <v>323999.99999999808</v>
      </c>
      <c r="Y5" s="8">
        <f t="shared" ref="Y5" si="14">X5/1000000</f>
        <v>0.32399999999999807</v>
      </c>
      <c r="Z5" s="10">
        <f t="shared" ref="Z5" si="15">Y5*3.07</f>
        <v>0.99467999999999401</v>
      </c>
      <c r="AA5" s="15"/>
      <c r="AB5" s="7">
        <v>0</v>
      </c>
      <c r="AC5" s="8">
        <f t="shared" ref="AC5:AC18" si="16">AB5/1000000</f>
        <v>0</v>
      </c>
      <c r="AD5" s="10">
        <f t="shared" ref="AD5:AD36" si="17">AC5*3.07</f>
        <v>0</v>
      </c>
      <c r="AF5" s="7">
        <f t="shared" ref="AF5:AF35" si="18">B5+O5</f>
        <v>34750000</v>
      </c>
      <c r="AG5" s="8">
        <f t="shared" ref="AG5:AG35" si="19">C5+P5</f>
        <v>34.75</v>
      </c>
      <c r="AH5" s="8">
        <f t="shared" ref="AH5:AH35" si="20">D5+Q5</f>
        <v>106.6825</v>
      </c>
    </row>
    <row r="6" spans="1:34" x14ac:dyDescent="0.15">
      <c r="A6" s="27">
        <v>43283</v>
      </c>
      <c r="B6" s="7">
        <f>'[4]Production Summary'!$J7</f>
        <v>15900000.000000091</v>
      </c>
      <c r="C6" s="8">
        <f t="shared" ref="C6:C35" si="21">B6/1000000</f>
        <v>15.900000000000091</v>
      </c>
      <c r="D6" s="10">
        <f t="shared" ref="D6:D35" si="22">C6*3.07</f>
        <v>48.813000000000279</v>
      </c>
      <c r="E6" s="7">
        <f>'[4]Production Summary'!$E7</f>
        <v>3000000</v>
      </c>
      <c r="F6" s="8">
        <f t="shared" ref="F6:F35" si="23">E6/1000000</f>
        <v>3</v>
      </c>
      <c r="G6" s="10">
        <f t="shared" ref="G6:G35" si="24">F6*3.07</f>
        <v>9.2099999999999991</v>
      </c>
      <c r="H6" s="7">
        <f>'[4]Production Summary'!$G7</f>
        <v>11260000</v>
      </c>
      <c r="I6" s="8">
        <f t="shared" ref="I6:I35" si="25">H6/1000000</f>
        <v>11.26</v>
      </c>
      <c r="J6" s="10">
        <f t="shared" ref="J6:J35" si="26">I6*3.07</f>
        <v>34.568199999999997</v>
      </c>
      <c r="K6" s="7">
        <f>'[4]Production Summary'!$T7</f>
        <v>1447602</v>
      </c>
      <c r="L6" s="8">
        <f t="shared" ref="L6:L35" si="27">K6/1000000</f>
        <v>1.4476020000000001</v>
      </c>
      <c r="M6" s="10">
        <f t="shared" ref="M6:M35" si="28">L6*3.07</f>
        <v>4.4441381399999997</v>
      </c>
      <c r="N6" s="21"/>
      <c r="O6" s="7">
        <f>'[4]Production Summary'!$I7</f>
        <v>10627999.999999996</v>
      </c>
      <c r="P6" s="8">
        <f t="shared" ref="P6:P35" si="29">O6/1000000</f>
        <v>10.627999999999997</v>
      </c>
      <c r="Q6" s="10">
        <f t="shared" ref="Q6:Q35" si="30">P6*3.07</f>
        <v>32.627959999999987</v>
      </c>
      <c r="R6" s="7">
        <f>'[4]Production Summary'!$C7</f>
        <v>13748000</v>
      </c>
      <c r="S6" s="8">
        <f t="shared" ref="S6:S35" si="31">R6/1000000</f>
        <v>13.747999999999999</v>
      </c>
      <c r="T6" s="10">
        <f t="shared" ref="T6:T35" si="32">S6*3.07</f>
        <v>42.206359999999997</v>
      </c>
      <c r="U6" s="7">
        <f>'[4]Production Summary'!$F7</f>
        <v>0</v>
      </c>
      <c r="V6" s="8">
        <f t="shared" ref="V6:V35" si="33">U6/1000000</f>
        <v>0</v>
      </c>
      <c r="W6" s="10">
        <f t="shared" ref="W6:W35" si="34">V6*3.07</f>
        <v>0</v>
      </c>
      <c r="X6" s="7">
        <f>'[4]Production Summary'!$AB7</f>
        <v>117000.00000000444</v>
      </c>
      <c r="Y6" s="8">
        <f t="shared" ref="Y6:Y35" si="35">X6/1000000</f>
        <v>0.11700000000000443</v>
      </c>
      <c r="Z6" s="10">
        <f t="shared" ref="Z6:Z35" si="36">Y6*3.07</f>
        <v>0.35919000000001361</v>
      </c>
      <c r="AA6" s="15"/>
      <c r="AB6" s="7">
        <v>0</v>
      </c>
      <c r="AC6" s="8">
        <f t="shared" si="16"/>
        <v>0</v>
      </c>
      <c r="AD6" s="10">
        <f t="shared" si="17"/>
        <v>0</v>
      </c>
      <c r="AF6" s="7">
        <f t="shared" si="18"/>
        <v>26528000.000000089</v>
      </c>
      <c r="AG6" s="8">
        <f t="shared" si="19"/>
        <v>26.528000000000088</v>
      </c>
      <c r="AH6" s="8">
        <f t="shared" si="20"/>
        <v>81.440960000000274</v>
      </c>
    </row>
    <row r="7" spans="1:34" x14ac:dyDescent="0.15">
      <c r="A7" s="27">
        <v>43284</v>
      </c>
      <c r="B7" s="7">
        <f>'[4]Production Summary'!$J8</f>
        <v>18700000.000000045</v>
      </c>
      <c r="C7" s="8">
        <f t="shared" si="21"/>
        <v>18.700000000000045</v>
      </c>
      <c r="D7" s="10">
        <f t="shared" si="22"/>
        <v>57.409000000000134</v>
      </c>
      <c r="E7" s="7">
        <f>'[4]Production Summary'!$E8</f>
        <v>13000000</v>
      </c>
      <c r="F7" s="8">
        <f t="shared" si="23"/>
        <v>13</v>
      </c>
      <c r="G7" s="10">
        <f t="shared" si="24"/>
        <v>39.909999999999997</v>
      </c>
      <c r="H7" s="7">
        <f>'[4]Production Summary'!$G8</f>
        <v>7920000</v>
      </c>
      <c r="I7" s="8">
        <f t="shared" si="25"/>
        <v>7.92</v>
      </c>
      <c r="J7" s="10">
        <f t="shared" si="26"/>
        <v>24.314399999999999</v>
      </c>
      <c r="K7" s="7">
        <f>'[4]Production Summary'!$T8</f>
        <v>1998473</v>
      </c>
      <c r="L7" s="8">
        <f t="shared" si="27"/>
        <v>1.9984729999999999</v>
      </c>
      <c r="M7" s="10">
        <f t="shared" si="28"/>
        <v>6.1353121099999992</v>
      </c>
      <c r="N7" s="21"/>
      <c r="O7" s="7">
        <f>'[4]Production Summary'!$I8</f>
        <v>14593000.000000002</v>
      </c>
      <c r="P7" s="8">
        <f t="shared" si="29"/>
        <v>14.593000000000002</v>
      </c>
      <c r="Q7" s="10">
        <f t="shared" si="30"/>
        <v>44.800510000000003</v>
      </c>
      <c r="R7" s="7">
        <f>'[4]Production Summary'!$C8</f>
        <v>14913000</v>
      </c>
      <c r="S7" s="8">
        <f t="shared" si="31"/>
        <v>14.913</v>
      </c>
      <c r="T7" s="10">
        <f t="shared" si="32"/>
        <v>45.782910000000001</v>
      </c>
      <c r="U7" s="7">
        <f>'[4]Production Summary'!$F8</f>
        <v>0</v>
      </c>
      <c r="V7" s="8">
        <f t="shared" si="33"/>
        <v>0</v>
      </c>
      <c r="W7" s="10">
        <f t="shared" si="34"/>
        <v>0</v>
      </c>
      <c r="X7" s="7">
        <f>'[4]Production Summary'!$AB8</f>
        <v>311999.99999999761</v>
      </c>
      <c r="Y7" s="8">
        <f t="shared" si="35"/>
        <v>0.31199999999999761</v>
      </c>
      <c r="Z7" s="10">
        <f t="shared" si="36"/>
        <v>0.95783999999999259</v>
      </c>
      <c r="AA7" s="15"/>
      <c r="AB7" s="7">
        <v>0</v>
      </c>
      <c r="AC7" s="8">
        <f t="shared" si="16"/>
        <v>0</v>
      </c>
      <c r="AD7" s="10">
        <f t="shared" si="17"/>
        <v>0</v>
      </c>
      <c r="AF7" s="7">
        <f t="shared" si="18"/>
        <v>33293000.000000045</v>
      </c>
      <c r="AG7" s="8">
        <f t="shared" si="19"/>
        <v>33.293000000000049</v>
      </c>
      <c r="AH7" s="8">
        <f t="shared" si="20"/>
        <v>102.20951000000014</v>
      </c>
    </row>
    <row r="8" spans="1:34" x14ac:dyDescent="0.15">
      <c r="A8" s="27">
        <v>43285</v>
      </c>
      <c r="B8" s="7">
        <f>'[4]Production Summary'!$J9</f>
        <v>19799999.999999955</v>
      </c>
      <c r="C8" s="8">
        <f t="shared" si="21"/>
        <v>19.799999999999955</v>
      </c>
      <c r="D8" s="10">
        <f t="shared" si="22"/>
        <v>60.785999999999859</v>
      </c>
      <c r="E8" s="7">
        <f>'[4]Production Summary'!$E9</f>
        <v>14000000</v>
      </c>
      <c r="F8" s="8">
        <f t="shared" si="23"/>
        <v>14</v>
      </c>
      <c r="G8" s="10">
        <f t="shared" si="24"/>
        <v>42.98</v>
      </c>
      <c r="H8" s="7">
        <f>'[4]Production Summary'!$G9</f>
        <v>7940000</v>
      </c>
      <c r="I8" s="8">
        <f t="shared" si="25"/>
        <v>7.94</v>
      </c>
      <c r="J8" s="10">
        <f t="shared" si="26"/>
        <v>24.375800000000002</v>
      </c>
      <c r="K8" s="7">
        <f>'[4]Production Summary'!$T9</f>
        <v>2144762</v>
      </c>
      <c r="L8" s="8">
        <f t="shared" si="27"/>
        <v>2.1447620000000001</v>
      </c>
      <c r="M8" s="10">
        <f t="shared" si="28"/>
        <v>6.5844193400000002</v>
      </c>
      <c r="N8" s="21"/>
      <c r="O8" s="7">
        <f>'[4]Production Summary'!$I9</f>
        <v>12464000.000000002</v>
      </c>
      <c r="P8" s="8">
        <f t="shared" si="29"/>
        <v>12.464000000000002</v>
      </c>
      <c r="Q8" s="10">
        <f t="shared" si="30"/>
        <v>38.264480000000006</v>
      </c>
      <c r="R8" s="7">
        <f>'[4]Production Summary'!$C9</f>
        <v>12797000</v>
      </c>
      <c r="S8" s="8">
        <f t="shared" si="31"/>
        <v>12.797000000000001</v>
      </c>
      <c r="T8" s="10">
        <f t="shared" si="32"/>
        <v>39.286789999999996</v>
      </c>
      <c r="U8" s="7">
        <f>'[4]Production Summary'!$F9</f>
        <v>0</v>
      </c>
      <c r="V8" s="8">
        <f t="shared" si="33"/>
        <v>0</v>
      </c>
      <c r="W8" s="10">
        <f t="shared" si="34"/>
        <v>0</v>
      </c>
      <c r="X8" s="7">
        <f>'[4]Production Summary'!$AB9</f>
        <v>323999.99999999808</v>
      </c>
      <c r="Y8" s="8">
        <f t="shared" si="35"/>
        <v>0.32399999999999807</v>
      </c>
      <c r="Z8" s="10">
        <f t="shared" si="36"/>
        <v>0.99467999999999401</v>
      </c>
      <c r="AA8" s="15"/>
      <c r="AB8" s="7">
        <v>0</v>
      </c>
      <c r="AC8" s="8">
        <f t="shared" si="16"/>
        <v>0</v>
      </c>
      <c r="AD8" s="10">
        <f t="shared" si="17"/>
        <v>0</v>
      </c>
      <c r="AF8" s="7">
        <f t="shared" si="18"/>
        <v>32263999.999999955</v>
      </c>
      <c r="AG8" s="8">
        <f t="shared" si="19"/>
        <v>32.263999999999953</v>
      </c>
      <c r="AH8" s="8">
        <f t="shared" si="20"/>
        <v>99.050479999999865</v>
      </c>
    </row>
    <row r="9" spans="1:34" x14ac:dyDescent="0.15">
      <c r="A9" s="27">
        <v>43286</v>
      </c>
      <c r="B9" s="7">
        <f>'[4]Production Summary'!$J10</f>
        <v>14299999.999999955</v>
      </c>
      <c r="C9" s="8">
        <f t="shared" si="21"/>
        <v>14.299999999999955</v>
      </c>
      <c r="D9" s="10">
        <f t="shared" si="22"/>
        <v>43.900999999999861</v>
      </c>
      <c r="E9" s="7">
        <f>'[4]Production Summary'!$E10</f>
        <v>9000000</v>
      </c>
      <c r="F9" s="8">
        <f t="shared" si="23"/>
        <v>9</v>
      </c>
      <c r="G9" s="10">
        <f t="shared" si="24"/>
        <v>27.63</v>
      </c>
      <c r="H9" s="7">
        <f>'[4]Production Summary'!$G10</f>
        <v>5800000</v>
      </c>
      <c r="I9" s="8">
        <f t="shared" si="25"/>
        <v>5.8</v>
      </c>
      <c r="J9" s="10">
        <f t="shared" si="26"/>
        <v>17.805999999999997</v>
      </c>
      <c r="K9" s="7">
        <f>'[4]Production Summary'!$T10</f>
        <v>1343833</v>
      </c>
      <c r="L9" s="8">
        <f t="shared" si="27"/>
        <v>1.3438330000000001</v>
      </c>
      <c r="M9" s="10">
        <f t="shared" si="28"/>
        <v>4.1255673100000001</v>
      </c>
      <c r="N9" s="21"/>
      <c r="O9" s="7">
        <f>'[4]Production Summary'!$I10</f>
        <v>9731000.0000000056</v>
      </c>
      <c r="P9" s="8">
        <f t="shared" si="29"/>
        <v>9.7310000000000052</v>
      </c>
      <c r="Q9" s="10">
        <f t="shared" si="30"/>
        <v>29.874170000000014</v>
      </c>
      <c r="R9" s="7">
        <f>'[4]Production Summary'!$C10</f>
        <v>9983000</v>
      </c>
      <c r="S9" s="8">
        <f t="shared" si="31"/>
        <v>9.9830000000000005</v>
      </c>
      <c r="T9" s="10">
        <f t="shared" si="32"/>
        <v>30.64781</v>
      </c>
      <c r="U9" s="7">
        <f>'[4]Production Summary'!$F10</f>
        <v>0</v>
      </c>
      <c r="V9" s="8">
        <f t="shared" si="33"/>
        <v>0</v>
      </c>
      <c r="W9" s="10">
        <f t="shared" si="34"/>
        <v>0</v>
      </c>
      <c r="X9" s="7">
        <f>'[4]Production Summary'!$AB10</f>
        <v>245999.99999999511</v>
      </c>
      <c r="Y9" s="8">
        <f t="shared" si="35"/>
        <v>0.24599999999999511</v>
      </c>
      <c r="Z9" s="10">
        <f t="shared" si="36"/>
        <v>0.7552199999999849</v>
      </c>
      <c r="AA9" s="15"/>
      <c r="AB9" s="7">
        <v>0</v>
      </c>
      <c r="AC9" s="8">
        <f t="shared" si="16"/>
        <v>0</v>
      </c>
      <c r="AD9" s="10">
        <f t="shared" si="17"/>
        <v>0</v>
      </c>
      <c r="AF9" s="7">
        <f t="shared" si="18"/>
        <v>24030999.999999963</v>
      </c>
      <c r="AG9" s="8">
        <f t="shared" si="19"/>
        <v>24.03099999999996</v>
      </c>
      <c r="AH9" s="8">
        <f t="shared" si="20"/>
        <v>73.775169999999875</v>
      </c>
    </row>
    <row r="10" spans="1:34" x14ac:dyDescent="0.15">
      <c r="A10" s="27">
        <v>43287</v>
      </c>
      <c r="B10" s="7">
        <f>'[4]Production Summary'!$J11</f>
        <v>14600000.000000136</v>
      </c>
      <c r="C10" s="8">
        <f t="shared" si="21"/>
        <v>14.600000000000136</v>
      </c>
      <c r="D10" s="10">
        <f t="shared" si="22"/>
        <v>44.822000000000415</v>
      </c>
      <c r="E10" s="7">
        <f>'[4]Production Summary'!$E11</f>
        <v>10000000</v>
      </c>
      <c r="F10" s="8">
        <f t="shared" si="23"/>
        <v>10</v>
      </c>
      <c r="G10" s="10">
        <f t="shared" si="24"/>
        <v>30.7</v>
      </c>
      <c r="H10" s="7">
        <f>'[4]Production Summary'!$G11</f>
        <v>5970000</v>
      </c>
      <c r="I10" s="8">
        <f t="shared" si="25"/>
        <v>5.97</v>
      </c>
      <c r="J10" s="10">
        <f t="shared" si="26"/>
        <v>18.3279</v>
      </c>
      <c r="K10" s="7">
        <f>'[4]Production Summary'!$T11</f>
        <v>1579206</v>
      </c>
      <c r="L10" s="8">
        <f t="shared" si="27"/>
        <v>1.5792060000000001</v>
      </c>
      <c r="M10" s="10">
        <f t="shared" si="28"/>
        <v>4.8481624200000004</v>
      </c>
      <c r="N10" s="21"/>
      <c r="O10" s="7">
        <f>'[4]Production Summary'!$I11</f>
        <v>9869999.9999999981</v>
      </c>
      <c r="P10" s="8">
        <f t="shared" si="29"/>
        <v>9.8699999999999974</v>
      </c>
      <c r="Q10" s="10">
        <f t="shared" si="30"/>
        <v>30.300899999999992</v>
      </c>
      <c r="R10" s="7">
        <f>'[4]Production Summary'!$C11</f>
        <v>10057000</v>
      </c>
      <c r="S10" s="8">
        <f t="shared" si="31"/>
        <v>10.057</v>
      </c>
      <c r="T10" s="10">
        <f t="shared" si="32"/>
        <v>30.87499</v>
      </c>
      <c r="U10" s="7">
        <f>'[4]Production Summary'!$F11</f>
        <v>0</v>
      </c>
      <c r="V10" s="8">
        <f t="shared" si="33"/>
        <v>0</v>
      </c>
      <c r="W10" s="10">
        <f t="shared" si="34"/>
        <v>0</v>
      </c>
      <c r="X10" s="7">
        <f>'[4]Production Summary'!$AB11</f>
        <v>182000.00000000215</v>
      </c>
      <c r="Y10" s="8">
        <f t="shared" si="35"/>
        <v>0.18200000000000216</v>
      </c>
      <c r="Z10" s="10">
        <f t="shared" si="36"/>
        <v>0.55874000000000656</v>
      </c>
      <c r="AA10" s="15"/>
      <c r="AB10" s="7">
        <v>0</v>
      </c>
      <c r="AC10" s="8">
        <f t="shared" si="16"/>
        <v>0</v>
      </c>
      <c r="AD10" s="10">
        <f t="shared" si="17"/>
        <v>0</v>
      </c>
      <c r="AF10" s="7">
        <f t="shared" si="18"/>
        <v>24470000.000000134</v>
      </c>
      <c r="AG10" s="8">
        <f t="shared" si="19"/>
        <v>24.470000000000134</v>
      </c>
      <c r="AH10" s="8">
        <f t="shared" si="20"/>
        <v>75.122900000000413</v>
      </c>
    </row>
    <row r="11" spans="1:34" x14ac:dyDescent="0.15">
      <c r="A11" s="27">
        <v>43288</v>
      </c>
      <c r="B11" s="7">
        <f>'[4]Production Summary'!$J12</f>
        <v>15899999.999999864</v>
      </c>
      <c r="C11" s="8">
        <f t="shared" si="21"/>
        <v>15.899999999999864</v>
      </c>
      <c r="D11" s="10">
        <f t="shared" si="22"/>
        <v>48.812999999999576</v>
      </c>
      <c r="E11" s="7">
        <f>'[4]Production Summary'!$E12</f>
        <v>11000000</v>
      </c>
      <c r="F11" s="8">
        <f t="shared" si="23"/>
        <v>11</v>
      </c>
      <c r="G11" s="10">
        <f t="shared" si="24"/>
        <v>33.769999999999996</v>
      </c>
      <c r="H11" s="7">
        <f>'[4]Production Summary'!$G12</f>
        <v>6730000</v>
      </c>
      <c r="I11" s="8">
        <f t="shared" si="25"/>
        <v>6.73</v>
      </c>
      <c r="J11" s="10">
        <f t="shared" si="26"/>
        <v>20.661100000000001</v>
      </c>
      <c r="K11" s="7">
        <f>'[4]Production Summary'!$T12</f>
        <v>1656346</v>
      </c>
      <c r="L11" s="8">
        <f t="shared" si="27"/>
        <v>1.6563460000000001</v>
      </c>
      <c r="M11" s="10">
        <f t="shared" si="28"/>
        <v>5.0849822199999997</v>
      </c>
      <c r="N11" s="21"/>
      <c r="O11" s="7">
        <f>'[4]Production Summary'!$I12</f>
        <v>12061999.999999993</v>
      </c>
      <c r="P11" s="8">
        <f t="shared" si="29"/>
        <v>12.061999999999992</v>
      </c>
      <c r="Q11" s="10">
        <f t="shared" si="30"/>
        <v>37.030339999999974</v>
      </c>
      <c r="R11" s="7">
        <f>'[4]Production Summary'!$C12</f>
        <v>12262000</v>
      </c>
      <c r="S11" s="8">
        <f t="shared" si="31"/>
        <v>12.262</v>
      </c>
      <c r="T11" s="10">
        <f t="shared" si="32"/>
        <v>37.64434</v>
      </c>
      <c r="U11" s="7">
        <f>'[4]Production Summary'!$F12</f>
        <v>0</v>
      </c>
      <c r="V11" s="8">
        <f t="shared" si="33"/>
        <v>0</v>
      </c>
      <c r="W11" s="10">
        <f t="shared" si="34"/>
        <v>0</v>
      </c>
      <c r="X11" s="7">
        <f>'[4]Production Summary'!$AB12</f>
        <v>195000.00000000739</v>
      </c>
      <c r="Y11" s="8">
        <f t="shared" si="35"/>
        <v>0.19500000000000739</v>
      </c>
      <c r="Z11" s="10">
        <f t="shared" si="36"/>
        <v>0.59865000000002266</v>
      </c>
      <c r="AA11" s="15"/>
      <c r="AB11" s="7">
        <v>0</v>
      </c>
      <c r="AC11" s="8">
        <f t="shared" si="16"/>
        <v>0</v>
      </c>
      <c r="AD11" s="10">
        <f t="shared" si="17"/>
        <v>0</v>
      </c>
      <c r="AF11" s="7">
        <f t="shared" si="18"/>
        <v>27961999.999999858</v>
      </c>
      <c r="AG11" s="8">
        <f t="shared" si="19"/>
        <v>27.961999999999854</v>
      </c>
      <c r="AH11" s="8">
        <f t="shared" si="20"/>
        <v>85.843339999999557</v>
      </c>
    </row>
    <row r="12" spans="1:34" x14ac:dyDescent="0.15">
      <c r="A12" s="27">
        <v>43289</v>
      </c>
      <c r="B12" s="7">
        <f>'[4]Production Summary'!$J13</f>
        <v>18700000.000000045</v>
      </c>
      <c r="C12" s="8">
        <f t="shared" si="21"/>
        <v>18.700000000000045</v>
      </c>
      <c r="D12" s="10">
        <f t="shared" si="22"/>
        <v>57.409000000000134</v>
      </c>
      <c r="E12" s="7">
        <f>'[4]Production Summary'!$E13</f>
        <v>13000000</v>
      </c>
      <c r="F12" s="8">
        <f t="shared" si="23"/>
        <v>13</v>
      </c>
      <c r="G12" s="10">
        <f t="shared" si="24"/>
        <v>39.909999999999997</v>
      </c>
      <c r="H12" s="7">
        <f>'[4]Production Summary'!$G13</f>
        <v>7640000</v>
      </c>
      <c r="I12" s="8">
        <f t="shared" si="25"/>
        <v>7.64</v>
      </c>
      <c r="J12" s="10">
        <f t="shared" si="26"/>
        <v>23.454799999999999</v>
      </c>
      <c r="K12" s="7">
        <f>'[4]Production Summary'!$T13</f>
        <v>1890385</v>
      </c>
      <c r="L12" s="8">
        <f t="shared" si="27"/>
        <v>1.890385</v>
      </c>
      <c r="M12" s="10">
        <f t="shared" si="28"/>
        <v>5.8034819499999992</v>
      </c>
      <c r="N12" s="21"/>
      <c r="O12" s="7">
        <f>'[4]Production Summary'!$I13</f>
        <v>13499000</v>
      </c>
      <c r="P12" s="8">
        <f t="shared" si="29"/>
        <v>13.499000000000001</v>
      </c>
      <c r="Q12" s="10">
        <f t="shared" si="30"/>
        <v>41.441929999999999</v>
      </c>
      <c r="R12" s="7">
        <f>'[4]Production Summary'!$C13</f>
        <v>13752000</v>
      </c>
      <c r="S12" s="8">
        <f t="shared" si="31"/>
        <v>13.752000000000001</v>
      </c>
      <c r="T12" s="10">
        <f t="shared" si="32"/>
        <v>42.218640000000001</v>
      </c>
      <c r="U12" s="7">
        <f>'[4]Production Summary'!$F13</f>
        <v>0</v>
      </c>
      <c r="V12" s="8">
        <f t="shared" si="33"/>
        <v>0</v>
      </c>
      <c r="W12" s="10">
        <f t="shared" si="34"/>
        <v>0</v>
      </c>
      <c r="X12" s="7">
        <f>'[4]Production Summary'!$AB13</f>
        <v>246999.99999999988</v>
      </c>
      <c r="Y12" s="8">
        <f t="shared" si="35"/>
        <v>0.24699999999999989</v>
      </c>
      <c r="Z12" s="10">
        <f t="shared" si="36"/>
        <v>0.75828999999999958</v>
      </c>
      <c r="AA12" s="15"/>
      <c r="AB12" s="7">
        <v>0</v>
      </c>
      <c r="AC12" s="8">
        <f t="shared" si="16"/>
        <v>0</v>
      </c>
      <c r="AD12" s="10">
        <f t="shared" si="17"/>
        <v>0</v>
      </c>
      <c r="AF12" s="7">
        <f t="shared" si="18"/>
        <v>32199000.000000045</v>
      </c>
      <c r="AG12" s="8">
        <f t="shared" si="19"/>
        <v>32.199000000000048</v>
      </c>
      <c r="AH12" s="8">
        <f t="shared" si="20"/>
        <v>98.850930000000133</v>
      </c>
    </row>
    <row r="13" spans="1:34" x14ac:dyDescent="0.15">
      <c r="A13" s="27">
        <v>43290</v>
      </c>
      <c r="B13" s="7">
        <f>'[4]Production Summary'!$J14</f>
        <v>15250000</v>
      </c>
      <c r="C13" s="8">
        <f t="shared" si="21"/>
        <v>15.25</v>
      </c>
      <c r="D13" s="10">
        <f t="shared" si="22"/>
        <v>46.817499999999995</v>
      </c>
      <c r="E13" s="7">
        <f>'[4]Production Summary'!$E14</f>
        <v>11666666.66670062</v>
      </c>
      <c r="F13" s="8">
        <f t="shared" si="23"/>
        <v>11.666666666700619</v>
      </c>
      <c r="G13" s="10">
        <f t="shared" si="24"/>
        <v>35.816666666770899</v>
      </c>
      <c r="H13" s="7">
        <f>'[4]Production Summary'!$G14</f>
        <v>6350000</v>
      </c>
      <c r="I13" s="8">
        <f t="shared" si="25"/>
        <v>6.35</v>
      </c>
      <c r="J13" s="10">
        <f t="shared" si="26"/>
        <v>19.494499999999999</v>
      </c>
      <c r="K13" s="7">
        <f>'[4]Production Summary'!$T14</f>
        <v>2046641.5</v>
      </c>
      <c r="L13" s="8">
        <f t="shared" si="27"/>
        <v>2.0466414999999998</v>
      </c>
      <c r="M13" s="10">
        <f t="shared" si="28"/>
        <v>6.283189404999999</v>
      </c>
      <c r="N13" s="21"/>
      <c r="O13" s="7">
        <f>'[4]Production Summary'!$I14</f>
        <v>13760000.000000009</v>
      </c>
      <c r="P13" s="8">
        <f t="shared" si="29"/>
        <v>13.760000000000009</v>
      </c>
      <c r="Q13" s="10">
        <f t="shared" si="30"/>
        <v>42.243200000000023</v>
      </c>
      <c r="R13" s="7">
        <f>'[4]Production Summary'!$C14</f>
        <v>14027000</v>
      </c>
      <c r="S13" s="8">
        <f t="shared" si="31"/>
        <v>14.026999999999999</v>
      </c>
      <c r="T13" s="10">
        <f t="shared" si="32"/>
        <v>43.062889999999996</v>
      </c>
      <c r="U13" s="7">
        <f>'[4]Production Summary'!$F14</f>
        <v>0</v>
      </c>
      <c r="V13" s="8">
        <f t="shared" si="33"/>
        <v>0</v>
      </c>
      <c r="W13" s="10">
        <f t="shared" si="34"/>
        <v>0</v>
      </c>
      <c r="X13" s="7">
        <f>'[4]Production Summary'!$AB14</f>
        <v>259999.99999999092</v>
      </c>
      <c r="Y13" s="8">
        <f t="shared" si="35"/>
        <v>0.25999999999999091</v>
      </c>
      <c r="Z13" s="10">
        <f t="shared" si="36"/>
        <v>0.79819999999997204</v>
      </c>
      <c r="AA13" s="15"/>
      <c r="AB13" s="7">
        <v>0</v>
      </c>
      <c r="AC13" s="8">
        <f t="shared" si="16"/>
        <v>0</v>
      </c>
      <c r="AD13" s="10">
        <f t="shared" si="17"/>
        <v>0</v>
      </c>
      <c r="AF13" s="7">
        <f t="shared" si="18"/>
        <v>29010000.000000007</v>
      </c>
      <c r="AG13" s="8">
        <f t="shared" si="19"/>
        <v>29.010000000000009</v>
      </c>
      <c r="AH13" s="8">
        <f t="shared" si="20"/>
        <v>89.060700000000026</v>
      </c>
    </row>
    <row r="14" spans="1:34" x14ac:dyDescent="0.15">
      <c r="A14" s="27">
        <v>43291</v>
      </c>
      <c r="B14" s="7">
        <f>'[4]Production Summary'!$J15</f>
        <v>22450000.000000045</v>
      </c>
      <c r="C14" s="8">
        <f t="shared" si="21"/>
        <v>22.450000000000045</v>
      </c>
      <c r="D14" s="10">
        <f t="shared" si="22"/>
        <v>68.921500000000137</v>
      </c>
      <c r="E14" s="7">
        <f>'[4]Production Summary'!$E15</f>
        <v>12333333.33329938</v>
      </c>
      <c r="F14" s="8">
        <f t="shared" si="23"/>
        <v>12.333333333299381</v>
      </c>
      <c r="G14" s="10">
        <f t="shared" si="24"/>
        <v>37.863333333229093</v>
      </c>
      <c r="H14" s="7">
        <f>'[4]Production Summary'!$G15</f>
        <v>9950000</v>
      </c>
      <c r="I14" s="8">
        <f t="shared" si="25"/>
        <v>9.9499999999999993</v>
      </c>
      <c r="J14" s="10">
        <f t="shared" si="26"/>
        <v>30.546499999999995</v>
      </c>
      <c r="K14" s="7">
        <f>'[4]Production Summary'!$T15</f>
        <v>2152202</v>
      </c>
      <c r="L14" s="8">
        <f t="shared" si="27"/>
        <v>2.1522019999999999</v>
      </c>
      <c r="M14" s="10">
        <f t="shared" si="28"/>
        <v>6.6072601399999993</v>
      </c>
      <c r="N14" s="21"/>
      <c r="O14" s="7">
        <f>'[4]Production Summary'!$I15</f>
        <v>14832999.999999996</v>
      </c>
      <c r="P14" s="8">
        <f t="shared" si="29"/>
        <v>14.832999999999997</v>
      </c>
      <c r="Q14" s="10">
        <f t="shared" si="30"/>
        <v>45.537309999999984</v>
      </c>
      <c r="R14" s="7">
        <f>'[4]Production Summary'!$C15</f>
        <v>15087000</v>
      </c>
      <c r="S14" s="8">
        <f t="shared" si="31"/>
        <v>15.087</v>
      </c>
      <c r="T14" s="10">
        <f t="shared" si="32"/>
        <v>46.31709</v>
      </c>
      <c r="U14" s="7">
        <f>'[4]Production Summary'!$F15</f>
        <v>0</v>
      </c>
      <c r="V14" s="8">
        <f t="shared" si="33"/>
        <v>0</v>
      </c>
      <c r="W14" s="10">
        <f t="shared" si="34"/>
        <v>0</v>
      </c>
      <c r="X14" s="7">
        <f>'[4]Production Summary'!$AB15</f>
        <v>248000.00000000466</v>
      </c>
      <c r="Y14" s="8">
        <f t="shared" si="35"/>
        <v>0.24800000000000466</v>
      </c>
      <c r="Z14" s="10">
        <f t="shared" si="36"/>
        <v>0.76136000000001425</v>
      </c>
      <c r="AA14" s="15"/>
      <c r="AB14" s="7">
        <v>0</v>
      </c>
      <c r="AC14" s="8">
        <f t="shared" si="16"/>
        <v>0</v>
      </c>
      <c r="AD14" s="10">
        <f t="shared" si="17"/>
        <v>0</v>
      </c>
      <c r="AF14" s="7">
        <f t="shared" si="18"/>
        <v>37283000.000000045</v>
      </c>
      <c r="AG14" s="8">
        <f t="shared" si="19"/>
        <v>37.283000000000044</v>
      </c>
      <c r="AH14" s="8">
        <f t="shared" si="20"/>
        <v>114.45881000000011</v>
      </c>
    </row>
    <row r="15" spans="1:34" x14ac:dyDescent="0.15">
      <c r="A15" s="27">
        <v>43292</v>
      </c>
      <c r="B15" s="7">
        <f>'[4]Production Summary'!$J16</f>
        <v>20700000.000000045</v>
      </c>
      <c r="C15" s="8">
        <f t="shared" si="21"/>
        <v>20.700000000000045</v>
      </c>
      <c r="D15" s="10">
        <f t="shared" si="22"/>
        <v>63.549000000000134</v>
      </c>
      <c r="E15" s="7">
        <f>'[4]Production Summary'!$E16</f>
        <v>14000000</v>
      </c>
      <c r="F15" s="8">
        <f t="shared" si="23"/>
        <v>14</v>
      </c>
      <c r="G15" s="10">
        <f t="shared" si="24"/>
        <v>42.98</v>
      </c>
      <c r="H15" s="7">
        <f>'[4]Production Summary'!$G16</f>
        <v>8970000</v>
      </c>
      <c r="I15" s="8">
        <f t="shared" si="25"/>
        <v>8.9700000000000006</v>
      </c>
      <c r="J15" s="10">
        <f t="shared" si="26"/>
        <v>27.5379</v>
      </c>
      <c r="K15" s="7">
        <f>'[4]Production Summary'!$T16</f>
        <v>2249356</v>
      </c>
      <c r="L15" s="8">
        <f t="shared" si="27"/>
        <v>2.2493560000000001</v>
      </c>
      <c r="M15" s="10">
        <f t="shared" si="28"/>
        <v>6.9055229200000001</v>
      </c>
      <c r="N15" s="21"/>
      <c r="O15" s="7">
        <f>'[4]Production Summary'!$I16</f>
        <v>14949999.999999998</v>
      </c>
      <c r="P15" s="8">
        <f t="shared" si="29"/>
        <v>14.949999999999998</v>
      </c>
      <c r="Q15" s="10">
        <f t="shared" si="30"/>
        <v>45.896499999999989</v>
      </c>
      <c r="R15" s="7">
        <f>'[4]Production Summary'!$C16</f>
        <v>15268000</v>
      </c>
      <c r="S15" s="8">
        <f t="shared" si="31"/>
        <v>15.268000000000001</v>
      </c>
      <c r="T15" s="10">
        <f t="shared" si="32"/>
        <v>46.87276</v>
      </c>
      <c r="U15" s="7">
        <f>'[4]Production Summary'!$F16</f>
        <v>0</v>
      </c>
      <c r="V15" s="8">
        <f t="shared" si="33"/>
        <v>0</v>
      </c>
      <c r="W15" s="10">
        <f t="shared" si="34"/>
        <v>0</v>
      </c>
      <c r="X15" s="7">
        <f>'[4]Production Summary'!$AB16</f>
        <v>310000.00000000227</v>
      </c>
      <c r="Y15" s="8">
        <f t="shared" si="35"/>
        <v>0.31000000000000227</v>
      </c>
      <c r="Z15" s="10">
        <f t="shared" si="36"/>
        <v>0.95170000000000698</v>
      </c>
      <c r="AA15" s="15"/>
      <c r="AB15" s="7">
        <v>0</v>
      </c>
      <c r="AC15" s="8">
        <f t="shared" si="16"/>
        <v>0</v>
      </c>
      <c r="AD15" s="10">
        <f t="shared" si="17"/>
        <v>0</v>
      </c>
      <c r="AF15" s="7">
        <f t="shared" si="18"/>
        <v>35650000.000000045</v>
      </c>
      <c r="AG15" s="8">
        <f t="shared" si="19"/>
        <v>35.650000000000041</v>
      </c>
      <c r="AH15" s="8">
        <f t="shared" si="20"/>
        <v>109.44550000000012</v>
      </c>
    </row>
    <row r="16" spans="1:34" x14ac:dyDescent="0.15">
      <c r="A16" s="27">
        <v>43293</v>
      </c>
      <c r="B16" s="7">
        <f>'[4]Production Summary'!$J17</f>
        <v>23199999.999999817</v>
      </c>
      <c r="C16" s="8">
        <f t="shared" si="21"/>
        <v>23.199999999999818</v>
      </c>
      <c r="D16" s="10">
        <f t="shared" si="22"/>
        <v>71.223999999999435</v>
      </c>
      <c r="E16" s="7">
        <f>'[4]Production Summary'!$E17</f>
        <v>15000000</v>
      </c>
      <c r="F16" s="8">
        <f t="shared" si="23"/>
        <v>15</v>
      </c>
      <c r="G16" s="10">
        <f t="shared" si="24"/>
        <v>46.05</v>
      </c>
      <c r="H16" s="7">
        <f>'[4]Production Summary'!$G17</f>
        <v>9790000</v>
      </c>
      <c r="I16" s="8">
        <f t="shared" si="25"/>
        <v>9.7899999999999991</v>
      </c>
      <c r="J16" s="10">
        <f t="shared" si="26"/>
        <v>30.055299999999995</v>
      </c>
      <c r="K16" s="7">
        <f>'[4]Production Summary'!$T17</f>
        <v>2332412</v>
      </c>
      <c r="L16" s="8">
        <f t="shared" si="27"/>
        <v>2.3324120000000002</v>
      </c>
      <c r="M16" s="10">
        <f t="shared" si="28"/>
        <v>7.1605048399999998</v>
      </c>
      <c r="N16" s="21"/>
      <c r="O16" s="7">
        <f>'[4]Production Summary'!$I17</f>
        <v>14991000.000000006</v>
      </c>
      <c r="P16" s="8">
        <f t="shared" si="29"/>
        <v>14.991000000000005</v>
      </c>
      <c r="Q16" s="10">
        <f t="shared" si="30"/>
        <v>46.022370000000016</v>
      </c>
      <c r="R16" s="7">
        <f>'[4]Production Summary'!$C17</f>
        <v>15244000</v>
      </c>
      <c r="S16" s="8">
        <f t="shared" si="31"/>
        <v>15.244</v>
      </c>
      <c r="T16" s="10">
        <f t="shared" si="32"/>
        <v>46.799079999999996</v>
      </c>
      <c r="U16" s="7">
        <f>'[4]Production Summary'!$F17</f>
        <v>0</v>
      </c>
      <c r="V16" s="8">
        <f t="shared" si="33"/>
        <v>0</v>
      </c>
      <c r="W16" s="10">
        <f t="shared" si="34"/>
        <v>0</v>
      </c>
      <c r="X16" s="7">
        <f>'[4]Production Summary'!$AB17</f>
        <v>245999.99999999511</v>
      </c>
      <c r="Y16" s="8">
        <f t="shared" si="35"/>
        <v>0.24599999999999511</v>
      </c>
      <c r="Z16" s="10">
        <f t="shared" si="36"/>
        <v>0.7552199999999849</v>
      </c>
      <c r="AA16" s="15"/>
      <c r="AB16" s="7">
        <v>0</v>
      </c>
      <c r="AC16" s="8">
        <f t="shared" si="16"/>
        <v>0</v>
      </c>
      <c r="AD16" s="10">
        <f t="shared" si="17"/>
        <v>0</v>
      </c>
      <c r="AF16" s="7">
        <f t="shared" si="18"/>
        <v>38190999.999999821</v>
      </c>
      <c r="AG16" s="8">
        <f t="shared" si="19"/>
        <v>38.190999999999825</v>
      </c>
      <c r="AH16" s="8">
        <f t="shared" si="20"/>
        <v>117.24636999999944</v>
      </c>
    </row>
    <row r="17" spans="1:35" x14ac:dyDescent="0.15">
      <c r="A17" s="27">
        <v>43294</v>
      </c>
      <c r="B17" s="7">
        <f>'[4]Production Summary'!$J18</f>
        <v>20100000.000000138</v>
      </c>
      <c r="C17" s="8">
        <f t="shared" si="21"/>
        <v>20.100000000000136</v>
      </c>
      <c r="D17" s="10">
        <f t="shared" si="22"/>
        <v>61.707000000000413</v>
      </c>
      <c r="E17" s="7">
        <f>'[4]Production Summary'!$E18</f>
        <v>14000000</v>
      </c>
      <c r="F17" s="8">
        <f t="shared" si="23"/>
        <v>14</v>
      </c>
      <c r="G17" s="10">
        <f t="shared" si="24"/>
        <v>42.98</v>
      </c>
      <c r="H17" s="7">
        <f>'[4]Production Summary'!$G18</f>
        <v>8080000</v>
      </c>
      <c r="I17" s="8">
        <f t="shared" si="25"/>
        <v>8.08</v>
      </c>
      <c r="J17" s="10">
        <f t="shared" si="26"/>
        <v>24.805599999999998</v>
      </c>
      <c r="K17" s="7">
        <f>'[4]Production Summary'!$T18</f>
        <v>2131867</v>
      </c>
      <c r="L17" s="8">
        <f t="shared" si="27"/>
        <v>2.1318670000000002</v>
      </c>
      <c r="M17" s="10">
        <f t="shared" si="28"/>
        <v>6.5448316900000005</v>
      </c>
      <c r="N17" s="21"/>
      <c r="O17" s="7">
        <f>'[4]Production Summary'!$I18</f>
        <v>14415000.000000002</v>
      </c>
      <c r="P17" s="8">
        <f t="shared" si="29"/>
        <v>14.415000000000003</v>
      </c>
      <c r="Q17" s="10">
        <f t="shared" si="30"/>
        <v>44.254050000000007</v>
      </c>
      <c r="R17" s="7">
        <f>'[4]Production Summary'!$C18</f>
        <v>14747000</v>
      </c>
      <c r="S17" s="8">
        <f t="shared" si="31"/>
        <v>14.747</v>
      </c>
      <c r="T17" s="10">
        <f t="shared" si="32"/>
        <v>45.273289999999996</v>
      </c>
      <c r="U17" s="7">
        <f>'[4]Production Summary'!$F18</f>
        <v>0</v>
      </c>
      <c r="V17" s="8">
        <f t="shared" si="33"/>
        <v>0</v>
      </c>
      <c r="W17" s="10">
        <f t="shared" si="34"/>
        <v>0</v>
      </c>
      <c r="X17" s="7">
        <f>'[4]Production Summary'!$AB18</f>
        <v>323999.99999999808</v>
      </c>
      <c r="Y17" s="8">
        <f t="shared" si="35"/>
        <v>0.32399999999999807</v>
      </c>
      <c r="Z17" s="10">
        <f t="shared" si="36"/>
        <v>0.99467999999999401</v>
      </c>
      <c r="AA17" s="15"/>
      <c r="AB17" s="7">
        <v>0</v>
      </c>
      <c r="AC17" s="8">
        <f t="shared" si="16"/>
        <v>0</v>
      </c>
      <c r="AD17" s="10">
        <f t="shared" si="17"/>
        <v>0</v>
      </c>
      <c r="AF17" s="7">
        <f t="shared" si="18"/>
        <v>34515000.000000142</v>
      </c>
      <c r="AG17" s="8">
        <f t="shared" si="19"/>
        <v>34.515000000000143</v>
      </c>
      <c r="AH17" s="8">
        <f t="shared" si="20"/>
        <v>105.96105000000043</v>
      </c>
    </row>
    <row r="18" spans="1:35" x14ac:dyDescent="0.15">
      <c r="A18" s="27">
        <v>43295</v>
      </c>
      <c r="B18" s="7">
        <f>'[4]Production Summary'!$J19</f>
        <v>17399999.999999862</v>
      </c>
      <c r="C18" s="8">
        <f t="shared" si="21"/>
        <v>17.399999999999864</v>
      </c>
      <c r="D18" s="10">
        <f t="shared" si="22"/>
        <v>53.41799999999958</v>
      </c>
      <c r="E18" s="7">
        <f>'[4]Production Summary'!$E19</f>
        <v>11000000</v>
      </c>
      <c r="F18" s="8">
        <f t="shared" si="23"/>
        <v>11</v>
      </c>
      <c r="G18" s="10">
        <f t="shared" si="24"/>
        <v>33.769999999999996</v>
      </c>
      <c r="H18" s="7">
        <f>'[4]Production Summary'!$G19</f>
        <v>7080000</v>
      </c>
      <c r="I18" s="8">
        <f t="shared" si="25"/>
        <v>7.08</v>
      </c>
      <c r="J18" s="10">
        <f t="shared" si="26"/>
        <v>21.735599999999998</v>
      </c>
      <c r="K18" s="7">
        <f>'[4]Production Summary'!$T19</f>
        <v>1940749</v>
      </c>
      <c r="L18" s="8">
        <f t="shared" si="27"/>
        <v>1.9407490000000001</v>
      </c>
      <c r="M18" s="10">
        <f t="shared" si="28"/>
        <v>5.9580994299999999</v>
      </c>
      <c r="N18" s="21"/>
      <c r="O18" s="7">
        <f>'[4]Production Summary'!$I19</f>
        <v>10096999.999999998</v>
      </c>
      <c r="P18" s="8">
        <f t="shared" si="29"/>
        <v>10.096999999999998</v>
      </c>
      <c r="Q18" s="10">
        <f t="shared" si="30"/>
        <v>30.997789999999991</v>
      </c>
      <c r="R18" s="7">
        <f>'[4]Production Summary'!$C19</f>
        <v>10415000</v>
      </c>
      <c r="S18" s="8">
        <f t="shared" si="31"/>
        <v>10.414999999999999</v>
      </c>
      <c r="T18" s="10">
        <f t="shared" si="32"/>
        <v>31.974049999999995</v>
      </c>
      <c r="U18" s="7">
        <f>'[4]Production Summary'!$F19</f>
        <v>0</v>
      </c>
      <c r="V18" s="8">
        <f t="shared" si="33"/>
        <v>0</v>
      </c>
      <c r="W18" s="10">
        <f t="shared" si="34"/>
        <v>0</v>
      </c>
      <c r="X18" s="7">
        <f>'[4]Production Summary'!$AB19</f>
        <v>310000.00000000227</v>
      </c>
      <c r="Y18" s="8">
        <f t="shared" si="35"/>
        <v>0.31000000000000227</v>
      </c>
      <c r="Z18" s="10">
        <f t="shared" si="36"/>
        <v>0.95170000000000698</v>
      </c>
      <c r="AA18" s="15"/>
      <c r="AB18" s="7">
        <v>0</v>
      </c>
      <c r="AC18" s="8">
        <f t="shared" si="16"/>
        <v>0</v>
      </c>
      <c r="AD18" s="10">
        <f t="shared" si="17"/>
        <v>0</v>
      </c>
      <c r="AF18" s="7">
        <f t="shared" si="18"/>
        <v>27496999.999999858</v>
      </c>
      <c r="AG18" s="8">
        <f t="shared" si="19"/>
        <v>27.496999999999861</v>
      </c>
      <c r="AH18" s="8">
        <f t="shared" si="20"/>
        <v>84.415789999999575</v>
      </c>
    </row>
    <row r="19" spans="1:35" x14ac:dyDescent="0.15">
      <c r="A19" s="27">
        <v>43296</v>
      </c>
      <c r="B19" s="7">
        <f>'[4]Production Summary'!$J20</f>
        <v>21900000.000000089</v>
      </c>
      <c r="C19" s="8">
        <f t="shared" si="21"/>
        <v>21.900000000000091</v>
      </c>
      <c r="D19" s="10">
        <f t="shared" si="22"/>
        <v>67.233000000000274</v>
      </c>
      <c r="E19" s="7">
        <f>'[4]Production Summary'!$E20</f>
        <v>14000000</v>
      </c>
      <c r="F19" s="8">
        <f t="shared" si="23"/>
        <v>14</v>
      </c>
      <c r="G19" s="10">
        <f t="shared" si="24"/>
        <v>42.98</v>
      </c>
      <c r="H19" s="7">
        <f>'[4]Production Summary'!$G20</f>
        <v>9180000</v>
      </c>
      <c r="I19" s="8">
        <f t="shared" si="25"/>
        <v>9.18</v>
      </c>
      <c r="J19" s="10">
        <f t="shared" si="26"/>
        <v>28.182599999999997</v>
      </c>
      <c r="K19" s="7">
        <f>'[4]Production Summary'!$T20</f>
        <v>2037748</v>
      </c>
      <c r="L19" s="8">
        <f t="shared" si="27"/>
        <v>2.0377480000000001</v>
      </c>
      <c r="M19" s="10">
        <f t="shared" si="28"/>
        <v>6.2558863599999999</v>
      </c>
      <c r="N19" s="21"/>
      <c r="O19" s="7">
        <f>'[4]Production Summary'!$I20</f>
        <v>13416000</v>
      </c>
      <c r="P19" s="8">
        <f t="shared" si="29"/>
        <v>13.416</v>
      </c>
      <c r="Q19" s="10">
        <f t="shared" si="30"/>
        <v>41.18712</v>
      </c>
      <c r="R19" s="7">
        <f>'[4]Production Summary'!$C20</f>
        <v>13535000</v>
      </c>
      <c r="S19" s="8">
        <f t="shared" si="31"/>
        <v>13.535</v>
      </c>
      <c r="T19" s="10">
        <f t="shared" si="32"/>
        <v>41.55245</v>
      </c>
      <c r="U19" s="7">
        <f>'[4]Production Summary'!$F20</f>
        <v>0</v>
      </c>
      <c r="V19" s="8">
        <f t="shared" si="33"/>
        <v>0</v>
      </c>
      <c r="W19" s="10">
        <f t="shared" si="34"/>
        <v>0</v>
      </c>
      <c r="X19" s="7">
        <f>'[4]Production Summary'!$AB20</f>
        <v>115999.99999999967</v>
      </c>
      <c r="Y19" s="8">
        <f t="shared" si="35"/>
        <v>0.11599999999999966</v>
      </c>
      <c r="Z19" s="10">
        <f t="shared" si="36"/>
        <v>0.35611999999999894</v>
      </c>
      <c r="AA19" s="15"/>
      <c r="AB19" s="7">
        <v>0</v>
      </c>
      <c r="AC19" s="8">
        <f t="shared" ref="AC19:AC35" si="37">AB19/1000000</f>
        <v>0</v>
      </c>
      <c r="AD19" s="10">
        <f t="shared" ref="AD19:AD35" si="38">AC19*3.07</f>
        <v>0</v>
      </c>
      <c r="AF19" s="7">
        <f t="shared" si="18"/>
        <v>35316000.000000089</v>
      </c>
      <c r="AG19" s="8">
        <f t="shared" si="19"/>
        <v>35.316000000000088</v>
      </c>
      <c r="AH19" s="8">
        <f t="shared" si="20"/>
        <v>108.42012000000028</v>
      </c>
    </row>
    <row r="20" spans="1:35" x14ac:dyDescent="0.15">
      <c r="A20" s="27">
        <v>43297</v>
      </c>
      <c r="B20" s="7">
        <f>'[4]Production Summary'!$J21</f>
        <v>20799999.999999955</v>
      </c>
      <c r="C20" s="8">
        <f t="shared" si="21"/>
        <v>20.799999999999955</v>
      </c>
      <c r="D20" s="10">
        <f t="shared" si="22"/>
        <v>63.85599999999986</v>
      </c>
      <c r="E20" s="7">
        <f>'[4]Production Summary'!$E21</f>
        <v>14000000</v>
      </c>
      <c r="F20" s="8">
        <f t="shared" si="23"/>
        <v>14</v>
      </c>
      <c r="G20" s="10">
        <f t="shared" si="24"/>
        <v>42.98</v>
      </c>
      <c r="H20" s="7">
        <f>'[4]Production Summary'!$G21</f>
        <v>8590000</v>
      </c>
      <c r="I20" s="8">
        <f t="shared" si="25"/>
        <v>8.59</v>
      </c>
      <c r="J20" s="10">
        <f t="shared" si="26"/>
        <v>26.371299999999998</v>
      </c>
      <c r="K20" s="7">
        <f>'[4]Production Summary'!$T21</f>
        <v>2004625</v>
      </c>
      <c r="L20" s="8">
        <f t="shared" si="27"/>
        <v>2.0046249999999999</v>
      </c>
      <c r="M20" s="10">
        <f t="shared" si="28"/>
        <v>6.1541987499999991</v>
      </c>
      <c r="N20" s="21"/>
      <c r="O20" s="7">
        <f>'[4]Production Summary'!$I21</f>
        <v>13777000.000000002</v>
      </c>
      <c r="P20" s="8">
        <f t="shared" si="29"/>
        <v>13.777000000000001</v>
      </c>
      <c r="Q20" s="10">
        <f t="shared" si="30"/>
        <v>42.295389999999998</v>
      </c>
      <c r="R20" s="7">
        <f>'[4]Production Summary'!$C21</f>
        <v>14109000</v>
      </c>
      <c r="S20" s="8">
        <f t="shared" si="31"/>
        <v>14.109</v>
      </c>
      <c r="T20" s="10">
        <f t="shared" si="32"/>
        <v>43.314630000000001</v>
      </c>
      <c r="U20" s="7">
        <f>'[4]Production Summary'!$F21</f>
        <v>0</v>
      </c>
      <c r="V20" s="8">
        <f t="shared" si="33"/>
        <v>0</v>
      </c>
      <c r="W20" s="10">
        <f t="shared" si="34"/>
        <v>0</v>
      </c>
      <c r="X20" s="7">
        <f>'[4]Production Summary'!$AB21</f>
        <v>323999.99999999808</v>
      </c>
      <c r="Y20" s="8">
        <f t="shared" si="35"/>
        <v>0.32399999999999807</v>
      </c>
      <c r="Z20" s="10">
        <f t="shared" si="36"/>
        <v>0.99467999999999401</v>
      </c>
      <c r="AA20" s="15"/>
      <c r="AB20" s="7">
        <v>0</v>
      </c>
      <c r="AC20" s="8">
        <f t="shared" si="37"/>
        <v>0</v>
      </c>
      <c r="AD20" s="10">
        <f t="shared" si="38"/>
        <v>0</v>
      </c>
      <c r="AF20" s="7">
        <f t="shared" si="18"/>
        <v>34576999.999999955</v>
      </c>
      <c r="AG20" s="8">
        <f t="shared" si="19"/>
        <v>34.576999999999956</v>
      </c>
      <c r="AH20" s="8">
        <f t="shared" si="20"/>
        <v>106.15138999999985</v>
      </c>
    </row>
    <row r="21" spans="1:35" x14ac:dyDescent="0.15">
      <c r="A21" s="27">
        <v>43298</v>
      </c>
      <c r="B21" s="7">
        <f>'[4]Production Summary'!$J22</f>
        <v>21299999.999999955</v>
      </c>
      <c r="C21" s="8">
        <f t="shared" si="21"/>
        <v>21.299999999999955</v>
      </c>
      <c r="D21" s="10">
        <f t="shared" si="22"/>
        <v>65.390999999999863</v>
      </c>
      <c r="E21" s="7">
        <f>'[4]Production Summary'!$E22</f>
        <v>13000000</v>
      </c>
      <c r="F21" s="8">
        <f t="shared" si="23"/>
        <v>13</v>
      </c>
      <c r="G21" s="10">
        <f t="shared" si="24"/>
        <v>39.909999999999997</v>
      </c>
      <c r="H21" s="7">
        <f>'[4]Production Summary'!$G22</f>
        <v>8950000</v>
      </c>
      <c r="I21" s="8">
        <f t="shared" si="25"/>
        <v>8.9499999999999993</v>
      </c>
      <c r="J21" s="10">
        <f t="shared" si="26"/>
        <v>27.476499999999998</v>
      </c>
      <c r="K21" s="7">
        <f>'[4]Production Summary'!$T22</f>
        <v>2199121</v>
      </c>
      <c r="L21" s="8">
        <f t="shared" si="27"/>
        <v>2.1991209999999999</v>
      </c>
      <c r="M21" s="10">
        <f t="shared" si="28"/>
        <v>6.7513014699999996</v>
      </c>
      <c r="N21" s="21"/>
      <c r="O21" s="7">
        <f>'[4]Production Summary'!$I22</f>
        <v>13906999.999999989</v>
      </c>
      <c r="P21" s="8">
        <f t="shared" si="29"/>
        <v>13.906999999999989</v>
      </c>
      <c r="Q21" s="10">
        <f t="shared" si="30"/>
        <v>42.694489999999966</v>
      </c>
      <c r="R21" s="7">
        <f>'[4]Production Summary'!$C22</f>
        <v>14227000</v>
      </c>
      <c r="S21" s="8">
        <f t="shared" si="31"/>
        <v>14.227</v>
      </c>
      <c r="T21" s="10">
        <f t="shared" si="32"/>
        <v>43.67689</v>
      </c>
      <c r="U21" s="7">
        <f>'[4]Production Summary'!$F22</f>
        <v>0</v>
      </c>
      <c r="V21" s="8">
        <f t="shared" si="33"/>
        <v>0</v>
      </c>
      <c r="W21" s="10">
        <f t="shared" si="34"/>
        <v>0</v>
      </c>
      <c r="X21" s="7">
        <f>'[4]Production Summary'!$AB22</f>
        <v>312000.00000001182</v>
      </c>
      <c r="Y21" s="8">
        <f t="shared" si="35"/>
        <v>0.31200000000001182</v>
      </c>
      <c r="Z21" s="10">
        <f t="shared" si="36"/>
        <v>0.95784000000003622</v>
      </c>
      <c r="AA21" s="15"/>
      <c r="AB21" s="7">
        <v>0</v>
      </c>
      <c r="AC21" s="8">
        <f t="shared" si="37"/>
        <v>0</v>
      </c>
      <c r="AD21" s="10">
        <f t="shared" si="38"/>
        <v>0</v>
      </c>
      <c r="AF21" s="7">
        <f t="shared" si="18"/>
        <v>35206999.99999994</v>
      </c>
      <c r="AG21" s="8">
        <f t="shared" si="19"/>
        <v>35.206999999999944</v>
      </c>
      <c r="AH21" s="8">
        <f t="shared" si="20"/>
        <v>108.08548999999982</v>
      </c>
    </row>
    <row r="22" spans="1:35" x14ac:dyDescent="0.15">
      <c r="A22" s="27">
        <v>43299</v>
      </c>
      <c r="B22" s="7">
        <f>'[4]Production Summary'!$J23</f>
        <v>22200000.000000045</v>
      </c>
      <c r="C22" s="8">
        <f t="shared" si="21"/>
        <v>22.200000000000045</v>
      </c>
      <c r="D22" s="10">
        <f t="shared" si="22"/>
        <v>68.154000000000138</v>
      </c>
      <c r="E22" s="7">
        <f>'[4]Production Summary'!$E23</f>
        <v>15000000</v>
      </c>
      <c r="F22" s="8">
        <f t="shared" si="23"/>
        <v>15</v>
      </c>
      <c r="G22" s="10">
        <f t="shared" si="24"/>
        <v>46.05</v>
      </c>
      <c r="H22" s="7">
        <f>'[4]Production Summary'!$G23</f>
        <v>9330000</v>
      </c>
      <c r="I22" s="8">
        <f t="shared" si="25"/>
        <v>9.33</v>
      </c>
      <c r="J22" s="10">
        <f t="shared" si="26"/>
        <v>28.6431</v>
      </c>
      <c r="K22" s="7">
        <f>'[4]Production Summary'!$T23</f>
        <v>2400823</v>
      </c>
      <c r="L22" s="8">
        <f t="shared" si="27"/>
        <v>2.4008229999999999</v>
      </c>
      <c r="M22" s="10">
        <f t="shared" si="28"/>
        <v>7.3705266099999998</v>
      </c>
      <c r="N22" s="21"/>
      <c r="O22" s="7">
        <f>'[4]Production Summary'!$I23</f>
        <v>14244000.000000009</v>
      </c>
      <c r="P22" s="8">
        <f t="shared" si="29"/>
        <v>14.244000000000009</v>
      </c>
      <c r="Q22" s="10">
        <f t="shared" si="30"/>
        <v>43.729080000000025</v>
      </c>
      <c r="R22" s="7">
        <f>'[4]Production Summary'!$C23</f>
        <v>14637000</v>
      </c>
      <c r="S22" s="8">
        <f t="shared" si="31"/>
        <v>14.637</v>
      </c>
      <c r="T22" s="10">
        <f t="shared" si="32"/>
        <v>44.935589999999998</v>
      </c>
      <c r="U22" s="7">
        <f>'[4]Production Summary'!$F23</f>
        <v>0</v>
      </c>
      <c r="V22" s="8">
        <f t="shared" si="33"/>
        <v>0</v>
      </c>
      <c r="W22" s="10">
        <f t="shared" si="34"/>
        <v>0</v>
      </c>
      <c r="X22" s="7">
        <f>'[4]Production Summary'!$AB23</f>
        <v>384999.99999999092</v>
      </c>
      <c r="Y22" s="8">
        <f t="shared" si="35"/>
        <v>0.38499999999999091</v>
      </c>
      <c r="Z22" s="10">
        <f t="shared" si="36"/>
        <v>1.1819499999999721</v>
      </c>
      <c r="AA22" s="15"/>
      <c r="AB22" s="7">
        <v>0</v>
      </c>
      <c r="AC22" s="8">
        <f t="shared" si="37"/>
        <v>0</v>
      </c>
      <c r="AD22" s="10">
        <f t="shared" si="38"/>
        <v>0</v>
      </c>
      <c r="AF22" s="7">
        <f t="shared" si="18"/>
        <v>36444000.000000052</v>
      </c>
      <c r="AG22" s="8">
        <f t="shared" si="19"/>
        <v>36.444000000000052</v>
      </c>
      <c r="AH22" s="8">
        <f t="shared" si="20"/>
        <v>111.88308000000016</v>
      </c>
      <c r="AI22" s="18"/>
    </row>
    <row r="23" spans="1:35" x14ac:dyDescent="0.15">
      <c r="A23" s="27">
        <v>43300</v>
      </c>
      <c r="B23" s="7">
        <f>'[4]Production Summary'!$J24</f>
        <v>25400000.000000089</v>
      </c>
      <c r="C23" s="8">
        <f t="shared" si="21"/>
        <v>25.400000000000091</v>
      </c>
      <c r="D23" s="10">
        <f t="shared" si="22"/>
        <v>77.978000000000279</v>
      </c>
      <c r="E23" s="7">
        <f>'[4]Production Summary'!$E24</f>
        <v>18000000</v>
      </c>
      <c r="F23" s="8">
        <f t="shared" si="23"/>
        <v>18</v>
      </c>
      <c r="G23" s="10">
        <f t="shared" si="24"/>
        <v>55.26</v>
      </c>
      <c r="H23" s="7">
        <f>'[4]Production Summary'!$G24</f>
        <v>10080000</v>
      </c>
      <c r="I23" s="8">
        <f t="shared" si="25"/>
        <v>10.08</v>
      </c>
      <c r="J23" s="10">
        <f t="shared" si="26"/>
        <v>30.945599999999999</v>
      </c>
      <c r="K23" s="7">
        <f>'[4]Production Summary'!$T24</f>
        <v>2524004</v>
      </c>
      <c r="L23" s="8">
        <f t="shared" si="27"/>
        <v>2.5240040000000001</v>
      </c>
      <c r="M23" s="10">
        <f t="shared" si="28"/>
        <v>7.7486922800000002</v>
      </c>
      <c r="N23" s="21"/>
      <c r="O23" s="7">
        <f>'[4]Production Summary'!$I24</f>
        <v>15293000</v>
      </c>
      <c r="P23" s="8">
        <f t="shared" si="29"/>
        <v>15.292999999999999</v>
      </c>
      <c r="Q23" s="10">
        <f t="shared" si="30"/>
        <v>46.949509999999997</v>
      </c>
      <c r="R23" s="7">
        <f>'[4]Production Summary'!$C24</f>
        <v>15410000</v>
      </c>
      <c r="S23" s="8">
        <f t="shared" si="31"/>
        <v>15.41</v>
      </c>
      <c r="T23" s="10">
        <f t="shared" si="32"/>
        <v>47.308699999999995</v>
      </c>
      <c r="U23" s="7">
        <f>'[4]Production Summary'!$F24</f>
        <v>0</v>
      </c>
      <c r="V23" s="8">
        <f t="shared" si="33"/>
        <v>0</v>
      </c>
      <c r="W23" s="10">
        <f t="shared" si="34"/>
        <v>0</v>
      </c>
      <c r="X23" s="7">
        <f>'[4]Production Summary'!$AB24</f>
        <v>109999.99999999943</v>
      </c>
      <c r="Y23" s="8">
        <f t="shared" si="35"/>
        <v>0.10999999999999943</v>
      </c>
      <c r="Z23" s="10">
        <f t="shared" si="36"/>
        <v>0.33769999999999822</v>
      </c>
      <c r="AA23" s="15"/>
      <c r="AB23" s="7">
        <v>0</v>
      </c>
      <c r="AC23" s="8">
        <f t="shared" si="37"/>
        <v>0</v>
      </c>
      <c r="AD23" s="10">
        <f t="shared" si="38"/>
        <v>0</v>
      </c>
      <c r="AF23" s="7">
        <f t="shared" si="18"/>
        <v>40693000.000000089</v>
      </c>
      <c r="AG23" s="8">
        <f t="shared" si="19"/>
        <v>40.69300000000009</v>
      </c>
      <c r="AH23" s="8">
        <f t="shared" si="20"/>
        <v>124.92751000000027</v>
      </c>
    </row>
    <row r="24" spans="1:35" x14ac:dyDescent="0.15">
      <c r="A24" s="27">
        <v>43301</v>
      </c>
      <c r="B24" s="7">
        <f>'[4]Production Summary'!$J25</f>
        <v>21899999.999999862</v>
      </c>
      <c r="C24" s="8">
        <f t="shared" si="21"/>
        <v>21.899999999999864</v>
      </c>
      <c r="D24" s="10">
        <f t="shared" si="22"/>
        <v>67.232999999999578</v>
      </c>
      <c r="E24" s="7">
        <f>'[4]Production Summary'!$E25</f>
        <v>14000000</v>
      </c>
      <c r="F24" s="8">
        <f t="shared" si="23"/>
        <v>14</v>
      </c>
      <c r="G24" s="10">
        <f t="shared" si="24"/>
        <v>42.98</v>
      </c>
      <c r="H24" s="7">
        <f>'[4]Production Summary'!$G25</f>
        <v>9020000</v>
      </c>
      <c r="I24" s="8">
        <f t="shared" si="25"/>
        <v>9.02</v>
      </c>
      <c r="J24" s="10">
        <f t="shared" si="26"/>
        <v>27.691399999999998</v>
      </c>
      <c r="K24" s="7">
        <f>'[4]Production Summary'!$T25</f>
        <v>2093237</v>
      </c>
      <c r="L24" s="8">
        <f t="shared" si="27"/>
        <v>2.0932369999999998</v>
      </c>
      <c r="M24" s="10">
        <f t="shared" si="28"/>
        <v>6.4262375899999986</v>
      </c>
      <c r="N24" s="21"/>
      <c r="O24" s="7">
        <f>'[4]Production Summary'!$I25</f>
        <v>14570999.999999993</v>
      </c>
      <c r="P24" s="8">
        <f t="shared" si="29"/>
        <v>14.570999999999993</v>
      </c>
      <c r="Q24" s="10">
        <f t="shared" si="30"/>
        <v>44.732969999999973</v>
      </c>
      <c r="R24" s="7">
        <f>'[4]Production Summary'!$C25</f>
        <v>14900000</v>
      </c>
      <c r="S24" s="8">
        <f t="shared" si="31"/>
        <v>14.9</v>
      </c>
      <c r="T24" s="10">
        <f t="shared" si="32"/>
        <v>45.743000000000002</v>
      </c>
      <c r="U24" s="7">
        <f>'[4]Production Summary'!$F25</f>
        <v>0</v>
      </c>
      <c r="V24" s="8">
        <f t="shared" si="33"/>
        <v>0</v>
      </c>
      <c r="W24" s="10">
        <f t="shared" si="34"/>
        <v>0</v>
      </c>
      <c r="X24" s="7">
        <f>'[4]Production Summary'!$AB25</f>
        <v>323000.00000000751</v>
      </c>
      <c r="Y24" s="8">
        <f t="shared" si="35"/>
        <v>0.3230000000000075</v>
      </c>
      <c r="Z24" s="10">
        <f t="shared" si="36"/>
        <v>0.99161000000002297</v>
      </c>
      <c r="AA24" s="15"/>
      <c r="AB24" s="7">
        <v>0</v>
      </c>
      <c r="AC24" s="8">
        <f t="shared" si="37"/>
        <v>0</v>
      </c>
      <c r="AD24" s="10">
        <f t="shared" si="38"/>
        <v>0</v>
      </c>
      <c r="AF24" s="7">
        <f>B24+O24+AB24</f>
        <v>36470999.999999851</v>
      </c>
      <c r="AG24" s="8">
        <f>C24+P24+AC24</f>
        <v>36.470999999999854</v>
      </c>
      <c r="AH24" s="8">
        <f>D24+Q24+AD24</f>
        <v>111.96596999999954</v>
      </c>
    </row>
    <row r="25" spans="1:35" x14ac:dyDescent="0.15">
      <c r="A25" s="27">
        <v>43302</v>
      </c>
      <c r="B25" s="7">
        <f>'[4]Production Summary'!$J26</f>
        <v>17200000.000000045</v>
      </c>
      <c r="C25" s="8">
        <f t="shared" si="21"/>
        <v>17.200000000000045</v>
      </c>
      <c r="D25" s="10">
        <f t="shared" si="22"/>
        <v>52.804000000000137</v>
      </c>
      <c r="E25" s="7">
        <f>'[4]Production Summary'!$E26</f>
        <v>11000000</v>
      </c>
      <c r="F25" s="8">
        <f t="shared" si="23"/>
        <v>11</v>
      </c>
      <c r="G25" s="10">
        <f t="shared" si="24"/>
        <v>33.769999999999996</v>
      </c>
      <c r="H25" s="7">
        <f>'[4]Production Summary'!$G26</f>
        <v>6770000</v>
      </c>
      <c r="I25" s="8">
        <f t="shared" si="25"/>
        <v>6.77</v>
      </c>
      <c r="J25" s="10">
        <f t="shared" si="26"/>
        <v>20.783899999999999</v>
      </c>
      <c r="K25" s="7">
        <f>'[4]Production Summary'!$T26</f>
        <v>1813245</v>
      </c>
      <c r="L25" s="8">
        <f t="shared" si="27"/>
        <v>1.813245</v>
      </c>
      <c r="M25" s="10">
        <f t="shared" si="28"/>
        <v>5.56666215</v>
      </c>
      <c r="N25" s="21"/>
      <c r="O25" s="7">
        <f>'[4]Production Summary'!$I26</f>
        <v>14151000.000000007</v>
      </c>
      <c r="P25" s="8">
        <f t="shared" si="29"/>
        <v>14.151000000000007</v>
      </c>
      <c r="Q25" s="10">
        <f t="shared" si="30"/>
        <v>43.443570000000022</v>
      </c>
      <c r="R25" s="7">
        <f>'[4]Production Summary'!$C26</f>
        <v>14469000</v>
      </c>
      <c r="S25" s="8">
        <f t="shared" si="31"/>
        <v>14.468999999999999</v>
      </c>
      <c r="T25" s="10">
        <f t="shared" si="32"/>
        <v>44.419829999999997</v>
      </c>
      <c r="U25" s="7">
        <f>'[4]Production Summary'!$F26</f>
        <v>0</v>
      </c>
      <c r="V25" s="8">
        <f t="shared" si="33"/>
        <v>0</v>
      </c>
      <c r="W25" s="10">
        <f t="shared" si="34"/>
        <v>0</v>
      </c>
      <c r="X25" s="7">
        <f>'[4]Production Summary'!$AB26</f>
        <v>310999.99999999284</v>
      </c>
      <c r="Y25" s="8">
        <f t="shared" si="35"/>
        <v>0.31099999999999284</v>
      </c>
      <c r="Z25" s="10">
        <f t="shared" si="36"/>
        <v>0.95476999999997791</v>
      </c>
      <c r="AA25" s="15"/>
      <c r="AB25" s="7">
        <v>0</v>
      </c>
      <c r="AC25" s="8">
        <f t="shared" si="37"/>
        <v>0</v>
      </c>
      <c r="AD25" s="10">
        <f t="shared" si="38"/>
        <v>0</v>
      </c>
      <c r="AF25" s="7">
        <f t="shared" ref="AF25:AF27" si="39">B25+O25+AB25</f>
        <v>31351000.000000052</v>
      </c>
      <c r="AG25" s="8">
        <f t="shared" ref="AG25:AG27" si="40">C25+P25+AC25</f>
        <v>31.351000000000052</v>
      </c>
      <c r="AH25" s="8">
        <f t="shared" ref="AH25:AH27" si="41">D25+Q25+AD25</f>
        <v>96.247570000000167</v>
      </c>
    </row>
    <row r="26" spans="1:35" x14ac:dyDescent="0.15">
      <c r="A26" s="27">
        <v>43303</v>
      </c>
      <c r="B26" s="7">
        <f>'[4]Production Summary'!$J27</f>
        <v>17299999.999999955</v>
      </c>
      <c r="C26" s="8">
        <f t="shared" si="21"/>
        <v>17.299999999999955</v>
      </c>
      <c r="D26" s="10">
        <f t="shared" si="22"/>
        <v>53.110999999999855</v>
      </c>
      <c r="E26" s="7">
        <f>'[4]Production Summary'!$E27</f>
        <v>11000000</v>
      </c>
      <c r="F26" s="8">
        <f t="shared" si="23"/>
        <v>11</v>
      </c>
      <c r="G26" s="10">
        <f t="shared" si="24"/>
        <v>33.769999999999996</v>
      </c>
      <c r="H26" s="7">
        <f>'[4]Production Summary'!$G27</f>
        <v>6240000</v>
      </c>
      <c r="I26" s="8">
        <f t="shared" si="25"/>
        <v>6.24</v>
      </c>
      <c r="J26" s="10">
        <f t="shared" si="26"/>
        <v>19.1568</v>
      </c>
      <c r="K26" s="7">
        <f>'[4]Production Summary'!$T27</f>
        <v>1543325</v>
      </c>
      <c r="L26" s="8">
        <f t="shared" si="27"/>
        <v>1.5433250000000001</v>
      </c>
      <c r="M26" s="10">
        <f t="shared" si="28"/>
        <v>4.7380077499999995</v>
      </c>
      <c r="N26" s="21"/>
      <c r="O26" s="7">
        <f>'[4]Production Summary'!$I27</f>
        <v>12572999.999999998</v>
      </c>
      <c r="P26" s="8">
        <f t="shared" si="29"/>
        <v>12.572999999999999</v>
      </c>
      <c r="Q26" s="10">
        <f t="shared" si="30"/>
        <v>38.599109999999996</v>
      </c>
      <c r="R26" s="7">
        <f>'[4]Production Summary'!$C27</f>
        <v>12761000</v>
      </c>
      <c r="S26" s="8">
        <f t="shared" si="31"/>
        <v>12.760999999999999</v>
      </c>
      <c r="T26" s="10">
        <f t="shared" si="32"/>
        <v>39.176269999999995</v>
      </c>
      <c r="U26" s="7">
        <f>'[4]Production Summary'!$F27</f>
        <v>0</v>
      </c>
      <c r="V26" s="8">
        <f t="shared" si="33"/>
        <v>0</v>
      </c>
      <c r="W26" s="10">
        <f t="shared" si="34"/>
        <v>0</v>
      </c>
      <c r="X26" s="7">
        <f>'[4]Production Summary'!$AB27</f>
        <v>182000.00000000215</v>
      </c>
      <c r="Y26" s="8">
        <f t="shared" si="35"/>
        <v>0.18200000000000216</v>
      </c>
      <c r="Z26" s="10">
        <f t="shared" si="36"/>
        <v>0.55874000000000656</v>
      </c>
      <c r="AA26" s="15"/>
      <c r="AB26" s="7">
        <v>0</v>
      </c>
      <c r="AC26" s="8">
        <f t="shared" si="37"/>
        <v>0</v>
      </c>
      <c r="AD26" s="10">
        <f t="shared" si="38"/>
        <v>0</v>
      </c>
      <c r="AF26" s="7">
        <f t="shared" si="39"/>
        <v>29872999.999999955</v>
      </c>
      <c r="AG26" s="8">
        <f t="shared" si="40"/>
        <v>29.872999999999955</v>
      </c>
      <c r="AH26" s="8">
        <f t="shared" si="41"/>
        <v>91.710109999999844</v>
      </c>
    </row>
    <row r="27" spans="1:35" x14ac:dyDescent="0.15">
      <c r="A27" s="27">
        <v>43304</v>
      </c>
      <c r="B27" s="7">
        <f>'[4]Production Summary'!$J28</f>
        <v>20200000.000000272</v>
      </c>
      <c r="C27" s="8">
        <f t="shared" si="21"/>
        <v>20.200000000000273</v>
      </c>
      <c r="D27" s="10">
        <f t="shared" si="22"/>
        <v>62.014000000000834</v>
      </c>
      <c r="E27" s="7">
        <f>'[4]Production Summary'!$E28</f>
        <v>14000000</v>
      </c>
      <c r="F27" s="8">
        <f t="shared" si="23"/>
        <v>14</v>
      </c>
      <c r="G27" s="10">
        <f t="shared" si="24"/>
        <v>42.98</v>
      </c>
      <c r="H27" s="7">
        <f>'[4]Production Summary'!$G28</f>
        <v>8060000</v>
      </c>
      <c r="I27" s="8">
        <f t="shared" si="25"/>
        <v>8.06</v>
      </c>
      <c r="J27" s="10">
        <f t="shared" si="26"/>
        <v>24.744199999999999</v>
      </c>
      <c r="K27" s="7">
        <f>'[4]Production Summary'!$T28</f>
        <v>2135150</v>
      </c>
      <c r="L27" s="8">
        <f t="shared" si="27"/>
        <v>2.1351499999999999</v>
      </c>
      <c r="M27" s="10">
        <f t="shared" si="28"/>
        <v>6.5549104999999992</v>
      </c>
      <c r="N27" s="21"/>
      <c r="O27" s="7">
        <f>'[4]Production Summary'!$I28</f>
        <v>14750000.000000004</v>
      </c>
      <c r="P27" s="8">
        <f t="shared" si="29"/>
        <v>14.750000000000004</v>
      </c>
      <c r="Q27" s="10">
        <f t="shared" si="30"/>
        <v>45.282500000000006</v>
      </c>
      <c r="R27" s="7">
        <f>'[4]Production Summary'!$C28</f>
        <v>15018000</v>
      </c>
      <c r="S27" s="8">
        <f t="shared" si="31"/>
        <v>15.018000000000001</v>
      </c>
      <c r="T27" s="10">
        <f t="shared" si="32"/>
        <v>46.105260000000001</v>
      </c>
      <c r="U27" s="7">
        <f>'[4]Production Summary'!$F28</f>
        <v>0</v>
      </c>
      <c r="V27" s="8">
        <f t="shared" si="33"/>
        <v>0</v>
      </c>
      <c r="W27" s="10">
        <f t="shared" si="34"/>
        <v>0</v>
      </c>
      <c r="X27" s="7">
        <f>'[4]Production Summary'!$AB28</f>
        <v>260999.99999999569</v>
      </c>
      <c r="Y27" s="8">
        <f t="shared" si="35"/>
        <v>0.26099999999999568</v>
      </c>
      <c r="Z27" s="10">
        <f t="shared" si="36"/>
        <v>0.80126999999998672</v>
      </c>
      <c r="AA27" s="15"/>
      <c r="AB27" s="7">
        <v>0</v>
      </c>
      <c r="AC27" s="8">
        <f t="shared" si="37"/>
        <v>0</v>
      </c>
      <c r="AD27" s="10">
        <f t="shared" si="38"/>
        <v>0</v>
      </c>
      <c r="AF27" s="7">
        <f t="shared" si="39"/>
        <v>34950000.000000276</v>
      </c>
      <c r="AG27" s="8">
        <f t="shared" si="40"/>
        <v>34.950000000000273</v>
      </c>
      <c r="AH27" s="8">
        <f t="shared" si="41"/>
        <v>107.29650000000083</v>
      </c>
    </row>
    <row r="28" spans="1:35" x14ac:dyDescent="0.15">
      <c r="A28" s="27">
        <v>43305</v>
      </c>
      <c r="B28" s="7">
        <f>'[4]Production Summary'!$J29</f>
        <v>21699999.999999817</v>
      </c>
      <c r="C28" s="8">
        <f t="shared" si="21"/>
        <v>21.699999999999818</v>
      </c>
      <c r="D28" s="10">
        <f t="shared" si="22"/>
        <v>66.618999999999431</v>
      </c>
      <c r="E28" s="7">
        <f>'[4]Production Summary'!$E29</f>
        <v>14000000</v>
      </c>
      <c r="F28" s="8">
        <f t="shared" si="23"/>
        <v>14</v>
      </c>
      <c r="G28" s="10">
        <f t="shared" si="24"/>
        <v>42.98</v>
      </c>
      <c r="H28" s="7">
        <f>'[4]Production Summary'!$G29</f>
        <v>9280000</v>
      </c>
      <c r="I28" s="8">
        <f t="shared" si="25"/>
        <v>9.2799999999999994</v>
      </c>
      <c r="J28" s="10">
        <f t="shared" si="26"/>
        <v>28.489599999999996</v>
      </c>
      <c r="K28" s="7">
        <f>'[4]Production Summary'!$T29</f>
        <v>2232274</v>
      </c>
      <c r="L28" s="8">
        <f t="shared" si="27"/>
        <v>2.2322739999999999</v>
      </c>
      <c r="M28" s="10">
        <f t="shared" si="28"/>
        <v>6.8530811799999993</v>
      </c>
      <c r="N28" s="21"/>
      <c r="O28" s="7">
        <f>'[4]Production Summary'!$I29</f>
        <v>14813999.999999991</v>
      </c>
      <c r="P28" s="8">
        <f t="shared" si="29"/>
        <v>14.813999999999991</v>
      </c>
      <c r="Q28" s="10">
        <f t="shared" si="30"/>
        <v>45.478979999999972</v>
      </c>
      <c r="R28" s="7">
        <f>'[4]Production Summary'!$C29</f>
        <v>15203000</v>
      </c>
      <c r="S28" s="8">
        <f t="shared" si="31"/>
        <v>15.202999999999999</v>
      </c>
      <c r="T28" s="10">
        <f t="shared" si="32"/>
        <v>46.673209999999997</v>
      </c>
      <c r="U28" s="7">
        <f>'[4]Production Summary'!$F29</f>
        <v>0</v>
      </c>
      <c r="V28" s="8">
        <f t="shared" si="33"/>
        <v>0</v>
      </c>
      <c r="W28" s="10">
        <f t="shared" si="34"/>
        <v>0</v>
      </c>
      <c r="X28" s="7">
        <f>'[4]Production Summary'!$AB29</f>
        <v>380000.00000000966</v>
      </c>
      <c r="Y28" s="8">
        <f t="shared" si="35"/>
        <v>0.38000000000000966</v>
      </c>
      <c r="Z28" s="10">
        <f t="shared" si="36"/>
        <v>1.1666000000000296</v>
      </c>
      <c r="AA28" s="15"/>
      <c r="AB28" s="7">
        <v>0</v>
      </c>
      <c r="AC28" s="8">
        <f t="shared" si="37"/>
        <v>0</v>
      </c>
      <c r="AD28" s="10">
        <f t="shared" si="38"/>
        <v>0</v>
      </c>
      <c r="AF28" s="7">
        <f t="shared" si="18"/>
        <v>36513999.999999806</v>
      </c>
      <c r="AG28" s="8">
        <f t="shared" si="19"/>
        <v>36.513999999999811</v>
      </c>
      <c r="AH28" s="8">
        <f t="shared" si="20"/>
        <v>112.09797999999941</v>
      </c>
    </row>
    <row r="29" spans="1:35" x14ac:dyDescent="0.15">
      <c r="A29" s="27">
        <v>43306</v>
      </c>
      <c r="B29" s="7">
        <f>'[4]Production Summary'!$J30</f>
        <v>19199999.999999817</v>
      </c>
      <c r="C29" s="8">
        <f t="shared" si="21"/>
        <v>19.199999999999818</v>
      </c>
      <c r="D29" s="10">
        <f t="shared" si="22"/>
        <v>58.943999999999441</v>
      </c>
      <c r="E29" s="7">
        <f>'[4]Production Summary'!$E30</f>
        <v>12000000</v>
      </c>
      <c r="F29" s="8">
        <f t="shared" si="23"/>
        <v>12</v>
      </c>
      <c r="G29" s="10">
        <f t="shared" si="24"/>
        <v>36.839999999999996</v>
      </c>
      <c r="H29" s="7">
        <f>'[4]Production Summary'!$G30</f>
        <v>7990000</v>
      </c>
      <c r="I29" s="8">
        <f t="shared" si="25"/>
        <v>7.99</v>
      </c>
      <c r="J29" s="10">
        <f t="shared" si="26"/>
        <v>24.529299999999999</v>
      </c>
      <c r="K29" s="7">
        <f>'[4]Production Summary'!$T30</f>
        <v>1678558</v>
      </c>
      <c r="L29" s="8">
        <f t="shared" si="27"/>
        <v>1.678558</v>
      </c>
      <c r="M29" s="10">
        <f t="shared" si="28"/>
        <v>5.1531730599999994</v>
      </c>
      <c r="N29" s="21"/>
      <c r="O29" s="7">
        <f>'[4]Production Summary'!$I30</f>
        <v>14323000.000000007</v>
      </c>
      <c r="P29" s="8">
        <f t="shared" si="29"/>
        <v>14.323000000000008</v>
      </c>
      <c r="Q29" s="10">
        <f t="shared" si="30"/>
        <v>43.97161000000002</v>
      </c>
      <c r="R29" s="7">
        <f>'[4]Production Summary'!$C30</f>
        <v>14642000</v>
      </c>
      <c r="S29" s="8">
        <f t="shared" si="31"/>
        <v>14.641999999999999</v>
      </c>
      <c r="T29" s="10">
        <f t="shared" si="32"/>
        <v>44.950939999999996</v>
      </c>
      <c r="U29" s="7">
        <f>'[4]Production Summary'!$F30</f>
        <v>0</v>
      </c>
      <c r="V29" s="8">
        <f t="shared" si="33"/>
        <v>0</v>
      </c>
      <c r="W29" s="10">
        <f t="shared" si="34"/>
        <v>0</v>
      </c>
      <c r="X29" s="7">
        <f>'[4]Production Summary'!$AB30</f>
        <v>310999.99999999284</v>
      </c>
      <c r="Y29" s="8">
        <f t="shared" si="35"/>
        <v>0.31099999999999284</v>
      </c>
      <c r="Z29" s="10">
        <f t="shared" si="36"/>
        <v>0.95476999999997791</v>
      </c>
      <c r="AA29" s="15"/>
      <c r="AB29" s="7">
        <v>0</v>
      </c>
      <c r="AC29" s="8">
        <f t="shared" si="37"/>
        <v>0</v>
      </c>
      <c r="AD29" s="10">
        <f t="shared" si="38"/>
        <v>0</v>
      </c>
      <c r="AF29" s="7">
        <f t="shared" si="18"/>
        <v>33522999.999999825</v>
      </c>
      <c r="AG29" s="8">
        <f t="shared" si="19"/>
        <v>33.522999999999826</v>
      </c>
      <c r="AH29" s="8">
        <f t="shared" si="20"/>
        <v>102.91560999999946</v>
      </c>
    </row>
    <row r="30" spans="1:35" x14ac:dyDescent="0.15">
      <c r="A30" s="27">
        <v>43307</v>
      </c>
      <c r="B30" s="7">
        <f>'[4]Production Summary'!$J31</f>
        <v>21700000.000000272</v>
      </c>
      <c r="C30" s="8">
        <f t="shared" si="21"/>
        <v>21.700000000000273</v>
      </c>
      <c r="D30" s="10">
        <f t="shared" si="22"/>
        <v>66.619000000000838</v>
      </c>
      <c r="E30" s="7">
        <f>'[4]Production Summary'!$E31</f>
        <v>13000000</v>
      </c>
      <c r="F30" s="8">
        <f t="shared" si="23"/>
        <v>13</v>
      </c>
      <c r="G30" s="10">
        <f t="shared" si="24"/>
        <v>39.909999999999997</v>
      </c>
      <c r="H30" s="7">
        <f>'[4]Production Summary'!$G31</f>
        <v>9690000</v>
      </c>
      <c r="I30" s="8">
        <f t="shared" si="25"/>
        <v>9.69</v>
      </c>
      <c r="J30" s="10">
        <f t="shared" si="26"/>
        <v>29.748299999999997</v>
      </c>
      <c r="K30" s="7">
        <f>'[4]Production Summary'!$T31</f>
        <v>2266686</v>
      </c>
      <c r="L30" s="8">
        <f t="shared" si="27"/>
        <v>2.266686</v>
      </c>
      <c r="M30" s="10">
        <f t="shared" si="28"/>
        <v>6.9587260199999994</v>
      </c>
      <c r="N30" s="21"/>
      <c r="O30" s="7">
        <f>'[4]Production Summary'!$I31</f>
        <v>15684999.999999996</v>
      </c>
      <c r="P30" s="8">
        <f t="shared" si="29"/>
        <v>15.684999999999997</v>
      </c>
      <c r="Q30" s="10">
        <f t="shared" si="30"/>
        <v>48.15294999999999</v>
      </c>
      <c r="R30" s="7">
        <f>'[4]Production Summary'!$C31</f>
        <v>15805000</v>
      </c>
      <c r="S30" s="8">
        <f t="shared" si="31"/>
        <v>15.805</v>
      </c>
      <c r="T30" s="10">
        <f t="shared" si="32"/>
        <v>48.521349999999998</v>
      </c>
      <c r="U30" s="7">
        <f>'[4]Production Summary'!$F31</f>
        <v>0</v>
      </c>
      <c r="V30" s="8">
        <f t="shared" si="33"/>
        <v>0</v>
      </c>
      <c r="W30" s="10">
        <f t="shared" si="34"/>
        <v>0</v>
      </c>
      <c r="X30" s="7">
        <f>'[4]Production Summary'!$AB31</f>
        <v>117000.00000000444</v>
      </c>
      <c r="Y30" s="8">
        <f t="shared" si="35"/>
        <v>0.11700000000000443</v>
      </c>
      <c r="Z30" s="10">
        <f t="shared" si="36"/>
        <v>0.35919000000001361</v>
      </c>
      <c r="AA30" s="15"/>
      <c r="AB30" s="7">
        <v>0</v>
      </c>
      <c r="AC30" s="8">
        <f t="shared" si="37"/>
        <v>0</v>
      </c>
      <c r="AD30" s="10">
        <f t="shared" si="38"/>
        <v>0</v>
      </c>
      <c r="AF30" s="7">
        <f t="shared" si="18"/>
        <v>37385000.000000268</v>
      </c>
      <c r="AG30" s="8">
        <f t="shared" si="19"/>
        <v>37.385000000000268</v>
      </c>
      <c r="AH30" s="8">
        <f t="shared" si="20"/>
        <v>114.77195000000083</v>
      </c>
    </row>
    <row r="31" spans="1:35" x14ac:dyDescent="0.15">
      <c r="A31" s="27">
        <v>43308</v>
      </c>
      <c r="B31" s="7">
        <f>'[4]Production Summary'!$J32</f>
        <v>23099999.999999911</v>
      </c>
      <c r="C31" s="8">
        <f t="shared" si="21"/>
        <v>23.099999999999909</v>
      </c>
      <c r="D31" s="10">
        <f t="shared" si="22"/>
        <v>70.916999999999717</v>
      </c>
      <c r="E31" s="7">
        <f>'[4]Production Summary'!$E32</f>
        <v>15000000</v>
      </c>
      <c r="F31" s="8">
        <f t="shared" si="23"/>
        <v>15</v>
      </c>
      <c r="G31" s="10">
        <f t="shared" si="24"/>
        <v>46.05</v>
      </c>
      <c r="H31" s="7">
        <f>'[4]Production Summary'!$G32</f>
        <v>9750000</v>
      </c>
      <c r="I31" s="8">
        <f t="shared" si="25"/>
        <v>9.75</v>
      </c>
      <c r="J31" s="10">
        <f t="shared" si="26"/>
        <v>29.932499999999997</v>
      </c>
      <c r="K31" s="7">
        <f>'[4]Production Summary'!$T32</f>
        <v>2384790</v>
      </c>
      <c r="L31" s="8">
        <f t="shared" si="27"/>
        <v>2.3847900000000002</v>
      </c>
      <c r="M31" s="10">
        <f t="shared" si="28"/>
        <v>7.3213053000000006</v>
      </c>
      <c r="N31" s="21"/>
      <c r="O31" s="7">
        <f>'[4]Production Summary'!$I32</f>
        <v>14217000.000000006</v>
      </c>
      <c r="P31" s="8">
        <f t="shared" si="29"/>
        <v>14.217000000000006</v>
      </c>
      <c r="Q31" s="10">
        <f t="shared" si="30"/>
        <v>43.646190000000018</v>
      </c>
      <c r="R31" s="7">
        <f>'[4]Production Summary'!$C32</f>
        <v>14554000</v>
      </c>
      <c r="S31" s="8">
        <f t="shared" si="31"/>
        <v>14.554</v>
      </c>
      <c r="T31" s="10">
        <f t="shared" si="32"/>
        <v>44.680779999999999</v>
      </c>
      <c r="U31" s="7">
        <f>'[4]Production Summary'!$F32</f>
        <v>0</v>
      </c>
      <c r="V31" s="8">
        <f t="shared" si="33"/>
        <v>0</v>
      </c>
      <c r="W31" s="10">
        <f t="shared" si="34"/>
        <v>0</v>
      </c>
      <c r="X31" s="7">
        <f>'[4]Production Summary'!$AB32</f>
        <v>328999.99999999354</v>
      </c>
      <c r="Y31" s="8">
        <f t="shared" si="35"/>
        <v>0.32899999999999352</v>
      </c>
      <c r="Z31" s="10">
        <f t="shared" si="36"/>
        <v>1.01002999999998</v>
      </c>
      <c r="AA31" s="15"/>
      <c r="AB31" s="7">
        <v>0</v>
      </c>
      <c r="AC31" s="8">
        <f t="shared" si="37"/>
        <v>0</v>
      </c>
      <c r="AD31" s="10">
        <f t="shared" si="38"/>
        <v>0</v>
      </c>
      <c r="AF31" s="7">
        <f t="shared" si="18"/>
        <v>37316999.999999918</v>
      </c>
      <c r="AG31" s="8">
        <f t="shared" si="19"/>
        <v>37.316999999999915</v>
      </c>
      <c r="AH31" s="8">
        <f t="shared" si="20"/>
        <v>114.56318999999974</v>
      </c>
    </row>
    <row r="32" spans="1:35" x14ac:dyDescent="0.15">
      <c r="A32" s="27">
        <v>43309</v>
      </c>
      <c r="B32" s="7">
        <f>'[4]Production Summary'!$J33</f>
        <v>21400000.000000089</v>
      </c>
      <c r="C32" s="8">
        <f t="shared" si="21"/>
        <v>21.400000000000091</v>
      </c>
      <c r="D32" s="10">
        <f t="shared" si="22"/>
        <v>65.698000000000278</v>
      </c>
      <c r="E32" s="7">
        <f>'[4]Production Summary'!$E33</f>
        <v>14000000</v>
      </c>
      <c r="F32" s="8">
        <f t="shared" si="23"/>
        <v>14</v>
      </c>
      <c r="G32" s="10">
        <f t="shared" si="24"/>
        <v>42.98</v>
      </c>
      <c r="H32" s="7">
        <f>'[4]Production Summary'!$G33</f>
        <v>9520000</v>
      </c>
      <c r="I32" s="8">
        <f t="shared" si="25"/>
        <v>9.52</v>
      </c>
      <c r="J32" s="10">
        <f t="shared" si="26"/>
        <v>29.226399999999998</v>
      </c>
      <c r="K32" s="7">
        <f>'[4]Production Summary'!$T33</f>
        <v>2119553</v>
      </c>
      <c r="L32" s="8">
        <f t="shared" si="27"/>
        <v>2.1195529999999998</v>
      </c>
      <c r="M32" s="10">
        <f t="shared" si="28"/>
        <v>6.5070277099999991</v>
      </c>
      <c r="N32" s="21"/>
      <c r="O32" s="7">
        <f>'[4]Production Summary'!$I33</f>
        <v>14635999.999999989</v>
      </c>
      <c r="P32" s="8">
        <f t="shared" si="29"/>
        <v>14.635999999999989</v>
      </c>
      <c r="Q32" s="10">
        <f t="shared" si="30"/>
        <v>44.932519999999961</v>
      </c>
      <c r="R32" s="7">
        <f>'[4]Production Summary'!$C33</f>
        <v>14959000</v>
      </c>
      <c r="S32" s="8">
        <f t="shared" si="31"/>
        <v>14.959</v>
      </c>
      <c r="T32" s="10">
        <f t="shared" si="32"/>
        <v>45.924129999999998</v>
      </c>
      <c r="U32" s="7">
        <f>'[4]Production Summary'!$F33</f>
        <v>0</v>
      </c>
      <c r="V32" s="8">
        <f t="shared" si="33"/>
        <v>0</v>
      </c>
      <c r="W32" s="10">
        <f t="shared" si="34"/>
        <v>0</v>
      </c>
      <c r="X32" s="7">
        <f>'[4]Production Summary'!$AB33</f>
        <v>315000.00000001193</v>
      </c>
      <c r="Y32" s="8">
        <f t="shared" si="35"/>
        <v>0.31500000000001194</v>
      </c>
      <c r="Z32" s="10">
        <f t="shared" si="36"/>
        <v>0.9670500000000366</v>
      </c>
      <c r="AA32" s="15"/>
      <c r="AB32" s="7">
        <v>0</v>
      </c>
      <c r="AC32" s="8">
        <f t="shared" si="37"/>
        <v>0</v>
      </c>
      <c r="AD32" s="10">
        <f t="shared" si="38"/>
        <v>0</v>
      </c>
      <c r="AF32" s="7">
        <f t="shared" si="18"/>
        <v>36036000.000000075</v>
      </c>
      <c r="AG32" s="8">
        <f t="shared" si="19"/>
        <v>36.03600000000008</v>
      </c>
      <c r="AH32" s="8">
        <f t="shared" si="20"/>
        <v>110.63052000000025</v>
      </c>
    </row>
    <row r="33" spans="1:34" x14ac:dyDescent="0.15">
      <c r="A33" s="27">
        <v>43310</v>
      </c>
      <c r="B33" s="7">
        <f>'[4]Production Summary'!$J34</f>
        <v>21799999.999999728</v>
      </c>
      <c r="C33" s="8">
        <f t="shared" si="21"/>
        <v>21.799999999999727</v>
      </c>
      <c r="D33" s="10">
        <f t="shared" si="22"/>
        <v>66.925999999999163</v>
      </c>
      <c r="E33" s="7">
        <f>'[4]Production Summary'!$E34</f>
        <v>15000000</v>
      </c>
      <c r="F33" s="8">
        <f t="shared" si="23"/>
        <v>15</v>
      </c>
      <c r="G33" s="10">
        <f t="shared" si="24"/>
        <v>46.05</v>
      </c>
      <c r="H33" s="7">
        <f>'[4]Production Summary'!$G34</f>
        <v>8910000</v>
      </c>
      <c r="I33" s="8">
        <f t="shared" si="25"/>
        <v>8.91</v>
      </c>
      <c r="J33" s="10">
        <f t="shared" si="26"/>
        <v>27.3537</v>
      </c>
      <c r="K33" s="7">
        <f>'[4]Production Summary'!$T34</f>
        <v>2370056</v>
      </c>
      <c r="L33" s="8">
        <f t="shared" si="27"/>
        <v>2.3700559999999999</v>
      </c>
      <c r="M33" s="10">
        <f t="shared" si="28"/>
        <v>7.2760719199999997</v>
      </c>
      <c r="N33" s="21"/>
      <c r="O33" s="7">
        <f>'[4]Production Summary'!$I34</f>
        <v>15230000.000000007</v>
      </c>
      <c r="P33" s="8">
        <f t="shared" si="29"/>
        <v>15.230000000000008</v>
      </c>
      <c r="Q33" s="10">
        <f t="shared" si="30"/>
        <v>46.756100000000018</v>
      </c>
      <c r="R33" s="7">
        <f>'[4]Production Summary'!$C34</f>
        <v>15552000</v>
      </c>
      <c r="S33" s="8">
        <f t="shared" si="31"/>
        <v>15.552</v>
      </c>
      <c r="T33" s="10">
        <f t="shared" si="32"/>
        <v>47.744639999999997</v>
      </c>
      <c r="U33" s="7">
        <f>'[4]Production Summary'!$F34</f>
        <v>0</v>
      </c>
      <c r="V33" s="8">
        <f t="shared" si="33"/>
        <v>0</v>
      </c>
      <c r="W33" s="10">
        <f t="shared" si="34"/>
        <v>0</v>
      </c>
      <c r="X33" s="7">
        <f>'[4]Production Summary'!$AB34</f>
        <v>313999.99999999296</v>
      </c>
      <c r="Y33" s="8">
        <f t="shared" si="35"/>
        <v>0.31399999999999295</v>
      </c>
      <c r="Z33" s="10">
        <f t="shared" si="36"/>
        <v>0.9639799999999783</v>
      </c>
      <c r="AA33" s="15"/>
      <c r="AB33" s="7">
        <v>0</v>
      </c>
      <c r="AC33" s="8">
        <f t="shared" si="37"/>
        <v>0</v>
      </c>
      <c r="AD33" s="10">
        <f t="shared" si="38"/>
        <v>0</v>
      </c>
      <c r="AF33" s="7">
        <f t="shared" si="18"/>
        <v>37029999.999999732</v>
      </c>
      <c r="AG33" s="8">
        <f t="shared" si="19"/>
        <v>37.029999999999731</v>
      </c>
      <c r="AH33" s="8">
        <f t="shared" si="20"/>
        <v>113.68209999999918</v>
      </c>
    </row>
    <row r="34" spans="1:34" x14ac:dyDescent="0.15">
      <c r="A34" s="27">
        <v>43311</v>
      </c>
      <c r="B34" s="7">
        <f>'[4]Production Summary'!$J35</f>
        <v>23600000.000000365</v>
      </c>
      <c r="C34" s="8">
        <f t="shared" si="21"/>
        <v>23.600000000000364</v>
      </c>
      <c r="D34" s="10">
        <f t="shared" si="22"/>
        <v>72.452000000001107</v>
      </c>
      <c r="E34" s="7">
        <f>'[4]Production Summary'!$E35</f>
        <v>15000000</v>
      </c>
      <c r="F34" s="8">
        <f t="shared" si="23"/>
        <v>15</v>
      </c>
      <c r="G34" s="10">
        <f t="shared" si="24"/>
        <v>46.05</v>
      </c>
      <c r="H34" s="7">
        <f>'[4]Production Summary'!$G35</f>
        <v>10900000</v>
      </c>
      <c r="I34" s="8">
        <f t="shared" si="25"/>
        <v>10.9</v>
      </c>
      <c r="J34" s="10">
        <f t="shared" si="26"/>
        <v>33.463000000000001</v>
      </c>
      <c r="K34" s="7">
        <f>'[4]Production Summary'!$T35</f>
        <v>2317090</v>
      </c>
      <c r="L34" s="8">
        <f t="shared" si="27"/>
        <v>2.3170899999999999</v>
      </c>
      <c r="M34" s="10">
        <f t="shared" si="28"/>
        <v>7.1134662999999989</v>
      </c>
      <c r="N34" s="21"/>
      <c r="O34" s="7">
        <f>'[4]Production Summary'!$I35</f>
        <v>15039000</v>
      </c>
      <c r="P34" s="8">
        <f t="shared" si="29"/>
        <v>15.039</v>
      </c>
      <c r="Q34" s="10">
        <f t="shared" si="30"/>
        <v>46.169729999999994</v>
      </c>
      <c r="R34" s="7">
        <f>'[4]Production Summary'!$C35</f>
        <v>15293000</v>
      </c>
      <c r="S34" s="8">
        <f t="shared" si="31"/>
        <v>15.292999999999999</v>
      </c>
      <c r="T34" s="10">
        <f t="shared" si="32"/>
        <v>46.949509999999997</v>
      </c>
      <c r="U34" s="7">
        <f>'[4]Production Summary'!$F35</f>
        <v>0</v>
      </c>
      <c r="V34" s="8">
        <f t="shared" si="33"/>
        <v>0</v>
      </c>
      <c r="W34" s="10">
        <f t="shared" si="34"/>
        <v>0</v>
      </c>
      <c r="X34" s="7">
        <f>'[4]Production Summary'!$AB35</f>
        <v>246999.99999999988</v>
      </c>
      <c r="Y34" s="8">
        <f t="shared" si="35"/>
        <v>0.24699999999999989</v>
      </c>
      <c r="Z34" s="10">
        <f t="shared" si="36"/>
        <v>0.75828999999999958</v>
      </c>
      <c r="AA34" s="15"/>
      <c r="AB34" s="7">
        <v>0</v>
      </c>
      <c r="AC34" s="8">
        <f t="shared" si="37"/>
        <v>0</v>
      </c>
      <c r="AD34" s="10">
        <f t="shared" si="38"/>
        <v>0</v>
      </c>
      <c r="AF34" s="7">
        <f t="shared" si="18"/>
        <v>38639000.000000365</v>
      </c>
      <c r="AG34" s="8">
        <f t="shared" si="19"/>
        <v>38.639000000000365</v>
      </c>
      <c r="AH34" s="8">
        <f t="shared" si="20"/>
        <v>118.62173000000109</v>
      </c>
    </row>
    <row r="35" spans="1:34" ht="14" thickBot="1" x14ac:dyDescent="0.2">
      <c r="A35" s="27">
        <v>43312</v>
      </c>
      <c r="B35" s="7">
        <f>'[4]Production Summary'!$J36</f>
        <v>26199999.999999817</v>
      </c>
      <c r="C35" s="8">
        <f t="shared" si="21"/>
        <v>26.199999999999818</v>
      </c>
      <c r="D35" s="10">
        <f t="shared" si="22"/>
        <v>80.433999999999443</v>
      </c>
      <c r="E35" s="7">
        <f>'[4]Production Summary'!$E36</f>
        <v>17000000</v>
      </c>
      <c r="F35" s="8">
        <f t="shared" si="23"/>
        <v>17</v>
      </c>
      <c r="G35" s="10">
        <f t="shared" si="24"/>
        <v>52.19</v>
      </c>
      <c r="H35" s="7">
        <f>'[4]Production Summary'!$G36</f>
        <v>11400000</v>
      </c>
      <c r="I35" s="8">
        <f t="shared" si="25"/>
        <v>11.4</v>
      </c>
      <c r="J35" s="10">
        <f t="shared" si="26"/>
        <v>34.997999999999998</v>
      </c>
      <c r="K35" s="7">
        <f>'[4]Production Summary'!$T36</f>
        <v>2635809</v>
      </c>
      <c r="L35" s="8">
        <f t="shared" si="27"/>
        <v>2.6358090000000001</v>
      </c>
      <c r="M35" s="10">
        <f t="shared" si="28"/>
        <v>8.0919336299999998</v>
      </c>
      <c r="N35" s="21"/>
      <c r="O35" s="7">
        <f>'[4]Production Summary'!$I36</f>
        <v>9984000.000000013</v>
      </c>
      <c r="P35" s="8">
        <f t="shared" si="29"/>
        <v>9.9840000000000124</v>
      </c>
      <c r="Q35" s="10">
        <f t="shared" si="30"/>
        <v>30.650880000000036</v>
      </c>
      <c r="R35" s="7">
        <f>'[4]Production Summary'!$C36</f>
        <v>10252000</v>
      </c>
      <c r="S35" s="8">
        <f t="shared" si="31"/>
        <v>10.252000000000001</v>
      </c>
      <c r="T35" s="10">
        <f t="shared" si="32"/>
        <v>31.47364</v>
      </c>
      <c r="U35" s="7">
        <f>'[4]Production Summary'!$F36</f>
        <v>0</v>
      </c>
      <c r="V35" s="8">
        <f t="shared" si="33"/>
        <v>0</v>
      </c>
      <c r="W35" s="10">
        <f t="shared" si="34"/>
        <v>0</v>
      </c>
      <c r="X35" s="7">
        <f>'[4]Production Summary'!$AB36</f>
        <v>261999.99999998623</v>
      </c>
      <c r="Y35" s="8">
        <f t="shared" si="35"/>
        <v>0.26199999999998624</v>
      </c>
      <c r="Z35" s="10">
        <f t="shared" si="36"/>
        <v>0.80433999999995776</v>
      </c>
      <c r="AA35" s="15"/>
      <c r="AB35" s="7">
        <v>0</v>
      </c>
      <c r="AC35" s="8">
        <f t="shared" si="37"/>
        <v>0</v>
      </c>
      <c r="AD35" s="10">
        <f t="shared" si="38"/>
        <v>0</v>
      </c>
      <c r="AF35" s="7">
        <f t="shared" si="18"/>
        <v>36183999.999999829</v>
      </c>
      <c r="AG35" s="8">
        <f t="shared" si="19"/>
        <v>36.183999999999827</v>
      </c>
      <c r="AH35" s="8">
        <f t="shared" si="20"/>
        <v>111.08487999999949</v>
      </c>
    </row>
    <row r="36" spans="1:34" ht="14" thickBot="1" x14ac:dyDescent="0.2">
      <c r="A36" s="14"/>
      <c r="B36" s="37"/>
      <c r="C36" s="38">
        <f>SUM(C5:C35)</f>
        <v>621.90000000000009</v>
      </c>
      <c r="D36" s="38">
        <f t="shared" ref="D36" si="42">C36*3.07</f>
        <v>1909.2330000000002</v>
      </c>
      <c r="E36" s="37"/>
      <c r="F36" s="38">
        <f>SUM(F5:F35)</f>
        <v>396.25</v>
      </c>
      <c r="G36" s="38">
        <f t="shared" ref="G36" si="43">F36*3.07</f>
        <v>1216.4875</v>
      </c>
      <c r="H36" s="37"/>
      <c r="I36" s="38">
        <f>SUM(I5:I35)</f>
        <v>268.90000000000003</v>
      </c>
      <c r="J36" s="38">
        <f t="shared" ref="J36" si="44">I36*3.07</f>
        <v>825.52300000000002</v>
      </c>
      <c r="K36" s="37"/>
      <c r="L36" s="38">
        <f>SUM(L5:L35)</f>
        <v>63.49157850000001</v>
      </c>
      <c r="M36" s="38">
        <f t="shared" ref="M36" si="45">L36*3.07</f>
        <v>194.91914599500001</v>
      </c>
      <c r="N36" s="14"/>
      <c r="O36" s="37"/>
      <c r="P36" s="38">
        <f>SUM(P5:P35)</f>
        <v>423.25299999999999</v>
      </c>
      <c r="Q36" s="38">
        <f t="shared" ref="Q36" si="46">P36*3.07</f>
        <v>1299.38671</v>
      </c>
      <c r="R36" s="37"/>
      <c r="S36" s="38">
        <f>SUM(S5:S35)</f>
        <v>431.70799999999997</v>
      </c>
      <c r="T36" s="38">
        <f t="shared" ref="T36" si="47">S36*3.07</f>
        <v>1325.3435599999998</v>
      </c>
      <c r="U36" s="37"/>
      <c r="V36" s="38">
        <f>SUM(V5:V35)</f>
        <v>3.2000000000000001E-2</v>
      </c>
      <c r="W36" s="38">
        <f t="shared" ref="W36" si="48">V36*3.07</f>
        <v>9.8239999999999994E-2</v>
      </c>
      <c r="X36" s="37"/>
      <c r="Y36" s="38">
        <f>SUM(Y5:Y35)</f>
        <v>8.2439999999999856</v>
      </c>
      <c r="Z36" s="38">
        <f t="shared" ref="Z36" si="49">Y36*3.07</f>
        <v>25.309079999999955</v>
      </c>
      <c r="AA36" s="14"/>
      <c r="AB36" s="37"/>
      <c r="AC36" s="38">
        <f>SUM(AC5:AC35)</f>
        <v>0</v>
      </c>
      <c r="AD36" s="38">
        <f t="shared" si="17"/>
        <v>0</v>
      </c>
      <c r="AF36" s="37"/>
      <c r="AG36" s="38">
        <f>SUM(AG5:AG35)</f>
        <v>1045.1529999999998</v>
      </c>
      <c r="AH36" s="38">
        <f>AG36*3.07</f>
        <v>3208.619709999999</v>
      </c>
    </row>
    <row r="37" spans="1:34" x14ac:dyDescent="0.15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  <row r="38" spans="1:34" x14ac:dyDescent="0.15">
      <c r="J38" s="18"/>
    </row>
  </sheetData>
  <mergeCells count="10">
    <mergeCell ref="U3:W3"/>
    <mergeCell ref="X3:Z3"/>
    <mergeCell ref="AB3:AD3"/>
    <mergeCell ref="AF3:AH3"/>
    <mergeCell ref="B3:D3"/>
    <mergeCell ref="E3:G3"/>
    <mergeCell ref="H3:J3"/>
    <mergeCell ref="K3:M3"/>
    <mergeCell ref="O3:Q3"/>
    <mergeCell ref="R3:T3"/>
  </mergeCells>
  <pageMargins left="0.75" right="0.75" top="1" bottom="1" header="0.5" footer="0.5"/>
  <pageSetup paperSize="5" scale="50" orientation="landscape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pageSetUpPr fitToPage="1"/>
  </sheetPr>
  <dimension ref="A1:AF38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AD36" sqref="AD36"/>
    </sheetView>
  </sheetViews>
  <sheetFormatPr baseColWidth="10" defaultColWidth="8.83203125" defaultRowHeight="13" x14ac:dyDescent="0.15"/>
  <cols>
    <col min="2" max="2" width="14.5" bestFit="1" customWidth="1"/>
    <col min="5" max="5" width="12.83203125" customWidth="1"/>
    <col min="8" max="8" width="11" customWidth="1"/>
    <col min="11" max="11" width="11" customWidth="1"/>
    <col min="12" max="12" width="10.83203125" customWidth="1"/>
    <col min="15" max="15" width="11.33203125" customWidth="1"/>
    <col min="18" max="18" width="10.5" customWidth="1"/>
    <col min="21" max="21" width="10.6640625" bestFit="1" customWidth="1"/>
    <col min="22" max="22" width="10.5" customWidth="1"/>
    <col min="28" max="28" width="10.6640625" customWidth="1"/>
  </cols>
  <sheetData>
    <row r="1" spans="1:32" s="3" customFormat="1" x14ac:dyDescent="0.15">
      <c r="A1" s="41"/>
      <c r="B1" s="39"/>
      <c r="C1" s="25"/>
      <c r="D1" s="25"/>
      <c r="E1" s="25"/>
      <c r="F1" s="25"/>
      <c r="K1" s="14"/>
      <c r="U1" s="14"/>
    </row>
    <row r="2" spans="1:32" s="3" customFormat="1" ht="14" thickBot="1" x14ac:dyDescent="0.2">
      <c r="C2" s="24"/>
      <c r="K2" s="14"/>
      <c r="U2" s="14"/>
    </row>
    <row r="3" spans="1:32" s="3" customFormat="1" ht="60.75" customHeight="1" thickBot="1" x14ac:dyDescent="0.2">
      <c r="B3" s="59" t="s">
        <v>10</v>
      </c>
      <c r="C3" s="60"/>
      <c r="D3" s="61"/>
      <c r="E3" s="59" t="s">
        <v>11</v>
      </c>
      <c r="F3" s="60"/>
      <c r="G3" s="61"/>
      <c r="H3" s="59" t="s">
        <v>12</v>
      </c>
      <c r="I3" s="60"/>
      <c r="J3" s="61"/>
      <c r="K3" s="59" t="s">
        <v>13</v>
      </c>
      <c r="L3" s="60"/>
      <c r="M3" s="61"/>
      <c r="N3" s="19"/>
      <c r="O3" s="59" t="s">
        <v>4</v>
      </c>
      <c r="P3" s="60"/>
      <c r="Q3" s="61"/>
      <c r="R3" s="59" t="s">
        <v>3</v>
      </c>
      <c r="S3" s="60"/>
      <c r="T3" s="61"/>
      <c r="U3" s="59" t="s">
        <v>17</v>
      </c>
      <c r="V3" s="60"/>
      <c r="W3" s="61"/>
      <c r="X3" s="59" t="s">
        <v>7</v>
      </c>
      <c r="Y3" s="60"/>
      <c r="Z3" s="61"/>
      <c r="AA3" s="19"/>
      <c r="AB3" s="56" t="s">
        <v>8</v>
      </c>
      <c r="AC3" s="57"/>
      <c r="AD3" s="58"/>
      <c r="AF3" s="51" t="s">
        <v>9</v>
      </c>
    </row>
    <row r="4" spans="1:32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0" t="s">
        <v>0</v>
      </c>
      <c r="AC4" s="31" t="s">
        <v>1</v>
      </c>
      <c r="AD4" s="32" t="s">
        <v>2</v>
      </c>
      <c r="AF4" s="5" t="s">
        <v>2</v>
      </c>
    </row>
    <row r="5" spans="1:32" x14ac:dyDescent="0.15">
      <c r="A5" s="27">
        <v>43313</v>
      </c>
      <c r="B5" s="7">
        <f>'[4]Production Summary'!$J37</f>
        <v>19699999.999999817</v>
      </c>
      <c r="C5" s="8">
        <f t="shared" ref="C5" si="0">B5/1000000</f>
        <v>19.699999999999818</v>
      </c>
      <c r="D5" s="10">
        <f t="shared" ref="D5" si="1">C5*3.07</f>
        <v>60.478999999999438</v>
      </c>
      <c r="E5" s="7">
        <f>'[4]Production Summary'!$E37</f>
        <v>14000000</v>
      </c>
      <c r="F5" s="8">
        <f t="shared" ref="F5" si="2">E5/1000000</f>
        <v>14</v>
      </c>
      <c r="G5" s="10">
        <f t="shared" ref="G5" si="3">F5*3.07</f>
        <v>42.98</v>
      </c>
      <c r="H5" s="7">
        <f>'[4]Production Summary'!$G37</f>
        <v>8090000</v>
      </c>
      <c r="I5" s="8">
        <f t="shared" ref="I5" si="4">H5/1000000</f>
        <v>8.09</v>
      </c>
      <c r="J5" s="10">
        <f t="shared" ref="J5" si="5">I5*3.07</f>
        <v>24.836299999999998</v>
      </c>
      <c r="K5" s="7">
        <f>'[4]Production Summary'!$T37</f>
        <v>1996462</v>
      </c>
      <c r="L5" s="8">
        <f t="shared" ref="L5" si="6">K5/1000000</f>
        <v>1.996462</v>
      </c>
      <c r="M5" s="10">
        <f t="shared" ref="M5" si="7">L5*3.07</f>
        <v>6.1291383399999999</v>
      </c>
      <c r="N5" s="21"/>
      <c r="O5" s="7">
        <f>'[4]Production Summary'!$I37</f>
        <v>10574999.999999989</v>
      </c>
      <c r="P5" s="8">
        <f t="shared" ref="P5" si="8">O5/1000000</f>
        <v>10.574999999999989</v>
      </c>
      <c r="Q5" s="10">
        <f t="shared" ref="Q5" si="9">P5*3.07</f>
        <v>32.465249999999962</v>
      </c>
      <c r="R5" s="7">
        <f>'[4]Production Summary'!$C37</f>
        <v>10895000</v>
      </c>
      <c r="S5" s="8">
        <f t="shared" ref="S5" si="10">R5/1000000</f>
        <v>10.895</v>
      </c>
      <c r="T5" s="10">
        <f t="shared" ref="T5" si="11">S5*3.07</f>
        <v>33.447649999999996</v>
      </c>
      <c r="U5" s="7">
        <f>'[4]Production Summary'!$F37</f>
        <v>0</v>
      </c>
      <c r="V5" s="8">
        <f t="shared" ref="V5" si="12">U5/1000000</f>
        <v>0</v>
      </c>
      <c r="W5" s="10">
        <f t="shared" ref="W5" si="13">V5*3.07</f>
        <v>0</v>
      </c>
      <c r="X5" s="7">
        <f>'[4]Production Summary'!$AB37</f>
        <v>312000.00000001182</v>
      </c>
      <c r="Y5" s="8">
        <f t="shared" ref="Y5" si="14">X5/1000000</f>
        <v>0.31200000000001182</v>
      </c>
      <c r="Z5" s="10">
        <f t="shared" ref="Z5" si="15">Y5*3.07</f>
        <v>0.95784000000003622</v>
      </c>
      <c r="AA5" s="15"/>
      <c r="AB5" s="7">
        <f>B5+O5</f>
        <v>30274999.999999806</v>
      </c>
      <c r="AC5" s="8">
        <f>C5+P5</f>
        <v>30.274999999999807</v>
      </c>
      <c r="AD5" s="8">
        <f>D5+Q5</f>
        <v>92.9442499999994</v>
      </c>
      <c r="AF5" s="8">
        <f t="shared" ref="AF5:AF14" si="16">T5-Q5-Z5</f>
        <v>2.4559999999997695E-2</v>
      </c>
    </row>
    <row r="6" spans="1:32" x14ac:dyDescent="0.15">
      <c r="A6" s="27">
        <v>43314</v>
      </c>
      <c r="B6" s="7">
        <f>'[4]Production Summary'!$J38</f>
        <v>25400000.000000089</v>
      </c>
      <c r="C6" s="8">
        <f t="shared" ref="C6:C35" si="17">B6/1000000</f>
        <v>25.400000000000091</v>
      </c>
      <c r="D6" s="10">
        <f t="shared" ref="D6:D35" si="18">C6*3.07</f>
        <v>77.978000000000279</v>
      </c>
      <c r="E6" s="7">
        <f>'[4]Production Summary'!$E38</f>
        <v>16000000</v>
      </c>
      <c r="F6" s="8">
        <f t="shared" ref="F6:F35" si="19">E6/1000000</f>
        <v>16</v>
      </c>
      <c r="G6" s="10">
        <f t="shared" ref="G6:G35" si="20">F6*3.07</f>
        <v>49.12</v>
      </c>
      <c r="H6" s="7">
        <f>'[4]Production Summary'!$G38</f>
        <v>12100000</v>
      </c>
      <c r="I6" s="8">
        <f t="shared" ref="I6:I35" si="21">H6/1000000</f>
        <v>12.1</v>
      </c>
      <c r="J6" s="10">
        <f t="shared" ref="J6:J35" si="22">I6*3.07</f>
        <v>37.146999999999998</v>
      </c>
      <c r="K6" s="7">
        <f>'[4]Production Summary'!$T38</f>
        <v>2745543</v>
      </c>
      <c r="L6" s="8">
        <f t="shared" ref="L6:L35" si="23">K6/1000000</f>
        <v>2.7455430000000001</v>
      </c>
      <c r="M6" s="10">
        <f t="shared" ref="M6:M35" si="24">L6*3.07</f>
        <v>8.4288170099999995</v>
      </c>
      <c r="N6" s="21"/>
      <c r="O6" s="7">
        <f>'[4]Production Summary'!$I38</f>
        <v>9584000.0000000093</v>
      </c>
      <c r="P6" s="8">
        <f t="shared" ref="P6:P35" si="25">O6/1000000</f>
        <v>9.5840000000000085</v>
      </c>
      <c r="Q6" s="10">
        <f t="shared" ref="Q6:Q35" si="26">P6*3.07</f>
        <v>29.422880000000024</v>
      </c>
      <c r="R6" s="7">
        <f>'[4]Production Summary'!$C38</f>
        <v>9724000</v>
      </c>
      <c r="S6" s="8">
        <f t="shared" ref="S6:S35" si="27">R6/1000000</f>
        <v>9.7240000000000002</v>
      </c>
      <c r="T6" s="10">
        <f t="shared" ref="T6:T35" si="28">S6*3.07</f>
        <v>29.852679999999999</v>
      </c>
      <c r="U6" s="7">
        <f>'[4]Production Summary'!$F38</f>
        <v>0</v>
      </c>
      <c r="V6" s="8">
        <f t="shared" ref="V6:V35" si="29">U6/1000000</f>
        <v>0</v>
      </c>
      <c r="W6" s="10">
        <f t="shared" ref="W6:W35" si="30">V6*3.07</f>
        <v>0</v>
      </c>
      <c r="X6" s="7">
        <f>'[4]Production Summary'!$AB38</f>
        <v>134999.99999999092</v>
      </c>
      <c r="Y6" s="8">
        <f t="shared" ref="Y6:Y35" si="31">X6/1000000</f>
        <v>0.13499999999999093</v>
      </c>
      <c r="Z6" s="10">
        <f t="shared" ref="Z6:Z35" si="32">Y6*3.07</f>
        <v>0.41444999999997212</v>
      </c>
      <c r="AA6" s="15"/>
      <c r="AB6" s="7">
        <f t="shared" ref="AB6:AD35" si="33">B6+O6</f>
        <v>34984000.000000097</v>
      </c>
      <c r="AC6" s="8">
        <f t="shared" si="33"/>
        <v>34.984000000000101</v>
      </c>
      <c r="AD6" s="8">
        <f t="shared" si="33"/>
        <v>107.4008800000003</v>
      </c>
      <c r="AF6" s="8">
        <f t="shared" si="16"/>
        <v>1.5350000000003194E-2</v>
      </c>
    </row>
    <row r="7" spans="1:32" x14ac:dyDescent="0.15">
      <c r="A7" s="27">
        <v>43315</v>
      </c>
      <c r="B7" s="7">
        <f>'[4]Production Summary'!$J39</f>
        <v>24099999.999999911</v>
      </c>
      <c r="C7" s="8">
        <f t="shared" si="17"/>
        <v>24.099999999999909</v>
      </c>
      <c r="D7" s="10">
        <f t="shared" si="18"/>
        <v>73.986999999999711</v>
      </c>
      <c r="E7" s="7">
        <f>'[4]Production Summary'!$E39</f>
        <v>17000000</v>
      </c>
      <c r="F7" s="8">
        <f t="shared" si="19"/>
        <v>17</v>
      </c>
      <c r="G7" s="10">
        <f t="shared" si="20"/>
        <v>52.19</v>
      </c>
      <c r="H7" s="7">
        <f>'[4]Production Summary'!$G39</f>
        <v>10890000</v>
      </c>
      <c r="I7" s="8">
        <f t="shared" si="21"/>
        <v>10.89</v>
      </c>
      <c r="J7" s="10">
        <f t="shared" si="22"/>
        <v>33.432299999999998</v>
      </c>
      <c r="K7" s="7">
        <f>'[4]Production Summary'!$T39</f>
        <v>2459188</v>
      </c>
      <c r="L7" s="8">
        <f t="shared" si="23"/>
        <v>2.4591880000000002</v>
      </c>
      <c r="M7" s="10">
        <f t="shared" si="24"/>
        <v>7.5497071599999996</v>
      </c>
      <c r="N7" s="21"/>
      <c r="O7" s="7">
        <f>'[4]Production Summary'!$I39</f>
        <v>11482000</v>
      </c>
      <c r="P7" s="8">
        <f t="shared" si="25"/>
        <v>11.481999999999999</v>
      </c>
      <c r="Q7" s="10">
        <f t="shared" si="26"/>
        <v>35.249739999999996</v>
      </c>
      <c r="R7" s="7">
        <f>'[4]Production Summary'!$C39</f>
        <v>11485000</v>
      </c>
      <c r="S7" s="8">
        <f t="shared" si="27"/>
        <v>11.484999999999999</v>
      </c>
      <c r="T7" s="10">
        <f t="shared" si="28"/>
        <v>35.258949999999999</v>
      </c>
      <c r="U7" s="7">
        <f>'[4]Production Summary'!$F39</f>
        <v>0</v>
      </c>
      <c r="V7" s="8">
        <f t="shared" si="29"/>
        <v>0</v>
      </c>
      <c r="W7" s="10">
        <f t="shared" si="30"/>
        <v>0</v>
      </c>
      <c r="X7" s="7">
        <f>'[4]Production Summary'!$AB39</f>
        <v>0</v>
      </c>
      <c r="Y7" s="8">
        <f t="shared" si="31"/>
        <v>0</v>
      </c>
      <c r="Z7" s="10">
        <f t="shared" si="32"/>
        <v>0</v>
      </c>
      <c r="AA7" s="15"/>
      <c r="AB7" s="7">
        <f t="shared" si="33"/>
        <v>35581999.999999911</v>
      </c>
      <c r="AC7" s="8">
        <f t="shared" si="33"/>
        <v>35.581999999999908</v>
      </c>
      <c r="AD7" s="8">
        <f t="shared" si="33"/>
        <v>109.23673999999971</v>
      </c>
      <c r="AF7" s="8">
        <f t="shared" si="16"/>
        <v>9.2100000000030491E-3</v>
      </c>
    </row>
    <row r="8" spans="1:32" x14ac:dyDescent="0.15">
      <c r="A8" s="27">
        <v>43316</v>
      </c>
      <c r="B8" s="7">
        <f>'[4]Production Summary'!$J40</f>
        <v>26800000.000000183</v>
      </c>
      <c r="C8" s="8">
        <f t="shared" si="17"/>
        <v>26.800000000000182</v>
      </c>
      <c r="D8" s="10">
        <f t="shared" si="18"/>
        <v>82.27600000000055</v>
      </c>
      <c r="E8" s="7">
        <f>'[4]Production Summary'!$E40</f>
        <v>17000000</v>
      </c>
      <c r="F8" s="8">
        <f t="shared" si="19"/>
        <v>17</v>
      </c>
      <c r="G8" s="10">
        <f t="shared" si="20"/>
        <v>52.19</v>
      </c>
      <c r="H8" s="7">
        <f>'[4]Production Summary'!$G40</f>
        <v>12140000</v>
      </c>
      <c r="I8" s="8">
        <f t="shared" si="21"/>
        <v>12.14</v>
      </c>
      <c r="J8" s="10">
        <f t="shared" si="22"/>
        <v>37.269799999999996</v>
      </c>
      <c r="K8" s="7">
        <f>'[4]Production Summary'!$T40</f>
        <v>2607016</v>
      </c>
      <c r="L8" s="8">
        <f t="shared" si="23"/>
        <v>2.6070159999999998</v>
      </c>
      <c r="M8" s="10">
        <f t="shared" si="24"/>
        <v>8.0035391199999992</v>
      </c>
      <c r="N8" s="21"/>
      <c r="O8" s="7">
        <f>'[4]Production Summary'!$I40</f>
        <v>11212000</v>
      </c>
      <c r="P8" s="8">
        <f t="shared" si="25"/>
        <v>11.212</v>
      </c>
      <c r="Q8" s="10">
        <f t="shared" si="26"/>
        <v>34.420839999999998</v>
      </c>
      <c r="R8" s="7">
        <f>'[4]Production Summary'!$C40</f>
        <v>11219000</v>
      </c>
      <c r="S8" s="8">
        <f t="shared" si="27"/>
        <v>11.218999999999999</v>
      </c>
      <c r="T8" s="10">
        <f t="shared" si="28"/>
        <v>34.442329999999998</v>
      </c>
      <c r="U8" s="7">
        <f>'[4]Production Summary'!$F40</f>
        <v>0</v>
      </c>
      <c r="V8" s="8">
        <f t="shared" si="29"/>
        <v>0</v>
      </c>
      <c r="W8" s="10">
        <f t="shared" si="30"/>
        <v>0</v>
      </c>
      <c r="X8" s="7">
        <f>'[4]Production Summary'!$AB40</f>
        <v>0</v>
      </c>
      <c r="Y8" s="8">
        <f t="shared" si="31"/>
        <v>0</v>
      </c>
      <c r="Z8" s="10">
        <f t="shared" si="32"/>
        <v>0</v>
      </c>
      <c r="AA8" s="15"/>
      <c r="AB8" s="7">
        <f t="shared" si="33"/>
        <v>38012000.000000179</v>
      </c>
      <c r="AC8" s="8">
        <f t="shared" si="33"/>
        <v>38.012000000000185</v>
      </c>
      <c r="AD8" s="8">
        <f>D8+Q8</f>
        <v>116.69684000000055</v>
      </c>
      <c r="AF8" s="8">
        <f t="shared" si="16"/>
        <v>2.1490000000000009E-2</v>
      </c>
    </row>
    <row r="9" spans="1:32" x14ac:dyDescent="0.15">
      <c r="A9" s="27">
        <v>43317</v>
      </c>
      <c r="B9" s="7">
        <f>'[4]Production Summary'!$J41</f>
        <v>24199999.999999817</v>
      </c>
      <c r="C9" s="8">
        <f t="shared" si="17"/>
        <v>24.199999999999818</v>
      </c>
      <c r="D9" s="10">
        <f t="shared" si="18"/>
        <v>74.293999999999443</v>
      </c>
      <c r="E9" s="7">
        <f>'[4]Production Summary'!$E41</f>
        <v>16000000</v>
      </c>
      <c r="F9" s="8">
        <f t="shared" si="19"/>
        <v>16</v>
      </c>
      <c r="G9" s="10">
        <f t="shared" si="20"/>
        <v>49.12</v>
      </c>
      <c r="H9" s="7">
        <f>'[4]Production Summary'!$G41</f>
        <v>11230000</v>
      </c>
      <c r="I9" s="8">
        <f t="shared" si="21"/>
        <v>11.23</v>
      </c>
      <c r="J9" s="10">
        <f t="shared" si="22"/>
        <v>34.476100000000002</v>
      </c>
      <c r="K9" s="7">
        <f>'[4]Production Summary'!$T41</f>
        <v>2492945</v>
      </c>
      <c r="L9" s="8">
        <f t="shared" si="23"/>
        <v>2.4929450000000002</v>
      </c>
      <c r="M9" s="10">
        <f t="shared" si="24"/>
        <v>7.6533411500000001</v>
      </c>
      <c r="N9" s="21"/>
      <c r="O9" s="7">
        <f>'[4]Production Summary'!$I41</f>
        <v>12416000</v>
      </c>
      <c r="P9" s="8">
        <f t="shared" si="25"/>
        <v>12.416</v>
      </c>
      <c r="Q9" s="10">
        <f t="shared" si="26"/>
        <v>38.11712</v>
      </c>
      <c r="R9" s="7">
        <f>'[4]Production Summary'!$C41</f>
        <v>12422000</v>
      </c>
      <c r="S9" s="8">
        <f t="shared" si="27"/>
        <v>12.422000000000001</v>
      </c>
      <c r="T9" s="10">
        <f t="shared" si="28"/>
        <v>38.135539999999999</v>
      </c>
      <c r="U9" s="7">
        <f>'[4]Production Summary'!$F41</f>
        <v>0</v>
      </c>
      <c r="V9" s="8">
        <f t="shared" si="29"/>
        <v>0</v>
      </c>
      <c r="W9" s="10">
        <f t="shared" si="30"/>
        <v>0</v>
      </c>
      <c r="X9" s="7">
        <f>'[4]Production Summary'!$AB41</f>
        <v>0</v>
      </c>
      <c r="Y9" s="8">
        <f t="shared" si="31"/>
        <v>0</v>
      </c>
      <c r="Z9" s="10">
        <f t="shared" si="32"/>
        <v>0</v>
      </c>
      <c r="AA9" s="15"/>
      <c r="AB9" s="7">
        <f t="shared" si="33"/>
        <v>36615999.999999821</v>
      </c>
      <c r="AC9" s="8">
        <f t="shared" si="33"/>
        <v>36.615999999999815</v>
      </c>
      <c r="AD9" s="8">
        <f t="shared" si="33"/>
        <v>112.41111999999944</v>
      </c>
      <c r="AF9" s="8">
        <f t="shared" si="16"/>
        <v>1.8419999999998993E-2</v>
      </c>
    </row>
    <row r="10" spans="1:32" x14ac:dyDescent="0.15">
      <c r="A10" s="27">
        <v>43318</v>
      </c>
      <c r="B10" s="7">
        <f>'[4]Production Summary'!$J42</f>
        <v>24400000.000000089</v>
      </c>
      <c r="C10" s="8">
        <f t="shared" si="17"/>
        <v>24.400000000000091</v>
      </c>
      <c r="D10" s="10">
        <f t="shared" si="18"/>
        <v>74.908000000000271</v>
      </c>
      <c r="E10" s="7">
        <f>'[4]Production Summary'!$E42</f>
        <v>17000000</v>
      </c>
      <c r="F10" s="8">
        <f t="shared" si="19"/>
        <v>17</v>
      </c>
      <c r="G10" s="10">
        <f t="shared" si="20"/>
        <v>52.19</v>
      </c>
      <c r="H10" s="7">
        <f>'[4]Production Summary'!$G42</f>
        <v>9950000</v>
      </c>
      <c r="I10" s="8">
        <f t="shared" si="21"/>
        <v>9.9499999999999993</v>
      </c>
      <c r="J10" s="10">
        <f t="shared" si="22"/>
        <v>30.546499999999995</v>
      </c>
      <c r="K10" s="7">
        <f>'[4]Production Summary'!$T42</f>
        <v>2554401</v>
      </c>
      <c r="L10" s="8">
        <f t="shared" si="23"/>
        <v>2.5544009999999999</v>
      </c>
      <c r="M10" s="10">
        <f t="shared" si="24"/>
        <v>7.842011069999999</v>
      </c>
      <c r="N10" s="21"/>
      <c r="O10" s="7">
        <f>'[4]Production Summary'!$I42</f>
        <v>14538000</v>
      </c>
      <c r="P10" s="8">
        <f t="shared" si="25"/>
        <v>14.538</v>
      </c>
      <c r="Q10" s="10">
        <f t="shared" si="26"/>
        <v>44.631659999999997</v>
      </c>
      <c r="R10" s="7">
        <f>'[4]Production Summary'!$C42</f>
        <v>14544000</v>
      </c>
      <c r="S10" s="8">
        <f t="shared" si="27"/>
        <v>14.544</v>
      </c>
      <c r="T10" s="10">
        <f t="shared" si="28"/>
        <v>44.650080000000003</v>
      </c>
      <c r="U10" s="7">
        <f>'[4]Production Summary'!$F42</f>
        <v>0</v>
      </c>
      <c r="V10" s="8">
        <f t="shared" si="29"/>
        <v>0</v>
      </c>
      <c r="W10" s="10">
        <f t="shared" si="30"/>
        <v>0</v>
      </c>
      <c r="X10" s="7">
        <f>'[4]Production Summary'!$AB42</f>
        <v>0</v>
      </c>
      <c r="Y10" s="8">
        <f t="shared" si="31"/>
        <v>0</v>
      </c>
      <c r="Z10" s="10">
        <f t="shared" si="32"/>
        <v>0</v>
      </c>
      <c r="AA10" s="15"/>
      <c r="AB10" s="7">
        <f t="shared" si="33"/>
        <v>38938000.000000089</v>
      </c>
      <c r="AC10" s="8">
        <f t="shared" si="33"/>
        <v>38.938000000000088</v>
      </c>
      <c r="AD10" s="8">
        <f t="shared" si="33"/>
        <v>119.53966000000027</v>
      </c>
      <c r="AF10" s="8">
        <f t="shared" si="16"/>
        <v>1.8420000000006098E-2</v>
      </c>
    </row>
    <row r="11" spans="1:32" x14ac:dyDescent="0.15">
      <c r="A11" s="27">
        <v>43319</v>
      </c>
      <c r="B11" s="7">
        <f>'[4]Production Summary'!$J43</f>
        <v>25300000.000000183</v>
      </c>
      <c r="C11" s="8">
        <f t="shared" si="17"/>
        <v>25.300000000000182</v>
      </c>
      <c r="D11" s="10">
        <f t="shared" si="18"/>
        <v>77.671000000000561</v>
      </c>
      <c r="E11" s="7">
        <f>'[4]Production Summary'!$E43</f>
        <v>18000000</v>
      </c>
      <c r="F11" s="8">
        <f t="shared" si="19"/>
        <v>18</v>
      </c>
      <c r="G11" s="10">
        <f t="shared" si="20"/>
        <v>55.26</v>
      </c>
      <c r="H11" s="7">
        <f>'[4]Production Summary'!$G43</f>
        <v>10010000</v>
      </c>
      <c r="I11" s="8">
        <f t="shared" si="21"/>
        <v>10.01</v>
      </c>
      <c r="J11" s="10">
        <f t="shared" si="22"/>
        <v>30.730699999999999</v>
      </c>
      <c r="K11" s="7">
        <f>'[4]Production Summary'!$T43</f>
        <v>2618811</v>
      </c>
      <c r="L11" s="8">
        <f t="shared" si="23"/>
        <v>2.618811</v>
      </c>
      <c r="M11" s="10">
        <f t="shared" si="24"/>
        <v>8.0397497700000002</v>
      </c>
      <c r="N11" s="21"/>
      <c r="O11" s="7">
        <f>'[4]Production Summary'!$I43</f>
        <v>15515000</v>
      </c>
      <c r="P11" s="8">
        <f t="shared" si="25"/>
        <v>15.515000000000001</v>
      </c>
      <c r="Q11" s="10">
        <f t="shared" si="26"/>
        <v>47.631050000000002</v>
      </c>
      <c r="R11" s="7">
        <f>'[4]Production Summary'!$C43</f>
        <v>15523000</v>
      </c>
      <c r="S11" s="8">
        <f t="shared" si="27"/>
        <v>15.523</v>
      </c>
      <c r="T11" s="10">
        <f t="shared" si="28"/>
        <v>47.655609999999996</v>
      </c>
      <c r="U11" s="7">
        <f>'[4]Production Summary'!$F43</f>
        <v>0</v>
      </c>
      <c r="V11" s="8">
        <f t="shared" si="29"/>
        <v>0</v>
      </c>
      <c r="W11" s="10">
        <f t="shared" si="30"/>
        <v>0</v>
      </c>
      <c r="X11" s="7">
        <f>'[4]Production Summary'!$AB43</f>
        <v>0</v>
      </c>
      <c r="Y11" s="8">
        <f t="shared" si="31"/>
        <v>0</v>
      </c>
      <c r="Z11" s="10">
        <f t="shared" si="32"/>
        <v>0</v>
      </c>
      <c r="AA11" s="15"/>
      <c r="AB11" s="7">
        <f t="shared" si="33"/>
        <v>40815000.000000179</v>
      </c>
      <c r="AC11" s="8">
        <f t="shared" si="33"/>
        <v>40.815000000000182</v>
      </c>
      <c r="AD11" s="8">
        <f t="shared" si="33"/>
        <v>125.30205000000056</v>
      </c>
      <c r="AF11" s="8">
        <f t="shared" si="16"/>
        <v>2.455999999999392E-2</v>
      </c>
    </row>
    <row r="12" spans="1:32" x14ac:dyDescent="0.15">
      <c r="A12" s="27">
        <v>43320</v>
      </c>
      <c r="B12" s="7">
        <f>'[4]Production Summary'!$J44</f>
        <v>21900000.000000089</v>
      </c>
      <c r="C12" s="8">
        <f t="shared" si="17"/>
        <v>21.900000000000091</v>
      </c>
      <c r="D12" s="10">
        <f t="shared" si="18"/>
        <v>67.233000000000274</v>
      </c>
      <c r="E12" s="7">
        <f>'[4]Production Summary'!$E44</f>
        <v>14000000</v>
      </c>
      <c r="F12" s="8">
        <f t="shared" si="19"/>
        <v>14</v>
      </c>
      <c r="G12" s="10">
        <f t="shared" si="20"/>
        <v>42.98</v>
      </c>
      <c r="H12" s="7">
        <f>'[4]Production Summary'!$G44</f>
        <v>9400000</v>
      </c>
      <c r="I12" s="8">
        <f t="shared" si="21"/>
        <v>9.4</v>
      </c>
      <c r="J12" s="10">
        <f t="shared" si="22"/>
        <v>28.858000000000001</v>
      </c>
      <c r="K12" s="7">
        <f>'[4]Production Summary'!$T44</f>
        <v>2286091</v>
      </c>
      <c r="L12" s="8">
        <f t="shared" si="23"/>
        <v>2.2860909999999999</v>
      </c>
      <c r="M12" s="10">
        <f t="shared" si="24"/>
        <v>7.0182993699999994</v>
      </c>
      <c r="N12" s="21"/>
      <c r="O12" s="7">
        <f>'[4]Production Summary'!$I44</f>
        <v>9613000</v>
      </c>
      <c r="P12" s="8">
        <f t="shared" si="25"/>
        <v>9.6129999999999995</v>
      </c>
      <c r="Q12" s="10">
        <f t="shared" si="26"/>
        <v>29.511909999999997</v>
      </c>
      <c r="R12" s="7">
        <f>'[4]Production Summary'!$C44</f>
        <v>9620000</v>
      </c>
      <c r="S12" s="8">
        <f t="shared" si="27"/>
        <v>9.6199999999999992</v>
      </c>
      <c r="T12" s="10">
        <f t="shared" si="28"/>
        <v>29.533399999999997</v>
      </c>
      <c r="U12" s="7">
        <f>'[4]Production Summary'!$F44</f>
        <v>0</v>
      </c>
      <c r="V12" s="8">
        <f t="shared" si="29"/>
        <v>0</v>
      </c>
      <c r="W12" s="10">
        <f t="shared" si="30"/>
        <v>0</v>
      </c>
      <c r="X12" s="7">
        <f>'[4]Production Summary'!$AB44</f>
        <v>0</v>
      </c>
      <c r="Y12" s="8">
        <f t="shared" si="31"/>
        <v>0</v>
      </c>
      <c r="Z12" s="10">
        <f t="shared" si="32"/>
        <v>0</v>
      </c>
      <c r="AA12" s="15"/>
      <c r="AB12" s="7">
        <f t="shared" si="33"/>
        <v>31513000.000000089</v>
      </c>
      <c r="AC12" s="8">
        <f t="shared" si="33"/>
        <v>31.51300000000009</v>
      </c>
      <c r="AD12" s="8">
        <f t="shared" si="33"/>
        <v>96.744910000000274</v>
      </c>
      <c r="AF12" s="8">
        <f t="shared" si="16"/>
        <v>2.1490000000000009E-2</v>
      </c>
    </row>
    <row r="13" spans="1:32" x14ac:dyDescent="0.15">
      <c r="A13" s="27">
        <v>43321</v>
      </c>
      <c r="B13" s="7">
        <f>'[4]Production Summary'!$J45</f>
        <v>24599999.999999911</v>
      </c>
      <c r="C13" s="8">
        <f t="shared" si="17"/>
        <v>24.599999999999909</v>
      </c>
      <c r="D13" s="10">
        <f t="shared" si="18"/>
        <v>75.521999999999721</v>
      </c>
      <c r="E13" s="7">
        <f>'[4]Production Summary'!$E45</f>
        <v>14000000</v>
      </c>
      <c r="F13" s="8">
        <f t="shared" si="19"/>
        <v>14</v>
      </c>
      <c r="G13" s="10">
        <f t="shared" si="20"/>
        <v>42.98</v>
      </c>
      <c r="H13" s="7">
        <f>'[4]Production Summary'!$G45</f>
        <v>13440000</v>
      </c>
      <c r="I13" s="8">
        <f t="shared" si="21"/>
        <v>13.44</v>
      </c>
      <c r="J13" s="10">
        <f t="shared" si="22"/>
        <v>41.260799999999996</v>
      </c>
      <c r="K13" s="7">
        <f>'[4]Production Summary'!$T45</f>
        <v>2596059</v>
      </c>
      <c r="L13" s="8">
        <f t="shared" si="23"/>
        <v>2.5960589999999999</v>
      </c>
      <c r="M13" s="10">
        <f t="shared" si="24"/>
        <v>7.9699011299999993</v>
      </c>
      <c r="N13" s="21"/>
      <c r="O13" s="7">
        <f>'[4]Production Summary'!$I45</f>
        <v>13219000</v>
      </c>
      <c r="P13" s="8">
        <f t="shared" si="25"/>
        <v>13.218999999999999</v>
      </c>
      <c r="Q13" s="10">
        <f t="shared" si="26"/>
        <v>40.582329999999999</v>
      </c>
      <c r="R13" s="7">
        <f>'[4]Production Summary'!$C45</f>
        <v>13222000</v>
      </c>
      <c r="S13" s="8">
        <f t="shared" si="27"/>
        <v>13.222</v>
      </c>
      <c r="T13" s="10">
        <f t="shared" si="28"/>
        <v>40.591539999999995</v>
      </c>
      <c r="U13" s="7">
        <f>'[4]Production Summary'!$F45</f>
        <v>0</v>
      </c>
      <c r="V13" s="8">
        <f t="shared" si="29"/>
        <v>0</v>
      </c>
      <c r="W13" s="10">
        <f t="shared" si="30"/>
        <v>0</v>
      </c>
      <c r="X13" s="7">
        <f>'[4]Production Summary'!$AB45</f>
        <v>0</v>
      </c>
      <c r="Y13" s="8">
        <f t="shared" si="31"/>
        <v>0</v>
      </c>
      <c r="Z13" s="10">
        <f t="shared" si="32"/>
        <v>0</v>
      </c>
      <c r="AA13" s="15"/>
      <c r="AB13" s="7">
        <f t="shared" si="33"/>
        <v>37818999.999999911</v>
      </c>
      <c r="AC13" s="8">
        <f t="shared" si="33"/>
        <v>37.81899999999991</v>
      </c>
      <c r="AD13" s="8">
        <f t="shared" si="33"/>
        <v>116.10432999999972</v>
      </c>
      <c r="AF13" s="8">
        <f t="shared" si="16"/>
        <v>9.2099999999959437E-3</v>
      </c>
    </row>
    <row r="14" spans="1:32" x14ac:dyDescent="0.15">
      <c r="A14" s="27">
        <v>43322</v>
      </c>
      <c r="B14" s="7">
        <f>'[4]Production Summary'!$J46</f>
        <v>24799999.999999728</v>
      </c>
      <c r="C14" s="8">
        <f t="shared" si="17"/>
        <v>24.799999999999727</v>
      </c>
      <c r="D14" s="10">
        <f t="shared" si="18"/>
        <v>76.135999999999157</v>
      </c>
      <c r="E14" s="7">
        <f>'[4]Production Summary'!$E46</f>
        <v>14000000</v>
      </c>
      <c r="F14" s="8">
        <f t="shared" si="19"/>
        <v>14</v>
      </c>
      <c r="G14" s="10">
        <f t="shared" si="20"/>
        <v>42.98</v>
      </c>
      <c r="H14" s="7">
        <f>'[4]Production Summary'!$G46</f>
        <v>13910000</v>
      </c>
      <c r="I14" s="8">
        <f t="shared" si="21"/>
        <v>13.91</v>
      </c>
      <c r="J14" s="10">
        <f t="shared" si="22"/>
        <v>42.703699999999998</v>
      </c>
      <c r="K14" s="7">
        <f>'[4]Production Summary'!$T46</f>
        <v>26559285</v>
      </c>
      <c r="L14" s="8">
        <f t="shared" si="23"/>
        <v>26.559284999999999</v>
      </c>
      <c r="M14" s="10">
        <f t="shared" si="24"/>
        <v>81.537004949999996</v>
      </c>
      <c r="N14" s="21"/>
      <c r="O14" s="7">
        <f>'[4]Production Summary'!$I46</f>
        <v>10438000</v>
      </c>
      <c r="P14" s="8">
        <f t="shared" si="25"/>
        <v>10.438000000000001</v>
      </c>
      <c r="Q14" s="10">
        <f t="shared" si="26"/>
        <v>32.04466</v>
      </c>
      <c r="R14" s="7">
        <f>'[4]Production Summary'!$C46</f>
        <v>10446000</v>
      </c>
      <c r="S14" s="8">
        <f t="shared" si="27"/>
        <v>10.446</v>
      </c>
      <c r="T14" s="10">
        <f t="shared" si="28"/>
        <v>32.069219999999994</v>
      </c>
      <c r="U14" s="7">
        <f>'[4]Production Summary'!$F46</f>
        <v>0</v>
      </c>
      <c r="V14" s="8">
        <f t="shared" si="29"/>
        <v>0</v>
      </c>
      <c r="W14" s="10">
        <f t="shared" si="30"/>
        <v>0</v>
      </c>
      <c r="X14" s="7">
        <f>'[4]Production Summary'!$AB46</f>
        <v>0</v>
      </c>
      <c r="Y14" s="8">
        <f t="shared" si="31"/>
        <v>0</v>
      </c>
      <c r="Z14" s="10">
        <f t="shared" si="32"/>
        <v>0</v>
      </c>
      <c r="AA14" s="15"/>
      <c r="AB14" s="7">
        <f t="shared" si="33"/>
        <v>35237999.999999732</v>
      </c>
      <c r="AC14" s="8">
        <f t="shared" si="33"/>
        <v>35.23799999999973</v>
      </c>
      <c r="AD14" s="8">
        <f t="shared" si="33"/>
        <v>108.18065999999916</v>
      </c>
      <c r="AF14" s="8">
        <f t="shared" si="16"/>
        <v>2.455999999999392E-2</v>
      </c>
    </row>
    <row r="15" spans="1:32" x14ac:dyDescent="0.15">
      <c r="A15" s="27">
        <v>43323</v>
      </c>
      <c r="B15" s="7">
        <f>'[4]Production Summary'!$J47</f>
        <v>27800000.000000183</v>
      </c>
      <c r="C15" s="8">
        <f t="shared" si="17"/>
        <v>27.800000000000182</v>
      </c>
      <c r="D15" s="10">
        <f t="shared" si="18"/>
        <v>85.346000000000558</v>
      </c>
      <c r="E15" s="7">
        <f>'[4]Production Summary'!$E47</f>
        <v>16000000</v>
      </c>
      <c r="F15" s="8">
        <f t="shared" si="19"/>
        <v>16</v>
      </c>
      <c r="G15" s="10">
        <f t="shared" si="20"/>
        <v>49.12</v>
      </c>
      <c r="H15" s="7">
        <f>'[4]Production Summary'!$G47</f>
        <v>15260000</v>
      </c>
      <c r="I15" s="8">
        <f t="shared" si="21"/>
        <v>15.26</v>
      </c>
      <c r="J15" s="10">
        <f t="shared" si="22"/>
        <v>46.848199999999999</v>
      </c>
      <c r="K15" s="7">
        <f>'[4]Production Summary'!$T47</f>
        <v>2979712</v>
      </c>
      <c r="L15" s="8">
        <f t="shared" si="23"/>
        <v>2.9797120000000001</v>
      </c>
      <c r="M15" s="10">
        <f t="shared" si="24"/>
        <v>9.14771584</v>
      </c>
      <c r="N15" s="21"/>
      <c r="O15" s="7">
        <f>'[4]Production Summary'!$I47</f>
        <v>9059000</v>
      </c>
      <c r="P15" s="8">
        <f t="shared" si="25"/>
        <v>9.0589999999999993</v>
      </c>
      <c r="Q15" s="10">
        <f t="shared" si="26"/>
        <v>27.811129999999995</v>
      </c>
      <c r="R15" s="7">
        <f>'[4]Production Summary'!$C47</f>
        <v>9065000</v>
      </c>
      <c r="S15" s="8">
        <f t="shared" si="27"/>
        <v>9.0649999999999995</v>
      </c>
      <c r="T15" s="10">
        <f t="shared" si="28"/>
        <v>27.829549999999998</v>
      </c>
      <c r="U15" s="7">
        <f>'[4]Production Summary'!$F47</f>
        <v>0</v>
      </c>
      <c r="V15" s="8">
        <f t="shared" si="29"/>
        <v>0</v>
      </c>
      <c r="W15" s="10">
        <f t="shared" si="30"/>
        <v>0</v>
      </c>
      <c r="X15" s="7">
        <f>'[4]Production Summary'!$AB47</f>
        <v>0</v>
      </c>
      <c r="Y15" s="8">
        <f t="shared" si="31"/>
        <v>0</v>
      </c>
      <c r="Z15" s="10">
        <f t="shared" si="32"/>
        <v>0</v>
      </c>
      <c r="AA15" s="15"/>
      <c r="AB15" s="7">
        <f t="shared" si="33"/>
        <v>36859000.000000179</v>
      </c>
      <c r="AC15" s="8">
        <f t="shared" si="33"/>
        <v>36.859000000000179</v>
      </c>
      <c r="AD15" s="8">
        <f t="shared" si="33"/>
        <v>113.15713000000055</v>
      </c>
      <c r="AF15" s="8">
        <f>T15-Q15-Z15</f>
        <v>1.8420000000002545E-2</v>
      </c>
    </row>
    <row r="16" spans="1:32" x14ac:dyDescent="0.15">
      <c r="A16" s="27">
        <v>43324</v>
      </c>
      <c r="B16" s="7">
        <f>'[4]Production Summary'!$J48</f>
        <v>29900000.000000089</v>
      </c>
      <c r="C16" s="8">
        <f t="shared" si="17"/>
        <v>29.900000000000091</v>
      </c>
      <c r="D16" s="10">
        <f t="shared" si="18"/>
        <v>91.793000000000276</v>
      </c>
      <c r="E16" s="7">
        <f>'[4]Production Summary'!$E48</f>
        <v>16000000</v>
      </c>
      <c r="F16" s="8">
        <f t="shared" si="19"/>
        <v>16</v>
      </c>
      <c r="G16" s="10">
        <f t="shared" si="20"/>
        <v>49.12</v>
      </c>
      <c r="H16" s="7">
        <f>'[4]Production Summary'!$G48</f>
        <v>16520000</v>
      </c>
      <c r="I16" s="8">
        <f t="shared" si="21"/>
        <v>16.52</v>
      </c>
      <c r="J16" s="10">
        <f t="shared" si="22"/>
        <v>50.716399999999993</v>
      </c>
      <c r="K16" s="7">
        <f>'[4]Production Summary'!$T48</f>
        <v>2973705</v>
      </c>
      <c r="L16" s="8">
        <f t="shared" si="23"/>
        <v>2.9737049999999998</v>
      </c>
      <c r="M16" s="10">
        <f t="shared" si="24"/>
        <v>9.1292743499999993</v>
      </c>
      <c r="N16" s="21"/>
      <c r="O16" s="7">
        <f>'[4]Production Summary'!$I48</f>
        <v>9526000</v>
      </c>
      <c r="P16" s="8">
        <f t="shared" si="25"/>
        <v>9.5259999999999998</v>
      </c>
      <c r="Q16" s="10">
        <f t="shared" si="26"/>
        <v>29.244819999999997</v>
      </c>
      <c r="R16" s="7">
        <f>'[4]Production Summary'!$C48</f>
        <v>9533000</v>
      </c>
      <c r="S16" s="8">
        <f t="shared" si="27"/>
        <v>9.5329999999999995</v>
      </c>
      <c r="T16" s="10">
        <f t="shared" si="28"/>
        <v>29.266309999999997</v>
      </c>
      <c r="U16" s="7">
        <f>'[4]Production Summary'!$F48</f>
        <v>0</v>
      </c>
      <c r="V16" s="8">
        <f t="shared" si="29"/>
        <v>0</v>
      </c>
      <c r="W16" s="10">
        <f t="shared" si="30"/>
        <v>0</v>
      </c>
      <c r="X16" s="7">
        <f>'[4]Production Summary'!$AB48</f>
        <v>0</v>
      </c>
      <c r="Y16" s="8">
        <f t="shared" si="31"/>
        <v>0</v>
      </c>
      <c r="Z16" s="10">
        <f t="shared" si="32"/>
        <v>0</v>
      </c>
      <c r="AA16" s="15"/>
      <c r="AB16" s="7">
        <f t="shared" si="33"/>
        <v>39426000.000000089</v>
      </c>
      <c r="AC16" s="8">
        <f t="shared" si="33"/>
        <v>39.426000000000087</v>
      </c>
      <c r="AD16" s="8">
        <f t="shared" si="33"/>
        <v>121.03782000000027</v>
      </c>
      <c r="AF16" s="8">
        <f>T16-Q16-Z16</f>
        <v>2.1490000000000009E-2</v>
      </c>
    </row>
    <row r="17" spans="1:32" x14ac:dyDescent="0.15">
      <c r="A17" s="27">
        <v>43325</v>
      </c>
      <c r="B17" s="7">
        <f>'[4]Production Summary'!$J49</f>
        <v>26900000.000000089</v>
      </c>
      <c r="C17" s="8">
        <f t="shared" si="17"/>
        <v>26.900000000000091</v>
      </c>
      <c r="D17" s="10">
        <f t="shared" si="18"/>
        <v>82.583000000000268</v>
      </c>
      <c r="E17" s="7">
        <f>'[4]Production Summary'!$E49</f>
        <v>15000000</v>
      </c>
      <c r="F17" s="8">
        <f t="shared" si="19"/>
        <v>15</v>
      </c>
      <c r="G17" s="10">
        <f t="shared" si="20"/>
        <v>46.05</v>
      </c>
      <c r="H17" s="7">
        <f>'[4]Production Summary'!$G49</f>
        <v>14600000</v>
      </c>
      <c r="I17" s="8">
        <f t="shared" si="21"/>
        <v>14.6</v>
      </c>
      <c r="J17" s="10">
        <f t="shared" si="22"/>
        <v>44.821999999999996</v>
      </c>
      <c r="K17" s="7">
        <f>'[4]Production Summary'!$T49</f>
        <v>2585604</v>
      </c>
      <c r="L17" s="8">
        <f t="shared" si="23"/>
        <v>2.585604</v>
      </c>
      <c r="M17" s="10">
        <f t="shared" si="24"/>
        <v>7.9378042799999999</v>
      </c>
      <c r="N17" s="21"/>
      <c r="O17" s="7">
        <f>'[4]Production Summary'!$I49</f>
        <v>10308000</v>
      </c>
      <c r="P17" s="8">
        <f t="shared" si="25"/>
        <v>10.308</v>
      </c>
      <c r="Q17" s="10">
        <f t="shared" si="26"/>
        <v>31.645559999999996</v>
      </c>
      <c r="R17" s="7">
        <f>'[4]Production Summary'!$C49</f>
        <v>10311000</v>
      </c>
      <c r="S17" s="8">
        <f t="shared" si="27"/>
        <v>10.311</v>
      </c>
      <c r="T17" s="10">
        <f t="shared" si="28"/>
        <v>31.654769999999999</v>
      </c>
      <c r="U17" s="7">
        <f>'[4]Production Summary'!$F49</f>
        <v>0</v>
      </c>
      <c r="V17" s="8">
        <f t="shared" si="29"/>
        <v>0</v>
      </c>
      <c r="W17" s="10">
        <f t="shared" si="30"/>
        <v>0</v>
      </c>
      <c r="X17" s="7">
        <f>'[4]Production Summary'!$AB49</f>
        <v>0</v>
      </c>
      <c r="Y17" s="8">
        <f t="shared" si="31"/>
        <v>0</v>
      </c>
      <c r="Z17" s="10">
        <f t="shared" si="32"/>
        <v>0</v>
      </c>
      <c r="AA17" s="15"/>
      <c r="AB17" s="7">
        <f t="shared" si="33"/>
        <v>37208000.000000089</v>
      </c>
      <c r="AC17" s="8">
        <f t="shared" si="33"/>
        <v>37.208000000000091</v>
      </c>
      <c r="AD17" s="8">
        <f t="shared" si="33"/>
        <v>114.22856000000027</v>
      </c>
      <c r="AF17" s="8">
        <f>T17-Q17-Z17</f>
        <v>9.2100000000030491E-3</v>
      </c>
    </row>
    <row r="18" spans="1:32" x14ac:dyDescent="0.15">
      <c r="A18" s="27">
        <v>43326</v>
      </c>
      <c r="B18" s="7">
        <f>'[4]Production Summary'!$J50</f>
        <v>26399999.999999635</v>
      </c>
      <c r="C18" s="8">
        <f t="shared" si="17"/>
        <v>26.399999999999636</v>
      </c>
      <c r="D18" s="10">
        <f t="shared" si="18"/>
        <v>81.047999999998879</v>
      </c>
      <c r="E18" s="7">
        <f>'[4]Production Summary'!$E50</f>
        <v>14000000</v>
      </c>
      <c r="F18" s="8">
        <f t="shared" si="19"/>
        <v>14</v>
      </c>
      <c r="G18" s="10">
        <f t="shared" si="20"/>
        <v>42.98</v>
      </c>
      <c r="H18" s="7">
        <f>'[4]Production Summary'!$G50</f>
        <v>14170000</v>
      </c>
      <c r="I18" s="8">
        <f t="shared" si="21"/>
        <v>14.17</v>
      </c>
      <c r="J18" s="10">
        <f t="shared" si="22"/>
        <v>43.501899999999999</v>
      </c>
      <c r="K18" s="7">
        <f>'[4]Production Summary'!$T50</f>
        <v>2759295</v>
      </c>
      <c r="L18" s="8">
        <f t="shared" si="23"/>
        <v>2.7592949999999998</v>
      </c>
      <c r="M18" s="10">
        <f t="shared" si="24"/>
        <v>8.4710356499999993</v>
      </c>
      <c r="N18" s="21"/>
      <c r="O18" s="7">
        <f>'[4]Production Summary'!$I50</f>
        <v>14334000</v>
      </c>
      <c r="P18" s="8">
        <f t="shared" si="25"/>
        <v>14.334</v>
      </c>
      <c r="Q18" s="10">
        <f t="shared" si="26"/>
        <v>44.005379999999995</v>
      </c>
      <c r="R18" s="7">
        <f>'[4]Production Summary'!$C50</f>
        <v>14340000</v>
      </c>
      <c r="S18" s="8">
        <f t="shared" si="27"/>
        <v>14.34</v>
      </c>
      <c r="T18" s="10">
        <f t="shared" si="28"/>
        <v>44.023799999999994</v>
      </c>
      <c r="U18" s="7">
        <f>'[4]Production Summary'!$F50</f>
        <v>0</v>
      </c>
      <c r="V18" s="8">
        <f t="shared" si="29"/>
        <v>0</v>
      </c>
      <c r="W18" s="10">
        <f t="shared" si="30"/>
        <v>0</v>
      </c>
      <c r="X18" s="7">
        <f>'[4]Production Summary'!$AB50</f>
        <v>0</v>
      </c>
      <c r="Y18" s="8">
        <f t="shared" si="31"/>
        <v>0</v>
      </c>
      <c r="Z18" s="10">
        <f t="shared" si="32"/>
        <v>0</v>
      </c>
      <c r="AA18" s="15"/>
      <c r="AB18" s="7">
        <f t="shared" si="33"/>
        <v>40733999.999999635</v>
      </c>
      <c r="AC18" s="8">
        <f t="shared" si="33"/>
        <v>40.733999999999639</v>
      </c>
      <c r="AD18" s="8">
        <f t="shared" si="33"/>
        <v>125.05337999999887</v>
      </c>
      <c r="AF18" s="8">
        <f>T18-Q18-Z18</f>
        <v>1.8419999999998993E-2</v>
      </c>
    </row>
    <row r="19" spans="1:32" x14ac:dyDescent="0.15">
      <c r="A19" s="27">
        <v>43327</v>
      </c>
      <c r="B19" s="7">
        <f>'[4]Production Summary'!$J51</f>
        <v>26500000</v>
      </c>
      <c r="C19" s="8">
        <f t="shared" si="17"/>
        <v>26.5</v>
      </c>
      <c r="D19" s="10">
        <f t="shared" si="18"/>
        <v>81.35499999999999</v>
      </c>
      <c r="E19" s="7">
        <f>'[4]Production Summary'!$E51</f>
        <v>14000000</v>
      </c>
      <c r="F19" s="8">
        <f t="shared" si="19"/>
        <v>14</v>
      </c>
      <c r="G19" s="10">
        <f t="shared" si="20"/>
        <v>42.98</v>
      </c>
      <c r="H19" s="7">
        <f>'[4]Production Summary'!$G51</f>
        <v>14630000</v>
      </c>
      <c r="I19" s="8">
        <f t="shared" si="21"/>
        <v>14.63</v>
      </c>
      <c r="J19" s="10">
        <f t="shared" si="22"/>
        <v>44.914099999999998</v>
      </c>
      <c r="K19" s="7">
        <f>'[4]Production Summary'!$T51</f>
        <v>2841904</v>
      </c>
      <c r="L19" s="8">
        <f t="shared" si="23"/>
        <v>2.841904</v>
      </c>
      <c r="M19" s="10">
        <f t="shared" si="24"/>
        <v>8.7246452799999989</v>
      </c>
      <c r="N19" s="21"/>
      <c r="O19" s="7">
        <f>'[4]Production Summary'!$I51</f>
        <v>12081000</v>
      </c>
      <c r="P19" s="8">
        <f t="shared" si="25"/>
        <v>12.081</v>
      </c>
      <c r="Q19" s="10">
        <f t="shared" si="26"/>
        <v>37.088669999999993</v>
      </c>
      <c r="R19" s="7">
        <f>'[4]Production Summary'!$C51</f>
        <v>12090000</v>
      </c>
      <c r="S19" s="8">
        <f t="shared" si="27"/>
        <v>12.09</v>
      </c>
      <c r="T19" s="10">
        <f t="shared" si="28"/>
        <v>37.116299999999995</v>
      </c>
      <c r="U19" s="7">
        <f>'[4]Production Summary'!$F51</f>
        <v>0</v>
      </c>
      <c r="V19" s="8">
        <f t="shared" si="29"/>
        <v>0</v>
      </c>
      <c r="W19" s="10">
        <f t="shared" si="30"/>
        <v>0</v>
      </c>
      <c r="X19" s="7">
        <f>'[4]Production Summary'!$AB51</f>
        <v>0</v>
      </c>
      <c r="Y19" s="8">
        <f t="shared" si="31"/>
        <v>0</v>
      </c>
      <c r="Z19" s="10">
        <f t="shared" si="32"/>
        <v>0</v>
      </c>
      <c r="AA19" s="15"/>
      <c r="AB19" s="7">
        <f t="shared" si="33"/>
        <v>38581000</v>
      </c>
      <c r="AC19" s="8">
        <f t="shared" si="33"/>
        <v>38.581000000000003</v>
      </c>
      <c r="AD19" s="8">
        <f>D19+Q19</f>
        <v>118.44366999999998</v>
      </c>
      <c r="AF19" s="8">
        <f>T19-Q19-Z19</f>
        <v>2.7630000000002042E-2</v>
      </c>
    </row>
    <row r="20" spans="1:32" x14ac:dyDescent="0.15">
      <c r="A20" s="27">
        <v>43328</v>
      </c>
      <c r="B20" s="7">
        <f>'[4]Production Summary'!$J52</f>
        <v>27300000.000000183</v>
      </c>
      <c r="C20" s="8">
        <f t="shared" si="17"/>
        <v>27.300000000000182</v>
      </c>
      <c r="D20" s="10">
        <f t="shared" si="18"/>
        <v>83.811000000000547</v>
      </c>
      <c r="E20" s="7">
        <f>'[4]Production Summary'!$E52</f>
        <v>15000000</v>
      </c>
      <c r="F20" s="8">
        <f t="shared" si="19"/>
        <v>15</v>
      </c>
      <c r="G20" s="10">
        <f t="shared" si="20"/>
        <v>46.05</v>
      </c>
      <c r="H20" s="7">
        <f>'[4]Production Summary'!$G52</f>
        <v>14920000</v>
      </c>
      <c r="I20" s="8">
        <f t="shared" si="21"/>
        <v>14.92</v>
      </c>
      <c r="J20" s="10">
        <f t="shared" si="22"/>
        <v>45.804399999999994</v>
      </c>
      <c r="K20" s="7">
        <f>'[4]Production Summary'!$T52</f>
        <v>2690985</v>
      </c>
      <c r="L20" s="8">
        <f t="shared" si="23"/>
        <v>2.690985</v>
      </c>
      <c r="M20" s="10">
        <f t="shared" si="24"/>
        <v>8.2613239499999995</v>
      </c>
      <c r="N20" s="21"/>
      <c r="O20" s="7">
        <f>'[4]Production Summary'!$I52</f>
        <v>13765000</v>
      </c>
      <c r="P20" s="8">
        <f t="shared" si="25"/>
        <v>13.765000000000001</v>
      </c>
      <c r="Q20" s="10">
        <f t="shared" si="26"/>
        <v>42.25855</v>
      </c>
      <c r="R20" s="7">
        <f>'[4]Production Summary'!$C52</f>
        <v>14124000</v>
      </c>
      <c r="S20" s="8">
        <f t="shared" si="27"/>
        <v>14.124000000000001</v>
      </c>
      <c r="T20" s="10">
        <f t="shared" si="28"/>
        <v>43.360680000000002</v>
      </c>
      <c r="U20" s="7">
        <f>'[4]Production Summary'!$F52</f>
        <v>0</v>
      </c>
      <c r="V20" s="8">
        <f t="shared" si="29"/>
        <v>0</v>
      </c>
      <c r="W20" s="10">
        <f t="shared" si="30"/>
        <v>0</v>
      </c>
      <c r="X20" s="7">
        <f>'[4]Production Summary'!$AB52</f>
        <v>350999.99999999907</v>
      </c>
      <c r="Y20" s="8">
        <f t="shared" si="31"/>
        <v>0.35099999999999909</v>
      </c>
      <c r="Z20" s="10">
        <f t="shared" si="32"/>
        <v>1.0775699999999973</v>
      </c>
      <c r="AA20" s="15"/>
      <c r="AB20" s="7">
        <f t="shared" si="33"/>
        <v>41065000.000000179</v>
      </c>
      <c r="AC20" s="8">
        <f t="shared" si="33"/>
        <v>41.065000000000182</v>
      </c>
      <c r="AD20" s="8">
        <f t="shared" si="33"/>
        <v>126.06955000000055</v>
      </c>
      <c r="AF20" s="8">
        <f t="shared" ref="AF20:AF35" si="34">T20-Q20-Z20</f>
        <v>2.4560000000005244E-2</v>
      </c>
    </row>
    <row r="21" spans="1:32" x14ac:dyDescent="0.15">
      <c r="A21" s="27">
        <v>43329</v>
      </c>
      <c r="B21" s="7">
        <f>'[4]Production Summary'!$J53</f>
        <v>26699999.999999817</v>
      </c>
      <c r="C21" s="8">
        <f t="shared" si="17"/>
        <v>26.699999999999818</v>
      </c>
      <c r="D21" s="10">
        <f t="shared" si="18"/>
        <v>81.96899999999944</v>
      </c>
      <c r="E21" s="7">
        <f>'[4]Production Summary'!$E53</f>
        <v>15000000</v>
      </c>
      <c r="F21" s="8">
        <f t="shared" si="19"/>
        <v>15</v>
      </c>
      <c r="G21" s="10">
        <f t="shared" si="20"/>
        <v>46.05</v>
      </c>
      <c r="H21" s="7">
        <f>'[4]Production Summary'!$G53</f>
        <v>14970000</v>
      </c>
      <c r="I21" s="8">
        <f t="shared" si="21"/>
        <v>14.97</v>
      </c>
      <c r="J21" s="10">
        <f t="shared" si="22"/>
        <v>45.957900000000002</v>
      </c>
      <c r="K21" s="7">
        <f>'[4]Production Summary'!$T53</f>
        <v>2767402</v>
      </c>
      <c r="L21" s="8">
        <f t="shared" si="23"/>
        <v>2.7674020000000001</v>
      </c>
      <c r="M21" s="10">
        <f t="shared" si="24"/>
        <v>8.4959241399999996</v>
      </c>
      <c r="N21" s="21"/>
      <c r="O21" s="7">
        <f>'[4]Production Summary'!$I53</f>
        <v>11509999.999999981</v>
      </c>
      <c r="P21" s="8">
        <f t="shared" si="25"/>
        <v>11.509999999999982</v>
      </c>
      <c r="Q21" s="10">
        <f t="shared" si="26"/>
        <v>35.335699999999946</v>
      </c>
      <c r="R21" s="7">
        <f>'[4]Production Summary'!$C53</f>
        <v>11857000</v>
      </c>
      <c r="S21" s="8">
        <f t="shared" si="27"/>
        <v>11.856999999999999</v>
      </c>
      <c r="T21" s="10">
        <f t="shared" si="28"/>
        <v>36.400989999999993</v>
      </c>
      <c r="U21" s="7">
        <f>'[4]Production Summary'!$F53</f>
        <v>0</v>
      </c>
      <c r="V21" s="8">
        <f t="shared" si="29"/>
        <v>0</v>
      </c>
      <c r="W21" s="10">
        <f t="shared" si="30"/>
        <v>0</v>
      </c>
      <c r="X21" s="7">
        <f>'[4]Production Summary'!$AB53</f>
        <v>343000.00000001775</v>
      </c>
      <c r="Y21" s="8">
        <f t="shared" si="31"/>
        <v>0.34300000000001774</v>
      </c>
      <c r="Z21" s="10">
        <f t="shared" si="32"/>
        <v>1.0530100000000544</v>
      </c>
      <c r="AA21" s="15"/>
      <c r="AB21" s="7">
        <f t="shared" si="33"/>
        <v>38209999.999999799</v>
      </c>
      <c r="AC21" s="8">
        <f t="shared" si="33"/>
        <v>38.209999999999802</v>
      </c>
      <c r="AD21" s="8">
        <f t="shared" si="33"/>
        <v>117.30469999999939</v>
      </c>
      <c r="AF21" s="8">
        <f t="shared" si="34"/>
        <v>1.2279999999992741E-2</v>
      </c>
    </row>
    <row r="22" spans="1:32" x14ac:dyDescent="0.15">
      <c r="A22" s="27">
        <v>43330</v>
      </c>
      <c r="B22" s="7">
        <f>'[4]Production Summary'!$J54</f>
        <v>27200000.000000272</v>
      </c>
      <c r="C22" s="8">
        <f t="shared" si="17"/>
        <v>27.200000000000273</v>
      </c>
      <c r="D22" s="10">
        <f t="shared" si="18"/>
        <v>83.504000000000829</v>
      </c>
      <c r="E22" s="7">
        <f>'[4]Production Summary'!$E54</f>
        <v>15000000</v>
      </c>
      <c r="F22" s="8">
        <f t="shared" si="19"/>
        <v>15</v>
      </c>
      <c r="G22" s="10">
        <f t="shared" si="20"/>
        <v>46.05</v>
      </c>
      <c r="H22" s="7">
        <f>'[4]Production Summary'!$G54</f>
        <v>15010000</v>
      </c>
      <c r="I22" s="8">
        <f t="shared" si="21"/>
        <v>15.01</v>
      </c>
      <c r="J22" s="10">
        <f t="shared" si="22"/>
        <v>46.0807</v>
      </c>
      <c r="K22" s="7">
        <f>'[4]Production Summary'!$T54</f>
        <v>2682698</v>
      </c>
      <c r="L22" s="8">
        <f t="shared" si="23"/>
        <v>2.6826979999999998</v>
      </c>
      <c r="M22" s="10">
        <f t="shared" si="24"/>
        <v>8.2358828599999985</v>
      </c>
      <c r="N22" s="21"/>
      <c r="O22" s="7">
        <f>'[4]Production Summary'!$I54</f>
        <v>10285000.000000013</v>
      </c>
      <c r="P22" s="8">
        <f t="shared" si="25"/>
        <v>10.285000000000013</v>
      </c>
      <c r="Q22" s="10">
        <f t="shared" si="26"/>
        <v>31.574950000000037</v>
      </c>
      <c r="R22" s="7">
        <f>'[4]Production Summary'!$C54</f>
        <v>10682000</v>
      </c>
      <c r="S22" s="8">
        <f t="shared" si="27"/>
        <v>10.682</v>
      </c>
      <c r="T22" s="10">
        <f t="shared" si="28"/>
        <v>32.79374</v>
      </c>
      <c r="U22" s="7">
        <f>'[4]Production Summary'!$F54</f>
        <v>0</v>
      </c>
      <c r="V22" s="8">
        <f t="shared" si="29"/>
        <v>0</v>
      </c>
      <c r="W22" s="10">
        <f t="shared" si="30"/>
        <v>0</v>
      </c>
      <c r="X22" s="7">
        <f>'[4]Production Summary'!$AB54</f>
        <v>389999.99999998638</v>
      </c>
      <c r="Y22" s="8">
        <f t="shared" si="31"/>
        <v>0.38999999999998636</v>
      </c>
      <c r="Z22" s="10">
        <f t="shared" si="32"/>
        <v>1.1972999999999581</v>
      </c>
      <c r="AA22" s="15"/>
      <c r="AB22" s="7">
        <f t="shared" si="33"/>
        <v>37485000.000000283</v>
      </c>
      <c r="AC22" s="8">
        <f t="shared" si="33"/>
        <v>37.485000000000284</v>
      </c>
      <c r="AD22" s="8">
        <f t="shared" si="33"/>
        <v>115.07895000000087</v>
      </c>
      <c r="AF22" s="8">
        <f t="shared" si="34"/>
        <v>2.1490000000004894E-2</v>
      </c>
    </row>
    <row r="23" spans="1:32" x14ac:dyDescent="0.15">
      <c r="A23" s="27">
        <v>43331</v>
      </c>
      <c r="B23" s="7">
        <f>'[4]Production Summary'!$J55</f>
        <v>27500000</v>
      </c>
      <c r="C23" s="8">
        <f t="shared" si="17"/>
        <v>27.5</v>
      </c>
      <c r="D23" s="10">
        <f t="shared" si="18"/>
        <v>84.424999999999997</v>
      </c>
      <c r="E23" s="7">
        <f>'[4]Production Summary'!$E55</f>
        <v>15000000</v>
      </c>
      <c r="F23" s="8">
        <f t="shared" si="19"/>
        <v>15</v>
      </c>
      <c r="G23" s="10">
        <f t="shared" si="20"/>
        <v>46.05</v>
      </c>
      <c r="H23" s="7">
        <f>'[4]Production Summary'!$G55</f>
        <v>14890000</v>
      </c>
      <c r="I23" s="8">
        <f t="shared" si="21"/>
        <v>14.89</v>
      </c>
      <c r="J23" s="10">
        <f t="shared" si="22"/>
        <v>45.712299999999999</v>
      </c>
      <c r="K23" s="7">
        <f>'[4]Production Summary'!$T55</f>
        <v>2799307</v>
      </c>
      <c r="L23" s="8">
        <f t="shared" si="23"/>
        <v>2.7993070000000002</v>
      </c>
      <c r="M23" s="10">
        <f t="shared" si="24"/>
        <v>8.5938724900000008</v>
      </c>
      <c r="N23" s="21"/>
      <c r="O23" s="7">
        <f>'[4]Production Summary'!$I55</f>
        <v>11865000.000000004</v>
      </c>
      <c r="P23" s="8">
        <f t="shared" si="25"/>
        <v>11.865000000000004</v>
      </c>
      <c r="Q23" s="10">
        <f t="shared" si="26"/>
        <v>36.425550000000008</v>
      </c>
      <c r="R23" s="7">
        <f>'[4]Production Summary'!$C55</f>
        <v>12143000</v>
      </c>
      <c r="S23" s="8">
        <f t="shared" si="27"/>
        <v>12.143000000000001</v>
      </c>
      <c r="T23" s="10">
        <f t="shared" si="28"/>
        <v>37.27901</v>
      </c>
      <c r="U23" s="7">
        <f>'[4]Production Summary'!$F55</f>
        <v>0</v>
      </c>
      <c r="V23" s="8">
        <f t="shared" si="29"/>
        <v>0</v>
      </c>
      <c r="W23" s="10">
        <f t="shared" si="30"/>
        <v>0</v>
      </c>
      <c r="X23" s="7">
        <f>'[4]Production Summary'!$AB55</f>
        <v>272999.99999999616</v>
      </c>
      <c r="Y23" s="8">
        <f t="shared" si="31"/>
        <v>0.27299999999999613</v>
      </c>
      <c r="Z23" s="10">
        <f t="shared" si="32"/>
        <v>0.83810999999998814</v>
      </c>
      <c r="AA23" s="15"/>
      <c r="AB23" s="7">
        <f t="shared" si="33"/>
        <v>39365000</v>
      </c>
      <c r="AC23" s="8">
        <f t="shared" si="33"/>
        <v>39.365000000000002</v>
      </c>
      <c r="AD23" s="8">
        <f t="shared" si="33"/>
        <v>120.85055</v>
      </c>
      <c r="AF23" s="8">
        <f t="shared" si="34"/>
        <v>1.5350000000003083E-2</v>
      </c>
    </row>
    <row r="24" spans="1:32" x14ac:dyDescent="0.15">
      <c r="A24" s="27">
        <v>43332</v>
      </c>
      <c r="B24" s="7">
        <f>'[4]Production Summary'!$J56</f>
        <v>27599999.999999911</v>
      </c>
      <c r="C24" s="8">
        <f t="shared" si="17"/>
        <v>27.599999999999909</v>
      </c>
      <c r="D24" s="10">
        <f t="shared" si="18"/>
        <v>84.731999999999715</v>
      </c>
      <c r="E24" s="7">
        <f>'[4]Production Summary'!$E56</f>
        <v>15000000</v>
      </c>
      <c r="F24" s="8">
        <f t="shared" si="19"/>
        <v>15</v>
      </c>
      <c r="G24" s="10">
        <f t="shared" si="20"/>
        <v>46.05</v>
      </c>
      <c r="H24" s="7">
        <f>'[4]Production Summary'!$G56</f>
        <v>15210000</v>
      </c>
      <c r="I24" s="8">
        <f t="shared" si="21"/>
        <v>15.21</v>
      </c>
      <c r="J24" s="10">
        <f t="shared" si="22"/>
        <v>46.694699999999997</v>
      </c>
      <c r="K24" s="7">
        <f>'[4]Production Summary'!$T56</f>
        <v>2758643</v>
      </c>
      <c r="L24" s="8">
        <f t="shared" si="23"/>
        <v>2.7586430000000002</v>
      </c>
      <c r="M24" s="10">
        <f t="shared" si="24"/>
        <v>8.4690340099999997</v>
      </c>
      <c r="N24" s="21"/>
      <c r="O24" s="7">
        <f>'[4]Production Summary'!$I56</f>
        <v>11867999.999999974</v>
      </c>
      <c r="P24" s="8">
        <f t="shared" si="25"/>
        <v>11.867999999999974</v>
      </c>
      <c r="Q24" s="10">
        <f t="shared" si="26"/>
        <v>36.434759999999919</v>
      </c>
      <c r="R24" s="7">
        <f>'[4]Production Summary'!$C56</f>
        <v>12296000</v>
      </c>
      <c r="S24" s="8">
        <f t="shared" si="27"/>
        <v>12.295999999999999</v>
      </c>
      <c r="T24" s="10">
        <f t="shared" si="28"/>
        <v>37.748719999999999</v>
      </c>
      <c r="U24" s="7">
        <f>'[4]Production Summary'!$F56</f>
        <v>0</v>
      </c>
      <c r="V24" s="8">
        <f t="shared" si="29"/>
        <v>0</v>
      </c>
      <c r="W24" s="10">
        <f t="shared" si="30"/>
        <v>0</v>
      </c>
      <c r="X24" s="7">
        <f>'[4]Production Summary'!$AB56</f>
        <v>422000.00000002549</v>
      </c>
      <c r="Y24" s="8">
        <f t="shared" si="31"/>
        <v>0.42200000000002552</v>
      </c>
      <c r="Z24" s="10">
        <f t="shared" si="32"/>
        <v>1.2955400000000783</v>
      </c>
      <c r="AA24" s="15"/>
      <c r="AB24" s="7">
        <f t="shared" si="33"/>
        <v>39467999.999999881</v>
      </c>
      <c r="AC24" s="8">
        <f t="shared" si="33"/>
        <v>39.467999999999883</v>
      </c>
      <c r="AD24" s="8">
        <f>D24+Q24</f>
        <v>121.16675999999964</v>
      </c>
      <c r="AF24" s="8">
        <f t="shared" si="34"/>
        <v>1.8420000000001435E-2</v>
      </c>
    </row>
    <row r="25" spans="1:32" x14ac:dyDescent="0.15">
      <c r="A25" s="27">
        <v>43333</v>
      </c>
      <c r="B25" s="7">
        <f>'[4]Production Summary'!$J57</f>
        <v>29300000.000000183</v>
      </c>
      <c r="C25" s="8">
        <f t="shared" si="17"/>
        <v>29.300000000000182</v>
      </c>
      <c r="D25" s="10">
        <f t="shared" si="18"/>
        <v>89.951000000000548</v>
      </c>
      <c r="E25" s="7">
        <f>'[4]Production Summary'!$E57</f>
        <v>17000000</v>
      </c>
      <c r="F25" s="8">
        <f t="shared" si="19"/>
        <v>17</v>
      </c>
      <c r="G25" s="10">
        <f t="shared" si="20"/>
        <v>52.19</v>
      </c>
      <c r="H25" s="7">
        <f>'[4]Production Summary'!$G57</f>
        <v>16130000</v>
      </c>
      <c r="I25" s="8">
        <f t="shared" si="21"/>
        <v>16.13</v>
      </c>
      <c r="J25" s="10">
        <f t="shared" si="22"/>
        <v>49.519099999999995</v>
      </c>
      <c r="K25" s="7">
        <f>'[4]Production Summary'!$T57</f>
        <v>2923312</v>
      </c>
      <c r="L25" s="8">
        <f t="shared" si="23"/>
        <v>2.9233120000000001</v>
      </c>
      <c r="M25" s="10">
        <f t="shared" si="24"/>
        <v>8.9745678400000006</v>
      </c>
      <c r="N25" s="21"/>
      <c r="O25" s="7">
        <f>'[4]Production Summary'!$I57</f>
        <v>9644000.000000013</v>
      </c>
      <c r="P25" s="8">
        <f t="shared" si="25"/>
        <v>9.6440000000000126</v>
      </c>
      <c r="Q25" s="10">
        <f t="shared" si="26"/>
        <v>29.607080000000035</v>
      </c>
      <c r="R25" s="7">
        <f>'[4]Production Summary'!$C57</f>
        <v>10173000</v>
      </c>
      <c r="S25" s="8">
        <f t="shared" si="27"/>
        <v>10.173</v>
      </c>
      <c r="T25" s="10">
        <f t="shared" si="28"/>
        <v>31.231109999999997</v>
      </c>
      <c r="U25" s="7">
        <f>'[4]Production Summary'!$F57</f>
        <v>0</v>
      </c>
      <c r="V25" s="8">
        <f t="shared" si="29"/>
        <v>0</v>
      </c>
      <c r="W25" s="10">
        <f t="shared" si="30"/>
        <v>0</v>
      </c>
      <c r="X25" s="7">
        <f>'[4]Production Summary'!$AB57</f>
        <v>520999.99999998661</v>
      </c>
      <c r="Y25" s="8">
        <f t="shared" si="31"/>
        <v>0.52099999999998658</v>
      </c>
      <c r="Z25" s="10">
        <f t="shared" si="32"/>
        <v>1.5994699999999586</v>
      </c>
      <c r="AA25" s="15"/>
      <c r="AB25" s="7">
        <f t="shared" si="33"/>
        <v>38944000.000000194</v>
      </c>
      <c r="AC25" s="8">
        <f t="shared" si="33"/>
        <v>38.944000000000194</v>
      </c>
      <c r="AD25" s="8">
        <f t="shared" si="33"/>
        <v>119.55808000000059</v>
      </c>
      <c r="AF25" s="8">
        <f t="shared" si="34"/>
        <v>2.4560000000003468E-2</v>
      </c>
    </row>
    <row r="26" spans="1:32" x14ac:dyDescent="0.15">
      <c r="A26" s="27">
        <v>43334</v>
      </c>
      <c r="B26" s="7">
        <f>'[4]Production Summary'!$J58</f>
        <v>27299999.999999728</v>
      </c>
      <c r="C26" s="8">
        <f t="shared" si="17"/>
        <v>27.299999999999727</v>
      </c>
      <c r="D26" s="10">
        <f t="shared" si="18"/>
        <v>83.810999999999154</v>
      </c>
      <c r="E26" s="7">
        <f>'[4]Production Summary'!$E58</f>
        <v>15000000</v>
      </c>
      <c r="F26" s="8">
        <f t="shared" si="19"/>
        <v>15</v>
      </c>
      <c r="G26" s="10">
        <f t="shared" si="20"/>
        <v>46.05</v>
      </c>
      <c r="H26" s="7">
        <f>'[4]Production Summary'!$G58</f>
        <v>14950000</v>
      </c>
      <c r="I26" s="8">
        <f t="shared" si="21"/>
        <v>14.95</v>
      </c>
      <c r="J26" s="10">
        <f t="shared" si="22"/>
        <v>45.896499999999996</v>
      </c>
      <c r="K26" s="7">
        <f>'[4]Production Summary'!$T58</f>
        <v>2722264</v>
      </c>
      <c r="L26" s="8">
        <f t="shared" si="23"/>
        <v>2.722264</v>
      </c>
      <c r="M26" s="10">
        <f t="shared" si="24"/>
        <v>8.3573504799999991</v>
      </c>
      <c r="N26" s="21"/>
      <c r="O26" s="7">
        <f>'[4]Production Summary'!$I58</f>
        <v>7789000.0000000102</v>
      </c>
      <c r="P26" s="8">
        <f t="shared" si="25"/>
        <v>7.7890000000000104</v>
      </c>
      <c r="Q26" s="10">
        <f t="shared" si="26"/>
        <v>23.912230000000029</v>
      </c>
      <c r="R26" s="7">
        <f>'[4]Production Summary'!$C58</f>
        <v>8018000</v>
      </c>
      <c r="S26" s="8">
        <f t="shared" si="27"/>
        <v>8.0180000000000007</v>
      </c>
      <c r="T26" s="10">
        <f t="shared" si="28"/>
        <v>24.615259999999999</v>
      </c>
      <c r="U26" s="7">
        <f>'[4]Production Summary'!$F58</f>
        <v>0</v>
      </c>
      <c r="V26" s="8">
        <f t="shared" si="29"/>
        <v>0</v>
      </c>
      <c r="W26" s="10">
        <f t="shared" si="30"/>
        <v>0</v>
      </c>
      <c r="X26" s="7">
        <f>'[4]Production Summary'!$AB58</f>
        <v>223999.99999998955</v>
      </c>
      <c r="Y26" s="8">
        <f t="shared" si="31"/>
        <v>0.22399999999998954</v>
      </c>
      <c r="Z26" s="10">
        <f t="shared" si="32"/>
        <v>0.68767999999996787</v>
      </c>
      <c r="AA26" s="15"/>
      <c r="AB26" s="7">
        <f t="shared" si="33"/>
        <v>35088999.999999739</v>
      </c>
      <c r="AC26" s="8">
        <f t="shared" si="33"/>
        <v>35.088999999999736</v>
      </c>
      <c r="AD26" s="8">
        <f t="shared" si="33"/>
        <v>107.72322999999918</v>
      </c>
      <c r="AF26" s="8">
        <f t="shared" si="34"/>
        <v>1.5350000000001973E-2</v>
      </c>
    </row>
    <row r="27" spans="1:32" x14ac:dyDescent="0.15">
      <c r="A27" s="27">
        <v>43335</v>
      </c>
      <c r="B27" s="7">
        <f>'[4]Production Summary'!$J59</f>
        <v>27099999.999999911</v>
      </c>
      <c r="C27" s="8">
        <f t="shared" si="17"/>
        <v>27.099999999999909</v>
      </c>
      <c r="D27" s="10">
        <f t="shared" si="18"/>
        <v>83.196999999999719</v>
      </c>
      <c r="E27" s="7">
        <f>'[4]Production Summary'!$E59</f>
        <v>15000000</v>
      </c>
      <c r="F27" s="8">
        <f t="shared" si="19"/>
        <v>15</v>
      </c>
      <c r="G27" s="10">
        <f t="shared" si="20"/>
        <v>46.05</v>
      </c>
      <c r="H27" s="7">
        <f>'[4]Production Summary'!$G59</f>
        <v>15090000</v>
      </c>
      <c r="I27" s="8">
        <f t="shared" si="21"/>
        <v>15.09</v>
      </c>
      <c r="J27" s="10">
        <f t="shared" si="22"/>
        <v>46.326299999999996</v>
      </c>
      <c r="K27" s="7">
        <f>'[4]Production Summary'!$T59</f>
        <v>2862040</v>
      </c>
      <c r="L27" s="8">
        <f t="shared" si="23"/>
        <v>2.8620399999999999</v>
      </c>
      <c r="M27" s="10">
        <f t="shared" si="24"/>
        <v>8.7864627999999989</v>
      </c>
      <c r="N27" s="21"/>
      <c r="O27" s="7">
        <f>'[4]Production Summary'!$I59</f>
        <v>12057999.999999993</v>
      </c>
      <c r="P27" s="8">
        <f t="shared" si="25"/>
        <v>12.057999999999993</v>
      </c>
      <c r="Q27" s="10">
        <f t="shared" si="26"/>
        <v>37.018059999999977</v>
      </c>
      <c r="R27" s="7">
        <f>'[4]Production Summary'!$C59</f>
        <v>12277000</v>
      </c>
      <c r="S27" s="8">
        <f t="shared" si="27"/>
        <v>12.276999999999999</v>
      </c>
      <c r="T27" s="10">
        <f t="shared" si="28"/>
        <v>37.690389999999994</v>
      </c>
      <c r="U27" s="7">
        <f>'[4]Production Summary'!$F59</f>
        <v>0</v>
      </c>
      <c r="V27" s="8">
        <f t="shared" si="29"/>
        <v>0</v>
      </c>
      <c r="W27" s="10">
        <f t="shared" si="30"/>
        <v>0</v>
      </c>
      <c r="X27" s="7">
        <f>'[4]Production Summary'!$AB59</f>
        <v>216000.00000000818</v>
      </c>
      <c r="Y27" s="8">
        <f t="shared" si="31"/>
        <v>0.21600000000000819</v>
      </c>
      <c r="Z27" s="10">
        <f t="shared" si="32"/>
        <v>0.66312000000002513</v>
      </c>
      <c r="AA27" s="15"/>
      <c r="AB27" s="7">
        <f t="shared" si="33"/>
        <v>39157999.999999903</v>
      </c>
      <c r="AC27" s="8">
        <f t="shared" si="33"/>
        <v>39.157999999999902</v>
      </c>
      <c r="AD27" s="8">
        <f t="shared" si="33"/>
        <v>120.2150599999997</v>
      </c>
      <c r="AF27" s="8">
        <f>T27-Q27-Z27</f>
        <v>9.2099999999913917E-3</v>
      </c>
    </row>
    <row r="28" spans="1:32" x14ac:dyDescent="0.15">
      <c r="A28" s="27">
        <v>43336</v>
      </c>
      <c r="B28" s="7">
        <f>'[4]Production Summary'!$J60</f>
        <v>26800000.000000183</v>
      </c>
      <c r="C28" s="8">
        <f t="shared" si="17"/>
        <v>26.800000000000182</v>
      </c>
      <c r="D28" s="10">
        <f t="shared" si="18"/>
        <v>82.27600000000055</v>
      </c>
      <c r="E28" s="7">
        <f>'[4]Production Summary'!$E60</f>
        <v>15000000</v>
      </c>
      <c r="F28" s="8">
        <f t="shared" si="19"/>
        <v>15</v>
      </c>
      <c r="G28" s="10">
        <f t="shared" si="20"/>
        <v>46.05</v>
      </c>
      <c r="H28" s="7">
        <f>'[4]Production Summary'!$G60</f>
        <v>14890000</v>
      </c>
      <c r="I28" s="8">
        <f t="shared" si="21"/>
        <v>14.89</v>
      </c>
      <c r="J28" s="10">
        <f t="shared" si="22"/>
        <v>45.712299999999999</v>
      </c>
      <c r="K28" s="7">
        <f>'[4]Production Summary'!$T60</f>
        <v>2852651</v>
      </c>
      <c r="L28" s="8">
        <f t="shared" si="23"/>
        <v>2.8526509999999998</v>
      </c>
      <c r="M28" s="10">
        <f t="shared" si="24"/>
        <v>8.7576385699999992</v>
      </c>
      <c r="N28" s="21"/>
      <c r="O28" s="7">
        <f>'[4]Production Summary'!$I60</f>
        <v>11370999.999999987</v>
      </c>
      <c r="P28" s="8">
        <f t="shared" si="25"/>
        <v>11.370999999999986</v>
      </c>
      <c r="Q28" s="10">
        <f t="shared" si="26"/>
        <v>34.908969999999954</v>
      </c>
      <c r="R28" s="7">
        <f>'[4]Production Summary'!$C60</f>
        <v>11828000</v>
      </c>
      <c r="S28" s="8">
        <f t="shared" si="27"/>
        <v>11.827999999999999</v>
      </c>
      <c r="T28" s="10">
        <f t="shared" si="28"/>
        <v>36.311959999999999</v>
      </c>
      <c r="U28" s="7">
        <f>'[4]Production Summary'!$F60</f>
        <v>0</v>
      </c>
      <c r="V28" s="8">
        <f t="shared" si="29"/>
        <v>0</v>
      </c>
      <c r="W28" s="10">
        <f t="shared" si="30"/>
        <v>0</v>
      </c>
      <c r="X28" s="7">
        <f>'[4]Production Summary'!$AB60</f>
        <v>449000.00000001228</v>
      </c>
      <c r="Y28" s="8">
        <f t="shared" si="31"/>
        <v>0.44900000000001228</v>
      </c>
      <c r="Z28" s="10">
        <f t="shared" si="32"/>
        <v>1.3784300000000376</v>
      </c>
      <c r="AA28" s="15"/>
      <c r="AB28" s="7">
        <f t="shared" si="33"/>
        <v>38171000.000000171</v>
      </c>
      <c r="AC28" s="8">
        <f t="shared" si="33"/>
        <v>38.17100000000017</v>
      </c>
      <c r="AD28" s="8">
        <f t="shared" si="33"/>
        <v>117.1849700000005</v>
      </c>
      <c r="AF28" s="8">
        <f t="shared" si="34"/>
        <v>2.4560000000007687E-2</v>
      </c>
    </row>
    <row r="29" spans="1:32" x14ac:dyDescent="0.15">
      <c r="A29" s="27">
        <v>43337</v>
      </c>
      <c r="B29" s="7">
        <f>'[4]Production Summary'!$J61</f>
        <v>27199999.999999817</v>
      </c>
      <c r="C29" s="8">
        <f t="shared" si="17"/>
        <v>27.199999999999818</v>
      </c>
      <c r="D29" s="10">
        <f t="shared" si="18"/>
        <v>83.503999999999436</v>
      </c>
      <c r="E29" s="7">
        <f>'[4]Production Summary'!$E61</f>
        <v>15000000</v>
      </c>
      <c r="F29" s="8">
        <f t="shared" si="19"/>
        <v>15</v>
      </c>
      <c r="G29" s="10">
        <f t="shared" si="20"/>
        <v>46.05</v>
      </c>
      <c r="H29" s="7">
        <f>'[4]Production Summary'!$G61</f>
        <v>15020000</v>
      </c>
      <c r="I29" s="8">
        <f t="shared" si="21"/>
        <v>15.02</v>
      </c>
      <c r="J29" s="10">
        <f t="shared" si="22"/>
        <v>46.111399999999996</v>
      </c>
      <c r="K29" s="7">
        <f>'[4]Production Summary'!$T61</f>
        <v>2681360</v>
      </c>
      <c r="L29" s="8">
        <f t="shared" si="23"/>
        <v>2.6813600000000002</v>
      </c>
      <c r="M29" s="10">
        <f t="shared" si="24"/>
        <v>8.2317751999999995</v>
      </c>
      <c r="N29" s="21"/>
      <c r="O29" s="7">
        <f>'[4]Production Summary'!$I61</f>
        <v>11013000.000000007</v>
      </c>
      <c r="P29" s="8">
        <f t="shared" si="25"/>
        <v>11.013000000000007</v>
      </c>
      <c r="Q29" s="10">
        <f t="shared" si="26"/>
        <v>33.809910000000016</v>
      </c>
      <c r="R29" s="7">
        <f>'[4]Production Summary'!$C61</f>
        <v>11440000</v>
      </c>
      <c r="S29" s="8">
        <f t="shared" si="27"/>
        <v>11.44</v>
      </c>
      <c r="T29" s="10">
        <f t="shared" si="28"/>
        <v>35.120799999999996</v>
      </c>
      <c r="U29" s="7">
        <f>'[4]Production Summary'!$F61</f>
        <v>0</v>
      </c>
      <c r="V29" s="8">
        <f t="shared" si="29"/>
        <v>0</v>
      </c>
      <c r="W29" s="10">
        <f t="shared" si="30"/>
        <v>0</v>
      </c>
      <c r="X29" s="7">
        <f>'[4]Production Summary'!$AB61</f>
        <v>420999.99999999226</v>
      </c>
      <c r="Y29" s="8">
        <f t="shared" si="31"/>
        <v>0.42099999999999227</v>
      </c>
      <c r="Z29" s="10">
        <f t="shared" si="32"/>
        <v>1.2924699999999762</v>
      </c>
      <c r="AA29" s="15"/>
      <c r="AB29" s="7">
        <f t="shared" si="33"/>
        <v>38212999.999999821</v>
      </c>
      <c r="AC29" s="8">
        <f t="shared" si="33"/>
        <v>38.212999999999823</v>
      </c>
      <c r="AD29" s="8">
        <f t="shared" si="33"/>
        <v>117.31390999999945</v>
      </c>
      <c r="AF29" s="8">
        <f t="shared" si="34"/>
        <v>1.842000000000299E-2</v>
      </c>
    </row>
    <row r="30" spans="1:32" x14ac:dyDescent="0.15">
      <c r="A30" s="27">
        <v>43338</v>
      </c>
      <c r="B30" s="7">
        <f>'[4]Production Summary'!$J62</f>
        <v>26400000.000000089</v>
      </c>
      <c r="C30" s="8">
        <f t="shared" si="17"/>
        <v>26.400000000000091</v>
      </c>
      <c r="D30" s="10">
        <f t="shared" si="18"/>
        <v>81.048000000000272</v>
      </c>
      <c r="E30" s="7">
        <f>'[4]Production Summary'!$E62</f>
        <v>14000000</v>
      </c>
      <c r="F30" s="8">
        <f t="shared" si="19"/>
        <v>14</v>
      </c>
      <c r="G30" s="10">
        <f t="shared" si="20"/>
        <v>42.98</v>
      </c>
      <c r="H30" s="7">
        <f>'[4]Production Summary'!$G62</f>
        <v>14870000</v>
      </c>
      <c r="I30" s="8">
        <f t="shared" si="21"/>
        <v>14.87</v>
      </c>
      <c r="J30" s="10">
        <f t="shared" si="22"/>
        <v>45.650899999999993</v>
      </c>
      <c r="K30" s="7">
        <f>'[4]Production Summary'!$T62</f>
        <v>2814327</v>
      </c>
      <c r="L30" s="8">
        <f t="shared" si="23"/>
        <v>2.814327</v>
      </c>
      <c r="M30" s="10">
        <f t="shared" si="24"/>
        <v>8.6399838899999999</v>
      </c>
      <c r="N30" s="21"/>
      <c r="O30" s="7">
        <f>'[4]Production Summary'!$I62</f>
        <v>10617000.000000007</v>
      </c>
      <c r="P30" s="8">
        <f t="shared" si="25"/>
        <v>10.617000000000008</v>
      </c>
      <c r="Q30" s="10">
        <f t="shared" si="26"/>
        <v>32.594190000000026</v>
      </c>
      <c r="R30" s="7">
        <f>'[4]Production Summary'!$C62</f>
        <v>11045000</v>
      </c>
      <c r="S30" s="8">
        <f t="shared" si="27"/>
        <v>11.045</v>
      </c>
      <c r="T30" s="10">
        <f t="shared" si="28"/>
        <v>33.908149999999999</v>
      </c>
      <c r="U30" s="7">
        <f>'[4]Production Summary'!$F62</f>
        <v>0</v>
      </c>
      <c r="V30" s="8">
        <f t="shared" si="29"/>
        <v>0</v>
      </c>
      <c r="W30" s="10">
        <f t="shared" si="30"/>
        <v>0</v>
      </c>
      <c r="X30" s="7">
        <f>'[4]Production Summary'!$AB62</f>
        <v>420999.99999999226</v>
      </c>
      <c r="Y30" s="8">
        <f t="shared" si="31"/>
        <v>0.42099999999999227</v>
      </c>
      <c r="Z30" s="10">
        <f t="shared" si="32"/>
        <v>1.2924699999999762</v>
      </c>
      <c r="AA30" s="15"/>
      <c r="AB30" s="7">
        <f t="shared" si="33"/>
        <v>37017000.000000097</v>
      </c>
      <c r="AC30" s="8">
        <f t="shared" si="33"/>
        <v>37.017000000000095</v>
      </c>
      <c r="AD30" s="8">
        <f>D30+Q30</f>
        <v>113.6421900000003</v>
      </c>
      <c r="AF30" s="8">
        <f t="shared" si="34"/>
        <v>2.14899999999969E-2</v>
      </c>
    </row>
    <row r="31" spans="1:32" x14ac:dyDescent="0.15">
      <c r="A31" s="27">
        <v>43339</v>
      </c>
      <c r="B31" s="7">
        <f>'[4]Production Summary'!$J63</f>
        <v>26200000.000000272</v>
      </c>
      <c r="C31" s="8">
        <f t="shared" si="17"/>
        <v>26.200000000000273</v>
      </c>
      <c r="D31" s="10">
        <f t="shared" si="18"/>
        <v>80.434000000000836</v>
      </c>
      <c r="E31" s="7">
        <f>'[4]Production Summary'!$E63</f>
        <v>15000000</v>
      </c>
      <c r="F31" s="8">
        <f t="shared" si="19"/>
        <v>15</v>
      </c>
      <c r="G31" s="10">
        <f t="shared" si="20"/>
        <v>46.05</v>
      </c>
      <c r="H31" s="7">
        <f>'[4]Production Summary'!$G63</f>
        <v>15010000</v>
      </c>
      <c r="I31" s="8">
        <f t="shared" si="21"/>
        <v>15.01</v>
      </c>
      <c r="J31" s="10">
        <f t="shared" si="22"/>
        <v>46.0807</v>
      </c>
      <c r="K31" s="7">
        <f>'[4]Production Summary'!$T63</f>
        <v>2697995</v>
      </c>
      <c r="L31" s="8">
        <f t="shared" si="23"/>
        <v>2.6979950000000001</v>
      </c>
      <c r="M31" s="10">
        <f t="shared" si="24"/>
        <v>8.2828446499999995</v>
      </c>
      <c r="N31" s="21"/>
      <c r="O31" s="7">
        <f>'[4]Production Summary'!$I63</f>
        <v>12898000.000000007</v>
      </c>
      <c r="P31" s="8">
        <f t="shared" si="25"/>
        <v>12.898000000000007</v>
      </c>
      <c r="Q31" s="10">
        <f t="shared" si="26"/>
        <v>39.596860000000021</v>
      </c>
      <c r="R31" s="7">
        <f>'[4]Production Summary'!$C63</f>
        <v>13193000</v>
      </c>
      <c r="S31" s="8">
        <f t="shared" si="27"/>
        <v>13.193</v>
      </c>
      <c r="T31" s="10">
        <f t="shared" si="28"/>
        <v>40.502509999999994</v>
      </c>
      <c r="U31" s="7">
        <f>'[4]Production Summary'!$F63</f>
        <v>0</v>
      </c>
      <c r="V31" s="8">
        <f t="shared" si="29"/>
        <v>0</v>
      </c>
      <c r="W31" s="10">
        <f t="shared" si="30"/>
        <v>0</v>
      </c>
      <c r="X31" s="7">
        <f>'[4]Production Summary'!$AB63</f>
        <v>289999.99999999203</v>
      </c>
      <c r="Y31" s="8">
        <f t="shared" si="31"/>
        <v>0.28999999999999204</v>
      </c>
      <c r="Z31" s="10">
        <f t="shared" si="32"/>
        <v>0.89029999999997556</v>
      </c>
      <c r="AA31" s="15"/>
      <c r="AB31" s="7">
        <f t="shared" si="33"/>
        <v>39098000.000000283</v>
      </c>
      <c r="AC31" s="8">
        <f t="shared" si="33"/>
        <v>39.098000000000283</v>
      </c>
      <c r="AD31" s="8">
        <f t="shared" si="33"/>
        <v>120.03086000000086</v>
      </c>
      <c r="AF31" s="8">
        <f t="shared" si="34"/>
        <v>1.5349999999997421E-2</v>
      </c>
    </row>
    <row r="32" spans="1:32" x14ac:dyDescent="0.15">
      <c r="A32" s="27">
        <v>43340</v>
      </c>
      <c r="B32" s="7">
        <f>'[4]Production Summary'!$J64</f>
        <v>27399999.999999635</v>
      </c>
      <c r="C32" s="8">
        <f t="shared" si="17"/>
        <v>27.399999999999636</v>
      </c>
      <c r="D32" s="10">
        <f t="shared" si="18"/>
        <v>84.117999999998872</v>
      </c>
      <c r="E32" s="7">
        <f>'[4]Production Summary'!$E64</f>
        <v>15000000</v>
      </c>
      <c r="F32" s="8">
        <f t="shared" si="19"/>
        <v>15</v>
      </c>
      <c r="G32" s="10">
        <f t="shared" si="20"/>
        <v>46.05</v>
      </c>
      <c r="H32" s="7">
        <f>'[4]Production Summary'!$G64</f>
        <v>15070000</v>
      </c>
      <c r="I32" s="8">
        <f t="shared" si="21"/>
        <v>15.07</v>
      </c>
      <c r="J32" s="10">
        <f t="shared" si="22"/>
        <v>46.264899999999997</v>
      </c>
      <c r="K32" s="7">
        <f>'[4]Production Summary'!$T64</f>
        <v>2859426</v>
      </c>
      <c r="L32" s="8">
        <f t="shared" si="23"/>
        <v>2.859426</v>
      </c>
      <c r="M32" s="10">
        <f t="shared" si="24"/>
        <v>8.7784378199999988</v>
      </c>
      <c r="N32" s="21"/>
      <c r="O32" s="7">
        <f>'[4]Production Summary'!$I64</f>
        <v>12858999.999999981</v>
      </c>
      <c r="P32" s="8">
        <f t="shared" si="25"/>
        <v>12.858999999999982</v>
      </c>
      <c r="Q32" s="10">
        <f t="shared" si="26"/>
        <v>39.477129999999946</v>
      </c>
      <c r="R32" s="7">
        <f>'[4]Production Summary'!$C64</f>
        <v>13335000</v>
      </c>
      <c r="S32" s="8">
        <f t="shared" si="27"/>
        <v>13.335000000000001</v>
      </c>
      <c r="T32" s="10">
        <f t="shared" si="28"/>
        <v>40.938450000000003</v>
      </c>
      <c r="U32" s="7">
        <f>'[4]Production Summary'!$F64</f>
        <v>0</v>
      </c>
      <c r="V32" s="8">
        <f t="shared" si="29"/>
        <v>0</v>
      </c>
      <c r="W32" s="10">
        <f t="shared" si="30"/>
        <v>0</v>
      </c>
      <c r="X32" s="7">
        <f>'[4]Production Summary'!$AB64</f>
        <v>468000.00000001775</v>
      </c>
      <c r="Y32" s="8">
        <f t="shared" si="31"/>
        <v>0.46800000000001774</v>
      </c>
      <c r="Z32" s="10">
        <f t="shared" si="32"/>
        <v>1.4367600000000544</v>
      </c>
      <c r="AA32" s="15"/>
      <c r="AB32" s="7">
        <f t="shared" si="33"/>
        <v>40258999.999999613</v>
      </c>
      <c r="AC32" s="8">
        <f t="shared" si="33"/>
        <v>40.258999999999617</v>
      </c>
      <c r="AD32" s="8">
        <f t="shared" si="33"/>
        <v>123.59512999999882</v>
      </c>
      <c r="AF32" s="8">
        <f t="shared" si="34"/>
        <v>2.4560000000003024E-2</v>
      </c>
    </row>
    <row r="33" spans="1:32" x14ac:dyDescent="0.15">
      <c r="A33" s="27">
        <v>43341</v>
      </c>
      <c r="B33" s="7">
        <f>'[4]Production Summary'!$J65</f>
        <v>25600000.000000365</v>
      </c>
      <c r="C33" s="8">
        <f t="shared" si="17"/>
        <v>25.600000000000364</v>
      </c>
      <c r="D33" s="10">
        <f t="shared" si="18"/>
        <v>78.592000000001107</v>
      </c>
      <c r="E33" s="7">
        <f>'[4]Production Summary'!$E65</f>
        <v>14000000</v>
      </c>
      <c r="F33" s="8">
        <f t="shared" si="19"/>
        <v>14</v>
      </c>
      <c r="G33" s="10">
        <f t="shared" si="20"/>
        <v>42.98</v>
      </c>
      <c r="H33" s="7">
        <f>'[4]Production Summary'!$G65</f>
        <v>14500000</v>
      </c>
      <c r="I33" s="8">
        <f t="shared" si="21"/>
        <v>14.5</v>
      </c>
      <c r="J33" s="10">
        <f t="shared" si="22"/>
        <v>44.515000000000001</v>
      </c>
      <c r="K33" s="7">
        <f>'[4]Production Summary'!$T65</f>
        <v>2765605</v>
      </c>
      <c r="L33" s="8">
        <f t="shared" si="23"/>
        <v>2.7656049999999999</v>
      </c>
      <c r="M33" s="10">
        <f t="shared" si="24"/>
        <v>8.4904073499999999</v>
      </c>
      <c r="N33" s="21"/>
      <c r="O33" s="7">
        <f>'[4]Production Summary'!$I65</f>
        <v>9963000</v>
      </c>
      <c r="P33" s="8">
        <f t="shared" si="25"/>
        <v>9.9629999999999992</v>
      </c>
      <c r="Q33" s="10">
        <f t="shared" si="26"/>
        <v>30.586409999999997</v>
      </c>
      <c r="R33" s="7">
        <f>'[4]Production Summary'!$C65</f>
        <v>10362000</v>
      </c>
      <c r="S33" s="8">
        <f t="shared" si="27"/>
        <v>10.362</v>
      </c>
      <c r="T33" s="10">
        <f t="shared" si="28"/>
        <v>31.811339999999998</v>
      </c>
      <c r="U33" s="7">
        <f>'[4]Production Summary'!$F65</f>
        <v>0</v>
      </c>
      <c r="V33" s="8">
        <f t="shared" si="29"/>
        <v>0</v>
      </c>
      <c r="W33" s="10">
        <f t="shared" si="30"/>
        <v>0</v>
      </c>
      <c r="X33" s="7">
        <f>'[4]Production Summary'!$AB65</f>
        <v>393000.0000000007</v>
      </c>
      <c r="Y33" s="8">
        <f t="shared" si="31"/>
        <v>0.39300000000000068</v>
      </c>
      <c r="Z33" s="10">
        <f t="shared" si="32"/>
        <v>1.206510000000002</v>
      </c>
      <c r="AA33" s="15"/>
      <c r="AB33" s="7">
        <f t="shared" si="33"/>
        <v>35563000.000000365</v>
      </c>
      <c r="AC33" s="8">
        <f t="shared" si="33"/>
        <v>35.563000000000365</v>
      </c>
      <c r="AD33" s="8">
        <f t="shared" si="33"/>
        <v>109.17841000000111</v>
      </c>
      <c r="AF33" s="8">
        <f t="shared" si="34"/>
        <v>1.8419999999998549E-2</v>
      </c>
    </row>
    <row r="34" spans="1:32" x14ac:dyDescent="0.15">
      <c r="A34" s="27">
        <v>43342</v>
      </c>
      <c r="B34" s="7">
        <f>'[4]Production Summary'!$J66</f>
        <v>26299999.999999728</v>
      </c>
      <c r="C34" s="8">
        <f t="shared" si="17"/>
        <v>26.299999999999727</v>
      </c>
      <c r="D34" s="10">
        <f t="shared" si="18"/>
        <v>80.740999999999161</v>
      </c>
      <c r="E34" s="7">
        <f>'[4]Production Summary'!$E66</f>
        <v>15000000</v>
      </c>
      <c r="F34" s="8">
        <f t="shared" si="19"/>
        <v>15</v>
      </c>
      <c r="G34" s="10">
        <f t="shared" si="20"/>
        <v>46.05</v>
      </c>
      <c r="H34" s="7">
        <f>'[4]Production Summary'!$G66</f>
        <v>14590000</v>
      </c>
      <c r="I34" s="8">
        <f t="shared" si="21"/>
        <v>14.59</v>
      </c>
      <c r="J34" s="10">
        <f t="shared" si="22"/>
        <v>44.7913</v>
      </c>
      <c r="K34" s="7">
        <f>'[4]Production Summary'!$T66</f>
        <v>2869764</v>
      </c>
      <c r="L34" s="8">
        <f t="shared" si="23"/>
        <v>2.869764</v>
      </c>
      <c r="M34" s="10">
        <f t="shared" si="24"/>
        <v>8.8101754799999998</v>
      </c>
      <c r="N34" s="21"/>
      <c r="O34" s="7">
        <f>'[4]Production Summary'!$I66</f>
        <v>13861000.000000017</v>
      </c>
      <c r="P34" s="8">
        <f t="shared" si="25"/>
        <v>13.861000000000017</v>
      </c>
      <c r="Q34" s="10">
        <f t="shared" si="26"/>
        <v>42.553270000000047</v>
      </c>
      <c r="R34" s="7">
        <f>'[4]Production Summary'!$C66</f>
        <v>14292000</v>
      </c>
      <c r="S34" s="8">
        <f t="shared" si="27"/>
        <v>14.292</v>
      </c>
      <c r="T34" s="10">
        <f t="shared" si="28"/>
        <v>43.876439999999995</v>
      </c>
      <c r="U34" s="7">
        <f>'[4]Production Summary'!$F66</f>
        <v>0</v>
      </c>
      <c r="V34" s="8">
        <f t="shared" si="29"/>
        <v>0</v>
      </c>
      <c r="W34" s="10">
        <f t="shared" si="30"/>
        <v>0</v>
      </c>
      <c r="X34" s="7">
        <f>'[4]Production Summary'!$AB66</f>
        <v>424999.99999998295</v>
      </c>
      <c r="Y34" s="8">
        <f t="shared" si="31"/>
        <v>0.42499999999998295</v>
      </c>
      <c r="Z34" s="10">
        <f t="shared" si="32"/>
        <v>1.3047499999999477</v>
      </c>
      <c r="AA34" s="15"/>
      <c r="AB34" s="7">
        <f t="shared" si="33"/>
        <v>40160999.999999747</v>
      </c>
      <c r="AC34" s="8">
        <f t="shared" si="33"/>
        <v>40.160999999999746</v>
      </c>
      <c r="AD34" s="8">
        <f t="shared" si="33"/>
        <v>123.29426999999922</v>
      </c>
      <c r="AF34" s="8">
        <f t="shared" si="34"/>
        <v>1.8420000000000103E-2</v>
      </c>
    </row>
    <row r="35" spans="1:32" ht="14" thickBot="1" x14ac:dyDescent="0.2">
      <c r="A35" s="27">
        <v>43343</v>
      </c>
      <c r="B35" s="7">
        <f>'[4]Production Summary'!$J67</f>
        <v>26599999.999999911</v>
      </c>
      <c r="C35" s="8">
        <f t="shared" si="17"/>
        <v>26.599999999999909</v>
      </c>
      <c r="D35" s="10">
        <f t="shared" si="18"/>
        <v>81.661999999999722</v>
      </c>
      <c r="E35" s="7">
        <f>'[4]Production Summary'!$E67</f>
        <v>15000000</v>
      </c>
      <c r="F35" s="8">
        <f t="shared" si="19"/>
        <v>15</v>
      </c>
      <c r="G35" s="10">
        <f t="shared" si="20"/>
        <v>46.05</v>
      </c>
      <c r="H35" s="7">
        <f>'[4]Production Summary'!$G67</f>
        <v>15000000</v>
      </c>
      <c r="I35" s="8">
        <f t="shared" si="21"/>
        <v>15</v>
      </c>
      <c r="J35" s="10">
        <f t="shared" si="22"/>
        <v>46.05</v>
      </c>
      <c r="K35" s="7">
        <f>'[4]Production Summary'!$T67</f>
        <v>2836166</v>
      </c>
      <c r="L35" s="8">
        <f t="shared" si="23"/>
        <v>2.836166</v>
      </c>
      <c r="M35" s="10">
        <f t="shared" si="24"/>
        <v>8.7070296200000001</v>
      </c>
      <c r="N35" s="21"/>
      <c r="O35" s="7">
        <f>'[4]Production Summary'!$I67</f>
        <v>11221999.999999983</v>
      </c>
      <c r="P35" s="8">
        <f t="shared" si="25"/>
        <v>11.221999999999984</v>
      </c>
      <c r="Q35" s="10">
        <f t="shared" si="26"/>
        <v>34.451539999999945</v>
      </c>
      <c r="R35" s="7">
        <f>'[4]Production Summary'!$C67</f>
        <v>11662000</v>
      </c>
      <c r="S35" s="8">
        <f t="shared" si="27"/>
        <v>11.662000000000001</v>
      </c>
      <c r="T35" s="10">
        <f t="shared" si="28"/>
        <v>35.802340000000001</v>
      </c>
      <c r="U35" s="7">
        <f>'[4]Production Summary'!$F67</f>
        <v>0</v>
      </c>
      <c r="V35" s="8">
        <f t="shared" si="29"/>
        <v>0</v>
      </c>
      <c r="W35" s="10">
        <f t="shared" si="30"/>
        <v>0</v>
      </c>
      <c r="X35" s="7">
        <f>'[4]Production Summary'!$AB67</f>
        <v>432000.00000001636</v>
      </c>
      <c r="Y35" s="8">
        <f t="shared" si="31"/>
        <v>0.43200000000001637</v>
      </c>
      <c r="Z35" s="10">
        <f t="shared" si="32"/>
        <v>1.3262400000000503</v>
      </c>
      <c r="AA35" s="15"/>
      <c r="AB35" s="7">
        <f t="shared" si="33"/>
        <v>37821999.999999896</v>
      </c>
      <c r="AC35" s="8">
        <f t="shared" si="33"/>
        <v>37.821999999999889</v>
      </c>
      <c r="AD35" s="8">
        <f t="shared" si="33"/>
        <v>116.11353999999966</v>
      </c>
      <c r="AF35" s="8">
        <f t="shared" si="34"/>
        <v>2.4560000000006132E-2</v>
      </c>
    </row>
    <row r="36" spans="1:32" ht="14" thickBot="1" x14ac:dyDescent="0.2">
      <c r="A36" s="14"/>
      <c r="B36" s="37"/>
      <c r="C36" s="38">
        <f>SUM(C5:C35)</f>
        <v>811.19999999999982</v>
      </c>
      <c r="D36" s="38">
        <f t="shared" ref="D36" si="35">C36*3.07</f>
        <v>2490.3839999999991</v>
      </c>
      <c r="E36" s="37"/>
      <c r="F36" s="38">
        <f>SUM(F5:F35)</f>
        <v>472</v>
      </c>
      <c r="G36" s="38">
        <f t="shared" ref="G36" si="36">F36*3.07</f>
        <v>1449.04</v>
      </c>
      <c r="H36" s="37"/>
      <c r="I36" s="38">
        <f>SUM(I5:I35)</f>
        <v>426.45999999999987</v>
      </c>
      <c r="J36" s="38">
        <f t="shared" ref="J36" si="37">I36*3.07</f>
        <v>1309.2321999999995</v>
      </c>
      <c r="K36" s="37"/>
      <c r="L36" s="38">
        <f>SUM(L5:L35)</f>
        <v>107.63996600000002</v>
      </c>
      <c r="M36" s="38">
        <f t="shared" ref="M36" si="38">L36*3.07</f>
        <v>330.45469562000005</v>
      </c>
      <c r="N36" s="14"/>
      <c r="O36" s="37"/>
      <c r="P36" s="38">
        <f>SUM(P5:P35)</f>
        <v>356.488</v>
      </c>
      <c r="Q36" s="38">
        <f t="shared" ref="Q36" si="39">P36*3.07</f>
        <v>1094.4181599999999</v>
      </c>
      <c r="R36" s="37"/>
      <c r="S36" s="38">
        <f>SUM(S5:S35)</f>
        <v>363.16599999999988</v>
      </c>
      <c r="T36" s="38">
        <f t="shared" ref="T36" si="40">S36*3.07</f>
        <v>1114.9196199999997</v>
      </c>
      <c r="U36" s="37"/>
      <c r="V36" s="38">
        <f>SUM(V5:V35)</f>
        <v>0</v>
      </c>
      <c r="W36" s="38">
        <f t="shared" ref="W36" si="41">V36*3.07</f>
        <v>0</v>
      </c>
      <c r="X36" s="37"/>
      <c r="Y36" s="38">
        <f>SUM(Y5:Y35)</f>
        <v>6.4860000000000184</v>
      </c>
      <c r="Z36" s="38">
        <f t="shared" ref="Z36" si="42">Y36*3.07</f>
        <v>19.912020000000055</v>
      </c>
      <c r="AA36" s="14"/>
      <c r="AB36" s="37"/>
      <c r="AC36" s="38">
        <f>SUM(AC5:AC35)</f>
        <v>1167.6879999999996</v>
      </c>
      <c r="AD36" s="38">
        <f>AC36*3.07</f>
        <v>3584.8021599999988</v>
      </c>
      <c r="AF36" s="38">
        <f>SUM(AF5:AF35)</f>
        <v>0.58944000000001651</v>
      </c>
    </row>
    <row r="37" spans="1:32" x14ac:dyDescent="0.15">
      <c r="C37" s="18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</row>
    <row r="38" spans="1:32" x14ac:dyDescent="0.15">
      <c r="G38" s="15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pageSetUpPr fitToPage="1"/>
  </sheetPr>
  <dimension ref="A1:AF38"/>
  <sheetViews>
    <sheetView workbookViewId="0">
      <pane xSplit="1" ySplit="4" topLeftCell="K5" activePane="bottomRight" state="frozen"/>
      <selection activeCell="T39" sqref="T39"/>
      <selection pane="topRight" activeCell="T39" sqref="T39"/>
      <selection pane="bottomLeft" activeCell="T39" sqref="T39"/>
      <selection pane="bottomRight" activeCell="AD35" sqref="AD35"/>
    </sheetView>
  </sheetViews>
  <sheetFormatPr baseColWidth="10" defaultColWidth="8.83203125" defaultRowHeight="13" x14ac:dyDescent="0.15"/>
  <cols>
    <col min="2" max="2" width="12.5" customWidth="1"/>
    <col min="5" max="5" width="11.33203125" customWidth="1"/>
    <col min="8" max="8" width="11.33203125" customWidth="1"/>
    <col min="11" max="11" width="14.5" customWidth="1"/>
    <col min="12" max="12" width="10.5" customWidth="1"/>
    <col min="13" max="13" width="10.1640625" customWidth="1"/>
    <col min="15" max="15" width="13.5" customWidth="1"/>
    <col min="18" max="18" width="11.1640625" customWidth="1"/>
    <col min="22" max="22" width="11" customWidth="1"/>
    <col min="28" max="28" width="11.1640625" customWidth="1"/>
  </cols>
  <sheetData>
    <row r="1" spans="1:32" x14ac:dyDescent="0.15">
      <c r="A1" s="41"/>
      <c r="B1" s="39"/>
      <c r="C1" s="25"/>
      <c r="D1" s="25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">
      <c r="A3" s="3"/>
      <c r="B3" s="59" t="s">
        <v>10</v>
      </c>
      <c r="C3" s="60"/>
      <c r="D3" s="61"/>
      <c r="E3" s="59" t="s">
        <v>11</v>
      </c>
      <c r="F3" s="60"/>
      <c r="G3" s="61"/>
      <c r="H3" s="59" t="s">
        <v>12</v>
      </c>
      <c r="I3" s="60"/>
      <c r="J3" s="61"/>
      <c r="K3" s="59" t="s">
        <v>13</v>
      </c>
      <c r="L3" s="60"/>
      <c r="M3" s="61"/>
      <c r="N3" s="19"/>
      <c r="O3" s="59" t="s">
        <v>4</v>
      </c>
      <c r="P3" s="60"/>
      <c r="Q3" s="61"/>
      <c r="R3" s="59" t="s">
        <v>3</v>
      </c>
      <c r="S3" s="60"/>
      <c r="T3" s="61"/>
      <c r="U3" s="59" t="s">
        <v>17</v>
      </c>
      <c r="V3" s="60"/>
      <c r="W3" s="61"/>
      <c r="X3" s="59" t="s">
        <v>7</v>
      </c>
      <c r="Y3" s="60"/>
      <c r="Z3" s="61"/>
      <c r="AA3" s="19"/>
      <c r="AB3" s="56" t="s">
        <v>8</v>
      </c>
      <c r="AC3" s="57"/>
      <c r="AD3" s="58"/>
      <c r="AF3" s="33" t="s">
        <v>9</v>
      </c>
    </row>
    <row r="4" spans="1:32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0" t="s">
        <v>0</v>
      </c>
      <c r="AC4" s="31" t="s">
        <v>1</v>
      </c>
      <c r="AD4" s="32" t="s">
        <v>2</v>
      </c>
      <c r="AF4" s="5" t="s">
        <v>2</v>
      </c>
    </row>
    <row r="5" spans="1:32" x14ac:dyDescent="0.15">
      <c r="A5" s="27">
        <v>43344</v>
      </c>
      <c r="B5" s="7">
        <f>'[4]Production Summary'!$J68</f>
        <v>26800000.000000183</v>
      </c>
      <c r="C5" s="8">
        <f t="shared" ref="C5" si="0">B5/1000000</f>
        <v>26.800000000000182</v>
      </c>
      <c r="D5" s="10">
        <f t="shared" ref="D5" si="1">C5*3.07</f>
        <v>82.27600000000055</v>
      </c>
      <c r="E5" s="7">
        <f>'[4]Production Summary'!$E68</f>
        <v>15000000</v>
      </c>
      <c r="F5" s="8">
        <f t="shared" ref="F5" si="2">E5/1000000</f>
        <v>15</v>
      </c>
      <c r="G5" s="10">
        <f t="shared" ref="G5" si="3">F5*3.07</f>
        <v>46.05</v>
      </c>
      <c r="H5" s="7">
        <f>'[4]Production Summary'!$G68</f>
        <v>14980000</v>
      </c>
      <c r="I5" s="8">
        <f t="shared" ref="I5" si="4">H5/1000000</f>
        <v>14.98</v>
      </c>
      <c r="J5" s="10">
        <f t="shared" ref="J5" si="5">I5*3.07</f>
        <v>45.988599999999998</v>
      </c>
      <c r="K5" s="7">
        <f>'[4]Production Summary'!$T68</f>
        <v>2857146</v>
      </c>
      <c r="L5" s="8">
        <f t="shared" ref="L5" si="6">K5/1000000</f>
        <v>2.8571460000000002</v>
      </c>
      <c r="M5" s="10">
        <f t="shared" ref="M5" si="7">L5*3.07</f>
        <v>8.7714382200000003</v>
      </c>
      <c r="N5" s="21"/>
      <c r="O5" s="7">
        <f>'[4]Production Summary'!$I68</f>
        <v>10167999.999999996</v>
      </c>
      <c r="P5" s="8">
        <f t="shared" ref="P5" si="8">O5/1000000</f>
        <v>10.167999999999996</v>
      </c>
      <c r="Q5" s="10">
        <f t="shared" ref="Q5" si="9">P5*3.07</f>
        <v>31.215759999999985</v>
      </c>
      <c r="R5" s="7">
        <f>'[4]Production Summary'!$C68</f>
        <v>10545000</v>
      </c>
      <c r="S5" s="8">
        <f t="shared" ref="S5" si="10">R5/1000000</f>
        <v>10.545</v>
      </c>
      <c r="T5" s="10">
        <f t="shared" ref="T5" si="11">S5*3.07</f>
        <v>32.373149999999995</v>
      </c>
      <c r="U5" s="7">
        <f>'[4]Production Summary'!$F68</f>
        <v>0</v>
      </c>
      <c r="V5" s="8">
        <f t="shared" ref="V5" si="12">U5/1000000</f>
        <v>0</v>
      </c>
      <c r="W5" s="10">
        <f t="shared" ref="W5" si="13">V5*3.07</f>
        <v>0</v>
      </c>
      <c r="X5" s="7">
        <f>'[4]Production Summary'!$AB68</f>
        <v>370000.00000000454</v>
      </c>
      <c r="Y5" s="8">
        <f t="shared" ref="Y5" si="14">X5/1000000</f>
        <v>0.37000000000000455</v>
      </c>
      <c r="Z5" s="10">
        <f t="shared" ref="Z5" si="15">Y5*3.07</f>
        <v>1.1359000000000139</v>
      </c>
      <c r="AA5" s="15"/>
      <c r="AB5" s="7">
        <f>B5+O5</f>
        <v>36968000.000000179</v>
      </c>
      <c r="AC5" s="8">
        <f>C5+P5</f>
        <v>36.968000000000174</v>
      </c>
      <c r="AD5" s="8">
        <f>D5+Q5</f>
        <v>113.49176000000054</v>
      </c>
      <c r="AF5" s="8">
        <f>T5-Q5-Z5</f>
        <v>2.1489999999996234E-2</v>
      </c>
    </row>
    <row r="6" spans="1:32" x14ac:dyDescent="0.15">
      <c r="A6" s="27">
        <v>43345</v>
      </c>
      <c r="B6" s="7">
        <f>'[4]Production Summary'!$J69</f>
        <v>26699999.999999817</v>
      </c>
      <c r="C6" s="8">
        <f t="shared" ref="C6:C34" si="16">B6/1000000</f>
        <v>26.699999999999818</v>
      </c>
      <c r="D6" s="10">
        <f t="shared" ref="D6:D34" si="17">C6*3.07</f>
        <v>81.96899999999944</v>
      </c>
      <c r="E6" s="7">
        <f>'[4]Production Summary'!$E69</f>
        <v>15000000</v>
      </c>
      <c r="F6" s="8">
        <f t="shared" ref="F6:F34" si="18">E6/1000000</f>
        <v>15</v>
      </c>
      <c r="G6" s="10">
        <f t="shared" ref="G6:G34" si="19">F6*3.07</f>
        <v>46.05</v>
      </c>
      <c r="H6" s="7">
        <f>'[4]Production Summary'!$G69</f>
        <v>14550000</v>
      </c>
      <c r="I6" s="8">
        <f t="shared" ref="I6:I34" si="20">H6/1000000</f>
        <v>14.55</v>
      </c>
      <c r="J6" s="10">
        <f t="shared" ref="J6:J34" si="21">I6*3.07</f>
        <v>44.668500000000002</v>
      </c>
      <c r="K6" s="7">
        <f>'[4]Production Summary'!$T69</f>
        <v>2537998</v>
      </c>
      <c r="L6" s="8">
        <f t="shared" ref="L6:L34" si="22">K6/1000000</f>
        <v>2.537998</v>
      </c>
      <c r="M6" s="10">
        <f t="shared" ref="M6:M34" si="23">L6*3.07</f>
        <v>7.7916538599999994</v>
      </c>
      <c r="N6" s="21"/>
      <c r="O6" s="7">
        <f>'[4]Production Summary'!$I69</f>
        <v>12466000.000000007</v>
      </c>
      <c r="P6" s="8">
        <f t="shared" ref="P6:P34" si="24">O6/1000000</f>
        <v>12.466000000000008</v>
      </c>
      <c r="Q6" s="10">
        <f t="shared" ref="Q6:Q34" si="25">P6*3.07</f>
        <v>38.270620000000022</v>
      </c>
      <c r="R6" s="7">
        <f>'[4]Production Summary'!$C69</f>
        <v>12773000</v>
      </c>
      <c r="S6" s="8">
        <f t="shared" ref="S6:S34" si="26">R6/1000000</f>
        <v>12.773</v>
      </c>
      <c r="T6" s="10">
        <f t="shared" ref="T6:T34" si="27">S6*3.07</f>
        <v>39.21311</v>
      </c>
      <c r="U6" s="7">
        <f>'[4]Production Summary'!$F69</f>
        <v>0</v>
      </c>
      <c r="V6" s="8">
        <f t="shared" ref="V6:V34" si="28">U6/1000000</f>
        <v>0</v>
      </c>
      <c r="W6" s="10">
        <f t="shared" ref="W6:W34" si="29">V6*3.07</f>
        <v>0</v>
      </c>
      <c r="X6" s="7">
        <f>'[4]Production Summary'!$AB69</f>
        <v>301999.99999999249</v>
      </c>
      <c r="Y6" s="8">
        <f t="shared" ref="Y6:Y34" si="30">X6/1000000</f>
        <v>0.3019999999999925</v>
      </c>
      <c r="Z6" s="10">
        <f t="shared" ref="Z6:Z34" si="31">Y6*3.07</f>
        <v>0.92713999999997687</v>
      </c>
      <c r="AA6" s="15"/>
      <c r="AB6" s="7">
        <f t="shared" ref="AB6:AD35" si="32">B6+O6</f>
        <v>39165999.999999821</v>
      </c>
      <c r="AC6" s="8">
        <f t="shared" si="32"/>
        <v>39.165999999999826</v>
      </c>
      <c r="AD6" s="8">
        <f t="shared" si="32"/>
        <v>120.23961999999946</v>
      </c>
      <c r="AF6" s="8">
        <f t="shared" ref="AF6:AF14" si="33">T6-Q6-Z6</f>
        <v>1.5350000000001196E-2</v>
      </c>
    </row>
    <row r="7" spans="1:32" x14ac:dyDescent="0.15">
      <c r="A7" s="27">
        <v>43346</v>
      </c>
      <c r="B7" s="7">
        <f>'[4]Production Summary'!$J70</f>
        <v>27900000.000000089</v>
      </c>
      <c r="C7" s="8">
        <f t="shared" si="16"/>
        <v>27.900000000000091</v>
      </c>
      <c r="D7" s="10">
        <f t="shared" si="17"/>
        <v>85.653000000000276</v>
      </c>
      <c r="E7" s="7">
        <f>'[4]Production Summary'!$E70</f>
        <v>15000000</v>
      </c>
      <c r="F7" s="8">
        <f t="shared" si="18"/>
        <v>15</v>
      </c>
      <c r="G7" s="10">
        <f t="shared" si="19"/>
        <v>46.05</v>
      </c>
      <c r="H7" s="7">
        <f>'[4]Production Summary'!$G70</f>
        <v>15060000</v>
      </c>
      <c r="I7" s="8">
        <f t="shared" si="20"/>
        <v>15.06</v>
      </c>
      <c r="J7" s="10">
        <f t="shared" si="21"/>
        <v>46.234200000000001</v>
      </c>
      <c r="K7" s="7">
        <f>'[4]Production Summary'!$T70</f>
        <v>2699486</v>
      </c>
      <c r="L7" s="8">
        <f t="shared" si="22"/>
        <v>2.6994859999999998</v>
      </c>
      <c r="M7" s="10">
        <f t="shared" si="23"/>
        <v>8.2874220199999993</v>
      </c>
      <c r="N7" s="21"/>
      <c r="O7" s="7">
        <f>'[4]Production Summary'!$I70</f>
        <v>12809000.000000007</v>
      </c>
      <c r="P7" s="8">
        <f t="shared" si="24"/>
        <v>12.809000000000008</v>
      </c>
      <c r="Q7" s="10">
        <f t="shared" si="25"/>
        <v>39.323630000000023</v>
      </c>
      <c r="R7" s="7">
        <f>'[4]Production Summary'!$C70</f>
        <v>13256000</v>
      </c>
      <c r="S7" s="8">
        <f t="shared" si="26"/>
        <v>13.256</v>
      </c>
      <c r="T7" s="10">
        <f t="shared" si="27"/>
        <v>40.695920000000001</v>
      </c>
      <c r="U7" s="7">
        <f>'[4]Production Summary'!$F70</f>
        <v>0</v>
      </c>
      <c r="V7" s="8">
        <f t="shared" si="28"/>
        <v>0</v>
      </c>
      <c r="W7" s="10">
        <f t="shared" si="29"/>
        <v>0</v>
      </c>
      <c r="X7" s="7">
        <f>'[4]Production Summary'!$AB70</f>
        <v>438999.99999999296</v>
      </c>
      <c r="Y7" s="8">
        <f t="shared" si="30"/>
        <v>0.43899999999999295</v>
      </c>
      <c r="Z7" s="10">
        <f t="shared" si="31"/>
        <v>1.3477299999999783</v>
      </c>
      <c r="AA7" s="15"/>
      <c r="AB7" s="7">
        <f t="shared" si="32"/>
        <v>40709000.000000097</v>
      </c>
      <c r="AC7" s="8">
        <f t="shared" si="32"/>
        <v>40.709000000000103</v>
      </c>
      <c r="AD7" s="8">
        <f t="shared" si="32"/>
        <v>124.9766300000003</v>
      </c>
      <c r="AF7" s="8">
        <f t="shared" si="33"/>
        <v>2.4559999999999915E-2</v>
      </c>
    </row>
    <row r="8" spans="1:32" x14ac:dyDescent="0.15">
      <c r="A8" s="27">
        <v>43347</v>
      </c>
      <c r="B8" s="7">
        <f>'[4]Production Summary'!$J71</f>
        <v>27599999.999999911</v>
      </c>
      <c r="C8" s="8">
        <f t="shared" si="16"/>
        <v>27.599999999999909</v>
      </c>
      <c r="D8" s="10">
        <f t="shared" si="17"/>
        <v>84.731999999999715</v>
      </c>
      <c r="E8" s="7">
        <f>'[4]Production Summary'!$E71</f>
        <v>15000000</v>
      </c>
      <c r="F8" s="8">
        <f t="shared" si="18"/>
        <v>15</v>
      </c>
      <c r="G8" s="10">
        <f t="shared" si="19"/>
        <v>46.05</v>
      </c>
      <c r="H8" s="7">
        <f>'[4]Production Summary'!$G71</f>
        <v>15290000</v>
      </c>
      <c r="I8" s="8">
        <f t="shared" si="20"/>
        <v>15.29</v>
      </c>
      <c r="J8" s="10">
        <f t="shared" si="21"/>
        <v>46.940299999999993</v>
      </c>
      <c r="K8" s="7">
        <f>'[4]Production Summary'!$T71</f>
        <v>2722754</v>
      </c>
      <c r="L8" s="8">
        <f t="shared" si="22"/>
        <v>2.7227540000000001</v>
      </c>
      <c r="M8" s="10">
        <f t="shared" si="23"/>
        <v>8.3588547799999997</v>
      </c>
      <c r="N8" s="21"/>
      <c r="O8" s="7">
        <f>'[4]Production Summary'!$I71</f>
        <v>10251999.999999981</v>
      </c>
      <c r="P8" s="8">
        <f t="shared" si="24"/>
        <v>10.251999999999981</v>
      </c>
      <c r="Q8" s="10">
        <f t="shared" si="25"/>
        <v>31.473639999999939</v>
      </c>
      <c r="R8" s="7">
        <f>'[4]Production Summary'!$C71</f>
        <v>10600000</v>
      </c>
      <c r="S8" s="8">
        <f t="shared" si="26"/>
        <v>10.6</v>
      </c>
      <c r="T8" s="10">
        <f t="shared" si="27"/>
        <v>32.541999999999994</v>
      </c>
      <c r="U8" s="7">
        <f>'[4]Production Summary'!$F71</f>
        <v>0</v>
      </c>
      <c r="V8" s="8">
        <f t="shared" si="28"/>
        <v>0</v>
      </c>
      <c r="W8" s="10">
        <f t="shared" si="29"/>
        <v>0</v>
      </c>
      <c r="X8" s="7">
        <f>'[4]Production Summary'!$AB71</f>
        <v>343000.00000001775</v>
      </c>
      <c r="Y8" s="8">
        <f t="shared" si="30"/>
        <v>0.34300000000001774</v>
      </c>
      <c r="Z8" s="10">
        <f t="shared" si="31"/>
        <v>1.0530100000000544</v>
      </c>
      <c r="AA8" s="15"/>
      <c r="AB8" s="7">
        <f t="shared" si="32"/>
        <v>37851999.999999896</v>
      </c>
      <c r="AC8" s="8">
        <f t="shared" si="32"/>
        <v>37.85199999999989</v>
      </c>
      <c r="AD8" s="8">
        <f>D8+Q8</f>
        <v>116.20563999999965</v>
      </c>
      <c r="AF8" s="8">
        <f t="shared" si="33"/>
        <v>1.5350000000000863E-2</v>
      </c>
    </row>
    <row r="9" spans="1:32" x14ac:dyDescent="0.15">
      <c r="A9" s="27">
        <v>43348</v>
      </c>
      <c r="B9" s="7">
        <f>'[4]Production Summary'!$J72</f>
        <v>29300000.000000183</v>
      </c>
      <c r="C9" s="8">
        <f t="shared" si="16"/>
        <v>29.300000000000182</v>
      </c>
      <c r="D9" s="10">
        <f t="shared" si="17"/>
        <v>89.951000000000548</v>
      </c>
      <c r="E9" s="7">
        <f>'[4]Production Summary'!$E72</f>
        <v>16000000</v>
      </c>
      <c r="F9" s="8">
        <f t="shared" si="18"/>
        <v>16</v>
      </c>
      <c r="G9" s="10">
        <f t="shared" si="19"/>
        <v>49.12</v>
      </c>
      <c r="H9" s="7">
        <f>'[4]Production Summary'!$G72</f>
        <v>16210000</v>
      </c>
      <c r="I9" s="8">
        <f t="shared" si="20"/>
        <v>16.21</v>
      </c>
      <c r="J9" s="10">
        <f t="shared" si="21"/>
        <v>49.764699999999998</v>
      </c>
      <c r="K9" s="7">
        <f>'[4]Production Summary'!$T72</f>
        <v>3018894</v>
      </c>
      <c r="L9" s="8">
        <f t="shared" si="22"/>
        <v>3.018894</v>
      </c>
      <c r="M9" s="10">
        <f t="shared" si="23"/>
        <v>9.2680045799999995</v>
      </c>
      <c r="N9" s="21"/>
      <c r="O9" s="7">
        <f>'[4]Production Summary'!$I72</f>
        <v>7663000.0000000065</v>
      </c>
      <c r="P9" s="8">
        <f t="shared" si="24"/>
        <v>7.6630000000000065</v>
      </c>
      <c r="Q9" s="10">
        <f t="shared" si="25"/>
        <v>23.525410000000019</v>
      </c>
      <c r="R9" s="7">
        <f>'[4]Production Summary'!$C72</f>
        <v>7989000</v>
      </c>
      <c r="S9" s="8">
        <f t="shared" si="26"/>
        <v>7.9889999999999999</v>
      </c>
      <c r="T9" s="10">
        <f t="shared" si="27"/>
        <v>24.526229999999998</v>
      </c>
      <c r="U9" s="7">
        <f>'[4]Production Summary'!$F72</f>
        <v>0</v>
      </c>
      <c r="V9" s="8">
        <f t="shared" si="28"/>
        <v>0</v>
      </c>
      <c r="W9" s="10">
        <f t="shared" si="29"/>
        <v>0</v>
      </c>
      <c r="X9" s="7">
        <f>'[4]Production Summary'!$AB72</f>
        <v>319999.99999999319</v>
      </c>
      <c r="Y9" s="8">
        <f t="shared" si="30"/>
        <v>0.31999999999999318</v>
      </c>
      <c r="Z9" s="10">
        <f t="shared" si="31"/>
        <v>0.98239999999997896</v>
      </c>
      <c r="AA9" s="15"/>
      <c r="AB9" s="7">
        <f t="shared" si="32"/>
        <v>36963000.000000186</v>
      </c>
      <c r="AC9" s="8">
        <f t="shared" si="32"/>
        <v>36.963000000000186</v>
      </c>
      <c r="AD9" s="8">
        <f t="shared" si="32"/>
        <v>113.47641000000057</v>
      </c>
      <c r="AF9" s="8">
        <f t="shared" si="33"/>
        <v>1.8420000000000658E-2</v>
      </c>
    </row>
    <row r="10" spans="1:32" x14ac:dyDescent="0.15">
      <c r="A10" s="27">
        <v>43349</v>
      </c>
      <c r="B10" s="7">
        <f>'[4]Production Summary'!$J73</f>
        <v>27300000.000000183</v>
      </c>
      <c r="C10" s="8">
        <f t="shared" si="16"/>
        <v>27.300000000000182</v>
      </c>
      <c r="D10" s="10">
        <f t="shared" si="17"/>
        <v>83.811000000000547</v>
      </c>
      <c r="E10" s="7">
        <f>'[4]Production Summary'!$E73</f>
        <v>15000000</v>
      </c>
      <c r="F10" s="8">
        <f t="shared" si="18"/>
        <v>15</v>
      </c>
      <c r="G10" s="10">
        <f t="shared" si="19"/>
        <v>46.05</v>
      </c>
      <c r="H10" s="7">
        <f>'[4]Production Summary'!$G73</f>
        <v>14760000</v>
      </c>
      <c r="I10" s="8">
        <f t="shared" si="20"/>
        <v>14.76</v>
      </c>
      <c r="J10" s="10">
        <f t="shared" si="21"/>
        <v>45.313199999999995</v>
      </c>
      <c r="K10" s="7">
        <f>'[4]Production Summary'!$T73</f>
        <v>2576939</v>
      </c>
      <c r="L10" s="8">
        <f t="shared" si="22"/>
        <v>2.5769389999999999</v>
      </c>
      <c r="M10" s="10">
        <f t="shared" si="23"/>
        <v>7.9112027299999994</v>
      </c>
      <c r="N10" s="21"/>
      <c r="O10" s="7">
        <f>'[4]Production Summary'!$I73</f>
        <v>8917000.0000000168</v>
      </c>
      <c r="P10" s="8">
        <f t="shared" si="24"/>
        <v>8.9170000000000176</v>
      </c>
      <c r="Q10" s="10">
        <f t="shared" si="25"/>
        <v>27.375190000000053</v>
      </c>
      <c r="R10" s="7">
        <f>'[4]Production Summary'!$C73</f>
        <v>9107000</v>
      </c>
      <c r="S10" s="8">
        <f t="shared" si="26"/>
        <v>9.1069999999999993</v>
      </c>
      <c r="T10" s="10">
        <f t="shared" si="27"/>
        <v>27.958489999999998</v>
      </c>
      <c r="U10" s="7">
        <f>'[4]Production Summary'!$F73</f>
        <v>0</v>
      </c>
      <c r="V10" s="8">
        <f t="shared" si="28"/>
        <v>0</v>
      </c>
      <c r="W10" s="10">
        <f t="shared" si="29"/>
        <v>0</v>
      </c>
      <c r="X10" s="7">
        <f>'[4]Production Summary'!$AB73</f>
        <v>186999.99999998341</v>
      </c>
      <c r="Y10" s="8">
        <f t="shared" si="30"/>
        <v>0.1869999999999834</v>
      </c>
      <c r="Z10" s="10">
        <f t="shared" si="31"/>
        <v>0.57408999999994903</v>
      </c>
      <c r="AA10" s="15"/>
      <c r="AB10" s="7">
        <f t="shared" si="32"/>
        <v>36217000.000000201</v>
      </c>
      <c r="AC10" s="8">
        <f t="shared" si="32"/>
        <v>36.217000000000198</v>
      </c>
      <c r="AD10" s="8">
        <f t="shared" si="32"/>
        <v>111.18619000000061</v>
      </c>
      <c r="AF10" s="8">
        <f t="shared" si="33"/>
        <v>9.2099999999953885E-3</v>
      </c>
    </row>
    <row r="11" spans="1:32" x14ac:dyDescent="0.15">
      <c r="A11" s="27">
        <v>43350</v>
      </c>
      <c r="B11" s="7">
        <f>'[4]Production Summary'!$J74</f>
        <v>25199999.999999817</v>
      </c>
      <c r="C11" s="8">
        <f t="shared" si="16"/>
        <v>25.199999999999818</v>
      </c>
      <c r="D11" s="10">
        <f t="shared" si="17"/>
        <v>77.363999999999436</v>
      </c>
      <c r="E11" s="7">
        <f>'[4]Production Summary'!$E74</f>
        <v>14000000</v>
      </c>
      <c r="F11" s="8">
        <f t="shared" si="18"/>
        <v>14</v>
      </c>
      <c r="G11" s="10">
        <f t="shared" si="19"/>
        <v>42.98</v>
      </c>
      <c r="H11" s="7">
        <f>'[4]Production Summary'!$G74</f>
        <v>14030000</v>
      </c>
      <c r="I11" s="8">
        <f t="shared" si="20"/>
        <v>14.03</v>
      </c>
      <c r="J11" s="10">
        <f t="shared" si="21"/>
        <v>43.072099999999999</v>
      </c>
      <c r="K11" s="7">
        <f>'[4]Production Summary'!$T74</f>
        <v>2644542</v>
      </c>
      <c r="L11" s="8">
        <f t="shared" si="22"/>
        <v>2.6445419999999999</v>
      </c>
      <c r="M11" s="10">
        <f t="shared" si="23"/>
        <v>8.1187439399999999</v>
      </c>
      <c r="N11" s="21"/>
      <c r="O11" s="7">
        <f>'[4]Production Summary'!$I74</f>
        <v>8802999.9999999814</v>
      </c>
      <c r="P11" s="8">
        <f t="shared" si="24"/>
        <v>8.8029999999999813</v>
      </c>
      <c r="Q11" s="10">
        <f t="shared" si="25"/>
        <v>27.025209999999941</v>
      </c>
      <c r="R11" s="7">
        <f>'[4]Production Summary'!$C74</f>
        <v>9074000</v>
      </c>
      <c r="S11" s="8">
        <f t="shared" si="26"/>
        <v>9.0739999999999998</v>
      </c>
      <c r="T11" s="10">
        <f t="shared" si="27"/>
        <v>27.85718</v>
      </c>
      <c r="U11" s="7">
        <f>'[4]Production Summary'!$F74</f>
        <v>0</v>
      </c>
      <c r="V11" s="8">
        <f t="shared" si="28"/>
        <v>0</v>
      </c>
      <c r="W11" s="10">
        <f t="shared" si="29"/>
        <v>0</v>
      </c>
      <c r="X11" s="7">
        <f>'[4]Production Summary'!$AB74</f>
        <v>266000.00000001956</v>
      </c>
      <c r="Y11" s="8">
        <f t="shared" si="30"/>
        <v>0.26600000000001955</v>
      </c>
      <c r="Z11" s="10">
        <f t="shared" si="31"/>
        <v>0.81662000000005996</v>
      </c>
      <c r="AA11" s="15"/>
      <c r="AB11" s="7">
        <f t="shared" si="32"/>
        <v>34002999.999999799</v>
      </c>
      <c r="AC11" s="8">
        <f t="shared" si="32"/>
        <v>34.002999999999801</v>
      </c>
      <c r="AD11" s="8">
        <f t="shared" si="32"/>
        <v>104.38920999999938</v>
      </c>
      <c r="AF11" s="8">
        <f t="shared" si="33"/>
        <v>1.5349999999998754E-2</v>
      </c>
    </row>
    <row r="12" spans="1:32" x14ac:dyDescent="0.15">
      <c r="A12" s="27">
        <v>43351</v>
      </c>
      <c r="B12" s="7">
        <f>'[4]Production Summary'!$J75</f>
        <v>26199999.999999817</v>
      </c>
      <c r="C12" s="8">
        <f t="shared" si="16"/>
        <v>26.199999999999818</v>
      </c>
      <c r="D12" s="10">
        <f t="shared" si="17"/>
        <v>80.433999999999443</v>
      </c>
      <c r="E12" s="7">
        <f>'[4]Production Summary'!$E75</f>
        <v>14000000</v>
      </c>
      <c r="F12" s="8">
        <f t="shared" si="18"/>
        <v>14</v>
      </c>
      <c r="G12" s="10">
        <f t="shared" si="19"/>
        <v>42.98</v>
      </c>
      <c r="H12" s="7">
        <f>'[4]Production Summary'!$G75</f>
        <v>14230000</v>
      </c>
      <c r="I12" s="8">
        <f t="shared" si="20"/>
        <v>14.23</v>
      </c>
      <c r="J12" s="10">
        <f t="shared" si="21"/>
        <v>43.686099999999996</v>
      </c>
      <c r="K12" s="7">
        <f>'[4]Production Summary'!$T75</f>
        <v>2749159</v>
      </c>
      <c r="L12" s="8">
        <f t="shared" si="22"/>
        <v>2.7491590000000001</v>
      </c>
      <c r="M12" s="10">
        <f t="shared" si="23"/>
        <v>8.4399181300000006</v>
      </c>
      <c r="N12" s="21"/>
      <c r="O12" s="7">
        <f>'[4]Production Summary'!$I75</f>
        <v>8943000.000000013</v>
      </c>
      <c r="P12" s="8">
        <f t="shared" si="24"/>
        <v>8.9430000000000138</v>
      </c>
      <c r="Q12" s="10">
        <f t="shared" si="25"/>
        <v>27.455010000000041</v>
      </c>
      <c r="R12" s="7">
        <f>'[4]Production Summary'!$C75</f>
        <v>9333000</v>
      </c>
      <c r="S12" s="8">
        <f t="shared" si="26"/>
        <v>9.3330000000000002</v>
      </c>
      <c r="T12" s="10">
        <f t="shared" si="27"/>
        <v>28.65231</v>
      </c>
      <c r="U12" s="7">
        <f>'[4]Production Summary'!$F75</f>
        <v>0</v>
      </c>
      <c r="V12" s="8">
        <f t="shared" si="28"/>
        <v>0</v>
      </c>
      <c r="W12" s="10">
        <f t="shared" si="29"/>
        <v>0</v>
      </c>
      <c r="X12" s="7">
        <f>'[4]Production Summary'!$AB75</f>
        <v>383999.99999998615</v>
      </c>
      <c r="Y12" s="8">
        <f t="shared" si="30"/>
        <v>0.38399999999998613</v>
      </c>
      <c r="Z12" s="10">
        <f t="shared" si="31"/>
        <v>1.1788799999999573</v>
      </c>
      <c r="AA12" s="15"/>
      <c r="AB12" s="7">
        <f t="shared" si="32"/>
        <v>35142999.999999829</v>
      </c>
      <c r="AC12" s="8">
        <f t="shared" si="32"/>
        <v>35.14299999999983</v>
      </c>
      <c r="AD12" s="8">
        <f t="shared" si="32"/>
        <v>107.88900999999949</v>
      </c>
      <c r="AF12" s="8">
        <f t="shared" si="33"/>
        <v>1.8420000000002101E-2</v>
      </c>
    </row>
    <row r="13" spans="1:32" x14ac:dyDescent="0.15">
      <c r="A13" s="27">
        <v>43352</v>
      </c>
      <c r="B13" s="7">
        <f>'[4]Production Summary'!$J76</f>
        <v>23800000.000000183</v>
      </c>
      <c r="C13" s="8">
        <f t="shared" si="16"/>
        <v>23.800000000000182</v>
      </c>
      <c r="D13" s="10">
        <f t="shared" si="17"/>
        <v>73.066000000000557</v>
      </c>
      <c r="E13" s="7">
        <f>'[4]Production Summary'!$E76</f>
        <v>13000000</v>
      </c>
      <c r="F13" s="8">
        <f t="shared" si="18"/>
        <v>13</v>
      </c>
      <c r="G13" s="10">
        <f t="shared" si="19"/>
        <v>39.909999999999997</v>
      </c>
      <c r="H13" s="7">
        <f>'[4]Production Summary'!$G76</f>
        <v>13090000</v>
      </c>
      <c r="I13" s="8">
        <f t="shared" si="20"/>
        <v>13.09</v>
      </c>
      <c r="J13" s="10">
        <f t="shared" si="21"/>
        <v>40.186299999999996</v>
      </c>
      <c r="K13" s="7">
        <f>'[4]Production Summary'!$T76</f>
        <v>2384613</v>
      </c>
      <c r="L13" s="8">
        <f t="shared" si="22"/>
        <v>2.3846129999999999</v>
      </c>
      <c r="M13" s="10">
        <f t="shared" si="23"/>
        <v>7.320761909999999</v>
      </c>
      <c r="N13" s="21"/>
      <c r="O13" s="7">
        <f>'[4]Production Summary'!$I76</f>
        <v>6562000.0000000019</v>
      </c>
      <c r="P13" s="8">
        <f t="shared" si="24"/>
        <v>6.5620000000000021</v>
      </c>
      <c r="Q13" s="10">
        <f t="shared" si="25"/>
        <v>20.145340000000004</v>
      </c>
      <c r="R13" s="7">
        <f>'[4]Production Summary'!$C76</f>
        <v>6761000</v>
      </c>
      <c r="S13" s="8">
        <f t="shared" si="26"/>
        <v>6.7610000000000001</v>
      </c>
      <c r="T13" s="10">
        <f t="shared" si="27"/>
        <v>20.756270000000001</v>
      </c>
      <c r="U13" s="7">
        <f>'[4]Production Summary'!$F76</f>
        <v>0</v>
      </c>
      <c r="V13" s="8">
        <f t="shared" si="28"/>
        <v>0</v>
      </c>
      <c r="W13" s="10">
        <f t="shared" si="29"/>
        <v>0</v>
      </c>
      <c r="X13" s="7">
        <f>'[4]Production Summary'!$AB76</f>
        <v>195999.99999999796</v>
      </c>
      <c r="Y13" s="8">
        <f t="shared" si="30"/>
        <v>0.19599999999999795</v>
      </c>
      <c r="Z13" s="10">
        <f t="shared" si="31"/>
        <v>0.6017199999999937</v>
      </c>
      <c r="AA13" s="15"/>
      <c r="AB13" s="7">
        <f t="shared" si="32"/>
        <v>30362000.000000186</v>
      </c>
      <c r="AC13" s="8">
        <f t="shared" si="32"/>
        <v>30.362000000000183</v>
      </c>
      <c r="AD13" s="8">
        <f t="shared" si="32"/>
        <v>93.211340000000561</v>
      </c>
      <c r="AF13" s="8">
        <f t="shared" si="33"/>
        <v>9.210000000002494E-3</v>
      </c>
    </row>
    <row r="14" spans="1:32" x14ac:dyDescent="0.15">
      <c r="A14" s="27">
        <v>43353</v>
      </c>
      <c r="B14" s="7">
        <f>'[4]Production Summary'!$J77</f>
        <v>21599999.999999911</v>
      </c>
      <c r="C14" s="8">
        <f t="shared" si="16"/>
        <v>21.599999999999909</v>
      </c>
      <c r="D14" s="10">
        <f t="shared" si="17"/>
        <v>66.311999999999713</v>
      </c>
      <c r="E14" s="7">
        <f>'[4]Production Summary'!$E77</f>
        <v>13000000</v>
      </c>
      <c r="F14" s="8">
        <f t="shared" si="18"/>
        <v>13</v>
      </c>
      <c r="G14" s="10">
        <f t="shared" si="19"/>
        <v>39.909999999999997</v>
      </c>
      <c r="H14" s="7">
        <f>'[4]Production Summary'!$G77</f>
        <v>12320000</v>
      </c>
      <c r="I14" s="8">
        <f t="shared" si="20"/>
        <v>12.32</v>
      </c>
      <c r="J14" s="10">
        <f t="shared" si="21"/>
        <v>37.822400000000002</v>
      </c>
      <c r="K14" s="7">
        <f>'[4]Production Summary'!$T77</f>
        <v>2336443</v>
      </c>
      <c r="L14" s="8">
        <f t="shared" si="22"/>
        <v>2.336443</v>
      </c>
      <c r="M14" s="10">
        <f t="shared" si="23"/>
        <v>7.1728800100000001</v>
      </c>
      <c r="N14" s="21"/>
      <c r="O14" s="7">
        <f>'[4]Production Summary'!$I77</f>
        <v>7173999.9999999832</v>
      </c>
      <c r="P14" s="8">
        <f t="shared" si="24"/>
        <v>7.1739999999999835</v>
      </c>
      <c r="Q14" s="10">
        <f t="shared" si="25"/>
        <v>22.024179999999948</v>
      </c>
      <c r="R14" s="7">
        <f>'[4]Production Summary'!$C77</f>
        <v>7379000</v>
      </c>
      <c r="S14" s="8">
        <f t="shared" si="26"/>
        <v>7.3789999999999996</v>
      </c>
      <c r="T14" s="10">
        <f t="shared" si="27"/>
        <v>22.653529999999996</v>
      </c>
      <c r="U14" s="7">
        <f>'[4]Production Summary'!$F77</f>
        <v>0</v>
      </c>
      <c r="V14" s="8">
        <f t="shared" si="28"/>
        <v>0</v>
      </c>
      <c r="W14" s="10">
        <f t="shared" si="29"/>
        <v>0</v>
      </c>
      <c r="X14" s="7">
        <f>'[4]Production Summary'!$AB77</f>
        <v>200000.00000001705</v>
      </c>
      <c r="Y14" s="8">
        <f t="shared" si="30"/>
        <v>0.20000000000001705</v>
      </c>
      <c r="Z14" s="10">
        <f t="shared" si="31"/>
        <v>0.61400000000005228</v>
      </c>
      <c r="AA14" s="15"/>
      <c r="AB14" s="7">
        <f t="shared" si="32"/>
        <v>28773999.999999896</v>
      </c>
      <c r="AC14" s="8">
        <f t="shared" si="32"/>
        <v>28.773999999999894</v>
      </c>
      <c r="AD14" s="8">
        <f t="shared" si="32"/>
        <v>88.336179999999658</v>
      </c>
      <c r="AF14" s="8">
        <f t="shared" si="33"/>
        <v>1.53499999999962E-2</v>
      </c>
    </row>
    <row r="15" spans="1:32" x14ac:dyDescent="0.15">
      <c r="A15" s="27">
        <v>43354</v>
      </c>
      <c r="B15" s="7">
        <f>'[4]Production Summary'!$J78</f>
        <v>24700000.000000272</v>
      </c>
      <c r="C15" s="8">
        <f t="shared" si="16"/>
        <v>24.700000000000273</v>
      </c>
      <c r="D15" s="10">
        <f t="shared" si="17"/>
        <v>75.829000000000832</v>
      </c>
      <c r="E15" s="7">
        <f>'[4]Production Summary'!$E78</f>
        <v>13000000</v>
      </c>
      <c r="F15" s="8">
        <f t="shared" si="18"/>
        <v>13</v>
      </c>
      <c r="G15" s="10">
        <f t="shared" si="19"/>
        <v>39.909999999999997</v>
      </c>
      <c r="H15" s="7">
        <f>'[4]Production Summary'!$G78</f>
        <v>13340000</v>
      </c>
      <c r="I15" s="8">
        <f t="shared" si="20"/>
        <v>13.34</v>
      </c>
      <c r="J15" s="10">
        <f t="shared" si="21"/>
        <v>40.953799999999994</v>
      </c>
      <c r="K15" s="7">
        <f>'[4]Production Summary'!$T78</f>
        <v>2559648</v>
      </c>
      <c r="L15" s="8">
        <f t="shared" si="22"/>
        <v>2.5596480000000001</v>
      </c>
      <c r="M15" s="10">
        <f t="shared" si="23"/>
        <v>7.8581193599999999</v>
      </c>
      <c r="N15" s="21"/>
      <c r="O15" s="7">
        <f>'[4]Production Summary'!$I78</f>
        <v>10981000.000000006</v>
      </c>
      <c r="P15" s="8">
        <f t="shared" si="24"/>
        <v>10.981000000000005</v>
      </c>
      <c r="Q15" s="10">
        <f t="shared" si="25"/>
        <v>33.711670000000012</v>
      </c>
      <c r="R15" s="7">
        <f>'[4]Production Summary'!$C78</f>
        <v>11360000</v>
      </c>
      <c r="S15" s="8">
        <f t="shared" si="26"/>
        <v>11.36</v>
      </c>
      <c r="T15" s="10">
        <f t="shared" si="27"/>
        <v>34.8752</v>
      </c>
      <c r="U15" s="7">
        <f>'[4]Production Summary'!$F78</f>
        <v>0</v>
      </c>
      <c r="V15" s="8">
        <f t="shared" si="28"/>
        <v>0</v>
      </c>
      <c r="W15" s="10">
        <f t="shared" si="29"/>
        <v>0</v>
      </c>
      <c r="X15" s="7">
        <f>'[4]Production Summary'!$AB78</f>
        <v>373999.99999999523</v>
      </c>
      <c r="Y15" s="8">
        <f t="shared" si="30"/>
        <v>0.37399999999999523</v>
      </c>
      <c r="Z15" s="10">
        <f t="shared" si="31"/>
        <v>1.1481799999999853</v>
      </c>
      <c r="AA15" s="15"/>
      <c r="AB15" s="7">
        <f t="shared" si="32"/>
        <v>35681000.000000276</v>
      </c>
      <c r="AC15" s="8">
        <f t="shared" si="32"/>
        <v>35.681000000000282</v>
      </c>
      <c r="AD15" s="8">
        <f t="shared" si="32"/>
        <v>109.54067000000084</v>
      </c>
      <c r="AF15" s="8">
        <f>T15-Q15-Z15</f>
        <v>1.5350000000001973E-2</v>
      </c>
    </row>
    <row r="16" spans="1:32" x14ac:dyDescent="0.15">
      <c r="A16" s="27">
        <v>43355</v>
      </c>
      <c r="B16" s="7">
        <f>'[4]Production Summary'!$J79</f>
        <v>22199999.999999817</v>
      </c>
      <c r="C16" s="8">
        <f t="shared" si="16"/>
        <v>22.199999999999818</v>
      </c>
      <c r="D16" s="10">
        <f t="shared" si="17"/>
        <v>68.153999999999442</v>
      </c>
      <c r="E16" s="7">
        <f>'[4]Production Summary'!$E79</f>
        <v>13000000</v>
      </c>
      <c r="F16" s="8">
        <f t="shared" si="18"/>
        <v>13</v>
      </c>
      <c r="G16" s="10">
        <f t="shared" si="19"/>
        <v>39.909999999999997</v>
      </c>
      <c r="H16" s="7">
        <f>'[4]Production Summary'!$G79</f>
        <v>11820000</v>
      </c>
      <c r="I16" s="8">
        <f t="shared" si="20"/>
        <v>11.82</v>
      </c>
      <c r="J16" s="10">
        <f t="shared" si="21"/>
        <v>36.287399999999998</v>
      </c>
      <c r="K16" s="7">
        <f>'[4]Production Summary'!$T79</f>
        <v>2362458</v>
      </c>
      <c r="L16" s="8">
        <f t="shared" si="22"/>
        <v>2.3624580000000002</v>
      </c>
      <c r="M16" s="10">
        <f t="shared" si="23"/>
        <v>7.2527460599999998</v>
      </c>
      <c r="N16" s="21"/>
      <c r="O16" s="7">
        <f>'[4]Production Summary'!$I79</f>
        <v>7975000.0000000084</v>
      </c>
      <c r="P16" s="8">
        <f t="shared" si="24"/>
        <v>7.9750000000000085</v>
      </c>
      <c r="Q16" s="10">
        <f t="shared" si="25"/>
        <v>24.483250000000027</v>
      </c>
      <c r="R16" s="7">
        <f>'[4]Production Summary'!$C79</f>
        <v>8254000</v>
      </c>
      <c r="S16" s="8">
        <f t="shared" si="26"/>
        <v>8.2539999999999996</v>
      </c>
      <c r="T16" s="10">
        <f t="shared" si="27"/>
        <v>25.339779999999998</v>
      </c>
      <c r="U16" s="7">
        <f>'[4]Production Summary'!$F79</f>
        <v>0</v>
      </c>
      <c r="V16" s="8">
        <f t="shared" si="28"/>
        <v>0</v>
      </c>
      <c r="W16" s="10">
        <f t="shared" si="29"/>
        <v>0</v>
      </c>
      <c r="X16" s="7">
        <f>'[4]Production Summary'!$AB79</f>
        <v>271999.99999999139</v>
      </c>
      <c r="Y16" s="8">
        <f t="shared" si="30"/>
        <v>0.27199999999999136</v>
      </c>
      <c r="Z16" s="10">
        <f t="shared" si="31"/>
        <v>0.83503999999997347</v>
      </c>
      <c r="AA16" s="15"/>
      <c r="AB16" s="7">
        <f t="shared" si="32"/>
        <v>30174999.999999825</v>
      </c>
      <c r="AC16" s="8">
        <f t="shared" si="32"/>
        <v>30.174999999999827</v>
      </c>
      <c r="AD16" s="8">
        <f t="shared" si="32"/>
        <v>92.637249999999469</v>
      </c>
      <c r="AF16" s="8">
        <f>T16-Q16-Z16</f>
        <v>2.1489999999997456E-2</v>
      </c>
    </row>
    <row r="17" spans="1:32" x14ac:dyDescent="0.15">
      <c r="A17" s="27">
        <v>43356</v>
      </c>
      <c r="B17" s="7">
        <f>'[4]Production Summary'!$J80</f>
        <v>22300000.000000183</v>
      </c>
      <c r="C17" s="8">
        <f t="shared" si="16"/>
        <v>22.300000000000182</v>
      </c>
      <c r="D17" s="10">
        <f t="shared" si="17"/>
        <v>68.461000000000553</v>
      </c>
      <c r="E17" s="7">
        <f>'[4]Production Summary'!$E80</f>
        <v>12000000</v>
      </c>
      <c r="F17" s="8">
        <f t="shared" si="18"/>
        <v>12</v>
      </c>
      <c r="G17" s="10">
        <f t="shared" si="19"/>
        <v>36.839999999999996</v>
      </c>
      <c r="H17" s="7">
        <f>'[4]Production Summary'!$G80</f>
        <v>12890000</v>
      </c>
      <c r="I17" s="8">
        <f t="shared" si="20"/>
        <v>12.89</v>
      </c>
      <c r="J17" s="10">
        <f t="shared" si="21"/>
        <v>39.572299999999998</v>
      </c>
      <c r="K17" s="7">
        <f>'[4]Production Summary'!$T80</f>
        <v>2502365</v>
      </c>
      <c r="L17" s="8">
        <f t="shared" si="22"/>
        <v>2.5023650000000002</v>
      </c>
      <c r="M17" s="10">
        <f t="shared" si="23"/>
        <v>7.6822605500000005</v>
      </c>
      <c r="N17" s="21"/>
      <c r="O17" s="7">
        <f>'[4]Production Summary'!$I80</f>
        <v>10363000</v>
      </c>
      <c r="P17" s="8">
        <f t="shared" si="24"/>
        <v>10.363</v>
      </c>
      <c r="Q17" s="10">
        <f t="shared" si="25"/>
        <v>31.814409999999995</v>
      </c>
      <c r="R17" s="7">
        <f>'[4]Production Summary'!$C80</f>
        <v>10635000</v>
      </c>
      <c r="S17" s="8">
        <f t="shared" si="26"/>
        <v>10.635</v>
      </c>
      <c r="T17" s="10">
        <f t="shared" si="27"/>
        <v>32.649449999999995</v>
      </c>
      <c r="U17" s="7">
        <f>'[4]Production Summary'!$F80</f>
        <v>0</v>
      </c>
      <c r="V17" s="8">
        <f t="shared" si="28"/>
        <v>0</v>
      </c>
      <c r="W17" s="10">
        <f t="shared" si="29"/>
        <v>0</v>
      </c>
      <c r="X17" s="7">
        <f>'[4]Production Summary'!$AB80</f>
        <v>268000.0000000007</v>
      </c>
      <c r="Y17" s="8">
        <f t="shared" si="30"/>
        <v>0.26800000000000068</v>
      </c>
      <c r="Z17" s="10">
        <f t="shared" si="31"/>
        <v>0.82276000000000205</v>
      </c>
      <c r="AA17" s="15"/>
      <c r="AB17" s="7">
        <f t="shared" si="32"/>
        <v>32663000.000000183</v>
      </c>
      <c r="AC17" s="8">
        <f t="shared" si="32"/>
        <v>32.663000000000181</v>
      </c>
      <c r="AD17" s="8">
        <f t="shared" si="32"/>
        <v>100.27541000000055</v>
      </c>
      <c r="AF17" s="8">
        <f>T17-Q17-Z17</f>
        <v>1.2279999999997293E-2</v>
      </c>
    </row>
    <row r="18" spans="1:32" x14ac:dyDescent="0.15">
      <c r="A18" s="27">
        <v>43357</v>
      </c>
      <c r="B18" s="7">
        <f>'[4]Production Summary'!$J81</f>
        <v>27699999.999999817</v>
      </c>
      <c r="C18" s="8">
        <f t="shared" si="16"/>
        <v>27.699999999999818</v>
      </c>
      <c r="D18" s="10">
        <f t="shared" si="17"/>
        <v>85.038999999999433</v>
      </c>
      <c r="E18" s="7">
        <f>'[4]Production Summary'!$E81</f>
        <v>15000000</v>
      </c>
      <c r="F18" s="8">
        <f t="shared" si="18"/>
        <v>15</v>
      </c>
      <c r="G18" s="10">
        <f t="shared" si="19"/>
        <v>46.05</v>
      </c>
      <c r="H18" s="7">
        <f>'[4]Production Summary'!$G81</f>
        <v>15020000</v>
      </c>
      <c r="I18" s="8">
        <f t="shared" si="20"/>
        <v>15.02</v>
      </c>
      <c r="J18" s="10">
        <f t="shared" si="21"/>
        <v>46.111399999999996</v>
      </c>
      <c r="K18" s="7">
        <f>'[4]Production Summary'!$T81</f>
        <v>2802763</v>
      </c>
      <c r="L18" s="8">
        <f t="shared" si="22"/>
        <v>2.8027630000000001</v>
      </c>
      <c r="M18" s="10">
        <f t="shared" si="23"/>
        <v>8.6044824099999992</v>
      </c>
      <c r="N18" s="21"/>
      <c r="O18" s="7">
        <f>'[4]Production Summary'!$I81</f>
        <v>7766000.0000000047</v>
      </c>
      <c r="P18" s="8">
        <f t="shared" si="24"/>
        <v>7.7660000000000045</v>
      </c>
      <c r="Q18" s="10">
        <f t="shared" si="25"/>
        <v>23.841620000000013</v>
      </c>
      <c r="R18" s="7">
        <f>'[4]Production Summary'!$C81</f>
        <v>8026000</v>
      </c>
      <c r="S18" s="8">
        <f t="shared" si="26"/>
        <v>8.0259999999999998</v>
      </c>
      <c r="T18" s="10">
        <f t="shared" si="27"/>
        <v>24.639819999999997</v>
      </c>
      <c r="U18" s="7">
        <f>'[4]Production Summary'!$F81</f>
        <v>0</v>
      </c>
      <c r="V18" s="8">
        <f t="shared" si="28"/>
        <v>0</v>
      </c>
      <c r="W18" s="10">
        <f t="shared" si="29"/>
        <v>0</v>
      </c>
      <c r="X18" s="7">
        <f>'[4]Production Summary'!$AB81</f>
        <v>254999.99999999546</v>
      </c>
      <c r="Y18" s="8">
        <f t="shared" si="30"/>
        <v>0.25499999999999545</v>
      </c>
      <c r="Z18" s="10">
        <f t="shared" si="31"/>
        <v>0.78284999999998595</v>
      </c>
      <c r="AA18" s="15"/>
      <c r="AB18" s="7">
        <f t="shared" si="32"/>
        <v>35465999.999999821</v>
      </c>
      <c r="AC18" s="8">
        <f t="shared" si="32"/>
        <v>35.465999999999823</v>
      </c>
      <c r="AD18" s="8">
        <f t="shared" si="32"/>
        <v>108.88061999999945</v>
      </c>
      <c r="AF18" s="8">
        <f>T18-Q18-Z18</f>
        <v>1.5349999999997643E-2</v>
      </c>
    </row>
    <row r="19" spans="1:32" x14ac:dyDescent="0.15">
      <c r="A19" s="27">
        <v>43358</v>
      </c>
      <c r="B19" s="7">
        <f>'[4]Production Summary'!$J82</f>
        <v>27300000.000000183</v>
      </c>
      <c r="C19" s="8">
        <f t="shared" si="16"/>
        <v>27.300000000000182</v>
      </c>
      <c r="D19" s="10">
        <f t="shared" si="17"/>
        <v>83.811000000000547</v>
      </c>
      <c r="E19" s="7">
        <f>'[4]Production Summary'!$E82</f>
        <v>15000000</v>
      </c>
      <c r="F19" s="8">
        <f t="shared" si="18"/>
        <v>15</v>
      </c>
      <c r="G19" s="10">
        <f t="shared" si="19"/>
        <v>46.05</v>
      </c>
      <c r="H19" s="7">
        <f>'[4]Production Summary'!$G82</f>
        <v>15030000</v>
      </c>
      <c r="I19" s="8">
        <f t="shared" si="20"/>
        <v>15.03</v>
      </c>
      <c r="J19" s="10">
        <f t="shared" si="21"/>
        <v>46.142099999999992</v>
      </c>
      <c r="K19" s="7">
        <f>'[4]Production Summary'!$T82</f>
        <v>2935093</v>
      </c>
      <c r="L19" s="8">
        <f t="shared" si="22"/>
        <v>2.9350930000000002</v>
      </c>
      <c r="M19" s="10">
        <f t="shared" si="23"/>
        <v>9.0107355099999999</v>
      </c>
      <c r="N19" s="21"/>
      <c r="O19" s="7">
        <f>'[4]Production Summary'!$I82</f>
        <v>7704999.9999999804</v>
      </c>
      <c r="P19" s="8">
        <f t="shared" si="24"/>
        <v>7.7049999999999805</v>
      </c>
      <c r="Q19" s="10">
        <f t="shared" si="25"/>
        <v>23.65434999999994</v>
      </c>
      <c r="R19" s="7">
        <f>'[4]Production Summary'!$C82</f>
        <v>7982000</v>
      </c>
      <c r="S19" s="8">
        <f t="shared" si="26"/>
        <v>7.9820000000000002</v>
      </c>
      <c r="T19" s="10">
        <f t="shared" si="27"/>
        <v>24.504739999999998</v>
      </c>
      <c r="U19" s="7">
        <f>'[4]Production Summary'!$F82</f>
        <v>0</v>
      </c>
      <c r="V19" s="8">
        <f t="shared" si="28"/>
        <v>0</v>
      </c>
      <c r="W19" s="10">
        <f t="shared" si="29"/>
        <v>0</v>
      </c>
      <c r="X19" s="7">
        <f>'[4]Production Summary'!$AB82</f>
        <v>272000.00000001979</v>
      </c>
      <c r="Y19" s="8">
        <f t="shared" si="30"/>
        <v>0.27200000000001978</v>
      </c>
      <c r="Z19" s="10">
        <f t="shared" si="31"/>
        <v>0.83504000000006073</v>
      </c>
      <c r="AA19" s="15"/>
      <c r="AB19" s="7">
        <f t="shared" si="32"/>
        <v>35005000.000000164</v>
      </c>
      <c r="AC19" s="8">
        <f t="shared" si="32"/>
        <v>35.005000000000166</v>
      </c>
      <c r="AD19" s="8">
        <f>D19+Q19</f>
        <v>107.46535000000048</v>
      </c>
      <c r="AF19" s="8">
        <f>T19-Q19-Z19</f>
        <v>1.5349999999996977E-2</v>
      </c>
    </row>
    <row r="20" spans="1:32" x14ac:dyDescent="0.15">
      <c r="A20" s="27">
        <v>43359</v>
      </c>
      <c r="B20" s="7">
        <f>'[4]Production Summary'!$J83</f>
        <v>27699999.999999817</v>
      </c>
      <c r="C20" s="8">
        <f t="shared" si="16"/>
        <v>27.699999999999818</v>
      </c>
      <c r="D20" s="10">
        <f t="shared" si="17"/>
        <v>85.038999999999433</v>
      </c>
      <c r="E20" s="7">
        <f>'[4]Production Summary'!$E83</f>
        <v>16000000</v>
      </c>
      <c r="F20" s="8">
        <f t="shared" si="18"/>
        <v>16</v>
      </c>
      <c r="G20" s="10">
        <f t="shared" si="19"/>
        <v>49.12</v>
      </c>
      <c r="H20" s="7">
        <f>'[4]Production Summary'!$G83</f>
        <v>15440000</v>
      </c>
      <c r="I20" s="8">
        <f t="shared" si="20"/>
        <v>15.44</v>
      </c>
      <c r="J20" s="10">
        <f t="shared" si="21"/>
        <v>47.400799999999997</v>
      </c>
      <c r="K20" s="7">
        <f>'[4]Production Summary'!$T83</f>
        <v>2909756</v>
      </c>
      <c r="L20" s="8">
        <f t="shared" si="22"/>
        <v>2.9097559999999998</v>
      </c>
      <c r="M20" s="10">
        <f t="shared" si="23"/>
        <v>8.9329509199999997</v>
      </c>
      <c r="N20" s="21"/>
      <c r="O20" s="7">
        <f>'[4]Production Summary'!$I83</f>
        <v>8031000</v>
      </c>
      <c r="P20" s="8">
        <f t="shared" si="24"/>
        <v>8.0310000000000006</v>
      </c>
      <c r="Q20" s="10">
        <f t="shared" si="25"/>
        <v>24.655170000000002</v>
      </c>
      <c r="R20" s="7">
        <f>'[4]Production Summary'!$C83</f>
        <v>8286000</v>
      </c>
      <c r="S20" s="8">
        <f t="shared" si="26"/>
        <v>8.2859999999999996</v>
      </c>
      <c r="T20" s="10">
        <f t="shared" si="27"/>
        <v>25.438019999999998</v>
      </c>
      <c r="U20" s="7">
        <f>'[4]Production Summary'!$F83</f>
        <v>0</v>
      </c>
      <c r="V20" s="8">
        <f t="shared" si="28"/>
        <v>0</v>
      </c>
      <c r="W20" s="10">
        <f t="shared" si="29"/>
        <v>0</v>
      </c>
      <c r="X20" s="7">
        <f>'[4]Production Summary'!$AB83</f>
        <v>250000</v>
      </c>
      <c r="Y20" s="8">
        <f t="shared" si="30"/>
        <v>0.25</v>
      </c>
      <c r="Z20" s="10">
        <f t="shared" si="31"/>
        <v>0.76749999999999996</v>
      </c>
      <c r="AA20" s="15"/>
      <c r="AB20" s="7">
        <f t="shared" si="32"/>
        <v>35730999.999999821</v>
      </c>
      <c r="AC20" s="8">
        <f t="shared" si="32"/>
        <v>35.730999999999817</v>
      </c>
      <c r="AD20" s="8">
        <f t="shared" si="32"/>
        <v>109.69416999999943</v>
      </c>
      <c r="AF20" s="8">
        <f t="shared" ref="AF20:AF35" si="34">T20-Q20-Z20</f>
        <v>1.5349999999996311E-2</v>
      </c>
    </row>
    <row r="21" spans="1:32" x14ac:dyDescent="0.15">
      <c r="A21" s="27">
        <v>43360</v>
      </c>
      <c r="B21" s="7">
        <f>'[4]Production Summary'!$J84</f>
        <v>23800000.000000183</v>
      </c>
      <c r="C21" s="8">
        <f t="shared" si="16"/>
        <v>23.800000000000182</v>
      </c>
      <c r="D21" s="10">
        <f t="shared" si="17"/>
        <v>73.066000000000557</v>
      </c>
      <c r="E21" s="7">
        <f>'[4]Production Summary'!$E84</f>
        <v>13000000</v>
      </c>
      <c r="F21" s="8">
        <f t="shared" si="18"/>
        <v>13</v>
      </c>
      <c r="G21" s="10">
        <f t="shared" si="19"/>
        <v>39.909999999999997</v>
      </c>
      <c r="H21" s="7">
        <f>'[4]Production Summary'!$G84</f>
        <v>13010000</v>
      </c>
      <c r="I21" s="8">
        <f t="shared" si="20"/>
        <v>13.01</v>
      </c>
      <c r="J21" s="10">
        <f t="shared" si="21"/>
        <v>39.9407</v>
      </c>
      <c r="K21" s="7">
        <f>'[4]Production Summary'!$T84</f>
        <v>2329916</v>
      </c>
      <c r="L21" s="8">
        <f t="shared" si="22"/>
        <v>2.3299159999999999</v>
      </c>
      <c r="M21" s="10">
        <f t="shared" si="23"/>
        <v>7.152842119999999</v>
      </c>
      <c r="N21" s="21"/>
      <c r="O21" s="7">
        <f>'[4]Production Summary'!$I84</f>
        <v>8835000.0000000112</v>
      </c>
      <c r="P21" s="8">
        <f t="shared" si="24"/>
        <v>8.8350000000000115</v>
      </c>
      <c r="Q21" s="10">
        <f t="shared" si="25"/>
        <v>27.123450000000034</v>
      </c>
      <c r="R21" s="7">
        <f>'[4]Production Summary'!$C84</f>
        <v>9038000</v>
      </c>
      <c r="S21" s="8">
        <f t="shared" si="26"/>
        <v>9.0380000000000003</v>
      </c>
      <c r="T21" s="10">
        <f t="shared" si="27"/>
        <v>27.746659999999999</v>
      </c>
      <c r="U21" s="7">
        <f>'[4]Production Summary'!$F84</f>
        <v>0</v>
      </c>
      <c r="V21" s="8">
        <f t="shared" si="28"/>
        <v>0</v>
      </c>
      <c r="W21" s="10">
        <f t="shared" si="29"/>
        <v>0</v>
      </c>
      <c r="X21" s="7">
        <f>'[4]Production Summary'!$AB84</f>
        <v>199999.99999998862</v>
      </c>
      <c r="Y21" s="8">
        <f t="shared" si="30"/>
        <v>0.19999999999998863</v>
      </c>
      <c r="Z21" s="10">
        <f t="shared" si="31"/>
        <v>0.61399999999996502</v>
      </c>
      <c r="AA21" s="15"/>
      <c r="AB21" s="7">
        <f t="shared" si="32"/>
        <v>32635000.000000194</v>
      </c>
      <c r="AC21" s="8">
        <f t="shared" si="32"/>
        <v>32.63500000000019</v>
      </c>
      <c r="AD21" s="8">
        <f t="shared" si="32"/>
        <v>100.18945000000059</v>
      </c>
      <c r="AF21" s="8">
        <f t="shared" si="34"/>
        <v>9.2099999999997184E-3</v>
      </c>
    </row>
    <row r="22" spans="1:32" x14ac:dyDescent="0.15">
      <c r="A22" s="27">
        <v>43361</v>
      </c>
      <c r="B22" s="7">
        <f>'[4]Production Summary'!$J85</f>
        <v>25000000</v>
      </c>
      <c r="C22" s="8">
        <f t="shared" si="16"/>
        <v>25</v>
      </c>
      <c r="D22" s="10">
        <f t="shared" si="17"/>
        <v>76.75</v>
      </c>
      <c r="E22" s="7">
        <f>'[4]Production Summary'!$E85</f>
        <v>14000000</v>
      </c>
      <c r="F22" s="8">
        <f t="shared" si="18"/>
        <v>14</v>
      </c>
      <c r="G22" s="10">
        <f t="shared" si="19"/>
        <v>42.98</v>
      </c>
      <c r="H22" s="7">
        <f>'[4]Production Summary'!$G85</f>
        <v>14180000</v>
      </c>
      <c r="I22" s="8">
        <f t="shared" si="20"/>
        <v>14.18</v>
      </c>
      <c r="J22" s="10">
        <f t="shared" si="21"/>
        <v>43.532599999999995</v>
      </c>
      <c r="K22" s="7">
        <f>'[4]Production Summary'!$T85</f>
        <v>2608339</v>
      </c>
      <c r="L22" s="8">
        <f t="shared" si="22"/>
        <v>2.608339</v>
      </c>
      <c r="M22" s="10">
        <f t="shared" si="23"/>
        <v>8.0076007300000001</v>
      </c>
      <c r="N22" s="21"/>
      <c r="O22" s="7">
        <f>'[4]Production Summary'!$I85</f>
        <v>10136999.999999993</v>
      </c>
      <c r="P22" s="8">
        <f t="shared" si="24"/>
        <v>10.136999999999993</v>
      </c>
      <c r="Q22" s="10">
        <f t="shared" si="25"/>
        <v>31.120589999999979</v>
      </c>
      <c r="R22" s="7">
        <f>'[4]Production Summary'!$C85</f>
        <v>10465000</v>
      </c>
      <c r="S22" s="8">
        <f t="shared" si="26"/>
        <v>10.465</v>
      </c>
      <c r="T22" s="10">
        <f t="shared" si="27"/>
        <v>32.127549999999999</v>
      </c>
      <c r="U22" s="7">
        <f>'[4]Production Summary'!$F85</f>
        <v>0</v>
      </c>
      <c r="V22" s="8">
        <f t="shared" si="28"/>
        <v>0</v>
      </c>
      <c r="W22" s="10">
        <f t="shared" si="29"/>
        <v>0</v>
      </c>
      <c r="X22" s="7">
        <f>'[4]Production Summary'!$AB85</f>
        <v>323000.00000000751</v>
      </c>
      <c r="Y22" s="8">
        <f t="shared" si="30"/>
        <v>0.3230000000000075</v>
      </c>
      <c r="Z22" s="10">
        <f t="shared" si="31"/>
        <v>0.99161000000002297</v>
      </c>
      <c r="AA22" s="15"/>
      <c r="AB22" s="7">
        <f t="shared" si="32"/>
        <v>35136999.999999993</v>
      </c>
      <c r="AC22" s="8">
        <f t="shared" si="32"/>
        <v>35.136999999999993</v>
      </c>
      <c r="AD22" s="8">
        <f t="shared" si="32"/>
        <v>107.87058999999998</v>
      </c>
      <c r="AF22" s="8">
        <f t="shared" si="34"/>
        <v>1.5349999999997754E-2</v>
      </c>
    </row>
    <row r="23" spans="1:32" x14ac:dyDescent="0.15">
      <c r="A23" s="27">
        <v>43362</v>
      </c>
      <c r="B23" s="7">
        <f>'[4]Production Summary'!$J86</f>
        <v>23199999.999999817</v>
      </c>
      <c r="C23" s="8">
        <f t="shared" si="16"/>
        <v>23.199999999999818</v>
      </c>
      <c r="D23" s="10">
        <f t="shared" si="17"/>
        <v>71.223999999999435</v>
      </c>
      <c r="E23" s="7">
        <f>'[4]Production Summary'!$E86</f>
        <v>12000000</v>
      </c>
      <c r="F23" s="8">
        <f t="shared" si="18"/>
        <v>12</v>
      </c>
      <c r="G23" s="10">
        <f t="shared" si="19"/>
        <v>36.839999999999996</v>
      </c>
      <c r="H23" s="7">
        <f>'[4]Production Summary'!$G86</f>
        <v>13900000</v>
      </c>
      <c r="I23" s="8">
        <f t="shared" si="20"/>
        <v>13.9</v>
      </c>
      <c r="J23" s="10">
        <f t="shared" si="21"/>
        <v>42.673000000000002</v>
      </c>
      <c r="K23" s="7">
        <f>'[4]Production Summary'!$T86</f>
        <v>2454546</v>
      </c>
      <c r="L23" s="8">
        <f t="shared" si="22"/>
        <v>2.4545460000000001</v>
      </c>
      <c r="M23" s="10">
        <f t="shared" si="23"/>
        <v>7.5354562200000004</v>
      </c>
      <c r="N23" s="21"/>
      <c r="O23" s="7">
        <f>'[4]Production Summary'!$I86</f>
        <v>9783000.0000000186</v>
      </c>
      <c r="P23" s="8">
        <f t="shared" si="24"/>
        <v>9.783000000000019</v>
      </c>
      <c r="Q23" s="10">
        <f t="shared" si="25"/>
        <v>30.033810000000056</v>
      </c>
      <c r="R23" s="7">
        <f>'[4]Production Summary'!$C86</f>
        <v>10040000</v>
      </c>
      <c r="S23" s="8">
        <f t="shared" si="26"/>
        <v>10.039999999999999</v>
      </c>
      <c r="T23" s="10">
        <f t="shared" si="27"/>
        <v>30.822799999999997</v>
      </c>
      <c r="U23" s="7">
        <f>'[4]Production Summary'!$F86</f>
        <v>0</v>
      </c>
      <c r="V23" s="8">
        <f t="shared" si="28"/>
        <v>0</v>
      </c>
      <c r="W23" s="10">
        <f t="shared" si="29"/>
        <v>0</v>
      </c>
      <c r="X23" s="7">
        <f>'[4]Production Summary'!$AB86</f>
        <v>251999.99999998114</v>
      </c>
      <c r="Y23" s="8">
        <f t="shared" si="30"/>
        <v>0.25199999999998113</v>
      </c>
      <c r="Z23" s="10">
        <f t="shared" si="31"/>
        <v>0.77363999999994204</v>
      </c>
      <c r="AA23" s="15"/>
      <c r="AB23" s="7">
        <f t="shared" si="32"/>
        <v>32982999.999999836</v>
      </c>
      <c r="AC23" s="8">
        <f t="shared" si="32"/>
        <v>32.982999999999834</v>
      </c>
      <c r="AD23" s="8">
        <f t="shared" si="32"/>
        <v>101.25780999999949</v>
      </c>
      <c r="AF23" s="8">
        <f t="shared" si="34"/>
        <v>1.534999999999942E-2</v>
      </c>
    </row>
    <row r="24" spans="1:32" x14ac:dyDescent="0.15">
      <c r="A24" s="27">
        <v>43363</v>
      </c>
      <c r="B24" s="7">
        <f>'[4]Production Summary'!$J87</f>
        <v>26500000</v>
      </c>
      <c r="C24" s="8">
        <f t="shared" si="16"/>
        <v>26.5</v>
      </c>
      <c r="D24" s="10">
        <f t="shared" si="17"/>
        <v>81.35499999999999</v>
      </c>
      <c r="E24" s="7">
        <f>'[4]Production Summary'!$E87</f>
        <v>15000000</v>
      </c>
      <c r="F24" s="8">
        <f t="shared" si="18"/>
        <v>15</v>
      </c>
      <c r="G24" s="10">
        <f t="shared" si="19"/>
        <v>46.05</v>
      </c>
      <c r="H24" s="7">
        <f>'[4]Production Summary'!$G87</f>
        <v>14060000</v>
      </c>
      <c r="I24" s="8">
        <f t="shared" si="20"/>
        <v>14.06</v>
      </c>
      <c r="J24" s="10">
        <f t="shared" si="21"/>
        <v>43.164200000000001</v>
      </c>
      <c r="K24" s="7">
        <f>'[4]Production Summary'!$T87</f>
        <v>2664885</v>
      </c>
      <c r="L24" s="8">
        <f t="shared" si="22"/>
        <v>2.6648849999999999</v>
      </c>
      <c r="M24" s="10">
        <f t="shared" si="23"/>
        <v>8.1811969499999986</v>
      </c>
      <c r="N24" s="21"/>
      <c r="O24" s="7">
        <f>'[4]Production Summary'!$I87</f>
        <v>9677999.9999999925</v>
      </c>
      <c r="P24" s="8">
        <f t="shared" si="24"/>
        <v>9.6779999999999919</v>
      </c>
      <c r="Q24" s="10">
        <f t="shared" si="25"/>
        <v>29.711459999999974</v>
      </c>
      <c r="R24" s="7">
        <f>'[4]Production Summary'!$C87</f>
        <v>10013000</v>
      </c>
      <c r="S24" s="8">
        <f t="shared" si="26"/>
        <v>10.013</v>
      </c>
      <c r="T24" s="10">
        <f t="shared" si="27"/>
        <v>30.739909999999998</v>
      </c>
      <c r="U24" s="7">
        <f>'[4]Production Summary'!$F87</f>
        <v>0</v>
      </c>
      <c r="V24" s="8">
        <f t="shared" si="28"/>
        <v>0</v>
      </c>
      <c r="W24" s="10">
        <f t="shared" si="29"/>
        <v>0</v>
      </c>
      <c r="X24" s="7">
        <f>'[4]Production Summary'!$AB87</f>
        <v>329000.00000000774</v>
      </c>
      <c r="Y24" s="8">
        <f t="shared" si="30"/>
        <v>0.32900000000000773</v>
      </c>
      <c r="Z24" s="10">
        <f t="shared" si="31"/>
        <v>1.0100300000000237</v>
      </c>
      <c r="AA24" s="15"/>
      <c r="AB24" s="7">
        <f t="shared" si="32"/>
        <v>36177999.999999993</v>
      </c>
      <c r="AC24" s="8">
        <f t="shared" si="32"/>
        <v>36.17799999999999</v>
      </c>
      <c r="AD24" s="8">
        <f>D24+Q24</f>
        <v>111.06645999999996</v>
      </c>
      <c r="AF24" s="8">
        <f t="shared" si="34"/>
        <v>1.8420000000000547E-2</v>
      </c>
    </row>
    <row r="25" spans="1:32" x14ac:dyDescent="0.15">
      <c r="A25" s="27">
        <v>43364</v>
      </c>
      <c r="B25" s="7">
        <f>'[4]Production Summary'!$J88</f>
        <v>23000000</v>
      </c>
      <c r="C25" s="8">
        <f t="shared" si="16"/>
        <v>23</v>
      </c>
      <c r="D25" s="10">
        <f t="shared" si="17"/>
        <v>70.61</v>
      </c>
      <c r="E25" s="7">
        <f>'[4]Production Summary'!$E88</f>
        <v>15000000</v>
      </c>
      <c r="F25" s="8">
        <f t="shared" si="18"/>
        <v>15</v>
      </c>
      <c r="G25" s="10">
        <f t="shared" si="19"/>
        <v>46.05</v>
      </c>
      <c r="H25" s="7">
        <f>'[4]Production Summary'!$G88</f>
        <v>10970000</v>
      </c>
      <c r="I25" s="8">
        <f t="shared" si="20"/>
        <v>10.97</v>
      </c>
      <c r="J25" s="10">
        <f t="shared" si="21"/>
        <v>33.677900000000001</v>
      </c>
      <c r="K25" s="7">
        <f>'[4]Production Summary'!$T88</f>
        <v>2414705</v>
      </c>
      <c r="L25" s="8">
        <f t="shared" si="22"/>
        <v>2.4147050000000001</v>
      </c>
      <c r="M25" s="10">
        <f t="shared" si="23"/>
        <v>7.4131443499999996</v>
      </c>
      <c r="N25" s="21"/>
      <c r="O25" s="7">
        <f>'[4]Production Summary'!$I88</f>
        <v>11255999.999999987</v>
      </c>
      <c r="P25" s="8">
        <f t="shared" si="24"/>
        <v>11.255999999999988</v>
      </c>
      <c r="Q25" s="10">
        <f t="shared" si="25"/>
        <v>34.555919999999958</v>
      </c>
      <c r="R25" s="7">
        <f>'[4]Production Summary'!$C88</f>
        <v>11598000</v>
      </c>
      <c r="S25" s="8">
        <f t="shared" si="26"/>
        <v>11.598000000000001</v>
      </c>
      <c r="T25" s="10">
        <f t="shared" si="27"/>
        <v>35.60586</v>
      </c>
      <c r="U25" s="7">
        <f>'[4]Production Summary'!$F88</f>
        <v>0</v>
      </c>
      <c r="V25" s="8">
        <f t="shared" si="28"/>
        <v>0</v>
      </c>
      <c r="W25" s="10">
        <f t="shared" si="29"/>
        <v>0</v>
      </c>
      <c r="X25" s="7">
        <f>'[4]Production Summary'!$AB88</f>
        <v>336000.00000001275</v>
      </c>
      <c r="Y25" s="8">
        <f t="shared" si="30"/>
        <v>0.33600000000001273</v>
      </c>
      <c r="Z25" s="10">
        <f t="shared" si="31"/>
        <v>1.0315200000000391</v>
      </c>
      <c r="AA25" s="15"/>
      <c r="AB25" s="7">
        <f t="shared" si="32"/>
        <v>34255999.999999985</v>
      </c>
      <c r="AC25" s="8">
        <f t="shared" si="32"/>
        <v>34.255999999999986</v>
      </c>
      <c r="AD25" s="8">
        <f t="shared" si="32"/>
        <v>105.16591999999996</v>
      </c>
      <c r="AF25" s="8">
        <f t="shared" si="34"/>
        <v>1.842000000000299E-2</v>
      </c>
    </row>
    <row r="26" spans="1:32" x14ac:dyDescent="0.15">
      <c r="A26" s="27">
        <v>43365</v>
      </c>
      <c r="B26" s="7">
        <f>'[4]Production Summary'!$J89</f>
        <v>24400000.000000089</v>
      </c>
      <c r="C26" s="8">
        <f t="shared" si="16"/>
        <v>24.400000000000091</v>
      </c>
      <c r="D26" s="10">
        <f t="shared" si="17"/>
        <v>74.908000000000271</v>
      </c>
      <c r="E26" s="7">
        <f>'[4]Production Summary'!$E89</f>
        <v>15000000</v>
      </c>
      <c r="F26" s="8">
        <f t="shared" si="18"/>
        <v>15</v>
      </c>
      <c r="G26" s="10">
        <f t="shared" si="19"/>
        <v>46.05</v>
      </c>
      <c r="H26" s="7">
        <f>'[4]Production Summary'!$G89</f>
        <v>10620000</v>
      </c>
      <c r="I26" s="8">
        <f t="shared" si="20"/>
        <v>10.62</v>
      </c>
      <c r="J26" s="10">
        <f t="shared" si="21"/>
        <v>32.603399999999993</v>
      </c>
      <c r="K26" s="7">
        <f>'[4]Production Summary'!$T89</f>
        <v>2429914</v>
      </c>
      <c r="L26" s="8">
        <f t="shared" si="22"/>
        <v>2.4299140000000001</v>
      </c>
      <c r="M26" s="10">
        <f t="shared" si="23"/>
        <v>7.4598359800000003</v>
      </c>
      <c r="N26" s="21"/>
      <c r="O26" s="7">
        <f>'[4]Production Summary'!$I89</f>
        <v>7808000.0000000037</v>
      </c>
      <c r="P26" s="8">
        <f t="shared" si="24"/>
        <v>7.8080000000000034</v>
      </c>
      <c r="Q26" s="10">
        <f t="shared" si="25"/>
        <v>23.97056000000001</v>
      </c>
      <c r="R26" s="7">
        <f>'[4]Production Summary'!$C89</f>
        <v>8227000</v>
      </c>
      <c r="S26" s="8">
        <f t="shared" si="26"/>
        <v>8.2270000000000003</v>
      </c>
      <c r="T26" s="10">
        <f t="shared" si="27"/>
        <v>25.256889999999999</v>
      </c>
      <c r="U26" s="7">
        <f>'[4]Production Summary'!$F89</f>
        <v>0</v>
      </c>
      <c r="V26" s="8">
        <f t="shared" si="28"/>
        <v>0</v>
      </c>
      <c r="W26" s="10">
        <f t="shared" si="29"/>
        <v>0</v>
      </c>
      <c r="X26" s="7">
        <f>'[4]Production Summary'!$AB89</f>
        <v>409999.99999999657</v>
      </c>
      <c r="Y26" s="8">
        <f t="shared" si="30"/>
        <v>0.40999999999999659</v>
      </c>
      <c r="Z26" s="10">
        <f t="shared" si="31"/>
        <v>1.2586999999999895</v>
      </c>
      <c r="AA26" s="15"/>
      <c r="AB26" s="7">
        <f t="shared" si="32"/>
        <v>32208000.000000093</v>
      </c>
      <c r="AC26" s="8">
        <f t="shared" si="32"/>
        <v>32.208000000000098</v>
      </c>
      <c r="AD26" s="8">
        <f t="shared" si="32"/>
        <v>98.878560000000277</v>
      </c>
      <c r="AF26" s="8">
        <f t="shared" si="34"/>
        <v>2.7629999999999377E-2</v>
      </c>
    </row>
    <row r="27" spans="1:32" x14ac:dyDescent="0.15">
      <c r="A27" s="27">
        <v>43366</v>
      </c>
      <c r="B27" s="7">
        <f>'[4]Production Summary'!$J90</f>
        <v>24099999.999999911</v>
      </c>
      <c r="C27" s="8">
        <f t="shared" si="16"/>
        <v>24.099999999999909</v>
      </c>
      <c r="D27" s="10">
        <f t="shared" si="17"/>
        <v>73.986999999999711</v>
      </c>
      <c r="E27" s="7">
        <f>'[4]Production Summary'!$E90</f>
        <v>16000000</v>
      </c>
      <c r="F27" s="8">
        <f t="shared" si="18"/>
        <v>16</v>
      </c>
      <c r="G27" s="10">
        <f t="shared" si="19"/>
        <v>49.12</v>
      </c>
      <c r="H27" s="7">
        <f>'[4]Production Summary'!$G90</f>
        <v>10790000</v>
      </c>
      <c r="I27" s="8">
        <f t="shared" si="20"/>
        <v>10.79</v>
      </c>
      <c r="J27" s="10">
        <f t="shared" si="21"/>
        <v>33.125299999999996</v>
      </c>
      <c r="K27" s="7">
        <f>'[4]Production Summary'!$T90</f>
        <v>2489971</v>
      </c>
      <c r="L27" s="8">
        <f t="shared" si="22"/>
        <v>2.4899710000000002</v>
      </c>
      <c r="M27" s="10">
        <f t="shared" si="23"/>
        <v>7.6442109700000005</v>
      </c>
      <c r="N27" s="21"/>
      <c r="O27" s="7">
        <f>'[4]Production Summary'!$I90</f>
        <v>7215000.0000000102</v>
      </c>
      <c r="P27" s="8">
        <f t="shared" si="24"/>
        <v>7.2150000000000105</v>
      </c>
      <c r="Q27" s="10">
        <f t="shared" si="25"/>
        <v>22.150050000000032</v>
      </c>
      <c r="R27" s="7">
        <f>'[4]Production Summary'!$C90</f>
        <v>7314000</v>
      </c>
      <c r="S27" s="8">
        <f t="shared" si="26"/>
        <v>7.3140000000000001</v>
      </c>
      <c r="T27" s="10">
        <f t="shared" si="27"/>
        <v>22.453979999999998</v>
      </c>
      <c r="U27" s="7">
        <f>'[4]Production Summary'!$F90</f>
        <v>0</v>
      </c>
      <c r="V27" s="8">
        <f t="shared" si="28"/>
        <v>0</v>
      </c>
      <c r="W27" s="10">
        <f t="shared" si="29"/>
        <v>0</v>
      </c>
      <c r="X27" s="7">
        <f>'[4]Production Summary'!$AB90</f>
        <v>98999.999999989537</v>
      </c>
      <c r="Y27" s="8">
        <f t="shared" si="30"/>
        <v>9.8999999999989541E-2</v>
      </c>
      <c r="Z27" s="10">
        <f t="shared" si="31"/>
        <v>0.30392999999996789</v>
      </c>
      <c r="AA27" s="15"/>
      <c r="AB27" s="7">
        <f t="shared" si="32"/>
        <v>31314999.999999922</v>
      </c>
      <c r="AC27" s="8">
        <f t="shared" si="32"/>
        <v>31.31499999999992</v>
      </c>
      <c r="AD27" s="8">
        <f t="shared" si="32"/>
        <v>96.137049999999746</v>
      </c>
      <c r="AF27" s="8">
        <f t="shared" si="34"/>
        <v>-2.2759572004815709E-15</v>
      </c>
    </row>
    <row r="28" spans="1:32" x14ac:dyDescent="0.15">
      <c r="A28" s="27">
        <v>43367</v>
      </c>
      <c r="B28" s="7">
        <f>'[4]Production Summary'!$J91</f>
        <v>24300000.000000183</v>
      </c>
      <c r="C28" s="8">
        <f t="shared" si="16"/>
        <v>24.300000000000182</v>
      </c>
      <c r="D28" s="10">
        <f t="shared" si="17"/>
        <v>74.601000000000553</v>
      </c>
      <c r="E28" s="7">
        <f>'[4]Production Summary'!$E91</f>
        <v>16000000</v>
      </c>
      <c r="F28" s="8">
        <f t="shared" si="18"/>
        <v>16</v>
      </c>
      <c r="G28" s="10">
        <f t="shared" si="19"/>
        <v>49.12</v>
      </c>
      <c r="H28" s="7">
        <f>'[4]Production Summary'!$G91</f>
        <v>10380000</v>
      </c>
      <c r="I28" s="8">
        <f t="shared" si="20"/>
        <v>10.38</v>
      </c>
      <c r="J28" s="10">
        <f t="shared" si="21"/>
        <v>31.866600000000002</v>
      </c>
      <c r="K28" s="7">
        <f>'[4]Production Summary'!$T91</f>
        <v>2511970</v>
      </c>
      <c r="L28" s="8">
        <f t="shared" si="22"/>
        <v>2.5119699999999998</v>
      </c>
      <c r="M28" s="10">
        <f t="shared" si="23"/>
        <v>7.7117478999999989</v>
      </c>
      <c r="N28" s="21"/>
      <c r="O28" s="7">
        <f>'[4]Production Summary'!$I91</f>
        <v>8100000.0000000037</v>
      </c>
      <c r="P28" s="8">
        <f t="shared" si="24"/>
        <v>8.1000000000000032</v>
      </c>
      <c r="Q28" s="10">
        <f t="shared" si="25"/>
        <v>24.867000000000008</v>
      </c>
      <c r="R28" s="7">
        <f>'[4]Production Summary'!$C91</f>
        <v>8379000</v>
      </c>
      <c r="S28" s="8">
        <f t="shared" si="26"/>
        <v>8.3789999999999996</v>
      </c>
      <c r="T28" s="10">
        <f t="shared" si="27"/>
        <v>25.723529999999997</v>
      </c>
      <c r="U28" s="7">
        <f>'[4]Production Summary'!$F91</f>
        <v>0</v>
      </c>
      <c r="V28" s="8">
        <f t="shared" si="28"/>
        <v>0</v>
      </c>
      <c r="W28" s="10">
        <f t="shared" si="29"/>
        <v>0</v>
      </c>
      <c r="X28" s="7">
        <f>'[4]Production Summary'!$AB91</f>
        <v>272999.99999999616</v>
      </c>
      <c r="Y28" s="8">
        <f t="shared" si="30"/>
        <v>0.27299999999999613</v>
      </c>
      <c r="Z28" s="10">
        <f t="shared" si="31"/>
        <v>0.83810999999998814</v>
      </c>
      <c r="AA28" s="15"/>
      <c r="AB28" s="7">
        <f t="shared" si="32"/>
        <v>32400000.000000186</v>
      </c>
      <c r="AC28" s="8">
        <f t="shared" si="32"/>
        <v>32.400000000000183</v>
      </c>
      <c r="AD28" s="8">
        <f t="shared" si="32"/>
        <v>99.468000000000558</v>
      </c>
      <c r="AF28" s="8">
        <f t="shared" si="34"/>
        <v>1.8420000000000547E-2</v>
      </c>
    </row>
    <row r="29" spans="1:32" x14ac:dyDescent="0.15">
      <c r="A29" s="27">
        <v>43368</v>
      </c>
      <c r="B29" s="7">
        <f>'[4]Production Summary'!$J92</f>
        <v>27199999.999999817</v>
      </c>
      <c r="C29" s="8">
        <f t="shared" si="16"/>
        <v>27.199999999999818</v>
      </c>
      <c r="D29" s="10">
        <f t="shared" si="17"/>
        <v>83.503999999999436</v>
      </c>
      <c r="E29" s="7">
        <f>'[4]Production Summary'!$E92</f>
        <v>19000000</v>
      </c>
      <c r="F29" s="8">
        <f t="shared" si="18"/>
        <v>19</v>
      </c>
      <c r="G29" s="10">
        <f t="shared" si="19"/>
        <v>58.33</v>
      </c>
      <c r="H29" s="7">
        <f>'[4]Production Summary'!$G92</f>
        <v>10850000</v>
      </c>
      <c r="I29" s="8">
        <f t="shared" si="20"/>
        <v>10.85</v>
      </c>
      <c r="J29" s="10">
        <f t="shared" si="21"/>
        <v>33.3095</v>
      </c>
      <c r="K29" s="7">
        <f>'[4]Production Summary'!$T92</f>
        <v>2696218</v>
      </c>
      <c r="L29" s="8">
        <f t="shared" si="22"/>
        <v>2.696218</v>
      </c>
      <c r="M29" s="10">
        <f t="shared" si="23"/>
        <v>8.2773892599999996</v>
      </c>
      <c r="N29" s="21"/>
      <c r="O29" s="7">
        <f>'[4]Production Summary'!$I92</f>
        <v>8886999.9999999814</v>
      </c>
      <c r="P29" s="8">
        <f t="shared" si="24"/>
        <v>8.8869999999999809</v>
      </c>
      <c r="Q29" s="10">
        <f t="shared" si="25"/>
        <v>27.283089999999941</v>
      </c>
      <c r="R29" s="7">
        <f>'[4]Production Summary'!$C92</f>
        <v>9158000</v>
      </c>
      <c r="S29" s="8">
        <f t="shared" si="26"/>
        <v>9.1579999999999995</v>
      </c>
      <c r="T29" s="10">
        <f t="shared" si="27"/>
        <v>28.115059999999996</v>
      </c>
      <c r="U29" s="7">
        <f>'[4]Production Summary'!$F92</f>
        <v>0</v>
      </c>
      <c r="V29" s="8">
        <f t="shared" si="28"/>
        <v>0</v>
      </c>
      <c r="W29" s="10">
        <f t="shared" si="29"/>
        <v>0</v>
      </c>
      <c r="X29" s="7">
        <f>'[4]Production Summary'!$AB92</f>
        <v>266000.00000001956</v>
      </c>
      <c r="Y29" s="8">
        <f t="shared" si="30"/>
        <v>0.26600000000001955</v>
      </c>
      <c r="Z29" s="10">
        <f t="shared" si="31"/>
        <v>0.81662000000005996</v>
      </c>
      <c r="AA29" s="15"/>
      <c r="AB29" s="7">
        <f t="shared" si="32"/>
        <v>36086999.999999799</v>
      </c>
      <c r="AC29" s="8">
        <f t="shared" si="32"/>
        <v>36.086999999999797</v>
      </c>
      <c r="AD29" s="8">
        <f t="shared" si="32"/>
        <v>110.78708999999938</v>
      </c>
      <c r="AF29" s="8">
        <f t="shared" si="34"/>
        <v>1.5349999999995201E-2</v>
      </c>
    </row>
    <row r="30" spans="1:32" x14ac:dyDescent="0.15">
      <c r="A30" s="27">
        <v>43369</v>
      </c>
      <c r="B30" s="7">
        <f>'[4]Production Summary'!$J93</f>
        <v>26599999.999999911</v>
      </c>
      <c r="C30" s="8">
        <f t="shared" si="16"/>
        <v>26.599999999999909</v>
      </c>
      <c r="D30" s="10">
        <f t="shared" si="17"/>
        <v>81.661999999999722</v>
      </c>
      <c r="E30" s="7">
        <f>'[4]Production Summary'!$E93</f>
        <v>20000000</v>
      </c>
      <c r="F30" s="8">
        <f t="shared" si="18"/>
        <v>20</v>
      </c>
      <c r="G30" s="10">
        <f t="shared" si="19"/>
        <v>61.4</v>
      </c>
      <c r="H30" s="7">
        <f>'[4]Production Summary'!$G93</f>
        <v>9470000</v>
      </c>
      <c r="I30" s="8">
        <f t="shared" si="20"/>
        <v>9.4700000000000006</v>
      </c>
      <c r="J30" s="10">
        <f t="shared" si="21"/>
        <v>29.072900000000001</v>
      </c>
      <c r="K30" s="7">
        <f>'[4]Production Summary'!$T93</f>
        <v>2817983</v>
      </c>
      <c r="L30" s="8">
        <f t="shared" si="22"/>
        <v>2.8179829999999999</v>
      </c>
      <c r="M30" s="10">
        <f t="shared" si="23"/>
        <v>8.6512078099999989</v>
      </c>
      <c r="N30" s="21"/>
      <c r="O30" s="7">
        <f>'[4]Production Summary'!$I93</f>
        <v>8877000.0000000075</v>
      </c>
      <c r="P30" s="8">
        <f t="shared" si="24"/>
        <v>8.8770000000000078</v>
      </c>
      <c r="Q30" s="10">
        <f t="shared" si="25"/>
        <v>27.252390000000023</v>
      </c>
      <c r="R30" s="7">
        <f>'[4]Production Summary'!$C93</f>
        <v>9189000</v>
      </c>
      <c r="S30" s="8">
        <f t="shared" si="26"/>
        <v>9.1890000000000001</v>
      </c>
      <c r="T30" s="10">
        <f t="shared" si="27"/>
        <v>28.210229999999999</v>
      </c>
      <c r="U30" s="7">
        <f>'[4]Production Summary'!$F93</f>
        <v>0</v>
      </c>
      <c r="V30" s="8">
        <f t="shared" si="28"/>
        <v>0</v>
      </c>
      <c r="W30" s="10">
        <f t="shared" si="29"/>
        <v>0</v>
      </c>
      <c r="X30" s="7">
        <f>'[4]Production Summary'!$AB93</f>
        <v>307999.99999999272</v>
      </c>
      <c r="Y30" s="8">
        <f t="shared" si="30"/>
        <v>0.30799999999999272</v>
      </c>
      <c r="Z30" s="10">
        <f t="shared" si="31"/>
        <v>0.94555999999997764</v>
      </c>
      <c r="AA30" s="15"/>
      <c r="AB30" s="7">
        <f t="shared" si="32"/>
        <v>35476999.999999918</v>
      </c>
      <c r="AC30" s="8">
        <f t="shared" si="32"/>
        <v>35.476999999999919</v>
      </c>
      <c r="AD30" s="8">
        <f>D30+Q30</f>
        <v>108.91438999999974</v>
      </c>
      <c r="AF30" s="8">
        <f t="shared" si="34"/>
        <v>1.2279999999998403E-2</v>
      </c>
    </row>
    <row r="31" spans="1:32" x14ac:dyDescent="0.15">
      <c r="A31" s="27">
        <v>43370</v>
      </c>
      <c r="B31" s="7">
        <f>'[4]Production Summary'!$J94</f>
        <v>25700000.000000272</v>
      </c>
      <c r="C31" s="8">
        <f t="shared" si="16"/>
        <v>25.700000000000273</v>
      </c>
      <c r="D31" s="10">
        <f t="shared" si="17"/>
        <v>78.899000000000839</v>
      </c>
      <c r="E31" s="7">
        <f>'[4]Production Summary'!$E94</f>
        <v>20000000</v>
      </c>
      <c r="F31" s="8">
        <f t="shared" si="18"/>
        <v>20</v>
      </c>
      <c r="G31" s="10">
        <f t="shared" si="19"/>
        <v>61.4</v>
      </c>
      <c r="H31" s="7">
        <f>'[4]Production Summary'!$G94</f>
        <v>8220000</v>
      </c>
      <c r="I31" s="8">
        <f t="shared" si="20"/>
        <v>8.2200000000000006</v>
      </c>
      <c r="J31" s="10">
        <f t="shared" si="21"/>
        <v>25.235400000000002</v>
      </c>
      <c r="K31" s="7">
        <f>'[4]Production Summary'!$T94</f>
        <v>2506060</v>
      </c>
      <c r="L31" s="8">
        <f t="shared" si="22"/>
        <v>2.5060600000000002</v>
      </c>
      <c r="M31" s="10">
        <f t="shared" si="23"/>
        <v>7.6936042000000002</v>
      </c>
      <c r="N31" s="21"/>
      <c r="O31" s="7">
        <f>'[4]Production Summary'!$I94</f>
        <v>7029000.000000013</v>
      </c>
      <c r="P31" s="8">
        <f t="shared" si="24"/>
        <v>7.0290000000000132</v>
      </c>
      <c r="Q31" s="10">
        <f t="shared" si="25"/>
        <v>21.579030000000039</v>
      </c>
      <c r="R31" s="7">
        <f>'[4]Production Summary'!$C94</f>
        <v>7186000</v>
      </c>
      <c r="S31" s="8">
        <f t="shared" si="26"/>
        <v>7.1859999999999999</v>
      </c>
      <c r="T31" s="10">
        <f t="shared" si="27"/>
        <v>22.061019999999999</v>
      </c>
      <c r="U31" s="7">
        <f>'[4]Production Summary'!$F94</f>
        <v>0</v>
      </c>
      <c r="V31" s="8">
        <f t="shared" si="28"/>
        <v>0</v>
      </c>
      <c r="W31" s="10">
        <f t="shared" si="29"/>
        <v>0</v>
      </c>
      <c r="X31" s="7">
        <f>'[4]Production Summary'!$AB94</f>
        <v>151999.99999998682</v>
      </c>
      <c r="Y31" s="8">
        <f t="shared" si="30"/>
        <v>0.15199999999998681</v>
      </c>
      <c r="Z31" s="10">
        <f t="shared" si="31"/>
        <v>0.46663999999995948</v>
      </c>
      <c r="AA31" s="15"/>
      <c r="AB31" s="7">
        <f t="shared" si="32"/>
        <v>32729000.000000283</v>
      </c>
      <c r="AC31" s="8">
        <f t="shared" si="32"/>
        <v>32.729000000000283</v>
      </c>
      <c r="AD31" s="8">
        <f t="shared" si="32"/>
        <v>100.47803000000087</v>
      </c>
      <c r="AF31" s="8">
        <f>T31-Q31-Z31</f>
        <v>1.5350000000001141E-2</v>
      </c>
    </row>
    <row r="32" spans="1:32" x14ac:dyDescent="0.15">
      <c r="A32" s="27">
        <v>43371</v>
      </c>
      <c r="B32" s="7">
        <f>'[4]Production Summary'!$J95</f>
        <v>22699999.999999817</v>
      </c>
      <c r="C32" s="8">
        <f t="shared" si="16"/>
        <v>22.699999999999818</v>
      </c>
      <c r="D32" s="10">
        <f t="shared" si="17"/>
        <v>69.688999999999439</v>
      </c>
      <c r="E32" s="7">
        <f>'[4]Production Summary'!$E95</f>
        <v>18000000</v>
      </c>
      <c r="F32" s="8">
        <f t="shared" si="18"/>
        <v>18</v>
      </c>
      <c r="G32" s="10">
        <f t="shared" si="19"/>
        <v>55.26</v>
      </c>
      <c r="H32" s="7">
        <f>'[4]Production Summary'!$G95</f>
        <v>7490000</v>
      </c>
      <c r="I32" s="8">
        <f t="shared" si="20"/>
        <v>7.49</v>
      </c>
      <c r="J32" s="10">
        <f t="shared" si="21"/>
        <v>22.994299999999999</v>
      </c>
      <c r="K32" s="7">
        <f>'[4]Production Summary'!$T95</f>
        <v>2306163</v>
      </c>
      <c r="L32" s="8">
        <f t="shared" si="22"/>
        <v>2.3061630000000002</v>
      </c>
      <c r="M32" s="10">
        <f t="shared" si="23"/>
        <v>7.0799204100000006</v>
      </c>
      <c r="N32" s="21"/>
      <c r="O32" s="7">
        <f>'[4]Production Summary'!$I95</f>
        <v>5886000.0000000047</v>
      </c>
      <c r="P32" s="8">
        <f t="shared" si="24"/>
        <v>5.8860000000000046</v>
      </c>
      <c r="Q32" s="10">
        <f t="shared" si="25"/>
        <v>18.070020000000014</v>
      </c>
      <c r="R32" s="7">
        <f>'[4]Production Summary'!$C95</f>
        <v>6139000</v>
      </c>
      <c r="S32" s="8">
        <f t="shared" si="26"/>
        <v>6.1390000000000002</v>
      </c>
      <c r="T32" s="10">
        <f t="shared" si="27"/>
        <v>18.846730000000001</v>
      </c>
      <c r="U32" s="7">
        <f>'[4]Production Summary'!$F95</f>
        <v>0</v>
      </c>
      <c r="V32" s="8">
        <f t="shared" si="28"/>
        <v>0</v>
      </c>
      <c r="W32" s="10">
        <f t="shared" si="29"/>
        <v>0</v>
      </c>
      <c r="X32" s="7">
        <f>'[4]Production Summary'!$AB95</f>
        <v>248999.99999999523</v>
      </c>
      <c r="Y32" s="8">
        <f t="shared" si="30"/>
        <v>0.24899999999999523</v>
      </c>
      <c r="Z32" s="10">
        <f t="shared" si="31"/>
        <v>0.76442999999998529</v>
      </c>
      <c r="AA32" s="15"/>
      <c r="AB32" s="7">
        <f t="shared" si="32"/>
        <v>28585999.999999821</v>
      </c>
      <c r="AC32" s="8">
        <f t="shared" si="32"/>
        <v>28.585999999999821</v>
      </c>
      <c r="AD32" s="8">
        <f t="shared" si="32"/>
        <v>87.759019999999452</v>
      </c>
      <c r="AF32" s="8">
        <f t="shared" si="34"/>
        <v>1.2280000000001845E-2</v>
      </c>
    </row>
    <row r="33" spans="1:32" x14ac:dyDescent="0.15">
      <c r="A33" s="27">
        <v>43372</v>
      </c>
      <c r="B33" s="7">
        <f>'[4]Production Summary'!$J96</f>
        <v>24800000.000000183</v>
      </c>
      <c r="C33" s="8">
        <f t="shared" si="16"/>
        <v>24.800000000000182</v>
      </c>
      <c r="D33" s="10">
        <f t="shared" si="17"/>
        <v>76.13600000000055</v>
      </c>
      <c r="E33" s="7">
        <f>'[4]Production Summary'!$E96</f>
        <v>19000000</v>
      </c>
      <c r="F33" s="8">
        <f t="shared" si="18"/>
        <v>19</v>
      </c>
      <c r="G33" s="10">
        <f t="shared" si="19"/>
        <v>58.33</v>
      </c>
      <c r="H33" s="7">
        <f>'[4]Production Summary'!$G96</f>
        <v>8000000</v>
      </c>
      <c r="I33" s="8">
        <f t="shared" si="20"/>
        <v>8</v>
      </c>
      <c r="J33" s="10">
        <f t="shared" si="21"/>
        <v>24.56</v>
      </c>
      <c r="K33" s="7">
        <f>'[4]Production Summary'!$T96</f>
        <v>2443616</v>
      </c>
      <c r="L33" s="8">
        <f t="shared" si="22"/>
        <v>2.443616</v>
      </c>
      <c r="M33" s="10">
        <f t="shared" si="23"/>
        <v>7.5019011199999994</v>
      </c>
      <c r="N33" s="21"/>
      <c r="O33" s="7">
        <f>'[4]Production Summary'!$I96</f>
        <v>7850999.9999999832</v>
      </c>
      <c r="P33" s="8">
        <f t="shared" si="24"/>
        <v>7.8509999999999831</v>
      </c>
      <c r="Q33" s="10">
        <f t="shared" si="25"/>
        <v>24.102569999999947</v>
      </c>
      <c r="R33" s="7">
        <f>'[4]Production Summary'!$C96</f>
        <v>8048000</v>
      </c>
      <c r="S33" s="8">
        <f t="shared" si="26"/>
        <v>8.048</v>
      </c>
      <c r="T33" s="10">
        <f t="shared" si="27"/>
        <v>24.707359999999998</v>
      </c>
      <c r="U33" s="7">
        <f>'[4]Production Summary'!$F96</f>
        <v>0</v>
      </c>
      <c r="V33" s="8">
        <f t="shared" si="28"/>
        <v>0</v>
      </c>
      <c r="W33" s="10">
        <f t="shared" si="29"/>
        <v>0</v>
      </c>
      <c r="X33" s="7">
        <f>'[4]Production Summary'!$AB96</f>
        <v>194000.00000001682</v>
      </c>
      <c r="Y33" s="8">
        <f t="shared" si="30"/>
        <v>0.19400000000001683</v>
      </c>
      <c r="Z33" s="10">
        <f t="shared" si="31"/>
        <v>0.59558000000005162</v>
      </c>
      <c r="AA33" s="15"/>
      <c r="AB33" s="7">
        <f t="shared" si="32"/>
        <v>32651000.000000164</v>
      </c>
      <c r="AC33" s="8">
        <f t="shared" si="32"/>
        <v>32.651000000000167</v>
      </c>
      <c r="AD33" s="8">
        <f t="shared" si="32"/>
        <v>100.23857000000049</v>
      </c>
      <c r="AF33" s="8">
        <f t="shared" si="34"/>
        <v>9.2099999999993853E-3</v>
      </c>
    </row>
    <row r="34" spans="1:32" ht="14" thickBot="1" x14ac:dyDescent="0.2">
      <c r="A34" s="27">
        <v>43373</v>
      </c>
      <c r="B34" s="7">
        <f>'[4]Production Summary'!$J97</f>
        <v>25199999.999999817</v>
      </c>
      <c r="C34" s="8">
        <f t="shared" si="16"/>
        <v>25.199999999999818</v>
      </c>
      <c r="D34" s="10">
        <f t="shared" si="17"/>
        <v>77.363999999999436</v>
      </c>
      <c r="E34" s="7">
        <f>'[4]Production Summary'!$E97</f>
        <v>19000000</v>
      </c>
      <c r="F34" s="8">
        <f t="shared" si="18"/>
        <v>19</v>
      </c>
      <c r="G34" s="10">
        <f t="shared" si="19"/>
        <v>58.33</v>
      </c>
      <c r="H34" s="7">
        <f>'[4]Production Summary'!$G97</f>
        <v>8120000</v>
      </c>
      <c r="I34" s="8">
        <f t="shared" si="20"/>
        <v>8.1199999999999992</v>
      </c>
      <c r="J34" s="10">
        <f t="shared" si="21"/>
        <v>24.928399999999996</v>
      </c>
      <c r="K34" s="7">
        <f>'[4]Production Summary'!$T97</f>
        <v>2491955</v>
      </c>
      <c r="L34" s="8">
        <f t="shared" si="22"/>
        <v>2.4919549999999999</v>
      </c>
      <c r="M34" s="10">
        <f t="shared" si="23"/>
        <v>7.6503018499999991</v>
      </c>
      <c r="N34" s="21"/>
      <c r="O34" s="7">
        <f>'[4]Production Summary'!$I97</f>
        <v>7728999.9999999953</v>
      </c>
      <c r="P34" s="8">
        <f t="shared" si="24"/>
        <v>7.7289999999999957</v>
      </c>
      <c r="Q34" s="10">
        <f t="shared" si="25"/>
        <v>23.728029999999986</v>
      </c>
      <c r="R34" s="7">
        <f>'[4]Production Summary'!$C97</f>
        <v>7991000</v>
      </c>
      <c r="S34" s="8">
        <f t="shared" si="26"/>
        <v>7.9909999999999997</v>
      </c>
      <c r="T34" s="10">
        <f t="shared" si="27"/>
        <v>24.532369999999997</v>
      </c>
      <c r="U34" s="7">
        <f>'[4]Production Summary'!$F97</f>
        <v>0</v>
      </c>
      <c r="V34" s="8">
        <f t="shared" si="28"/>
        <v>0</v>
      </c>
      <c r="W34" s="10">
        <f t="shared" si="29"/>
        <v>0</v>
      </c>
      <c r="X34" s="7">
        <f>'[4]Production Summary'!$AB97</f>
        <v>257000.00000000501</v>
      </c>
      <c r="Y34" s="8">
        <f t="shared" si="30"/>
        <v>0.257000000000005</v>
      </c>
      <c r="Z34" s="10">
        <f t="shared" si="31"/>
        <v>0.78899000000001529</v>
      </c>
      <c r="AA34" s="15"/>
      <c r="AB34" s="7">
        <f t="shared" si="32"/>
        <v>32928999.999999814</v>
      </c>
      <c r="AC34" s="8">
        <f t="shared" si="32"/>
        <v>32.928999999999817</v>
      </c>
      <c r="AD34" s="8">
        <f t="shared" si="32"/>
        <v>101.09202999999943</v>
      </c>
      <c r="AF34" s="8">
        <f t="shared" si="34"/>
        <v>1.5349999999995201E-2</v>
      </c>
    </row>
    <row r="35" spans="1:32" ht="14" thickBot="1" x14ac:dyDescent="0.2">
      <c r="A35" s="3"/>
      <c r="B35" s="37">
        <f t="shared" ref="B35:I35" si="35">SUM(B5:B34)</f>
        <v>760800000</v>
      </c>
      <c r="C35" s="38">
        <f t="shared" si="35"/>
        <v>760.80000000000018</v>
      </c>
      <c r="D35" s="38">
        <f t="shared" si="35"/>
        <v>2335.6560000000009</v>
      </c>
      <c r="E35" s="37">
        <f t="shared" si="35"/>
        <v>460000000</v>
      </c>
      <c r="F35" s="38">
        <f t="shared" si="35"/>
        <v>460</v>
      </c>
      <c r="G35" s="38">
        <f t="shared" si="35"/>
        <v>1412.1999999999996</v>
      </c>
      <c r="H35" s="37">
        <f t="shared" si="35"/>
        <v>378120000</v>
      </c>
      <c r="I35" s="38">
        <f t="shared" si="35"/>
        <v>378.12000000000012</v>
      </c>
      <c r="J35" s="38">
        <f t="shared" ref="J35" si="36">I35*3.07</f>
        <v>1160.8284000000003</v>
      </c>
      <c r="K35" s="37">
        <f>SUM(K5:K34)</f>
        <v>77766298</v>
      </c>
      <c r="L35" s="38">
        <f>SUM(L5:L34)</f>
        <v>77.766297999999992</v>
      </c>
      <c r="M35" s="38">
        <f t="shared" ref="M35" si="37">L35*3.07</f>
        <v>238.74253485999995</v>
      </c>
      <c r="N35" s="14"/>
      <c r="O35" s="37">
        <f>SUM(O5:O34)</f>
        <v>265648999.99999997</v>
      </c>
      <c r="P35" s="38">
        <f>SUM(P5:P34)</f>
        <v>265.64899999999994</v>
      </c>
      <c r="Q35" s="38">
        <f t="shared" ref="Q35" si="38">P35*3.07</f>
        <v>815.54242999999974</v>
      </c>
      <c r="R35" s="37"/>
      <c r="S35" s="38">
        <f>SUM(S5:S34)</f>
        <v>274.14499999999998</v>
      </c>
      <c r="T35" s="38">
        <f t="shared" ref="T35" si="39">S35*3.07</f>
        <v>841.62514999999985</v>
      </c>
      <c r="U35" s="37">
        <f>SUM(U5:U34)</f>
        <v>0</v>
      </c>
      <c r="V35" s="38">
        <f>SUM(V5:V34)</f>
        <v>0</v>
      </c>
      <c r="W35" s="38">
        <f t="shared" ref="W35" si="40">V35*3.07</f>
        <v>0</v>
      </c>
      <c r="X35" s="37"/>
      <c r="Y35" s="38">
        <f>SUM(Y5:Y34)</f>
        <v>8.3460000000000036</v>
      </c>
      <c r="Z35" s="38">
        <f t="shared" ref="Z35" si="41">Y35*3.07</f>
        <v>25.622220000000009</v>
      </c>
      <c r="AA35" s="14"/>
      <c r="AB35" s="37">
        <f>B35+O35</f>
        <v>1026449000</v>
      </c>
      <c r="AC35" s="38">
        <f t="shared" si="32"/>
        <v>1026.4490000000001</v>
      </c>
      <c r="AD35" s="38">
        <f t="shared" si="32"/>
        <v>3151.1984300000004</v>
      </c>
      <c r="AF35" s="8">
        <f t="shared" si="34"/>
        <v>0.46050000000009916</v>
      </c>
    </row>
    <row r="36" spans="1:32" x14ac:dyDescent="0.15">
      <c r="C36" s="18"/>
      <c r="E36" s="3"/>
      <c r="F36" s="3"/>
      <c r="G36" s="3"/>
      <c r="H36" s="3"/>
      <c r="I36" s="3"/>
      <c r="J36" s="3"/>
      <c r="K36" s="14"/>
      <c r="L36" s="3"/>
      <c r="M36" s="3"/>
      <c r="N36" s="3"/>
      <c r="O36" s="3"/>
      <c r="P36" s="3"/>
      <c r="Q36" s="3"/>
      <c r="R36" s="3"/>
      <c r="S36" s="3"/>
      <c r="T36" s="3"/>
      <c r="U36" s="14"/>
      <c r="AB36" s="29"/>
      <c r="AC36" s="29"/>
      <c r="AD36" s="23"/>
      <c r="AF36" s="29"/>
    </row>
    <row r="37" spans="1:32" x14ac:dyDescent="0.15">
      <c r="Q37" s="18"/>
    </row>
    <row r="38" spans="1:32" x14ac:dyDescent="0.15">
      <c r="Q38" s="18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scale="37" orientation="landscape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AF37"/>
  <sheetViews>
    <sheetView workbookViewId="0">
      <pane xSplit="1" ySplit="4" topLeftCell="J5" activePane="bottomRight" state="frozen"/>
      <selection pane="topRight" activeCell="B1" sqref="B1"/>
      <selection pane="bottomLeft" activeCell="A5" sqref="A5"/>
      <selection pane="bottomRight" activeCell="J16" sqref="J16"/>
    </sheetView>
  </sheetViews>
  <sheetFormatPr baseColWidth="10" defaultColWidth="8.83203125" defaultRowHeight="13" x14ac:dyDescent="0.15"/>
  <cols>
    <col min="2" max="2" width="11" customWidth="1"/>
    <col min="5" max="5" width="11.33203125" customWidth="1"/>
    <col min="8" max="8" width="14.33203125" customWidth="1"/>
    <col min="11" max="11" width="15.5" customWidth="1"/>
    <col min="12" max="12" width="10.6640625" customWidth="1"/>
    <col min="13" max="13" width="12.1640625" customWidth="1"/>
    <col min="15" max="15" width="11" customWidth="1"/>
    <col min="18" max="18" width="10.6640625" customWidth="1"/>
    <col min="21" max="21" width="10.1640625" bestFit="1" customWidth="1"/>
    <col min="22" max="22" width="10.6640625" customWidth="1"/>
    <col min="28" max="28" width="13.5" customWidth="1"/>
  </cols>
  <sheetData>
    <row r="1" spans="1:32" x14ac:dyDescent="0.15">
      <c r="A1" s="41"/>
      <c r="B1" s="52" t="s">
        <v>16</v>
      </c>
      <c r="C1" s="40"/>
      <c r="D1" s="40"/>
      <c r="E1" s="25"/>
      <c r="F1" s="25"/>
      <c r="G1" s="3"/>
      <c r="H1" s="3"/>
      <c r="I1" s="3"/>
      <c r="J1" s="3"/>
      <c r="K1" s="14"/>
      <c r="L1" s="3"/>
      <c r="M1" s="3"/>
      <c r="N1" s="3"/>
      <c r="O1" s="3"/>
      <c r="P1" s="3"/>
      <c r="Q1" s="3"/>
      <c r="R1" s="3"/>
      <c r="S1" s="3"/>
      <c r="T1" s="3"/>
      <c r="U1" s="14"/>
      <c r="V1" s="3"/>
      <c r="W1" s="3"/>
      <c r="X1" s="3"/>
    </row>
    <row r="2" spans="1:32" ht="14" thickBot="1" x14ac:dyDescent="0.2">
      <c r="A2" s="3"/>
      <c r="B2" s="3"/>
      <c r="C2" s="24"/>
      <c r="D2" s="3"/>
      <c r="E2" s="3"/>
      <c r="F2" s="3"/>
      <c r="G2" s="3"/>
      <c r="H2" s="3"/>
      <c r="I2" s="3"/>
      <c r="J2" s="3"/>
      <c r="K2" s="14"/>
      <c r="L2" s="3"/>
      <c r="M2" s="3"/>
      <c r="N2" s="3"/>
      <c r="O2" s="3"/>
      <c r="P2" s="3"/>
      <c r="Q2" s="3"/>
      <c r="R2" s="3"/>
      <c r="S2" s="3"/>
      <c r="T2" s="3"/>
      <c r="U2" s="14"/>
      <c r="V2" s="3"/>
      <c r="W2" s="3"/>
      <c r="X2" s="3"/>
    </row>
    <row r="3" spans="1:32" ht="60.75" customHeight="1" thickBot="1" x14ac:dyDescent="0.2">
      <c r="A3" s="3"/>
      <c r="B3" s="59" t="s">
        <v>10</v>
      </c>
      <c r="C3" s="60"/>
      <c r="D3" s="61"/>
      <c r="E3" s="59" t="s">
        <v>11</v>
      </c>
      <c r="F3" s="60"/>
      <c r="G3" s="61"/>
      <c r="H3" s="59" t="s">
        <v>12</v>
      </c>
      <c r="I3" s="60"/>
      <c r="J3" s="61"/>
      <c r="K3" s="59" t="s">
        <v>13</v>
      </c>
      <c r="L3" s="60"/>
      <c r="M3" s="61"/>
      <c r="N3" s="19"/>
      <c r="O3" s="59" t="s">
        <v>4</v>
      </c>
      <c r="P3" s="60"/>
      <c r="Q3" s="61"/>
      <c r="R3" s="59" t="s">
        <v>3</v>
      </c>
      <c r="S3" s="60"/>
      <c r="T3" s="61"/>
      <c r="U3" s="59" t="s">
        <v>6</v>
      </c>
      <c r="V3" s="60"/>
      <c r="W3" s="61"/>
      <c r="X3" s="59" t="s">
        <v>7</v>
      </c>
      <c r="Y3" s="60"/>
      <c r="Z3" s="61"/>
      <c r="AA3" s="19"/>
      <c r="AB3" s="56" t="s">
        <v>8</v>
      </c>
      <c r="AC3" s="57"/>
      <c r="AD3" s="58"/>
      <c r="AF3" s="33" t="s">
        <v>9</v>
      </c>
    </row>
    <row r="4" spans="1:32" x14ac:dyDescent="0.15">
      <c r="A4" s="26"/>
      <c r="B4" s="4" t="s">
        <v>0</v>
      </c>
      <c r="C4" s="17" t="s">
        <v>1</v>
      </c>
      <c r="D4" s="6" t="s">
        <v>2</v>
      </c>
      <c r="E4" s="4" t="s">
        <v>0</v>
      </c>
      <c r="F4" s="5" t="s">
        <v>1</v>
      </c>
      <c r="G4" s="6" t="s">
        <v>2</v>
      </c>
      <c r="H4" s="4" t="s">
        <v>0</v>
      </c>
      <c r="I4" s="5" t="s">
        <v>1</v>
      </c>
      <c r="J4" s="6" t="s">
        <v>2</v>
      </c>
      <c r="K4" s="4" t="s">
        <v>0</v>
      </c>
      <c r="L4" s="5" t="s">
        <v>1</v>
      </c>
      <c r="M4" s="6" t="s">
        <v>2</v>
      </c>
      <c r="N4" s="19"/>
      <c r="O4" s="4" t="s">
        <v>0</v>
      </c>
      <c r="P4" s="5" t="s">
        <v>1</v>
      </c>
      <c r="Q4" s="6" t="s">
        <v>2</v>
      </c>
      <c r="R4" s="4" t="s">
        <v>0</v>
      </c>
      <c r="S4" s="5" t="s">
        <v>1</v>
      </c>
      <c r="T4" s="6" t="s">
        <v>2</v>
      </c>
      <c r="U4" s="4" t="s">
        <v>0</v>
      </c>
      <c r="V4" s="5" t="s">
        <v>1</v>
      </c>
      <c r="W4" s="6" t="s">
        <v>2</v>
      </c>
      <c r="X4" s="4" t="s">
        <v>0</v>
      </c>
      <c r="Y4" s="5" t="s">
        <v>1</v>
      </c>
      <c r="Z4" s="6" t="s">
        <v>2</v>
      </c>
      <c r="AA4" s="19"/>
      <c r="AB4" s="30" t="s">
        <v>0</v>
      </c>
      <c r="AC4" s="31" t="s">
        <v>1</v>
      </c>
      <c r="AD4" s="32" t="s">
        <v>2</v>
      </c>
      <c r="AF4" s="5" t="s">
        <v>2</v>
      </c>
    </row>
    <row r="5" spans="1:32" x14ac:dyDescent="0.15">
      <c r="A5" s="27">
        <v>43374</v>
      </c>
      <c r="B5" s="7">
        <f>'[5]Production Summary'!J6</f>
        <v>20300000.000000183</v>
      </c>
      <c r="C5" s="8">
        <f t="shared" ref="C5" si="0">B5/1000000</f>
        <v>20.300000000000182</v>
      </c>
      <c r="D5" s="10">
        <f t="shared" ref="D5" si="1">C5*3.07</f>
        <v>62.321000000000552</v>
      </c>
      <c r="E5" s="7">
        <f>'[5]Production Summary'!E6</f>
        <v>15000000</v>
      </c>
      <c r="F5" s="8">
        <f t="shared" ref="F5" si="2">E5/1000000</f>
        <v>15</v>
      </c>
      <c r="G5" s="10">
        <f t="shared" ref="G5" si="3">F5*3.07</f>
        <v>46.05</v>
      </c>
      <c r="H5" s="7">
        <f>'[5]Production Summary'!G6</f>
        <v>6100000</v>
      </c>
      <c r="I5" s="8">
        <f t="shared" ref="I5" si="4">H5/1000000</f>
        <v>6.1</v>
      </c>
      <c r="J5" s="10">
        <f t="shared" ref="J5" si="5">I5*3.07</f>
        <v>18.726999999999997</v>
      </c>
      <c r="K5" s="7">
        <f>'[5]Production Summary'!T6</f>
        <v>2039398</v>
      </c>
      <c r="L5" s="8">
        <f t="shared" ref="L5" si="6">K5/1000000</f>
        <v>2.0393979999999998</v>
      </c>
      <c r="M5" s="10">
        <f t="shared" ref="M5" si="7">L5*3.07</f>
        <v>6.2609518599999987</v>
      </c>
      <c r="N5" s="21"/>
      <c r="O5" s="7">
        <f>'[5]Production Summary'!I6</f>
        <v>6235000.0000000065</v>
      </c>
      <c r="P5" s="8">
        <f t="shared" ref="P5" si="8">O5/1000000</f>
        <v>6.2350000000000065</v>
      </c>
      <c r="Q5" s="10">
        <f t="shared" ref="Q5" si="9">P5*3.07</f>
        <v>19.14145000000002</v>
      </c>
      <c r="R5" s="7">
        <f>'[5]Production Summary'!C6</f>
        <v>6433000</v>
      </c>
      <c r="S5" s="8">
        <f t="shared" ref="S5" si="10">R5/1000000</f>
        <v>6.4329999999999998</v>
      </c>
      <c r="T5" s="10">
        <f t="shared" ref="T5" si="11">S5*3.07</f>
        <v>19.749309999999998</v>
      </c>
      <c r="U5" s="7">
        <f>'[5]Production Summary'!F6</f>
        <v>0</v>
      </c>
      <c r="V5" s="8">
        <f t="shared" ref="V5" si="12">U5/1000000</f>
        <v>0</v>
      </c>
      <c r="W5" s="10">
        <f t="shared" ref="W5" si="13">V5*3.07</f>
        <v>0</v>
      </c>
      <c r="X5" s="7">
        <f>'[5]Production Summary'!AB6</f>
        <v>194999.99999999319</v>
      </c>
      <c r="Y5" s="8">
        <f t="shared" ref="Y5" si="14">X5/1000000</f>
        <v>0.19499999999999318</v>
      </c>
      <c r="Z5" s="10">
        <f t="shared" ref="Z5" si="15">Y5*3.07</f>
        <v>0.59864999999997903</v>
      </c>
      <c r="AA5" s="15"/>
      <c r="AB5" s="7">
        <f>B5+O5</f>
        <v>26535000.00000019</v>
      </c>
      <c r="AC5" s="8">
        <f>C5+P5</f>
        <v>26.535000000000188</v>
      </c>
      <c r="AD5" s="8">
        <f>D5+Q5</f>
        <v>81.462450000000572</v>
      </c>
      <c r="AF5" s="8">
        <f>T5-Q5-Z5</f>
        <v>9.2099999999983861E-3</v>
      </c>
    </row>
    <row r="6" spans="1:32" x14ac:dyDescent="0.15">
      <c r="A6" s="27">
        <v>43375</v>
      </c>
      <c r="B6" s="7">
        <f>'[5]Production Summary'!J7</f>
        <v>20899999.999999635</v>
      </c>
      <c r="C6" s="8">
        <f t="shared" ref="C6:C35" si="16">B6/1000000</f>
        <v>20.899999999999636</v>
      </c>
      <c r="D6" s="10">
        <f t="shared" ref="D6:D35" si="17">C6*3.07</f>
        <v>64.162999999998874</v>
      </c>
      <c r="E6" s="7">
        <f>'[5]Production Summary'!E7</f>
        <v>16000000</v>
      </c>
      <c r="F6" s="8">
        <f t="shared" ref="F6:F35" si="18">E6/1000000</f>
        <v>16</v>
      </c>
      <c r="G6" s="10">
        <f t="shared" ref="G6:G35" si="19">F6*3.07</f>
        <v>49.12</v>
      </c>
      <c r="H6" s="7">
        <f>'[5]Production Summary'!G7</f>
        <v>6830000</v>
      </c>
      <c r="I6" s="8">
        <f t="shared" ref="I6:I35" si="20">H6/1000000</f>
        <v>6.83</v>
      </c>
      <c r="J6" s="10">
        <f t="shared" ref="J6:J35" si="21">I6*3.07</f>
        <v>20.9681</v>
      </c>
      <c r="K6" s="7">
        <f>'[5]Production Summary'!T7</f>
        <v>2260371</v>
      </c>
      <c r="L6" s="8">
        <f t="shared" ref="L6:L35" si="22">K6/1000000</f>
        <v>2.2603710000000001</v>
      </c>
      <c r="M6" s="10">
        <f t="shared" ref="M6:M35" si="23">L6*3.07</f>
        <v>6.9393389699999997</v>
      </c>
      <c r="N6" s="21"/>
      <c r="O6" s="7">
        <f>'[5]Production Summary'!I7</f>
        <v>6963000.0000000093</v>
      </c>
      <c r="P6" s="8">
        <f t="shared" ref="P6:P35" si="24">O6/1000000</f>
        <v>6.963000000000009</v>
      </c>
      <c r="Q6" s="10">
        <f t="shared" ref="Q6:Q35" si="25">P6*3.07</f>
        <v>21.376410000000025</v>
      </c>
      <c r="R6" s="7">
        <f>'[5]Production Summary'!C7</f>
        <v>7093000</v>
      </c>
      <c r="S6" s="8">
        <f t="shared" ref="S6:S35" si="26">R6/1000000</f>
        <v>7.093</v>
      </c>
      <c r="T6" s="10">
        <f t="shared" ref="T6:T35" si="27">S6*3.07</f>
        <v>21.775509999999997</v>
      </c>
      <c r="U6" s="7">
        <f>'[5]Production Summary'!F7</f>
        <v>0</v>
      </c>
      <c r="V6" s="8">
        <f t="shared" ref="V6:V35" si="28">U6/1000000</f>
        <v>0</v>
      </c>
      <c r="W6" s="10">
        <f t="shared" ref="W6:W35" si="29">V6*3.07</f>
        <v>0</v>
      </c>
      <c r="X6" s="7">
        <f>'[5]Production Summary'!AB7</f>
        <v>128999.99999999067</v>
      </c>
      <c r="Y6" s="8">
        <f t="shared" ref="Y6:Y35" si="30">X6/1000000</f>
        <v>0.12899999999999068</v>
      </c>
      <c r="Z6" s="10">
        <f t="shared" ref="Z6:Z35" si="31">Y6*3.07</f>
        <v>0.39602999999997135</v>
      </c>
      <c r="AA6" s="15"/>
      <c r="AB6" s="7">
        <f t="shared" ref="AB6:AD35" si="32">B6+O6</f>
        <v>27862999.999999642</v>
      </c>
      <c r="AC6" s="8">
        <f t="shared" si="32"/>
        <v>27.862999999999644</v>
      </c>
      <c r="AD6" s="8">
        <f t="shared" si="32"/>
        <v>85.539409999998895</v>
      </c>
      <c r="AF6" s="8">
        <f>T6-Q6-Z6</f>
        <v>3.0700000000009053E-3</v>
      </c>
    </row>
    <row r="7" spans="1:32" x14ac:dyDescent="0.15">
      <c r="A7" s="27">
        <v>43376</v>
      </c>
      <c r="B7" s="7">
        <f>'[5]Production Summary'!J8</f>
        <v>15300000.000000183</v>
      </c>
      <c r="C7" s="8">
        <f t="shared" si="16"/>
        <v>15.300000000000182</v>
      </c>
      <c r="D7" s="10">
        <f t="shared" si="17"/>
        <v>46.971000000000558</v>
      </c>
      <c r="E7" s="7">
        <f>'[5]Production Summary'!E8</f>
        <v>9000000</v>
      </c>
      <c r="F7" s="8">
        <f t="shared" si="18"/>
        <v>9</v>
      </c>
      <c r="G7" s="10">
        <f t="shared" si="19"/>
        <v>27.63</v>
      </c>
      <c r="H7" s="7">
        <f>'[5]Production Summary'!G8</f>
        <v>7460000</v>
      </c>
      <c r="I7" s="8">
        <f t="shared" si="20"/>
        <v>7.46</v>
      </c>
      <c r="J7" s="10">
        <f t="shared" si="21"/>
        <v>22.902199999999997</v>
      </c>
      <c r="K7" s="7">
        <f>'[5]Production Summary'!T8</f>
        <v>1680616</v>
      </c>
      <c r="L7" s="8">
        <f t="shared" si="22"/>
        <v>1.6806160000000001</v>
      </c>
      <c r="M7" s="10">
        <f t="shared" si="23"/>
        <v>5.1594911200000002</v>
      </c>
      <c r="N7" s="21"/>
      <c r="O7" s="7">
        <f>'[5]Production Summary'!I8</f>
        <v>5694000</v>
      </c>
      <c r="P7" s="8">
        <f t="shared" si="24"/>
        <v>5.694</v>
      </c>
      <c r="Q7" s="10">
        <f t="shared" si="25"/>
        <v>17.48058</v>
      </c>
      <c r="R7" s="7">
        <f>'[5]Production Summary'!C8</f>
        <v>5949000</v>
      </c>
      <c r="S7" s="8">
        <f t="shared" si="26"/>
        <v>5.9489999999999998</v>
      </c>
      <c r="T7" s="10">
        <f t="shared" si="27"/>
        <v>18.26343</v>
      </c>
      <c r="U7" s="7">
        <f>'[5]Production Summary'!F8</f>
        <v>0</v>
      </c>
      <c r="V7" s="8">
        <f t="shared" si="28"/>
        <v>0</v>
      </c>
      <c r="W7" s="10">
        <f t="shared" si="29"/>
        <v>0</v>
      </c>
      <c r="X7" s="7">
        <f>'[5]Production Summary'!AB8</f>
        <v>250000</v>
      </c>
      <c r="Y7" s="8">
        <f t="shared" si="30"/>
        <v>0.25</v>
      </c>
      <c r="Z7" s="10">
        <f t="shared" si="31"/>
        <v>0.76749999999999996</v>
      </c>
      <c r="AA7" s="15"/>
      <c r="AB7" s="7">
        <f t="shared" si="32"/>
        <v>20994000.000000183</v>
      </c>
      <c r="AC7" s="8">
        <f t="shared" si="32"/>
        <v>20.994000000000181</v>
      </c>
      <c r="AD7" s="8">
        <f t="shared" si="32"/>
        <v>64.451580000000561</v>
      </c>
      <c r="AF7" s="8">
        <f t="shared" ref="AF7:AF14" si="33">T7-Q7-Z7</f>
        <v>1.5349999999999864E-2</v>
      </c>
    </row>
    <row r="8" spans="1:32" x14ac:dyDescent="0.15">
      <c r="A8" s="27">
        <v>43377</v>
      </c>
      <c r="B8" s="7">
        <f>'[5]Production Summary'!J9</f>
        <v>20400000.000000089</v>
      </c>
      <c r="C8" s="8">
        <f t="shared" si="16"/>
        <v>20.400000000000091</v>
      </c>
      <c r="D8" s="10">
        <f t="shared" si="17"/>
        <v>62.628000000000277</v>
      </c>
      <c r="E8" s="7">
        <f>'[5]Production Summary'!E9</f>
        <v>11000000</v>
      </c>
      <c r="F8" s="8">
        <f t="shared" si="18"/>
        <v>11</v>
      </c>
      <c r="G8" s="10">
        <f t="shared" si="19"/>
        <v>33.769999999999996</v>
      </c>
      <c r="H8" s="7">
        <f>'[5]Production Summary'!G9</f>
        <v>10890000</v>
      </c>
      <c r="I8" s="8">
        <f t="shared" si="20"/>
        <v>10.89</v>
      </c>
      <c r="J8" s="10">
        <f t="shared" si="21"/>
        <v>33.432299999999998</v>
      </c>
      <c r="K8" s="7">
        <f>'[5]Production Summary'!T9</f>
        <v>2064338</v>
      </c>
      <c r="L8" s="8">
        <f t="shared" si="22"/>
        <v>2.0643379999999998</v>
      </c>
      <c r="M8" s="10">
        <f t="shared" si="23"/>
        <v>6.3375176599999987</v>
      </c>
      <c r="N8" s="21"/>
      <c r="O8" s="7">
        <f>'[5]Production Summary'!I9</f>
        <v>7182999.9999999916</v>
      </c>
      <c r="P8" s="8">
        <f t="shared" si="24"/>
        <v>7.1829999999999918</v>
      </c>
      <c r="Q8" s="10">
        <f t="shared" si="25"/>
        <v>22.051809999999975</v>
      </c>
      <c r="R8" s="7">
        <f>'[5]Production Summary'!C9</f>
        <v>7404000</v>
      </c>
      <c r="S8" s="8">
        <f t="shared" si="26"/>
        <v>7.4039999999999999</v>
      </c>
      <c r="T8" s="10">
        <f t="shared" si="27"/>
        <v>22.730279999999997</v>
      </c>
      <c r="U8" s="7">
        <f>'[5]Production Summary'!F9</f>
        <v>0</v>
      </c>
      <c r="V8" s="8">
        <f t="shared" si="28"/>
        <v>0</v>
      </c>
      <c r="W8" s="10">
        <f t="shared" si="29"/>
        <v>0</v>
      </c>
      <c r="X8" s="7">
        <f>'[5]Production Summary'!AB9</f>
        <v>216000.00000000818</v>
      </c>
      <c r="Y8" s="8">
        <f t="shared" si="30"/>
        <v>0.21600000000000819</v>
      </c>
      <c r="Z8" s="10">
        <f t="shared" si="31"/>
        <v>0.66312000000002513</v>
      </c>
      <c r="AA8" s="15"/>
      <c r="AB8" s="7">
        <f t="shared" si="32"/>
        <v>27583000.000000082</v>
      </c>
      <c r="AC8" s="8">
        <f t="shared" si="32"/>
        <v>27.583000000000084</v>
      </c>
      <c r="AD8" s="8">
        <f>D8+Q8</f>
        <v>84.679810000000259</v>
      </c>
      <c r="AF8" s="8">
        <f t="shared" si="33"/>
        <v>1.5349999999996977E-2</v>
      </c>
    </row>
    <row r="9" spans="1:32" x14ac:dyDescent="0.15">
      <c r="A9" s="27">
        <v>43378</v>
      </c>
      <c r="B9" s="7">
        <f>'[5]Production Summary'!J10</f>
        <v>22199999.999999817</v>
      </c>
      <c r="C9" s="8">
        <f t="shared" si="16"/>
        <v>22.199999999999818</v>
      </c>
      <c r="D9" s="10">
        <f t="shared" si="17"/>
        <v>68.153999999999442</v>
      </c>
      <c r="E9" s="7">
        <f>'[5]Production Summary'!E10</f>
        <v>13000000</v>
      </c>
      <c r="F9" s="8">
        <f t="shared" si="18"/>
        <v>13</v>
      </c>
      <c r="G9" s="10">
        <f t="shared" si="19"/>
        <v>39.909999999999997</v>
      </c>
      <c r="H9" s="7">
        <f>'[5]Production Summary'!G10</f>
        <v>11150000</v>
      </c>
      <c r="I9" s="8">
        <f t="shared" si="20"/>
        <v>11.15</v>
      </c>
      <c r="J9" s="10">
        <f t="shared" si="21"/>
        <v>34.230499999999999</v>
      </c>
      <c r="K9" s="7">
        <f>'[5]Production Summary'!T10</f>
        <v>2503834</v>
      </c>
      <c r="L9" s="8">
        <f t="shared" si="22"/>
        <v>2.5038339999999999</v>
      </c>
      <c r="M9" s="10">
        <f t="shared" si="23"/>
        <v>7.6867703799999996</v>
      </c>
      <c r="N9" s="21"/>
      <c r="O9" s="7">
        <f>'[5]Production Summary'!I10</f>
        <v>6860000.0000000028</v>
      </c>
      <c r="P9" s="8">
        <f t="shared" si="24"/>
        <v>6.860000000000003</v>
      </c>
      <c r="Q9" s="10">
        <f t="shared" si="25"/>
        <v>21.060200000000009</v>
      </c>
      <c r="R9" s="7">
        <f>'[5]Production Summary'!C10</f>
        <v>7174000</v>
      </c>
      <c r="S9" s="8">
        <f t="shared" si="26"/>
        <v>7.1740000000000004</v>
      </c>
      <c r="T9" s="10">
        <f t="shared" si="27"/>
        <v>22.024180000000001</v>
      </c>
      <c r="U9" s="7">
        <f>'[5]Production Summary'!F10</f>
        <v>0</v>
      </c>
      <c r="V9" s="8">
        <f t="shared" si="28"/>
        <v>0</v>
      </c>
      <c r="W9" s="10">
        <f t="shared" si="29"/>
        <v>0</v>
      </c>
      <c r="X9" s="7">
        <f>'[5]Production Summary'!AB10</f>
        <v>308999.9999999975</v>
      </c>
      <c r="Y9" s="8">
        <f t="shared" si="30"/>
        <v>0.3089999999999975</v>
      </c>
      <c r="Z9" s="10">
        <f t="shared" si="31"/>
        <v>0.94862999999999231</v>
      </c>
      <c r="AA9" s="15"/>
      <c r="AB9" s="7">
        <f t="shared" si="32"/>
        <v>29059999.999999821</v>
      </c>
      <c r="AC9" s="8">
        <f t="shared" si="32"/>
        <v>29.059999999999821</v>
      </c>
      <c r="AD9" s="8">
        <f t="shared" si="32"/>
        <v>89.214199999999451</v>
      </c>
      <c r="AF9" s="8">
        <f t="shared" si="33"/>
        <v>1.5349999999999975E-2</v>
      </c>
    </row>
    <row r="10" spans="1:32" x14ac:dyDescent="0.15">
      <c r="A10" s="27">
        <v>43379</v>
      </c>
      <c r="B10" s="7">
        <f>'[5]Production Summary'!J11</f>
        <v>16700000.000000272</v>
      </c>
      <c r="C10" s="8">
        <f t="shared" si="16"/>
        <v>16.700000000000273</v>
      </c>
      <c r="D10" s="10">
        <f t="shared" si="17"/>
        <v>51.269000000000837</v>
      </c>
      <c r="E10" s="7">
        <f>'[5]Production Summary'!E11</f>
        <v>9000000</v>
      </c>
      <c r="F10" s="8">
        <f t="shared" si="18"/>
        <v>9</v>
      </c>
      <c r="G10" s="10">
        <f t="shared" si="19"/>
        <v>27.63</v>
      </c>
      <c r="H10" s="7">
        <f>'[5]Production Summary'!G11</f>
        <v>9120000</v>
      </c>
      <c r="I10" s="8">
        <f t="shared" si="20"/>
        <v>9.1199999999999992</v>
      </c>
      <c r="J10" s="10">
        <f t="shared" si="21"/>
        <v>27.998399999999997</v>
      </c>
      <c r="K10" s="7">
        <f>'[5]Production Summary'!T11</f>
        <v>1695989</v>
      </c>
      <c r="L10" s="8">
        <f t="shared" si="22"/>
        <v>1.695989</v>
      </c>
      <c r="M10" s="10">
        <f t="shared" si="23"/>
        <v>5.2066862299999999</v>
      </c>
      <c r="N10" s="21"/>
      <c r="O10" s="7">
        <f>'[5]Production Summary'!I11</f>
        <v>6796000.0000000093</v>
      </c>
      <c r="P10" s="8">
        <f t="shared" si="24"/>
        <v>6.7960000000000091</v>
      </c>
      <c r="Q10" s="10">
        <f t="shared" si="25"/>
        <v>20.863720000000026</v>
      </c>
      <c r="R10" s="7">
        <f>'[5]Production Summary'!C11</f>
        <v>6926000</v>
      </c>
      <c r="S10" s="8">
        <f t="shared" si="26"/>
        <v>6.9260000000000002</v>
      </c>
      <c r="T10" s="10">
        <f t="shared" si="27"/>
        <v>21.262819999999998</v>
      </c>
      <c r="U10" s="7">
        <f>'[5]Production Summary'!F11</f>
        <v>0</v>
      </c>
      <c r="V10" s="8">
        <f t="shared" si="28"/>
        <v>0</v>
      </c>
      <c r="W10" s="10">
        <f t="shared" si="29"/>
        <v>0</v>
      </c>
      <c r="X10" s="7">
        <f>'[5]Production Summary'!AB11</f>
        <v>128999.99999999067</v>
      </c>
      <c r="Y10" s="8">
        <f t="shared" si="30"/>
        <v>0.12899999999999068</v>
      </c>
      <c r="Z10" s="10">
        <f t="shared" si="31"/>
        <v>0.39602999999997135</v>
      </c>
      <c r="AA10" s="15"/>
      <c r="AB10" s="7">
        <f t="shared" si="32"/>
        <v>23496000.000000283</v>
      </c>
      <c r="AC10" s="8">
        <f t="shared" si="32"/>
        <v>23.496000000000283</v>
      </c>
      <c r="AD10" s="8">
        <f t="shared" si="32"/>
        <v>72.132720000000859</v>
      </c>
      <c r="AF10" s="8">
        <f t="shared" si="33"/>
        <v>3.0700000000009053E-3</v>
      </c>
    </row>
    <row r="11" spans="1:32" x14ac:dyDescent="0.15">
      <c r="A11" s="27">
        <v>43380</v>
      </c>
      <c r="B11" s="7">
        <f>'[5]Production Summary'!J12</f>
        <v>19299999.999999728</v>
      </c>
      <c r="C11" s="8">
        <f t="shared" si="16"/>
        <v>19.299999999999727</v>
      </c>
      <c r="D11" s="10">
        <f t="shared" si="17"/>
        <v>59.250999999999159</v>
      </c>
      <c r="E11" s="7">
        <f>'[5]Production Summary'!E12</f>
        <v>9000000</v>
      </c>
      <c r="F11" s="8">
        <f t="shared" si="18"/>
        <v>9</v>
      </c>
      <c r="G11" s="10">
        <f t="shared" si="19"/>
        <v>27.63</v>
      </c>
      <c r="H11" s="7">
        <f>'[5]Production Summary'!G12</f>
        <v>12080000</v>
      </c>
      <c r="I11" s="8">
        <f t="shared" si="20"/>
        <v>12.08</v>
      </c>
      <c r="J11" s="10">
        <f t="shared" si="21"/>
        <v>37.085599999999999</v>
      </c>
      <c r="K11" s="7">
        <f>'[5]Production Summary'!T12</f>
        <v>1822449</v>
      </c>
      <c r="L11" s="8">
        <f t="shared" si="22"/>
        <v>1.822449</v>
      </c>
      <c r="M11" s="10">
        <f t="shared" si="23"/>
        <v>5.5949184299999999</v>
      </c>
      <c r="N11" s="21"/>
      <c r="O11" s="7">
        <f>'[5]Production Summary'!I12</f>
        <v>6582999.9999999832</v>
      </c>
      <c r="P11" s="8">
        <f t="shared" si="24"/>
        <v>6.5829999999999833</v>
      </c>
      <c r="Q11" s="10">
        <f t="shared" si="25"/>
        <v>20.209809999999948</v>
      </c>
      <c r="R11" s="7">
        <f>'[5]Production Summary'!C12</f>
        <v>6781000</v>
      </c>
      <c r="S11" s="8">
        <f t="shared" si="26"/>
        <v>6.7809999999999997</v>
      </c>
      <c r="T11" s="10">
        <f t="shared" si="27"/>
        <v>20.81767</v>
      </c>
      <c r="U11" s="7">
        <f>'[5]Production Summary'!F12</f>
        <v>0</v>
      </c>
      <c r="V11" s="8">
        <f t="shared" si="28"/>
        <v>0</v>
      </c>
      <c r="W11" s="10">
        <f t="shared" si="29"/>
        <v>0</v>
      </c>
      <c r="X11" s="7">
        <f>'[5]Production Summary'!AB12</f>
        <v>194000.00000001682</v>
      </c>
      <c r="Y11" s="8">
        <f t="shared" si="30"/>
        <v>0.19400000000001683</v>
      </c>
      <c r="Z11" s="10">
        <f t="shared" si="31"/>
        <v>0.59558000000005162</v>
      </c>
      <c r="AA11" s="15"/>
      <c r="AB11" s="7">
        <f t="shared" si="32"/>
        <v>25882999.999999709</v>
      </c>
      <c r="AC11" s="8">
        <f t="shared" si="32"/>
        <v>25.882999999999711</v>
      </c>
      <c r="AD11" s="8">
        <f t="shared" si="32"/>
        <v>79.4608099999991</v>
      </c>
      <c r="AF11" s="8">
        <f t="shared" si="33"/>
        <v>1.2280000000000402E-2</v>
      </c>
    </row>
    <row r="12" spans="1:32" x14ac:dyDescent="0.15">
      <c r="A12" s="27">
        <v>43381</v>
      </c>
      <c r="B12" s="7">
        <f>'[5]Production Summary'!J13</f>
        <v>16599999.999999909</v>
      </c>
      <c r="C12" s="8">
        <f t="shared" si="16"/>
        <v>16.599999999999909</v>
      </c>
      <c r="D12" s="10">
        <f t="shared" si="17"/>
        <v>50.961999999999719</v>
      </c>
      <c r="E12" s="7">
        <f>'[5]Production Summary'!E13</f>
        <v>7000000</v>
      </c>
      <c r="F12" s="8">
        <f t="shared" si="18"/>
        <v>7</v>
      </c>
      <c r="G12" s="10">
        <f t="shared" si="19"/>
        <v>21.49</v>
      </c>
      <c r="H12" s="7">
        <f>'[5]Production Summary'!G13</f>
        <v>12060000</v>
      </c>
      <c r="I12" s="8">
        <f t="shared" si="20"/>
        <v>12.06</v>
      </c>
      <c r="J12" s="10">
        <f t="shared" si="21"/>
        <v>37.0242</v>
      </c>
      <c r="K12" s="7">
        <f>'[5]Production Summary'!T13</f>
        <v>1761080</v>
      </c>
      <c r="L12" s="8">
        <f t="shared" si="22"/>
        <v>1.76108</v>
      </c>
      <c r="M12" s="10">
        <f t="shared" si="23"/>
        <v>5.4065155999999996</v>
      </c>
      <c r="N12" s="21"/>
      <c r="O12" s="7">
        <f>'[5]Production Summary'!I13</f>
        <v>6037000.0000000009</v>
      </c>
      <c r="P12" s="8">
        <f t="shared" si="24"/>
        <v>6.0370000000000008</v>
      </c>
      <c r="Q12" s="10">
        <f t="shared" si="25"/>
        <v>18.53359</v>
      </c>
      <c r="R12" s="7">
        <f>'[5]Production Summary'!C13</f>
        <v>6384000</v>
      </c>
      <c r="S12" s="8">
        <f t="shared" si="26"/>
        <v>6.3840000000000003</v>
      </c>
      <c r="T12" s="10">
        <f t="shared" si="27"/>
        <v>19.598880000000001</v>
      </c>
      <c r="U12" s="7">
        <f>'[5]Production Summary'!F13</f>
        <v>0</v>
      </c>
      <c r="V12" s="8">
        <f t="shared" si="28"/>
        <v>0</v>
      </c>
      <c r="W12" s="10">
        <f t="shared" si="29"/>
        <v>0</v>
      </c>
      <c r="X12" s="7">
        <f>'[5]Production Summary'!AB13</f>
        <v>338999.99999999866</v>
      </c>
      <c r="Y12" s="8">
        <f t="shared" si="30"/>
        <v>0.33899999999999864</v>
      </c>
      <c r="Z12" s="10">
        <f t="shared" si="31"/>
        <v>1.0407299999999957</v>
      </c>
      <c r="AA12" s="15"/>
      <c r="AB12" s="7">
        <f t="shared" si="32"/>
        <v>22636999.999999911</v>
      </c>
      <c r="AC12" s="8">
        <f t="shared" si="32"/>
        <v>22.636999999999908</v>
      </c>
      <c r="AD12" s="8">
        <f t="shared" si="32"/>
        <v>69.495589999999723</v>
      </c>
      <c r="AF12" s="8">
        <f t="shared" si="33"/>
        <v>2.4560000000005244E-2</v>
      </c>
    </row>
    <row r="13" spans="1:32" x14ac:dyDescent="0.15">
      <c r="A13" s="27">
        <v>43382</v>
      </c>
      <c r="B13" s="7">
        <f>'[5]Production Summary'!J14</f>
        <v>13700000.000000272</v>
      </c>
      <c r="C13" s="8">
        <f t="shared" si="16"/>
        <v>13.700000000000271</v>
      </c>
      <c r="D13" s="10">
        <f t="shared" si="17"/>
        <v>42.059000000000829</v>
      </c>
      <c r="E13" s="7">
        <f>'[5]Production Summary'!E14</f>
        <v>5000000</v>
      </c>
      <c r="F13" s="8">
        <f t="shared" si="18"/>
        <v>5</v>
      </c>
      <c r="G13" s="10">
        <f t="shared" si="19"/>
        <v>15.35</v>
      </c>
      <c r="H13" s="7">
        <f>'[5]Production Summary'!G14</f>
        <v>9470000</v>
      </c>
      <c r="I13" s="8">
        <f t="shared" si="20"/>
        <v>9.4700000000000006</v>
      </c>
      <c r="J13" s="10">
        <f t="shared" si="21"/>
        <v>29.072900000000001</v>
      </c>
      <c r="K13" s="7">
        <f>'[5]Production Summary'!T14</f>
        <v>1539649</v>
      </c>
      <c r="L13" s="8">
        <f t="shared" si="22"/>
        <v>1.539649</v>
      </c>
      <c r="M13" s="10">
        <f t="shared" si="23"/>
        <v>4.7267224299999997</v>
      </c>
      <c r="N13" s="21"/>
      <c r="O13" s="7">
        <f>'[5]Production Summary'!I14</f>
        <v>5551000.0000000009</v>
      </c>
      <c r="P13" s="8">
        <f t="shared" si="24"/>
        <v>5.551000000000001</v>
      </c>
      <c r="Q13" s="10">
        <f t="shared" si="25"/>
        <v>17.041570000000004</v>
      </c>
      <c r="R13" s="7">
        <f>'[5]Production Summary'!C14</f>
        <v>6023000</v>
      </c>
      <c r="S13" s="8">
        <f t="shared" si="26"/>
        <v>6.0229999999999997</v>
      </c>
      <c r="T13" s="10">
        <f t="shared" si="27"/>
        <v>18.490609999999997</v>
      </c>
      <c r="U13" s="7">
        <f>'[5]Production Summary'!F14</f>
        <v>0</v>
      </c>
      <c r="V13" s="8">
        <f t="shared" si="28"/>
        <v>0</v>
      </c>
      <c r="W13" s="10">
        <f t="shared" si="29"/>
        <v>0</v>
      </c>
      <c r="X13" s="7">
        <f>'[5]Production Summary'!AB14</f>
        <v>463999.99999999866</v>
      </c>
      <c r="Y13" s="8">
        <f t="shared" si="30"/>
        <v>0.46399999999999864</v>
      </c>
      <c r="Z13" s="10">
        <f t="shared" si="31"/>
        <v>1.4244799999999957</v>
      </c>
      <c r="AA13" s="15"/>
      <c r="AB13" s="7">
        <f t="shared" si="32"/>
        <v>19251000.000000272</v>
      </c>
      <c r="AC13" s="8">
        <f t="shared" si="32"/>
        <v>19.251000000000271</v>
      </c>
      <c r="AD13" s="8">
        <f t="shared" si="32"/>
        <v>59.100570000000829</v>
      </c>
      <c r="AF13" s="8">
        <f t="shared" si="33"/>
        <v>2.4559999999997251E-2</v>
      </c>
    </row>
    <row r="14" spans="1:32" x14ac:dyDescent="0.15">
      <c r="A14" s="27">
        <v>43383</v>
      </c>
      <c r="B14" s="7">
        <f>'[5]Production Summary'!J15</f>
        <v>6500000</v>
      </c>
      <c r="C14" s="8">
        <f t="shared" si="16"/>
        <v>6.5</v>
      </c>
      <c r="D14" s="10">
        <f t="shared" si="17"/>
        <v>19.954999999999998</v>
      </c>
      <c r="E14" s="7">
        <f>'[5]Production Summary'!E15</f>
        <v>2000000</v>
      </c>
      <c r="F14" s="8">
        <f t="shared" si="18"/>
        <v>2</v>
      </c>
      <c r="G14" s="10">
        <f t="shared" si="19"/>
        <v>6.14</v>
      </c>
      <c r="H14" s="7">
        <f>'[5]Production Summary'!G15</f>
        <v>5740000</v>
      </c>
      <c r="I14" s="8">
        <f t="shared" si="20"/>
        <v>5.74</v>
      </c>
      <c r="J14" s="10">
        <f t="shared" si="21"/>
        <v>17.6218</v>
      </c>
      <c r="K14" s="7">
        <f>'[5]Production Summary'!T15</f>
        <v>675008</v>
      </c>
      <c r="L14" s="8">
        <f t="shared" si="22"/>
        <v>0.67500800000000005</v>
      </c>
      <c r="M14" s="10">
        <f t="shared" si="23"/>
        <v>2.0722745599999999</v>
      </c>
      <c r="N14" s="21"/>
      <c r="O14" s="7">
        <f>'[5]Production Summary'!I15</f>
        <v>5018999.9999999972</v>
      </c>
      <c r="P14" s="8">
        <f t="shared" si="24"/>
        <v>5.0189999999999975</v>
      </c>
      <c r="Q14" s="10">
        <f t="shared" si="25"/>
        <v>15.408329999999991</v>
      </c>
      <c r="R14" s="7">
        <f>'[5]Production Summary'!C15</f>
        <v>5231000</v>
      </c>
      <c r="S14" s="8">
        <f t="shared" si="26"/>
        <v>5.2309999999999999</v>
      </c>
      <c r="T14" s="10">
        <f t="shared" si="27"/>
        <v>16.059169999999998</v>
      </c>
      <c r="U14" s="7">
        <f>'[5]Production Summary'!F15</f>
        <v>0</v>
      </c>
      <c r="V14" s="8">
        <f t="shared" si="28"/>
        <v>0</v>
      </c>
      <c r="W14" s="10">
        <f t="shared" si="29"/>
        <v>0</v>
      </c>
      <c r="X14" s="7">
        <f>'[5]Production Summary'!AB15</f>
        <v>209000.00000000317</v>
      </c>
      <c r="Y14" s="8">
        <f t="shared" si="30"/>
        <v>0.20900000000000318</v>
      </c>
      <c r="Z14" s="10">
        <f t="shared" si="31"/>
        <v>0.64163000000000969</v>
      </c>
      <c r="AA14" s="15"/>
      <c r="AB14" s="7">
        <f t="shared" si="32"/>
        <v>11518999.999999996</v>
      </c>
      <c r="AC14" s="8">
        <f t="shared" si="32"/>
        <v>11.518999999999998</v>
      </c>
      <c r="AD14" s="8">
        <f t="shared" si="32"/>
        <v>35.363329999999991</v>
      </c>
      <c r="AF14" s="8">
        <f t="shared" si="33"/>
        <v>9.2099999999979421E-3</v>
      </c>
    </row>
    <row r="15" spans="1:32" x14ac:dyDescent="0.15">
      <c r="A15" s="27">
        <v>43384</v>
      </c>
      <c r="B15" s="7">
        <f>'[5]Production Summary'!J16</f>
        <v>5699999.9999998184</v>
      </c>
      <c r="C15" s="8">
        <f t="shared" si="16"/>
        <v>5.6999999999998181</v>
      </c>
      <c r="D15" s="10">
        <f t="shared" si="17"/>
        <v>17.498999999999441</v>
      </c>
      <c r="E15" s="7">
        <f>'[5]Production Summary'!E16</f>
        <v>0</v>
      </c>
      <c r="F15" s="8">
        <f t="shared" si="18"/>
        <v>0</v>
      </c>
      <c r="G15" s="10">
        <f t="shared" si="19"/>
        <v>0</v>
      </c>
      <c r="H15" s="7">
        <f>'[5]Production Summary'!G16</f>
        <v>6450000</v>
      </c>
      <c r="I15" s="8">
        <f t="shared" si="20"/>
        <v>6.45</v>
      </c>
      <c r="J15" s="10">
        <f t="shared" si="21"/>
        <v>19.801500000000001</v>
      </c>
      <c r="K15" s="7">
        <f>'[5]Production Summary'!T16</f>
        <v>552744</v>
      </c>
      <c r="L15" s="8">
        <f t="shared" si="22"/>
        <v>0.55274400000000001</v>
      </c>
      <c r="M15" s="10">
        <f t="shared" si="23"/>
        <v>1.6969240800000001</v>
      </c>
      <c r="N15" s="21"/>
      <c r="O15" s="7">
        <f>'[5]Production Summary'!I16</f>
        <v>4836999.9999999944</v>
      </c>
      <c r="P15" s="8">
        <f t="shared" si="24"/>
        <v>4.8369999999999944</v>
      </c>
      <c r="Q15" s="10">
        <f t="shared" si="25"/>
        <v>14.849589999999981</v>
      </c>
      <c r="R15" s="7">
        <f>'[5]Production Summary'!C16</f>
        <v>4976000</v>
      </c>
      <c r="S15" s="8">
        <f t="shared" si="26"/>
        <v>4.976</v>
      </c>
      <c r="T15" s="10">
        <f t="shared" si="27"/>
        <v>15.276319999999998</v>
      </c>
      <c r="U15" s="7">
        <f>'[5]Production Summary'!F16</f>
        <v>0</v>
      </c>
      <c r="V15" s="8">
        <f t="shared" si="28"/>
        <v>0</v>
      </c>
      <c r="W15" s="10">
        <f t="shared" si="29"/>
        <v>0</v>
      </c>
      <c r="X15" s="7">
        <f>'[5]Production Summary'!AB16</f>
        <v>138000.00000000524</v>
      </c>
      <c r="Y15" s="8">
        <f t="shared" si="30"/>
        <v>0.13800000000000523</v>
      </c>
      <c r="Z15" s="10">
        <f t="shared" si="31"/>
        <v>0.42366000000001602</v>
      </c>
      <c r="AA15" s="15"/>
      <c r="AB15" s="7">
        <f t="shared" si="32"/>
        <v>10536999.999999814</v>
      </c>
      <c r="AC15" s="8">
        <f t="shared" si="32"/>
        <v>10.536999999999813</v>
      </c>
      <c r="AD15" s="8">
        <f t="shared" si="32"/>
        <v>32.348589999999419</v>
      </c>
      <c r="AF15" s="8">
        <f>T15-Q15-Z15</f>
        <v>3.0700000000009053E-3</v>
      </c>
    </row>
    <row r="16" spans="1:32" x14ac:dyDescent="0.15">
      <c r="A16" s="27">
        <v>43385</v>
      </c>
      <c r="B16" s="7">
        <f>'[5]Production Summary'!J17</f>
        <v>10000000</v>
      </c>
      <c r="C16" s="8">
        <f t="shared" si="16"/>
        <v>10</v>
      </c>
      <c r="D16" s="10">
        <f t="shared" si="17"/>
        <v>30.7</v>
      </c>
      <c r="E16" s="7">
        <f>'[5]Production Summary'!E17</f>
        <v>0</v>
      </c>
      <c r="F16" s="8">
        <f t="shared" si="18"/>
        <v>0</v>
      </c>
      <c r="G16" s="10">
        <f t="shared" si="19"/>
        <v>0</v>
      </c>
      <c r="H16" s="7">
        <f>'[5]Production Summary'!G17</f>
        <v>10610000</v>
      </c>
      <c r="I16" s="8">
        <f t="shared" si="20"/>
        <v>10.61</v>
      </c>
      <c r="J16" s="10">
        <f t="shared" si="21"/>
        <v>32.572699999999998</v>
      </c>
      <c r="K16" s="7">
        <f>'[5]Production Summary'!T17</f>
        <v>938486</v>
      </c>
      <c r="L16" s="8">
        <f t="shared" si="22"/>
        <v>0.93848600000000004</v>
      </c>
      <c r="M16" s="10">
        <f t="shared" si="23"/>
        <v>2.88115202</v>
      </c>
      <c r="N16" s="21"/>
      <c r="O16" s="7">
        <f>'[5]Production Summary'!I17</f>
        <v>4606000.0000000233</v>
      </c>
      <c r="P16" s="8">
        <f t="shared" si="24"/>
        <v>4.606000000000023</v>
      </c>
      <c r="Q16" s="10">
        <f t="shared" si="25"/>
        <v>14.14042000000007</v>
      </c>
      <c r="R16" s="7">
        <f>'[5]Production Summary'!C17</f>
        <v>4752000</v>
      </c>
      <c r="S16" s="8">
        <f t="shared" si="26"/>
        <v>4.7519999999999998</v>
      </c>
      <c r="T16" s="10">
        <f t="shared" si="27"/>
        <v>14.588639999999998</v>
      </c>
      <c r="U16" s="7">
        <f>'[5]Production Summary'!F17</f>
        <v>0</v>
      </c>
      <c r="V16" s="8">
        <f t="shared" si="28"/>
        <v>0</v>
      </c>
      <c r="W16" s="10">
        <f t="shared" si="29"/>
        <v>0</v>
      </c>
      <c r="X16" s="7">
        <f>'[5]Production Summary'!AB17</f>
        <v>143999.99999997704</v>
      </c>
      <c r="Y16" s="8">
        <f t="shared" si="30"/>
        <v>0.14399999999997704</v>
      </c>
      <c r="Z16" s="10">
        <f t="shared" si="31"/>
        <v>0.44207999999992947</v>
      </c>
      <c r="AA16" s="15"/>
      <c r="AB16" s="7">
        <f t="shared" si="32"/>
        <v>14606000.000000022</v>
      </c>
      <c r="AC16" s="8">
        <f t="shared" si="32"/>
        <v>14.606000000000023</v>
      </c>
      <c r="AD16" s="8">
        <f t="shared" si="32"/>
        <v>44.840420000000066</v>
      </c>
      <c r="AF16" s="8">
        <f>T16-Q16-Z16</f>
        <v>6.1399999999986465E-3</v>
      </c>
    </row>
    <row r="17" spans="1:32" x14ac:dyDescent="0.15">
      <c r="A17" s="27">
        <v>43386</v>
      </c>
      <c r="B17" s="7">
        <f>'[5]Production Summary'!J18</f>
        <v>11700000.000000272</v>
      </c>
      <c r="C17" s="8">
        <f t="shared" si="16"/>
        <v>11.700000000000271</v>
      </c>
      <c r="D17" s="10">
        <f t="shared" si="17"/>
        <v>35.919000000000828</v>
      </c>
      <c r="E17" s="7">
        <f>'[5]Production Summary'!E18</f>
        <v>0</v>
      </c>
      <c r="F17" s="8">
        <f t="shared" si="18"/>
        <v>0</v>
      </c>
      <c r="G17" s="10">
        <f t="shared" si="19"/>
        <v>0</v>
      </c>
      <c r="H17" s="7">
        <f>'[5]Production Summary'!G18</f>
        <v>12550000</v>
      </c>
      <c r="I17" s="8">
        <f t="shared" si="20"/>
        <v>12.55</v>
      </c>
      <c r="J17" s="10">
        <f t="shared" si="21"/>
        <v>38.528500000000001</v>
      </c>
      <c r="K17" s="7">
        <f>'[5]Production Summary'!T18</f>
        <v>1024646</v>
      </c>
      <c r="L17" s="8">
        <f t="shared" si="22"/>
        <v>1.0246459999999999</v>
      </c>
      <c r="M17" s="10">
        <f t="shared" si="23"/>
        <v>3.1456632199999999</v>
      </c>
      <c r="N17" s="21"/>
      <c r="O17" s="7">
        <f>'[5]Production Summary'!I18</f>
        <v>4819000.0000000019</v>
      </c>
      <c r="P17" s="8">
        <f t="shared" si="24"/>
        <v>4.8190000000000017</v>
      </c>
      <c r="Q17" s="10">
        <f t="shared" si="25"/>
        <v>14.794330000000004</v>
      </c>
      <c r="R17" s="7">
        <f>'[5]Production Summary'!C18</f>
        <v>5024000</v>
      </c>
      <c r="S17" s="8">
        <f t="shared" si="26"/>
        <v>5.024</v>
      </c>
      <c r="T17" s="10">
        <f t="shared" si="27"/>
        <v>15.423679999999999</v>
      </c>
      <c r="U17" s="7">
        <f>'[5]Production Summary'!F18</f>
        <v>0</v>
      </c>
      <c r="V17" s="8">
        <f t="shared" si="28"/>
        <v>0</v>
      </c>
      <c r="W17" s="10">
        <f t="shared" si="29"/>
        <v>0</v>
      </c>
      <c r="X17" s="7">
        <f>'[5]Production Summary'!AB18</f>
        <v>201999.9999999982</v>
      </c>
      <c r="Y17" s="8">
        <f t="shared" si="30"/>
        <v>0.20199999999999821</v>
      </c>
      <c r="Z17" s="10">
        <f t="shared" si="31"/>
        <v>0.62013999999999447</v>
      </c>
      <c r="AA17" s="15"/>
      <c r="AB17" s="7">
        <f t="shared" si="32"/>
        <v>16519000.000000274</v>
      </c>
      <c r="AC17" s="8">
        <f t="shared" si="32"/>
        <v>16.519000000000272</v>
      </c>
      <c r="AD17" s="8">
        <f t="shared" si="32"/>
        <v>50.71333000000083</v>
      </c>
      <c r="AF17" s="8">
        <f>T17-Q17-Z17</f>
        <v>9.2100000000007176E-3</v>
      </c>
    </row>
    <row r="18" spans="1:32" x14ac:dyDescent="0.15">
      <c r="A18" s="27">
        <v>43387</v>
      </c>
      <c r="B18" s="7">
        <f>'[5]Production Summary'!J19</f>
        <v>10500000</v>
      </c>
      <c r="C18" s="8">
        <f t="shared" si="16"/>
        <v>10.5</v>
      </c>
      <c r="D18" s="10">
        <f t="shared" si="17"/>
        <v>32.234999999999999</v>
      </c>
      <c r="E18" s="7">
        <f>'[5]Production Summary'!E19</f>
        <v>2000000</v>
      </c>
      <c r="F18" s="8">
        <f t="shared" si="18"/>
        <v>2</v>
      </c>
      <c r="G18" s="10">
        <f t="shared" si="19"/>
        <v>6.14</v>
      </c>
      <c r="H18" s="7">
        <f>'[5]Production Summary'!G19</f>
        <v>9710000</v>
      </c>
      <c r="I18" s="8">
        <f t="shared" si="20"/>
        <v>9.7100000000000009</v>
      </c>
      <c r="J18" s="10">
        <f t="shared" si="21"/>
        <v>29.809699999999999</v>
      </c>
      <c r="K18" s="7">
        <f>'[5]Production Summary'!T19</f>
        <v>1269729</v>
      </c>
      <c r="L18" s="8">
        <f t="shared" si="22"/>
        <v>1.2697290000000001</v>
      </c>
      <c r="M18" s="10">
        <f t="shared" si="23"/>
        <v>3.8980680300000001</v>
      </c>
      <c r="N18" s="21"/>
      <c r="O18" s="7">
        <f>'[5]Production Summary'!I19</f>
        <v>1623999.9999999865</v>
      </c>
      <c r="P18" s="8">
        <f t="shared" si="24"/>
        <v>1.6239999999999866</v>
      </c>
      <c r="Q18" s="10">
        <f t="shared" si="25"/>
        <v>4.9856799999999586</v>
      </c>
      <c r="R18" s="7">
        <f>'[5]Production Summary'!C19</f>
        <v>1856000</v>
      </c>
      <c r="S18" s="8">
        <f t="shared" si="26"/>
        <v>1.8560000000000001</v>
      </c>
      <c r="T18" s="10">
        <f t="shared" si="27"/>
        <v>5.6979199999999999</v>
      </c>
      <c r="U18" s="7">
        <f>'[5]Production Summary'!F19</f>
        <v>0</v>
      </c>
      <c r="V18" s="8">
        <f t="shared" si="28"/>
        <v>0</v>
      </c>
      <c r="W18" s="10">
        <f t="shared" si="29"/>
        <v>0</v>
      </c>
      <c r="X18" s="7">
        <f>'[5]Production Summary'!AB19</f>
        <v>229000.00000001342</v>
      </c>
      <c r="Y18" s="8">
        <f t="shared" si="30"/>
        <v>0.22900000000001342</v>
      </c>
      <c r="Z18" s="10">
        <f t="shared" si="31"/>
        <v>0.70303000000004112</v>
      </c>
      <c r="AA18" s="15"/>
      <c r="AB18" s="7">
        <f t="shared" si="32"/>
        <v>12123999.999999987</v>
      </c>
      <c r="AC18" s="8">
        <f t="shared" si="32"/>
        <v>12.123999999999986</v>
      </c>
      <c r="AD18" s="8">
        <f t="shared" si="32"/>
        <v>37.220679999999959</v>
      </c>
      <c r="AF18" s="8">
        <f>T18-Q18-Z18</f>
        <v>9.2100000000001625E-3</v>
      </c>
    </row>
    <row r="19" spans="1:32" x14ac:dyDescent="0.15">
      <c r="A19" s="27">
        <v>43388</v>
      </c>
      <c r="B19" s="7">
        <f>'[5]Production Summary'!J20</f>
        <v>14500000</v>
      </c>
      <c r="C19" s="8">
        <f t="shared" si="16"/>
        <v>14.5</v>
      </c>
      <c r="D19" s="10">
        <f t="shared" si="17"/>
        <v>44.515000000000001</v>
      </c>
      <c r="E19" s="7">
        <f>'[5]Production Summary'!E20</f>
        <v>5000000</v>
      </c>
      <c r="F19" s="8">
        <f t="shared" si="18"/>
        <v>5</v>
      </c>
      <c r="G19" s="10">
        <f t="shared" si="19"/>
        <v>15.35</v>
      </c>
      <c r="H19" s="7">
        <f>'[5]Production Summary'!G20</f>
        <v>10350000</v>
      </c>
      <c r="I19" s="8">
        <f t="shared" si="20"/>
        <v>10.35</v>
      </c>
      <c r="J19" s="10">
        <f t="shared" si="21"/>
        <v>31.774499999999996</v>
      </c>
      <c r="K19" s="7">
        <f>'[5]Production Summary'!T20</f>
        <v>1392794</v>
      </c>
      <c r="L19" s="8">
        <f t="shared" si="22"/>
        <v>1.3927940000000001</v>
      </c>
      <c r="M19" s="10">
        <f t="shared" si="23"/>
        <v>4.2758775800000004</v>
      </c>
      <c r="N19" s="21"/>
      <c r="O19" s="7">
        <f>'[5]Production Summary'!I20</f>
        <v>0</v>
      </c>
      <c r="P19" s="8">
        <f t="shared" si="24"/>
        <v>0</v>
      </c>
      <c r="Q19" s="10">
        <f t="shared" si="25"/>
        <v>0</v>
      </c>
      <c r="R19" s="7">
        <f>'[5]Production Summary'!C20</f>
        <v>0</v>
      </c>
      <c r="S19" s="8">
        <f t="shared" si="26"/>
        <v>0</v>
      </c>
      <c r="T19" s="10">
        <f t="shared" si="27"/>
        <v>0</v>
      </c>
      <c r="U19" s="7">
        <f>'[5]Production Summary'!F20</f>
        <v>0</v>
      </c>
      <c r="V19" s="8">
        <f t="shared" si="28"/>
        <v>0</v>
      </c>
      <c r="W19" s="10">
        <f t="shared" si="29"/>
        <v>0</v>
      </c>
      <c r="X19" s="7">
        <f>'[5]Production Summary'!AB20</f>
        <v>0</v>
      </c>
      <c r="Y19" s="8">
        <f t="shared" si="30"/>
        <v>0</v>
      </c>
      <c r="Z19" s="10">
        <f t="shared" si="31"/>
        <v>0</v>
      </c>
      <c r="AA19" s="15"/>
      <c r="AB19" s="7">
        <f t="shared" si="32"/>
        <v>14500000</v>
      </c>
      <c r="AC19" s="8">
        <f t="shared" si="32"/>
        <v>14.5</v>
      </c>
      <c r="AD19" s="8">
        <f>D19+Q19</f>
        <v>44.515000000000001</v>
      </c>
      <c r="AF19" s="8">
        <f>T19-Q19-Z19</f>
        <v>0</v>
      </c>
    </row>
    <row r="20" spans="1:32" x14ac:dyDescent="0.15">
      <c r="A20" s="27">
        <v>43389</v>
      </c>
      <c r="B20" s="7">
        <f>'[5]Production Summary'!J21</f>
        <v>14299999.999999728</v>
      </c>
      <c r="C20" s="8">
        <f t="shared" si="16"/>
        <v>14.299999999999729</v>
      </c>
      <c r="D20" s="10">
        <f t="shared" si="17"/>
        <v>43.900999999999165</v>
      </c>
      <c r="E20" s="7">
        <f>'[5]Production Summary'!E21</f>
        <v>5000000</v>
      </c>
      <c r="F20" s="8">
        <f t="shared" si="18"/>
        <v>5</v>
      </c>
      <c r="G20" s="10">
        <f t="shared" si="19"/>
        <v>15.35</v>
      </c>
      <c r="H20" s="7">
        <f>'[5]Production Summary'!G21</f>
        <v>10840000</v>
      </c>
      <c r="I20" s="8">
        <f t="shared" si="20"/>
        <v>10.84</v>
      </c>
      <c r="J20" s="10">
        <f t="shared" si="21"/>
        <v>33.278799999999997</v>
      </c>
      <c r="K20" s="7">
        <f>'[5]Production Summary'!T21</f>
        <v>1566750</v>
      </c>
      <c r="L20" s="8">
        <f t="shared" si="22"/>
        <v>1.5667500000000001</v>
      </c>
      <c r="M20" s="10">
        <f t="shared" si="23"/>
        <v>4.8099224999999999</v>
      </c>
      <c r="N20" s="21"/>
      <c r="O20" s="7">
        <f>'[5]Production Summary'!I21</f>
        <v>0</v>
      </c>
      <c r="P20" s="8">
        <f t="shared" si="24"/>
        <v>0</v>
      </c>
      <c r="Q20" s="10">
        <f t="shared" si="25"/>
        <v>0</v>
      </c>
      <c r="R20" s="7">
        <f>'[5]Production Summary'!C21</f>
        <v>0</v>
      </c>
      <c r="S20" s="8">
        <f t="shared" si="26"/>
        <v>0</v>
      </c>
      <c r="T20" s="10">
        <f t="shared" si="27"/>
        <v>0</v>
      </c>
      <c r="U20" s="7">
        <f>'[5]Production Summary'!F21</f>
        <v>0</v>
      </c>
      <c r="V20" s="8">
        <f t="shared" si="28"/>
        <v>0</v>
      </c>
      <c r="W20" s="10">
        <f t="shared" si="29"/>
        <v>0</v>
      </c>
      <c r="X20" s="7">
        <f>'[5]Production Summary'!AB21</f>
        <v>0</v>
      </c>
      <c r="Y20" s="8">
        <f t="shared" si="30"/>
        <v>0</v>
      </c>
      <c r="Z20" s="10">
        <f t="shared" si="31"/>
        <v>0</v>
      </c>
      <c r="AA20" s="15"/>
      <c r="AB20" s="7">
        <f t="shared" si="32"/>
        <v>14299999.999999728</v>
      </c>
      <c r="AC20" s="8">
        <f t="shared" si="32"/>
        <v>14.299999999999729</v>
      </c>
      <c r="AD20" s="8">
        <f t="shared" si="32"/>
        <v>43.900999999999165</v>
      </c>
      <c r="AF20" s="8">
        <f t="shared" ref="AF20:AF35" si="34">T20-Q20-Z20</f>
        <v>0</v>
      </c>
    </row>
    <row r="21" spans="1:32" x14ac:dyDescent="0.15">
      <c r="A21" s="27">
        <v>43390</v>
      </c>
      <c r="B21" s="7">
        <f>'[5]Production Summary'!J22</f>
        <v>15800000.000000183</v>
      </c>
      <c r="C21" s="8">
        <f t="shared" si="16"/>
        <v>15.800000000000182</v>
      </c>
      <c r="D21" s="10">
        <f t="shared" si="17"/>
        <v>48.506000000000554</v>
      </c>
      <c r="E21" s="7">
        <f>'[5]Production Summary'!E22</f>
        <v>5000000</v>
      </c>
      <c r="F21" s="8">
        <f t="shared" si="18"/>
        <v>5</v>
      </c>
      <c r="G21" s="10">
        <f t="shared" si="19"/>
        <v>15.35</v>
      </c>
      <c r="H21" s="7">
        <f>'[5]Production Summary'!G22</f>
        <v>12510000</v>
      </c>
      <c r="I21" s="8">
        <f t="shared" si="20"/>
        <v>12.51</v>
      </c>
      <c r="J21" s="10">
        <f t="shared" si="21"/>
        <v>38.405699999999996</v>
      </c>
      <c r="K21" s="7">
        <f>'[5]Production Summary'!T22</f>
        <v>1626614</v>
      </c>
      <c r="L21" s="8">
        <f t="shared" si="22"/>
        <v>1.626614</v>
      </c>
      <c r="M21" s="10">
        <f t="shared" si="23"/>
        <v>4.9937049799999995</v>
      </c>
      <c r="N21" s="21"/>
      <c r="O21" s="7">
        <f>'[5]Production Summary'!I22</f>
        <v>0</v>
      </c>
      <c r="P21" s="8">
        <f t="shared" si="24"/>
        <v>0</v>
      </c>
      <c r="Q21" s="10">
        <f t="shared" si="25"/>
        <v>0</v>
      </c>
      <c r="R21" s="7">
        <f>'[5]Production Summary'!C22</f>
        <v>0</v>
      </c>
      <c r="S21" s="8">
        <f t="shared" si="26"/>
        <v>0</v>
      </c>
      <c r="T21" s="10">
        <f t="shared" si="27"/>
        <v>0</v>
      </c>
      <c r="U21" s="7">
        <f>'[5]Production Summary'!F22</f>
        <v>0</v>
      </c>
      <c r="V21" s="8">
        <f t="shared" si="28"/>
        <v>0</v>
      </c>
      <c r="W21" s="10">
        <f t="shared" si="29"/>
        <v>0</v>
      </c>
      <c r="X21" s="7">
        <f>'[5]Production Summary'!AB22</f>
        <v>0</v>
      </c>
      <c r="Y21" s="8">
        <f t="shared" si="30"/>
        <v>0</v>
      </c>
      <c r="Z21" s="10">
        <f t="shared" si="31"/>
        <v>0</v>
      </c>
      <c r="AA21" s="15"/>
      <c r="AB21" s="7">
        <f t="shared" si="32"/>
        <v>15800000.000000183</v>
      </c>
      <c r="AC21" s="8">
        <f t="shared" si="32"/>
        <v>15.800000000000182</v>
      </c>
      <c r="AD21" s="8">
        <f t="shared" si="32"/>
        <v>48.506000000000554</v>
      </c>
      <c r="AF21" s="8">
        <f t="shared" si="34"/>
        <v>0</v>
      </c>
    </row>
    <row r="22" spans="1:32" x14ac:dyDescent="0.15">
      <c r="A22" s="27">
        <v>43391</v>
      </c>
      <c r="B22" s="7">
        <f>'[5]Production Summary'!J23</f>
        <v>14099999.999999909</v>
      </c>
      <c r="C22" s="8">
        <f t="shared" si="16"/>
        <v>14.099999999999909</v>
      </c>
      <c r="D22" s="10">
        <f t="shared" si="17"/>
        <v>43.286999999999722</v>
      </c>
      <c r="E22" s="7">
        <f>'[5]Production Summary'!E23</f>
        <v>5000000</v>
      </c>
      <c r="F22" s="8">
        <f t="shared" si="18"/>
        <v>5</v>
      </c>
      <c r="G22" s="10">
        <f t="shared" si="19"/>
        <v>15.35</v>
      </c>
      <c r="H22" s="7">
        <f>'[5]Production Summary'!G23</f>
        <v>10740000</v>
      </c>
      <c r="I22" s="8">
        <f t="shared" si="20"/>
        <v>10.74</v>
      </c>
      <c r="J22" s="10">
        <f t="shared" si="21"/>
        <v>32.971800000000002</v>
      </c>
      <c r="K22" s="7">
        <f>'[5]Production Summary'!T23</f>
        <v>1650021</v>
      </c>
      <c r="L22" s="8">
        <f t="shared" si="22"/>
        <v>1.650021</v>
      </c>
      <c r="M22" s="10">
        <f t="shared" si="23"/>
        <v>5.06556447</v>
      </c>
      <c r="N22" s="21"/>
      <c r="O22" s="7">
        <f>'[5]Production Summary'!I23</f>
        <v>0</v>
      </c>
      <c r="P22" s="8">
        <f t="shared" si="24"/>
        <v>0</v>
      </c>
      <c r="Q22" s="10">
        <f t="shared" si="25"/>
        <v>0</v>
      </c>
      <c r="R22" s="7">
        <f>'[5]Production Summary'!C23</f>
        <v>0</v>
      </c>
      <c r="S22" s="8">
        <f t="shared" si="26"/>
        <v>0</v>
      </c>
      <c r="T22" s="10">
        <f t="shared" si="27"/>
        <v>0</v>
      </c>
      <c r="U22" s="7">
        <f>'[5]Production Summary'!F23</f>
        <v>0</v>
      </c>
      <c r="V22" s="8">
        <f t="shared" si="28"/>
        <v>0</v>
      </c>
      <c r="W22" s="10">
        <f t="shared" si="29"/>
        <v>0</v>
      </c>
      <c r="X22" s="7">
        <f>'[5]Production Summary'!AB23</f>
        <v>0</v>
      </c>
      <c r="Y22" s="8">
        <f t="shared" si="30"/>
        <v>0</v>
      </c>
      <c r="Z22" s="10">
        <f t="shared" si="31"/>
        <v>0</v>
      </c>
      <c r="AA22" s="15"/>
      <c r="AB22" s="7">
        <f t="shared" si="32"/>
        <v>14099999.999999909</v>
      </c>
      <c r="AC22" s="8">
        <f t="shared" si="32"/>
        <v>14.099999999999909</v>
      </c>
      <c r="AD22" s="8">
        <f t="shared" si="32"/>
        <v>43.286999999999722</v>
      </c>
      <c r="AF22" s="8">
        <f t="shared" si="34"/>
        <v>0</v>
      </c>
    </row>
    <row r="23" spans="1:32" x14ac:dyDescent="0.15">
      <c r="A23" s="27">
        <v>43392</v>
      </c>
      <c r="B23" s="7">
        <f>'[5]Production Summary'!J24</f>
        <v>13699999.999999817</v>
      </c>
      <c r="C23" s="8">
        <f t="shared" si="16"/>
        <v>13.699999999999818</v>
      </c>
      <c r="D23" s="10">
        <f t="shared" si="17"/>
        <v>42.058999999999436</v>
      </c>
      <c r="E23" s="7">
        <f>'[5]Production Summary'!E24</f>
        <v>5000000</v>
      </c>
      <c r="F23" s="8">
        <f t="shared" si="18"/>
        <v>5</v>
      </c>
      <c r="G23" s="10">
        <f t="shared" si="19"/>
        <v>15.35</v>
      </c>
      <c r="H23" s="7">
        <f>'[5]Production Summary'!G24</f>
        <v>10150000</v>
      </c>
      <c r="I23" s="8">
        <f t="shared" si="20"/>
        <v>10.15</v>
      </c>
      <c r="J23" s="10">
        <f t="shared" si="21"/>
        <v>31.160499999999999</v>
      </c>
      <c r="K23" s="7">
        <f>'[5]Production Summary'!T24</f>
        <v>1534110</v>
      </c>
      <c r="L23" s="8">
        <f t="shared" si="22"/>
        <v>1.5341100000000001</v>
      </c>
      <c r="M23" s="10">
        <f t="shared" si="23"/>
        <v>4.7097176999999997</v>
      </c>
      <c r="N23" s="21"/>
      <c r="O23" s="7">
        <f>'[5]Production Summary'!I24</f>
        <v>0</v>
      </c>
      <c r="P23" s="8">
        <f t="shared" si="24"/>
        <v>0</v>
      </c>
      <c r="Q23" s="10">
        <f t="shared" si="25"/>
        <v>0</v>
      </c>
      <c r="R23" s="7">
        <f>'[5]Production Summary'!C24</f>
        <v>0</v>
      </c>
      <c r="S23" s="8">
        <f t="shared" si="26"/>
        <v>0</v>
      </c>
      <c r="T23" s="10">
        <f t="shared" si="27"/>
        <v>0</v>
      </c>
      <c r="U23" s="7">
        <f>'[5]Production Summary'!F24</f>
        <v>0</v>
      </c>
      <c r="V23" s="8">
        <f t="shared" si="28"/>
        <v>0</v>
      </c>
      <c r="W23" s="10">
        <f t="shared" si="29"/>
        <v>0</v>
      </c>
      <c r="X23" s="7">
        <f>'[5]Production Summary'!AB24</f>
        <v>0</v>
      </c>
      <c r="Y23" s="8">
        <f t="shared" si="30"/>
        <v>0</v>
      </c>
      <c r="Z23" s="10">
        <f t="shared" si="31"/>
        <v>0</v>
      </c>
      <c r="AA23" s="15"/>
      <c r="AB23" s="7">
        <f t="shared" si="32"/>
        <v>13699999.999999817</v>
      </c>
      <c r="AC23" s="8">
        <f t="shared" si="32"/>
        <v>13.699999999999818</v>
      </c>
      <c r="AD23" s="8">
        <f t="shared" si="32"/>
        <v>42.058999999999436</v>
      </c>
      <c r="AF23" s="8">
        <f t="shared" si="34"/>
        <v>0</v>
      </c>
    </row>
    <row r="24" spans="1:32" x14ac:dyDescent="0.15">
      <c r="A24" s="27">
        <v>43393</v>
      </c>
      <c r="B24" s="7">
        <f>'[5]Production Summary'!J25</f>
        <v>14100000.000000363</v>
      </c>
      <c r="C24" s="8">
        <f t="shared" si="16"/>
        <v>14.100000000000364</v>
      </c>
      <c r="D24" s="10">
        <f t="shared" si="17"/>
        <v>43.287000000001115</v>
      </c>
      <c r="E24" s="7">
        <f>'[5]Production Summary'!E25</f>
        <v>6000000</v>
      </c>
      <c r="F24" s="8">
        <f t="shared" si="18"/>
        <v>6</v>
      </c>
      <c r="G24" s="10">
        <f t="shared" si="19"/>
        <v>18.419999999999998</v>
      </c>
      <c r="H24" s="7">
        <f>'[5]Production Summary'!G25</f>
        <v>10270000</v>
      </c>
      <c r="I24" s="8">
        <f t="shared" si="20"/>
        <v>10.27</v>
      </c>
      <c r="J24" s="10">
        <f t="shared" si="21"/>
        <v>31.528899999999997</v>
      </c>
      <c r="K24" s="7">
        <f>'[5]Production Summary'!T25</f>
        <v>1732769</v>
      </c>
      <c r="L24" s="8">
        <f t="shared" si="22"/>
        <v>1.732769</v>
      </c>
      <c r="M24" s="10">
        <f t="shared" si="23"/>
        <v>5.3196008299999997</v>
      </c>
      <c r="N24" s="21"/>
      <c r="O24" s="7">
        <f>'[5]Production Summary'!I25</f>
        <v>0</v>
      </c>
      <c r="P24" s="8">
        <f t="shared" si="24"/>
        <v>0</v>
      </c>
      <c r="Q24" s="10">
        <f t="shared" si="25"/>
        <v>0</v>
      </c>
      <c r="R24" s="7">
        <f>'[5]Production Summary'!C25</f>
        <v>0</v>
      </c>
      <c r="S24" s="8">
        <f t="shared" si="26"/>
        <v>0</v>
      </c>
      <c r="T24" s="10">
        <f t="shared" si="27"/>
        <v>0</v>
      </c>
      <c r="U24" s="7">
        <f>'[5]Production Summary'!F25</f>
        <v>0</v>
      </c>
      <c r="V24" s="8">
        <f t="shared" si="28"/>
        <v>0</v>
      </c>
      <c r="W24" s="10">
        <f t="shared" si="29"/>
        <v>0</v>
      </c>
      <c r="X24" s="7">
        <f>'[5]Production Summary'!AB25</f>
        <v>0</v>
      </c>
      <c r="Y24" s="8">
        <f t="shared" si="30"/>
        <v>0</v>
      </c>
      <c r="Z24" s="10">
        <f t="shared" si="31"/>
        <v>0</v>
      </c>
      <c r="AA24" s="15"/>
      <c r="AB24" s="7">
        <f t="shared" si="32"/>
        <v>14100000.000000363</v>
      </c>
      <c r="AC24" s="8">
        <f t="shared" si="32"/>
        <v>14.100000000000364</v>
      </c>
      <c r="AD24" s="8">
        <f>D24+Q24</f>
        <v>43.287000000001115</v>
      </c>
      <c r="AF24" s="8">
        <f t="shared" si="34"/>
        <v>0</v>
      </c>
    </row>
    <row r="25" spans="1:32" x14ac:dyDescent="0.15">
      <c r="A25" s="27">
        <v>43394</v>
      </c>
      <c r="B25" s="7">
        <f>'[5]Production Summary'!J26</f>
        <v>14500000</v>
      </c>
      <c r="C25" s="8">
        <f t="shared" si="16"/>
        <v>14.5</v>
      </c>
      <c r="D25" s="10">
        <f t="shared" si="17"/>
        <v>44.515000000000001</v>
      </c>
      <c r="E25" s="7">
        <f>'[5]Production Summary'!E26</f>
        <v>5000000</v>
      </c>
      <c r="F25" s="8">
        <f t="shared" si="18"/>
        <v>5</v>
      </c>
      <c r="G25" s="10">
        <f t="shared" si="19"/>
        <v>15.35</v>
      </c>
      <c r="H25" s="7">
        <f>'[5]Production Summary'!G26</f>
        <v>10760000</v>
      </c>
      <c r="I25" s="8">
        <f t="shared" si="20"/>
        <v>10.76</v>
      </c>
      <c r="J25" s="10">
        <f t="shared" si="21"/>
        <v>33.033200000000001</v>
      </c>
      <c r="K25" s="7">
        <f>'[5]Production Summary'!T26</f>
        <v>1418125</v>
      </c>
      <c r="L25" s="8">
        <f t="shared" si="22"/>
        <v>1.4181250000000001</v>
      </c>
      <c r="M25" s="10">
        <f t="shared" si="23"/>
        <v>4.3536437499999998</v>
      </c>
      <c r="N25" s="21"/>
      <c r="O25" s="7">
        <f>'[5]Production Summary'!I26</f>
        <v>0</v>
      </c>
      <c r="P25" s="8">
        <f t="shared" si="24"/>
        <v>0</v>
      </c>
      <c r="Q25" s="10">
        <f t="shared" si="25"/>
        <v>0</v>
      </c>
      <c r="R25" s="7">
        <f>'[5]Production Summary'!C26</f>
        <v>0</v>
      </c>
      <c r="S25" s="8">
        <f t="shared" si="26"/>
        <v>0</v>
      </c>
      <c r="T25" s="10">
        <f t="shared" si="27"/>
        <v>0</v>
      </c>
      <c r="U25" s="7">
        <f>'[5]Production Summary'!F26</f>
        <v>0</v>
      </c>
      <c r="V25" s="8">
        <f t="shared" si="28"/>
        <v>0</v>
      </c>
      <c r="W25" s="10">
        <f t="shared" si="29"/>
        <v>0</v>
      </c>
      <c r="X25" s="7">
        <f>'[5]Production Summary'!AB26</f>
        <v>0</v>
      </c>
      <c r="Y25" s="8">
        <f t="shared" si="30"/>
        <v>0</v>
      </c>
      <c r="Z25" s="10">
        <f t="shared" si="31"/>
        <v>0</v>
      </c>
      <c r="AA25" s="15"/>
      <c r="AB25" s="7">
        <f t="shared" si="32"/>
        <v>14500000</v>
      </c>
      <c r="AC25" s="8">
        <f t="shared" si="32"/>
        <v>14.5</v>
      </c>
      <c r="AD25" s="8">
        <f t="shared" si="32"/>
        <v>44.515000000000001</v>
      </c>
      <c r="AF25" s="8">
        <f t="shared" si="34"/>
        <v>0</v>
      </c>
    </row>
    <row r="26" spans="1:32" x14ac:dyDescent="0.15">
      <c r="A26" s="27">
        <v>43395</v>
      </c>
      <c r="B26" s="7">
        <f>'[5]Production Summary'!J27</f>
        <v>16000000</v>
      </c>
      <c r="C26" s="8">
        <f t="shared" si="16"/>
        <v>16</v>
      </c>
      <c r="D26" s="10">
        <f t="shared" si="17"/>
        <v>49.12</v>
      </c>
      <c r="E26" s="7">
        <f>'[5]Production Summary'!E27</f>
        <v>5000000</v>
      </c>
      <c r="F26" s="8">
        <f t="shared" si="18"/>
        <v>5</v>
      </c>
      <c r="G26" s="10">
        <f t="shared" si="19"/>
        <v>15.35</v>
      </c>
      <c r="H26" s="7">
        <f>'[5]Production Summary'!G27</f>
        <v>12520000</v>
      </c>
      <c r="I26" s="8">
        <f t="shared" si="20"/>
        <v>12.52</v>
      </c>
      <c r="J26" s="10">
        <f t="shared" si="21"/>
        <v>38.436399999999999</v>
      </c>
      <c r="K26" s="7">
        <f>'[5]Production Summary'!T27</f>
        <v>1590387</v>
      </c>
      <c r="L26" s="8">
        <f t="shared" si="22"/>
        <v>1.590387</v>
      </c>
      <c r="M26" s="10">
        <f t="shared" si="23"/>
        <v>4.8824880899999998</v>
      </c>
      <c r="N26" s="21"/>
      <c r="O26" s="7">
        <f>'[5]Production Summary'!I27</f>
        <v>0</v>
      </c>
      <c r="P26" s="8">
        <f t="shared" si="24"/>
        <v>0</v>
      </c>
      <c r="Q26" s="10">
        <f t="shared" si="25"/>
        <v>0</v>
      </c>
      <c r="R26" s="7">
        <f>'[5]Production Summary'!C27</f>
        <v>0</v>
      </c>
      <c r="S26" s="8">
        <f t="shared" si="26"/>
        <v>0</v>
      </c>
      <c r="T26" s="10">
        <f t="shared" si="27"/>
        <v>0</v>
      </c>
      <c r="U26" s="7">
        <f>'[5]Production Summary'!F27</f>
        <v>0</v>
      </c>
      <c r="V26" s="8">
        <f t="shared" si="28"/>
        <v>0</v>
      </c>
      <c r="W26" s="10">
        <f t="shared" si="29"/>
        <v>0</v>
      </c>
      <c r="X26" s="7">
        <f>'[5]Production Summary'!AB27</f>
        <v>0</v>
      </c>
      <c r="Y26" s="8">
        <f t="shared" si="30"/>
        <v>0</v>
      </c>
      <c r="Z26" s="10">
        <f t="shared" si="31"/>
        <v>0</v>
      </c>
      <c r="AA26" s="15"/>
      <c r="AB26" s="7">
        <f t="shared" si="32"/>
        <v>16000000</v>
      </c>
      <c r="AC26" s="8">
        <f t="shared" si="32"/>
        <v>16</v>
      </c>
      <c r="AD26" s="8">
        <f t="shared" si="32"/>
        <v>49.12</v>
      </c>
      <c r="AF26" s="8">
        <f t="shared" si="34"/>
        <v>0</v>
      </c>
    </row>
    <row r="27" spans="1:32" x14ac:dyDescent="0.15">
      <c r="A27" s="27">
        <v>43396</v>
      </c>
      <c r="B27" s="7">
        <f>'[5]Production Summary'!J28</f>
        <v>13000000</v>
      </c>
      <c r="C27" s="8">
        <f t="shared" si="16"/>
        <v>13</v>
      </c>
      <c r="D27" s="10">
        <f t="shared" si="17"/>
        <v>39.909999999999997</v>
      </c>
      <c r="E27" s="7">
        <f>'[5]Production Summary'!E28</f>
        <v>5000000</v>
      </c>
      <c r="F27" s="8">
        <f t="shared" si="18"/>
        <v>5</v>
      </c>
      <c r="G27" s="10">
        <f t="shared" si="19"/>
        <v>15.35</v>
      </c>
      <c r="H27" s="7">
        <f>'[5]Production Summary'!G28</f>
        <v>8990000</v>
      </c>
      <c r="I27" s="8">
        <f t="shared" si="20"/>
        <v>8.99</v>
      </c>
      <c r="J27" s="10">
        <f t="shared" si="21"/>
        <v>27.599299999999999</v>
      </c>
      <c r="K27" s="7">
        <f>'[5]Production Summary'!T28</f>
        <v>1477869</v>
      </c>
      <c r="L27" s="8">
        <f t="shared" si="22"/>
        <v>1.4778690000000001</v>
      </c>
      <c r="M27" s="10">
        <f t="shared" si="23"/>
        <v>4.5370578300000002</v>
      </c>
      <c r="N27" s="21"/>
      <c r="O27" s="7">
        <f>'[5]Production Summary'!I28</f>
        <v>0</v>
      </c>
      <c r="P27" s="8">
        <f t="shared" si="24"/>
        <v>0</v>
      </c>
      <c r="Q27" s="10">
        <f t="shared" si="25"/>
        <v>0</v>
      </c>
      <c r="R27" s="7">
        <f>'[5]Production Summary'!C28</f>
        <v>0</v>
      </c>
      <c r="S27" s="8">
        <f t="shared" si="26"/>
        <v>0</v>
      </c>
      <c r="T27" s="10">
        <f t="shared" si="27"/>
        <v>0</v>
      </c>
      <c r="U27" s="7">
        <f>'[5]Production Summary'!F28</f>
        <v>0</v>
      </c>
      <c r="V27" s="8">
        <f t="shared" si="28"/>
        <v>0</v>
      </c>
      <c r="W27" s="10">
        <f t="shared" si="29"/>
        <v>0</v>
      </c>
      <c r="X27" s="7">
        <f>'[5]Production Summary'!AB28</f>
        <v>0</v>
      </c>
      <c r="Y27" s="8">
        <f t="shared" si="30"/>
        <v>0</v>
      </c>
      <c r="Z27" s="10">
        <f t="shared" si="31"/>
        <v>0</v>
      </c>
      <c r="AA27" s="15"/>
      <c r="AB27" s="7">
        <f t="shared" si="32"/>
        <v>13000000</v>
      </c>
      <c r="AC27" s="8">
        <f t="shared" si="32"/>
        <v>13</v>
      </c>
      <c r="AD27" s="8">
        <f t="shared" si="32"/>
        <v>39.909999999999997</v>
      </c>
      <c r="AF27" s="8">
        <f t="shared" si="34"/>
        <v>0</v>
      </c>
    </row>
    <row r="28" spans="1:32" x14ac:dyDescent="0.15">
      <c r="A28" s="27">
        <v>43397</v>
      </c>
      <c r="B28" s="7">
        <f>'[5]Production Summary'!J29</f>
        <v>10099999.999999454</v>
      </c>
      <c r="C28" s="8">
        <f t="shared" si="16"/>
        <v>10.099999999999454</v>
      </c>
      <c r="D28" s="10">
        <f t="shared" si="17"/>
        <v>31.006999999998325</v>
      </c>
      <c r="E28" s="7">
        <f>'[5]Production Summary'!E29</f>
        <v>5000000</v>
      </c>
      <c r="F28" s="8">
        <f t="shared" si="18"/>
        <v>5</v>
      </c>
      <c r="G28" s="10">
        <f t="shared" si="19"/>
        <v>15.35</v>
      </c>
      <c r="H28" s="7">
        <f>'[5]Production Summary'!G29</f>
        <v>6440000</v>
      </c>
      <c r="I28" s="8">
        <f t="shared" si="20"/>
        <v>6.44</v>
      </c>
      <c r="J28" s="10">
        <f t="shared" si="21"/>
        <v>19.770800000000001</v>
      </c>
      <c r="K28" s="7">
        <f>'[5]Production Summary'!T29</f>
        <v>1193305</v>
      </c>
      <c r="L28" s="8">
        <f t="shared" si="22"/>
        <v>1.1933050000000001</v>
      </c>
      <c r="M28" s="10">
        <f t="shared" si="23"/>
        <v>3.6634463500000001</v>
      </c>
      <c r="N28" s="21"/>
      <c r="O28" s="7">
        <f>'[5]Production Summary'!I29</f>
        <v>0</v>
      </c>
      <c r="P28" s="8">
        <f t="shared" si="24"/>
        <v>0</v>
      </c>
      <c r="Q28" s="10">
        <f t="shared" si="25"/>
        <v>0</v>
      </c>
      <c r="R28" s="7">
        <f>'[5]Production Summary'!C29</f>
        <v>0</v>
      </c>
      <c r="S28" s="8">
        <f t="shared" si="26"/>
        <v>0</v>
      </c>
      <c r="T28" s="10">
        <f t="shared" si="27"/>
        <v>0</v>
      </c>
      <c r="U28" s="7">
        <f>'[5]Production Summary'!F29</f>
        <v>0</v>
      </c>
      <c r="V28" s="8">
        <f t="shared" si="28"/>
        <v>0</v>
      </c>
      <c r="W28" s="10">
        <f t="shared" si="29"/>
        <v>0</v>
      </c>
      <c r="X28" s="7">
        <f>'[5]Production Summary'!AB29</f>
        <v>0</v>
      </c>
      <c r="Y28" s="8">
        <f t="shared" si="30"/>
        <v>0</v>
      </c>
      <c r="Z28" s="10">
        <f t="shared" si="31"/>
        <v>0</v>
      </c>
      <c r="AA28" s="15"/>
      <c r="AB28" s="7">
        <f t="shared" si="32"/>
        <v>10099999.999999454</v>
      </c>
      <c r="AC28" s="8">
        <f t="shared" si="32"/>
        <v>10.099999999999454</v>
      </c>
      <c r="AD28" s="8">
        <f t="shared" si="32"/>
        <v>31.006999999998325</v>
      </c>
      <c r="AF28" s="8">
        <f t="shared" si="34"/>
        <v>0</v>
      </c>
    </row>
    <row r="29" spans="1:32" x14ac:dyDescent="0.15">
      <c r="A29" s="27">
        <v>43398</v>
      </c>
      <c r="B29" s="7">
        <f>'[5]Production Summary'!J30</f>
        <v>12300000.000000183</v>
      </c>
      <c r="C29" s="8">
        <f t="shared" si="16"/>
        <v>12.300000000000182</v>
      </c>
      <c r="D29" s="10">
        <f t="shared" si="17"/>
        <v>37.761000000000557</v>
      </c>
      <c r="E29" s="7">
        <f>'[5]Production Summary'!E30</f>
        <v>5000000</v>
      </c>
      <c r="F29" s="8">
        <f t="shared" si="18"/>
        <v>5</v>
      </c>
      <c r="G29" s="10">
        <f t="shared" si="19"/>
        <v>15.35</v>
      </c>
      <c r="H29" s="7">
        <f>'[5]Production Summary'!G30</f>
        <v>7700000</v>
      </c>
      <c r="I29" s="8">
        <f t="shared" si="20"/>
        <v>7.7</v>
      </c>
      <c r="J29" s="10">
        <f t="shared" si="21"/>
        <v>23.638999999999999</v>
      </c>
      <c r="K29" s="7">
        <f>'[5]Production Summary'!T30</f>
        <v>1234785</v>
      </c>
      <c r="L29" s="8">
        <f t="shared" si="22"/>
        <v>1.234785</v>
      </c>
      <c r="M29" s="10">
        <f t="shared" si="23"/>
        <v>3.7907899499999997</v>
      </c>
      <c r="N29" s="21"/>
      <c r="O29" s="7">
        <f>'[5]Production Summary'!I30</f>
        <v>0</v>
      </c>
      <c r="P29" s="8">
        <f t="shared" si="24"/>
        <v>0</v>
      </c>
      <c r="Q29" s="10">
        <f t="shared" si="25"/>
        <v>0</v>
      </c>
      <c r="R29" s="7">
        <f>'[5]Production Summary'!C30</f>
        <v>0</v>
      </c>
      <c r="S29" s="8">
        <f t="shared" si="26"/>
        <v>0</v>
      </c>
      <c r="T29" s="10">
        <f t="shared" si="27"/>
        <v>0</v>
      </c>
      <c r="U29" s="7">
        <f>'[5]Production Summary'!F30</f>
        <v>0</v>
      </c>
      <c r="V29" s="8">
        <f t="shared" si="28"/>
        <v>0</v>
      </c>
      <c r="W29" s="10">
        <f t="shared" si="29"/>
        <v>0</v>
      </c>
      <c r="X29" s="7">
        <f>'[5]Production Summary'!AB30</f>
        <v>0</v>
      </c>
      <c r="Y29" s="8">
        <f t="shared" si="30"/>
        <v>0</v>
      </c>
      <c r="Z29" s="10">
        <f t="shared" si="31"/>
        <v>0</v>
      </c>
      <c r="AA29" s="15"/>
      <c r="AB29" s="7">
        <f t="shared" si="32"/>
        <v>12300000.000000183</v>
      </c>
      <c r="AC29" s="8">
        <f t="shared" si="32"/>
        <v>12.300000000000182</v>
      </c>
      <c r="AD29" s="8">
        <f t="shared" si="32"/>
        <v>37.761000000000557</v>
      </c>
      <c r="AF29" s="8">
        <f t="shared" si="34"/>
        <v>0</v>
      </c>
    </row>
    <row r="30" spans="1:32" x14ac:dyDescent="0.15">
      <c r="A30" s="27">
        <v>43399</v>
      </c>
      <c r="B30" s="7">
        <f>'[5]Production Summary'!J31</f>
        <v>11400000.000000546</v>
      </c>
      <c r="C30" s="8">
        <f t="shared" si="16"/>
        <v>11.400000000000546</v>
      </c>
      <c r="D30" s="10">
        <f t="shared" si="17"/>
        <v>34.998000000001674</v>
      </c>
      <c r="E30" s="7">
        <f>'[5]Production Summary'!E31</f>
        <v>5000000</v>
      </c>
      <c r="F30" s="8">
        <f t="shared" si="18"/>
        <v>5</v>
      </c>
      <c r="G30" s="10">
        <f t="shared" si="19"/>
        <v>15.35</v>
      </c>
      <c r="H30" s="7">
        <f>'[5]Production Summary'!G31</f>
        <v>7580000</v>
      </c>
      <c r="I30" s="8">
        <f t="shared" si="20"/>
        <v>7.58</v>
      </c>
      <c r="J30" s="10">
        <f t="shared" si="21"/>
        <v>23.270599999999998</v>
      </c>
      <c r="K30" s="7">
        <f>'[5]Production Summary'!T31</f>
        <v>1230620</v>
      </c>
      <c r="L30" s="8">
        <f t="shared" si="22"/>
        <v>1.23062</v>
      </c>
      <c r="M30" s="10">
        <f t="shared" si="23"/>
        <v>3.7780033999999998</v>
      </c>
      <c r="N30" s="21"/>
      <c r="O30" s="7">
        <f>'[5]Production Summary'!I31</f>
        <v>0</v>
      </c>
      <c r="P30" s="8">
        <f t="shared" si="24"/>
        <v>0</v>
      </c>
      <c r="Q30" s="10">
        <f t="shared" si="25"/>
        <v>0</v>
      </c>
      <c r="R30" s="7">
        <f>'[5]Production Summary'!C31</f>
        <v>0</v>
      </c>
      <c r="S30" s="8">
        <f t="shared" si="26"/>
        <v>0</v>
      </c>
      <c r="T30" s="10">
        <f t="shared" si="27"/>
        <v>0</v>
      </c>
      <c r="U30" s="7">
        <f>'[5]Production Summary'!F31</f>
        <v>0</v>
      </c>
      <c r="V30" s="8">
        <f t="shared" si="28"/>
        <v>0</v>
      </c>
      <c r="W30" s="10">
        <f t="shared" si="29"/>
        <v>0</v>
      </c>
      <c r="X30" s="7">
        <f>'[5]Production Summary'!AB31</f>
        <v>0</v>
      </c>
      <c r="Y30" s="8">
        <f t="shared" si="30"/>
        <v>0</v>
      </c>
      <c r="Z30" s="10">
        <f t="shared" si="31"/>
        <v>0</v>
      </c>
      <c r="AA30" s="15"/>
      <c r="AB30" s="7">
        <f t="shared" si="32"/>
        <v>11400000.000000546</v>
      </c>
      <c r="AC30" s="8">
        <f t="shared" si="32"/>
        <v>11.400000000000546</v>
      </c>
      <c r="AD30" s="8">
        <f>D30+Q30</f>
        <v>34.998000000001674</v>
      </c>
      <c r="AF30" s="8">
        <f t="shared" si="34"/>
        <v>0</v>
      </c>
    </row>
    <row r="31" spans="1:32" x14ac:dyDescent="0.15">
      <c r="A31" s="27">
        <v>43400</v>
      </c>
      <c r="B31" s="7">
        <f>'[5]Production Summary'!J32</f>
        <v>14000000</v>
      </c>
      <c r="C31" s="8">
        <f t="shared" si="16"/>
        <v>14</v>
      </c>
      <c r="D31" s="10">
        <f t="shared" si="17"/>
        <v>42.98</v>
      </c>
      <c r="E31" s="7">
        <f>'[5]Production Summary'!E32</f>
        <v>6000000</v>
      </c>
      <c r="F31" s="8">
        <f t="shared" si="18"/>
        <v>6</v>
      </c>
      <c r="G31" s="10">
        <f t="shared" si="19"/>
        <v>18.419999999999998</v>
      </c>
      <c r="H31" s="7">
        <f>'[5]Production Summary'!G32</f>
        <v>9000000</v>
      </c>
      <c r="I31" s="8">
        <f t="shared" si="20"/>
        <v>9</v>
      </c>
      <c r="J31" s="10">
        <f t="shared" si="21"/>
        <v>27.63</v>
      </c>
      <c r="K31" s="7">
        <f>'[5]Production Summary'!T32</f>
        <v>1321003</v>
      </c>
      <c r="L31" s="8">
        <f t="shared" si="22"/>
        <v>1.3210029999999999</v>
      </c>
      <c r="M31" s="10">
        <f t="shared" si="23"/>
        <v>4.0554792099999997</v>
      </c>
      <c r="N31" s="21"/>
      <c r="O31" s="7">
        <f>'[5]Production Summary'!I32</f>
        <v>0</v>
      </c>
      <c r="P31" s="8">
        <f t="shared" si="24"/>
        <v>0</v>
      </c>
      <c r="Q31" s="10">
        <f t="shared" si="25"/>
        <v>0</v>
      </c>
      <c r="R31" s="7">
        <f>'[5]Production Summary'!C32</f>
        <v>0</v>
      </c>
      <c r="S31" s="8">
        <f t="shared" si="26"/>
        <v>0</v>
      </c>
      <c r="T31" s="10">
        <f t="shared" si="27"/>
        <v>0</v>
      </c>
      <c r="U31" s="7">
        <f>'[5]Production Summary'!F32</f>
        <v>0</v>
      </c>
      <c r="V31" s="8">
        <f t="shared" si="28"/>
        <v>0</v>
      </c>
      <c r="W31" s="10">
        <f t="shared" si="29"/>
        <v>0</v>
      </c>
      <c r="X31" s="7">
        <f>'[5]Production Summary'!AB32</f>
        <v>0</v>
      </c>
      <c r="Y31" s="8">
        <f t="shared" si="30"/>
        <v>0</v>
      </c>
      <c r="Z31" s="10">
        <f t="shared" si="31"/>
        <v>0</v>
      </c>
      <c r="AA31" s="15"/>
      <c r="AB31" s="7">
        <f t="shared" si="32"/>
        <v>14000000</v>
      </c>
      <c r="AC31" s="8">
        <f t="shared" si="32"/>
        <v>14</v>
      </c>
      <c r="AD31" s="8">
        <f t="shared" si="32"/>
        <v>42.98</v>
      </c>
      <c r="AF31" s="8">
        <f>T31-Q31-Z31</f>
        <v>0</v>
      </c>
    </row>
    <row r="32" spans="1:32" x14ac:dyDescent="0.15">
      <c r="A32" s="27">
        <v>43401</v>
      </c>
      <c r="B32" s="7">
        <f>'[5]Production Summary'!J33</f>
        <v>12899999.999999637</v>
      </c>
      <c r="C32" s="8">
        <f t="shared" si="16"/>
        <v>12.899999999999636</v>
      </c>
      <c r="D32" s="10">
        <f t="shared" si="17"/>
        <v>39.602999999998879</v>
      </c>
      <c r="E32" s="7">
        <f>'[5]Production Summary'!E33</f>
        <v>6000000</v>
      </c>
      <c r="F32" s="8">
        <f t="shared" si="18"/>
        <v>6</v>
      </c>
      <c r="G32" s="10">
        <f t="shared" si="19"/>
        <v>18.419999999999998</v>
      </c>
      <c r="H32" s="7">
        <f>'[5]Production Summary'!G33</f>
        <v>8480000</v>
      </c>
      <c r="I32" s="8">
        <f t="shared" si="20"/>
        <v>8.48</v>
      </c>
      <c r="J32" s="10">
        <f t="shared" si="21"/>
        <v>26.0336</v>
      </c>
      <c r="K32" s="7">
        <f>'[5]Production Summary'!T33</f>
        <v>1263833</v>
      </c>
      <c r="L32" s="8">
        <f t="shared" si="22"/>
        <v>1.263833</v>
      </c>
      <c r="M32" s="10">
        <f t="shared" si="23"/>
        <v>3.8799673099999996</v>
      </c>
      <c r="N32" s="21"/>
      <c r="O32" s="7">
        <f>'[5]Production Summary'!I33</f>
        <v>0</v>
      </c>
      <c r="P32" s="8">
        <f t="shared" si="24"/>
        <v>0</v>
      </c>
      <c r="Q32" s="10">
        <f t="shared" si="25"/>
        <v>0</v>
      </c>
      <c r="R32" s="7">
        <f>'[5]Production Summary'!C33</f>
        <v>0</v>
      </c>
      <c r="S32" s="8">
        <f t="shared" si="26"/>
        <v>0</v>
      </c>
      <c r="T32" s="10">
        <f t="shared" si="27"/>
        <v>0</v>
      </c>
      <c r="U32" s="7">
        <f>'[5]Production Summary'!F33</f>
        <v>0</v>
      </c>
      <c r="V32" s="8">
        <f t="shared" si="28"/>
        <v>0</v>
      </c>
      <c r="W32" s="10">
        <f t="shared" si="29"/>
        <v>0</v>
      </c>
      <c r="X32" s="7">
        <f>'[5]Production Summary'!AB33</f>
        <v>0</v>
      </c>
      <c r="Y32" s="8">
        <f t="shared" si="30"/>
        <v>0</v>
      </c>
      <c r="Z32" s="10">
        <f t="shared" si="31"/>
        <v>0</v>
      </c>
      <c r="AA32" s="15"/>
      <c r="AB32" s="7">
        <f t="shared" si="32"/>
        <v>12899999.999999637</v>
      </c>
      <c r="AC32" s="8">
        <f t="shared" si="32"/>
        <v>12.899999999999636</v>
      </c>
      <c r="AD32" s="8">
        <f t="shared" si="32"/>
        <v>39.602999999998879</v>
      </c>
      <c r="AF32" s="8">
        <f t="shared" si="34"/>
        <v>0</v>
      </c>
    </row>
    <row r="33" spans="1:32" x14ac:dyDescent="0.15">
      <c r="A33" s="27">
        <v>43402</v>
      </c>
      <c r="B33" s="7">
        <f>'[5]Production Summary'!J34</f>
        <v>13000000</v>
      </c>
      <c r="C33" s="8">
        <f t="shared" si="16"/>
        <v>13</v>
      </c>
      <c r="D33" s="10">
        <f t="shared" si="17"/>
        <v>39.909999999999997</v>
      </c>
      <c r="E33" s="7">
        <f>'[5]Production Summary'!E34</f>
        <v>6000000</v>
      </c>
      <c r="F33" s="8">
        <f t="shared" si="18"/>
        <v>6</v>
      </c>
      <c r="G33" s="10">
        <f t="shared" si="19"/>
        <v>18.419999999999998</v>
      </c>
      <c r="H33" s="7">
        <f>'[5]Production Summary'!G34</f>
        <v>8870000</v>
      </c>
      <c r="I33" s="8">
        <f t="shared" si="20"/>
        <v>8.8699999999999992</v>
      </c>
      <c r="J33" s="10">
        <f t="shared" si="21"/>
        <v>27.230899999999995</v>
      </c>
      <c r="K33" s="7">
        <f>'[5]Production Summary'!T34</f>
        <v>1390630</v>
      </c>
      <c r="L33" s="8">
        <f t="shared" si="22"/>
        <v>1.39063</v>
      </c>
      <c r="M33" s="10">
        <f t="shared" si="23"/>
        <v>4.2692341000000003</v>
      </c>
      <c r="N33" s="21"/>
      <c r="O33" s="7">
        <f>'[5]Production Summary'!I34</f>
        <v>0</v>
      </c>
      <c r="P33" s="8">
        <f t="shared" si="24"/>
        <v>0</v>
      </c>
      <c r="Q33" s="10">
        <f t="shared" si="25"/>
        <v>0</v>
      </c>
      <c r="R33" s="7">
        <f>'[5]Production Summary'!C34</f>
        <v>0</v>
      </c>
      <c r="S33" s="8">
        <f t="shared" si="26"/>
        <v>0</v>
      </c>
      <c r="T33" s="10">
        <f t="shared" si="27"/>
        <v>0</v>
      </c>
      <c r="U33" s="7">
        <f>'[5]Production Summary'!F34</f>
        <v>0</v>
      </c>
      <c r="V33" s="8">
        <f t="shared" si="28"/>
        <v>0</v>
      </c>
      <c r="W33" s="10">
        <f t="shared" si="29"/>
        <v>0</v>
      </c>
      <c r="X33" s="7">
        <f>'[5]Production Summary'!AB34</f>
        <v>0</v>
      </c>
      <c r="Y33" s="8">
        <f t="shared" si="30"/>
        <v>0</v>
      </c>
      <c r="Z33" s="10">
        <f t="shared" si="31"/>
        <v>0</v>
      </c>
      <c r="AA33" s="15"/>
      <c r="AB33" s="7">
        <f t="shared" si="32"/>
        <v>13000000</v>
      </c>
      <c r="AC33" s="8">
        <f t="shared" si="32"/>
        <v>13</v>
      </c>
      <c r="AD33" s="8">
        <f t="shared" si="32"/>
        <v>39.909999999999997</v>
      </c>
      <c r="AF33" s="8">
        <f t="shared" si="34"/>
        <v>0</v>
      </c>
    </row>
    <row r="34" spans="1:32" x14ac:dyDescent="0.15">
      <c r="A34" s="27">
        <v>43403</v>
      </c>
      <c r="B34" s="7">
        <f>'[5]Production Summary'!J35</f>
        <v>12000000</v>
      </c>
      <c r="C34" s="8">
        <f t="shared" si="16"/>
        <v>12</v>
      </c>
      <c r="D34" s="10">
        <f t="shared" si="17"/>
        <v>36.839999999999996</v>
      </c>
      <c r="E34" s="7">
        <f>'[5]Production Summary'!E35</f>
        <v>5000000</v>
      </c>
      <c r="F34" s="8">
        <f t="shared" si="18"/>
        <v>5</v>
      </c>
      <c r="G34" s="10">
        <f t="shared" si="19"/>
        <v>15.35</v>
      </c>
      <c r="H34" s="7">
        <f>'[5]Production Summary'!G35</f>
        <v>8250000</v>
      </c>
      <c r="I34" s="8">
        <f t="shared" si="20"/>
        <v>8.25</v>
      </c>
      <c r="J34" s="10">
        <f t="shared" si="21"/>
        <v>25.327499999999997</v>
      </c>
      <c r="K34" s="7">
        <f>'[5]Production Summary'!T35</f>
        <v>1286802</v>
      </c>
      <c r="L34" s="8">
        <f t="shared" si="22"/>
        <v>1.286802</v>
      </c>
      <c r="M34" s="10">
        <f t="shared" si="23"/>
        <v>3.9504821399999996</v>
      </c>
      <c r="N34" s="21"/>
      <c r="O34" s="7">
        <f>'[5]Production Summary'!I35</f>
        <v>0</v>
      </c>
      <c r="P34" s="8">
        <f t="shared" si="24"/>
        <v>0</v>
      </c>
      <c r="Q34" s="10">
        <f t="shared" si="25"/>
        <v>0</v>
      </c>
      <c r="R34" s="7">
        <f>'[5]Production Summary'!C35</f>
        <v>0</v>
      </c>
      <c r="S34" s="8">
        <f t="shared" si="26"/>
        <v>0</v>
      </c>
      <c r="T34" s="10">
        <f t="shared" si="27"/>
        <v>0</v>
      </c>
      <c r="U34" s="7">
        <f>'[5]Production Summary'!F35</f>
        <v>0</v>
      </c>
      <c r="V34" s="8">
        <f t="shared" si="28"/>
        <v>0</v>
      </c>
      <c r="W34" s="10">
        <f t="shared" si="29"/>
        <v>0</v>
      </c>
      <c r="X34" s="7">
        <f>'[5]Production Summary'!AB35</f>
        <v>0</v>
      </c>
      <c r="Y34" s="8">
        <f t="shared" si="30"/>
        <v>0</v>
      </c>
      <c r="Z34" s="10">
        <f t="shared" si="31"/>
        <v>0</v>
      </c>
      <c r="AA34" s="15"/>
      <c r="AB34" s="7">
        <f t="shared" si="32"/>
        <v>12000000</v>
      </c>
      <c r="AC34" s="8">
        <f t="shared" si="32"/>
        <v>12</v>
      </c>
      <c r="AD34" s="8">
        <f t="shared" si="32"/>
        <v>36.839999999999996</v>
      </c>
      <c r="AF34" s="8">
        <f t="shared" si="34"/>
        <v>0</v>
      </c>
    </row>
    <row r="35" spans="1:32" ht="14" thickBot="1" x14ac:dyDescent="0.2">
      <c r="A35" s="27">
        <v>43404</v>
      </c>
      <c r="B35" s="7">
        <f>'[5]Production Summary'!J36</f>
        <v>12800000.000000183</v>
      </c>
      <c r="C35" s="8">
        <f t="shared" si="16"/>
        <v>12.800000000000182</v>
      </c>
      <c r="D35" s="10">
        <f t="shared" si="17"/>
        <v>39.296000000000554</v>
      </c>
      <c r="E35" s="7">
        <f>'[5]Production Summary'!E36</f>
        <v>5000000</v>
      </c>
      <c r="F35" s="8">
        <f t="shared" si="18"/>
        <v>5</v>
      </c>
      <c r="G35" s="10">
        <f t="shared" si="19"/>
        <v>15.35</v>
      </c>
      <c r="H35" s="7">
        <f>'[5]Production Summary'!G36</f>
        <v>8560000</v>
      </c>
      <c r="I35" s="8">
        <f t="shared" si="20"/>
        <v>8.56</v>
      </c>
      <c r="J35" s="10">
        <f t="shared" si="21"/>
        <v>26.279199999999999</v>
      </c>
      <c r="K35" s="7">
        <f>'[5]Production Summary'!T36</f>
        <v>1501470</v>
      </c>
      <c r="L35" s="8">
        <f t="shared" si="22"/>
        <v>1.5014700000000001</v>
      </c>
      <c r="M35" s="10">
        <f t="shared" si="23"/>
        <v>4.6095129000000004</v>
      </c>
      <c r="N35" s="21"/>
      <c r="O35" s="7">
        <f>'[5]Production Summary'!I36</f>
        <v>0</v>
      </c>
      <c r="P35" s="8">
        <f t="shared" si="24"/>
        <v>0</v>
      </c>
      <c r="Q35" s="10">
        <f t="shared" si="25"/>
        <v>0</v>
      </c>
      <c r="R35" s="7">
        <f>'[5]Production Summary'!C36</f>
        <v>0</v>
      </c>
      <c r="S35" s="8">
        <f t="shared" si="26"/>
        <v>0</v>
      </c>
      <c r="T35" s="10">
        <f t="shared" si="27"/>
        <v>0</v>
      </c>
      <c r="U35" s="7">
        <f>'[5]Production Summary'!F36</f>
        <v>0</v>
      </c>
      <c r="V35" s="8">
        <f t="shared" si="28"/>
        <v>0</v>
      </c>
      <c r="W35" s="10">
        <f t="shared" si="29"/>
        <v>0</v>
      </c>
      <c r="X35" s="7">
        <f>'[5]Production Summary'!AB36</f>
        <v>0</v>
      </c>
      <c r="Y35" s="8">
        <f t="shared" si="30"/>
        <v>0</v>
      </c>
      <c r="Z35" s="10">
        <f t="shared" si="31"/>
        <v>0</v>
      </c>
      <c r="AA35" s="15"/>
      <c r="AB35" s="7">
        <f t="shared" si="32"/>
        <v>12800000.000000183</v>
      </c>
      <c r="AC35" s="8">
        <f t="shared" si="32"/>
        <v>12.800000000000182</v>
      </c>
      <c r="AD35" s="8">
        <f t="shared" si="32"/>
        <v>39.296000000000554</v>
      </c>
      <c r="AF35" s="8">
        <f t="shared" si="34"/>
        <v>0</v>
      </c>
    </row>
    <row r="36" spans="1:32" ht="14" thickBot="1" x14ac:dyDescent="0.2">
      <c r="A36" s="14"/>
      <c r="B36" s="37"/>
      <c r="C36" s="38">
        <f>SUM(C5:C35)</f>
        <v>438.30000000000018</v>
      </c>
      <c r="D36" s="38">
        <f>SUM(D5:D35)</f>
        <v>1345.5810000000006</v>
      </c>
      <c r="E36" s="37"/>
      <c r="F36" s="38">
        <f>SUM(F5:F35)</f>
        <v>187</v>
      </c>
      <c r="G36" s="38">
        <f>SUM(G5:G35)</f>
        <v>574.09000000000026</v>
      </c>
      <c r="H36" s="37"/>
      <c r="I36" s="38">
        <f>SUM(I5:I35)</f>
        <v>292.23000000000008</v>
      </c>
      <c r="J36" s="38">
        <f>SUM(J5:J35)</f>
        <v>897.14609999999982</v>
      </c>
      <c r="K36" s="37"/>
      <c r="L36" s="38">
        <f>SUM(L5:L35)</f>
        <v>46.240224000000005</v>
      </c>
      <c r="M36" s="38">
        <f>SUM(M5:M35)</f>
        <v>141.95748768000001</v>
      </c>
      <c r="N36" s="14"/>
      <c r="O36" s="37"/>
      <c r="P36" s="38">
        <f>SUM(P5:P35)</f>
        <v>78.807000000000002</v>
      </c>
      <c r="Q36" s="38">
        <f>SUM(Q5:Q35)</f>
        <v>241.93749</v>
      </c>
      <c r="R36" s="37"/>
      <c r="S36" s="38">
        <f>SUM(S5:S35)</f>
        <v>82.005999999999986</v>
      </c>
      <c r="T36" s="38">
        <f>SUM(T5:T35)</f>
        <v>251.75841999999997</v>
      </c>
      <c r="U36" s="37"/>
      <c r="V36" s="38">
        <f>SUM(V5:V35)</f>
        <v>0</v>
      </c>
      <c r="W36" s="38">
        <f>SUM(W5:W35)</f>
        <v>0</v>
      </c>
      <c r="X36" s="37"/>
      <c r="Y36" s="38">
        <f>SUM(Y5:Y35)</f>
        <v>3.1469999999999914</v>
      </c>
      <c r="Z36" s="38">
        <f>SUM(Z5:Z35)</f>
        <v>9.6612899999999708</v>
      </c>
      <c r="AA36" s="14"/>
      <c r="AB36" s="37"/>
      <c r="AC36" s="38">
        <f>SUM(AC5:AC35)</f>
        <v>517.1070000000002</v>
      </c>
      <c r="AD36" s="38">
        <f>SUM(AD5:AD35)</f>
        <v>1587.5184900000006</v>
      </c>
      <c r="AF36" s="38">
        <f>SUM(AF5:AF35)</f>
        <v>0.15963999999999828</v>
      </c>
    </row>
    <row r="37" spans="1:32" x14ac:dyDescent="0.15">
      <c r="A37" s="3"/>
      <c r="B37" s="3"/>
      <c r="C37" s="24"/>
      <c r="D37" s="3"/>
      <c r="E37" s="3"/>
      <c r="F37" s="3"/>
      <c r="G37" s="3"/>
      <c r="H37" s="3"/>
      <c r="I37" s="3"/>
      <c r="J37" s="3"/>
      <c r="K37" s="14"/>
      <c r="L37" s="3"/>
      <c r="M37" s="3"/>
      <c r="N37" s="3"/>
      <c r="O37" s="3"/>
      <c r="P37" s="3"/>
      <c r="Q37" s="3"/>
      <c r="R37" s="3"/>
      <c r="S37" s="3"/>
      <c r="T37" s="3"/>
      <c r="U37" s="14"/>
      <c r="V37" s="3"/>
      <c r="W37" s="3"/>
      <c r="X37" s="3"/>
    </row>
  </sheetData>
  <mergeCells count="9">
    <mergeCell ref="AB3:AD3"/>
    <mergeCell ref="R3:T3"/>
    <mergeCell ref="U3:W3"/>
    <mergeCell ref="X3:Z3"/>
    <mergeCell ref="B3:D3"/>
    <mergeCell ref="E3:G3"/>
    <mergeCell ref="H3:J3"/>
    <mergeCell ref="O3:Q3"/>
    <mergeCell ref="K3:M3"/>
  </mergeCells>
  <phoneticPr fontId="1" type="noConversion"/>
  <pageMargins left="0.75" right="0.75" top="1" bottom="1" header="0.5" footer="0.5"/>
  <pageSetup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K17"/>
  <sheetViews>
    <sheetView workbookViewId="0">
      <selection activeCell="M16" sqref="M16"/>
    </sheetView>
  </sheetViews>
  <sheetFormatPr baseColWidth="10" defaultColWidth="9.1640625" defaultRowHeight="13" x14ac:dyDescent="0.15"/>
  <cols>
    <col min="1" max="1" width="9.1640625" style="49"/>
    <col min="2" max="2" width="16" style="49" bestFit="1" customWidth="1"/>
    <col min="3" max="3" width="16.33203125" style="49" bestFit="1" customWidth="1"/>
    <col min="4" max="4" width="16.83203125" style="49" bestFit="1" customWidth="1"/>
    <col min="5" max="5" width="15.6640625" style="49" bestFit="1" customWidth="1"/>
    <col min="6" max="6" width="13.83203125" style="49" bestFit="1" customWidth="1"/>
    <col min="7" max="7" width="21.83203125" style="49" bestFit="1" customWidth="1"/>
    <col min="8" max="8" width="14.1640625" style="49" bestFit="1" customWidth="1"/>
    <col min="9" max="9" width="13.5" style="49" bestFit="1" customWidth="1"/>
    <col min="10" max="16384" width="9.1640625" style="49"/>
  </cols>
  <sheetData>
    <row r="1" spans="1:11" s="42" customFormat="1" x14ac:dyDescent="0.15">
      <c r="B1" s="43" t="s">
        <v>10</v>
      </c>
      <c r="C1" s="43" t="s">
        <v>11</v>
      </c>
      <c r="D1" s="43" t="s">
        <v>12</v>
      </c>
      <c r="E1" s="43" t="s">
        <v>13</v>
      </c>
      <c r="F1" s="43" t="s">
        <v>4</v>
      </c>
      <c r="G1" s="43" t="s">
        <v>3</v>
      </c>
      <c r="H1" s="43" t="s">
        <v>6</v>
      </c>
      <c r="I1" s="43" t="s">
        <v>7</v>
      </c>
      <c r="J1" s="43"/>
      <c r="K1" s="43"/>
    </row>
    <row r="2" spans="1:11" s="44" customFormat="1" x14ac:dyDescent="0.15">
      <c r="B2" s="45" t="s">
        <v>2</v>
      </c>
      <c r="C2" s="45" t="s">
        <v>2</v>
      </c>
      <c r="D2" s="45" t="s">
        <v>2</v>
      </c>
      <c r="E2" s="45" t="s">
        <v>2</v>
      </c>
      <c r="F2" s="45" t="s">
        <v>2</v>
      </c>
      <c r="G2" s="45" t="s">
        <v>2</v>
      </c>
      <c r="H2" s="45" t="s">
        <v>2</v>
      </c>
      <c r="I2" s="45" t="s">
        <v>2</v>
      </c>
      <c r="J2" s="46"/>
      <c r="K2" s="46"/>
    </row>
    <row r="3" spans="1:11" x14ac:dyDescent="0.15">
      <c r="A3" s="47">
        <v>43405</v>
      </c>
      <c r="B3" s="48">
        <f>November!D35</f>
        <v>755.22</v>
      </c>
      <c r="C3" s="48">
        <f>November!G35</f>
        <v>227.17999999999995</v>
      </c>
      <c r="D3" s="48">
        <f>November!J35</f>
        <v>667.1110000000001</v>
      </c>
      <c r="E3" s="48">
        <f>November!M35</f>
        <v>9.4389881583666675</v>
      </c>
      <c r="F3" s="48">
        <f>November!Q35</f>
        <v>385.14899899999989</v>
      </c>
      <c r="G3" s="48">
        <f>November!T35</f>
        <v>404.22689999999994</v>
      </c>
      <c r="H3" s="48">
        <f>November!W35</f>
        <v>0</v>
      </c>
      <c r="I3" s="48">
        <f>November!Z35</f>
        <v>18.843045999999998</v>
      </c>
    </row>
    <row r="4" spans="1:11" x14ac:dyDescent="0.15">
      <c r="A4" s="47">
        <v>43435</v>
      </c>
      <c r="B4" s="48">
        <f>December!D36</f>
        <v>0</v>
      </c>
      <c r="C4" s="48">
        <f>December!G36</f>
        <v>0</v>
      </c>
      <c r="D4" s="48">
        <f>December!J36</f>
        <v>0</v>
      </c>
      <c r="E4" s="48">
        <f>December!M36</f>
        <v>1.8028789900000002</v>
      </c>
      <c r="F4" s="48">
        <f>December!Q36</f>
        <v>1155.1642499999998</v>
      </c>
      <c r="G4" s="48">
        <f>December!T36</f>
        <v>1189.0539800000001</v>
      </c>
      <c r="H4" s="48">
        <f>December!W36</f>
        <v>0</v>
      </c>
      <c r="I4" s="48">
        <f>December!Z36</f>
        <v>33.257309999999997</v>
      </c>
    </row>
    <row r="5" spans="1:11" x14ac:dyDescent="0.15">
      <c r="A5" s="47">
        <v>43466</v>
      </c>
      <c r="B5" s="48">
        <f>January!D36</f>
        <v>0</v>
      </c>
      <c r="C5" s="48">
        <f>January!G36</f>
        <v>0</v>
      </c>
      <c r="D5" s="48">
        <f>January!J36</f>
        <v>0</v>
      </c>
      <c r="E5" s="48">
        <f>January!M36</f>
        <v>6.0021569999999996E-2</v>
      </c>
      <c r="F5" s="48">
        <f>January!Q36</f>
        <v>1137.8525199999997</v>
      </c>
      <c r="G5" s="48">
        <f>January!T36</f>
        <v>1169.7406099999996</v>
      </c>
      <c r="H5" s="48">
        <f>January!W36</f>
        <v>0</v>
      </c>
      <c r="I5" s="48">
        <f>January!Z36</f>
        <v>31.283299999999993</v>
      </c>
    </row>
    <row r="6" spans="1:11" x14ac:dyDescent="0.15">
      <c r="A6" s="47">
        <v>43497</v>
      </c>
      <c r="B6" s="48">
        <f>February!D34</f>
        <v>0</v>
      </c>
      <c r="C6" s="48">
        <f>February!G34</f>
        <v>0</v>
      </c>
      <c r="D6" s="48">
        <f>February!J34</f>
        <v>0</v>
      </c>
      <c r="E6" s="48">
        <f>February!M34</f>
        <v>0</v>
      </c>
      <c r="F6" s="48">
        <f>February!Q34</f>
        <v>1028.1491399999998</v>
      </c>
      <c r="G6" s="48">
        <f>February!T34</f>
        <v>1052.7674700000002</v>
      </c>
      <c r="H6" s="48">
        <f>February!W34</f>
        <v>0</v>
      </c>
      <c r="I6" s="48">
        <f>February!Z34</f>
        <v>24.07801000000001</v>
      </c>
    </row>
    <row r="7" spans="1:11" x14ac:dyDescent="0.15">
      <c r="A7" s="47">
        <v>43525</v>
      </c>
      <c r="B7" s="48">
        <f>March!D36</f>
        <v>349.36599999999993</v>
      </c>
      <c r="C7" s="48">
        <f>March!G36</f>
        <v>509.62</v>
      </c>
      <c r="D7" s="48">
        <f>March!J36</f>
        <v>0</v>
      </c>
      <c r="E7" s="48">
        <f>March!M36</f>
        <v>56.631810466000012</v>
      </c>
      <c r="F7" s="48">
        <f>March!Q36</f>
        <v>837.17364999999995</v>
      </c>
      <c r="G7" s="48">
        <f>March!T36</f>
        <v>857.11023000000023</v>
      </c>
      <c r="H7" s="48">
        <f>March!W36</f>
        <v>0</v>
      </c>
      <c r="I7" s="48">
        <f>March!Z36</f>
        <v>19.442309999999992</v>
      </c>
    </row>
    <row r="8" spans="1:11" x14ac:dyDescent="0.15">
      <c r="A8" s="47">
        <v>43556</v>
      </c>
      <c r="B8" s="48">
        <f>April!D35</f>
        <v>1219.404</v>
      </c>
      <c r="C8" s="48">
        <f>April!G35</f>
        <v>1363.08</v>
      </c>
      <c r="D8" s="48">
        <f>April!J35</f>
        <v>0</v>
      </c>
      <c r="E8" s="48">
        <f>April!M35</f>
        <v>128.88402162</v>
      </c>
      <c r="F8" s="48">
        <f>April!Q35</f>
        <v>207.68549999999999</v>
      </c>
      <c r="G8" s="48">
        <f>April!T35</f>
        <v>215.98678000000004</v>
      </c>
      <c r="H8" s="48">
        <f>April!W35</f>
        <v>0</v>
      </c>
      <c r="I8" s="48">
        <f>April!Z35</f>
        <v>8.8201100000000139</v>
      </c>
    </row>
    <row r="9" spans="1:11" x14ac:dyDescent="0.15">
      <c r="A9" s="47">
        <v>43586</v>
      </c>
      <c r="B9" s="48">
        <f>May!D36</f>
        <v>1479.74</v>
      </c>
      <c r="C9" s="48">
        <f>May!G36</f>
        <v>1559.56</v>
      </c>
      <c r="D9" s="48">
        <f>May!J36</f>
        <v>92.1614</v>
      </c>
      <c r="E9" s="48">
        <f>May!M36</f>
        <v>157.33454359000001</v>
      </c>
      <c r="F9" s="48">
        <f>May!Q36</f>
        <v>491.62058999999988</v>
      </c>
      <c r="G9" s="48">
        <f>May!T36</f>
        <v>505.7518</v>
      </c>
      <c r="H9" s="48">
        <f>May!W36</f>
        <v>0</v>
      </c>
      <c r="I9" s="48">
        <f>May!Z36</f>
        <v>13.790440000000013</v>
      </c>
    </row>
    <row r="10" spans="1:11" x14ac:dyDescent="0.15">
      <c r="A10" s="47">
        <v>43617</v>
      </c>
      <c r="B10" s="48">
        <f>June!D35</f>
        <v>1986.5969999999995</v>
      </c>
      <c r="C10" s="48">
        <f>June!G35</f>
        <v>1332.3799999999999</v>
      </c>
      <c r="D10" s="48">
        <f>June!J35</f>
        <v>858.58689999999979</v>
      </c>
      <c r="E10" s="48">
        <f>June!M35</f>
        <v>201.38622225999995</v>
      </c>
      <c r="F10" s="48">
        <f>June!Q35</f>
        <v>743.01367999999991</v>
      </c>
      <c r="G10" s="48">
        <f>June!T35</f>
        <v>761.11440000000005</v>
      </c>
      <c r="H10" s="48">
        <f>June!W35</f>
        <v>0</v>
      </c>
      <c r="I10" s="48">
        <f>June!Z35</f>
        <v>17.64329</v>
      </c>
    </row>
    <row r="11" spans="1:11" x14ac:dyDescent="0.15">
      <c r="A11" s="47">
        <v>43647</v>
      </c>
      <c r="B11" s="48">
        <f>July!D36</f>
        <v>1909.2330000000002</v>
      </c>
      <c r="C11" s="48">
        <f>June!G35</f>
        <v>1332.3799999999999</v>
      </c>
      <c r="D11" s="48">
        <f>July!J36</f>
        <v>825.52300000000002</v>
      </c>
      <c r="E11" s="48">
        <f>July!M36</f>
        <v>194.91914599500001</v>
      </c>
      <c r="F11" s="48">
        <f>July!Q36</f>
        <v>1299.38671</v>
      </c>
      <c r="G11" s="48">
        <f>July!T36</f>
        <v>1325.3435599999998</v>
      </c>
      <c r="H11" s="48">
        <f>July!W36</f>
        <v>9.8239999999999994E-2</v>
      </c>
      <c r="I11" s="48">
        <f>July!Z36</f>
        <v>25.309079999999955</v>
      </c>
    </row>
    <row r="12" spans="1:11" x14ac:dyDescent="0.15">
      <c r="A12" s="47">
        <v>43678</v>
      </c>
      <c r="B12" s="48">
        <f>August!D36</f>
        <v>2490.3839999999991</v>
      </c>
      <c r="C12" s="48">
        <f>August!G36</f>
        <v>1449.04</v>
      </c>
      <c r="D12" s="48">
        <f>August!J36</f>
        <v>1309.2321999999995</v>
      </c>
      <c r="E12" s="48">
        <f>August!M36</f>
        <v>330.45469562000005</v>
      </c>
      <c r="F12" s="48">
        <f>August!Q36</f>
        <v>1094.4181599999999</v>
      </c>
      <c r="G12" s="48">
        <f>August!T36</f>
        <v>1114.9196199999997</v>
      </c>
      <c r="H12" s="48">
        <f>August!W36</f>
        <v>0</v>
      </c>
      <c r="I12" s="48">
        <f>August!Z36</f>
        <v>19.912020000000055</v>
      </c>
    </row>
    <row r="13" spans="1:11" x14ac:dyDescent="0.15">
      <c r="A13" s="47">
        <v>43709</v>
      </c>
      <c r="B13" s="48">
        <f>September!D35</f>
        <v>2335.6560000000009</v>
      </c>
      <c r="C13" s="48">
        <f>September!G35</f>
        <v>1412.1999999999996</v>
      </c>
      <c r="D13" s="48">
        <f>September!J35</f>
        <v>1160.8284000000003</v>
      </c>
      <c r="E13" s="48">
        <f>September!M35</f>
        <v>238.74253485999995</v>
      </c>
      <c r="F13" s="48">
        <f>September!Q35</f>
        <v>815.54242999999974</v>
      </c>
      <c r="G13" s="48">
        <f>September!T35</f>
        <v>841.62514999999985</v>
      </c>
      <c r="H13" s="48">
        <f>September!W35</f>
        <v>0</v>
      </c>
      <c r="I13" s="48">
        <f>September!Z35</f>
        <v>25.622220000000009</v>
      </c>
    </row>
    <row r="14" spans="1:11" x14ac:dyDescent="0.15">
      <c r="A14" s="47">
        <v>43739</v>
      </c>
      <c r="B14" s="48">
        <f>October!D36</f>
        <v>1345.5810000000006</v>
      </c>
      <c r="C14" s="48">
        <f>October!G36</f>
        <v>574.09000000000026</v>
      </c>
      <c r="D14" s="48">
        <f>October!J36</f>
        <v>897.14609999999982</v>
      </c>
      <c r="E14" s="48">
        <f>October!M36</f>
        <v>141.95748768000001</v>
      </c>
      <c r="F14" s="48">
        <f>October!Q36</f>
        <v>241.93749</v>
      </c>
      <c r="G14" s="48">
        <f>October!T36</f>
        <v>251.75841999999997</v>
      </c>
      <c r="H14" s="48">
        <f>October!W36</f>
        <v>0</v>
      </c>
      <c r="I14" s="48">
        <f>October!Z36</f>
        <v>9.6612899999999708</v>
      </c>
    </row>
    <row r="15" spans="1:11" x14ac:dyDescent="0.15">
      <c r="A15" s="47">
        <v>43770</v>
      </c>
      <c r="B15" s="48" t="e">
        <f>[6]Summary!$B$3</f>
        <v>#VALUE!</v>
      </c>
      <c r="C15" s="48" t="e">
        <f>[6]Summary!$C$3</f>
        <v>#VALUE!</v>
      </c>
      <c r="D15" s="48" t="e">
        <f>[6]Summary!$D$3</f>
        <v>#VALUE!</v>
      </c>
      <c r="E15" s="48" t="e">
        <f>[6]Summary!$E$3</f>
        <v>#VALUE!</v>
      </c>
      <c r="F15" s="48" t="e">
        <f>[6]Summary!$F$3</f>
        <v>#VALUE!</v>
      </c>
      <c r="G15" s="48" t="e">
        <f>[6]Summary!$G$3</f>
        <v>#VALUE!</v>
      </c>
      <c r="H15" s="48">
        <f>[6]Summary!$H$3</f>
        <v>0</v>
      </c>
      <c r="I15" s="48" t="e">
        <f>[6]Summary!$I$3</f>
        <v>#VALUE!</v>
      </c>
    </row>
    <row r="16" spans="1:11" x14ac:dyDescent="0.15">
      <c r="A16" s="47">
        <v>43800</v>
      </c>
      <c r="B16" s="48" t="e">
        <f>[6]Summary!$B$4</f>
        <v>#VALUE!</v>
      </c>
      <c r="C16" s="48" t="e">
        <f>[6]Summary!$C$4</f>
        <v>#VALUE!</v>
      </c>
      <c r="D16" s="48" t="e">
        <f>[6]Summary!$D$4</f>
        <v>#VALUE!</v>
      </c>
      <c r="E16" s="48" t="e">
        <f>[6]Summary!$E$4</f>
        <v>#VALUE!</v>
      </c>
      <c r="F16" s="48" t="e">
        <f>[6]Summary!$F$4</f>
        <v>#VALUE!</v>
      </c>
      <c r="G16" s="48" t="e">
        <f>[6]Summary!$G$4</f>
        <v>#VALUE!</v>
      </c>
      <c r="H16" s="48" t="e">
        <f>[6]Summary!$H$4</f>
        <v>#VALUE!</v>
      </c>
      <c r="I16" s="48" t="e">
        <f>[6]Summary!$I$4</f>
        <v>#VALUE!</v>
      </c>
    </row>
    <row r="17" spans="1:9" x14ac:dyDescent="0.15">
      <c r="A17" s="50" t="s">
        <v>14</v>
      </c>
      <c r="B17" s="48">
        <f>SUM(B3:B14)</f>
        <v>13871.181</v>
      </c>
      <c r="C17" s="48">
        <f t="shared" ref="C17:I17" si="0">SUM(C3:C14)</f>
        <v>9759.5299999999988</v>
      </c>
      <c r="D17" s="48">
        <f t="shared" si="0"/>
        <v>5810.5889999999999</v>
      </c>
      <c r="E17" s="48">
        <f t="shared" si="0"/>
        <v>1461.6123508093667</v>
      </c>
      <c r="F17" s="48">
        <f t="shared" si="0"/>
        <v>9437.0931189999974</v>
      </c>
      <c r="G17" s="48">
        <f t="shared" si="0"/>
        <v>9689.3989200000015</v>
      </c>
      <c r="H17" s="48">
        <f t="shared" si="0"/>
        <v>9.8239999999999994E-2</v>
      </c>
      <c r="I17" s="48">
        <f t="shared" si="0"/>
        <v>247.66242600000004</v>
      </c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69E3D5A97D13E42A3FA97F9F6490356" ma:contentTypeVersion="7" ma:contentTypeDescription="Create a new document." ma:contentTypeScope="" ma:versionID="28c826bd0c557c42625fe5e73ffe2532">
  <xsd:schema xmlns:xsd="http://www.w3.org/2001/XMLSchema" xmlns:xs="http://www.w3.org/2001/XMLSchema" xmlns:p="http://schemas.microsoft.com/office/2006/metadata/properties" xmlns:ns2="c3ceea8c-8d7b-4050-a6dd-ca802b319f33" targetNamespace="http://schemas.microsoft.com/office/2006/metadata/properties" ma:root="true" ma:fieldsID="11134dd55bc57a9ac07ab25088c1a3a5" ns2:_="">
    <xsd:import namespace="c3ceea8c-8d7b-4050-a6dd-ca802b319f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ceea8c-8d7b-4050-a6dd-ca802b319f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3DE32B5-4374-4645-98BB-A64DFE4EA72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92712DAB-3B1D-4A31-8CD9-DD3B0D33E66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F8A08A9-4BB8-4900-A2EC-C560573F71C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3ceea8c-8d7b-4050-a6dd-ca802b319f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12</vt:i4>
      </vt:variant>
    </vt:vector>
  </HeadingPairs>
  <TitlesOfParts>
    <vt:vector size="25" baseType="lpstr">
      <vt:lpstr>November</vt:lpstr>
      <vt:lpstr>December</vt:lpstr>
      <vt:lpstr>January</vt:lpstr>
      <vt:lpstr>February</vt:lpstr>
      <vt:lpstr>March</vt:lpstr>
      <vt:lpstr>April</vt:lpstr>
      <vt:lpstr>May</vt:lpstr>
      <vt:lpstr>June</vt:lpstr>
      <vt:lpstr>July</vt:lpstr>
      <vt:lpstr>August</vt:lpstr>
      <vt:lpstr>September</vt:lpstr>
      <vt:lpstr>October</vt:lpstr>
      <vt:lpstr>Summary</vt:lpstr>
      <vt:lpstr>February!Print_Area</vt:lpstr>
      <vt:lpstr>May!Print_Area</vt:lpstr>
      <vt:lpstr>November!Print_Area</vt:lpstr>
      <vt:lpstr>April!Print_Titles</vt:lpstr>
      <vt:lpstr>August!Print_Titles</vt:lpstr>
      <vt:lpstr>February!Print_Titles</vt:lpstr>
      <vt:lpstr>January!Print_Titles</vt:lpstr>
      <vt:lpstr>July!Print_Titles</vt:lpstr>
      <vt:lpstr>June!Print_Titles</vt:lpstr>
      <vt:lpstr>March!Print_Titles</vt:lpstr>
      <vt:lpstr>May!Print_Titles</vt:lpstr>
      <vt:lpstr>September!Print_Titles</vt:lpstr>
    </vt:vector>
  </TitlesOfParts>
  <Company>City of Thornton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mpacheco</dc:creator>
  <cp:lastModifiedBy>Microsoft Office User</cp:lastModifiedBy>
  <cp:lastPrinted>2017-06-20T17:00:43Z</cp:lastPrinted>
  <dcterms:created xsi:type="dcterms:W3CDTF">2004-01-27T20:05:57Z</dcterms:created>
  <dcterms:modified xsi:type="dcterms:W3CDTF">2020-12-24T16:41:33Z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0x010100C69E3D5A97D13E42A3FA97F9F6490356</vt:lpwstr>
  </property>
</Properties>
</file>