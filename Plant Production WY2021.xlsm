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S:\ID\WR\Accounting\WY2021\Production\"/>
    </mc:Choice>
  </mc:AlternateContent>
  <bookViews>
    <workbookView xWindow="10368" yWindow="-120" windowWidth="9720" windowHeight="8556" tabRatio="706" firstSheet="1" activeTab="6"/>
  </bookViews>
  <sheets>
    <sheet name="November" sheetId="14" r:id="rId1"/>
    <sheet name="December" sheetId="13" r:id="rId2"/>
    <sheet name="January" sheetId="1" r:id="rId3"/>
    <sheet name="February" sheetId="4" r:id="rId4"/>
    <sheet name="March" sheetId="6" r:id="rId5"/>
    <sheet name="April" sheetId="7" r:id="rId6"/>
    <sheet name="May" sheetId="8" r:id="rId7"/>
    <sheet name="June" sheetId="9" r:id="rId8"/>
    <sheet name="July" sheetId="16" r:id="rId9"/>
    <sheet name="August" sheetId="11" r:id="rId10"/>
    <sheet name="September" sheetId="12" r:id="rId11"/>
    <sheet name="October" sheetId="5" r:id="rId12"/>
    <sheet name="Summary" sheetId="15" r:id="rId13"/>
  </sheets>
  <externalReferences>
    <externalReference r:id="rId14"/>
    <externalReference r:id="rId15"/>
    <externalReference r:id="rId16"/>
  </externalReferences>
  <definedNames>
    <definedName name="_xlnm._FilterDatabase" localSheetId="7" hidden="1">June!$AC$1:$AC$43</definedName>
    <definedName name="_xlnm._FilterDatabase" localSheetId="10" hidden="1">September!$AC$1:$AC$38</definedName>
    <definedName name="_xlnm.Print_Area" localSheetId="3">February!$A$1:$M$34</definedName>
    <definedName name="_xlnm.Print_Area" localSheetId="6">May!$A$1:$Z$36</definedName>
    <definedName name="_xlnm.Print_Area" localSheetId="0">November!$O$1:$AD$36</definedName>
    <definedName name="_xlnm.Print_Titles" localSheetId="5">April!$A:$A</definedName>
    <definedName name="_xlnm.Print_Titles" localSheetId="9">August!$A:$A</definedName>
    <definedName name="_xlnm.Print_Titles" localSheetId="3">February!$A:$A</definedName>
    <definedName name="_xlnm.Print_Titles" localSheetId="2">January!$A:$A</definedName>
    <definedName name="_xlnm.Print_Titles" localSheetId="8">July!$A:$A</definedName>
    <definedName name="_xlnm.Print_Titles" localSheetId="7">June!$A:$A</definedName>
    <definedName name="_xlnm.Print_Titles" localSheetId="4">March!$A:$A</definedName>
    <definedName name="_xlnm.Print_Titles" localSheetId="6">May!$A:$A</definedName>
    <definedName name="_xlnm.Print_Titles" localSheetId="10">September!$A:$A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R7" i="8" l="1"/>
  <c r="R8" i="8"/>
  <c r="R9" i="8"/>
  <c r="R10" i="8"/>
  <c r="R11" i="8"/>
  <c r="R12" i="8"/>
  <c r="R13" i="8"/>
  <c r="R14" i="8"/>
  <c r="R15" i="8"/>
  <c r="R16" i="8"/>
  <c r="R17" i="8"/>
  <c r="R18" i="8"/>
  <c r="R19" i="8"/>
  <c r="R20" i="8"/>
  <c r="R21" i="8"/>
  <c r="R22" i="8"/>
  <c r="R23" i="8"/>
  <c r="R24" i="8"/>
  <c r="R25" i="8"/>
  <c r="R26" i="8"/>
  <c r="R27" i="8"/>
  <c r="R28" i="8"/>
  <c r="R29" i="8"/>
  <c r="R30" i="8"/>
  <c r="R31" i="8"/>
  <c r="R32" i="8"/>
  <c r="R33" i="8"/>
  <c r="R34" i="8"/>
  <c r="R35" i="8"/>
  <c r="R6" i="8"/>
  <c r="R5" i="8"/>
  <c r="S9" i="8" l="1"/>
  <c r="T9" i="8" s="1"/>
  <c r="S13" i="8"/>
  <c r="T13" i="8" s="1"/>
  <c r="S14" i="8"/>
  <c r="T14" i="8" s="1"/>
  <c r="S15" i="8"/>
  <c r="T15" i="8" s="1"/>
  <c r="S17" i="8"/>
  <c r="T17" i="8" s="1"/>
  <c r="S20" i="8"/>
  <c r="T20" i="8" s="1"/>
  <c r="S21" i="8"/>
  <c r="T21" i="8" s="1"/>
  <c r="S22" i="8"/>
  <c r="T22" i="8" s="1"/>
  <c r="S25" i="8"/>
  <c r="T25" i="8" s="1"/>
  <c r="S27" i="8"/>
  <c r="T27" i="8" s="1"/>
  <c r="S28" i="8"/>
  <c r="T28" i="8" s="1"/>
  <c r="S29" i="8"/>
  <c r="T29" i="8" s="1"/>
  <c r="S33" i="8"/>
  <c r="T33" i="8" s="1"/>
  <c r="K35" i="8"/>
  <c r="L35" i="8" s="1"/>
  <c r="M35" i="8" s="1"/>
  <c r="K34" i="8"/>
  <c r="L34" i="8" s="1"/>
  <c r="M34" i="8" s="1"/>
  <c r="K33" i="8"/>
  <c r="L33" i="8" s="1"/>
  <c r="M33" i="8" s="1"/>
  <c r="K32" i="8"/>
  <c r="L32" i="8" s="1"/>
  <c r="M32" i="8" s="1"/>
  <c r="K31" i="8"/>
  <c r="L31" i="8" s="1"/>
  <c r="M31" i="8" s="1"/>
  <c r="K30" i="8"/>
  <c r="L30" i="8" s="1"/>
  <c r="M30" i="8" s="1"/>
  <c r="K29" i="8"/>
  <c r="L29" i="8" s="1"/>
  <c r="M29" i="8" s="1"/>
  <c r="K28" i="8"/>
  <c r="L28" i="8" s="1"/>
  <c r="M28" i="8" s="1"/>
  <c r="K27" i="8"/>
  <c r="L27" i="8" s="1"/>
  <c r="M27" i="8" s="1"/>
  <c r="K26" i="8"/>
  <c r="L26" i="8" s="1"/>
  <c r="M26" i="8" s="1"/>
  <c r="K25" i="8"/>
  <c r="L25" i="8" s="1"/>
  <c r="M25" i="8" s="1"/>
  <c r="K24" i="8"/>
  <c r="L24" i="8" s="1"/>
  <c r="M24" i="8" s="1"/>
  <c r="K23" i="8"/>
  <c r="L23" i="8" s="1"/>
  <c r="M23" i="8" s="1"/>
  <c r="K22" i="8"/>
  <c r="L22" i="8" s="1"/>
  <c r="M22" i="8" s="1"/>
  <c r="K21" i="8"/>
  <c r="L21" i="8" s="1"/>
  <c r="M21" i="8" s="1"/>
  <c r="K20" i="8"/>
  <c r="L20" i="8" s="1"/>
  <c r="M20" i="8" s="1"/>
  <c r="K19" i="8"/>
  <c r="L19" i="8" s="1"/>
  <c r="M19" i="8" s="1"/>
  <c r="K18" i="8"/>
  <c r="L18" i="8" s="1"/>
  <c r="M18" i="8" s="1"/>
  <c r="K17" i="8"/>
  <c r="L17" i="8" s="1"/>
  <c r="M17" i="8" s="1"/>
  <c r="K16" i="8"/>
  <c r="L16" i="8" s="1"/>
  <c r="M16" i="8" s="1"/>
  <c r="K15" i="8"/>
  <c r="L15" i="8" s="1"/>
  <c r="M15" i="8" s="1"/>
  <c r="K14" i="8"/>
  <c r="L14" i="8" s="1"/>
  <c r="M14" i="8" s="1"/>
  <c r="K13" i="8"/>
  <c r="L13" i="8" s="1"/>
  <c r="M13" i="8" s="1"/>
  <c r="K12" i="8"/>
  <c r="L12" i="8" s="1"/>
  <c r="M12" i="8" s="1"/>
  <c r="K11" i="8"/>
  <c r="L11" i="8" s="1"/>
  <c r="M11" i="8" s="1"/>
  <c r="K10" i="8"/>
  <c r="L10" i="8" s="1"/>
  <c r="M10" i="8" s="1"/>
  <c r="K9" i="8"/>
  <c r="L9" i="8" s="1"/>
  <c r="M9" i="8" s="1"/>
  <c r="K8" i="8"/>
  <c r="L8" i="8" s="1"/>
  <c r="M8" i="8" s="1"/>
  <c r="K7" i="8"/>
  <c r="L7" i="8" s="1"/>
  <c r="M7" i="8" s="1"/>
  <c r="K6" i="8"/>
  <c r="L6" i="8" s="1"/>
  <c r="M6" i="8" s="1"/>
  <c r="K5" i="8"/>
  <c r="L5" i="8" s="1"/>
  <c r="O6" i="8"/>
  <c r="P6" i="8" s="1"/>
  <c r="Q6" i="8" s="1"/>
  <c r="O7" i="8"/>
  <c r="P7" i="8" s="1"/>
  <c r="Q7" i="8" s="1"/>
  <c r="O8" i="8"/>
  <c r="P8" i="8" s="1"/>
  <c r="Q8" i="8" s="1"/>
  <c r="O9" i="8"/>
  <c r="O10" i="8"/>
  <c r="P10" i="8" s="1"/>
  <c r="O11" i="8"/>
  <c r="P11" i="8" s="1"/>
  <c r="O12" i="8"/>
  <c r="O13" i="8"/>
  <c r="P13" i="8" s="1"/>
  <c r="Q13" i="8" s="1"/>
  <c r="O14" i="8"/>
  <c r="P14" i="8" s="1"/>
  <c r="Q14" i="8" s="1"/>
  <c r="O15" i="8"/>
  <c r="P15" i="8" s="1"/>
  <c r="Q15" i="8" s="1"/>
  <c r="O16" i="8"/>
  <c r="P16" i="8" s="1"/>
  <c r="Q16" i="8" s="1"/>
  <c r="O17" i="8"/>
  <c r="P17" i="8" s="1"/>
  <c r="Q17" i="8" s="1"/>
  <c r="O18" i="8"/>
  <c r="P18" i="8" s="1"/>
  <c r="Q18" i="8" s="1"/>
  <c r="O19" i="8"/>
  <c r="P19" i="8" s="1"/>
  <c r="O20" i="8"/>
  <c r="O21" i="8"/>
  <c r="P21" i="8" s="1"/>
  <c r="O22" i="8"/>
  <c r="P22" i="8" s="1"/>
  <c r="Q22" i="8" s="1"/>
  <c r="O23" i="8"/>
  <c r="P23" i="8" s="1"/>
  <c r="Q23" i="8" s="1"/>
  <c r="O24" i="8"/>
  <c r="P24" i="8" s="1"/>
  <c r="Q24" i="8" s="1"/>
  <c r="O25" i="8"/>
  <c r="P25" i="8" s="1"/>
  <c r="Q25" i="8" s="1"/>
  <c r="O26" i="8"/>
  <c r="P26" i="8" s="1"/>
  <c r="O27" i="8"/>
  <c r="P27" i="8" s="1"/>
  <c r="O28" i="8"/>
  <c r="O29" i="8"/>
  <c r="P29" i="8" s="1"/>
  <c r="Q29" i="8" s="1"/>
  <c r="O30" i="8"/>
  <c r="P30" i="8" s="1"/>
  <c r="Q30" i="8" s="1"/>
  <c r="O31" i="8"/>
  <c r="P31" i="8" s="1"/>
  <c r="Q31" i="8" s="1"/>
  <c r="O32" i="8"/>
  <c r="P32" i="8" s="1"/>
  <c r="Q32" i="8" s="1"/>
  <c r="O33" i="8"/>
  <c r="O34" i="8"/>
  <c r="P34" i="8" s="1"/>
  <c r="Q34" i="8" s="1"/>
  <c r="O35" i="8"/>
  <c r="P35" i="8" s="1"/>
  <c r="H6" i="8"/>
  <c r="I6" i="8" s="1"/>
  <c r="J6" i="8" s="1"/>
  <c r="H7" i="8"/>
  <c r="I7" i="8" s="1"/>
  <c r="J7" i="8" s="1"/>
  <c r="H8" i="8"/>
  <c r="I8" i="8" s="1"/>
  <c r="J8" i="8" s="1"/>
  <c r="H9" i="8"/>
  <c r="I9" i="8" s="1"/>
  <c r="J9" i="8" s="1"/>
  <c r="H10" i="8"/>
  <c r="I10" i="8" s="1"/>
  <c r="J10" i="8" s="1"/>
  <c r="H11" i="8"/>
  <c r="I11" i="8" s="1"/>
  <c r="J11" i="8" s="1"/>
  <c r="H12" i="8"/>
  <c r="I12" i="8" s="1"/>
  <c r="J12" i="8" s="1"/>
  <c r="H13" i="8"/>
  <c r="I13" i="8" s="1"/>
  <c r="J13" i="8" s="1"/>
  <c r="H14" i="8"/>
  <c r="I14" i="8" s="1"/>
  <c r="J14" i="8" s="1"/>
  <c r="H15" i="8"/>
  <c r="I15" i="8" s="1"/>
  <c r="J15" i="8" s="1"/>
  <c r="H16" i="8"/>
  <c r="I16" i="8" s="1"/>
  <c r="J16" i="8" s="1"/>
  <c r="H17" i="8"/>
  <c r="I17" i="8" s="1"/>
  <c r="J17" i="8" s="1"/>
  <c r="H18" i="8"/>
  <c r="I18" i="8" s="1"/>
  <c r="J18" i="8" s="1"/>
  <c r="H19" i="8"/>
  <c r="I19" i="8" s="1"/>
  <c r="J19" i="8" s="1"/>
  <c r="H20" i="8"/>
  <c r="I20" i="8" s="1"/>
  <c r="J20" i="8" s="1"/>
  <c r="H21" i="8"/>
  <c r="I21" i="8" s="1"/>
  <c r="J21" i="8" s="1"/>
  <c r="H22" i="8"/>
  <c r="I22" i="8" s="1"/>
  <c r="J22" i="8" s="1"/>
  <c r="H23" i="8"/>
  <c r="I23" i="8" s="1"/>
  <c r="J23" i="8" s="1"/>
  <c r="H24" i="8"/>
  <c r="I24" i="8" s="1"/>
  <c r="J24" i="8" s="1"/>
  <c r="H25" i="8"/>
  <c r="I25" i="8" s="1"/>
  <c r="J25" i="8" s="1"/>
  <c r="H26" i="8"/>
  <c r="I26" i="8" s="1"/>
  <c r="J26" i="8" s="1"/>
  <c r="H27" i="8"/>
  <c r="I27" i="8" s="1"/>
  <c r="J27" i="8" s="1"/>
  <c r="H28" i="8"/>
  <c r="I28" i="8" s="1"/>
  <c r="J28" i="8" s="1"/>
  <c r="H29" i="8"/>
  <c r="I29" i="8" s="1"/>
  <c r="J29" i="8" s="1"/>
  <c r="H30" i="8"/>
  <c r="I30" i="8" s="1"/>
  <c r="J30" i="8" s="1"/>
  <c r="H31" i="8"/>
  <c r="I31" i="8" s="1"/>
  <c r="J31" i="8" s="1"/>
  <c r="H32" i="8"/>
  <c r="I32" i="8" s="1"/>
  <c r="J32" i="8" s="1"/>
  <c r="H33" i="8"/>
  <c r="I33" i="8" s="1"/>
  <c r="J33" i="8" s="1"/>
  <c r="H34" i="8"/>
  <c r="I34" i="8" s="1"/>
  <c r="J34" i="8" s="1"/>
  <c r="H35" i="8"/>
  <c r="I35" i="8" s="1"/>
  <c r="J35" i="8" s="1"/>
  <c r="H5" i="8"/>
  <c r="I5" i="8" s="1"/>
  <c r="J5" i="8" s="1"/>
  <c r="E6" i="8"/>
  <c r="F6" i="8" s="1"/>
  <c r="G6" i="8" s="1"/>
  <c r="E7" i="8"/>
  <c r="F7" i="8" s="1"/>
  <c r="G7" i="8" s="1"/>
  <c r="E8" i="8"/>
  <c r="F8" i="8" s="1"/>
  <c r="G8" i="8" s="1"/>
  <c r="E9" i="8"/>
  <c r="F9" i="8" s="1"/>
  <c r="G9" i="8" s="1"/>
  <c r="E10" i="8"/>
  <c r="F10" i="8" s="1"/>
  <c r="G10" i="8" s="1"/>
  <c r="E11" i="8"/>
  <c r="F11" i="8" s="1"/>
  <c r="G11" i="8" s="1"/>
  <c r="E12" i="8"/>
  <c r="F12" i="8" s="1"/>
  <c r="G12" i="8" s="1"/>
  <c r="E13" i="8"/>
  <c r="F13" i="8" s="1"/>
  <c r="G13" i="8" s="1"/>
  <c r="E14" i="8"/>
  <c r="F14" i="8" s="1"/>
  <c r="G14" i="8" s="1"/>
  <c r="E15" i="8"/>
  <c r="F15" i="8" s="1"/>
  <c r="G15" i="8" s="1"/>
  <c r="E16" i="8"/>
  <c r="F16" i="8" s="1"/>
  <c r="G16" i="8" s="1"/>
  <c r="E17" i="8"/>
  <c r="F17" i="8" s="1"/>
  <c r="G17" i="8" s="1"/>
  <c r="E18" i="8"/>
  <c r="F18" i="8" s="1"/>
  <c r="G18" i="8" s="1"/>
  <c r="E19" i="8"/>
  <c r="F19" i="8" s="1"/>
  <c r="G19" i="8" s="1"/>
  <c r="E20" i="8"/>
  <c r="F20" i="8" s="1"/>
  <c r="G20" i="8" s="1"/>
  <c r="E21" i="8"/>
  <c r="F21" i="8" s="1"/>
  <c r="G21" i="8" s="1"/>
  <c r="E22" i="8"/>
  <c r="F22" i="8" s="1"/>
  <c r="G22" i="8" s="1"/>
  <c r="E23" i="8"/>
  <c r="F23" i="8" s="1"/>
  <c r="G23" i="8" s="1"/>
  <c r="E24" i="8"/>
  <c r="F24" i="8" s="1"/>
  <c r="G24" i="8" s="1"/>
  <c r="E25" i="8"/>
  <c r="F25" i="8" s="1"/>
  <c r="G25" i="8" s="1"/>
  <c r="E26" i="8"/>
  <c r="F26" i="8" s="1"/>
  <c r="G26" i="8" s="1"/>
  <c r="E27" i="8"/>
  <c r="F27" i="8" s="1"/>
  <c r="G27" i="8" s="1"/>
  <c r="E28" i="8"/>
  <c r="F28" i="8" s="1"/>
  <c r="G28" i="8" s="1"/>
  <c r="E29" i="8"/>
  <c r="F29" i="8" s="1"/>
  <c r="G29" i="8" s="1"/>
  <c r="E30" i="8"/>
  <c r="F30" i="8" s="1"/>
  <c r="G30" i="8" s="1"/>
  <c r="E31" i="8"/>
  <c r="F31" i="8" s="1"/>
  <c r="G31" i="8" s="1"/>
  <c r="E32" i="8"/>
  <c r="F32" i="8" s="1"/>
  <c r="G32" i="8" s="1"/>
  <c r="E33" i="8"/>
  <c r="F33" i="8" s="1"/>
  <c r="G33" i="8" s="1"/>
  <c r="E34" i="8"/>
  <c r="F34" i="8" s="1"/>
  <c r="G34" i="8" s="1"/>
  <c r="E35" i="8"/>
  <c r="F35" i="8" s="1"/>
  <c r="G35" i="8" s="1"/>
  <c r="E5" i="8"/>
  <c r="F5" i="8" s="1"/>
  <c r="G5" i="8" s="1"/>
  <c r="B6" i="8"/>
  <c r="B7" i="8"/>
  <c r="C7" i="8" s="1"/>
  <c r="B8" i="8"/>
  <c r="B9" i="8"/>
  <c r="C9" i="8" s="1"/>
  <c r="B10" i="8"/>
  <c r="C10" i="8" s="1"/>
  <c r="D10" i="8" s="1"/>
  <c r="B11" i="8"/>
  <c r="C11" i="8" s="1"/>
  <c r="D11" i="8" s="1"/>
  <c r="B12" i="8"/>
  <c r="C12" i="8" s="1"/>
  <c r="D12" i="8" s="1"/>
  <c r="B13" i="8"/>
  <c r="C13" i="8" s="1"/>
  <c r="B14" i="8"/>
  <c r="C14" i="8" s="1"/>
  <c r="B15" i="8"/>
  <c r="B16" i="8"/>
  <c r="C16" i="8" s="1"/>
  <c r="B17" i="8"/>
  <c r="C17" i="8" s="1"/>
  <c r="B18" i="8"/>
  <c r="C18" i="8" s="1"/>
  <c r="D18" i="8" s="1"/>
  <c r="B19" i="8"/>
  <c r="C19" i="8" s="1"/>
  <c r="D19" i="8" s="1"/>
  <c r="B20" i="8"/>
  <c r="C20" i="8" s="1"/>
  <c r="D20" i="8" s="1"/>
  <c r="B21" i="8"/>
  <c r="B22" i="8"/>
  <c r="C22" i="8" s="1"/>
  <c r="B23" i="8"/>
  <c r="C23" i="8" s="1"/>
  <c r="B24" i="8"/>
  <c r="B25" i="8"/>
  <c r="C25" i="8" s="1"/>
  <c r="B26" i="8"/>
  <c r="C26" i="8" s="1"/>
  <c r="D26" i="8" s="1"/>
  <c r="B27" i="8"/>
  <c r="C27" i="8" s="1"/>
  <c r="D27" i="8" s="1"/>
  <c r="B28" i="8"/>
  <c r="C28" i="8" s="1"/>
  <c r="B29" i="8"/>
  <c r="B30" i="8"/>
  <c r="B31" i="8"/>
  <c r="C31" i="8" s="1"/>
  <c r="B32" i="8"/>
  <c r="C32" i="8" s="1"/>
  <c r="B33" i="8"/>
  <c r="C33" i="8" s="1"/>
  <c r="B34" i="8"/>
  <c r="C34" i="8" s="1"/>
  <c r="D34" i="8" s="1"/>
  <c r="B35" i="8"/>
  <c r="C35" i="8" s="1"/>
  <c r="D35" i="8" s="1"/>
  <c r="B5" i="8"/>
  <c r="C5" i="8" s="1"/>
  <c r="D5" i="8" s="1"/>
  <c r="B6" i="5"/>
  <c r="C6" i="5" s="1"/>
  <c r="D6" i="5" s="1"/>
  <c r="E6" i="5"/>
  <c r="F6" i="5" s="1"/>
  <c r="G6" i="5" s="1"/>
  <c r="H6" i="5"/>
  <c r="I6" i="5" s="1"/>
  <c r="J6" i="5" s="1"/>
  <c r="K6" i="5"/>
  <c r="L6" i="5" s="1"/>
  <c r="M6" i="5" s="1"/>
  <c r="O6" i="5"/>
  <c r="P6" i="5" s="1"/>
  <c r="Q6" i="5" s="1"/>
  <c r="R6" i="5"/>
  <c r="S6" i="5" s="1"/>
  <c r="T6" i="5" s="1"/>
  <c r="U6" i="5"/>
  <c r="V6" i="5" s="1"/>
  <c r="W6" i="5" s="1"/>
  <c r="X6" i="5"/>
  <c r="Y6" i="5" s="1"/>
  <c r="Z6" i="5" s="1"/>
  <c r="B7" i="5"/>
  <c r="C7" i="5" s="1"/>
  <c r="D7" i="5" s="1"/>
  <c r="E7" i="5"/>
  <c r="F7" i="5" s="1"/>
  <c r="G7" i="5" s="1"/>
  <c r="H7" i="5"/>
  <c r="I7" i="5" s="1"/>
  <c r="J7" i="5" s="1"/>
  <c r="K7" i="5"/>
  <c r="L7" i="5" s="1"/>
  <c r="M7" i="5" s="1"/>
  <c r="O7" i="5"/>
  <c r="P7" i="5" s="1"/>
  <c r="Q7" i="5" s="1"/>
  <c r="R7" i="5"/>
  <c r="S7" i="5" s="1"/>
  <c r="T7" i="5" s="1"/>
  <c r="U7" i="5"/>
  <c r="V7" i="5" s="1"/>
  <c r="W7" i="5" s="1"/>
  <c r="X7" i="5"/>
  <c r="Y7" i="5" s="1"/>
  <c r="Z7" i="5" s="1"/>
  <c r="B8" i="5"/>
  <c r="E8" i="5"/>
  <c r="F8" i="5" s="1"/>
  <c r="G8" i="5" s="1"/>
  <c r="H8" i="5"/>
  <c r="I8" i="5" s="1"/>
  <c r="J8" i="5" s="1"/>
  <c r="K8" i="5"/>
  <c r="L8" i="5" s="1"/>
  <c r="M8" i="5" s="1"/>
  <c r="O8" i="5"/>
  <c r="P8" i="5" s="1"/>
  <c r="Q8" i="5" s="1"/>
  <c r="R8" i="5"/>
  <c r="S8" i="5" s="1"/>
  <c r="T8" i="5" s="1"/>
  <c r="U8" i="5"/>
  <c r="V8" i="5" s="1"/>
  <c r="W8" i="5" s="1"/>
  <c r="X8" i="5"/>
  <c r="Y8" i="5" s="1"/>
  <c r="Z8" i="5" s="1"/>
  <c r="B9" i="5"/>
  <c r="C9" i="5" s="1"/>
  <c r="D9" i="5" s="1"/>
  <c r="E9" i="5"/>
  <c r="F9" i="5" s="1"/>
  <c r="G9" i="5" s="1"/>
  <c r="H9" i="5"/>
  <c r="I9" i="5" s="1"/>
  <c r="J9" i="5" s="1"/>
  <c r="K9" i="5"/>
  <c r="L9" i="5" s="1"/>
  <c r="M9" i="5" s="1"/>
  <c r="O9" i="5"/>
  <c r="P9" i="5" s="1"/>
  <c r="Q9" i="5" s="1"/>
  <c r="R9" i="5"/>
  <c r="S9" i="5" s="1"/>
  <c r="T9" i="5" s="1"/>
  <c r="U9" i="5"/>
  <c r="V9" i="5" s="1"/>
  <c r="W9" i="5" s="1"/>
  <c r="X9" i="5"/>
  <c r="Y9" i="5" s="1"/>
  <c r="Z9" i="5" s="1"/>
  <c r="B10" i="5"/>
  <c r="C10" i="5" s="1"/>
  <c r="D10" i="5" s="1"/>
  <c r="E10" i="5"/>
  <c r="F10" i="5" s="1"/>
  <c r="G10" i="5" s="1"/>
  <c r="H10" i="5"/>
  <c r="I10" i="5" s="1"/>
  <c r="J10" i="5" s="1"/>
  <c r="K10" i="5"/>
  <c r="L10" i="5" s="1"/>
  <c r="M10" i="5" s="1"/>
  <c r="O10" i="5"/>
  <c r="P10" i="5" s="1"/>
  <c r="Q10" i="5" s="1"/>
  <c r="R10" i="5"/>
  <c r="S10" i="5" s="1"/>
  <c r="T10" i="5" s="1"/>
  <c r="U10" i="5"/>
  <c r="V10" i="5" s="1"/>
  <c r="W10" i="5" s="1"/>
  <c r="X10" i="5"/>
  <c r="Y10" i="5" s="1"/>
  <c r="Z10" i="5" s="1"/>
  <c r="B11" i="5"/>
  <c r="C11" i="5" s="1"/>
  <c r="D11" i="5" s="1"/>
  <c r="E11" i="5"/>
  <c r="F11" i="5" s="1"/>
  <c r="G11" i="5" s="1"/>
  <c r="H11" i="5"/>
  <c r="I11" i="5" s="1"/>
  <c r="J11" i="5" s="1"/>
  <c r="K11" i="5"/>
  <c r="L11" i="5" s="1"/>
  <c r="M11" i="5" s="1"/>
  <c r="O11" i="5"/>
  <c r="P11" i="5" s="1"/>
  <c r="Q11" i="5" s="1"/>
  <c r="R11" i="5"/>
  <c r="S11" i="5" s="1"/>
  <c r="T11" i="5" s="1"/>
  <c r="U11" i="5"/>
  <c r="V11" i="5" s="1"/>
  <c r="W11" i="5" s="1"/>
  <c r="X11" i="5"/>
  <c r="Y11" i="5" s="1"/>
  <c r="Z11" i="5" s="1"/>
  <c r="B12" i="5"/>
  <c r="C12" i="5" s="1"/>
  <c r="D12" i="5" s="1"/>
  <c r="E12" i="5"/>
  <c r="F12" i="5" s="1"/>
  <c r="G12" i="5" s="1"/>
  <c r="H12" i="5"/>
  <c r="I12" i="5" s="1"/>
  <c r="J12" i="5" s="1"/>
  <c r="K12" i="5"/>
  <c r="L12" i="5" s="1"/>
  <c r="M12" i="5" s="1"/>
  <c r="O12" i="5"/>
  <c r="R12" i="5"/>
  <c r="S12" i="5" s="1"/>
  <c r="T12" i="5" s="1"/>
  <c r="U12" i="5"/>
  <c r="V12" i="5" s="1"/>
  <c r="W12" i="5" s="1"/>
  <c r="X12" i="5"/>
  <c r="Y12" i="5" s="1"/>
  <c r="Z12" i="5" s="1"/>
  <c r="B13" i="5"/>
  <c r="C13" i="5" s="1"/>
  <c r="D13" i="5" s="1"/>
  <c r="E13" i="5"/>
  <c r="F13" i="5" s="1"/>
  <c r="G13" i="5" s="1"/>
  <c r="H13" i="5"/>
  <c r="I13" i="5" s="1"/>
  <c r="J13" i="5" s="1"/>
  <c r="K13" i="5"/>
  <c r="L13" i="5" s="1"/>
  <c r="M13" i="5" s="1"/>
  <c r="O13" i="5"/>
  <c r="P13" i="5" s="1"/>
  <c r="Q13" i="5" s="1"/>
  <c r="R13" i="5"/>
  <c r="S13" i="5" s="1"/>
  <c r="T13" i="5" s="1"/>
  <c r="U13" i="5"/>
  <c r="V13" i="5" s="1"/>
  <c r="W13" i="5" s="1"/>
  <c r="X13" i="5"/>
  <c r="Y13" i="5" s="1"/>
  <c r="Z13" i="5" s="1"/>
  <c r="B14" i="5"/>
  <c r="C14" i="5" s="1"/>
  <c r="D14" i="5" s="1"/>
  <c r="E14" i="5"/>
  <c r="F14" i="5" s="1"/>
  <c r="G14" i="5" s="1"/>
  <c r="H14" i="5"/>
  <c r="I14" i="5" s="1"/>
  <c r="J14" i="5" s="1"/>
  <c r="K14" i="5"/>
  <c r="L14" i="5" s="1"/>
  <c r="M14" i="5" s="1"/>
  <c r="O14" i="5"/>
  <c r="P14" i="5" s="1"/>
  <c r="Q14" i="5" s="1"/>
  <c r="R14" i="5"/>
  <c r="S14" i="5" s="1"/>
  <c r="T14" i="5" s="1"/>
  <c r="U14" i="5"/>
  <c r="V14" i="5" s="1"/>
  <c r="W14" i="5" s="1"/>
  <c r="X14" i="5"/>
  <c r="Y14" i="5" s="1"/>
  <c r="Z14" i="5" s="1"/>
  <c r="B15" i="5"/>
  <c r="C15" i="5" s="1"/>
  <c r="D15" i="5" s="1"/>
  <c r="E15" i="5"/>
  <c r="F15" i="5" s="1"/>
  <c r="G15" i="5" s="1"/>
  <c r="H15" i="5"/>
  <c r="I15" i="5" s="1"/>
  <c r="J15" i="5" s="1"/>
  <c r="K15" i="5"/>
  <c r="L15" i="5" s="1"/>
  <c r="M15" i="5" s="1"/>
  <c r="O15" i="5"/>
  <c r="P15" i="5" s="1"/>
  <c r="Q15" i="5" s="1"/>
  <c r="R15" i="5"/>
  <c r="S15" i="5" s="1"/>
  <c r="T15" i="5" s="1"/>
  <c r="U15" i="5"/>
  <c r="V15" i="5" s="1"/>
  <c r="W15" i="5" s="1"/>
  <c r="X15" i="5"/>
  <c r="Y15" i="5" s="1"/>
  <c r="Z15" i="5" s="1"/>
  <c r="B16" i="5"/>
  <c r="C16" i="5" s="1"/>
  <c r="D16" i="5" s="1"/>
  <c r="E16" i="5"/>
  <c r="F16" i="5" s="1"/>
  <c r="G16" i="5" s="1"/>
  <c r="H16" i="5"/>
  <c r="I16" i="5" s="1"/>
  <c r="J16" i="5" s="1"/>
  <c r="K16" i="5"/>
  <c r="L16" i="5" s="1"/>
  <c r="M16" i="5" s="1"/>
  <c r="O16" i="5"/>
  <c r="P16" i="5" s="1"/>
  <c r="Q16" i="5" s="1"/>
  <c r="R16" i="5"/>
  <c r="S16" i="5" s="1"/>
  <c r="T16" i="5" s="1"/>
  <c r="U16" i="5"/>
  <c r="V16" i="5" s="1"/>
  <c r="W16" i="5" s="1"/>
  <c r="X16" i="5"/>
  <c r="Y16" i="5" s="1"/>
  <c r="Z16" i="5" s="1"/>
  <c r="B17" i="5"/>
  <c r="C17" i="5" s="1"/>
  <c r="D17" i="5" s="1"/>
  <c r="E17" i="5"/>
  <c r="F17" i="5" s="1"/>
  <c r="G17" i="5" s="1"/>
  <c r="H17" i="5"/>
  <c r="I17" i="5" s="1"/>
  <c r="J17" i="5" s="1"/>
  <c r="K17" i="5"/>
  <c r="L17" i="5" s="1"/>
  <c r="M17" i="5" s="1"/>
  <c r="O17" i="5"/>
  <c r="P17" i="5" s="1"/>
  <c r="Q17" i="5" s="1"/>
  <c r="R17" i="5"/>
  <c r="S17" i="5" s="1"/>
  <c r="T17" i="5" s="1"/>
  <c r="U17" i="5"/>
  <c r="V17" i="5" s="1"/>
  <c r="W17" i="5" s="1"/>
  <c r="X17" i="5"/>
  <c r="Y17" i="5" s="1"/>
  <c r="Z17" i="5" s="1"/>
  <c r="B18" i="5"/>
  <c r="C18" i="5" s="1"/>
  <c r="D18" i="5" s="1"/>
  <c r="E18" i="5"/>
  <c r="F18" i="5" s="1"/>
  <c r="G18" i="5" s="1"/>
  <c r="H18" i="5"/>
  <c r="I18" i="5" s="1"/>
  <c r="J18" i="5" s="1"/>
  <c r="K18" i="5"/>
  <c r="L18" i="5" s="1"/>
  <c r="M18" i="5" s="1"/>
  <c r="O18" i="5"/>
  <c r="R18" i="5"/>
  <c r="S18" i="5" s="1"/>
  <c r="T18" i="5" s="1"/>
  <c r="U18" i="5"/>
  <c r="V18" i="5" s="1"/>
  <c r="W18" i="5" s="1"/>
  <c r="X18" i="5"/>
  <c r="Y18" i="5" s="1"/>
  <c r="Z18" i="5" s="1"/>
  <c r="B19" i="5"/>
  <c r="C19" i="5" s="1"/>
  <c r="D19" i="5" s="1"/>
  <c r="E19" i="5"/>
  <c r="F19" i="5" s="1"/>
  <c r="G19" i="5" s="1"/>
  <c r="H19" i="5"/>
  <c r="I19" i="5" s="1"/>
  <c r="J19" i="5" s="1"/>
  <c r="K19" i="5"/>
  <c r="L19" i="5" s="1"/>
  <c r="M19" i="5" s="1"/>
  <c r="O19" i="5"/>
  <c r="P19" i="5" s="1"/>
  <c r="Q19" i="5" s="1"/>
  <c r="R19" i="5"/>
  <c r="S19" i="5" s="1"/>
  <c r="T19" i="5" s="1"/>
  <c r="U19" i="5"/>
  <c r="V19" i="5" s="1"/>
  <c r="W19" i="5" s="1"/>
  <c r="X19" i="5"/>
  <c r="Y19" i="5" s="1"/>
  <c r="Z19" i="5" s="1"/>
  <c r="B20" i="5"/>
  <c r="C20" i="5" s="1"/>
  <c r="D20" i="5" s="1"/>
  <c r="E20" i="5"/>
  <c r="F20" i="5" s="1"/>
  <c r="G20" i="5" s="1"/>
  <c r="H20" i="5"/>
  <c r="I20" i="5" s="1"/>
  <c r="J20" i="5" s="1"/>
  <c r="K20" i="5"/>
  <c r="L20" i="5" s="1"/>
  <c r="M20" i="5" s="1"/>
  <c r="O20" i="5"/>
  <c r="R20" i="5"/>
  <c r="S20" i="5" s="1"/>
  <c r="T20" i="5" s="1"/>
  <c r="U20" i="5"/>
  <c r="V20" i="5" s="1"/>
  <c r="W20" i="5" s="1"/>
  <c r="X20" i="5"/>
  <c r="Y20" i="5" s="1"/>
  <c r="Z20" i="5" s="1"/>
  <c r="B21" i="5"/>
  <c r="C21" i="5" s="1"/>
  <c r="D21" i="5" s="1"/>
  <c r="E21" i="5"/>
  <c r="F21" i="5" s="1"/>
  <c r="G21" i="5" s="1"/>
  <c r="H21" i="5"/>
  <c r="I21" i="5" s="1"/>
  <c r="J21" i="5" s="1"/>
  <c r="K21" i="5"/>
  <c r="L21" i="5" s="1"/>
  <c r="M21" i="5" s="1"/>
  <c r="O21" i="5"/>
  <c r="P21" i="5" s="1"/>
  <c r="Q21" i="5" s="1"/>
  <c r="R21" i="5"/>
  <c r="S21" i="5" s="1"/>
  <c r="T21" i="5" s="1"/>
  <c r="U21" i="5"/>
  <c r="V21" i="5" s="1"/>
  <c r="W21" i="5" s="1"/>
  <c r="X21" i="5"/>
  <c r="Y21" i="5" s="1"/>
  <c r="Z21" i="5" s="1"/>
  <c r="B22" i="5"/>
  <c r="E22" i="5"/>
  <c r="F22" i="5" s="1"/>
  <c r="G22" i="5" s="1"/>
  <c r="H22" i="5"/>
  <c r="I22" i="5" s="1"/>
  <c r="J22" i="5" s="1"/>
  <c r="K22" i="5"/>
  <c r="L22" i="5" s="1"/>
  <c r="M22" i="5" s="1"/>
  <c r="O22" i="5"/>
  <c r="P22" i="5" s="1"/>
  <c r="Q22" i="5" s="1"/>
  <c r="R22" i="5"/>
  <c r="S22" i="5" s="1"/>
  <c r="T22" i="5" s="1"/>
  <c r="U22" i="5"/>
  <c r="V22" i="5" s="1"/>
  <c r="W22" i="5" s="1"/>
  <c r="X22" i="5"/>
  <c r="Y22" i="5" s="1"/>
  <c r="Z22" i="5" s="1"/>
  <c r="B23" i="5"/>
  <c r="C23" i="5" s="1"/>
  <c r="D23" i="5" s="1"/>
  <c r="E23" i="5"/>
  <c r="F23" i="5" s="1"/>
  <c r="G23" i="5" s="1"/>
  <c r="H23" i="5"/>
  <c r="I23" i="5" s="1"/>
  <c r="J23" i="5" s="1"/>
  <c r="K23" i="5"/>
  <c r="L23" i="5" s="1"/>
  <c r="M23" i="5" s="1"/>
  <c r="O23" i="5"/>
  <c r="P23" i="5" s="1"/>
  <c r="Q23" i="5" s="1"/>
  <c r="R23" i="5"/>
  <c r="S23" i="5" s="1"/>
  <c r="T23" i="5" s="1"/>
  <c r="U23" i="5"/>
  <c r="V23" i="5" s="1"/>
  <c r="W23" i="5" s="1"/>
  <c r="X23" i="5"/>
  <c r="Y23" i="5" s="1"/>
  <c r="Z23" i="5" s="1"/>
  <c r="B24" i="5"/>
  <c r="C24" i="5" s="1"/>
  <c r="D24" i="5" s="1"/>
  <c r="E24" i="5"/>
  <c r="F24" i="5" s="1"/>
  <c r="G24" i="5" s="1"/>
  <c r="H24" i="5"/>
  <c r="I24" i="5" s="1"/>
  <c r="J24" i="5" s="1"/>
  <c r="K24" i="5"/>
  <c r="L24" i="5" s="1"/>
  <c r="M24" i="5" s="1"/>
  <c r="O24" i="5"/>
  <c r="R24" i="5"/>
  <c r="S24" i="5" s="1"/>
  <c r="T24" i="5" s="1"/>
  <c r="U24" i="5"/>
  <c r="V24" i="5" s="1"/>
  <c r="W24" i="5" s="1"/>
  <c r="X24" i="5"/>
  <c r="Y24" i="5" s="1"/>
  <c r="Z24" i="5" s="1"/>
  <c r="B25" i="5"/>
  <c r="C25" i="5" s="1"/>
  <c r="D25" i="5" s="1"/>
  <c r="E25" i="5"/>
  <c r="F25" i="5" s="1"/>
  <c r="G25" i="5" s="1"/>
  <c r="H25" i="5"/>
  <c r="I25" i="5" s="1"/>
  <c r="J25" i="5" s="1"/>
  <c r="K25" i="5"/>
  <c r="L25" i="5" s="1"/>
  <c r="M25" i="5" s="1"/>
  <c r="O25" i="5"/>
  <c r="R25" i="5"/>
  <c r="S25" i="5" s="1"/>
  <c r="T25" i="5" s="1"/>
  <c r="U25" i="5"/>
  <c r="V25" i="5" s="1"/>
  <c r="W25" i="5" s="1"/>
  <c r="X25" i="5"/>
  <c r="Y25" i="5" s="1"/>
  <c r="Z25" i="5" s="1"/>
  <c r="B26" i="5"/>
  <c r="C26" i="5" s="1"/>
  <c r="D26" i="5" s="1"/>
  <c r="E26" i="5"/>
  <c r="F26" i="5" s="1"/>
  <c r="G26" i="5" s="1"/>
  <c r="H26" i="5"/>
  <c r="I26" i="5" s="1"/>
  <c r="J26" i="5" s="1"/>
  <c r="K26" i="5"/>
  <c r="L26" i="5" s="1"/>
  <c r="M26" i="5" s="1"/>
  <c r="O26" i="5"/>
  <c r="R26" i="5"/>
  <c r="S26" i="5" s="1"/>
  <c r="T26" i="5" s="1"/>
  <c r="U26" i="5"/>
  <c r="V26" i="5" s="1"/>
  <c r="W26" i="5" s="1"/>
  <c r="X26" i="5"/>
  <c r="Y26" i="5" s="1"/>
  <c r="Z26" i="5" s="1"/>
  <c r="B27" i="5"/>
  <c r="C27" i="5" s="1"/>
  <c r="D27" i="5" s="1"/>
  <c r="E27" i="5"/>
  <c r="F27" i="5" s="1"/>
  <c r="G27" i="5" s="1"/>
  <c r="H27" i="5"/>
  <c r="I27" i="5" s="1"/>
  <c r="J27" i="5" s="1"/>
  <c r="K27" i="5"/>
  <c r="L27" i="5" s="1"/>
  <c r="M27" i="5" s="1"/>
  <c r="O27" i="5"/>
  <c r="P27" i="5" s="1"/>
  <c r="Q27" i="5" s="1"/>
  <c r="R27" i="5"/>
  <c r="S27" i="5" s="1"/>
  <c r="T27" i="5" s="1"/>
  <c r="U27" i="5"/>
  <c r="V27" i="5" s="1"/>
  <c r="W27" i="5" s="1"/>
  <c r="X27" i="5"/>
  <c r="Y27" i="5" s="1"/>
  <c r="Z27" i="5" s="1"/>
  <c r="B28" i="5"/>
  <c r="C28" i="5" s="1"/>
  <c r="D28" i="5" s="1"/>
  <c r="E28" i="5"/>
  <c r="F28" i="5" s="1"/>
  <c r="G28" i="5" s="1"/>
  <c r="H28" i="5"/>
  <c r="I28" i="5" s="1"/>
  <c r="J28" i="5" s="1"/>
  <c r="K28" i="5"/>
  <c r="L28" i="5" s="1"/>
  <c r="M28" i="5" s="1"/>
  <c r="O28" i="5"/>
  <c r="R28" i="5"/>
  <c r="S28" i="5" s="1"/>
  <c r="T28" i="5" s="1"/>
  <c r="U28" i="5"/>
  <c r="V28" i="5" s="1"/>
  <c r="W28" i="5" s="1"/>
  <c r="X28" i="5"/>
  <c r="Y28" i="5" s="1"/>
  <c r="Z28" i="5" s="1"/>
  <c r="B29" i="5"/>
  <c r="C29" i="5" s="1"/>
  <c r="D29" i="5" s="1"/>
  <c r="E29" i="5"/>
  <c r="F29" i="5" s="1"/>
  <c r="G29" i="5" s="1"/>
  <c r="H29" i="5"/>
  <c r="I29" i="5" s="1"/>
  <c r="J29" i="5" s="1"/>
  <c r="K29" i="5"/>
  <c r="L29" i="5" s="1"/>
  <c r="M29" i="5" s="1"/>
  <c r="O29" i="5"/>
  <c r="P29" i="5" s="1"/>
  <c r="Q29" i="5" s="1"/>
  <c r="R29" i="5"/>
  <c r="S29" i="5" s="1"/>
  <c r="T29" i="5" s="1"/>
  <c r="U29" i="5"/>
  <c r="V29" i="5" s="1"/>
  <c r="W29" i="5" s="1"/>
  <c r="X29" i="5"/>
  <c r="Y29" i="5" s="1"/>
  <c r="Z29" i="5" s="1"/>
  <c r="B30" i="5"/>
  <c r="C30" i="5" s="1"/>
  <c r="D30" i="5" s="1"/>
  <c r="E30" i="5"/>
  <c r="F30" i="5" s="1"/>
  <c r="G30" i="5" s="1"/>
  <c r="H30" i="5"/>
  <c r="I30" i="5" s="1"/>
  <c r="J30" i="5" s="1"/>
  <c r="K30" i="5"/>
  <c r="L30" i="5" s="1"/>
  <c r="M30" i="5" s="1"/>
  <c r="O30" i="5"/>
  <c r="P30" i="5" s="1"/>
  <c r="Q30" i="5" s="1"/>
  <c r="R30" i="5"/>
  <c r="S30" i="5" s="1"/>
  <c r="T30" i="5" s="1"/>
  <c r="U30" i="5"/>
  <c r="V30" i="5" s="1"/>
  <c r="W30" i="5" s="1"/>
  <c r="X30" i="5"/>
  <c r="Y30" i="5" s="1"/>
  <c r="Z30" i="5" s="1"/>
  <c r="B31" i="5"/>
  <c r="E31" i="5"/>
  <c r="F31" i="5" s="1"/>
  <c r="G31" i="5" s="1"/>
  <c r="H31" i="5"/>
  <c r="I31" i="5" s="1"/>
  <c r="J31" i="5" s="1"/>
  <c r="K31" i="5"/>
  <c r="L31" i="5" s="1"/>
  <c r="M31" i="5" s="1"/>
  <c r="O31" i="5"/>
  <c r="P31" i="5" s="1"/>
  <c r="Q31" i="5" s="1"/>
  <c r="R31" i="5"/>
  <c r="S31" i="5" s="1"/>
  <c r="T31" i="5" s="1"/>
  <c r="U31" i="5"/>
  <c r="V31" i="5" s="1"/>
  <c r="W31" i="5" s="1"/>
  <c r="X31" i="5"/>
  <c r="Y31" i="5" s="1"/>
  <c r="Z31" i="5" s="1"/>
  <c r="B32" i="5"/>
  <c r="E32" i="5"/>
  <c r="F32" i="5" s="1"/>
  <c r="G32" i="5" s="1"/>
  <c r="H32" i="5"/>
  <c r="I32" i="5" s="1"/>
  <c r="J32" i="5" s="1"/>
  <c r="K32" i="5"/>
  <c r="L32" i="5" s="1"/>
  <c r="M32" i="5" s="1"/>
  <c r="O32" i="5"/>
  <c r="P32" i="5" s="1"/>
  <c r="Q32" i="5" s="1"/>
  <c r="R32" i="5"/>
  <c r="S32" i="5" s="1"/>
  <c r="T32" i="5" s="1"/>
  <c r="U32" i="5"/>
  <c r="V32" i="5" s="1"/>
  <c r="W32" i="5" s="1"/>
  <c r="X32" i="5"/>
  <c r="Y32" i="5" s="1"/>
  <c r="Z32" i="5" s="1"/>
  <c r="B33" i="5"/>
  <c r="E33" i="5"/>
  <c r="F33" i="5" s="1"/>
  <c r="G33" i="5" s="1"/>
  <c r="H33" i="5"/>
  <c r="I33" i="5" s="1"/>
  <c r="J33" i="5" s="1"/>
  <c r="K33" i="5"/>
  <c r="L33" i="5" s="1"/>
  <c r="M33" i="5" s="1"/>
  <c r="O33" i="5"/>
  <c r="P33" i="5" s="1"/>
  <c r="Q33" i="5" s="1"/>
  <c r="R33" i="5"/>
  <c r="S33" i="5" s="1"/>
  <c r="T33" i="5" s="1"/>
  <c r="U33" i="5"/>
  <c r="V33" i="5" s="1"/>
  <c r="W33" i="5" s="1"/>
  <c r="X33" i="5"/>
  <c r="Y33" i="5" s="1"/>
  <c r="Z33" i="5" s="1"/>
  <c r="B34" i="5"/>
  <c r="C34" i="5" s="1"/>
  <c r="D34" i="5" s="1"/>
  <c r="E34" i="5"/>
  <c r="F34" i="5" s="1"/>
  <c r="G34" i="5" s="1"/>
  <c r="H34" i="5"/>
  <c r="I34" i="5" s="1"/>
  <c r="J34" i="5" s="1"/>
  <c r="K34" i="5"/>
  <c r="L34" i="5" s="1"/>
  <c r="M34" i="5" s="1"/>
  <c r="O34" i="5"/>
  <c r="R34" i="5"/>
  <c r="S34" i="5" s="1"/>
  <c r="T34" i="5" s="1"/>
  <c r="U34" i="5"/>
  <c r="V34" i="5" s="1"/>
  <c r="W34" i="5" s="1"/>
  <c r="X34" i="5"/>
  <c r="Y34" i="5" s="1"/>
  <c r="Z34" i="5" s="1"/>
  <c r="B35" i="5"/>
  <c r="C35" i="5" s="1"/>
  <c r="D35" i="5" s="1"/>
  <c r="E35" i="5"/>
  <c r="F35" i="5" s="1"/>
  <c r="G35" i="5" s="1"/>
  <c r="H35" i="5"/>
  <c r="I35" i="5" s="1"/>
  <c r="J35" i="5" s="1"/>
  <c r="K35" i="5"/>
  <c r="L35" i="5" s="1"/>
  <c r="M35" i="5" s="1"/>
  <c r="O35" i="5"/>
  <c r="P35" i="5" s="1"/>
  <c r="Q35" i="5" s="1"/>
  <c r="R35" i="5"/>
  <c r="S35" i="5" s="1"/>
  <c r="T35" i="5" s="1"/>
  <c r="U35" i="5"/>
  <c r="V35" i="5" s="1"/>
  <c r="W35" i="5" s="1"/>
  <c r="X35" i="5"/>
  <c r="Y35" i="5" s="1"/>
  <c r="Z35" i="5" s="1"/>
  <c r="X5" i="5"/>
  <c r="Y5" i="5" s="1"/>
  <c r="Z5" i="5" s="1"/>
  <c r="U5" i="5"/>
  <c r="V5" i="5" s="1"/>
  <c r="W5" i="5" s="1"/>
  <c r="R5" i="5"/>
  <c r="S5" i="5" s="1"/>
  <c r="T5" i="5" s="1"/>
  <c r="O5" i="5"/>
  <c r="K5" i="5"/>
  <c r="L5" i="5" s="1"/>
  <c r="M5" i="5" s="1"/>
  <c r="H5" i="5"/>
  <c r="I5" i="5" s="1"/>
  <c r="J5" i="5" s="1"/>
  <c r="E5" i="5"/>
  <c r="F5" i="5" s="1"/>
  <c r="G5" i="5" s="1"/>
  <c r="B5" i="5"/>
  <c r="C5" i="5" s="1"/>
  <c r="D5" i="5" s="1"/>
  <c r="B6" i="12"/>
  <c r="E6" i="12"/>
  <c r="F6" i="12" s="1"/>
  <c r="G6" i="12" s="1"/>
  <c r="H6" i="12"/>
  <c r="K6" i="12"/>
  <c r="L6" i="12" s="1"/>
  <c r="M6" i="12" s="1"/>
  <c r="O6" i="12"/>
  <c r="P6" i="12" s="1"/>
  <c r="Q6" i="12" s="1"/>
  <c r="R6" i="12"/>
  <c r="S6" i="12" s="1"/>
  <c r="T6" i="12" s="1"/>
  <c r="U6" i="12"/>
  <c r="V6" i="12" s="1"/>
  <c r="W6" i="12" s="1"/>
  <c r="X6" i="12"/>
  <c r="Y6" i="12" s="1"/>
  <c r="Z6" i="12" s="1"/>
  <c r="B7" i="12"/>
  <c r="C7" i="12" s="1"/>
  <c r="D7" i="12" s="1"/>
  <c r="E7" i="12"/>
  <c r="F7" i="12" s="1"/>
  <c r="G7" i="12" s="1"/>
  <c r="H7" i="12"/>
  <c r="I7" i="12" s="1"/>
  <c r="J7" i="12" s="1"/>
  <c r="K7" i="12"/>
  <c r="L7" i="12" s="1"/>
  <c r="M7" i="12" s="1"/>
  <c r="O7" i="12"/>
  <c r="P7" i="12" s="1"/>
  <c r="Q7" i="12" s="1"/>
  <c r="R7" i="12"/>
  <c r="S7" i="12" s="1"/>
  <c r="T7" i="12" s="1"/>
  <c r="U7" i="12"/>
  <c r="V7" i="12" s="1"/>
  <c r="W7" i="12" s="1"/>
  <c r="X7" i="12"/>
  <c r="Y7" i="12" s="1"/>
  <c r="Z7" i="12" s="1"/>
  <c r="B8" i="12"/>
  <c r="E8" i="12"/>
  <c r="F8" i="12" s="1"/>
  <c r="G8" i="12" s="1"/>
  <c r="H8" i="12"/>
  <c r="I8" i="12" s="1"/>
  <c r="J8" i="12" s="1"/>
  <c r="K8" i="12"/>
  <c r="L8" i="12" s="1"/>
  <c r="M8" i="12" s="1"/>
  <c r="O8" i="12"/>
  <c r="P8" i="12" s="1"/>
  <c r="Q8" i="12" s="1"/>
  <c r="R8" i="12"/>
  <c r="S8" i="12" s="1"/>
  <c r="T8" i="12" s="1"/>
  <c r="U8" i="12"/>
  <c r="V8" i="12" s="1"/>
  <c r="W8" i="12" s="1"/>
  <c r="X8" i="12"/>
  <c r="Y8" i="12" s="1"/>
  <c r="Z8" i="12" s="1"/>
  <c r="B9" i="12"/>
  <c r="E9" i="12"/>
  <c r="F9" i="12" s="1"/>
  <c r="G9" i="12" s="1"/>
  <c r="H9" i="12"/>
  <c r="I9" i="12" s="1"/>
  <c r="J9" i="12" s="1"/>
  <c r="K9" i="12"/>
  <c r="L9" i="12" s="1"/>
  <c r="M9" i="12" s="1"/>
  <c r="O9" i="12"/>
  <c r="P9" i="12" s="1"/>
  <c r="Q9" i="12" s="1"/>
  <c r="R9" i="12"/>
  <c r="S9" i="12" s="1"/>
  <c r="T9" i="12" s="1"/>
  <c r="U9" i="12"/>
  <c r="V9" i="12" s="1"/>
  <c r="W9" i="12" s="1"/>
  <c r="X9" i="12"/>
  <c r="B10" i="12"/>
  <c r="C10" i="12" s="1"/>
  <c r="D10" i="12" s="1"/>
  <c r="E10" i="12"/>
  <c r="F10" i="12" s="1"/>
  <c r="G10" i="12" s="1"/>
  <c r="H10" i="12"/>
  <c r="I10" i="12" s="1"/>
  <c r="J10" i="12" s="1"/>
  <c r="K10" i="12"/>
  <c r="L10" i="12" s="1"/>
  <c r="M10" i="12" s="1"/>
  <c r="O10" i="12"/>
  <c r="R10" i="12"/>
  <c r="S10" i="12" s="1"/>
  <c r="T10" i="12" s="1"/>
  <c r="U10" i="12"/>
  <c r="X10" i="12"/>
  <c r="Y10" i="12" s="1"/>
  <c r="Z10" i="12" s="1"/>
  <c r="B11" i="12"/>
  <c r="C11" i="12" s="1"/>
  <c r="D11" i="12" s="1"/>
  <c r="E11" i="12"/>
  <c r="F11" i="12" s="1"/>
  <c r="G11" i="12" s="1"/>
  <c r="H11" i="12"/>
  <c r="I11" i="12" s="1"/>
  <c r="J11" i="12" s="1"/>
  <c r="K11" i="12"/>
  <c r="L11" i="12" s="1"/>
  <c r="M11" i="12" s="1"/>
  <c r="O11" i="12"/>
  <c r="P11" i="12" s="1"/>
  <c r="Q11" i="12" s="1"/>
  <c r="R11" i="12"/>
  <c r="S11" i="12" s="1"/>
  <c r="T11" i="12" s="1"/>
  <c r="U11" i="12"/>
  <c r="V11" i="12" s="1"/>
  <c r="W11" i="12" s="1"/>
  <c r="X11" i="12"/>
  <c r="Y11" i="12" s="1"/>
  <c r="Z11" i="12" s="1"/>
  <c r="B12" i="12"/>
  <c r="C12" i="12" s="1"/>
  <c r="D12" i="12" s="1"/>
  <c r="E12" i="12"/>
  <c r="F12" i="12" s="1"/>
  <c r="G12" i="12" s="1"/>
  <c r="H12" i="12"/>
  <c r="I12" i="12" s="1"/>
  <c r="J12" i="12" s="1"/>
  <c r="K12" i="12"/>
  <c r="L12" i="12" s="1"/>
  <c r="M12" i="12" s="1"/>
  <c r="O12" i="12"/>
  <c r="R12" i="12"/>
  <c r="S12" i="12" s="1"/>
  <c r="T12" i="12" s="1"/>
  <c r="U12" i="12"/>
  <c r="V12" i="12" s="1"/>
  <c r="W12" i="12" s="1"/>
  <c r="X12" i="12"/>
  <c r="Y12" i="12" s="1"/>
  <c r="Z12" i="12" s="1"/>
  <c r="B13" i="12"/>
  <c r="C13" i="12" s="1"/>
  <c r="D13" i="12" s="1"/>
  <c r="E13" i="12"/>
  <c r="F13" i="12" s="1"/>
  <c r="G13" i="12" s="1"/>
  <c r="H13" i="12"/>
  <c r="I13" i="12" s="1"/>
  <c r="J13" i="12" s="1"/>
  <c r="K13" i="12"/>
  <c r="O13" i="12"/>
  <c r="P13" i="12" s="1"/>
  <c r="Q13" i="12" s="1"/>
  <c r="R13" i="12"/>
  <c r="S13" i="12" s="1"/>
  <c r="T13" i="12" s="1"/>
  <c r="U13" i="12"/>
  <c r="V13" i="12" s="1"/>
  <c r="W13" i="12" s="1"/>
  <c r="X13" i="12"/>
  <c r="Y13" i="12" s="1"/>
  <c r="Z13" i="12" s="1"/>
  <c r="B14" i="12"/>
  <c r="C14" i="12" s="1"/>
  <c r="D14" i="12" s="1"/>
  <c r="E14" i="12"/>
  <c r="F14" i="12" s="1"/>
  <c r="G14" i="12" s="1"/>
  <c r="H14" i="12"/>
  <c r="I14" i="12" s="1"/>
  <c r="J14" i="12" s="1"/>
  <c r="K14" i="12"/>
  <c r="L14" i="12" s="1"/>
  <c r="M14" i="12" s="1"/>
  <c r="O14" i="12"/>
  <c r="R14" i="12"/>
  <c r="S14" i="12" s="1"/>
  <c r="T14" i="12" s="1"/>
  <c r="U14" i="12"/>
  <c r="V14" i="12" s="1"/>
  <c r="W14" i="12" s="1"/>
  <c r="X14" i="12"/>
  <c r="Y14" i="12" s="1"/>
  <c r="Z14" i="12" s="1"/>
  <c r="B15" i="12"/>
  <c r="E15" i="12"/>
  <c r="F15" i="12" s="1"/>
  <c r="G15" i="12" s="1"/>
  <c r="H15" i="12"/>
  <c r="I15" i="12" s="1"/>
  <c r="J15" i="12" s="1"/>
  <c r="K15" i="12"/>
  <c r="L15" i="12" s="1"/>
  <c r="M15" i="12" s="1"/>
  <c r="O15" i="12"/>
  <c r="P15" i="12" s="1"/>
  <c r="Q15" i="12" s="1"/>
  <c r="R15" i="12"/>
  <c r="S15" i="12" s="1"/>
  <c r="T15" i="12" s="1"/>
  <c r="U15" i="12"/>
  <c r="V15" i="12" s="1"/>
  <c r="W15" i="12" s="1"/>
  <c r="X15" i="12"/>
  <c r="Y15" i="12" s="1"/>
  <c r="Z15" i="12" s="1"/>
  <c r="B16" i="12"/>
  <c r="E16" i="12"/>
  <c r="F16" i="12" s="1"/>
  <c r="G16" i="12" s="1"/>
  <c r="H16" i="12"/>
  <c r="I16" i="12" s="1"/>
  <c r="J16" i="12" s="1"/>
  <c r="K16" i="12"/>
  <c r="L16" i="12" s="1"/>
  <c r="M16" i="12" s="1"/>
  <c r="O16" i="12"/>
  <c r="P16" i="12" s="1"/>
  <c r="Q16" i="12" s="1"/>
  <c r="R16" i="12"/>
  <c r="S16" i="12" s="1"/>
  <c r="T16" i="12" s="1"/>
  <c r="U16" i="12"/>
  <c r="V16" i="12" s="1"/>
  <c r="W16" i="12" s="1"/>
  <c r="X16" i="12"/>
  <c r="Y16" i="12" s="1"/>
  <c r="Z16" i="12" s="1"/>
  <c r="B17" i="12"/>
  <c r="C17" i="12" s="1"/>
  <c r="D17" i="12" s="1"/>
  <c r="E17" i="12"/>
  <c r="F17" i="12" s="1"/>
  <c r="G17" i="12" s="1"/>
  <c r="H17" i="12"/>
  <c r="I17" i="12" s="1"/>
  <c r="J17" i="12" s="1"/>
  <c r="K17" i="12"/>
  <c r="L17" i="12" s="1"/>
  <c r="M17" i="12" s="1"/>
  <c r="O17" i="12"/>
  <c r="R17" i="12"/>
  <c r="S17" i="12" s="1"/>
  <c r="T17" i="12" s="1"/>
  <c r="U17" i="12"/>
  <c r="V17" i="12" s="1"/>
  <c r="W17" i="12" s="1"/>
  <c r="X17" i="12"/>
  <c r="Y17" i="12" s="1"/>
  <c r="Z17" i="12" s="1"/>
  <c r="B18" i="12"/>
  <c r="C18" i="12" s="1"/>
  <c r="D18" i="12" s="1"/>
  <c r="E18" i="12"/>
  <c r="F18" i="12" s="1"/>
  <c r="G18" i="12" s="1"/>
  <c r="H18" i="12"/>
  <c r="I18" i="12" s="1"/>
  <c r="J18" i="12" s="1"/>
  <c r="K18" i="12"/>
  <c r="L18" i="12" s="1"/>
  <c r="M18" i="12" s="1"/>
  <c r="O18" i="12"/>
  <c r="R18" i="12"/>
  <c r="S18" i="12" s="1"/>
  <c r="T18" i="12" s="1"/>
  <c r="U18" i="12"/>
  <c r="V18" i="12" s="1"/>
  <c r="W18" i="12" s="1"/>
  <c r="X18" i="12"/>
  <c r="Y18" i="12" s="1"/>
  <c r="Z18" i="12" s="1"/>
  <c r="B19" i="12"/>
  <c r="C19" i="12" s="1"/>
  <c r="D19" i="12" s="1"/>
  <c r="E19" i="12"/>
  <c r="F19" i="12" s="1"/>
  <c r="G19" i="12" s="1"/>
  <c r="H19" i="12"/>
  <c r="I19" i="12" s="1"/>
  <c r="J19" i="12" s="1"/>
  <c r="K19" i="12"/>
  <c r="L19" i="12" s="1"/>
  <c r="M19" i="12" s="1"/>
  <c r="O19" i="12"/>
  <c r="P19" i="12" s="1"/>
  <c r="Q19" i="12" s="1"/>
  <c r="R19" i="12"/>
  <c r="S19" i="12" s="1"/>
  <c r="T19" i="12" s="1"/>
  <c r="U19" i="12"/>
  <c r="V19" i="12" s="1"/>
  <c r="W19" i="12" s="1"/>
  <c r="X19" i="12"/>
  <c r="Y19" i="12" s="1"/>
  <c r="Z19" i="12" s="1"/>
  <c r="B20" i="12"/>
  <c r="C20" i="12" s="1"/>
  <c r="D20" i="12" s="1"/>
  <c r="E20" i="12"/>
  <c r="F20" i="12" s="1"/>
  <c r="G20" i="12" s="1"/>
  <c r="H20" i="12"/>
  <c r="I20" i="12" s="1"/>
  <c r="J20" i="12" s="1"/>
  <c r="K20" i="12"/>
  <c r="L20" i="12" s="1"/>
  <c r="M20" i="12" s="1"/>
  <c r="O20" i="12"/>
  <c r="R20" i="12"/>
  <c r="S20" i="12" s="1"/>
  <c r="T20" i="12" s="1"/>
  <c r="U20" i="12"/>
  <c r="V20" i="12" s="1"/>
  <c r="W20" i="12" s="1"/>
  <c r="X20" i="12"/>
  <c r="Y20" i="12" s="1"/>
  <c r="Z20" i="12" s="1"/>
  <c r="B21" i="12"/>
  <c r="C21" i="12" s="1"/>
  <c r="D21" i="12" s="1"/>
  <c r="E21" i="12"/>
  <c r="F21" i="12" s="1"/>
  <c r="G21" i="12" s="1"/>
  <c r="H21" i="12"/>
  <c r="I21" i="12" s="1"/>
  <c r="J21" i="12" s="1"/>
  <c r="K21" i="12"/>
  <c r="L21" i="12" s="1"/>
  <c r="M21" i="12" s="1"/>
  <c r="O21" i="12"/>
  <c r="P21" i="12" s="1"/>
  <c r="Q21" i="12" s="1"/>
  <c r="R21" i="12"/>
  <c r="S21" i="12" s="1"/>
  <c r="T21" i="12" s="1"/>
  <c r="U21" i="12"/>
  <c r="V21" i="12" s="1"/>
  <c r="W21" i="12" s="1"/>
  <c r="X21" i="12"/>
  <c r="Y21" i="12" s="1"/>
  <c r="Z21" i="12" s="1"/>
  <c r="B22" i="12"/>
  <c r="C22" i="12" s="1"/>
  <c r="D22" i="12" s="1"/>
  <c r="E22" i="12"/>
  <c r="F22" i="12" s="1"/>
  <c r="G22" i="12" s="1"/>
  <c r="H22" i="12"/>
  <c r="I22" i="12" s="1"/>
  <c r="J22" i="12" s="1"/>
  <c r="K22" i="12"/>
  <c r="L22" i="12" s="1"/>
  <c r="M22" i="12" s="1"/>
  <c r="O22" i="12"/>
  <c r="R22" i="12"/>
  <c r="S22" i="12" s="1"/>
  <c r="T22" i="12" s="1"/>
  <c r="U22" i="12"/>
  <c r="V22" i="12" s="1"/>
  <c r="W22" i="12" s="1"/>
  <c r="X22" i="12"/>
  <c r="Y22" i="12" s="1"/>
  <c r="Z22" i="12" s="1"/>
  <c r="B23" i="12"/>
  <c r="E23" i="12"/>
  <c r="F23" i="12" s="1"/>
  <c r="G23" i="12" s="1"/>
  <c r="H23" i="12"/>
  <c r="I23" i="12" s="1"/>
  <c r="J23" i="12" s="1"/>
  <c r="K23" i="12"/>
  <c r="L23" i="12" s="1"/>
  <c r="M23" i="12" s="1"/>
  <c r="O23" i="12"/>
  <c r="P23" i="12" s="1"/>
  <c r="Q23" i="12" s="1"/>
  <c r="R23" i="12"/>
  <c r="S23" i="12" s="1"/>
  <c r="T23" i="12" s="1"/>
  <c r="U23" i="12"/>
  <c r="V23" i="12" s="1"/>
  <c r="W23" i="12" s="1"/>
  <c r="X23" i="12"/>
  <c r="Y23" i="12" s="1"/>
  <c r="Z23" i="12" s="1"/>
  <c r="B24" i="12"/>
  <c r="E24" i="12"/>
  <c r="F24" i="12" s="1"/>
  <c r="G24" i="12" s="1"/>
  <c r="H24" i="12"/>
  <c r="I24" i="12" s="1"/>
  <c r="J24" i="12" s="1"/>
  <c r="K24" i="12"/>
  <c r="L24" i="12" s="1"/>
  <c r="M24" i="12" s="1"/>
  <c r="O24" i="12"/>
  <c r="P24" i="12" s="1"/>
  <c r="Q24" i="12" s="1"/>
  <c r="R24" i="12"/>
  <c r="S24" i="12" s="1"/>
  <c r="T24" i="12" s="1"/>
  <c r="U24" i="12"/>
  <c r="V24" i="12" s="1"/>
  <c r="W24" i="12" s="1"/>
  <c r="X24" i="12"/>
  <c r="Y24" i="12" s="1"/>
  <c r="Z24" i="12" s="1"/>
  <c r="B25" i="12"/>
  <c r="E25" i="12"/>
  <c r="F25" i="12" s="1"/>
  <c r="G25" i="12" s="1"/>
  <c r="H25" i="12"/>
  <c r="I25" i="12" s="1"/>
  <c r="J25" i="12" s="1"/>
  <c r="K25" i="12"/>
  <c r="L25" i="12" s="1"/>
  <c r="M25" i="12" s="1"/>
  <c r="O25" i="12"/>
  <c r="P25" i="12" s="1"/>
  <c r="Q25" i="12" s="1"/>
  <c r="R25" i="12"/>
  <c r="S25" i="12" s="1"/>
  <c r="T25" i="12" s="1"/>
  <c r="U25" i="12"/>
  <c r="V25" i="12" s="1"/>
  <c r="W25" i="12" s="1"/>
  <c r="X25" i="12"/>
  <c r="Y25" i="12" s="1"/>
  <c r="Z25" i="12" s="1"/>
  <c r="B26" i="12"/>
  <c r="C26" i="12" s="1"/>
  <c r="D26" i="12" s="1"/>
  <c r="E26" i="12"/>
  <c r="F26" i="12" s="1"/>
  <c r="G26" i="12" s="1"/>
  <c r="H26" i="12"/>
  <c r="I26" i="12" s="1"/>
  <c r="J26" i="12" s="1"/>
  <c r="K26" i="12"/>
  <c r="L26" i="12" s="1"/>
  <c r="M26" i="12" s="1"/>
  <c r="O26" i="12"/>
  <c r="P26" i="12" s="1"/>
  <c r="Q26" i="12" s="1"/>
  <c r="R26" i="12"/>
  <c r="S26" i="12" s="1"/>
  <c r="T26" i="12" s="1"/>
  <c r="U26" i="12"/>
  <c r="V26" i="12" s="1"/>
  <c r="W26" i="12" s="1"/>
  <c r="X26" i="12"/>
  <c r="Y26" i="12" s="1"/>
  <c r="Z26" i="12" s="1"/>
  <c r="B27" i="12"/>
  <c r="C27" i="12" s="1"/>
  <c r="D27" i="12" s="1"/>
  <c r="E27" i="12"/>
  <c r="F27" i="12" s="1"/>
  <c r="G27" i="12" s="1"/>
  <c r="H27" i="12"/>
  <c r="I27" i="12" s="1"/>
  <c r="J27" i="12" s="1"/>
  <c r="K27" i="12"/>
  <c r="L27" i="12" s="1"/>
  <c r="M27" i="12" s="1"/>
  <c r="O27" i="12"/>
  <c r="P27" i="12" s="1"/>
  <c r="Q27" i="12" s="1"/>
  <c r="R27" i="12"/>
  <c r="S27" i="12" s="1"/>
  <c r="T27" i="12" s="1"/>
  <c r="U27" i="12"/>
  <c r="V27" i="12" s="1"/>
  <c r="W27" i="12" s="1"/>
  <c r="X27" i="12"/>
  <c r="Y27" i="12" s="1"/>
  <c r="Z27" i="12" s="1"/>
  <c r="B28" i="12"/>
  <c r="C28" i="12" s="1"/>
  <c r="D28" i="12" s="1"/>
  <c r="E28" i="12"/>
  <c r="F28" i="12" s="1"/>
  <c r="G28" i="12" s="1"/>
  <c r="H28" i="12"/>
  <c r="I28" i="12" s="1"/>
  <c r="J28" i="12" s="1"/>
  <c r="K28" i="12"/>
  <c r="L28" i="12" s="1"/>
  <c r="M28" i="12" s="1"/>
  <c r="O28" i="12"/>
  <c r="R28" i="12"/>
  <c r="S28" i="12" s="1"/>
  <c r="T28" i="12" s="1"/>
  <c r="U28" i="12"/>
  <c r="V28" i="12" s="1"/>
  <c r="W28" i="12" s="1"/>
  <c r="X28" i="12"/>
  <c r="Y28" i="12" s="1"/>
  <c r="Z28" i="12" s="1"/>
  <c r="B29" i="12"/>
  <c r="C29" i="12" s="1"/>
  <c r="D29" i="12" s="1"/>
  <c r="E29" i="12"/>
  <c r="F29" i="12" s="1"/>
  <c r="G29" i="12" s="1"/>
  <c r="H29" i="12"/>
  <c r="I29" i="12" s="1"/>
  <c r="J29" i="12" s="1"/>
  <c r="K29" i="12"/>
  <c r="L29" i="12" s="1"/>
  <c r="M29" i="12" s="1"/>
  <c r="O29" i="12"/>
  <c r="P29" i="12" s="1"/>
  <c r="Q29" i="12" s="1"/>
  <c r="R29" i="12"/>
  <c r="S29" i="12" s="1"/>
  <c r="T29" i="12" s="1"/>
  <c r="U29" i="12"/>
  <c r="V29" i="12" s="1"/>
  <c r="W29" i="12" s="1"/>
  <c r="X29" i="12"/>
  <c r="Y29" i="12" s="1"/>
  <c r="Z29" i="12" s="1"/>
  <c r="B30" i="12"/>
  <c r="C30" i="12" s="1"/>
  <c r="D30" i="12" s="1"/>
  <c r="E30" i="12"/>
  <c r="F30" i="12" s="1"/>
  <c r="G30" i="12" s="1"/>
  <c r="H30" i="12"/>
  <c r="I30" i="12" s="1"/>
  <c r="J30" i="12" s="1"/>
  <c r="K30" i="12"/>
  <c r="L30" i="12" s="1"/>
  <c r="M30" i="12" s="1"/>
  <c r="O30" i="12"/>
  <c r="P30" i="12" s="1"/>
  <c r="Q30" i="12" s="1"/>
  <c r="R30" i="12"/>
  <c r="S30" i="12" s="1"/>
  <c r="T30" i="12" s="1"/>
  <c r="U30" i="12"/>
  <c r="V30" i="12" s="1"/>
  <c r="W30" i="12" s="1"/>
  <c r="X30" i="12"/>
  <c r="Y30" i="12" s="1"/>
  <c r="Z30" i="12" s="1"/>
  <c r="B31" i="12"/>
  <c r="C31" i="12" s="1"/>
  <c r="D31" i="12" s="1"/>
  <c r="E31" i="12"/>
  <c r="F31" i="12" s="1"/>
  <c r="G31" i="12" s="1"/>
  <c r="H31" i="12"/>
  <c r="I31" i="12" s="1"/>
  <c r="J31" i="12" s="1"/>
  <c r="K31" i="12"/>
  <c r="L31" i="12" s="1"/>
  <c r="M31" i="12" s="1"/>
  <c r="O31" i="12"/>
  <c r="P31" i="12" s="1"/>
  <c r="Q31" i="12" s="1"/>
  <c r="R31" i="12"/>
  <c r="S31" i="12" s="1"/>
  <c r="T31" i="12" s="1"/>
  <c r="U31" i="12"/>
  <c r="V31" i="12" s="1"/>
  <c r="W31" i="12" s="1"/>
  <c r="X31" i="12"/>
  <c r="Y31" i="12" s="1"/>
  <c r="Z31" i="12" s="1"/>
  <c r="B32" i="12"/>
  <c r="C32" i="12" s="1"/>
  <c r="D32" i="12" s="1"/>
  <c r="E32" i="12"/>
  <c r="F32" i="12" s="1"/>
  <c r="G32" i="12" s="1"/>
  <c r="H32" i="12"/>
  <c r="I32" i="12" s="1"/>
  <c r="J32" i="12" s="1"/>
  <c r="K32" i="12"/>
  <c r="L32" i="12" s="1"/>
  <c r="M32" i="12" s="1"/>
  <c r="O32" i="12"/>
  <c r="P32" i="12" s="1"/>
  <c r="Q32" i="12" s="1"/>
  <c r="R32" i="12"/>
  <c r="S32" i="12" s="1"/>
  <c r="T32" i="12" s="1"/>
  <c r="U32" i="12"/>
  <c r="V32" i="12" s="1"/>
  <c r="W32" i="12" s="1"/>
  <c r="X32" i="12"/>
  <c r="Y32" i="12" s="1"/>
  <c r="Z32" i="12" s="1"/>
  <c r="B33" i="12"/>
  <c r="C33" i="12" s="1"/>
  <c r="D33" i="12" s="1"/>
  <c r="E33" i="12"/>
  <c r="F33" i="12" s="1"/>
  <c r="G33" i="12" s="1"/>
  <c r="H33" i="12"/>
  <c r="I33" i="12" s="1"/>
  <c r="J33" i="12" s="1"/>
  <c r="K33" i="12"/>
  <c r="L33" i="12" s="1"/>
  <c r="M33" i="12" s="1"/>
  <c r="O33" i="12"/>
  <c r="R33" i="12"/>
  <c r="S33" i="12" s="1"/>
  <c r="T33" i="12" s="1"/>
  <c r="U33" i="12"/>
  <c r="V33" i="12" s="1"/>
  <c r="W33" i="12" s="1"/>
  <c r="X33" i="12"/>
  <c r="Y33" i="12" s="1"/>
  <c r="Z33" i="12" s="1"/>
  <c r="B34" i="12"/>
  <c r="C34" i="12" s="1"/>
  <c r="D34" i="12" s="1"/>
  <c r="E34" i="12"/>
  <c r="F34" i="12" s="1"/>
  <c r="G34" i="12" s="1"/>
  <c r="H34" i="12"/>
  <c r="I34" i="12" s="1"/>
  <c r="J34" i="12" s="1"/>
  <c r="K34" i="12"/>
  <c r="L34" i="12" s="1"/>
  <c r="M34" i="12" s="1"/>
  <c r="O34" i="12"/>
  <c r="P34" i="12" s="1"/>
  <c r="Q34" i="12" s="1"/>
  <c r="R34" i="12"/>
  <c r="S34" i="12" s="1"/>
  <c r="T34" i="12" s="1"/>
  <c r="U34" i="12"/>
  <c r="V34" i="12" s="1"/>
  <c r="W34" i="12" s="1"/>
  <c r="X34" i="12"/>
  <c r="Y34" i="12" s="1"/>
  <c r="Z34" i="12" s="1"/>
  <c r="X5" i="12"/>
  <c r="Y5" i="12" s="1"/>
  <c r="U5" i="12"/>
  <c r="V5" i="12" s="1"/>
  <c r="R5" i="12"/>
  <c r="S5" i="12" s="1"/>
  <c r="O5" i="12"/>
  <c r="K5" i="12"/>
  <c r="L5" i="12" s="1"/>
  <c r="H5" i="12"/>
  <c r="I5" i="12" s="1"/>
  <c r="E5" i="12"/>
  <c r="F5" i="12" s="1"/>
  <c r="F35" i="12" s="1"/>
  <c r="B5" i="12"/>
  <c r="B6" i="11"/>
  <c r="C6" i="11" s="1"/>
  <c r="D6" i="11" s="1"/>
  <c r="E6" i="11"/>
  <c r="F6" i="11" s="1"/>
  <c r="G6" i="11" s="1"/>
  <c r="H6" i="11"/>
  <c r="I6" i="11" s="1"/>
  <c r="J6" i="11" s="1"/>
  <c r="K6" i="11"/>
  <c r="L6" i="11" s="1"/>
  <c r="M6" i="11" s="1"/>
  <c r="O6" i="11"/>
  <c r="R6" i="11"/>
  <c r="S6" i="11" s="1"/>
  <c r="T6" i="11" s="1"/>
  <c r="U6" i="11"/>
  <c r="V6" i="11" s="1"/>
  <c r="W6" i="11" s="1"/>
  <c r="X6" i="11"/>
  <c r="Y6" i="11" s="1"/>
  <c r="Z6" i="11" s="1"/>
  <c r="B7" i="11"/>
  <c r="E7" i="11"/>
  <c r="F7" i="11" s="1"/>
  <c r="G7" i="11" s="1"/>
  <c r="H7" i="11"/>
  <c r="I7" i="11" s="1"/>
  <c r="J7" i="11" s="1"/>
  <c r="K7" i="11"/>
  <c r="L7" i="11" s="1"/>
  <c r="M7" i="11" s="1"/>
  <c r="O7" i="11"/>
  <c r="P7" i="11" s="1"/>
  <c r="Q7" i="11" s="1"/>
  <c r="R7" i="11"/>
  <c r="S7" i="11" s="1"/>
  <c r="T7" i="11" s="1"/>
  <c r="U7" i="11"/>
  <c r="V7" i="11" s="1"/>
  <c r="W7" i="11" s="1"/>
  <c r="X7" i="11"/>
  <c r="Y7" i="11" s="1"/>
  <c r="Z7" i="11" s="1"/>
  <c r="B8" i="11"/>
  <c r="C8" i="11" s="1"/>
  <c r="D8" i="11" s="1"/>
  <c r="E8" i="11"/>
  <c r="F8" i="11" s="1"/>
  <c r="G8" i="11" s="1"/>
  <c r="H8" i="11"/>
  <c r="I8" i="11" s="1"/>
  <c r="J8" i="11" s="1"/>
  <c r="K8" i="11"/>
  <c r="L8" i="11" s="1"/>
  <c r="M8" i="11" s="1"/>
  <c r="O8" i="11"/>
  <c r="P8" i="11" s="1"/>
  <c r="Q8" i="11" s="1"/>
  <c r="R8" i="11"/>
  <c r="S8" i="11" s="1"/>
  <c r="T8" i="11" s="1"/>
  <c r="U8" i="11"/>
  <c r="V8" i="11" s="1"/>
  <c r="W8" i="11" s="1"/>
  <c r="X8" i="11"/>
  <c r="Y8" i="11" s="1"/>
  <c r="Z8" i="11" s="1"/>
  <c r="B9" i="11"/>
  <c r="C9" i="11" s="1"/>
  <c r="D9" i="11" s="1"/>
  <c r="E9" i="11"/>
  <c r="F9" i="11" s="1"/>
  <c r="G9" i="11" s="1"/>
  <c r="H9" i="11"/>
  <c r="I9" i="11" s="1"/>
  <c r="J9" i="11" s="1"/>
  <c r="K9" i="11"/>
  <c r="L9" i="11" s="1"/>
  <c r="M9" i="11" s="1"/>
  <c r="O9" i="11"/>
  <c r="P9" i="11" s="1"/>
  <c r="Q9" i="11" s="1"/>
  <c r="R9" i="11"/>
  <c r="S9" i="11" s="1"/>
  <c r="T9" i="11" s="1"/>
  <c r="U9" i="11"/>
  <c r="V9" i="11" s="1"/>
  <c r="W9" i="11" s="1"/>
  <c r="X9" i="11"/>
  <c r="Y9" i="11" s="1"/>
  <c r="Z9" i="11" s="1"/>
  <c r="B10" i="11"/>
  <c r="C10" i="11" s="1"/>
  <c r="D10" i="11" s="1"/>
  <c r="E10" i="11"/>
  <c r="F10" i="11" s="1"/>
  <c r="G10" i="11" s="1"/>
  <c r="H10" i="11"/>
  <c r="I10" i="11" s="1"/>
  <c r="J10" i="11" s="1"/>
  <c r="K10" i="11"/>
  <c r="L10" i="11" s="1"/>
  <c r="M10" i="11" s="1"/>
  <c r="O10" i="11"/>
  <c r="P10" i="11" s="1"/>
  <c r="Q10" i="11" s="1"/>
  <c r="R10" i="11"/>
  <c r="S10" i="11" s="1"/>
  <c r="T10" i="11" s="1"/>
  <c r="U10" i="11"/>
  <c r="V10" i="11" s="1"/>
  <c r="W10" i="11" s="1"/>
  <c r="X10" i="11"/>
  <c r="Y10" i="11" s="1"/>
  <c r="Z10" i="11" s="1"/>
  <c r="B11" i="11"/>
  <c r="C11" i="11" s="1"/>
  <c r="D11" i="11" s="1"/>
  <c r="E11" i="11"/>
  <c r="F11" i="11" s="1"/>
  <c r="G11" i="11" s="1"/>
  <c r="H11" i="11"/>
  <c r="I11" i="11" s="1"/>
  <c r="J11" i="11" s="1"/>
  <c r="K11" i="11"/>
  <c r="L11" i="11" s="1"/>
  <c r="M11" i="11" s="1"/>
  <c r="O11" i="11"/>
  <c r="P11" i="11" s="1"/>
  <c r="Q11" i="11" s="1"/>
  <c r="R11" i="11"/>
  <c r="S11" i="11" s="1"/>
  <c r="T11" i="11" s="1"/>
  <c r="U11" i="11"/>
  <c r="V11" i="11" s="1"/>
  <c r="W11" i="11" s="1"/>
  <c r="X11" i="11"/>
  <c r="Y11" i="11" s="1"/>
  <c r="Z11" i="11" s="1"/>
  <c r="B12" i="11"/>
  <c r="C12" i="11" s="1"/>
  <c r="D12" i="11" s="1"/>
  <c r="E12" i="11"/>
  <c r="F12" i="11" s="1"/>
  <c r="G12" i="11" s="1"/>
  <c r="H12" i="11"/>
  <c r="I12" i="11" s="1"/>
  <c r="J12" i="11" s="1"/>
  <c r="K12" i="11"/>
  <c r="L12" i="11" s="1"/>
  <c r="M12" i="11" s="1"/>
  <c r="O12" i="11"/>
  <c r="R12" i="11"/>
  <c r="S12" i="11" s="1"/>
  <c r="T12" i="11" s="1"/>
  <c r="U12" i="11"/>
  <c r="V12" i="11" s="1"/>
  <c r="W12" i="11" s="1"/>
  <c r="X12" i="11"/>
  <c r="Y12" i="11" s="1"/>
  <c r="Z12" i="11" s="1"/>
  <c r="B13" i="11"/>
  <c r="C13" i="11" s="1"/>
  <c r="D13" i="11" s="1"/>
  <c r="E13" i="11"/>
  <c r="F13" i="11" s="1"/>
  <c r="G13" i="11" s="1"/>
  <c r="H13" i="11"/>
  <c r="I13" i="11" s="1"/>
  <c r="J13" i="11" s="1"/>
  <c r="K13" i="11"/>
  <c r="L13" i="11" s="1"/>
  <c r="M13" i="11" s="1"/>
  <c r="O13" i="11"/>
  <c r="P13" i="11" s="1"/>
  <c r="Q13" i="11" s="1"/>
  <c r="R13" i="11"/>
  <c r="S13" i="11" s="1"/>
  <c r="T13" i="11" s="1"/>
  <c r="U13" i="11"/>
  <c r="V13" i="11" s="1"/>
  <c r="W13" i="11" s="1"/>
  <c r="X13" i="11"/>
  <c r="Y13" i="11" s="1"/>
  <c r="Z13" i="11" s="1"/>
  <c r="B14" i="11"/>
  <c r="C14" i="11" s="1"/>
  <c r="D14" i="11" s="1"/>
  <c r="E14" i="11"/>
  <c r="F14" i="11" s="1"/>
  <c r="G14" i="11" s="1"/>
  <c r="H14" i="11"/>
  <c r="I14" i="11" s="1"/>
  <c r="J14" i="11" s="1"/>
  <c r="K14" i="11"/>
  <c r="L14" i="11" s="1"/>
  <c r="M14" i="11" s="1"/>
  <c r="O14" i="11"/>
  <c r="R14" i="11"/>
  <c r="S14" i="11" s="1"/>
  <c r="T14" i="11" s="1"/>
  <c r="U14" i="11"/>
  <c r="V14" i="11" s="1"/>
  <c r="W14" i="11" s="1"/>
  <c r="X14" i="11"/>
  <c r="Y14" i="11" s="1"/>
  <c r="Z14" i="11" s="1"/>
  <c r="B15" i="11"/>
  <c r="C15" i="11" s="1"/>
  <c r="D15" i="11" s="1"/>
  <c r="E15" i="11"/>
  <c r="F15" i="11" s="1"/>
  <c r="G15" i="11" s="1"/>
  <c r="H15" i="11"/>
  <c r="I15" i="11" s="1"/>
  <c r="J15" i="11" s="1"/>
  <c r="K15" i="11"/>
  <c r="L15" i="11" s="1"/>
  <c r="M15" i="11" s="1"/>
  <c r="O15" i="11"/>
  <c r="P15" i="11" s="1"/>
  <c r="Q15" i="11" s="1"/>
  <c r="R15" i="11"/>
  <c r="S15" i="11" s="1"/>
  <c r="T15" i="11" s="1"/>
  <c r="U15" i="11"/>
  <c r="V15" i="11" s="1"/>
  <c r="W15" i="11" s="1"/>
  <c r="X15" i="11"/>
  <c r="Y15" i="11" s="1"/>
  <c r="Z15" i="11" s="1"/>
  <c r="B16" i="11"/>
  <c r="E16" i="11"/>
  <c r="F16" i="11" s="1"/>
  <c r="G16" i="11" s="1"/>
  <c r="H16" i="11"/>
  <c r="I16" i="11" s="1"/>
  <c r="J16" i="11" s="1"/>
  <c r="K16" i="11"/>
  <c r="L16" i="11" s="1"/>
  <c r="M16" i="11" s="1"/>
  <c r="O16" i="11"/>
  <c r="P16" i="11" s="1"/>
  <c r="Q16" i="11" s="1"/>
  <c r="R16" i="11"/>
  <c r="S16" i="11" s="1"/>
  <c r="T16" i="11" s="1"/>
  <c r="U16" i="11"/>
  <c r="V16" i="11" s="1"/>
  <c r="W16" i="11" s="1"/>
  <c r="X16" i="11"/>
  <c r="Y16" i="11" s="1"/>
  <c r="Z16" i="11" s="1"/>
  <c r="B17" i="11"/>
  <c r="C17" i="11" s="1"/>
  <c r="D17" i="11" s="1"/>
  <c r="E17" i="11"/>
  <c r="F17" i="11" s="1"/>
  <c r="G17" i="11" s="1"/>
  <c r="H17" i="11"/>
  <c r="I17" i="11" s="1"/>
  <c r="J17" i="11" s="1"/>
  <c r="K17" i="11"/>
  <c r="L17" i="11" s="1"/>
  <c r="M17" i="11" s="1"/>
  <c r="O17" i="11"/>
  <c r="R17" i="11"/>
  <c r="S17" i="11" s="1"/>
  <c r="T17" i="11" s="1"/>
  <c r="U17" i="11"/>
  <c r="V17" i="11" s="1"/>
  <c r="W17" i="11" s="1"/>
  <c r="X17" i="11"/>
  <c r="Y17" i="11" s="1"/>
  <c r="Z17" i="11" s="1"/>
  <c r="B18" i="11"/>
  <c r="C18" i="11" s="1"/>
  <c r="D18" i="11" s="1"/>
  <c r="E18" i="11"/>
  <c r="F18" i="11" s="1"/>
  <c r="G18" i="11" s="1"/>
  <c r="H18" i="11"/>
  <c r="I18" i="11" s="1"/>
  <c r="J18" i="11" s="1"/>
  <c r="K18" i="11"/>
  <c r="L18" i="11" s="1"/>
  <c r="M18" i="11" s="1"/>
  <c r="O18" i="11"/>
  <c r="P18" i="11" s="1"/>
  <c r="Q18" i="11" s="1"/>
  <c r="R18" i="11"/>
  <c r="S18" i="11" s="1"/>
  <c r="T18" i="11" s="1"/>
  <c r="U18" i="11"/>
  <c r="V18" i="11" s="1"/>
  <c r="W18" i="11" s="1"/>
  <c r="X18" i="11"/>
  <c r="Y18" i="11" s="1"/>
  <c r="Z18" i="11" s="1"/>
  <c r="B19" i="11"/>
  <c r="C19" i="11" s="1"/>
  <c r="D19" i="11" s="1"/>
  <c r="E19" i="11"/>
  <c r="F19" i="11" s="1"/>
  <c r="G19" i="11" s="1"/>
  <c r="H19" i="11"/>
  <c r="I19" i="11" s="1"/>
  <c r="J19" i="11" s="1"/>
  <c r="K19" i="11"/>
  <c r="L19" i="11" s="1"/>
  <c r="M19" i="11" s="1"/>
  <c r="O19" i="11"/>
  <c r="P19" i="11" s="1"/>
  <c r="Q19" i="11" s="1"/>
  <c r="R19" i="11"/>
  <c r="S19" i="11" s="1"/>
  <c r="T19" i="11" s="1"/>
  <c r="U19" i="11"/>
  <c r="V19" i="11" s="1"/>
  <c r="W19" i="11" s="1"/>
  <c r="X19" i="11"/>
  <c r="Y19" i="11" s="1"/>
  <c r="Z19" i="11" s="1"/>
  <c r="B20" i="11"/>
  <c r="C20" i="11" s="1"/>
  <c r="D20" i="11" s="1"/>
  <c r="E20" i="11"/>
  <c r="F20" i="11" s="1"/>
  <c r="G20" i="11" s="1"/>
  <c r="H20" i="11"/>
  <c r="I20" i="11" s="1"/>
  <c r="J20" i="11" s="1"/>
  <c r="K20" i="11"/>
  <c r="L20" i="11" s="1"/>
  <c r="M20" i="11" s="1"/>
  <c r="O20" i="11"/>
  <c r="R20" i="11"/>
  <c r="S20" i="11" s="1"/>
  <c r="T20" i="11" s="1"/>
  <c r="U20" i="11"/>
  <c r="V20" i="11" s="1"/>
  <c r="W20" i="11" s="1"/>
  <c r="X20" i="11"/>
  <c r="Y20" i="11" s="1"/>
  <c r="Z20" i="11" s="1"/>
  <c r="B21" i="11"/>
  <c r="E21" i="11"/>
  <c r="F21" i="11" s="1"/>
  <c r="G21" i="11" s="1"/>
  <c r="H21" i="11"/>
  <c r="I21" i="11" s="1"/>
  <c r="J21" i="11" s="1"/>
  <c r="K21" i="11"/>
  <c r="L21" i="11" s="1"/>
  <c r="M21" i="11" s="1"/>
  <c r="O21" i="11"/>
  <c r="P21" i="11" s="1"/>
  <c r="Q21" i="11" s="1"/>
  <c r="R21" i="11"/>
  <c r="S21" i="11" s="1"/>
  <c r="T21" i="11" s="1"/>
  <c r="U21" i="11"/>
  <c r="V21" i="11" s="1"/>
  <c r="W21" i="11" s="1"/>
  <c r="X21" i="11"/>
  <c r="Y21" i="11" s="1"/>
  <c r="Z21" i="11" s="1"/>
  <c r="B22" i="11"/>
  <c r="C22" i="11" s="1"/>
  <c r="D22" i="11" s="1"/>
  <c r="E22" i="11"/>
  <c r="F22" i="11" s="1"/>
  <c r="G22" i="11" s="1"/>
  <c r="H22" i="11"/>
  <c r="I22" i="11" s="1"/>
  <c r="J22" i="11" s="1"/>
  <c r="K22" i="11"/>
  <c r="L22" i="11" s="1"/>
  <c r="M22" i="11" s="1"/>
  <c r="O22" i="11"/>
  <c r="P22" i="11" s="1"/>
  <c r="Q22" i="11" s="1"/>
  <c r="R22" i="11"/>
  <c r="S22" i="11" s="1"/>
  <c r="T22" i="11" s="1"/>
  <c r="U22" i="11"/>
  <c r="V22" i="11" s="1"/>
  <c r="W22" i="11" s="1"/>
  <c r="X22" i="11"/>
  <c r="Y22" i="11" s="1"/>
  <c r="Z22" i="11" s="1"/>
  <c r="B23" i="11"/>
  <c r="C23" i="11" s="1"/>
  <c r="D23" i="11" s="1"/>
  <c r="E23" i="11"/>
  <c r="F23" i="11" s="1"/>
  <c r="G23" i="11" s="1"/>
  <c r="H23" i="11"/>
  <c r="I23" i="11" s="1"/>
  <c r="J23" i="11" s="1"/>
  <c r="K23" i="11"/>
  <c r="L23" i="11" s="1"/>
  <c r="M23" i="11" s="1"/>
  <c r="O23" i="11"/>
  <c r="P23" i="11" s="1"/>
  <c r="Q23" i="11" s="1"/>
  <c r="R23" i="11"/>
  <c r="S23" i="11" s="1"/>
  <c r="T23" i="11" s="1"/>
  <c r="U23" i="11"/>
  <c r="V23" i="11" s="1"/>
  <c r="W23" i="11" s="1"/>
  <c r="X23" i="11"/>
  <c r="Y23" i="11" s="1"/>
  <c r="Z23" i="11" s="1"/>
  <c r="B24" i="11"/>
  <c r="E24" i="11"/>
  <c r="F24" i="11" s="1"/>
  <c r="G24" i="11" s="1"/>
  <c r="H24" i="11"/>
  <c r="I24" i="11" s="1"/>
  <c r="J24" i="11" s="1"/>
  <c r="K24" i="11"/>
  <c r="L24" i="11" s="1"/>
  <c r="M24" i="11" s="1"/>
  <c r="O24" i="11"/>
  <c r="P24" i="11" s="1"/>
  <c r="Q24" i="11" s="1"/>
  <c r="R24" i="11"/>
  <c r="S24" i="11" s="1"/>
  <c r="T24" i="11" s="1"/>
  <c r="U24" i="11"/>
  <c r="V24" i="11" s="1"/>
  <c r="W24" i="11" s="1"/>
  <c r="X24" i="11"/>
  <c r="Y24" i="11" s="1"/>
  <c r="Z24" i="11" s="1"/>
  <c r="B25" i="11"/>
  <c r="C25" i="11" s="1"/>
  <c r="D25" i="11" s="1"/>
  <c r="E25" i="11"/>
  <c r="F25" i="11" s="1"/>
  <c r="G25" i="11" s="1"/>
  <c r="H25" i="11"/>
  <c r="I25" i="11" s="1"/>
  <c r="J25" i="11" s="1"/>
  <c r="K25" i="11"/>
  <c r="L25" i="11" s="1"/>
  <c r="M25" i="11" s="1"/>
  <c r="O25" i="11"/>
  <c r="P25" i="11" s="1"/>
  <c r="Q25" i="11" s="1"/>
  <c r="R25" i="11"/>
  <c r="S25" i="11" s="1"/>
  <c r="T25" i="11" s="1"/>
  <c r="U25" i="11"/>
  <c r="V25" i="11" s="1"/>
  <c r="W25" i="11" s="1"/>
  <c r="X25" i="11"/>
  <c r="Y25" i="11" s="1"/>
  <c r="Z25" i="11" s="1"/>
  <c r="B26" i="11"/>
  <c r="C26" i="11" s="1"/>
  <c r="D26" i="11" s="1"/>
  <c r="E26" i="11"/>
  <c r="F26" i="11" s="1"/>
  <c r="G26" i="11" s="1"/>
  <c r="H26" i="11"/>
  <c r="I26" i="11" s="1"/>
  <c r="J26" i="11" s="1"/>
  <c r="K26" i="11"/>
  <c r="L26" i="11" s="1"/>
  <c r="M26" i="11" s="1"/>
  <c r="O26" i="11"/>
  <c r="R26" i="11"/>
  <c r="S26" i="11" s="1"/>
  <c r="T26" i="11" s="1"/>
  <c r="U26" i="11"/>
  <c r="V26" i="11" s="1"/>
  <c r="W26" i="11" s="1"/>
  <c r="X26" i="11"/>
  <c r="Y26" i="11" s="1"/>
  <c r="Z26" i="11" s="1"/>
  <c r="B27" i="11"/>
  <c r="C27" i="11" s="1"/>
  <c r="D27" i="11" s="1"/>
  <c r="E27" i="11"/>
  <c r="F27" i="11" s="1"/>
  <c r="G27" i="11" s="1"/>
  <c r="H27" i="11"/>
  <c r="I27" i="11" s="1"/>
  <c r="J27" i="11" s="1"/>
  <c r="K27" i="11"/>
  <c r="L27" i="11" s="1"/>
  <c r="M27" i="11" s="1"/>
  <c r="O27" i="11"/>
  <c r="P27" i="11" s="1"/>
  <c r="Q27" i="11" s="1"/>
  <c r="R27" i="11"/>
  <c r="S27" i="11" s="1"/>
  <c r="T27" i="11" s="1"/>
  <c r="U27" i="11"/>
  <c r="V27" i="11" s="1"/>
  <c r="W27" i="11" s="1"/>
  <c r="X27" i="11"/>
  <c r="Y27" i="11" s="1"/>
  <c r="Z27" i="11" s="1"/>
  <c r="B28" i="11"/>
  <c r="C28" i="11" s="1"/>
  <c r="D28" i="11" s="1"/>
  <c r="E28" i="11"/>
  <c r="F28" i="11" s="1"/>
  <c r="G28" i="11" s="1"/>
  <c r="H28" i="11"/>
  <c r="I28" i="11" s="1"/>
  <c r="J28" i="11" s="1"/>
  <c r="K28" i="11"/>
  <c r="L28" i="11" s="1"/>
  <c r="M28" i="11" s="1"/>
  <c r="O28" i="11"/>
  <c r="R28" i="11"/>
  <c r="S28" i="11" s="1"/>
  <c r="T28" i="11" s="1"/>
  <c r="U28" i="11"/>
  <c r="V28" i="11" s="1"/>
  <c r="W28" i="11" s="1"/>
  <c r="X28" i="11"/>
  <c r="Y28" i="11" s="1"/>
  <c r="Z28" i="11" s="1"/>
  <c r="B29" i="11"/>
  <c r="C29" i="11" s="1"/>
  <c r="D29" i="11" s="1"/>
  <c r="E29" i="11"/>
  <c r="F29" i="11" s="1"/>
  <c r="G29" i="11" s="1"/>
  <c r="H29" i="11"/>
  <c r="I29" i="11" s="1"/>
  <c r="J29" i="11" s="1"/>
  <c r="K29" i="11"/>
  <c r="L29" i="11" s="1"/>
  <c r="M29" i="11" s="1"/>
  <c r="O29" i="11"/>
  <c r="P29" i="11" s="1"/>
  <c r="Q29" i="11" s="1"/>
  <c r="R29" i="11"/>
  <c r="S29" i="11" s="1"/>
  <c r="T29" i="11" s="1"/>
  <c r="U29" i="11"/>
  <c r="V29" i="11" s="1"/>
  <c r="W29" i="11" s="1"/>
  <c r="X29" i="11"/>
  <c r="Y29" i="11" s="1"/>
  <c r="Z29" i="11" s="1"/>
  <c r="B30" i="11"/>
  <c r="C30" i="11" s="1"/>
  <c r="D30" i="11" s="1"/>
  <c r="E30" i="11"/>
  <c r="F30" i="11" s="1"/>
  <c r="G30" i="11" s="1"/>
  <c r="H30" i="11"/>
  <c r="I30" i="11" s="1"/>
  <c r="J30" i="11" s="1"/>
  <c r="K30" i="11"/>
  <c r="L30" i="11" s="1"/>
  <c r="M30" i="11" s="1"/>
  <c r="O30" i="11"/>
  <c r="P30" i="11" s="1"/>
  <c r="Q30" i="11" s="1"/>
  <c r="R30" i="11"/>
  <c r="S30" i="11" s="1"/>
  <c r="T30" i="11" s="1"/>
  <c r="U30" i="11"/>
  <c r="V30" i="11" s="1"/>
  <c r="W30" i="11" s="1"/>
  <c r="X30" i="11"/>
  <c r="Y30" i="11" s="1"/>
  <c r="Z30" i="11" s="1"/>
  <c r="B31" i="11"/>
  <c r="C31" i="11" s="1"/>
  <c r="D31" i="11" s="1"/>
  <c r="E31" i="11"/>
  <c r="F31" i="11" s="1"/>
  <c r="G31" i="11" s="1"/>
  <c r="H31" i="11"/>
  <c r="I31" i="11" s="1"/>
  <c r="J31" i="11" s="1"/>
  <c r="K31" i="11"/>
  <c r="L31" i="11" s="1"/>
  <c r="M31" i="11" s="1"/>
  <c r="O31" i="11"/>
  <c r="P31" i="11" s="1"/>
  <c r="Q31" i="11" s="1"/>
  <c r="R31" i="11"/>
  <c r="S31" i="11" s="1"/>
  <c r="T31" i="11" s="1"/>
  <c r="U31" i="11"/>
  <c r="V31" i="11" s="1"/>
  <c r="W31" i="11" s="1"/>
  <c r="X31" i="11"/>
  <c r="Y31" i="11" s="1"/>
  <c r="Z31" i="11" s="1"/>
  <c r="B32" i="11"/>
  <c r="E32" i="11"/>
  <c r="F32" i="11" s="1"/>
  <c r="G32" i="11" s="1"/>
  <c r="H32" i="11"/>
  <c r="I32" i="11" s="1"/>
  <c r="J32" i="11" s="1"/>
  <c r="K32" i="11"/>
  <c r="L32" i="11" s="1"/>
  <c r="M32" i="11" s="1"/>
  <c r="O32" i="11"/>
  <c r="P32" i="11" s="1"/>
  <c r="Q32" i="11" s="1"/>
  <c r="R32" i="11"/>
  <c r="S32" i="11" s="1"/>
  <c r="T32" i="11" s="1"/>
  <c r="U32" i="11"/>
  <c r="V32" i="11" s="1"/>
  <c r="W32" i="11" s="1"/>
  <c r="X32" i="11"/>
  <c r="Y32" i="11" s="1"/>
  <c r="Z32" i="11" s="1"/>
  <c r="B33" i="11"/>
  <c r="C33" i="11" s="1"/>
  <c r="D33" i="11" s="1"/>
  <c r="E33" i="11"/>
  <c r="F33" i="11" s="1"/>
  <c r="G33" i="11" s="1"/>
  <c r="H33" i="11"/>
  <c r="I33" i="11" s="1"/>
  <c r="J33" i="11" s="1"/>
  <c r="K33" i="11"/>
  <c r="L33" i="11" s="1"/>
  <c r="M33" i="11" s="1"/>
  <c r="O33" i="11"/>
  <c r="P33" i="11" s="1"/>
  <c r="Q33" i="11" s="1"/>
  <c r="R33" i="11"/>
  <c r="S33" i="11" s="1"/>
  <c r="T33" i="11" s="1"/>
  <c r="U33" i="11"/>
  <c r="V33" i="11" s="1"/>
  <c r="W33" i="11" s="1"/>
  <c r="X33" i="11"/>
  <c r="Y33" i="11" s="1"/>
  <c r="Z33" i="11" s="1"/>
  <c r="B34" i="11"/>
  <c r="C34" i="11" s="1"/>
  <c r="D34" i="11" s="1"/>
  <c r="E34" i="11"/>
  <c r="F34" i="11" s="1"/>
  <c r="G34" i="11" s="1"/>
  <c r="H34" i="11"/>
  <c r="I34" i="11" s="1"/>
  <c r="J34" i="11" s="1"/>
  <c r="K34" i="11"/>
  <c r="L34" i="11" s="1"/>
  <c r="M34" i="11" s="1"/>
  <c r="O34" i="11"/>
  <c r="P34" i="11" s="1"/>
  <c r="Q34" i="11" s="1"/>
  <c r="R34" i="11"/>
  <c r="S34" i="11" s="1"/>
  <c r="T34" i="11" s="1"/>
  <c r="U34" i="11"/>
  <c r="V34" i="11" s="1"/>
  <c r="W34" i="11" s="1"/>
  <c r="X34" i="11"/>
  <c r="Y34" i="11" s="1"/>
  <c r="Z34" i="11" s="1"/>
  <c r="B35" i="11"/>
  <c r="C35" i="11" s="1"/>
  <c r="D35" i="11" s="1"/>
  <c r="E35" i="11"/>
  <c r="F35" i="11" s="1"/>
  <c r="G35" i="11" s="1"/>
  <c r="H35" i="11"/>
  <c r="I35" i="11" s="1"/>
  <c r="J35" i="11" s="1"/>
  <c r="K35" i="11"/>
  <c r="L35" i="11" s="1"/>
  <c r="M35" i="11" s="1"/>
  <c r="O35" i="11"/>
  <c r="P35" i="11" s="1"/>
  <c r="Q35" i="11" s="1"/>
  <c r="R35" i="11"/>
  <c r="S35" i="11" s="1"/>
  <c r="T35" i="11" s="1"/>
  <c r="U35" i="11"/>
  <c r="V35" i="11" s="1"/>
  <c r="W35" i="11" s="1"/>
  <c r="X35" i="11"/>
  <c r="Y35" i="11" s="1"/>
  <c r="Z35" i="11" s="1"/>
  <c r="X5" i="11"/>
  <c r="Y5" i="11" s="1"/>
  <c r="Z5" i="11" s="1"/>
  <c r="U5" i="11"/>
  <c r="V5" i="11" s="1"/>
  <c r="W5" i="11" s="1"/>
  <c r="R5" i="11"/>
  <c r="S5" i="11" s="1"/>
  <c r="T5" i="11" s="1"/>
  <c r="O5" i="11"/>
  <c r="P5" i="11" s="1"/>
  <c r="Q5" i="11" s="1"/>
  <c r="K5" i="11"/>
  <c r="L5" i="11" s="1"/>
  <c r="M5" i="11" s="1"/>
  <c r="H5" i="11"/>
  <c r="I5" i="11" s="1"/>
  <c r="J5" i="11" s="1"/>
  <c r="E5" i="11"/>
  <c r="F5" i="11" s="1"/>
  <c r="G5" i="11" s="1"/>
  <c r="B5" i="11"/>
  <c r="C5" i="11" s="1"/>
  <c r="D5" i="11" s="1"/>
  <c r="B6" i="16"/>
  <c r="E6" i="16"/>
  <c r="F6" i="16" s="1"/>
  <c r="G6" i="16" s="1"/>
  <c r="H6" i="16"/>
  <c r="I6" i="16" s="1"/>
  <c r="J6" i="16" s="1"/>
  <c r="K6" i="16"/>
  <c r="L6" i="16" s="1"/>
  <c r="M6" i="16" s="1"/>
  <c r="O6" i="16"/>
  <c r="P6" i="16" s="1"/>
  <c r="Q6" i="16" s="1"/>
  <c r="R6" i="16"/>
  <c r="S6" i="16" s="1"/>
  <c r="T6" i="16" s="1"/>
  <c r="U6" i="16"/>
  <c r="V6" i="16" s="1"/>
  <c r="W6" i="16" s="1"/>
  <c r="X6" i="16"/>
  <c r="Y6" i="16" s="1"/>
  <c r="Z6" i="16" s="1"/>
  <c r="B7" i="16"/>
  <c r="E7" i="16"/>
  <c r="F7" i="16" s="1"/>
  <c r="G7" i="16" s="1"/>
  <c r="H7" i="16"/>
  <c r="I7" i="16" s="1"/>
  <c r="J7" i="16" s="1"/>
  <c r="K7" i="16"/>
  <c r="L7" i="16" s="1"/>
  <c r="M7" i="16" s="1"/>
  <c r="O7" i="16"/>
  <c r="P7" i="16" s="1"/>
  <c r="Q7" i="16" s="1"/>
  <c r="R7" i="16"/>
  <c r="S7" i="16" s="1"/>
  <c r="T7" i="16" s="1"/>
  <c r="U7" i="16"/>
  <c r="V7" i="16" s="1"/>
  <c r="W7" i="16" s="1"/>
  <c r="X7" i="16"/>
  <c r="Y7" i="16" s="1"/>
  <c r="Z7" i="16" s="1"/>
  <c r="B8" i="16"/>
  <c r="E8" i="16"/>
  <c r="F8" i="16" s="1"/>
  <c r="G8" i="16" s="1"/>
  <c r="H8" i="16"/>
  <c r="I8" i="16" s="1"/>
  <c r="J8" i="16" s="1"/>
  <c r="K8" i="16"/>
  <c r="L8" i="16" s="1"/>
  <c r="M8" i="16" s="1"/>
  <c r="O8" i="16"/>
  <c r="P8" i="16" s="1"/>
  <c r="Q8" i="16" s="1"/>
  <c r="R8" i="16"/>
  <c r="S8" i="16" s="1"/>
  <c r="T8" i="16" s="1"/>
  <c r="U8" i="16"/>
  <c r="V8" i="16" s="1"/>
  <c r="W8" i="16" s="1"/>
  <c r="X8" i="16"/>
  <c r="Y8" i="16" s="1"/>
  <c r="Z8" i="16" s="1"/>
  <c r="B9" i="16"/>
  <c r="C9" i="16" s="1"/>
  <c r="D9" i="16" s="1"/>
  <c r="E9" i="16"/>
  <c r="F9" i="16" s="1"/>
  <c r="G9" i="16" s="1"/>
  <c r="H9" i="16"/>
  <c r="I9" i="16" s="1"/>
  <c r="J9" i="16" s="1"/>
  <c r="K9" i="16"/>
  <c r="L9" i="16" s="1"/>
  <c r="M9" i="16" s="1"/>
  <c r="O9" i="16"/>
  <c r="P9" i="16" s="1"/>
  <c r="Q9" i="16" s="1"/>
  <c r="R9" i="16"/>
  <c r="S9" i="16" s="1"/>
  <c r="T9" i="16" s="1"/>
  <c r="U9" i="16"/>
  <c r="V9" i="16" s="1"/>
  <c r="W9" i="16" s="1"/>
  <c r="X9" i="16"/>
  <c r="Y9" i="16" s="1"/>
  <c r="Z9" i="16" s="1"/>
  <c r="B10" i="16"/>
  <c r="C10" i="16" s="1"/>
  <c r="D10" i="16" s="1"/>
  <c r="E10" i="16"/>
  <c r="F10" i="16" s="1"/>
  <c r="G10" i="16" s="1"/>
  <c r="H10" i="16"/>
  <c r="I10" i="16" s="1"/>
  <c r="J10" i="16" s="1"/>
  <c r="K10" i="16"/>
  <c r="L10" i="16" s="1"/>
  <c r="M10" i="16" s="1"/>
  <c r="O10" i="16"/>
  <c r="P10" i="16" s="1"/>
  <c r="Q10" i="16" s="1"/>
  <c r="R10" i="16"/>
  <c r="S10" i="16" s="1"/>
  <c r="T10" i="16" s="1"/>
  <c r="U10" i="16"/>
  <c r="V10" i="16" s="1"/>
  <c r="W10" i="16" s="1"/>
  <c r="X10" i="16"/>
  <c r="Y10" i="16" s="1"/>
  <c r="Z10" i="16" s="1"/>
  <c r="B11" i="16"/>
  <c r="C11" i="16" s="1"/>
  <c r="D11" i="16" s="1"/>
  <c r="E11" i="16"/>
  <c r="F11" i="16" s="1"/>
  <c r="G11" i="16" s="1"/>
  <c r="H11" i="16"/>
  <c r="I11" i="16" s="1"/>
  <c r="J11" i="16" s="1"/>
  <c r="K11" i="16"/>
  <c r="L11" i="16" s="1"/>
  <c r="M11" i="16" s="1"/>
  <c r="O11" i="16"/>
  <c r="P11" i="16" s="1"/>
  <c r="Q11" i="16" s="1"/>
  <c r="R11" i="16"/>
  <c r="S11" i="16" s="1"/>
  <c r="T11" i="16" s="1"/>
  <c r="U11" i="16"/>
  <c r="V11" i="16" s="1"/>
  <c r="W11" i="16" s="1"/>
  <c r="X11" i="16"/>
  <c r="Y11" i="16" s="1"/>
  <c r="Z11" i="16" s="1"/>
  <c r="B12" i="16"/>
  <c r="C12" i="16" s="1"/>
  <c r="D12" i="16" s="1"/>
  <c r="E12" i="16"/>
  <c r="F12" i="16" s="1"/>
  <c r="G12" i="16" s="1"/>
  <c r="H12" i="16"/>
  <c r="I12" i="16" s="1"/>
  <c r="J12" i="16" s="1"/>
  <c r="K12" i="16"/>
  <c r="L12" i="16" s="1"/>
  <c r="M12" i="16" s="1"/>
  <c r="O12" i="16"/>
  <c r="R12" i="16"/>
  <c r="S12" i="16" s="1"/>
  <c r="T12" i="16" s="1"/>
  <c r="U12" i="16"/>
  <c r="V12" i="16" s="1"/>
  <c r="W12" i="16" s="1"/>
  <c r="X12" i="16"/>
  <c r="Y12" i="16" s="1"/>
  <c r="Z12" i="16" s="1"/>
  <c r="B13" i="16"/>
  <c r="C13" i="16" s="1"/>
  <c r="D13" i="16" s="1"/>
  <c r="E13" i="16"/>
  <c r="F13" i="16" s="1"/>
  <c r="G13" i="16" s="1"/>
  <c r="H13" i="16"/>
  <c r="I13" i="16" s="1"/>
  <c r="J13" i="16" s="1"/>
  <c r="K13" i="16"/>
  <c r="L13" i="16" s="1"/>
  <c r="M13" i="16" s="1"/>
  <c r="O13" i="16"/>
  <c r="P13" i="16" s="1"/>
  <c r="Q13" i="16" s="1"/>
  <c r="R13" i="16"/>
  <c r="S13" i="16" s="1"/>
  <c r="T13" i="16" s="1"/>
  <c r="U13" i="16"/>
  <c r="V13" i="16" s="1"/>
  <c r="W13" i="16" s="1"/>
  <c r="X13" i="16"/>
  <c r="Y13" i="16" s="1"/>
  <c r="Z13" i="16" s="1"/>
  <c r="B14" i="16"/>
  <c r="E14" i="16"/>
  <c r="F14" i="16" s="1"/>
  <c r="G14" i="16" s="1"/>
  <c r="H14" i="16"/>
  <c r="I14" i="16" s="1"/>
  <c r="J14" i="16" s="1"/>
  <c r="K14" i="16"/>
  <c r="L14" i="16" s="1"/>
  <c r="M14" i="16" s="1"/>
  <c r="O14" i="16"/>
  <c r="P14" i="16" s="1"/>
  <c r="Q14" i="16" s="1"/>
  <c r="R14" i="16"/>
  <c r="S14" i="16" s="1"/>
  <c r="T14" i="16" s="1"/>
  <c r="U14" i="16"/>
  <c r="V14" i="16" s="1"/>
  <c r="W14" i="16" s="1"/>
  <c r="X14" i="16"/>
  <c r="Y14" i="16" s="1"/>
  <c r="Z14" i="16" s="1"/>
  <c r="B15" i="16"/>
  <c r="E15" i="16"/>
  <c r="F15" i="16" s="1"/>
  <c r="G15" i="16" s="1"/>
  <c r="H15" i="16"/>
  <c r="I15" i="16" s="1"/>
  <c r="J15" i="16" s="1"/>
  <c r="K15" i="16"/>
  <c r="L15" i="16" s="1"/>
  <c r="M15" i="16" s="1"/>
  <c r="O15" i="16"/>
  <c r="P15" i="16" s="1"/>
  <c r="Q15" i="16" s="1"/>
  <c r="R15" i="16"/>
  <c r="S15" i="16" s="1"/>
  <c r="T15" i="16" s="1"/>
  <c r="U15" i="16"/>
  <c r="V15" i="16" s="1"/>
  <c r="W15" i="16" s="1"/>
  <c r="X15" i="16"/>
  <c r="Y15" i="16" s="1"/>
  <c r="Z15" i="16" s="1"/>
  <c r="B16" i="16"/>
  <c r="C16" i="16" s="1"/>
  <c r="D16" i="16" s="1"/>
  <c r="E16" i="16"/>
  <c r="F16" i="16" s="1"/>
  <c r="G16" i="16" s="1"/>
  <c r="H16" i="16"/>
  <c r="I16" i="16" s="1"/>
  <c r="J16" i="16" s="1"/>
  <c r="K16" i="16"/>
  <c r="L16" i="16" s="1"/>
  <c r="M16" i="16" s="1"/>
  <c r="O16" i="16"/>
  <c r="P16" i="16" s="1"/>
  <c r="Q16" i="16" s="1"/>
  <c r="R16" i="16"/>
  <c r="S16" i="16" s="1"/>
  <c r="T16" i="16" s="1"/>
  <c r="U16" i="16"/>
  <c r="V16" i="16" s="1"/>
  <c r="W16" i="16" s="1"/>
  <c r="X16" i="16"/>
  <c r="Y16" i="16" s="1"/>
  <c r="Z16" i="16" s="1"/>
  <c r="B17" i="16"/>
  <c r="C17" i="16" s="1"/>
  <c r="D17" i="16" s="1"/>
  <c r="E17" i="16"/>
  <c r="F17" i="16" s="1"/>
  <c r="G17" i="16" s="1"/>
  <c r="H17" i="16"/>
  <c r="I17" i="16" s="1"/>
  <c r="J17" i="16" s="1"/>
  <c r="K17" i="16"/>
  <c r="L17" i="16" s="1"/>
  <c r="M17" i="16" s="1"/>
  <c r="O17" i="16"/>
  <c r="P17" i="16" s="1"/>
  <c r="Q17" i="16" s="1"/>
  <c r="R17" i="16"/>
  <c r="S17" i="16" s="1"/>
  <c r="T17" i="16" s="1"/>
  <c r="U17" i="16"/>
  <c r="V17" i="16" s="1"/>
  <c r="W17" i="16" s="1"/>
  <c r="X17" i="16"/>
  <c r="Y17" i="16" s="1"/>
  <c r="Z17" i="16" s="1"/>
  <c r="B18" i="16"/>
  <c r="C18" i="16" s="1"/>
  <c r="D18" i="16" s="1"/>
  <c r="E18" i="16"/>
  <c r="F18" i="16" s="1"/>
  <c r="G18" i="16" s="1"/>
  <c r="H18" i="16"/>
  <c r="I18" i="16" s="1"/>
  <c r="J18" i="16" s="1"/>
  <c r="K18" i="16"/>
  <c r="L18" i="16" s="1"/>
  <c r="M18" i="16" s="1"/>
  <c r="O18" i="16"/>
  <c r="R18" i="16"/>
  <c r="S18" i="16" s="1"/>
  <c r="T18" i="16" s="1"/>
  <c r="U18" i="16"/>
  <c r="V18" i="16" s="1"/>
  <c r="W18" i="16" s="1"/>
  <c r="X18" i="16"/>
  <c r="Y18" i="16" s="1"/>
  <c r="Z18" i="16" s="1"/>
  <c r="B19" i="16"/>
  <c r="C19" i="16" s="1"/>
  <c r="D19" i="16" s="1"/>
  <c r="E19" i="16"/>
  <c r="F19" i="16" s="1"/>
  <c r="G19" i="16" s="1"/>
  <c r="H19" i="16"/>
  <c r="I19" i="16" s="1"/>
  <c r="J19" i="16" s="1"/>
  <c r="K19" i="16"/>
  <c r="L19" i="16" s="1"/>
  <c r="M19" i="16" s="1"/>
  <c r="O19" i="16"/>
  <c r="P19" i="16" s="1"/>
  <c r="Q19" i="16" s="1"/>
  <c r="R19" i="16"/>
  <c r="S19" i="16" s="1"/>
  <c r="T19" i="16" s="1"/>
  <c r="U19" i="16"/>
  <c r="V19" i="16" s="1"/>
  <c r="W19" i="16" s="1"/>
  <c r="X19" i="16"/>
  <c r="Y19" i="16" s="1"/>
  <c r="Z19" i="16" s="1"/>
  <c r="B20" i="16"/>
  <c r="C20" i="16" s="1"/>
  <c r="D20" i="16" s="1"/>
  <c r="E20" i="16"/>
  <c r="F20" i="16" s="1"/>
  <c r="G20" i="16" s="1"/>
  <c r="H20" i="16"/>
  <c r="I20" i="16" s="1"/>
  <c r="J20" i="16" s="1"/>
  <c r="K20" i="16"/>
  <c r="L20" i="16" s="1"/>
  <c r="M20" i="16" s="1"/>
  <c r="O20" i="16"/>
  <c r="R20" i="16"/>
  <c r="S20" i="16" s="1"/>
  <c r="T20" i="16" s="1"/>
  <c r="U20" i="16"/>
  <c r="V20" i="16" s="1"/>
  <c r="W20" i="16" s="1"/>
  <c r="X20" i="16"/>
  <c r="Y20" i="16" s="1"/>
  <c r="Z20" i="16" s="1"/>
  <c r="B21" i="16"/>
  <c r="C21" i="16" s="1"/>
  <c r="D21" i="16" s="1"/>
  <c r="E21" i="16"/>
  <c r="F21" i="16" s="1"/>
  <c r="G21" i="16" s="1"/>
  <c r="H21" i="16"/>
  <c r="I21" i="16" s="1"/>
  <c r="J21" i="16" s="1"/>
  <c r="K21" i="16"/>
  <c r="L21" i="16" s="1"/>
  <c r="M21" i="16" s="1"/>
  <c r="O21" i="16"/>
  <c r="P21" i="16" s="1"/>
  <c r="Q21" i="16" s="1"/>
  <c r="R21" i="16"/>
  <c r="S21" i="16" s="1"/>
  <c r="T21" i="16" s="1"/>
  <c r="U21" i="16"/>
  <c r="V21" i="16" s="1"/>
  <c r="W21" i="16" s="1"/>
  <c r="X21" i="16"/>
  <c r="Y21" i="16" s="1"/>
  <c r="Z21" i="16" s="1"/>
  <c r="B22" i="16"/>
  <c r="C22" i="16" s="1"/>
  <c r="D22" i="16" s="1"/>
  <c r="E22" i="16"/>
  <c r="F22" i="16" s="1"/>
  <c r="G22" i="16" s="1"/>
  <c r="H22" i="16"/>
  <c r="I22" i="16" s="1"/>
  <c r="J22" i="16" s="1"/>
  <c r="K22" i="16"/>
  <c r="L22" i="16" s="1"/>
  <c r="M22" i="16" s="1"/>
  <c r="O22" i="16"/>
  <c r="P22" i="16" s="1"/>
  <c r="Q22" i="16" s="1"/>
  <c r="R22" i="16"/>
  <c r="S22" i="16" s="1"/>
  <c r="T22" i="16" s="1"/>
  <c r="U22" i="16"/>
  <c r="V22" i="16" s="1"/>
  <c r="W22" i="16" s="1"/>
  <c r="X22" i="16"/>
  <c r="Y22" i="16" s="1"/>
  <c r="Z22" i="16" s="1"/>
  <c r="B23" i="16"/>
  <c r="C23" i="16" s="1"/>
  <c r="D23" i="16" s="1"/>
  <c r="E23" i="16"/>
  <c r="F23" i="16" s="1"/>
  <c r="G23" i="16" s="1"/>
  <c r="H23" i="16"/>
  <c r="I23" i="16" s="1"/>
  <c r="J23" i="16" s="1"/>
  <c r="K23" i="16"/>
  <c r="L23" i="16" s="1"/>
  <c r="M23" i="16" s="1"/>
  <c r="O23" i="16"/>
  <c r="P23" i="16" s="1"/>
  <c r="Q23" i="16" s="1"/>
  <c r="R23" i="16"/>
  <c r="S23" i="16" s="1"/>
  <c r="T23" i="16" s="1"/>
  <c r="U23" i="16"/>
  <c r="V23" i="16" s="1"/>
  <c r="W23" i="16" s="1"/>
  <c r="X23" i="16"/>
  <c r="Y23" i="16" s="1"/>
  <c r="Z23" i="16" s="1"/>
  <c r="B24" i="16"/>
  <c r="C24" i="16" s="1"/>
  <c r="D24" i="16" s="1"/>
  <c r="E24" i="16"/>
  <c r="F24" i="16" s="1"/>
  <c r="G24" i="16" s="1"/>
  <c r="H24" i="16"/>
  <c r="I24" i="16" s="1"/>
  <c r="J24" i="16" s="1"/>
  <c r="K24" i="16"/>
  <c r="L24" i="16" s="1"/>
  <c r="M24" i="16" s="1"/>
  <c r="O24" i="16"/>
  <c r="P24" i="16" s="1"/>
  <c r="Q24" i="16" s="1"/>
  <c r="R24" i="16"/>
  <c r="S24" i="16" s="1"/>
  <c r="T24" i="16" s="1"/>
  <c r="U24" i="16"/>
  <c r="V24" i="16" s="1"/>
  <c r="W24" i="16" s="1"/>
  <c r="X24" i="16"/>
  <c r="Y24" i="16" s="1"/>
  <c r="Z24" i="16" s="1"/>
  <c r="B25" i="16"/>
  <c r="E25" i="16"/>
  <c r="F25" i="16" s="1"/>
  <c r="G25" i="16" s="1"/>
  <c r="H25" i="16"/>
  <c r="I25" i="16" s="1"/>
  <c r="J25" i="16" s="1"/>
  <c r="K25" i="16"/>
  <c r="L25" i="16" s="1"/>
  <c r="M25" i="16" s="1"/>
  <c r="O25" i="16"/>
  <c r="P25" i="16" s="1"/>
  <c r="Q25" i="16" s="1"/>
  <c r="R25" i="16"/>
  <c r="S25" i="16" s="1"/>
  <c r="T25" i="16" s="1"/>
  <c r="U25" i="16"/>
  <c r="V25" i="16" s="1"/>
  <c r="W25" i="16" s="1"/>
  <c r="X25" i="16"/>
  <c r="Y25" i="16" s="1"/>
  <c r="Z25" i="16" s="1"/>
  <c r="B26" i="16"/>
  <c r="C26" i="16" s="1"/>
  <c r="D26" i="16" s="1"/>
  <c r="E26" i="16"/>
  <c r="F26" i="16" s="1"/>
  <c r="G26" i="16" s="1"/>
  <c r="H26" i="16"/>
  <c r="I26" i="16" s="1"/>
  <c r="J26" i="16" s="1"/>
  <c r="K26" i="16"/>
  <c r="L26" i="16" s="1"/>
  <c r="M26" i="16" s="1"/>
  <c r="O26" i="16"/>
  <c r="P26" i="16" s="1"/>
  <c r="Q26" i="16" s="1"/>
  <c r="R26" i="16"/>
  <c r="S26" i="16" s="1"/>
  <c r="T26" i="16" s="1"/>
  <c r="U26" i="16"/>
  <c r="V26" i="16" s="1"/>
  <c r="W26" i="16" s="1"/>
  <c r="X26" i="16"/>
  <c r="Y26" i="16" s="1"/>
  <c r="Z26" i="16" s="1"/>
  <c r="B27" i="16"/>
  <c r="C27" i="16" s="1"/>
  <c r="D27" i="16" s="1"/>
  <c r="E27" i="16"/>
  <c r="F27" i="16" s="1"/>
  <c r="G27" i="16" s="1"/>
  <c r="H27" i="16"/>
  <c r="I27" i="16" s="1"/>
  <c r="J27" i="16" s="1"/>
  <c r="K27" i="16"/>
  <c r="L27" i="16" s="1"/>
  <c r="M27" i="16" s="1"/>
  <c r="O27" i="16"/>
  <c r="P27" i="16" s="1"/>
  <c r="Q27" i="16" s="1"/>
  <c r="R27" i="16"/>
  <c r="S27" i="16" s="1"/>
  <c r="T27" i="16" s="1"/>
  <c r="U27" i="16"/>
  <c r="V27" i="16" s="1"/>
  <c r="W27" i="16" s="1"/>
  <c r="X27" i="16"/>
  <c r="Y27" i="16" s="1"/>
  <c r="Z27" i="16" s="1"/>
  <c r="B28" i="16"/>
  <c r="C28" i="16" s="1"/>
  <c r="D28" i="16" s="1"/>
  <c r="E28" i="16"/>
  <c r="F28" i="16" s="1"/>
  <c r="G28" i="16" s="1"/>
  <c r="H28" i="16"/>
  <c r="I28" i="16" s="1"/>
  <c r="J28" i="16" s="1"/>
  <c r="K28" i="16"/>
  <c r="L28" i="16" s="1"/>
  <c r="M28" i="16" s="1"/>
  <c r="O28" i="16"/>
  <c r="R28" i="16"/>
  <c r="S28" i="16" s="1"/>
  <c r="T28" i="16" s="1"/>
  <c r="U28" i="16"/>
  <c r="V28" i="16" s="1"/>
  <c r="W28" i="16" s="1"/>
  <c r="X28" i="16"/>
  <c r="Y28" i="16" s="1"/>
  <c r="Z28" i="16" s="1"/>
  <c r="B29" i="16"/>
  <c r="C29" i="16" s="1"/>
  <c r="D29" i="16" s="1"/>
  <c r="E29" i="16"/>
  <c r="F29" i="16" s="1"/>
  <c r="G29" i="16" s="1"/>
  <c r="H29" i="16"/>
  <c r="I29" i="16" s="1"/>
  <c r="J29" i="16" s="1"/>
  <c r="K29" i="16"/>
  <c r="L29" i="16" s="1"/>
  <c r="M29" i="16" s="1"/>
  <c r="O29" i="16"/>
  <c r="P29" i="16" s="1"/>
  <c r="Q29" i="16" s="1"/>
  <c r="R29" i="16"/>
  <c r="S29" i="16" s="1"/>
  <c r="T29" i="16" s="1"/>
  <c r="U29" i="16"/>
  <c r="V29" i="16" s="1"/>
  <c r="W29" i="16" s="1"/>
  <c r="X29" i="16"/>
  <c r="Y29" i="16" s="1"/>
  <c r="Z29" i="16" s="1"/>
  <c r="B30" i="16"/>
  <c r="C30" i="16" s="1"/>
  <c r="D30" i="16" s="1"/>
  <c r="E30" i="16"/>
  <c r="F30" i="16" s="1"/>
  <c r="G30" i="16" s="1"/>
  <c r="H30" i="16"/>
  <c r="I30" i="16" s="1"/>
  <c r="J30" i="16" s="1"/>
  <c r="K30" i="16"/>
  <c r="L30" i="16" s="1"/>
  <c r="M30" i="16" s="1"/>
  <c r="O30" i="16"/>
  <c r="P30" i="16" s="1"/>
  <c r="Q30" i="16" s="1"/>
  <c r="R30" i="16"/>
  <c r="S30" i="16" s="1"/>
  <c r="T30" i="16" s="1"/>
  <c r="U30" i="16"/>
  <c r="V30" i="16" s="1"/>
  <c r="W30" i="16" s="1"/>
  <c r="X30" i="16"/>
  <c r="Y30" i="16" s="1"/>
  <c r="Z30" i="16" s="1"/>
  <c r="B31" i="16"/>
  <c r="C31" i="16" s="1"/>
  <c r="D31" i="16" s="1"/>
  <c r="E31" i="16"/>
  <c r="F31" i="16" s="1"/>
  <c r="G31" i="16" s="1"/>
  <c r="H31" i="16"/>
  <c r="I31" i="16" s="1"/>
  <c r="J31" i="16" s="1"/>
  <c r="K31" i="16"/>
  <c r="L31" i="16" s="1"/>
  <c r="M31" i="16" s="1"/>
  <c r="O31" i="16"/>
  <c r="P31" i="16" s="1"/>
  <c r="Q31" i="16" s="1"/>
  <c r="R31" i="16"/>
  <c r="S31" i="16" s="1"/>
  <c r="T31" i="16" s="1"/>
  <c r="U31" i="16"/>
  <c r="V31" i="16" s="1"/>
  <c r="W31" i="16" s="1"/>
  <c r="X31" i="16"/>
  <c r="Y31" i="16" s="1"/>
  <c r="Z31" i="16" s="1"/>
  <c r="B32" i="16"/>
  <c r="E32" i="16"/>
  <c r="F32" i="16" s="1"/>
  <c r="G32" i="16" s="1"/>
  <c r="H32" i="16"/>
  <c r="I32" i="16" s="1"/>
  <c r="J32" i="16" s="1"/>
  <c r="K32" i="16"/>
  <c r="L32" i="16" s="1"/>
  <c r="M32" i="16" s="1"/>
  <c r="O32" i="16"/>
  <c r="P32" i="16" s="1"/>
  <c r="Q32" i="16" s="1"/>
  <c r="R32" i="16"/>
  <c r="S32" i="16" s="1"/>
  <c r="T32" i="16" s="1"/>
  <c r="U32" i="16"/>
  <c r="V32" i="16" s="1"/>
  <c r="W32" i="16" s="1"/>
  <c r="X32" i="16"/>
  <c r="Y32" i="16" s="1"/>
  <c r="Z32" i="16" s="1"/>
  <c r="B33" i="16"/>
  <c r="C33" i="16" s="1"/>
  <c r="D33" i="16" s="1"/>
  <c r="E33" i="16"/>
  <c r="F33" i="16" s="1"/>
  <c r="G33" i="16" s="1"/>
  <c r="H33" i="16"/>
  <c r="I33" i="16" s="1"/>
  <c r="J33" i="16" s="1"/>
  <c r="K33" i="16"/>
  <c r="L33" i="16" s="1"/>
  <c r="M33" i="16" s="1"/>
  <c r="O33" i="16"/>
  <c r="P33" i="16" s="1"/>
  <c r="Q33" i="16" s="1"/>
  <c r="R33" i="16"/>
  <c r="S33" i="16" s="1"/>
  <c r="T33" i="16" s="1"/>
  <c r="U33" i="16"/>
  <c r="V33" i="16" s="1"/>
  <c r="W33" i="16" s="1"/>
  <c r="X33" i="16"/>
  <c r="Y33" i="16" s="1"/>
  <c r="Z33" i="16" s="1"/>
  <c r="B34" i="16"/>
  <c r="C34" i="16" s="1"/>
  <c r="D34" i="16" s="1"/>
  <c r="E34" i="16"/>
  <c r="F34" i="16" s="1"/>
  <c r="G34" i="16" s="1"/>
  <c r="H34" i="16"/>
  <c r="I34" i="16" s="1"/>
  <c r="J34" i="16" s="1"/>
  <c r="K34" i="16"/>
  <c r="L34" i="16" s="1"/>
  <c r="M34" i="16" s="1"/>
  <c r="O34" i="16"/>
  <c r="P34" i="16" s="1"/>
  <c r="Q34" i="16" s="1"/>
  <c r="R34" i="16"/>
  <c r="S34" i="16" s="1"/>
  <c r="T34" i="16" s="1"/>
  <c r="U34" i="16"/>
  <c r="V34" i="16" s="1"/>
  <c r="W34" i="16" s="1"/>
  <c r="X34" i="16"/>
  <c r="Y34" i="16" s="1"/>
  <c r="Z34" i="16" s="1"/>
  <c r="B35" i="16"/>
  <c r="C35" i="16" s="1"/>
  <c r="D35" i="16" s="1"/>
  <c r="E35" i="16"/>
  <c r="F35" i="16" s="1"/>
  <c r="G35" i="16" s="1"/>
  <c r="H35" i="16"/>
  <c r="I35" i="16" s="1"/>
  <c r="J35" i="16" s="1"/>
  <c r="K35" i="16"/>
  <c r="L35" i="16" s="1"/>
  <c r="M35" i="16" s="1"/>
  <c r="O35" i="16"/>
  <c r="P35" i="16" s="1"/>
  <c r="Q35" i="16" s="1"/>
  <c r="R35" i="16"/>
  <c r="S35" i="16" s="1"/>
  <c r="T35" i="16" s="1"/>
  <c r="U35" i="16"/>
  <c r="V35" i="16" s="1"/>
  <c r="W35" i="16" s="1"/>
  <c r="X35" i="16"/>
  <c r="Y35" i="16" s="1"/>
  <c r="Z35" i="16" s="1"/>
  <c r="X5" i="16"/>
  <c r="Y5" i="16" s="1"/>
  <c r="Z5" i="16" s="1"/>
  <c r="U5" i="16"/>
  <c r="V5" i="16" s="1"/>
  <c r="W5" i="16" s="1"/>
  <c r="R5" i="16"/>
  <c r="S5" i="16" s="1"/>
  <c r="T5" i="16" s="1"/>
  <c r="O5" i="16"/>
  <c r="P5" i="16" s="1"/>
  <c r="Q5" i="16" s="1"/>
  <c r="K5" i="16"/>
  <c r="L5" i="16" s="1"/>
  <c r="M5" i="16" s="1"/>
  <c r="H5" i="16"/>
  <c r="I5" i="16" s="1"/>
  <c r="J5" i="16" s="1"/>
  <c r="E5" i="16"/>
  <c r="F5" i="16" s="1"/>
  <c r="G5" i="16" s="1"/>
  <c r="B5" i="16"/>
  <c r="C5" i="16" s="1"/>
  <c r="D5" i="16" s="1"/>
  <c r="B6" i="9"/>
  <c r="C6" i="9" s="1"/>
  <c r="D6" i="9" s="1"/>
  <c r="E6" i="9"/>
  <c r="F6" i="9" s="1"/>
  <c r="G6" i="9" s="1"/>
  <c r="H6" i="9"/>
  <c r="I6" i="9" s="1"/>
  <c r="J6" i="9" s="1"/>
  <c r="K6" i="9"/>
  <c r="L6" i="9" s="1"/>
  <c r="M6" i="9" s="1"/>
  <c r="O6" i="9"/>
  <c r="P6" i="9" s="1"/>
  <c r="Q6" i="9" s="1"/>
  <c r="R6" i="9"/>
  <c r="S6" i="9" s="1"/>
  <c r="T6" i="9" s="1"/>
  <c r="U6" i="9"/>
  <c r="V6" i="9" s="1"/>
  <c r="W6" i="9" s="1"/>
  <c r="X6" i="9"/>
  <c r="Y6" i="9" s="1"/>
  <c r="Z6" i="9" s="1"/>
  <c r="B7" i="9"/>
  <c r="C7" i="9" s="1"/>
  <c r="D7" i="9" s="1"/>
  <c r="E7" i="9"/>
  <c r="F7" i="9" s="1"/>
  <c r="G7" i="9" s="1"/>
  <c r="H7" i="9"/>
  <c r="I7" i="9" s="1"/>
  <c r="J7" i="9" s="1"/>
  <c r="K7" i="9"/>
  <c r="L7" i="9" s="1"/>
  <c r="M7" i="9" s="1"/>
  <c r="O7" i="9"/>
  <c r="P7" i="9" s="1"/>
  <c r="Q7" i="9" s="1"/>
  <c r="R7" i="9"/>
  <c r="S7" i="9" s="1"/>
  <c r="T7" i="9" s="1"/>
  <c r="U7" i="9"/>
  <c r="V7" i="9" s="1"/>
  <c r="W7" i="9" s="1"/>
  <c r="X7" i="9"/>
  <c r="Y7" i="9" s="1"/>
  <c r="Z7" i="9" s="1"/>
  <c r="B8" i="9"/>
  <c r="C8" i="9" s="1"/>
  <c r="D8" i="9" s="1"/>
  <c r="E8" i="9"/>
  <c r="F8" i="9" s="1"/>
  <c r="G8" i="9" s="1"/>
  <c r="H8" i="9"/>
  <c r="I8" i="9" s="1"/>
  <c r="J8" i="9" s="1"/>
  <c r="K8" i="9"/>
  <c r="L8" i="9" s="1"/>
  <c r="M8" i="9" s="1"/>
  <c r="O8" i="9"/>
  <c r="P8" i="9" s="1"/>
  <c r="Q8" i="9" s="1"/>
  <c r="R8" i="9"/>
  <c r="S8" i="9" s="1"/>
  <c r="T8" i="9" s="1"/>
  <c r="U8" i="9"/>
  <c r="V8" i="9" s="1"/>
  <c r="W8" i="9" s="1"/>
  <c r="X8" i="9"/>
  <c r="Y8" i="9" s="1"/>
  <c r="Z8" i="9" s="1"/>
  <c r="B9" i="9"/>
  <c r="C9" i="9" s="1"/>
  <c r="D9" i="9" s="1"/>
  <c r="E9" i="9"/>
  <c r="F9" i="9" s="1"/>
  <c r="G9" i="9" s="1"/>
  <c r="H9" i="9"/>
  <c r="I9" i="9" s="1"/>
  <c r="J9" i="9" s="1"/>
  <c r="K9" i="9"/>
  <c r="L9" i="9" s="1"/>
  <c r="M9" i="9" s="1"/>
  <c r="O9" i="9"/>
  <c r="P9" i="9" s="1"/>
  <c r="Q9" i="9" s="1"/>
  <c r="R9" i="9"/>
  <c r="S9" i="9" s="1"/>
  <c r="T9" i="9" s="1"/>
  <c r="U9" i="9"/>
  <c r="V9" i="9" s="1"/>
  <c r="W9" i="9" s="1"/>
  <c r="X9" i="9"/>
  <c r="Y9" i="9" s="1"/>
  <c r="Z9" i="9" s="1"/>
  <c r="B10" i="9"/>
  <c r="C10" i="9" s="1"/>
  <c r="D10" i="9" s="1"/>
  <c r="E10" i="9"/>
  <c r="F10" i="9" s="1"/>
  <c r="G10" i="9" s="1"/>
  <c r="H10" i="9"/>
  <c r="I10" i="9" s="1"/>
  <c r="J10" i="9" s="1"/>
  <c r="K10" i="9"/>
  <c r="L10" i="9" s="1"/>
  <c r="M10" i="9" s="1"/>
  <c r="O10" i="9"/>
  <c r="P10" i="9" s="1"/>
  <c r="Q10" i="9" s="1"/>
  <c r="R10" i="9"/>
  <c r="S10" i="9" s="1"/>
  <c r="T10" i="9" s="1"/>
  <c r="U10" i="9"/>
  <c r="V10" i="9" s="1"/>
  <c r="W10" i="9" s="1"/>
  <c r="X10" i="9"/>
  <c r="Y10" i="9" s="1"/>
  <c r="Z10" i="9" s="1"/>
  <c r="B11" i="9"/>
  <c r="C11" i="9" s="1"/>
  <c r="D11" i="9" s="1"/>
  <c r="E11" i="9"/>
  <c r="F11" i="9" s="1"/>
  <c r="G11" i="9" s="1"/>
  <c r="H11" i="9"/>
  <c r="I11" i="9" s="1"/>
  <c r="J11" i="9" s="1"/>
  <c r="K11" i="9"/>
  <c r="L11" i="9" s="1"/>
  <c r="M11" i="9" s="1"/>
  <c r="O11" i="9"/>
  <c r="P11" i="9" s="1"/>
  <c r="Q11" i="9" s="1"/>
  <c r="R11" i="9"/>
  <c r="S11" i="9" s="1"/>
  <c r="T11" i="9" s="1"/>
  <c r="U11" i="9"/>
  <c r="V11" i="9" s="1"/>
  <c r="W11" i="9" s="1"/>
  <c r="X11" i="9"/>
  <c r="Y11" i="9" s="1"/>
  <c r="Z11" i="9" s="1"/>
  <c r="B12" i="9"/>
  <c r="C12" i="9" s="1"/>
  <c r="D12" i="9" s="1"/>
  <c r="E12" i="9"/>
  <c r="F12" i="9" s="1"/>
  <c r="G12" i="9" s="1"/>
  <c r="H12" i="9"/>
  <c r="I12" i="9" s="1"/>
  <c r="J12" i="9" s="1"/>
  <c r="K12" i="9"/>
  <c r="L12" i="9" s="1"/>
  <c r="M12" i="9" s="1"/>
  <c r="O12" i="9"/>
  <c r="P12" i="9" s="1"/>
  <c r="Q12" i="9" s="1"/>
  <c r="R12" i="9"/>
  <c r="S12" i="9" s="1"/>
  <c r="T12" i="9" s="1"/>
  <c r="U12" i="9"/>
  <c r="V12" i="9" s="1"/>
  <c r="W12" i="9" s="1"/>
  <c r="X12" i="9"/>
  <c r="Y12" i="9" s="1"/>
  <c r="Z12" i="9" s="1"/>
  <c r="B13" i="9"/>
  <c r="C13" i="9" s="1"/>
  <c r="D13" i="9" s="1"/>
  <c r="E13" i="9"/>
  <c r="F13" i="9" s="1"/>
  <c r="G13" i="9" s="1"/>
  <c r="H13" i="9"/>
  <c r="I13" i="9" s="1"/>
  <c r="J13" i="9" s="1"/>
  <c r="K13" i="9"/>
  <c r="L13" i="9" s="1"/>
  <c r="M13" i="9" s="1"/>
  <c r="O13" i="9"/>
  <c r="P13" i="9" s="1"/>
  <c r="Q13" i="9" s="1"/>
  <c r="R13" i="9"/>
  <c r="S13" i="9" s="1"/>
  <c r="T13" i="9" s="1"/>
  <c r="U13" i="9"/>
  <c r="V13" i="9" s="1"/>
  <c r="W13" i="9" s="1"/>
  <c r="X13" i="9"/>
  <c r="Y13" i="9" s="1"/>
  <c r="Z13" i="9" s="1"/>
  <c r="B14" i="9"/>
  <c r="C14" i="9" s="1"/>
  <c r="D14" i="9" s="1"/>
  <c r="E14" i="9"/>
  <c r="F14" i="9" s="1"/>
  <c r="G14" i="9" s="1"/>
  <c r="H14" i="9"/>
  <c r="I14" i="9" s="1"/>
  <c r="J14" i="9" s="1"/>
  <c r="K14" i="9"/>
  <c r="L14" i="9" s="1"/>
  <c r="M14" i="9" s="1"/>
  <c r="O14" i="9"/>
  <c r="P14" i="9" s="1"/>
  <c r="Q14" i="9" s="1"/>
  <c r="R14" i="9"/>
  <c r="S14" i="9" s="1"/>
  <c r="T14" i="9" s="1"/>
  <c r="U14" i="9"/>
  <c r="V14" i="9" s="1"/>
  <c r="W14" i="9" s="1"/>
  <c r="X14" i="9"/>
  <c r="Y14" i="9" s="1"/>
  <c r="Z14" i="9" s="1"/>
  <c r="B15" i="9"/>
  <c r="C15" i="9" s="1"/>
  <c r="D15" i="9" s="1"/>
  <c r="E15" i="9"/>
  <c r="F15" i="9" s="1"/>
  <c r="G15" i="9" s="1"/>
  <c r="H15" i="9"/>
  <c r="I15" i="9" s="1"/>
  <c r="J15" i="9" s="1"/>
  <c r="K15" i="9"/>
  <c r="L15" i="9" s="1"/>
  <c r="M15" i="9" s="1"/>
  <c r="O15" i="9"/>
  <c r="P15" i="9" s="1"/>
  <c r="Q15" i="9" s="1"/>
  <c r="R15" i="9"/>
  <c r="S15" i="9" s="1"/>
  <c r="T15" i="9" s="1"/>
  <c r="U15" i="9"/>
  <c r="V15" i="9" s="1"/>
  <c r="W15" i="9" s="1"/>
  <c r="X15" i="9"/>
  <c r="Y15" i="9" s="1"/>
  <c r="Z15" i="9" s="1"/>
  <c r="B16" i="9"/>
  <c r="C16" i="9" s="1"/>
  <c r="D16" i="9" s="1"/>
  <c r="E16" i="9"/>
  <c r="F16" i="9" s="1"/>
  <c r="G16" i="9" s="1"/>
  <c r="H16" i="9"/>
  <c r="I16" i="9" s="1"/>
  <c r="J16" i="9" s="1"/>
  <c r="K16" i="9"/>
  <c r="L16" i="9" s="1"/>
  <c r="M16" i="9" s="1"/>
  <c r="O16" i="9"/>
  <c r="P16" i="9" s="1"/>
  <c r="Q16" i="9" s="1"/>
  <c r="R16" i="9"/>
  <c r="S16" i="9" s="1"/>
  <c r="T16" i="9" s="1"/>
  <c r="U16" i="9"/>
  <c r="V16" i="9" s="1"/>
  <c r="W16" i="9" s="1"/>
  <c r="X16" i="9"/>
  <c r="Y16" i="9" s="1"/>
  <c r="Z16" i="9" s="1"/>
  <c r="B17" i="9"/>
  <c r="C17" i="9" s="1"/>
  <c r="D17" i="9" s="1"/>
  <c r="E17" i="9"/>
  <c r="F17" i="9" s="1"/>
  <c r="G17" i="9" s="1"/>
  <c r="H17" i="9"/>
  <c r="I17" i="9" s="1"/>
  <c r="J17" i="9" s="1"/>
  <c r="K17" i="9"/>
  <c r="L17" i="9" s="1"/>
  <c r="M17" i="9" s="1"/>
  <c r="O17" i="9"/>
  <c r="P17" i="9" s="1"/>
  <c r="Q17" i="9" s="1"/>
  <c r="R17" i="9"/>
  <c r="S17" i="9" s="1"/>
  <c r="T17" i="9" s="1"/>
  <c r="U17" i="9"/>
  <c r="V17" i="9" s="1"/>
  <c r="W17" i="9" s="1"/>
  <c r="X17" i="9"/>
  <c r="Y17" i="9" s="1"/>
  <c r="Z17" i="9" s="1"/>
  <c r="B18" i="9"/>
  <c r="C18" i="9" s="1"/>
  <c r="D18" i="9" s="1"/>
  <c r="E18" i="9"/>
  <c r="F18" i="9" s="1"/>
  <c r="G18" i="9" s="1"/>
  <c r="H18" i="9"/>
  <c r="I18" i="9" s="1"/>
  <c r="J18" i="9" s="1"/>
  <c r="K18" i="9"/>
  <c r="L18" i="9" s="1"/>
  <c r="M18" i="9" s="1"/>
  <c r="O18" i="9"/>
  <c r="P18" i="9" s="1"/>
  <c r="Q18" i="9" s="1"/>
  <c r="R18" i="9"/>
  <c r="S18" i="9" s="1"/>
  <c r="T18" i="9" s="1"/>
  <c r="U18" i="9"/>
  <c r="V18" i="9" s="1"/>
  <c r="W18" i="9" s="1"/>
  <c r="X18" i="9"/>
  <c r="Y18" i="9" s="1"/>
  <c r="Z18" i="9" s="1"/>
  <c r="B19" i="9"/>
  <c r="C19" i="9" s="1"/>
  <c r="D19" i="9" s="1"/>
  <c r="E19" i="9"/>
  <c r="F19" i="9" s="1"/>
  <c r="G19" i="9" s="1"/>
  <c r="H19" i="9"/>
  <c r="I19" i="9" s="1"/>
  <c r="J19" i="9" s="1"/>
  <c r="K19" i="9"/>
  <c r="L19" i="9" s="1"/>
  <c r="M19" i="9" s="1"/>
  <c r="O19" i="9"/>
  <c r="P19" i="9" s="1"/>
  <c r="Q19" i="9" s="1"/>
  <c r="R19" i="9"/>
  <c r="S19" i="9" s="1"/>
  <c r="T19" i="9" s="1"/>
  <c r="U19" i="9"/>
  <c r="V19" i="9" s="1"/>
  <c r="W19" i="9" s="1"/>
  <c r="X19" i="9"/>
  <c r="Y19" i="9" s="1"/>
  <c r="Z19" i="9" s="1"/>
  <c r="B20" i="9"/>
  <c r="C20" i="9" s="1"/>
  <c r="D20" i="9" s="1"/>
  <c r="E20" i="9"/>
  <c r="F20" i="9" s="1"/>
  <c r="G20" i="9" s="1"/>
  <c r="H20" i="9"/>
  <c r="I20" i="9" s="1"/>
  <c r="J20" i="9" s="1"/>
  <c r="K20" i="9"/>
  <c r="L20" i="9" s="1"/>
  <c r="M20" i="9" s="1"/>
  <c r="O20" i="9"/>
  <c r="P20" i="9" s="1"/>
  <c r="Q20" i="9" s="1"/>
  <c r="R20" i="9"/>
  <c r="S20" i="9" s="1"/>
  <c r="T20" i="9" s="1"/>
  <c r="U20" i="9"/>
  <c r="V20" i="9" s="1"/>
  <c r="W20" i="9" s="1"/>
  <c r="X20" i="9"/>
  <c r="Y20" i="9" s="1"/>
  <c r="Z20" i="9" s="1"/>
  <c r="B21" i="9"/>
  <c r="C21" i="9" s="1"/>
  <c r="D21" i="9" s="1"/>
  <c r="E21" i="9"/>
  <c r="F21" i="9" s="1"/>
  <c r="G21" i="9" s="1"/>
  <c r="H21" i="9"/>
  <c r="I21" i="9" s="1"/>
  <c r="J21" i="9" s="1"/>
  <c r="K21" i="9"/>
  <c r="L21" i="9" s="1"/>
  <c r="M21" i="9" s="1"/>
  <c r="O21" i="9"/>
  <c r="P21" i="9" s="1"/>
  <c r="Q21" i="9" s="1"/>
  <c r="R21" i="9"/>
  <c r="S21" i="9" s="1"/>
  <c r="T21" i="9" s="1"/>
  <c r="U21" i="9"/>
  <c r="V21" i="9" s="1"/>
  <c r="W21" i="9" s="1"/>
  <c r="X21" i="9"/>
  <c r="Y21" i="9" s="1"/>
  <c r="Z21" i="9" s="1"/>
  <c r="B22" i="9"/>
  <c r="C22" i="9" s="1"/>
  <c r="D22" i="9" s="1"/>
  <c r="E22" i="9"/>
  <c r="F22" i="9" s="1"/>
  <c r="G22" i="9" s="1"/>
  <c r="H22" i="9"/>
  <c r="I22" i="9" s="1"/>
  <c r="J22" i="9" s="1"/>
  <c r="K22" i="9"/>
  <c r="L22" i="9" s="1"/>
  <c r="M22" i="9" s="1"/>
  <c r="O22" i="9"/>
  <c r="P22" i="9" s="1"/>
  <c r="Q22" i="9" s="1"/>
  <c r="R22" i="9"/>
  <c r="S22" i="9" s="1"/>
  <c r="T22" i="9" s="1"/>
  <c r="U22" i="9"/>
  <c r="V22" i="9" s="1"/>
  <c r="W22" i="9" s="1"/>
  <c r="X22" i="9"/>
  <c r="Y22" i="9" s="1"/>
  <c r="Z22" i="9" s="1"/>
  <c r="B23" i="9"/>
  <c r="C23" i="9" s="1"/>
  <c r="D23" i="9" s="1"/>
  <c r="E23" i="9"/>
  <c r="F23" i="9" s="1"/>
  <c r="G23" i="9" s="1"/>
  <c r="H23" i="9"/>
  <c r="I23" i="9" s="1"/>
  <c r="J23" i="9" s="1"/>
  <c r="K23" i="9"/>
  <c r="L23" i="9" s="1"/>
  <c r="M23" i="9" s="1"/>
  <c r="O23" i="9"/>
  <c r="P23" i="9" s="1"/>
  <c r="Q23" i="9" s="1"/>
  <c r="R23" i="9"/>
  <c r="S23" i="9" s="1"/>
  <c r="T23" i="9" s="1"/>
  <c r="U23" i="9"/>
  <c r="V23" i="9" s="1"/>
  <c r="W23" i="9" s="1"/>
  <c r="X23" i="9"/>
  <c r="Y23" i="9" s="1"/>
  <c r="Z23" i="9" s="1"/>
  <c r="B24" i="9"/>
  <c r="E24" i="9"/>
  <c r="F24" i="9" s="1"/>
  <c r="G24" i="9" s="1"/>
  <c r="H24" i="9"/>
  <c r="I24" i="9" s="1"/>
  <c r="J24" i="9" s="1"/>
  <c r="K24" i="9"/>
  <c r="L24" i="9" s="1"/>
  <c r="M24" i="9" s="1"/>
  <c r="O24" i="9"/>
  <c r="P24" i="9" s="1"/>
  <c r="Q24" i="9" s="1"/>
  <c r="R24" i="9"/>
  <c r="S24" i="9" s="1"/>
  <c r="T24" i="9" s="1"/>
  <c r="U24" i="9"/>
  <c r="V24" i="9" s="1"/>
  <c r="W24" i="9" s="1"/>
  <c r="X24" i="9"/>
  <c r="Y24" i="9" s="1"/>
  <c r="Z24" i="9" s="1"/>
  <c r="B25" i="9"/>
  <c r="E25" i="9"/>
  <c r="F25" i="9" s="1"/>
  <c r="G25" i="9" s="1"/>
  <c r="H25" i="9"/>
  <c r="I25" i="9" s="1"/>
  <c r="J25" i="9" s="1"/>
  <c r="K25" i="9"/>
  <c r="L25" i="9" s="1"/>
  <c r="M25" i="9" s="1"/>
  <c r="O25" i="9"/>
  <c r="P25" i="9" s="1"/>
  <c r="Q25" i="9" s="1"/>
  <c r="R25" i="9"/>
  <c r="S25" i="9" s="1"/>
  <c r="T25" i="9" s="1"/>
  <c r="U25" i="9"/>
  <c r="V25" i="9" s="1"/>
  <c r="W25" i="9" s="1"/>
  <c r="X25" i="9"/>
  <c r="Y25" i="9" s="1"/>
  <c r="Z25" i="9" s="1"/>
  <c r="B26" i="9"/>
  <c r="C26" i="9" s="1"/>
  <c r="D26" i="9" s="1"/>
  <c r="E26" i="9"/>
  <c r="F26" i="9" s="1"/>
  <c r="G26" i="9" s="1"/>
  <c r="H26" i="9"/>
  <c r="I26" i="9" s="1"/>
  <c r="J26" i="9" s="1"/>
  <c r="K26" i="9"/>
  <c r="L26" i="9" s="1"/>
  <c r="M26" i="9" s="1"/>
  <c r="O26" i="9"/>
  <c r="P26" i="9" s="1"/>
  <c r="Q26" i="9" s="1"/>
  <c r="R26" i="9"/>
  <c r="S26" i="9" s="1"/>
  <c r="T26" i="9" s="1"/>
  <c r="U26" i="9"/>
  <c r="V26" i="9" s="1"/>
  <c r="W26" i="9" s="1"/>
  <c r="X26" i="9"/>
  <c r="Y26" i="9" s="1"/>
  <c r="Z26" i="9" s="1"/>
  <c r="B27" i="9"/>
  <c r="C27" i="9" s="1"/>
  <c r="D27" i="9" s="1"/>
  <c r="E27" i="9"/>
  <c r="F27" i="9" s="1"/>
  <c r="G27" i="9" s="1"/>
  <c r="H27" i="9"/>
  <c r="I27" i="9" s="1"/>
  <c r="J27" i="9" s="1"/>
  <c r="K27" i="9"/>
  <c r="L27" i="9" s="1"/>
  <c r="M27" i="9" s="1"/>
  <c r="O27" i="9"/>
  <c r="P27" i="9" s="1"/>
  <c r="Q27" i="9" s="1"/>
  <c r="R27" i="9"/>
  <c r="S27" i="9" s="1"/>
  <c r="T27" i="9" s="1"/>
  <c r="U27" i="9"/>
  <c r="V27" i="9" s="1"/>
  <c r="W27" i="9" s="1"/>
  <c r="X27" i="9"/>
  <c r="Y27" i="9" s="1"/>
  <c r="Z27" i="9" s="1"/>
  <c r="B28" i="9"/>
  <c r="C28" i="9" s="1"/>
  <c r="D28" i="9" s="1"/>
  <c r="E28" i="9"/>
  <c r="F28" i="9" s="1"/>
  <c r="G28" i="9" s="1"/>
  <c r="H28" i="9"/>
  <c r="I28" i="9" s="1"/>
  <c r="J28" i="9" s="1"/>
  <c r="K28" i="9"/>
  <c r="L28" i="9" s="1"/>
  <c r="M28" i="9" s="1"/>
  <c r="O28" i="9"/>
  <c r="P28" i="9" s="1"/>
  <c r="Q28" i="9" s="1"/>
  <c r="R28" i="9"/>
  <c r="S28" i="9" s="1"/>
  <c r="T28" i="9" s="1"/>
  <c r="U28" i="9"/>
  <c r="V28" i="9" s="1"/>
  <c r="W28" i="9" s="1"/>
  <c r="X28" i="9"/>
  <c r="Y28" i="9" s="1"/>
  <c r="Z28" i="9" s="1"/>
  <c r="B29" i="9"/>
  <c r="C29" i="9" s="1"/>
  <c r="D29" i="9" s="1"/>
  <c r="E29" i="9"/>
  <c r="F29" i="9" s="1"/>
  <c r="G29" i="9" s="1"/>
  <c r="H29" i="9"/>
  <c r="I29" i="9" s="1"/>
  <c r="J29" i="9" s="1"/>
  <c r="K29" i="9"/>
  <c r="L29" i="9" s="1"/>
  <c r="M29" i="9" s="1"/>
  <c r="O29" i="9"/>
  <c r="P29" i="9" s="1"/>
  <c r="Q29" i="9" s="1"/>
  <c r="R29" i="9"/>
  <c r="S29" i="9" s="1"/>
  <c r="T29" i="9" s="1"/>
  <c r="U29" i="9"/>
  <c r="V29" i="9" s="1"/>
  <c r="W29" i="9" s="1"/>
  <c r="X29" i="9"/>
  <c r="Y29" i="9" s="1"/>
  <c r="Z29" i="9" s="1"/>
  <c r="B30" i="9"/>
  <c r="C30" i="9" s="1"/>
  <c r="D30" i="9" s="1"/>
  <c r="E30" i="9"/>
  <c r="F30" i="9" s="1"/>
  <c r="G30" i="9" s="1"/>
  <c r="H30" i="9"/>
  <c r="I30" i="9" s="1"/>
  <c r="J30" i="9" s="1"/>
  <c r="K30" i="9"/>
  <c r="L30" i="9" s="1"/>
  <c r="M30" i="9" s="1"/>
  <c r="O30" i="9"/>
  <c r="P30" i="9" s="1"/>
  <c r="Q30" i="9" s="1"/>
  <c r="R30" i="9"/>
  <c r="S30" i="9" s="1"/>
  <c r="T30" i="9" s="1"/>
  <c r="U30" i="9"/>
  <c r="V30" i="9" s="1"/>
  <c r="W30" i="9" s="1"/>
  <c r="X30" i="9"/>
  <c r="Y30" i="9" s="1"/>
  <c r="Z30" i="9" s="1"/>
  <c r="B31" i="9"/>
  <c r="C31" i="9" s="1"/>
  <c r="D31" i="9" s="1"/>
  <c r="E31" i="9"/>
  <c r="F31" i="9" s="1"/>
  <c r="G31" i="9" s="1"/>
  <c r="H31" i="9"/>
  <c r="I31" i="9" s="1"/>
  <c r="J31" i="9" s="1"/>
  <c r="K31" i="9"/>
  <c r="L31" i="9" s="1"/>
  <c r="M31" i="9" s="1"/>
  <c r="O31" i="9"/>
  <c r="P31" i="9" s="1"/>
  <c r="Q31" i="9" s="1"/>
  <c r="R31" i="9"/>
  <c r="S31" i="9" s="1"/>
  <c r="T31" i="9" s="1"/>
  <c r="U31" i="9"/>
  <c r="V31" i="9" s="1"/>
  <c r="W31" i="9" s="1"/>
  <c r="X31" i="9"/>
  <c r="Y31" i="9" s="1"/>
  <c r="Z31" i="9" s="1"/>
  <c r="B32" i="9"/>
  <c r="C32" i="9" s="1"/>
  <c r="D32" i="9" s="1"/>
  <c r="E32" i="9"/>
  <c r="F32" i="9" s="1"/>
  <c r="G32" i="9" s="1"/>
  <c r="H32" i="9"/>
  <c r="I32" i="9" s="1"/>
  <c r="J32" i="9" s="1"/>
  <c r="K32" i="9"/>
  <c r="L32" i="9" s="1"/>
  <c r="M32" i="9" s="1"/>
  <c r="O32" i="9"/>
  <c r="P32" i="9" s="1"/>
  <c r="Q32" i="9" s="1"/>
  <c r="R32" i="9"/>
  <c r="S32" i="9" s="1"/>
  <c r="T32" i="9" s="1"/>
  <c r="U32" i="9"/>
  <c r="V32" i="9" s="1"/>
  <c r="W32" i="9" s="1"/>
  <c r="X32" i="9"/>
  <c r="Y32" i="9" s="1"/>
  <c r="Z32" i="9" s="1"/>
  <c r="B33" i="9"/>
  <c r="C33" i="9" s="1"/>
  <c r="D33" i="9" s="1"/>
  <c r="E33" i="9"/>
  <c r="F33" i="9" s="1"/>
  <c r="G33" i="9" s="1"/>
  <c r="H33" i="9"/>
  <c r="I33" i="9" s="1"/>
  <c r="J33" i="9" s="1"/>
  <c r="K33" i="9"/>
  <c r="L33" i="9" s="1"/>
  <c r="M33" i="9" s="1"/>
  <c r="O33" i="9"/>
  <c r="P33" i="9" s="1"/>
  <c r="Q33" i="9" s="1"/>
  <c r="R33" i="9"/>
  <c r="S33" i="9" s="1"/>
  <c r="T33" i="9" s="1"/>
  <c r="U33" i="9"/>
  <c r="V33" i="9" s="1"/>
  <c r="W33" i="9" s="1"/>
  <c r="X33" i="9"/>
  <c r="Y33" i="9" s="1"/>
  <c r="Z33" i="9" s="1"/>
  <c r="B34" i="9"/>
  <c r="C34" i="9" s="1"/>
  <c r="D34" i="9" s="1"/>
  <c r="E34" i="9"/>
  <c r="F34" i="9" s="1"/>
  <c r="G34" i="9" s="1"/>
  <c r="H34" i="9"/>
  <c r="I34" i="9" s="1"/>
  <c r="J34" i="9" s="1"/>
  <c r="K34" i="9"/>
  <c r="L34" i="9" s="1"/>
  <c r="M34" i="9" s="1"/>
  <c r="O34" i="9"/>
  <c r="P34" i="9" s="1"/>
  <c r="Q34" i="9" s="1"/>
  <c r="R34" i="9"/>
  <c r="S34" i="9" s="1"/>
  <c r="T34" i="9" s="1"/>
  <c r="U34" i="9"/>
  <c r="V34" i="9" s="1"/>
  <c r="W34" i="9" s="1"/>
  <c r="X34" i="9"/>
  <c r="Y34" i="9" s="1"/>
  <c r="Z34" i="9" s="1"/>
  <c r="X5" i="9"/>
  <c r="Y5" i="9" s="1"/>
  <c r="Y35" i="9" s="1"/>
  <c r="Z35" i="9" s="1"/>
  <c r="U5" i="9"/>
  <c r="V5" i="9" s="1"/>
  <c r="W5" i="9" s="1"/>
  <c r="R5" i="9"/>
  <c r="S5" i="9" s="1"/>
  <c r="S35" i="9" s="1"/>
  <c r="T35" i="9" s="1"/>
  <c r="O5" i="9"/>
  <c r="P5" i="9" s="1"/>
  <c r="P35" i="9" s="1"/>
  <c r="Q35" i="9" s="1"/>
  <c r="K5" i="9"/>
  <c r="L5" i="9" s="1"/>
  <c r="L35" i="9" s="1"/>
  <c r="M35" i="9" s="1"/>
  <c r="H5" i="9"/>
  <c r="I5" i="9" s="1"/>
  <c r="J5" i="9" s="1"/>
  <c r="E5" i="9"/>
  <c r="F5" i="9" s="1"/>
  <c r="F35" i="9" s="1"/>
  <c r="G35" i="9" s="1"/>
  <c r="B5" i="9"/>
  <c r="C5" i="9" s="1"/>
  <c r="D5" i="9" s="1"/>
  <c r="S6" i="8"/>
  <c r="T6" i="8" s="1"/>
  <c r="U6" i="8"/>
  <c r="V6" i="8" s="1"/>
  <c r="W6" i="8" s="1"/>
  <c r="X6" i="8"/>
  <c r="Y6" i="8" s="1"/>
  <c r="Z6" i="8" s="1"/>
  <c r="S7" i="8"/>
  <c r="T7" i="8" s="1"/>
  <c r="U7" i="8"/>
  <c r="V7" i="8" s="1"/>
  <c r="W7" i="8" s="1"/>
  <c r="X7" i="8"/>
  <c r="Y7" i="8" s="1"/>
  <c r="Z7" i="8" s="1"/>
  <c r="S8" i="8"/>
  <c r="T8" i="8" s="1"/>
  <c r="U8" i="8"/>
  <c r="V8" i="8" s="1"/>
  <c r="W8" i="8" s="1"/>
  <c r="X8" i="8"/>
  <c r="Y8" i="8" s="1"/>
  <c r="Z8" i="8" s="1"/>
  <c r="U9" i="8"/>
  <c r="V9" i="8" s="1"/>
  <c r="W9" i="8" s="1"/>
  <c r="X9" i="8"/>
  <c r="Y9" i="8" s="1"/>
  <c r="Z9" i="8" s="1"/>
  <c r="S10" i="8"/>
  <c r="T10" i="8" s="1"/>
  <c r="U10" i="8"/>
  <c r="V10" i="8" s="1"/>
  <c r="W10" i="8" s="1"/>
  <c r="X10" i="8"/>
  <c r="Y10" i="8" s="1"/>
  <c r="Z10" i="8" s="1"/>
  <c r="S11" i="8"/>
  <c r="T11" i="8" s="1"/>
  <c r="U11" i="8"/>
  <c r="V11" i="8" s="1"/>
  <c r="W11" i="8" s="1"/>
  <c r="X11" i="8"/>
  <c r="Y11" i="8" s="1"/>
  <c r="Z11" i="8" s="1"/>
  <c r="S12" i="8"/>
  <c r="T12" i="8" s="1"/>
  <c r="U12" i="8"/>
  <c r="V12" i="8" s="1"/>
  <c r="W12" i="8" s="1"/>
  <c r="X12" i="8"/>
  <c r="Y12" i="8" s="1"/>
  <c r="Z12" i="8" s="1"/>
  <c r="U13" i="8"/>
  <c r="V13" i="8" s="1"/>
  <c r="W13" i="8" s="1"/>
  <c r="X13" i="8"/>
  <c r="Y13" i="8" s="1"/>
  <c r="Z13" i="8" s="1"/>
  <c r="U14" i="8"/>
  <c r="V14" i="8" s="1"/>
  <c r="W14" i="8" s="1"/>
  <c r="X14" i="8"/>
  <c r="Y14" i="8" s="1"/>
  <c r="Z14" i="8" s="1"/>
  <c r="U15" i="8"/>
  <c r="V15" i="8" s="1"/>
  <c r="W15" i="8" s="1"/>
  <c r="X15" i="8"/>
  <c r="Y15" i="8" s="1"/>
  <c r="Z15" i="8" s="1"/>
  <c r="S16" i="8"/>
  <c r="T16" i="8" s="1"/>
  <c r="U16" i="8"/>
  <c r="V16" i="8" s="1"/>
  <c r="W16" i="8" s="1"/>
  <c r="X16" i="8"/>
  <c r="Y16" i="8" s="1"/>
  <c r="Z16" i="8" s="1"/>
  <c r="U17" i="8"/>
  <c r="V17" i="8" s="1"/>
  <c r="W17" i="8" s="1"/>
  <c r="X17" i="8"/>
  <c r="Y17" i="8" s="1"/>
  <c r="Z17" i="8" s="1"/>
  <c r="S18" i="8"/>
  <c r="T18" i="8" s="1"/>
  <c r="U18" i="8"/>
  <c r="V18" i="8" s="1"/>
  <c r="W18" i="8" s="1"/>
  <c r="X18" i="8"/>
  <c r="Y18" i="8" s="1"/>
  <c r="Z18" i="8" s="1"/>
  <c r="S19" i="8"/>
  <c r="T19" i="8" s="1"/>
  <c r="U19" i="8"/>
  <c r="V19" i="8" s="1"/>
  <c r="W19" i="8" s="1"/>
  <c r="X19" i="8"/>
  <c r="Y19" i="8" s="1"/>
  <c r="Z19" i="8" s="1"/>
  <c r="U20" i="8"/>
  <c r="V20" i="8" s="1"/>
  <c r="W20" i="8" s="1"/>
  <c r="X20" i="8"/>
  <c r="Y20" i="8" s="1"/>
  <c r="Z20" i="8" s="1"/>
  <c r="U21" i="8"/>
  <c r="V21" i="8" s="1"/>
  <c r="W21" i="8" s="1"/>
  <c r="X21" i="8"/>
  <c r="Y21" i="8" s="1"/>
  <c r="Z21" i="8" s="1"/>
  <c r="U22" i="8"/>
  <c r="V22" i="8" s="1"/>
  <c r="W22" i="8" s="1"/>
  <c r="X22" i="8"/>
  <c r="Y22" i="8" s="1"/>
  <c r="Z22" i="8" s="1"/>
  <c r="S23" i="8"/>
  <c r="T23" i="8" s="1"/>
  <c r="U23" i="8"/>
  <c r="V23" i="8" s="1"/>
  <c r="W23" i="8" s="1"/>
  <c r="X23" i="8"/>
  <c r="Y23" i="8" s="1"/>
  <c r="Z23" i="8" s="1"/>
  <c r="S24" i="8"/>
  <c r="T24" i="8" s="1"/>
  <c r="U24" i="8"/>
  <c r="V24" i="8" s="1"/>
  <c r="W24" i="8" s="1"/>
  <c r="X24" i="8"/>
  <c r="Y24" i="8" s="1"/>
  <c r="Z24" i="8" s="1"/>
  <c r="U25" i="8"/>
  <c r="V25" i="8" s="1"/>
  <c r="W25" i="8" s="1"/>
  <c r="X25" i="8"/>
  <c r="Y25" i="8" s="1"/>
  <c r="Z25" i="8" s="1"/>
  <c r="S26" i="8"/>
  <c r="T26" i="8" s="1"/>
  <c r="U26" i="8"/>
  <c r="V26" i="8" s="1"/>
  <c r="W26" i="8" s="1"/>
  <c r="X26" i="8"/>
  <c r="Y26" i="8" s="1"/>
  <c r="Z26" i="8" s="1"/>
  <c r="U27" i="8"/>
  <c r="V27" i="8" s="1"/>
  <c r="W27" i="8" s="1"/>
  <c r="X27" i="8"/>
  <c r="Y27" i="8" s="1"/>
  <c r="Z27" i="8" s="1"/>
  <c r="U28" i="8"/>
  <c r="V28" i="8" s="1"/>
  <c r="W28" i="8" s="1"/>
  <c r="X28" i="8"/>
  <c r="Y28" i="8" s="1"/>
  <c r="Z28" i="8" s="1"/>
  <c r="U29" i="8"/>
  <c r="V29" i="8" s="1"/>
  <c r="W29" i="8" s="1"/>
  <c r="X29" i="8"/>
  <c r="Y29" i="8" s="1"/>
  <c r="Z29" i="8" s="1"/>
  <c r="S30" i="8"/>
  <c r="T30" i="8" s="1"/>
  <c r="U30" i="8"/>
  <c r="V30" i="8" s="1"/>
  <c r="W30" i="8" s="1"/>
  <c r="X30" i="8"/>
  <c r="Y30" i="8" s="1"/>
  <c r="Z30" i="8" s="1"/>
  <c r="S31" i="8"/>
  <c r="T31" i="8" s="1"/>
  <c r="U31" i="8"/>
  <c r="V31" i="8" s="1"/>
  <c r="W31" i="8" s="1"/>
  <c r="X31" i="8"/>
  <c r="Y31" i="8" s="1"/>
  <c r="Z31" i="8" s="1"/>
  <c r="S32" i="8"/>
  <c r="T32" i="8" s="1"/>
  <c r="U32" i="8"/>
  <c r="V32" i="8" s="1"/>
  <c r="W32" i="8" s="1"/>
  <c r="X32" i="8"/>
  <c r="Y32" i="8" s="1"/>
  <c r="Z32" i="8" s="1"/>
  <c r="U33" i="8"/>
  <c r="V33" i="8" s="1"/>
  <c r="W33" i="8" s="1"/>
  <c r="X33" i="8"/>
  <c r="Y33" i="8" s="1"/>
  <c r="Z33" i="8" s="1"/>
  <c r="S34" i="8"/>
  <c r="T34" i="8" s="1"/>
  <c r="U34" i="8"/>
  <c r="V34" i="8" s="1"/>
  <c r="W34" i="8" s="1"/>
  <c r="X34" i="8"/>
  <c r="Y34" i="8" s="1"/>
  <c r="Z34" i="8" s="1"/>
  <c r="S35" i="8"/>
  <c r="T35" i="8" s="1"/>
  <c r="U35" i="8"/>
  <c r="V35" i="8" s="1"/>
  <c r="W35" i="8" s="1"/>
  <c r="X35" i="8"/>
  <c r="Y35" i="8" s="1"/>
  <c r="Z35" i="8" s="1"/>
  <c r="X5" i="8"/>
  <c r="Y5" i="8" s="1"/>
  <c r="Z5" i="8" s="1"/>
  <c r="U5" i="8"/>
  <c r="V5" i="8" s="1"/>
  <c r="W5" i="8" s="1"/>
  <c r="O5" i="8"/>
  <c r="S5" i="8"/>
  <c r="T5" i="8" s="1"/>
  <c r="AB16" i="9" l="1"/>
  <c r="AC16" i="9" s="1"/>
  <c r="AD16" i="9" s="1"/>
  <c r="AB29" i="8"/>
  <c r="AB21" i="8"/>
  <c r="AB13" i="8"/>
  <c r="AB25" i="8"/>
  <c r="C21" i="8"/>
  <c r="D21" i="8" s="1"/>
  <c r="AB9" i="5"/>
  <c r="AC9" i="5" s="1"/>
  <c r="AD9" i="5" s="1"/>
  <c r="AB15" i="8"/>
  <c r="AB33" i="8"/>
  <c r="AB9" i="8"/>
  <c r="P33" i="8"/>
  <c r="Q33" i="8" s="1"/>
  <c r="P9" i="8"/>
  <c r="Q9" i="8" s="1"/>
  <c r="AB17" i="8"/>
  <c r="C29" i="8"/>
  <c r="D29" i="8" s="1"/>
  <c r="AB5" i="12"/>
  <c r="AB35" i="12" s="1"/>
  <c r="AB33" i="12"/>
  <c r="AC33" i="12" s="1"/>
  <c r="AD33" i="12" s="1"/>
  <c r="AB20" i="12"/>
  <c r="AC20" i="12" s="1"/>
  <c r="AD20" i="12" s="1"/>
  <c r="J5" i="12"/>
  <c r="J35" i="12" s="1"/>
  <c r="I35" i="12"/>
  <c r="AB23" i="8"/>
  <c r="AB28" i="11"/>
  <c r="AC28" i="11" s="1"/>
  <c r="AD28" i="11" s="1"/>
  <c r="AB20" i="11"/>
  <c r="AC20" i="11" s="1"/>
  <c r="AD20" i="11" s="1"/>
  <c r="C15" i="8"/>
  <c r="AC15" i="8" s="1"/>
  <c r="AB12" i="9"/>
  <c r="AC12" i="9" s="1"/>
  <c r="AD12" i="9" s="1"/>
  <c r="AB10" i="9"/>
  <c r="AC10" i="9" s="1"/>
  <c r="AD10" i="9" s="1"/>
  <c r="AB33" i="16"/>
  <c r="AC33" i="16" s="1"/>
  <c r="AD33" i="16" s="1"/>
  <c r="AB6" i="11"/>
  <c r="AC6" i="11" s="1"/>
  <c r="AD6" i="11" s="1"/>
  <c r="AB10" i="11"/>
  <c r="AC10" i="11" s="1"/>
  <c r="AD10" i="11" s="1"/>
  <c r="AB31" i="8"/>
  <c r="AB14" i="8"/>
  <c r="AB26" i="9"/>
  <c r="AC26" i="9" s="1"/>
  <c r="AD26" i="9" s="1"/>
  <c r="R35" i="12"/>
  <c r="AB17" i="16"/>
  <c r="AC17" i="16" s="1"/>
  <c r="AD17" i="16" s="1"/>
  <c r="AB7" i="8"/>
  <c r="AB5" i="16"/>
  <c r="AC5" i="16" s="1"/>
  <c r="AD5" i="16" s="1"/>
  <c r="AB5" i="8"/>
  <c r="AB30" i="8"/>
  <c r="AB22" i="8"/>
  <c r="AD18" i="8"/>
  <c r="AB6" i="8"/>
  <c r="AB8" i="8"/>
  <c r="AB23" i="11"/>
  <c r="AC23" i="11" s="1"/>
  <c r="AD23" i="11" s="1"/>
  <c r="C30" i="8"/>
  <c r="AC30" i="8" s="1"/>
  <c r="C6" i="8"/>
  <c r="AC6" i="8" s="1"/>
  <c r="AB28" i="12"/>
  <c r="AC28" i="12" s="1"/>
  <c r="AD28" i="12" s="1"/>
  <c r="AB7" i="12"/>
  <c r="AC7" i="12" s="1"/>
  <c r="AD7" i="12" s="1"/>
  <c r="AB28" i="5"/>
  <c r="AC28" i="5" s="1"/>
  <c r="AD28" i="5" s="1"/>
  <c r="AB23" i="5"/>
  <c r="AC23" i="5" s="1"/>
  <c r="AD23" i="5" s="1"/>
  <c r="AB14" i="5"/>
  <c r="AC14" i="5" s="1"/>
  <c r="AD14" i="5" s="1"/>
  <c r="AB24" i="8"/>
  <c r="AB25" i="9"/>
  <c r="AC25" i="9" s="1"/>
  <c r="AD25" i="9" s="1"/>
  <c r="AB24" i="9"/>
  <c r="AC24" i="9" s="1"/>
  <c r="AD24" i="9" s="1"/>
  <c r="AB30" i="11"/>
  <c r="AC30" i="11" s="1"/>
  <c r="AD30" i="11" s="1"/>
  <c r="AB17" i="9"/>
  <c r="AC17" i="9" s="1"/>
  <c r="AD17" i="9" s="1"/>
  <c r="AB9" i="9"/>
  <c r="AC9" i="9" s="1"/>
  <c r="AD9" i="9" s="1"/>
  <c r="AB16" i="16"/>
  <c r="AC16" i="16" s="1"/>
  <c r="AD16" i="16" s="1"/>
  <c r="P33" i="12"/>
  <c r="Q33" i="12" s="1"/>
  <c r="AB31" i="12"/>
  <c r="AC31" i="12" s="1"/>
  <c r="AD31" i="12" s="1"/>
  <c r="AB6" i="5"/>
  <c r="AC6" i="5" s="1"/>
  <c r="AD6" i="5" s="1"/>
  <c r="C16" i="11"/>
  <c r="D16" i="11" s="1"/>
  <c r="AB16" i="11"/>
  <c r="AC16" i="11" s="1"/>
  <c r="AD16" i="11" s="1"/>
  <c r="AB33" i="9"/>
  <c r="AC33" i="9" s="1"/>
  <c r="AD33" i="9" s="1"/>
  <c r="AB23" i="9"/>
  <c r="AC23" i="9" s="1"/>
  <c r="AD23" i="9" s="1"/>
  <c r="C25" i="9"/>
  <c r="D25" i="9" s="1"/>
  <c r="C24" i="9"/>
  <c r="D24" i="9" s="1"/>
  <c r="C25" i="12"/>
  <c r="D25" i="12" s="1"/>
  <c r="AB25" i="12"/>
  <c r="AC25" i="12" s="1"/>
  <c r="AD25" i="12" s="1"/>
  <c r="AB30" i="9"/>
  <c r="AC30" i="9" s="1"/>
  <c r="AD30" i="9" s="1"/>
  <c r="AB22" i="9"/>
  <c r="AC22" i="9" s="1"/>
  <c r="AD22" i="9" s="1"/>
  <c r="AB15" i="9"/>
  <c r="AC15" i="9" s="1"/>
  <c r="AD15" i="9" s="1"/>
  <c r="AB6" i="9"/>
  <c r="AC6" i="9" s="1"/>
  <c r="AD6" i="9" s="1"/>
  <c r="AB5" i="9"/>
  <c r="AC5" i="9" s="1"/>
  <c r="AC35" i="9" s="1"/>
  <c r="AD35" i="9" s="1"/>
  <c r="AB30" i="5"/>
  <c r="AC30" i="5" s="1"/>
  <c r="AD30" i="5" s="1"/>
  <c r="AB27" i="9"/>
  <c r="AC27" i="9" s="1"/>
  <c r="AD27" i="9" s="1"/>
  <c r="AB18" i="9"/>
  <c r="AC18" i="9" s="1"/>
  <c r="AD18" i="9" s="1"/>
  <c r="C25" i="16"/>
  <c r="D25" i="16" s="1"/>
  <c r="AB25" i="16"/>
  <c r="AC25" i="16" s="1"/>
  <c r="AD25" i="16" s="1"/>
  <c r="AB26" i="5"/>
  <c r="AC26" i="5" s="1"/>
  <c r="AD26" i="5" s="1"/>
  <c r="P26" i="5"/>
  <c r="Q26" i="5" s="1"/>
  <c r="P24" i="5"/>
  <c r="Q24" i="5" s="1"/>
  <c r="AB24" i="5"/>
  <c r="AC24" i="5" s="1"/>
  <c r="AD24" i="5" s="1"/>
  <c r="AB18" i="11"/>
  <c r="AC18" i="11" s="1"/>
  <c r="AD18" i="11" s="1"/>
  <c r="AB17" i="11"/>
  <c r="AC17" i="11" s="1"/>
  <c r="AD17" i="11" s="1"/>
  <c r="AB18" i="12"/>
  <c r="AC18" i="12" s="1"/>
  <c r="AD18" i="12" s="1"/>
  <c r="AB12" i="5"/>
  <c r="AC12" i="5" s="1"/>
  <c r="AD12" i="5" s="1"/>
  <c r="AB28" i="16"/>
  <c r="AC28" i="16" s="1"/>
  <c r="AD28" i="16" s="1"/>
  <c r="AB29" i="11"/>
  <c r="AC29" i="11" s="1"/>
  <c r="AD29" i="11" s="1"/>
  <c r="AB22" i="5"/>
  <c r="AC22" i="5" s="1"/>
  <c r="AD22" i="5" s="1"/>
  <c r="AB18" i="16"/>
  <c r="AC18" i="16" s="1"/>
  <c r="AD18" i="16" s="1"/>
  <c r="AB31" i="11"/>
  <c r="AC31" i="11" s="1"/>
  <c r="AD31" i="11" s="1"/>
  <c r="AB21" i="11"/>
  <c r="AC21" i="11" s="1"/>
  <c r="AD21" i="11" s="1"/>
  <c r="AB13" i="11"/>
  <c r="AC13" i="11" s="1"/>
  <c r="AD13" i="11" s="1"/>
  <c r="AB32" i="9"/>
  <c r="AC32" i="9" s="1"/>
  <c r="AD32" i="9" s="1"/>
  <c r="AB34" i="9"/>
  <c r="AC34" i="9" s="1"/>
  <c r="AD34" i="9" s="1"/>
  <c r="AB7" i="9"/>
  <c r="AC7" i="9" s="1"/>
  <c r="AD7" i="9" s="1"/>
  <c r="AB31" i="16"/>
  <c r="AC31" i="16" s="1"/>
  <c r="AD31" i="16" s="1"/>
  <c r="AB22" i="16"/>
  <c r="AC22" i="16" s="1"/>
  <c r="AD22" i="16" s="1"/>
  <c r="C6" i="16"/>
  <c r="D6" i="16" s="1"/>
  <c r="AB6" i="16"/>
  <c r="AC6" i="16" s="1"/>
  <c r="AD6" i="16" s="1"/>
  <c r="C32" i="11"/>
  <c r="D32" i="11" s="1"/>
  <c r="AB32" i="11"/>
  <c r="AC32" i="11" s="1"/>
  <c r="AD32" i="11" s="1"/>
  <c r="AB26" i="11"/>
  <c r="AC26" i="11" s="1"/>
  <c r="AD26" i="11" s="1"/>
  <c r="P26" i="11"/>
  <c r="Q26" i="11" s="1"/>
  <c r="C15" i="16"/>
  <c r="D15" i="16" s="1"/>
  <c r="AB15" i="16"/>
  <c r="AC15" i="16" s="1"/>
  <c r="AD15" i="16" s="1"/>
  <c r="P5" i="8"/>
  <c r="Q5" i="8" s="1"/>
  <c r="AD5" i="8" s="1"/>
  <c r="AB31" i="9"/>
  <c r="AC31" i="9" s="1"/>
  <c r="AD31" i="9" s="1"/>
  <c r="AB14" i="9"/>
  <c r="AC14" i="9" s="1"/>
  <c r="AD14" i="9" s="1"/>
  <c r="AB8" i="9"/>
  <c r="AC8" i="9" s="1"/>
  <c r="AD8" i="9" s="1"/>
  <c r="AB30" i="16"/>
  <c r="AC30" i="16" s="1"/>
  <c r="AD30" i="16" s="1"/>
  <c r="AB24" i="16"/>
  <c r="AC24" i="16" s="1"/>
  <c r="AD24" i="16" s="1"/>
  <c r="C14" i="16"/>
  <c r="D14" i="16" s="1"/>
  <c r="AB14" i="16"/>
  <c r="AC14" i="16" s="1"/>
  <c r="AD14" i="16" s="1"/>
  <c r="C7" i="16"/>
  <c r="D7" i="16" s="1"/>
  <c r="AB7" i="16"/>
  <c r="AC7" i="16" s="1"/>
  <c r="AD7" i="16" s="1"/>
  <c r="AB14" i="11"/>
  <c r="AC14" i="11" s="1"/>
  <c r="AD14" i="11" s="1"/>
  <c r="P14" i="11"/>
  <c r="Q14" i="11" s="1"/>
  <c r="C7" i="11"/>
  <c r="D7" i="11" s="1"/>
  <c r="AB7" i="11"/>
  <c r="AC7" i="11" s="1"/>
  <c r="AD7" i="11" s="1"/>
  <c r="P22" i="12"/>
  <c r="Q22" i="12" s="1"/>
  <c r="AB22" i="12"/>
  <c r="AC22" i="12" s="1"/>
  <c r="AD22" i="12" s="1"/>
  <c r="C15" i="12"/>
  <c r="D15" i="12" s="1"/>
  <c r="AB15" i="12"/>
  <c r="AC15" i="12" s="1"/>
  <c r="AD15" i="12" s="1"/>
  <c r="AB34" i="16"/>
  <c r="AC34" i="16" s="1"/>
  <c r="AD34" i="16" s="1"/>
  <c r="AB26" i="16"/>
  <c r="AC26" i="16" s="1"/>
  <c r="AD26" i="16" s="1"/>
  <c r="AB23" i="16"/>
  <c r="AC23" i="16" s="1"/>
  <c r="AD23" i="16" s="1"/>
  <c r="AB20" i="16"/>
  <c r="AC20" i="16" s="1"/>
  <c r="AD20" i="16" s="1"/>
  <c r="P18" i="16"/>
  <c r="Q18" i="16" s="1"/>
  <c r="AB9" i="16"/>
  <c r="AC9" i="16" s="1"/>
  <c r="AD9" i="16" s="1"/>
  <c r="AB8" i="16"/>
  <c r="AC8" i="16" s="1"/>
  <c r="AD8" i="16" s="1"/>
  <c r="AB33" i="11"/>
  <c r="AC33" i="11" s="1"/>
  <c r="AD33" i="11" s="1"/>
  <c r="AB22" i="11"/>
  <c r="AC22" i="11" s="1"/>
  <c r="AD22" i="11" s="1"/>
  <c r="C21" i="11"/>
  <c r="D21" i="11" s="1"/>
  <c r="AB16" i="12"/>
  <c r="AC16" i="12" s="1"/>
  <c r="AD16" i="12" s="1"/>
  <c r="P14" i="12"/>
  <c r="Q14" i="12" s="1"/>
  <c r="AB14" i="12"/>
  <c r="AC14" i="12" s="1"/>
  <c r="AD14" i="12" s="1"/>
  <c r="AB10" i="12"/>
  <c r="AC10" i="12" s="1"/>
  <c r="AD10" i="12" s="1"/>
  <c r="P10" i="12"/>
  <c r="Q10" i="12" s="1"/>
  <c r="C33" i="5"/>
  <c r="D33" i="5" s="1"/>
  <c r="AB33" i="5"/>
  <c r="AC33" i="5" s="1"/>
  <c r="AD33" i="5" s="1"/>
  <c r="AB12" i="16"/>
  <c r="AC12" i="16" s="1"/>
  <c r="AD12" i="16" s="1"/>
  <c r="AB15" i="11"/>
  <c r="AC15" i="11" s="1"/>
  <c r="AD15" i="11" s="1"/>
  <c r="AB32" i="16"/>
  <c r="AC32" i="16" s="1"/>
  <c r="AD32" i="16" s="1"/>
  <c r="AB10" i="16"/>
  <c r="AC10" i="16" s="1"/>
  <c r="AD10" i="16" s="1"/>
  <c r="P17" i="11"/>
  <c r="Q17" i="11" s="1"/>
  <c r="C23" i="12"/>
  <c r="D23" i="12" s="1"/>
  <c r="AB23" i="12"/>
  <c r="AC23" i="12" s="1"/>
  <c r="AD23" i="12" s="1"/>
  <c r="P17" i="12"/>
  <c r="Q17" i="12" s="1"/>
  <c r="AB17" i="12"/>
  <c r="AC17" i="12" s="1"/>
  <c r="AD17" i="12" s="1"/>
  <c r="AB12" i="11"/>
  <c r="AC12" i="11" s="1"/>
  <c r="AD12" i="11" s="1"/>
  <c r="AB9" i="11"/>
  <c r="AC9" i="11" s="1"/>
  <c r="AD9" i="11" s="1"/>
  <c r="AB8" i="11"/>
  <c r="AC8" i="11" s="1"/>
  <c r="AD8" i="11" s="1"/>
  <c r="AB34" i="5"/>
  <c r="AC34" i="5" s="1"/>
  <c r="AD34" i="5" s="1"/>
  <c r="P34" i="5"/>
  <c r="Q34" i="5" s="1"/>
  <c r="P25" i="5"/>
  <c r="Q25" i="5" s="1"/>
  <c r="AB25" i="5"/>
  <c r="AC25" i="5" s="1"/>
  <c r="AD25" i="5" s="1"/>
  <c r="AB18" i="5"/>
  <c r="AC18" i="5" s="1"/>
  <c r="AD18" i="5" s="1"/>
  <c r="P18" i="5"/>
  <c r="Q18" i="5" s="1"/>
  <c r="AB25" i="11"/>
  <c r="AC25" i="11" s="1"/>
  <c r="AD25" i="11" s="1"/>
  <c r="AB24" i="11"/>
  <c r="AC24" i="11" s="1"/>
  <c r="AD24" i="11" s="1"/>
  <c r="AB32" i="12"/>
  <c r="AC32" i="12" s="1"/>
  <c r="AD32" i="12" s="1"/>
  <c r="AB30" i="12"/>
  <c r="AC30" i="12" s="1"/>
  <c r="AD30" i="12" s="1"/>
  <c r="AB24" i="12"/>
  <c r="AC24" i="12" s="1"/>
  <c r="AD24" i="12" s="1"/>
  <c r="P18" i="12"/>
  <c r="Q18" i="12" s="1"/>
  <c r="K35" i="12"/>
  <c r="AB12" i="12"/>
  <c r="AC12" i="12" s="1"/>
  <c r="AD12" i="12" s="1"/>
  <c r="U35" i="12"/>
  <c r="X35" i="12"/>
  <c r="C9" i="12"/>
  <c r="D9" i="12" s="1"/>
  <c r="AB9" i="12"/>
  <c r="AC9" i="12" s="1"/>
  <c r="AD9" i="12" s="1"/>
  <c r="C32" i="5"/>
  <c r="D32" i="5" s="1"/>
  <c r="AB32" i="5"/>
  <c r="AC32" i="5" s="1"/>
  <c r="AD32" i="5" s="1"/>
  <c r="C6" i="12"/>
  <c r="D6" i="12" s="1"/>
  <c r="AB6" i="12"/>
  <c r="AC6" i="12" s="1"/>
  <c r="AD6" i="12" s="1"/>
  <c r="C31" i="5"/>
  <c r="D31" i="5" s="1"/>
  <c r="AB31" i="5"/>
  <c r="AC31" i="5" s="1"/>
  <c r="AD31" i="5" s="1"/>
  <c r="H35" i="12"/>
  <c r="C22" i="5"/>
  <c r="D22" i="5" s="1"/>
  <c r="AB20" i="5"/>
  <c r="AC20" i="5" s="1"/>
  <c r="AD20" i="5" s="1"/>
  <c r="AB10" i="5"/>
  <c r="AC10" i="5" s="1"/>
  <c r="AD10" i="5" s="1"/>
  <c r="AB8" i="5"/>
  <c r="AC8" i="5" s="1"/>
  <c r="AD8" i="5" s="1"/>
  <c r="AB8" i="12"/>
  <c r="AC8" i="12" s="1"/>
  <c r="AD8" i="12" s="1"/>
  <c r="AB5" i="5"/>
  <c r="AC5" i="5" s="1"/>
  <c r="AD5" i="5" s="1"/>
  <c r="AB17" i="5"/>
  <c r="AC17" i="5" s="1"/>
  <c r="AD17" i="5" s="1"/>
  <c r="AB16" i="5"/>
  <c r="AC16" i="5" s="1"/>
  <c r="AD16" i="5" s="1"/>
  <c r="AB15" i="5"/>
  <c r="AC15" i="5" s="1"/>
  <c r="AD15" i="5" s="1"/>
  <c r="AB7" i="5"/>
  <c r="AC7" i="5" s="1"/>
  <c r="AD7" i="5" s="1"/>
  <c r="L36" i="8"/>
  <c r="M36" i="8" s="1"/>
  <c r="M5" i="8"/>
  <c r="AC13" i="8"/>
  <c r="AD34" i="8"/>
  <c r="AB12" i="8"/>
  <c r="AB20" i="8"/>
  <c r="AB28" i="8"/>
  <c r="AB35" i="5"/>
  <c r="AC35" i="5" s="1"/>
  <c r="AD35" i="5" s="1"/>
  <c r="P28" i="5"/>
  <c r="Q28" i="5" s="1"/>
  <c r="AB27" i="5"/>
  <c r="AC27" i="5" s="1"/>
  <c r="AD27" i="5" s="1"/>
  <c r="P20" i="5"/>
  <c r="Q20" i="5" s="1"/>
  <c r="AB19" i="5"/>
  <c r="AC19" i="5" s="1"/>
  <c r="AD19" i="5" s="1"/>
  <c r="P12" i="5"/>
  <c r="Q12" i="5" s="1"/>
  <c r="AB11" i="5"/>
  <c r="AC11" i="5" s="1"/>
  <c r="AD11" i="5" s="1"/>
  <c r="C8" i="5"/>
  <c r="D8" i="5" s="1"/>
  <c r="AB29" i="5"/>
  <c r="AC29" i="5" s="1"/>
  <c r="AD29" i="5" s="1"/>
  <c r="AB21" i="5"/>
  <c r="AC21" i="5" s="1"/>
  <c r="AD21" i="5" s="1"/>
  <c r="AB13" i="5"/>
  <c r="AC13" i="5" s="1"/>
  <c r="AD13" i="5" s="1"/>
  <c r="P5" i="5"/>
  <c r="Q5" i="5" s="1"/>
  <c r="E35" i="12"/>
  <c r="P28" i="12"/>
  <c r="Q28" i="12" s="1"/>
  <c r="AB27" i="12"/>
  <c r="AC27" i="12" s="1"/>
  <c r="AD27" i="12" s="1"/>
  <c r="C24" i="12"/>
  <c r="D24" i="12" s="1"/>
  <c r="P20" i="12"/>
  <c r="Q20" i="12" s="1"/>
  <c r="AB19" i="12"/>
  <c r="AC19" i="12" s="1"/>
  <c r="AD19" i="12" s="1"/>
  <c r="C16" i="12"/>
  <c r="D16" i="12" s="1"/>
  <c r="L13" i="12"/>
  <c r="M13" i="12" s="1"/>
  <c r="P12" i="12"/>
  <c r="Q12" i="12" s="1"/>
  <c r="AB11" i="12"/>
  <c r="AC11" i="12" s="1"/>
  <c r="AD11" i="12" s="1"/>
  <c r="V10" i="12"/>
  <c r="W10" i="12" s="1"/>
  <c r="Y9" i="12"/>
  <c r="Z9" i="12" s="1"/>
  <c r="C8" i="12"/>
  <c r="D8" i="12" s="1"/>
  <c r="I6" i="12"/>
  <c r="J6" i="12" s="1"/>
  <c r="AB29" i="12"/>
  <c r="AC29" i="12" s="1"/>
  <c r="AD29" i="12" s="1"/>
  <c r="AB21" i="12"/>
  <c r="AC21" i="12" s="1"/>
  <c r="AD21" i="12" s="1"/>
  <c r="AB13" i="12"/>
  <c r="AC13" i="12" s="1"/>
  <c r="AD13" i="12" s="1"/>
  <c r="AB34" i="12"/>
  <c r="AC34" i="12" s="1"/>
  <c r="AD34" i="12" s="1"/>
  <c r="AB26" i="12"/>
  <c r="AC26" i="12" s="1"/>
  <c r="AD26" i="12" s="1"/>
  <c r="B35" i="12"/>
  <c r="O35" i="12"/>
  <c r="C5" i="12"/>
  <c r="L35" i="12"/>
  <c r="M5" i="12"/>
  <c r="M35" i="12" s="1"/>
  <c r="AC5" i="12"/>
  <c r="T5" i="12"/>
  <c r="T35" i="12" s="1"/>
  <c r="S35" i="12"/>
  <c r="V35" i="12"/>
  <c r="W5" i="12"/>
  <c r="W35" i="12" s="1"/>
  <c r="Y35" i="12"/>
  <c r="Z5" i="12"/>
  <c r="Z35" i="12" s="1"/>
  <c r="G5" i="12"/>
  <c r="G35" i="12" s="1"/>
  <c r="P5" i="12"/>
  <c r="AB35" i="11"/>
  <c r="AC35" i="11" s="1"/>
  <c r="AD35" i="11" s="1"/>
  <c r="P28" i="11"/>
  <c r="Q28" i="11" s="1"/>
  <c r="AB27" i="11"/>
  <c r="AC27" i="11" s="1"/>
  <c r="AD27" i="11" s="1"/>
  <c r="C24" i="11"/>
  <c r="D24" i="11" s="1"/>
  <c r="P20" i="11"/>
  <c r="Q20" i="11" s="1"/>
  <c r="AB19" i="11"/>
  <c r="AC19" i="11" s="1"/>
  <c r="AD19" i="11" s="1"/>
  <c r="P12" i="11"/>
  <c r="Q12" i="11" s="1"/>
  <c r="AB11" i="11"/>
  <c r="AC11" i="11" s="1"/>
  <c r="AD11" i="11" s="1"/>
  <c r="P6" i="11"/>
  <c r="Q6" i="11" s="1"/>
  <c r="AB34" i="11"/>
  <c r="AC34" i="11" s="1"/>
  <c r="AD34" i="11" s="1"/>
  <c r="AB5" i="11"/>
  <c r="AC5" i="11" s="1"/>
  <c r="AD5" i="11" s="1"/>
  <c r="AB35" i="16"/>
  <c r="AC35" i="16" s="1"/>
  <c r="AD35" i="16" s="1"/>
  <c r="C32" i="16"/>
  <c r="D32" i="16" s="1"/>
  <c r="P28" i="16"/>
  <c r="Q28" i="16" s="1"/>
  <c r="AB27" i="16"/>
  <c r="AC27" i="16" s="1"/>
  <c r="AD27" i="16" s="1"/>
  <c r="P20" i="16"/>
  <c r="Q20" i="16" s="1"/>
  <c r="AB19" i="16"/>
  <c r="AC19" i="16" s="1"/>
  <c r="AD19" i="16" s="1"/>
  <c r="P12" i="16"/>
  <c r="Q12" i="16" s="1"/>
  <c r="AB11" i="16"/>
  <c r="AC11" i="16" s="1"/>
  <c r="AD11" i="16" s="1"/>
  <c r="C8" i="16"/>
  <c r="D8" i="16" s="1"/>
  <c r="AB29" i="16"/>
  <c r="AC29" i="16" s="1"/>
  <c r="AD29" i="16" s="1"/>
  <c r="AB21" i="16"/>
  <c r="AC21" i="16" s="1"/>
  <c r="AD21" i="16" s="1"/>
  <c r="AB13" i="16"/>
  <c r="AC13" i="16" s="1"/>
  <c r="AD13" i="16" s="1"/>
  <c r="V35" i="9"/>
  <c r="W35" i="9" s="1"/>
  <c r="I35" i="9"/>
  <c r="J35" i="9" s="1"/>
  <c r="Z5" i="9"/>
  <c r="T5" i="9"/>
  <c r="Q5" i="9"/>
  <c r="M5" i="9"/>
  <c r="G5" i="9"/>
  <c r="AB20" i="9"/>
  <c r="AC20" i="9" s="1"/>
  <c r="AD20" i="9" s="1"/>
  <c r="AB28" i="9"/>
  <c r="AC28" i="9" s="1"/>
  <c r="AD28" i="9" s="1"/>
  <c r="AB19" i="9"/>
  <c r="AC19" i="9" s="1"/>
  <c r="AD19" i="9" s="1"/>
  <c r="AB11" i="9"/>
  <c r="AC11" i="9" s="1"/>
  <c r="AD11" i="9" s="1"/>
  <c r="AB29" i="9"/>
  <c r="AC29" i="9" s="1"/>
  <c r="AD29" i="9" s="1"/>
  <c r="AB21" i="9"/>
  <c r="AC21" i="9" s="1"/>
  <c r="AD21" i="9" s="1"/>
  <c r="AB13" i="9"/>
  <c r="AC13" i="9" s="1"/>
  <c r="AD13" i="9" s="1"/>
  <c r="AC25" i="8"/>
  <c r="D25" i="8"/>
  <c r="AD25" i="8" s="1"/>
  <c r="Q10" i="8"/>
  <c r="AD10" i="8" s="1"/>
  <c r="AC10" i="8"/>
  <c r="AC22" i="8"/>
  <c r="D22" i="8"/>
  <c r="AD22" i="8" s="1"/>
  <c r="AC7" i="8"/>
  <c r="D7" i="8"/>
  <c r="AD7" i="8" s="1"/>
  <c r="AC31" i="8"/>
  <c r="D31" i="8"/>
  <c r="AD31" i="8" s="1"/>
  <c r="D16" i="8"/>
  <c r="AD16" i="8" s="1"/>
  <c r="AC16" i="8"/>
  <c r="D32" i="8"/>
  <c r="AD32" i="8" s="1"/>
  <c r="AC32" i="8"/>
  <c r="Q26" i="8"/>
  <c r="AD26" i="8" s="1"/>
  <c r="AC26" i="8"/>
  <c r="Q21" i="8"/>
  <c r="AC21" i="8"/>
  <c r="Q19" i="8"/>
  <c r="AD19" i="8" s="1"/>
  <c r="AC19" i="8"/>
  <c r="Q35" i="8"/>
  <c r="AD35" i="8" s="1"/>
  <c r="AC35" i="8"/>
  <c r="AD29" i="8"/>
  <c r="AC23" i="8"/>
  <c r="D23" i="8"/>
  <c r="AD23" i="8" s="1"/>
  <c r="AC17" i="8"/>
  <c r="D17" i="8"/>
  <c r="AD17" i="8" s="1"/>
  <c r="AC14" i="8"/>
  <c r="D14" i="8"/>
  <c r="AD14" i="8" s="1"/>
  <c r="D33" i="8"/>
  <c r="AC18" i="8"/>
  <c r="AC11" i="8"/>
  <c r="Q11" i="8"/>
  <c r="AD11" i="8" s="1"/>
  <c r="D9" i="8"/>
  <c r="AD9" i="8" s="1"/>
  <c r="AC34" i="8"/>
  <c r="Q27" i="8"/>
  <c r="AD27" i="8" s="1"/>
  <c r="AC27" i="8"/>
  <c r="AB32" i="8"/>
  <c r="AB16" i="8"/>
  <c r="AB35" i="8"/>
  <c r="P28" i="8"/>
  <c r="Q28" i="8" s="1"/>
  <c r="AB27" i="8"/>
  <c r="C24" i="8"/>
  <c r="P20" i="8"/>
  <c r="AB19" i="8"/>
  <c r="D13" i="8"/>
  <c r="AD13" i="8" s="1"/>
  <c r="P12" i="8"/>
  <c r="AB11" i="8"/>
  <c r="C8" i="8"/>
  <c r="AB34" i="8"/>
  <c r="D28" i="8"/>
  <c r="AB26" i="8"/>
  <c r="AB18" i="8"/>
  <c r="AB10" i="8"/>
  <c r="AD21" i="8" l="1"/>
  <c r="AC9" i="8"/>
  <c r="D30" i="8"/>
  <c r="AD30" i="8" s="1"/>
  <c r="AD33" i="8"/>
  <c r="AC33" i="8"/>
  <c r="D15" i="8"/>
  <c r="AD15" i="8" s="1"/>
  <c r="AC29" i="8"/>
  <c r="D6" i="8"/>
  <c r="AD6" i="8" s="1"/>
  <c r="AD5" i="9"/>
  <c r="AC5" i="8"/>
  <c r="AC28" i="8"/>
  <c r="AD28" i="8"/>
  <c r="D5" i="12"/>
  <c r="D35" i="12" s="1"/>
  <c r="C35" i="12"/>
  <c r="Q5" i="12"/>
  <c r="Q35" i="12" s="1"/>
  <c r="P35" i="12"/>
  <c r="AD5" i="12"/>
  <c r="AD35" i="12" s="1"/>
  <c r="AC35" i="12"/>
  <c r="AC20" i="8"/>
  <c r="Q20" i="8"/>
  <c r="AD20" i="8" s="1"/>
  <c r="D24" i="8"/>
  <c r="AD24" i="8" s="1"/>
  <c r="AC24" i="8"/>
  <c r="D8" i="8"/>
  <c r="AD8" i="8" s="1"/>
  <c r="AC8" i="8"/>
  <c r="Q12" i="8"/>
  <c r="AD12" i="8" s="1"/>
  <c r="AC12" i="8"/>
  <c r="H6" i="7" l="1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5" i="7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5" i="7"/>
  <c r="X6" i="7" l="1"/>
  <c r="X7" i="7"/>
  <c r="X8" i="7"/>
  <c r="X9" i="7"/>
  <c r="X10" i="7"/>
  <c r="X11" i="7"/>
  <c r="X12" i="7"/>
  <c r="X13" i="7"/>
  <c r="X14" i="7"/>
  <c r="X15" i="7"/>
  <c r="X16" i="7"/>
  <c r="X17" i="7"/>
  <c r="X18" i="7"/>
  <c r="X19" i="7"/>
  <c r="X20" i="7"/>
  <c r="X21" i="7"/>
  <c r="X22" i="7"/>
  <c r="X23" i="7"/>
  <c r="X24" i="7"/>
  <c r="X25" i="7"/>
  <c r="X26" i="7"/>
  <c r="X27" i="7"/>
  <c r="X28" i="7"/>
  <c r="X29" i="7"/>
  <c r="X30" i="7"/>
  <c r="X31" i="7"/>
  <c r="X32" i="7"/>
  <c r="X33" i="7"/>
  <c r="X34" i="7"/>
  <c r="X5" i="7"/>
  <c r="U6" i="7"/>
  <c r="U7" i="7"/>
  <c r="U8" i="7"/>
  <c r="U9" i="7"/>
  <c r="U10" i="7"/>
  <c r="U11" i="7"/>
  <c r="U12" i="7"/>
  <c r="U13" i="7"/>
  <c r="U14" i="7"/>
  <c r="U15" i="7"/>
  <c r="U16" i="7"/>
  <c r="U17" i="7"/>
  <c r="U18" i="7"/>
  <c r="U19" i="7"/>
  <c r="U20" i="7"/>
  <c r="U21" i="7"/>
  <c r="U22" i="7"/>
  <c r="U23" i="7"/>
  <c r="U24" i="7"/>
  <c r="U25" i="7"/>
  <c r="U26" i="7"/>
  <c r="U27" i="7"/>
  <c r="U28" i="7"/>
  <c r="U29" i="7"/>
  <c r="U30" i="7"/>
  <c r="U31" i="7"/>
  <c r="U32" i="7"/>
  <c r="U33" i="7"/>
  <c r="U34" i="7"/>
  <c r="U5" i="7"/>
  <c r="R6" i="7"/>
  <c r="R7" i="7"/>
  <c r="R8" i="7"/>
  <c r="R9" i="7"/>
  <c r="R10" i="7"/>
  <c r="R11" i="7"/>
  <c r="R12" i="7"/>
  <c r="R13" i="7"/>
  <c r="R14" i="7"/>
  <c r="R15" i="7"/>
  <c r="R16" i="7"/>
  <c r="R17" i="7"/>
  <c r="R18" i="7"/>
  <c r="R19" i="7"/>
  <c r="R20" i="7"/>
  <c r="R21" i="7"/>
  <c r="R22" i="7"/>
  <c r="R23" i="7"/>
  <c r="R24" i="7"/>
  <c r="R25" i="7"/>
  <c r="R26" i="7"/>
  <c r="R27" i="7"/>
  <c r="R28" i="7"/>
  <c r="R29" i="7"/>
  <c r="R30" i="7"/>
  <c r="R31" i="7"/>
  <c r="R32" i="7"/>
  <c r="R33" i="7"/>
  <c r="R34" i="7"/>
  <c r="R5" i="7"/>
  <c r="O6" i="7"/>
  <c r="O7" i="7"/>
  <c r="O8" i="7"/>
  <c r="O9" i="7"/>
  <c r="O10" i="7"/>
  <c r="O11" i="7"/>
  <c r="O12" i="7"/>
  <c r="O13" i="7"/>
  <c r="O14" i="7"/>
  <c r="O15" i="7"/>
  <c r="O16" i="7"/>
  <c r="O17" i="7"/>
  <c r="O18" i="7"/>
  <c r="O19" i="7"/>
  <c r="O20" i="7"/>
  <c r="O21" i="7"/>
  <c r="O22" i="7"/>
  <c r="O23" i="7"/>
  <c r="O24" i="7"/>
  <c r="O25" i="7"/>
  <c r="O26" i="7"/>
  <c r="O27" i="7"/>
  <c r="O28" i="7"/>
  <c r="O29" i="7"/>
  <c r="O30" i="7"/>
  <c r="O31" i="7"/>
  <c r="O32" i="7"/>
  <c r="O33" i="7"/>
  <c r="O34" i="7"/>
  <c r="O5" i="7"/>
  <c r="K6" i="7"/>
  <c r="K7" i="7"/>
  <c r="K8" i="7"/>
  <c r="K9" i="7"/>
  <c r="K10" i="7"/>
  <c r="K11" i="7"/>
  <c r="K12" i="7"/>
  <c r="K13" i="7"/>
  <c r="K14" i="7"/>
  <c r="K15" i="7"/>
  <c r="K16" i="7"/>
  <c r="K17" i="7"/>
  <c r="K18" i="7"/>
  <c r="K19" i="7"/>
  <c r="K20" i="7"/>
  <c r="K21" i="7"/>
  <c r="K22" i="7"/>
  <c r="K23" i="7"/>
  <c r="K24" i="7"/>
  <c r="K25" i="7"/>
  <c r="K26" i="7"/>
  <c r="K27" i="7"/>
  <c r="K28" i="7"/>
  <c r="K29" i="7"/>
  <c r="K30" i="7"/>
  <c r="K31" i="7"/>
  <c r="K32" i="7"/>
  <c r="K33" i="7"/>
  <c r="K34" i="7"/>
  <c r="K5" i="7"/>
  <c r="X7" i="6" l="1"/>
  <c r="X8" i="6"/>
  <c r="X9" i="6"/>
  <c r="X10" i="6"/>
  <c r="X11" i="6"/>
  <c r="X12" i="6"/>
  <c r="X13" i="6"/>
  <c r="X14" i="6"/>
  <c r="X15" i="6"/>
  <c r="X16" i="6"/>
  <c r="X17" i="6"/>
  <c r="X18" i="6"/>
  <c r="X19" i="6"/>
  <c r="X20" i="6"/>
  <c r="X21" i="6"/>
  <c r="X22" i="6"/>
  <c r="X23" i="6"/>
  <c r="X24" i="6"/>
  <c r="X25" i="6"/>
  <c r="X26" i="6"/>
  <c r="X27" i="6"/>
  <c r="X28" i="6"/>
  <c r="X29" i="6"/>
  <c r="X30" i="6"/>
  <c r="X31" i="6"/>
  <c r="X32" i="6"/>
  <c r="X33" i="6"/>
  <c r="X34" i="6"/>
  <c r="X35" i="6"/>
  <c r="X6" i="6"/>
  <c r="X5" i="6"/>
  <c r="U6" i="6"/>
  <c r="U7" i="6"/>
  <c r="U8" i="6"/>
  <c r="U9" i="6"/>
  <c r="U10" i="6"/>
  <c r="U11" i="6"/>
  <c r="U12" i="6"/>
  <c r="U13" i="6"/>
  <c r="U14" i="6"/>
  <c r="U15" i="6"/>
  <c r="U16" i="6"/>
  <c r="U17" i="6"/>
  <c r="U18" i="6"/>
  <c r="U19" i="6"/>
  <c r="U20" i="6"/>
  <c r="U21" i="6"/>
  <c r="U22" i="6"/>
  <c r="U23" i="6"/>
  <c r="U24" i="6"/>
  <c r="U25" i="6"/>
  <c r="U26" i="6"/>
  <c r="U27" i="6"/>
  <c r="U28" i="6"/>
  <c r="U29" i="6"/>
  <c r="U30" i="6"/>
  <c r="U31" i="6"/>
  <c r="U32" i="6"/>
  <c r="U33" i="6"/>
  <c r="U34" i="6"/>
  <c r="U35" i="6"/>
  <c r="U5" i="6"/>
  <c r="R6" i="6"/>
  <c r="R7" i="6"/>
  <c r="R8" i="6"/>
  <c r="R9" i="6"/>
  <c r="R10" i="6"/>
  <c r="R11" i="6"/>
  <c r="R12" i="6"/>
  <c r="R13" i="6"/>
  <c r="R14" i="6"/>
  <c r="R15" i="6"/>
  <c r="R16" i="6"/>
  <c r="R17" i="6"/>
  <c r="R18" i="6"/>
  <c r="R19" i="6"/>
  <c r="R20" i="6"/>
  <c r="R21" i="6"/>
  <c r="R22" i="6"/>
  <c r="R23" i="6"/>
  <c r="R24" i="6"/>
  <c r="R25" i="6"/>
  <c r="R26" i="6"/>
  <c r="R27" i="6"/>
  <c r="R28" i="6"/>
  <c r="R29" i="6"/>
  <c r="R30" i="6"/>
  <c r="R31" i="6"/>
  <c r="R32" i="6"/>
  <c r="R33" i="6"/>
  <c r="R34" i="6"/>
  <c r="R35" i="6"/>
  <c r="R5" i="6"/>
  <c r="O6" i="6"/>
  <c r="O7" i="6"/>
  <c r="O8" i="6"/>
  <c r="O9" i="6"/>
  <c r="O10" i="6"/>
  <c r="O11" i="6"/>
  <c r="O12" i="6"/>
  <c r="O13" i="6"/>
  <c r="O14" i="6"/>
  <c r="O15" i="6"/>
  <c r="O16" i="6"/>
  <c r="O17" i="6"/>
  <c r="O18" i="6"/>
  <c r="O19" i="6"/>
  <c r="O20" i="6"/>
  <c r="O21" i="6"/>
  <c r="O22" i="6"/>
  <c r="O23" i="6"/>
  <c r="O24" i="6"/>
  <c r="O25" i="6"/>
  <c r="O26" i="6"/>
  <c r="O27" i="6"/>
  <c r="O28" i="6"/>
  <c r="O29" i="6"/>
  <c r="O30" i="6"/>
  <c r="O31" i="6"/>
  <c r="O32" i="6"/>
  <c r="O33" i="6"/>
  <c r="O34" i="6"/>
  <c r="O35" i="6"/>
  <c r="O5" i="6"/>
  <c r="K6" i="6"/>
  <c r="K7" i="6"/>
  <c r="K8" i="6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5" i="6"/>
  <c r="AB5" i="6" l="1"/>
  <c r="X6" i="4"/>
  <c r="X7" i="4"/>
  <c r="X8" i="4"/>
  <c r="X9" i="4"/>
  <c r="X10" i="4"/>
  <c r="X11" i="4"/>
  <c r="X12" i="4"/>
  <c r="X13" i="4"/>
  <c r="X14" i="4"/>
  <c r="X15" i="4"/>
  <c r="X16" i="4"/>
  <c r="X17" i="4"/>
  <c r="X18" i="4"/>
  <c r="X19" i="4"/>
  <c r="X20" i="4"/>
  <c r="X21" i="4"/>
  <c r="X22" i="4"/>
  <c r="X23" i="4"/>
  <c r="X24" i="4"/>
  <c r="X25" i="4"/>
  <c r="X26" i="4"/>
  <c r="X27" i="4"/>
  <c r="X28" i="4"/>
  <c r="X29" i="4"/>
  <c r="X30" i="4"/>
  <c r="X31" i="4"/>
  <c r="X32" i="4"/>
  <c r="X5" i="4"/>
  <c r="U6" i="4"/>
  <c r="U7" i="4"/>
  <c r="U8" i="4"/>
  <c r="U9" i="4"/>
  <c r="U10" i="4"/>
  <c r="U11" i="4"/>
  <c r="U12" i="4"/>
  <c r="U13" i="4"/>
  <c r="U14" i="4"/>
  <c r="U15" i="4"/>
  <c r="U16" i="4"/>
  <c r="U17" i="4"/>
  <c r="U18" i="4"/>
  <c r="U19" i="4"/>
  <c r="U20" i="4"/>
  <c r="U21" i="4"/>
  <c r="U22" i="4"/>
  <c r="U23" i="4"/>
  <c r="U24" i="4"/>
  <c r="U25" i="4"/>
  <c r="U26" i="4"/>
  <c r="U27" i="4"/>
  <c r="U28" i="4"/>
  <c r="U29" i="4"/>
  <c r="U30" i="4"/>
  <c r="U31" i="4"/>
  <c r="U32" i="4"/>
  <c r="U5" i="4"/>
  <c r="R6" i="4"/>
  <c r="R7" i="4"/>
  <c r="R8" i="4"/>
  <c r="R9" i="4"/>
  <c r="R10" i="4"/>
  <c r="R11" i="4"/>
  <c r="R12" i="4"/>
  <c r="R13" i="4"/>
  <c r="R14" i="4"/>
  <c r="R15" i="4"/>
  <c r="R16" i="4"/>
  <c r="R17" i="4"/>
  <c r="R18" i="4"/>
  <c r="R19" i="4"/>
  <c r="R20" i="4"/>
  <c r="R21" i="4"/>
  <c r="R22" i="4"/>
  <c r="R23" i="4"/>
  <c r="R24" i="4"/>
  <c r="R25" i="4"/>
  <c r="R26" i="4"/>
  <c r="R27" i="4"/>
  <c r="R28" i="4"/>
  <c r="R29" i="4"/>
  <c r="R30" i="4"/>
  <c r="R31" i="4"/>
  <c r="R32" i="4"/>
  <c r="R5" i="4"/>
  <c r="O6" i="4"/>
  <c r="O7" i="4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5" i="4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5" i="4"/>
  <c r="X6" i="1" l="1"/>
  <c r="Y6" i="1" s="1"/>
  <c r="X7" i="1"/>
  <c r="Y7" i="1" s="1"/>
  <c r="X8" i="1"/>
  <c r="Y8" i="1" s="1"/>
  <c r="X9" i="1"/>
  <c r="Y9" i="1" s="1"/>
  <c r="X10" i="1"/>
  <c r="Y10" i="1" s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5" i="1"/>
  <c r="U6" i="1"/>
  <c r="V6" i="1" s="1"/>
  <c r="U7" i="1"/>
  <c r="V7" i="1" s="1"/>
  <c r="U8" i="1"/>
  <c r="V8" i="1" s="1"/>
  <c r="U9" i="1"/>
  <c r="V9" i="1" s="1"/>
  <c r="U10" i="1"/>
  <c r="V10" i="1" s="1"/>
  <c r="U11" i="1"/>
  <c r="V11" i="1" s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5" i="1"/>
  <c r="R6" i="1"/>
  <c r="S6" i="1" s="1"/>
  <c r="R7" i="1"/>
  <c r="S7" i="1" s="1"/>
  <c r="R8" i="1"/>
  <c r="S8" i="1" s="1"/>
  <c r="R9" i="1"/>
  <c r="S9" i="1" s="1"/>
  <c r="R10" i="1"/>
  <c r="S10" i="1" s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5" i="1"/>
  <c r="O7" i="1"/>
  <c r="P7" i="1" s="1"/>
  <c r="O8" i="1"/>
  <c r="P8" i="1" s="1"/>
  <c r="O9" i="1"/>
  <c r="P9" i="1" s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6" i="1"/>
  <c r="P6" i="1" s="1"/>
  <c r="O5" i="1"/>
  <c r="K6" i="1"/>
  <c r="L6" i="1" s="1"/>
  <c r="K7" i="1"/>
  <c r="L7" i="1" s="1"/>
  <c r="K8" i="1"/>
  <c r="L8" i="1" s="1"/>
  <c r="K9" i="1"/>
  <c r="L9" i="1" s="1"/>
  <c r="K10" i="1"/>
  <c r="L10" i="1" s="1"/>
  <c r="K11" i="1"/>
  <c r="L11" i="1" s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5" i="1"/>
  <c r="H6" i="1"/>
  <c r="I6" i="1" s="1"/>
  <c r="H7" i="1"/>
  <c r="I7" i="1" s="1"/>
  <c r="H8" i="1"/>
  <c r="I8" i="1" s="1"/>
  <c r="H9" i="1"/>
  <c r="I9" i="1" s="1"/>
  <c r="H10" i="1"/>
  <c r="I10" i="1" s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5" i="1"/>
  <c r="E6" i="1"/>
  <c r="F6" i="1" s="1"/>
  <c r="E7" i="1"/>
  <c r="F7" i="1" s="1"/>
  <c r="E8" i="1"/>
  <c r="F8" i="1" s="1"/>
  <c r="E9" i="1"/>
  <c r="F9" i="1" s="1"/>
  <c r="E10" i="1"/>
  <c r="F10" i="1" s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5" i="1"/>
  <c r="B7" i="1"/>
  <c r="C7" i="1" s="1"/>
  <c r="B8" i="1"/>
  <c r="C8" i="1" s="1"/>
  <c r="B9" i="1"/>
  <c r="C9" i="1" s="1"/>
  <c r="B10" i="1"/>
  <c r="C10" i="1" s="1"/>
  <c r="B11" i="1"/>
  <c r="C11" i="1" s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6" i="1"/>
  <c r="C6" i="1" s="1"/>
  <c r="B5" i="1"/>
  <c r="AB5" i="1" l="1"/>
  <c r="I11" i="1"/>
  <c r="I12" i="1" s="1"/>
  <c r="I13" i="1" s="1"/>
  <c r="I14" i="1" s="1"/>
  <c r="I15" i="1" s="1"/>
  <c r="I16" i="1" s="1"/>
  <c r="I17" i="1" s="1"/>
  <c r="I18" i="1" s="1"/>
  <c r="I19" i="1" s="1"/>
  <c r="I20" i="1" s="1"/>
  <c r="I21" i="1" s="1"/>
  <c r="I22" i="1" s="1"/>
  <c r="I23" i="1" s="1"/>
  <c r="I24" i="1" s="1"/>
  <c r="I25" i="1" s="1"/>
  <c r="I26" i="1" s="1"/>
  <c r="I27" i="1" s="1"/>
  <c r="I28" i="1" s="1"/>
  <c r="I29" i="1" s="1"/>
  <c r="I30" i="1" s="1"/>
  <c r="I31" i="1" s="1"/>
  <c r="I32" i="1" s="1"/>
  <c r="I33" i="1" s="1"/>
  <c r="I34" i="1" s="1"/>
  <c r="I35" i="1" s="1"/>
  <c r="P10" i="1"/>
  <c r="P11" i="1" s="1"/>
  <c r="P12" i="1" s="1"/>
  <c r="C12" i="1"/>
  <c r="L12" i="1"/>
  <c r="P13" i="1"/>
  <c r="P14" i="1" s="1"/>
  <c r="P15" i="1" s="1"/>
  <c r="P16" i="1" s="1"/>
  <c r="P17" i="1" s="1"/>
  <c r="P18" i="1" s="1"/>
  <c r="P19" i="1" s="1"/>
  <c r="P20" i="1" s="1"/>
  <c r="P21" i="1" s="1"/>
  <c r="P22" i="1" s="1"/>
  <c r="P23" i="1" s="1"/>
  <c r="P24" i="1" s="1"/>
  <c r="P25" i="1" s="1"/>
  <c r="P26" i="1" s="1"/>
  <c r="P27" i="1" s="1"/>
  <c r="P28" i="1" s="1"/>
  <c r="P29" i="1" s="1"/>
  <c r="P30" i="1" s="1"/>
  <c r="P31" i="1" s="1"/>
  <c r="P32" i="1" s="1"/>
  <c r="P33" i="1" s="1"/>
  <c r="P34" i="1" s="1"/>
  <c r="P35" i="1" s="1"/>
  <c r="F11" i="1"/>
  <c r="F12" i="1" s="1"/>
  <c r="F13" i="1" s="1"/>
  <c r="F14" i="1" s="1"/>
  <c r="F15" i="1" s="1"/>
  <c r="F16" i="1" s="1"/>
  <c r="F17" i="1" s="1"/>
  <c r="F18" i="1" s="1"/>
  <c r="F19" i="1" s="1"/>
  <c r="F20" i="1" s="1"/>
  <c r="F21" i="1" s="1"/>
  <c r="F22" i="1" s="1"/>
  <c r="F23" i="1" s="1"/>
  <c r="F24" i="1" s="1"/>
  <c r="F25" i="1" s="1"/>
  <c r="F26" i="1" s="1"/>
  <c r="F27" i="1" s="1"/>
  <c r="F28" i="1" s="1"/>
  <c r="F29" i="1" s="1"/>
  <c r="F30" i="1" s="1"/>
  <c r="F31" i="1" s="1"/>
  <c r="F32" i="1" s="1"/>
  <c r="F33" i="1" s="1"/>
  <c r="F34" i="1" s="1"/>
  <c r="F35" i="1" s="1"/>
  <c r="S11" i="1"/>
  <c r="S12" i="1" s="1"/>
  <c r="S13" i="1" s="1"/>
  <c r="S14" i="1" s="1"/>
  <c r="S15" i="1" s="1"/>
  <c r="S16" i="1" s="1"/>
  <c r="S17" i="1" s="1"/>
  <c r="S18" i="1" s="1"/>
  <c r="S19" i="1" s="1"/>
  <c r="S20" i="1" s="1"/>
  <c r="S21" i="1" s="1"/>
  <c r="S22" i="1" s="1"/>
  <c r="S23" i="1" s="1"/>
  <c r="S24" i="1" s="1"/>
  <c r="S25" i="1" s="1"/>
  <c r="S26" i="1" s="1"/>
  <c r="S27" i="1" s="1"/>
  <c r="S28" i="1" s="1"/>
  <c r="S29" i="1" s="1"/>
  <c r="S30" i="1" s="1"/>
  <c r="S31" i="1" s="1"/>
  <c r="S32" i="1" s="1"/>
  <c r="S33" i="1" s="1"/>
  <c r="S34" i="1" s="1"/>
  <c r="S35" i="1" s="1"/>
  <c r="L13" i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C13" i="1"/>
  <c r="C14" i="1" s="1"/>
  <c r="C15" i="1" s="1"/>
  <c r="C16" i="1" s="1"/>
  <c r="C17" i="1" s="1"/>
  <c r="C18" i="1" s="1"/>
  <c r="C19" i="1" s="1"/>
  <c r="C20" i="1" s="1"/>
  <c r="C21" i="1" s="1"/>
  <c r="C22" i="1" s="1"/>
  <c r="C23" i="1" s="1"/>
  <c r="C24" i="1" s="1"/>
  <c r="C25" i="1" s="1"/>
  <c r="C26" i="1" s="1"/>
  <c r="C27" i="1" s="1"/>
  <c r="C28" i="1" s="1"/>
  <c r="C29" i="1" s="1"/>
  <c r="C30" i="1" s="1"/>
  <c r="C31" i="1" s="1"/>
  <c r="C32" i="1" s="1"/>
  <c r="C33" i="1" s="1"/>
  <c r="C34" i="1" s="1"/>
  <c r="C35" i="1" s="1"/>
  <c r="V12" i="1"/>
  <c r="V13" i="1" s="1"/>
  <c r="V14" i="1" s="1"/>
  <c r="V15" i="1" s="1"/>
  <c r="V16" i="1" s="1"/>
  <c r="V17" i="1" s="1"/>
  <c r="V18" i="1" s="1"/>
  <c r="V19" i="1" s="1"/>
  <c r="V20" i="1" s="1"/>
  <c r="V21" i="1" s="1"/>
  <c r="V22" i="1" s="1"/>
  <c r="V23" i="1" s="1"/>
  <c r="V24" i="1" s="1"/>
  <c r="V25" i="1" s="1"/>
  <c r="V26" i="1" s="1"/>
  <c r="V27" i="1" s="1"/>
  <c r="V28" i="1" s="1"/>
  <c r="V29" i="1" s="1"/>
  <c r="V30" i="1" s="1"/>
  <c r="V31" i="1" s="1"/>
  <c r="V32" i="1" s="1"/>
  <c r="V33" i="1" s="1"/>
  <c r="V34" i="1" s="1"/>
  <c r="V35" i="1" s="1"/>
  <c r="Y11" i="1"/>
  <c r="Y12" i="1" s="1"/>
  <c r="Y13" i="1" s="1"/>
  <c r="Y14" i="1" s="1"/>
  <c r="Y15" i="1" s="1"/>
  <c r="Y16" i="1" s="1"/>
  <c r="Y17" i="1" s="1"/>
  <c r="Y18" i="1" s="1"/>
  <c r="Y19" i="1" s="1"/>
  <c r="Y20" i="1" s="1"/>
  <c r="Y21" i="1" s="1"/>
  <c r="Y22" i="1" s="1"/>
  <c r="Y23" i="1" s="1"/>
  <c r="Y24" i="1" s="1"/>
  <c r="Y25" i="1" s="1"/>
  <c r="Y26" i="1" s="1"/>
  <c r="Y27" i="1" s="1"/>
  <c r="Y28" i="1" s="1"/>
  <c r="Y29" i="1" s="1"/>
  <c r="Y30" i="1" s="1"/>
  <c r="Y31" i="1" s="1"/>
  <c r="Y32" i="1" s="1"/>
  <c r="Y33" i="1" s="1"/>
  <c r="Y34" i="1" s="1"/>
  <c r="Y35" i="1" s="1"/>
  <c r="X6" i="13"/>
  <c r="X7" i="13"/>
  <c r="X8" i="13"/>
  <c r="X9" i="13"/>
  <c r="X10" i="13"/>
  <c r="X11" i="13"/>
  <c r="X12" i="13"/>
  <c r="X13" i="13"/>
  <c r="X14" i="13"/>
  <c r="X15" i="13"/>
  <c r="X16" i="13"/>
  <c r="X17" i="13"/>
  <c r="X18" i="13"/>
  <c r="X19" i="13"/>
  <c r="X20" i="13"/>
  <c r="X21" i="13"/>
  <c r="X22" i="13"/>
  <c r="X23" i="13"/>
  <c r="X24" i="13"/>
  <c r="X25" i="13"/>
  <c r="X26" i="13"/>
  <c r="X27" i="13"/>
  <c r="X28" i="13"/>
  <c r="X29" i="13"/>
  <c r="X30" i="13"/>
  <c r="X31" i="13"/>
  <c r="X32" i="13"/>
  <c r="X33" i="13"/>
  <c r="X34" i="13"/>
  <c r="X35" i="13"/>
  <c r="X5" i="13"/>
  <c r="X5" i="14"/>
  <c r="X6" i="14"/>
  <c r="X7" i="14"/>
  <c r="X8" i="14"/>
  <c r="X9" i="14"/>
  <c r="X10" i="14"/>
  <c r="X11" i="14"/>
  <c r="X12" i="14"/>
  <c r="X13" i="14"/>
  <c r="X14" i="14"/>
  <c r="X15" i="14"/>
  <c r="X16" i="14"/>
  <c r="X17" i="14"/>
  <c r="X18" i="14"/>
  <c r="X19" i="14"/>
  <c r="X20" i="14"/>
  <c r="X21" i="14"/>
  <c r="X22" i="14"/>
  <c r="X23" i="14"/>
  <c r="X24" i="14"/>
  <c r="X25" i="14"/>
  <c r="X26" i="14"/>
  <c r="X27" i="14"/>
  <c r="X28" i="14"/>
  <c r="X29" i="14"/>
  <c r="X30" i="14"/>
  <c r="X31" i="14"/>
  <c r="X32" i="14"/>
  <c r="X33" i="14"/>
  <c r="X34" i="14"/>
  <c r="U6" i="13"/>
  <c r="U7" i="13"/>
  <c r="U8" i="13"/>
  <c r="U9" i="13"/>
  <c r="U10" i="13"/>
  <c r="U11" i="13"/>
  <c r="U12" i="13"/>
  <c r="U13" i="13"/>
  <c r="U14" i="13"/>
  <c r="U15" i="13"/>
  <c r="U16" i="13"/>
  <c r="U17" i="13"/>
  <c r="U18" i="13"/>
  <c r="U19" i="13"/>
  <c r="U20" i="13"/>
  <c r="U21" i="13"/>
  <c r="U22" i="13"/>
  <c r="U23" i="13"/>
  <c r="U24" i="13"/>
  <c r="U25" i="13"/>
  <c r="U26" i="13"/>
  <c r="U27" i="13"/>
  <c r="U28" i="13"/>
  <c r="U29" i="13"/>
  <c r="U30" i="13"/>
  <c r="U31" i="13"/>
  <c r="U32" i="13"/>
  <c r="U33" i="13"/>
  <c r="U34" i="13"/>
  <c r="U35" i="13"/>
  <c r="U5" i="13"/>
  <c r="U5" i="14"/>
  <c r="R6" i="13"/>
  <c r="R7" i="13"/>
  <c r="R8" i="13"/>
  <c r="R9" i="13"/>
  <c r="R10" i="13"/>
  <c r="R11" i="13"/>
  <c r="R12" i="13"/>
  <c r="R13" i="13"/>
  <c r="R14" i="13"/>
  <c r="R15" i="13"/>
  <c r="R16" i="13"/>
  <c r="R17" i="13"/>
  <c r="R18" i="13"/>
  <c r="R19" i="13"/>
  <c r="R20" i="13"/>
  <c r="R21" i="13"/>
  <c r="R22" i="13"/>
  <c r="R23" i="13"/>
  <c r="R24" i="13"/>
  <c r="R25" i="13"/>
  <c r="R26" i="13"/>
  <c r="R27" i="13"/>
  <c r="R28" i="13"/>
  <c r="R29" i="13"/>
  <c r="R30" i="13"/>
  <c r="R31" i="13"/>
  <c r="R32" i="13"/>
  <c r="R33" i="13"/>
  <c r="R34" i="13"/>
  <c r="R35" i="13"/>
  <c r="R5" i="13"/>
  <c r="R5" i="14"/>
  <c r="O6" i="13"/>
  <c r="O7" i="13"/>
  <c r="O8" i="13"/>
  <c r="O9" i="13"/>
  <c r="O10" i="13"/>
  <c r="O11" i="13"/>
  <c r="O12" i="13"/>
  <c r="O13" i="13"/>
  <c r="O14" i="13"/>
  <c r="O15" i="13"/>
  <c r="O16" i="13"/>
  <c r="O17" i="13"/>
  <c r="O18" i="13"/>
  <c r="O19" i="13"/>
  <c r="O20" i="13"/>
  <c r="O21" i="13"/>
  <c r="O22" i="13"/>
  <c r="O23" i="13"/>
  <c r="O24" i="13"/>
  <c r="O25" i="13"/>
  <c r="O26" i="13"/>
  <c r="O27" i="13"/>
  <c r="O28" i="13"/>
  <c r="O29" i="13"/>
  <c r="O30" i="13"/>
  <c r="O31" i="13"/>
  <c r="O32" i="13"/>
  <c r="O33" i="13"/>
  <c r="O34" i="13"/>
  <c r="O35" i="13"/>
  <c r="O5" i="13"/>
  <c r="O5" i="14"/>
  <c r="O6" i="14"/>
  <c r="O7" i="14"/>
  <c r="O8" i="14"/>
  <c r="O9" i="14"/>
  <c r="O10" i="14"/>
  <c r="O11" i="14"/>
  <c r="O12" i="14"/>
  <c r="O13" i="14"/>
  <c r="O14" i="14"/>
  <c r="O15" i="14"/>
  <c r="O16" i="14"/>
  <c r="O17" i="14"/>
  <c r="O18" i="14"/>
  <c r="O19" i="14"/>
  <c r="O20" i="14"/>
  <c r="O21" i="14"/>
  <c r="O22" i="14"/>
  <c r="O23" i="14"/>
  <c r="O24" i="14"/>
  <c r="O25" i="14"/>
  <c r="O26" i="14"/>
  <c r="O27" i="14"/>
  <c r="O28" i="14"/>
  <c r="O29" i="14"/>
  <c r="O30" i="14"/>
  <c r="O31" i="14"/>
  <c r="O32" i="14"/>
  <c r="O33" i="14"/>
  <c r="O34" i="14"/>
  <c r="K6" i="13"/>
  <c r="K7" i="13"/>
  <c r="K8" i="13"/>
  <c r="K9" i="13"/>
  <c r="K10" i="13"/>
  <c r="K11" i="13"/>
  <c r="K12" i="13"/>
  <c r="K13" i="13"/>
  <c r="K14" i="13"/>
  <c r="K15" i="13"/>
  <c r="K16" i="13"/>
  <c r="K17" i="13"/>
  <c r="K18" i="13"/>
  <c r="K19" i="13"/>
  <c r="K20" i="13"/>
  <c r="K21" i="13"/>
  <c r="K22" i="13"/>
  <c r="K23" i="13"/>
  <c r="K24" i="13"/>
  <c r="K25" i="13"/>
  <c r="K26" i="13"/>
  <c r="K27" i="13"/>
  <c r="K28" i="13"/>
  <c r="K29" i="13"/>
  <c r="K30" i="13"/>
  <c r="K31" i="13"/>
  <c r="K32" i="13"/>
  <c r="K33" i="13"/>
  <c r="K34" i="13"/>
  <c r="K35" i="13"/>
  <c r="K5" i="13"/>
  <c r="K5" i="14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5" i="13"/>
  <c r="H5" i="14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0" i="14"/>
  <c r="K21" i="14"/>
  <c r="K22" i="14"/>
  <c r="K23" i="14"/>
  <c r="K24" i="14"/>
  <c r="K25" i="14"/>
  <c r="K26" i="14"/>
  <c r="K27" i="14"/>
  <c r="K28" i="14"/>
  <c r="K29" i="14"/>
  <c r="K30" i="14"/>
  <c r="K31" i="14"/>
  <c r="K32" i="14"/>
  <c r="K33" i="14"/>
  <c r="K34" i="14"/>
  <c r="K3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H19" i="14"/>
  <c r="H20" i="14"/>
  <c r="H21" i="14"/>
  <c r="H22" i="14"/>
  <c r="H23" i="14"/>
  <c r="H24" i="14"/>
  <c r="H25" i="14"/>
  <c r="H26" i="14"/>
  <c r="H27" i="14"/>
  <c r="H28" i="14"/>
  <c r="H29" i="14"/>
  <c r="H30" i="14"/>
  <c r="H31" i="14"/>
  <c r="H32" i="14"/>
  <c r="H33" i="14"/>
  <c r="H34" i="14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5" i="13"/>
  <c r="B6" i="13"/>
  <c r="B7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5" i="13"/>
  <c r="U6" i="14"/>
  <c r="U7" i="14"/>
  <c r="U8" i="14"/>
  <c r="U9" i="14"/>
  <c r="U10" i="14"/>
  <c r="U11" i="14"/>
  <c r="U12" i="14"/>
  <c r="U13" i="14"/>
  <c r="U14" i="14"/>
  <c r="U15" i="14"/>
  <c r="U16" i="14"/>
  <c r="U17" i="14"/>
  <c r="U18" i="14"/>
  <c r="U19" i="14"/>
  <c r="U20" i="14"/>
  <c r="U21" i="14"/>
  <c r="U22" i="14"/>
  <c r="U23" i="14"/>
  <c r="U24" i="14"/>
  <c r="U25" i="14"/>
  <c r="U26" i="14"/>
  <c r="U27" i="14"/>
  <c r="U28" i="14"/>
  <c r="U29" i="14"/>
  <c r="U30" i="14"/>
  <c r="U31" i="14"/>
  <c r="U32" i="14"/>
  <c r="U33" i="14"/>
  <c r="U34" i="14"/>
  <c r="R6" i="14"/>
  <c r="R7" i="14"/>
  <c r="R8" i="14"/>
  <c r="R9" i="14"/>
  <c r="R10" i="14"/>
  <c r="R11" i="14"/>
  <c r="R12" i="14"/>
  <c r="R13" i="14"/>
  <c r="R14" i="14"/>
  <c r="R15" i="14"/>
  <c r="R16" i="14"/>
  <c r="R17" i="14"/>
  <c r="R18" i="14"/>
  <c r="R19" i="14"/>
  <c r="R20" i="14"/>
  <c r="R21" i="14"/>
  <c r="R22" i="14"/>
  <c r="R23" i="14"/>
  <c r="R24" i="14"/>
  <c r="R25" i="14"/>
  <c r="R26" i="14"/>
  <c r="R27" i="14"/>
  <c r="R28" i="14"/>
  <c r="R29" i="14"/>
  <c r="R30" i="14"/>
  <c r="R31" i="14"/>
  <c r="R32" i="14"/>
  <c r="R33" i="14"/>
  <c r="R34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B30" i="14"/>
  <c r="B31" i="14"/>
  <c r="B32" i="14"/>
  <c r="B33" i="14"/>
  <c r="B34" i="14"/>
  <c r="B5" i="14"/>
  <c r="E6" i="14"/>
  <c r="E7" i="14"/>
  <c r="E8" i="14"/>
  <c r="E9" i="14"/>
  <c r="E10" i="14"/>
  <c r="E11" i="14"/>
  <c r="E12" i="14"/>
  <c r="E13" i="14"/>
  <c r="E14" i="14"/>
  <c r="E15" i="14"/>
  <c r="E16" i="14"/>
  <c r="E17" i="14"/>
  <c r="E18" i="14"/>
  <c r="E19" i="14"/>
  <c r="E20" i="14"/>
  <c r="E21" i="14"/>
  <c r="E22" i="14"/>
  <c r="E23" i="14"/>
  <c r="E24" i="14"/>
  <c r="E25" i="14"/>
  <c r="E26" i="14"/>
  <c r="E27" i="14"/>
  <c r="E28" i="14"/>
  <c r="E29" i="14"/>
  <c r="E30" i="14"/>
  <c r="E31" i="14"/>
  <c r="E32" i="14"/>
  <c r="E33" i="14"/>
  <c r="E34" i="14"/>
  <c r="E5" i="14"/>
  <c r="Y6" i="7" l="1"/>
  <c r="Z6" i="7" s="1"/>
  <c r="Y7" i="7"/>
  <c r="Z7" i="7" s="1"/>
  <c r="Y8" i="7"/>
  <c r="Z8" i="7" s="1"/>
  <c r="Y9" i="7"/>
  <c r="Y10" i="7"/>
  <c r="Z10" i="7" s="1"/>
  <c r="Y11" i="7"/>
  <c r="Z11" i="7" s="1"/>
  <c r="Y12" i="7"/>
  <c r="Z12" i="7" s="1"/>
  <c r="Y13" i="7"/>
  <c r="Z13" i="7" s="1"/>
  <c r="Y14" i="7"/>
  <c r="Z14" i="7" s="1"/>
  <c r="Y15" i="7"/>
  <c r="Z15" i="7" s="1"/>
  <c r="Y16" i="7"/>
  <c r="Z16" i="7" s="1"/>
  <c r="Y17" i="7"/>
  <c r="Z17" i="7" s="1"/>
  <c r="Y18" i="7"/>
  <c r="Z18" i="7" s="1"/>
  <c r="Y19" i="7"/>
  <c r="Z19" i="7" s="1"/>
  <c r="Y20" i="7"/>
  <c r="Z20" i="7" s="1"/>
  <c r="Y21" i="7"/>
  <c r="Z21" i="7" s="1"/>
  <c r="Y22" i="7"/>
  <c r="Z22" i="7" s="1"/>
  <c r="Y23" i="7"/>
  <c r="Z23" i="7" s="1"/>
  <c r="Y24" i="7"/>
  <c r="Z24" i="7" s="1"/>
  <c r="Y25" i="7"/>
  <c r="Z25" i="7" s="1"/>
  <c r="Y26" i="7"/>
  <c r="Z26" i="7" s="1"/>
  <c r="Y27" i="7"/>
  <c r="Z27" i="7" s="1"/>
  <c r="Y28" i="7"/>
  <c r="Z28" i="7" s="1"/>
  <c r="Y29" i="7"/>
  <c r="Z29" i="7" s="1"/>
  <c r="Y30" i="7"/>
  <c r="Z30" i="7" s="1"/>
  <c r="Y31" i="7"/>
  <c r="Z31" i="7" s="1"/>
  <c r="Y32" i="7"/>
  <c r="Z32" i="7" s="1"/>
  <c r="Y33" i="7"/>
  <c r="Z33" i="7" s="1"/>
  <c r="Y34" i="7"/>
  <c r="Z34" i="7" s="1"/>
  <c r="Y5" i="7"/>
  <c r="Z5" i="7" s="1"/>
  <c r="V6" i="7"/>
  <c r="W6" i="7" s="1"/>
  <c r="V7" i="7"/>
  <c r="W7" i="7" s="1"/>
  <c r="V8" i="7"/>
  <c r="W8" i="7" s="1"/>
  <c r="V9" i="7"/>
  <c r="W9" i="7" s="1"/>
  <c r="V10" i="7"/>
  <c r="W10" i="7" s="1"/>
  <c r="V11" i="7"/>
  <c r="W11" i="7" s="1"/>
  <c r="V12" i="7"/>
  <c r="W12" i="7" s="1"/>
  <c r="V13" i="7"/>
  <c r="W13" i="7" s="1"/>
  <c r="V14" i="7"/>
  <c r="W14" i="7" s="1"/>
  <c r="V15" i="7"/>
  <c r="W15" i="7" s="1"/>
  <c r="V16" i="7"/>
  <c r="W16" i="7" s="1"/>
  <c r="V17" i="7"/>
  <c r="W17" i="7" s="1"/>
  <c r="V18" i="7"/>
  <c r="W18" i="7" s="1"/>
  <c r="V19" i="7"/>
  <c r="W19" i="7" s="1"/>
  <c r="V20" i="7"/>
  <c r="W20" i="7" s="1"/>
  <c r="V21" i="7"/>
  <c r="W21" i="7" s="1"/>
  <c r="V22" i="7"/>
  <c r="W22" i="7" s="1"/>
  <c r="V23" i="7"/>
  <c r="W23" i="7" s="1"/>
  <c r="V24" i="7"/>
  <c r="W24" i="7" s="1"/>
  <c r="V25" i="7"/>
  <c r="W25" i="7" s="1"/>
  <c r="V26" i="7"/>
  <c r="W26" i="7" s="1"/>
  <c r="V27" i="7"/>
  <c r="W27" i="7" s="1"/>
  <c r="V28" i="7"/>
  <c r="W28" i="7" s="1"/>
  <c r="V29" i="7"/>
  <c r="W29" i="7" s="1"/>
  <c r="V30" i="7"/>
  <c r="W30" i="7" s="1"/>
  <c r="V31" i="7"/>
  <c r="W31" i="7" s="1"/>
  <c r="V32" i="7"/>
  <c r="W32" i="7" s="1"/>
  <c r="V33" i="7"/>
  <c r="W33" i="7" s="1"/>
  <c r="V34" i="7"/>
  <c r="W34" i="7" s="1"/>
  <c r="V5" i="7"/>
  <c r="W5" i="7" s="1"/>
  <c r="S6" i="7"/>
  <c r="T6" i="7" s="1"/>
  <c r="S7" i="7"/>
  <c r="T7" i="7" s="1"/>
  <c r="S8" i="7"/>
  <c r="T8" i="7" s="1"/>
  <c r="S9" i="7"/>
  <c r="T9" i="7" s="1"/>
  <c r="S10" i="7"/>
  <c r="T10" i="7" s="1"/>
  <c r="S11" i="7"/>
  <c r="T11" i="7" s="1"/>
  <c r="S12" i="7"/>
  <c r="T12" i="7" s="1"/>
  <c r="S13" i="7"/>
  <c r="T13" i="7" s="1"/>
  <c r="S14" i="7"/>
  <c r="T14" i="7" s="1"/>
  <c r="S15" i="7"/>
  <c r="T15" i="7" s="1"/>
  <c r="S16" i="7"/>
  <c r="T16" i="7" s="1"/>
  <c r="S17" i="7"/>
  <c r="T17" i="7" s="1"/>
  <c r="S18" i="7"/>
  <c r="T18" i="7" s="1"/>
  <c r="S19" i="7"/>
  <c r="T19" i="7" s="1"/>
  <c r="S20" i="7"/>
  <c r="T20" i="7" s="1"/>
  <c r="S21" i="7"/>
  <c r="T21" i="7" s="1"/>
  <c r="S22" i="7"/>
  <c r="T22" i="7" s="1"/>
  <c r="S23" i="7"/>
  <c r="T23" i="7" s="1"/>
  <c r="S24" i="7"/>
  <c r="T24" i="7" s="1"/>
  <c r="S25" i="7"/>
  <c r="T25" i="7" s="1"/>
  <c r="S26" i="7"/>
  <c r="T26" i="7" s="1"/>
  <c r="S27" i="7"/>
  <c r="T27" i="7" s="1"/>
  <c r="S28" i="7"/>
  <c r="T28" i="7" s="1"/>
  <c r="S29" i="7"/>
  <c r="T29" i="7" s="1"/>
  <c r="S30" i="7"/>
  <c r="T30" i="7" s="1"/>
  <c r="S31" i="7"/>
  <c r="T31" i="7" s="1"/>
  <c r="S32" i="7"/>
  <c r="T32" i="7" s="1"/>
  <c r="S33" i="7"/>
  <c r="T33" i="7" s="1"/>
  <c r="S34" i="7"/>
  <c r="T34" i="7" s="1"/>
  <c r="S5" i="7"/>
  <c r="T5" i="7" s="1"/>
  <c r="P6" i="7"/>
  <c r="Q6" i="7" s="1"/>
  <c r="P7" i="7"/>
  <c r="Q7" i="7" s="1"/>
  <c r="P8" i="7"/>
  <c r="Q8" i="7" s="1"/>
  <c r="P9" i="7"/>
  <c r="Q9" i="7" s="1"/>
  <c r="P10" i="7"/>
  <c r="Q10" i="7" s="1"/>
  <c r="P11" i="7"/>
  <c r="Q11" i="7" s="1"/>
  <c r="P12" i="7"/>
  <c r="Q12" i="7" s="1"/>
  <c r="P13" i="7"/>
  <c r="Q13" i="7" s="1"/>
  <c r="P14" i="7"/>
  <c r="Q14" i="7" s="1"/>
  <c r="P15" i="7"/>
  <c r="Q15" i="7" s="1"/>
  <c r="P16" i="7"/>
  <c r="Q16" i="7" s="1"/>
  <c r="P17" i="7"/>
  <c r="Q17" i="7" s="1"/>
  <c r="P18" i="7"/>
  <c r="Q18" i="7" s="1"/>
  <c r="P19" i="7"/>
  <c r="Q19" i="7" s="1"/>
  <c r="P20" i="7"/>
  <c r="Q20" i="7" s="1"/>
  <c r="P21" i="7"/>
  <c r="Q21" i="7" s="1"/>
  <c r="P22" i="7"/>
  <c r="Q22" i="7" s="1"/>
  <c r="P23" i="7"/>
  <c r="Q23" i="7" s="1"/>
  <c r="P24" i="7"/>
  <c r="P25" i="7"/>
  <c r="Q25" i="7" s="1"/>
  <c r="P26" i="7"/>
  <c r="Q26" i="7" s="1"/>
  <c r="P27" i="7"/>
  <c r="Q27" i="7" s="1"/>
  <c r="P28" i="7"/>
  <c r="Q28" i="7" s="1"/>
  <c r="P29" i="7"/>
  <c r="Q29" i="7" s="1"/>
  <c r="P30" i="7"/>
  <c r="Q30" i="7" s="1"/>
  <c r="P31" i="7"/>
  <c r="Q31" i="7" s="1"/>
  <c r="P32" i="7"/>
  <c r="Q32" i="7" s="1"/>
  <c r="P33" i="7"/>
  <c r="Q33" i="7" s="1"/>
  <c r="P34" i="7"/>
  <c r="Q34" i="7" s="1"/>
  <c r="P5" i="7"/>
  <c r="Q5" i="7" s="1"/>
  <c r="L6" i="7"/>
  <c r="M6" i="7" s="1"/>
  <c r="L7" i="7"/>
  <c r="M7" i="7" s="1"/>
  <c r="L8" i="7"/>
  <c r="M8" i="7" s="1"/>
  <c r="L9" i="7"/>
  <c r="L10" i="7"/>
  <c r="M10" i="7" s="1"/>
  <c r="L11" i="7"/>
  <c r="M11" i="7" s="1"/>
  <c r="L12" i="7"/>
  <c r="M12" i="7" s="1"/>
  <c r="L13" i="7"/>
  <c r="M13" i="7" s="1"/>
  <c r="L14" i="7"/>
  <c r="M14" i="7" s="1"/>
  <c r="L15" i="7"/>
  <c r="M15" i="7" s="1"/>
  <c r="L16" i="7"/>
  <c r="M16" i="7" s="1"/>
  <c r="L17" i="7"/>
  <c r="M17" i="7" s="1"/>
  <c r="L18" i="7"/>
  <c r="M18" i="7" s="1"/>
  <c r="L19" i="7"/>
  <c r="M19" i="7" s="1"/>
  <c r="L20" i="7"/>
  <c r="M20" i="7" s="1"/>
  <c r="L21" i="7"/>
  <c r="M21" i="7" s="1"/>
  <c r="L22" i="7"/>
  <c r="M22" i="7" s="1"/>
  <c r="L23" i="7"/>
  <c r="M23" i="7" s="1"/>
  <c r="L24" i="7"/>
  <c r="M24" i="7" s="1"/>
  <c r="L25" i="7"/>
  <c r="M25" i="7" s="1"/>
  <c r="L26" i="7"/>
  <c r="M26" i="7" s="1"/>
  <c r="L27" i="7"/>
  <c r="M27" i="7" s="1"/>
  <c r="L28" i="7"/>
  <c r="M28" i="7" s="1"/>
  <c r="L29" i="7"/>
  <c r="M29" i="7" s="1"/>
  <c r="L30" i="7"/>
  <c r="M30" i="7" s="1"/>
  <c r="L31" i="7"/>
  <c r="M31" i="7" s="1"/>
  <c r="L32" i="7"/>
  <c r="M32" i="7" s="1"/>
  <c r="L33" i="7"/>
  <c r="M33" i="7" s="1"/>
  <c r="L34" i="7"/>
  <c r="M34" i="7" s="1"/>
  <c r="L5" i="7"/>
  <c r="M5" i="7" s="1"/>
  <c r="I6" i="7"/>
  <c r="J6" i="7" s="1"/>
  <c r="I7" i="7"/>
  <c r="J7" i="7" s="1"/>
  <c r="I8" i="7"/>
  <c r="J8" i="7" s="1"/>
  <c r="I9" i="7"/>
  <c r="J9" i="7" s="1"/>
  <c r="I10" i="7"/>
  <c r="J10" i="7" s="1"/>
  <c r="I11" i="7"/>
  <c r="J11" i="7" s="1"/>
  <c r="I12" i="7"/>
  <c r="J12" i="7" s="1"/>
  <c r="I13" i="7"/>
  <c r="J13" i="7" s="1"/>
  <c r="I14" i="7"/>
  <c r="J14" i="7" s="1"/>
  <c r="I15" i="7"/>
  <c r="J15" i="7" s="1"/>
  <c r="I16" i="7"/>
  <c r="J16" i="7" s="1"/>
  <c r="I17" i="7"/>
  <c r="J17" i="7" s="1"/>
  <c r="I18" i="7"/>
  <c r="J18" i="7" s="1"/>
  <c r="I19" i="7"/>
  <c r="J19" i="7" s="1"/>
  <c r="I20" i="7"/>
  <c r="J20" i="7" s="1"/>
  <c r="I21" i="7"/>
  <c r="J21" i="7" s="1"/>
  <c r="I22" i="7"/>
  <c r="J22" i="7" s="1"/>
  <c r="I23" i="7"/>
  <c r="J23" i="7" s="1"/>
  <c r="I24" i="7"/>
  <c r="J24" i="7" s="1"/>
  <c r="I25" i="7"/>
  <c r="J25" i="7" s="1"/>
  <c r="I26" i="7"/>
  <c r="J26" i="7" s="1"/>
  <c r="I27" i="7"/>
  <c r="J27" i="7" s="1"/>
  <c r="I28" i="7"/>
  <c r="J28" i="7" s="1"/>
  <c r="I29" i="7"/>
  <c r="J29" i="7" s="1"/>
  <c r="I30" i="7"/>
  <c r="J30" i="7" s="1"/>
  <c r="I31" i="7"/>
  <c r="J31" i="7" s="1"/>
  <c r="I32" i="7"/>
  <c r="J32" i="7" s="1"/>
  <c r="I33" i="7"/>
  <c r="J33" i="7" s="1"/>
  <c r="I34" i="7"/>
  <c r="J34" i="7" s="1"/>
  <c r="I5" i="7"/>
  <c r="F6" i="7"/>
  <c r="G6" i="7" s="1"/>
  <c r="F7" i="7"/>
  <c r="G7" i="7" s="1"/>
  <c r="F8" i="7"/>
  <c r="G8" i="7" s="1"/>
  <c r="F9" i="7"/>
  <c r="G9" i="7" s="1"/>
  <c r="F10" i="7"/>
  <c r="G10" i="7" s="1"/>
  <c r="F11" i="7"/>
  <c r="G11" i="7" s="1"/>
  <c r="F12" i="7"/>
  <c r="G12" i="7" s="1"/>
  <c r="F13" i="7"/>
  <c r="G13" i="7" s="1"/>
  <c r="F14" i="7"/>
  <c r="G14" i="7" s="1"/>
  <c r="F15" i="7"/>
  <c r="G15" i="7" s="1"/>
  <c r="F16" i="7"/>
  <c r="G16" i="7" s="1"/>
  <c r="F17" i="7"/>
  <c r="G17" i="7" s="1"/>
  <c r="F18" i="7"/>
  <c r="G18" i="7" s="1"/>
  <c r="F19" i="7"/>
  <c r="G19" i="7" s="1"/>
  <c r="F20" i="7"/>
  <c r="G20" i="7" s="1"/>
  <c r="F21" i="7"/>
  <c r="G21" i="7" s="1"/>
  <c r="F22" i="7"/>
  <c r="G22" i="7" s="1"/>
  <c r="F23" i="7"/>
  <c r="G23" i="7" s="1"/>
  <c r="F24" i="7"/>
  <c r="G24" i="7" s="1"/>
  <c r="F25" i="7"/>
  <c r="G25" i="7" s="1"/>
  <c r="F26" i="7"/>
  <c r="G26" i="7" s="1"/>
  <c r="F27" i="7"/>
  <c r="G27" i="7" s="1"/>
  <c r="F28" i="7"/>
  <c r="G28" i="7" s="1"/>
  <c r="F29" i="7"/>
  <c r="G29" i="7" s="1"/>
  <c r="F30" i="7"/>
  <c r="G30" i="7" s="1"/>
  <c r="F31" i="7"/>
  <c r="G31" i="7" s="1"/>
  <c r="F32" i="7"/>
  <c r="G32" i="7" s="1"/>
  <c r="F33" i="7"/>
  <c r="G33" i="7" s="1"/>
  <c r="F34" i="7"/>
  <c r="G34" i="7" s="1"/>
  <c r="F5" i="7"/>
  <c r="G5" i="7" s="1"/>
  <c r="AB6" i="7"/>
  <c r="AB8" i="7"/>
  <c r="C12" i="7"/>
  <c r="D12" i="7" s="1"/>
  <c r="AB16" i="7"/>
  <c r="AB20" i="7"/>
  <c r="AB22" i="7"/>
  <c r="C24" i="7"/>
  <c r="D24" i="7" s="1"/>
  <c r="AB28" i="7"/>
  <c r="AB32" i="7"/>
  <c r="Y6" i="6"/>
  <c r="Z6" i="6" s="1"/>
  <c r="Y7" i="6"/>
  <c r="Z7" i="6" s="1"/>
  <c r="Y8" i="6"/>
  <c r="Z8" i="6" s="1"/>
  <c r="Y9" i="6"/>
  <c r="Z9" i="6" s="1"/>
  <c r="Y10" i="6"/>
  <c r="Z10" i="6" s="1"/>
  <c r="Y11" i="6"/>
  <c r="Z11" i="6" s="1"/>
  <c r="Y12" i="6"/>
  <c r="Z12" i="6" s="1"/>
  <c r="Y13" i="6"/>
  <c r="Z13" i="6" s="1"/>
  <c r="Y14" i="6"/>
  <c r="Z14" i="6" s="1"/>
  <c r="Y15" i="6"/>
  <c r="Z15" i="6" s="1"/>
  <c r="Y16" i="6"/>
  <c r="Z16" i="6" s="1"/>
  <c r="Y17" i="6"/>
  <c r="Z17" i="6" s="1"/>
  <c r="Y18" i="6"/>
  <c r="Z18" i="6" s="1"/>
  <c r="Y19" i="6"/>
  <c r="Z19" i="6" s="1"/>
  <c r="Y20" i="6"/>
  <c r="Z20" i="6" s="1"/>
  <c r="Y21" i="6"/>
  <c r="Z21" i="6" s="1"/>
  <c r="Y22" i="6"/>
  <c r="Z22" i="6" s="1"/>
  <c r="Y23" i="6"/>
  <c r="Z23" i="6" s="1"/>
  <c r="Y24" i="6"/>
  <c r="Z24" i="6" s="1"/>
  <c r="Y25" i="6"/>
  <c r="Z25" i="6" s="1"/>
  <c r="Y26" i="6"/>
  <c r="Z26" i="6" s="1"/>
  <c r="Y27" i="6"/>
  <c r="Z27" i="6" s="1"/>
  <c r="Y28" i="6"/>
  <c r="Z28" i="6" s="1"/>
  <c r="Y29" i="6"/>
  <c r="Z29" i="6" s="1"/>
  <c r="Y30" i="6"/>
  <c r="Z30" i="6" s="1"/>
  <c r="Y31" i="6"/>
  <c r="Z31" i="6" s="1"/>
  <c r="Y32" i="6"/>
  <c r="Z32" i="6" s="1"/>
  <c r="Y33" i="6"/>
  <c r="Z33" i="6" s="1"/>
  <c r="Y34" i="6"/>
  <c r="Z34" i="6" s="1"/>
  <c r="Y35" i="6"/>
  <c r="Z35" i="6" s="1"/>
  <c r="Y5" i="6"/>
  <c r="Z5" i="6" s="1"/>
  <c r="V6" i="6"/>
  <c r="W6" i="6" s="1"/>
  <c r="V7" i="6"/>
  <c r="W7" i="6" s="1"/>
  <c r="V8" i="6"/>
  <c r="W8" i="6" s="1"/>
  <c r="V9" i="6"/>
  <c r="W9" i="6" s="1"/>
  <c r="V10" i="6"/>
  <c r="W10" i="6" s="1"/>
  <c r="V11" i="6"/>
  <c r="W11" i="6" s="1"/>
  <c r="V12" i="6"/>
  <c r="W12" i="6" s="1"/>
  <c r="V13" i="6"/>
  <c r="W13" i="6" s="1"/>
  <c r="V14" i="6"/>
  <c r="W14" i="6" s="1"/>
  <c r="V15" i="6"/>
  <c r="W15" i="6" s="1"/>
  <c r="V16" i="6"/>
  <c r="W16" i="6" s="1"/>
  <c r="V17" i="6"/>
  <c r="W17" i="6" s="1"/>
  <c r="V18" i="6"/>
  <c r="W18" i="6" s="1"/>
  <c r="V19" i="6"/>
  <c r="W19" i="6" s="1"/>
  <c r="V20" i="6"/>
  <c r="W20" i="6" s="1"/>
  <c r="V21" i="6"/>
  <c r="W21" i="6" s="1"/>
  <c r="V22" i="6"/>
  <c r="W22" i="6" s="1"/>
  <c r="V23" i="6"/>
  <c r="W23" i="6" s="1"/>
  <c r="V24" i="6"/>
  <c r="W24" i="6" s="1"/>
  <c r="V25" i="6"/>
  <c r="W25" i="6" s="1"/>
  <c r="V26" i="6"/>
  <c r="W26" i="6" s="1"/>
  <c r="V27" i="6"/>
  <c r="W27" i="6" s="1"/>
  <c r="V28" i="6"/>
  <c r="W28" i="6" s="1"/>
  <c r="V29" i="6"/>
  <c r="W29" i="6" s="1"/>
  <c r="V30" i="6"/>
  <c r="W30" i="6" s="1"/>
  <c r="V31" i="6"/>
  <c r="W31" i="6" s="1"/>
  <c r="V32" i="6"/>
  <c r="W32" i="6" s="1"/>
  <c r="V33" i="6"/>
  <c r="W33" i="6" s="1"/>
  <c r="V34" i="6"/>
  <c r="W34" i="6" s="1"/>
  <c r="V35" i="6"/>
  <c r="W35" i="6" s="1"/>
  <c r="V5" i="6"/>
  <c r="W5" i="6" s="1"/>
  <c r="S6" i="6"/>
  <c r="T6" i="6" s="1"/>
  <c r="S7" i="6"/>
  <c r="T7" i="6" s="1"/>
  <c r="S8" i="6"/>
  <c r="T8" i="6" s="1"/>
  <c r="S9" i="6"/>
  <c r="T9" i="6" s="1"/>
  <c r="S10" i="6"/>
  <c r="T10" i="6" s="1"/>
  <c r="S11" i="6"/>
  <c r="T11" i="6" s="1"/>
  <c r="S12" i="6"/>
  <c r="T12" i="6" s="1"/>
  <c r="S13" i="6"/>
  <c r="T13" i="6" s="1"/>
  <c r="S14" i="6"/>
  <c r="T14" i="6" s="1"/>
  <c r="S15" i="6"/>
  <c r="T15" i="6" s="1"/>
  <c r="S16" i="6"/>
  <c r="T16" i="6" s="1"/>
  <c r="S17" i="6"/>
  <c r="T17" i="6" s="1"/>
  <c r="S18" i="6"/>
  <c r="T18" i="6" s="1"/>
  <c r="S19" i="6"/>
  <c r="T19" i="6" s="1"/>
  <c r="S20" i="6"/>
  <c r="T20" i="6" s="1"/>
  <c r="S21" i="6"/>
  <c r="T21" i="6" s="1"/>
  <c r="S22" i="6"/>
  <c r="T22" i="6" s="1"/>
  <c r="S23" i="6"/>
  <c r="T23" i="6" s="1"/>
  <c r="S24" i="6"/>
  <c r="T24" i="6" s="1"/>
  <c r="S25" i="6"/>
  <c r="T25" i="6" s="1"/>
  <c r="S26" i="6"/>
  <c r="T26" i="6" s="1"/>
  <c r="S27" i="6"/>
  <c r="T27" i="6" s="1"/>
  <c r="S28" i="6"/>
  <c r="T28" i="6" s="1"/>
  <c r="S29" i="6"/>
  <c r="T29" i="6" s="1"/>
  <c r="S30" i="6"/>
  <c r="T30" i="6" s="1"/>
  <c r="S31" i="6"/>
  <c r="T31" i="6" s="1"/>
  <c r="S32" i="6"/>
  <c r="T32" i="6" s="1"/>
  <c r="S33" i="6"/>
  <c r="T33" i="6" s="1"/>
  <c r="S34" i="6"/>
  <c r="T34" i="6" s="1"/>
  <c r="S35" i="6"/>
  <c r="T35" i="6" s="1"/>
  <c r="S5" i="6"/>
  <c r="T5" i="6" s="1"/>
  <c r="P6" i="6"/>
  <c r="Q6" i="6" s="1"/>
  <c r="P7" i="6"/>
  <c r="Q7" i="6" s="1"/>
  <c r="P8" i="6"/>
  <c r="Q8" i="6" s="1"/>
  <c r="P9" i="6"/>
  <c r="Q9" i="6" s="1"/>
  <c r="P10" i="6"/>
  <c r="P11" i="6"/>
  <c r="Q11" i="6" s="1"/>
  <c r="P12" i="6"/>
  <c r="Q12" i="6" s="1"/>
  <c r="P13" i="6"/>
  <c r="Q13" i="6" s="1"/>
  <c r="P14" i="6"/>
  <c r="Q14" i="6" s="1"/>
  <c r="P15" i="6"/>
  <c r="Q15" i="6" s="1"/>
  <c r="P16" i="6"/>
  <c r="Q16" i="6" s="1"/>
  <c r="P17" i="6"/>
  <c r="Q17" i="6" s="1"/>
  <c r="P18" i="6"/>
  <c r="Q18" i="6" s="1"/>
  <c r="P19" i="6"/>
  <c r="Q19" i="6" s="1"/>
  <c r="P20" i="6"/>
  <c r="Q20" i="6" s="1"/>
  <c r="P21" i="6"/>
  <c r="Q21" i="6" s="1"/>
  <c r="P22" i="6"/>
  <c r="Q22" i="6" s="1"/>
  <c r="P23" i="6"/>
  <c r="Q23" i="6" s="1"/>
  <c r="P24" i="6"/>
  <c r="Q24" i="6" s="1"/>
  <c r="P25" i="6"/>
  <c r="P26" i="6"/>
  <c r="Q26" i="6" s="1"/>
  <c r="P27" i="6"/>
  <c r="Q27" i="6" s="1"/>
  <c r="P28" i="6"/>
  <c r="Q28" i="6" s="1"/>
  <c r="P29" i="6"/>
  <c r="Q29" i="6" s="1"/>
  <c r="P30" i="6"/>
  <c r="Q30" i="6" s="1"/>
  <c r="P31" i="6"/>
  <c r="Q31" i="6" s="1"/>
  <c r="P32" i="6"/>
  <c r="Q32" i="6" s="1"/>
  <c r="P33" i="6"/>
  <c r="Q33" i="6" s="1"/>
  <c r="P34" i="6"/>
  <c r="Q34" i="6" s="1"/>
  <c r="P35" i="6"/>
  <c r="Q35" i="6" s="1"/>
  <c r="P5" i="6"/>
  <c r="Q5" i="6" s="1"/>
  <c r="L6" i="6"/>
  <c r="M6" i="6" s="1"/>
  <c r="L7" i="6"/>
  <c r="M7" i="6" s="1"/>
  <c r="L8" i="6"/>
  <c r="M8" i="6" s="1"/>
  <c r="L9" i="6"/>
  <c r="M9" i="6" s="1"/>
  <c r="L10" i="6"/>
  <c r="M10" i="6" s="1"/>
  <c r="L11" i="6"/>
  <c r="M11" i="6" s="1"/>
  <c r="L12" i="6"/>
  <c r="M12" i="6" s="1"/>
  <c r="L13" i="6"/>
  <c r="M13" i="6" s="1"/>
  <c r="L14" i="6"/>
  <c r="M14" i="6" s="1"/>
  <c r="L15" i="6"/>
  <c r="M15" i="6" s="1"/>
  <c r="L16" i="6"/>
  <c r="M16" i="6" s="1"/>
  <c r="L17" i="6"/>
  <c r="M17" i="6" s="1"/>
  <c r="L18" i="6"/>
  <c r="M18" i="6" s="1"/>
  <c r="L19" i="6"/>
  <c r="M19" i="6" s="1"/>
  <c r="L20" i="6"/>
  <c r="M20" i="6" s="1"/>
  <c r="L21" i="6"/>
  <c r="M21" i="6" s="1"/>
  <c r="L22" i="6"/>
  <c r="M22" i="6" s="1"/>
  <c r="L23" i="6"/>
  <c r="M23" i="6" s="1"/>
  <c r="L24" i="6"/>
  <c r="M24" i="6" s="1"/>
  <c r="L25" i="6"/>
  <c r="M25" i="6" s="1"/>
  <c r="L26" i="6"/>
  <c r="M26" i="6" s="1"/>
  <c r="L27" i="6"/>
  <c r="M27" i="6" s="1"/>
  <c r="L28" i="6"/>
  <c r="M28" i="6" s="1"/>
  <c r="L29" i="6"/>
  <c r="M29" i="6" s="1"/>
  <c r="L30" i="6"/>
  <c r="M30" i="6" s="1"/>
  <c r="L31" i="6"/>
  <c r="M31" i="6" s="1"/>
  <c r="L32" i="6"/>
  <c r="M32" i="6" s="1"/>
  <c r="L33" i="6"/>
  <c r="M33" i="6" s="1"/>
  <c r="L34" i="6"/>
  <c r="M34" i="6" s="1"/>
  <c r="L35" i="6"/>
  <c r="M35" i="6" s="1"/>
  <c r="L5" i="6"/>
  <c r="M5" i="6" s="1"/>
  <c r="I6" i="6"/>
  <c r="J6" i="6" s="1"/>
  <c r="I7" i="6"/>
  <c r="J7" i="6" s="1"/>
  <c r="I8" i="6"/>
  <c r="J8" i="6" s="1"/>
  <c r="I9" i="6"/>
  <c r="J9" i="6" s="1"/>
  <c r="I10" i="6"/>
  <c r="J10" i="6" s="1"/>
  <c r="I11" i="6"/>
  <c r="J11" i="6" s="1"/>
  <c r="I12" i="6"/>
  <c r="J12" i="6" s="1"/>
  <c r="I13" i="6"/>
  <c r="J13" i="6" s="1"/>
  <c r="I14" i="6"/>
  <c r="J14" i="6" s="1"/>
  <c r="I15" i="6"/>
  <c r="J15" i="6" s="1"/>
  <c r="I16" i="6"/>
  <c r="J16" i="6" s="1"/>
  <c r="I17" i="6"/>
  <c r="J17" i="6" s="1"/>
  <c r="I18" i="6"/>
  <c r="J18" i="6" s="1"/>
  <c r="I19" i="6"/>
  <c r="J19" i="6" s="1"/>
  <c r="I20" i="6"/>
  <c r="J20" i="6" s="1"/>
  <c r="I21" i="6"/>
  <c r="J21" i="6" s="1"/>
  <c r="I22" i="6"/>
  <c r="J22" i="6" s="1"/>
  <c r="I23" i="6"/>
  <c r="J23" i="6" s="1"/>
  <c r="I24" i="6"/>
  <c r="J24" i="6" s="1"/>
  <c r="I25" i="6"/>
  <c r="J25" i="6" s="1"/>
  <c r="I26" i="6"/>
  <c r="J26" i="6" s="1"/>
  <c r="I27" i="6"/>
  <c r="J27" i="6" s="1"/>
  <c r="I28" i="6"/>
  <c r="J28" i="6" s="1"/>
  <c r="I29" i="6"/>
  <c r="J29" i="6" s="1"/>
  <c r="I30" i="6"/>
  <c r="J30" i="6" s="1"/>
  <c r="I31" i="6"/>
  <c r="J31" i="6" s="1"/>
  <c r="I32" i="6"/>
  <c r="J32" i="6" s="1"/>
  <c r="I33" i="6"/>
  <c r="J33" i="6" s="1"/>
  <c r="I34" i="6"/>
  <c r="J34" i="6" s="1"/>
  <c r="I35" i="6"/>
  <c r="J35" i="6" s="1"/>
  <c r="I5" i="6"/>
  <c r="J5" i="6" s="1"/>
  <c r="F6" i="6"/>
  <c r="G6" i="6" s="1"/>
  <c r="F7" i="6"/>
  <c r="G7" i="6" s="1"/>
  <c r="F8" i="6"/>
  <c r="G8" i="6" s="1"/>
  <c r="F9" i="6"/>
  <c r="G9" i="6" s="1"/>
  <c r="F10" i="6"/>
  <c r="G10" i="6" s="1"/>
  <c r="F11" i="6"/>
  <c r="G11" i="6" s="1"/>
  <c r="F12" i="6"/>
  <c r="G12" i="6" s="1"/>
  <c r="F13" i="6"/>
  <c r="G13" i="6" s="1"/>
  <c r="F14" i="6"/>
  <c r="G14" i="6" s="1"/>
  <c r="F15" i="6"/>
  <c r="G15" i="6" s="1"/>
  <c r="F16" i="6"/>
  <c r="G16" i="6" s="1"/>
  <c r="F17" i="6"/>
  <c r="G17" i="6" s="1"/>
  <c r="F18" i="6"/>
  <c r="G18" i="6" s="1"/>
  <c r="F19" i="6"/>
  <c r="G19" i="6" s="1"/>
  <c r="F20" i="6"/>
  <c r="G20" i="6" s="1"/>
  <c r="F21" i="6"/>
  <c r="G21" i="6" s="1"/>
  <c r="F22" i="6"/>
  <c r="G22" i="6" s="1"/>
  <c r="F23" i="6"/>
  <c r="G23" i="6" s="1"/>
  <c r="F24" i="6"/>
  <c r="G24" i="6" s="1"/>
  <c r="F25" i="6"/>
  <c r="G25" i="6" s="1"/>
  <c r="F26" i="6"/>
  <c r="G26" i="6" s="1"/>
  <c r="F27" i="6"/>
  <c r="G27" i="6" s="1"/>
  <c r="F28" i="6"/>
  <c r="G28" i="6" s="1"/>
  <c r="F29" i="6"/>
  <c r="G29" i="6" s="1"/>
  <c r="F30" i="6"/>
  <c r="G30" i="6" s="1"/>
  <c r="F31" i="6"/>
  <c r="G31" i="6" s="1"/>
  <c r="F32" i="6"/>
  <c r="G32" i="6" s="1"/>
  <c r="F33" i="6"/>
  <c r="G33" i="6" s="1"/>
  <c r="F34" i="6"/>
  <c r="G34" i="6" s="1"/>
  <c r="F35" i="6"/>
  <c r="G35" i="6" s="1"/>
  <c r="F5" i="6"/>
  <c r="G5" i="6" s="1"/>
  <c r="AB7" i="6"/>
  <c r="C8" i="6"/>
  <c r="AB9" i="6"/>
  <c r="C10" i="6"/>
  <c r="D10" i="6" s="1"/>
  <c r="AB11" i="6"/>
  <c r="C14" i="6"/>
  <c r="D14" i="6" s="1"/>
  <c r="C16" i="6"/>
  <c r="D16" i="6" s="1"/>
  <c r="AD16" i="6" s="1"/>
  <c r="AB17" i="6"/>
  <c r="C18" i="6"/>
  <c r="AB19" i="6"/>
  <c r="C21" i="6"/>
  <c r="C23" i="6"/>
  <c r="D23" i="6" s="1"/>
  <c r="AB24" i="6"/>
  <c r="C25" i="6"/>
  <c r="D25" i="6" s="1"/>
  <c r="C27" i="6"/>
  <c r="D27" i="6" s="1"/>
  <c r="C29" i="6"/>
  <c r="D29" i="6" s="1"/>
  <c r="C31" i="6"/>
  <c r="D31" i="6" s="1"/>
  <c r="C33" i="6"/>
  <c r="AB34" i="6"/>
  <c r="C35" i="6"/>
  <c r="Y6" i="4"/>
  <c r="Z6" i="4" s="1"/>
  <c r="Y7" i="4"/>
  <c r="Z7" i="4" s="1"/>
  <c r="Y8" i="4"/>
  <c r="Z8" i="4" s="1"/>
  <c r="Y9" i="4"/>
  <c r="Z9" i="4" s="1"/>
  <c r="Y10" i="4"/>
  <c r="Z10" i="4" s="1"/>
  <c r="Y11" i="4"/>
  <c r="Z11" i="4" s="1"/>
  <c r="Y12" i="4"/>
  <c r="Z12" i="4" s="1"/>
  <c r="Y13" i="4"/>
  <c r="Z13" i="4" s="1"/>
  <c r="Y14" i="4"/>
  <c r="Z14" i="4" s="1"/>
  <c r="Y15" i="4"/>
  <c r="Z15" i="4" s="1"/>
  <c r="Y16" i="4"/>
  <c r="Z16" i="4" s="1"/>
  <c r="Y17" i="4"/>
  <c r="Z17" i="4" s="1"/>
  <c r="Y18" i="4"/>
  <c r="Z18" i="4" s="1"/>
  <c r="Y19" i="4"/>
  <c r="Z19" i="4" s="1"/>
  <c r="Y20" i="4"/>
  <c r="Z20" i="4" s="1"/>
  <c r="Y21" i="4"/>
  <c r="Z21" i="4" s="1"/>
  <c r="Y22" i="4"/>
  <c r="Z22" i="4" s="1"/>
  <c r="Y23" i="4"/>
  <c r="Z23" i="4" s="1"/>
  <c r="Y24" i="4"/>
  <c r="Z24" i="4" s="1"/>
  <c r="Y25" i="4"/>
  <c r="Z25" i="4" s="1"/>
  <c r="Y26" i="4"/>
  <c r="Z26" i="4" s="1"/>
  <c r="Y27" i="4"/>
  <c r="Z27" i="4" s="1"/>
  <c r="Y28" i="4"/>
  <c r="Z28" i="4" s="1"/>
  <c r="Y29" i="4"/>
  <c r="Z29" i="4" s="1"/>
  <c r="Y30" i="4"/>
  <c r="Z30" i="4" s="1"/>
  <c r="Y31" i="4"/>
  <c r="Z31" i="4" s="1"/>
  <c r="Y32" i="4"/>
  <c r="Z32" i="4" s="1"/>
  <c r="Y5" i="4"/>
  <c r="V6" i="4"/>
  <c r="W6" i="4" s="1"/>
  <c r="V7" i="4"/>
  <c r="W7" i="4" s="1"/>
  <c r="V8" i="4"/>
  <c r="W8" i="4" s="1"/>
  <c r="V9" i="4"/>
  <c r="W9" i="4" s="1"/>
  <c r="V10" i="4"/>
  <c r="W10" i="4" s="1"/>
  <c r="V11" i="4"/>
  <c r="W11" i="4" s="1"/>
  <c r="V12" i="4"/>
  <c r="W12" i="4" s="1"/>
  <c r="V13" i="4"/>
  <c r="W13" i="4" s="1"/>
  <c r="V14" i="4"/>
  <c r="W14" i="4" s="1"/>
  <c r="V15" i="4"/>
  <c r="W15" i="4" s="1"/>
  <c r="V16" i="4"/>
  <c r="W16" i="4" s="1"/>
  <c r="V17" i="4"/>
  <c r="W17" i="4" s="1"/>
  <c r="V18" i="4"/>
  <c r="W18" i="4" s="1"/>
  <c r="V19" i="4"/>
  <c r="W19" i="4" s="1"/>
  <c r="V20" i="4"/>
  <c r="W20" i="4" s="1"/>
  <c r="V21" i="4"/>
  <c r="W21" i="4" s="1"/>
  <c r="V22" i="4"/>
  <c r="W22" i="4" s="1"/>
  <c r="V23" i="4"/>
  <c r="W23" i="4" s="1"/>
  <c r="V24" i="4"/>
  <c r="W24" i="4" s="1"/>
  <c r="V25" i="4"/>
  <c r="W25" i="4" s="1"/>
  <c r="V26" i="4"/>
  <c r="W26" i="4" s="1"/>
  <c r="V27" i="4"/>
  <c r="W27" i="4" s="1"/>
  <c r="V28" i="4"/>
  <c r="W28" i="4" s="1"/>
  <c r="V29" i="4"/>
  <c r="W29" i="4" s="1"/>
  <c r="V30" i="4"/>
  <c r="W30" i="4" s="1"/>
  <c r="V31" i="4"/>
  <c r="W31" i="4" s="1"/>
  <c r="V32" i="4"/>
  <c r="W32" i="4" s="1"/>
  <c r="V5" i="4"/>
  <c r="W5" i="4" s="1"/>
  <c r="S6" i="4"/>
  <c r="T6" i="4" s="1"/>
  <c r="S7" i="4"/>
  <c r="T7" i="4" s="1"/>
  <c r="S8" i="4"/>
  <c r="T8" i="4" s="1"/>
  <c r="S9" i="4"/>
  <c r="T9" i="4" s="1"/>
  <c r="S10" i="4"/>
  <c r="T10" i="4" s="1"/>
  <c r="S11" i="4"/>
  <c r="T11" i="4" s="1"/>
  <c r="S12" i="4"/>
  <c r="T12" i="4" s="1"/>
  <c r="S13" i="4"/>
  <c r="T13" i="4" s="1"/>
  <c r="S14" i="4"/>
  <c r="T14" i="4" s="1"/>
  <c r="S15" i="4"/>
  <c r="T15" i="4" s="1"/>
  <c r="S16" i="4"/>
  <c r="T16" i="4" s="1"/>
  <c r="S17" i="4"/>
  <c r="T17" i="4" s="1"/>
  <c r="S18" i="4"/>
  <c r="T18" i="4" s="1"/>
  <c r="S19" i="4"/>
  <c r="T19" i="4" s="1"/>
  <c r="S20" i="4"/>
  <c r="T20" i="4" s="1"/>
  <c r="S21" i="4"/>
  <c r="T21" i="4" s="1"/>
  <c r="S22" i="4"/>
  <c r="T22" i="4" s="1"/>
  <c r="S23" i="4"/>
  <c r="T23" i="4" s="1"/>
  <c r="S24" i="4"/>
  <c r="T24" i="4" s="1"/>
  <c r="S25" i="4"/>
  <c r="T25" i="4" s="1"/>
  <c r="S26" i="4"/>
  <c r="T26" i="4" s="1"/>
  <c r="S27" i="4"/>
  <c r="T27" i="4" s="1"/>
  <c r="S28" i="4"/>
  <c r="T28" i="4" s="1"/>
  <c r="S29" i="4"/>
  <c r="T29" i="4" s="1"/>
  <c r="S30" i="4"/>
  <c r="T30" i="4" s="1"/>
  <c r="S31" i="4"/>
  <c r="T31" i="4" s="1"/>
  <c r="S32" i="4"/>
  <c r="T32" i="4" s="1"/>
  <c r="S5" i="4"/>
  <c r="T5" i="4" s="1"/>
  <c r="P6" i="4"/>
  <c r="Q6" i="4" s="1"/>
  <c r="P7" i="4"/>
  <c r="Q7" i="4" s="1"/>
  <c r="P8" i="4"/>
  <c r="Q8" i="4" s="1"/>
  <c r="P9" i="4"/>
  <c r="Q9" i="4" s="1"/>
  <c r="P10" i="4"/>
  <c r="Q10" i="4" s="1"/>
  <c r="P11" i="4"/>
  <c r="Q11" i="4" s="1"/>
  <c r="P12" i="4"/>
  <c r="Q12" i="4" s="1"/>
  <c r="P13" i="4"/>
  <c r="Q13" i="4" s="1"/>
  <c r="P14" i="4"/>
  <c r="Q14" i="4" s="1"/>
  <c r="P15" i="4"/>
  <c r="P16" i="4"/>
  <c r="Q16" i="4" s="1"/>
  <c r="P17" i="4"/>
  <c r="Q17" i="4" s="1"/>
  <c r="P18" i="4"/>
  <c r="Q18" i="4" s="1"/>
  <c r="P19" i="4"/>
  <c r="P20" i="4"/>
  <c r="Q20" i="4" s="1"/>
  <c r="P21" i="4"/>
  <c r="Q21" i="4" s="1"/>
  <c r="P22" i="4"/>
  <c r="Q22" i="4" s="1"/>
  <c r="P23" i="4"/>
  <c r="Q23" i="4" s="1"/>
  <c r="P24" i="4"/>
  <c r="Q24" i="4" s="1"/>
  <c r="P25" i="4"/>
  <c r="Q25" i="4" s="1"/>
  <c r="P26" i="4"/>
  <c r="Q26" i="4" s="1"/>
  <c r="P27" i="4"/>
  <c r="Q27" i="4" s="1"/>
  <c r="P28" i="4"/>
  <c r="Q28" i="4" s="1"/>
  <c r="P29" i="4"/>
  <c r="Q29" i="4" s="1"/>
  <c r="P30" i="4"/>
  <c r="Q30" i="4" s="1"/>
  <c r="P31" i="4"/>
  <c r="Q31" i="4" s="1"/>
  <c r="P32" i="4"/>
  <c r="Q32" i="4" s="1"/>
  <c r="P5" i="4"/>
  <c r="L6" i="4"/>
  <c r="M6" i="4" s="1"/>
  <c r="L7" i="4"/>
  <c r="M7" i="4" s="1"/>
  <c r="L8" i="4"/>
  <c r="M8" i="4" s="1"/>
  <c r="L9" i="4"/>
  <c r="M9" i="4" s="1"/>
  <c r="L10" i="4"/>
  <c r="M10" i="4" s="1"/>
  <c r="L11" i="4"/>
  <c r="M11" i="4" s="1"/>
  <c r="L12" i="4"/>
  <c r="M12" i="4" s="1"/>
  <c r="L13" i="4"/>
  <c r="M13" i="4" s="1"/>
  <c r="L14" i="4"/>
  <c r="M14" i="4" s="1"/>
  <c r="L15" i="4"/>
  <c r="M15" i="4" s="1"/>
  <c r="L16" i="4"/>
  <c r="M16" i="4" s="1"/>
  <c r="L17" i="4"/>
  <c r="M17" i="4" s="1"/>
  <c r="L18" i="4"/>
  <c r="M18" i="4" s="1"/>
  <c r="L19" i="4"/>
  <c r="M19" i="4" s="1"/>
  <c r="L20" i="4"/>
  <c r="M20" i="4" s="1"/>
  <c r="L21" i="4"/>
  <c r="M21" i="4" s="1"/>
  <c r="L22" i="4"/>
  <c r="M22" i="4" s="1"/>
  <c r="L23" i="4"/>
  <c r="M23" i="4" s="1"/>
  <c r="L24" i="4"/>
  <c r="M24" i="4" s="1"/>
  <c r="L25" i="4"/>
  <c r="M25" i="4" s="1"/>
  <c r="L26" i="4"/>
  <c r="M26" i="4" s="1"/>
  <c r="L27" i="4"/>
  <c r="M27" i="4" s="1"/>
  <c r="L28" i="4"/>
  <c r="M28" i="4" s="1"/>
  <c r="L29" i="4"/>
  <c r="M29" i="4" s="1"/>
  <c r="L30" i="4"/>
  <c r="M30" i="4" s="1"/>
  <c r="L31" i="4"/>
  <c r="M31" i="4" s="1"/>
  <c r="L32" i="4"/>
  <c r="M32" i="4" s="1"/>
  <c r="L5" i="4"/>
  <c r="M5" i="4" s="1"/>
  <c r="I6" i="4"/>
  <c r="J6" i="4" s="1"/>
  <c r="I7" i="4"/>
  <c r="J7" i="4" s="1"/>
  <c r="I8" i="4"/>
  <c r="J8" i="4" s="1"/>
  <c r="I9" i="4"/>
  <c r="J9" i="4" s="1"/>
  <c r="I10" i="4"/>
  <c r="J10" i="4" s="1"/>
  <c r="I11" i="4"/>
  <c r="J11" i="4" s="1"/>
  <c r="I12" i="4"/>
  <c r="J12" i="4" s="1"/>
  <c r="I13" i="4"/>
  <c r="J13" i="4" s="1"/>
  <c r="I14" i="4"/>
  <c r="J14" i="4" s="1"/>
  <c r="I15" i="4"/>
  <c r="J15" i="4" s="1"/>
  <c r="I16" i="4"/>
  <c r="J16" i="4" s="1"/>
  <c r="I17" i="4"/>
  <c r="J17" i="4" s="1"/>
  <c r="I18" i="4"/>
  <c r="J18" i="4" s="1"/>
  <c r="I19" i="4"/>
  <c r="J19" i="4" s="1"/>
  <c r="I20" i="4"/>
  <c r="J20" i="4" s="1"/>
  <c r="I21" i="4"/>
  <c r="J21" i="4" s="1"/>
  <c r="I22" i="4"/>
  <c r="J22" i="4" s="1"/>
  <c r="I23" i="4"/>
  <c r="J23" i="4" s="1"/>
  <c r="I24" i="4"/>
  <c r="J24" i="4" s="1"/>
  <c r="I25" i="4"/>
  <c r="J25" i="4" s="1"/>
  <c r="I26" i="4"/>
  <c r="J26" i="4" s="1"/>
  <c r="I27" i="4"/>
  <c r="J27" i="4" s="1"/>
  <c r="I28" i="4"/>
  <c r="J28" i="4" s="1"/>
  <c r="I29" i="4"/>
  <c r="J29" i="4" s="1"/>
  <c r="I30" i="4"/>
  <c r="J30" i="4" s="1"/>
  <c r="I31" i="4"/>
  <c r="J31" i="4" s="1"/>
  <c r="I32" i="4"/>
  <c r="J32" i="4" s="1"/>
  <c r="I5" i="4"/>
  <c r="J5" i="4" s="1"/>
  <c r="F6" i="4"/>
  <c r="G6" i="4" s="1"/>
  <c r="F7" i="4"/>
  <c r="G7" i="4" s="1"/>
  <c r="F8" i="4"/>
  <c r="G8" i="4" s="1"/>
  <c r="F9" i="4"/>
  <c r="G9" i="4" s="1"/>
  <c r="F10" i="4"/>
  <c r="G10" i="4" s="1"/>
  <c r="F11" i="4"/>
  <c r="G11" i="4" s="1"/>
  <c r="F12" i="4"/>
  <c r="G12" i="4" s="1"/>
  <c r="F13" i="4"/>
  <c r="G13" i="4" s="1"/>
  <c r="F14" i="4"/>
  <c r="G14" i="4" s="1"/>
  <c r="F15" i="4"/>
  <c r="G15" i="4" s="1"/>
  <c r="F16" i="4"/>
  <c r="G16" i="4" s="1"/>
  <c r="F17" i="4"/>
  <c r="G17" i="4" s="1"/>
  <c r="F18" i="4"/>
  <c r="G18" i="4" s="1"/>
  <c r="F19" i="4"/>
  <c r="G19" i="4" s="1"/>
  <c r="F20" i="4"/>
  <c r="G20" i="4" s="1"/>
  <c r="F21" i="4"/>
  <c r="G21" i="4" s="1"/>
  <c r="F22" i="4"/>
  <c r="G22" i="4" s="1"/>
  <c r="F23" i="4"/>
  <c r="G23" i="4" s="1"/>
  <c r="F24" i="4"/>
  <c r="G24" i="4" s="1"/>
  <c r="F25" i="4"/>
  <c r="G25" i="4" s="1"/>
  <c r="F26" i="4"/>
  <c r="G26" i="4" s="1"/>
  <c r="F27" i="4"/>
  <c r="G27" i="4" s="1"/>
  <c r="F28" i="4"/>
  <c r="G28" i="4" s="1"/>
  <c r="F29" i="4"/>
  <c r="G29" i="4" s="1"/>
  <c r="F30" i="4"/>
  <c r="G30" i="4" s="1"/>
  <c r="F31" i="4"/>
  <c r="G31" i="4" s="1"/>
  <c r="F32" i="4"/>
  <c r="G32" i="4" s="1"/>
  <c r="F5" i="4"/>
  <c r="AB6" i="4"/>
  <c r="AB10" i="4"/>
  <c r="AB11" i="4"/>
  <c r="C14" i="4"/>
  <c r="D14" i="4" s="1"/>
  <c r="AB15" i="4"/>
  <c r="C21" i="4"/>
  <c r="C22" i="4"/>
  <c r="D22" i="4" s="1"/>
  <c r="C26" i="4"/>
  <c r="D26" i="4" s="1"/>
  <c r="C27" i="4"/>
  <c r="Z6" i="1"/>
  <c r="Z7" i="1"/>
  <c r="Z8" i="1"/>
  <c r="Z9" i="1"/>
  <c r="Z10" i="1"/>
  <c r="Z11" i="1"/>
  <c r="Z12" i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5" i="1"/>
  <c r="Y5" i="1"/>
  <c r="Z5" i="1" s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V5" i="1"/>
  <c r="W5" i="1" s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S5" i="1"/>
  <c r="T5" i="1" s="1"/>
  <c r="Q7" i="1"/>
  <c r="Q8" i="1"/>
  <c r="Q9" i="1"/>
  <c r="Q10" i="1"/>
  <c r="Q11" i="1"/>
  <c r="Q12" i="1"/>
  <c r="Q13" i="1"/>
  <c r="Q14" i="1"/>
  <c r="Q15" i="1"/>
  <c r="Q16" i="1"/>
  <c r="Q19" i="1"/>
  <c r="Q20" i="1"/>
  <c r="Q21" i="1"/>
  <c r="Q22" i="1"/>
  <c r="Q24" i="1"/>
  <c r="Q25" i="1"/>
  <c r="Q26" i="1"/>
  <c r="Q27" i="1"/>
  <c r="Q28" i="1"/>
  <c r="Q29" i="1"/>
  <c r="Q30" i="1"/>
  <c r="Q31" i="1"/>
  <c r="Q32" i="1"/>
  <c r="Q33" i="1"/>
  <c r="Q35" i="1"/>
  <c r="P5" i="1"/>
  <c r="Q5" i="1" s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L5" i="1"/>
  <c r="M5" i="1" s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I5" i="1"/>
  <c r="J5" i="1" s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F5" i="1"/>
  <c r="G5" i="1" s="1"/>
  <c r="D6" i="1"/>
  <c r="AB12" i="1"/>
  <c r="AB13" i="1"/>
  <c r="AB17" i="1"/>
  <c r="AB18" i="1"/>
  <c r="AB21" i="1"/>
  <c r="AB23" i="1"/>
  <c r="AB24" i="1"/>
  <c r="AB25" i="1"/>
  <c r="AB26" i="1"/>
  <c r="AB27" i="1"/>
  <c r="AB28" i="1"/>
  <c r="AB29" i="1"/>
  <c r="AB30" i="1"/>
  <c r="AB31" i="1"/>
  <c r="AB32" i="1"/>
  <c r="AB33" i="1"/>
  <c r="AB35" i="1"/>
  <c r="Y6" i="13"/>
  <c r="Z6" i="13" s="1"/>
  <c r="Y7" i="13"/>
  <c r="Z7" i="13" s="1"/>
  <c r="Y8" i="13"/>
  <c r="Z8" i="13" s="1"/>
  <c r="Y9" i="13"/>
  <c r="Z9" i="13" s="1"/>
  <c r="Y10" i="13"/>
  <c r="Z10" i="13" s="1"/>
  <c r="Y11" i="13"/>
  <c r="Z11" i="13" s="1"/>
  <c r="Y12" i="13"/>
  <c r="Z12" i="13" s="1"/>
  <c r="Y13" i="13"/>
  <c r="Z13" i="13" s="1"/>
  <c r="Y14" i="13"/>
  <c r="Z14" i="13" s="1"/>
  <c r="Y15" i="13"/>
  <c r="Z15" i="13" s="1"/>
  <c r="Y16" i="13"/>
  <c r="Z16" i="13" s="1"/>
  <c r="Y17" i="13"/>
  <c r="Z17" i="13" s="1"/>
  <c r="Y18" i="13"/>
  <c r="Z18" i="13" s="1"/>
  <c r="Y19" i="13"/>
  <c r="Z19" i="13" s="1"/>
  <c r="Y20" i="13"/>
  <c r="Z20" i="13" s="1"/>
  <c r="Y21" i="13"/>
  <c r="Z21" i="13" s="1"/>
  <c r="Y22" i="13"/>
  <c r="Z22" i="13" s="1"/>
  <c r="Y23" i="13"/>
  <c r="Z23" i="13" s="1"/>
  <c r="Y24" i="13"/>
  <c r="Z24" i="13" s="1"/>
  <c r="Y25" i="13"/>
  <c r="Z25" i="13" s="1"/>
  <c r="Y26" i="13"/>
  <c r="Z26" i="13" s="1"/>
  <c r="Y27" i="13"/>
  <c r="Z27" i="13" s="1"/>
  <c r="Y28" i="13"/>
  <c r="Z28" i="13" s="1"/>
  <c r="Y29" i="13"/>
  <c r="Z29" i="13" s="1"/>
  <c r="Y30" i="13"/>
  <c r="Z30" i="13" s="1"/>
  <c r="Y31" i="13"/>
  <c r="Z31" i="13" s="1"/>
  <c r="Y32" i="13"/>
  <c r="Z32" i="13" s="1"/>
  <c r="Y33" i="13"/>
  <c r="Z33" i="13" s="1"/>
  <c r="Y34" i="13"/>
  <c r="Z34" i="13" s="1"/>
  <c r="Y35" i="13"/>
  <c r="Z35" i="13" s="1"/>
  <c r="Y5" i="13"/>
  <c r="Z5" i="13" s="1"/>
  <c r="V6" i="13"/>
  <c r="W6" i="13" s="1"/>
  <c r="V7" i="13"/>
  <c r="V8" i="13"/>
  <c r="W8" i="13" s="1"/>
  <c r="V9" i="13"/>
  <c r="W9" i="13" s="1"/>
  <c r="V10" i="13"/>
  <c r="W10" i="13" s="1"/>
  <c r="V11" i="13"/>
  <c r="W11" i="13" s="1"/>
  <c r="V12" i="13"/>
  <c r="W12" i="13" s="1"/>
  <c r="V13" i="13"/>
  <c r="W13" i="13" s="1"/>
  <c r="V14" i="13"/>
  <c r="W14" i="13" s="1"/>
  <c r="V15" i="13"/>
  <c r="W15" i="13" s="1"/>
  <c r="V16" i="13"/>
  <c r="W16" i="13" s="1"/>
  <c r="V17" i="13"/>
  <c r="W17" i="13" s="1"/>
  <c r="V18" i="13"/>
  <c r="W18" i="13" s="1"/>
  <c r="V19" i="13"/>
  <c r="W19" i="13" s="1"/>
  <c r="V20" i="13"/>
  <c r="W20" i="13" s="1"/>
  <c r="V21" i="13"/>
  <c r="W21" i="13" s="1"/>
  <c r="V22" i="13"/>
  <c r="W22" i="13" s="1"/>
  <c r="V23" i="13"/>
  <c r="W23" i="13" s="1"/>
  <c r="V24" i="13"/>
  <c r="W24" i="13" s="1"/>
  <c r="V25" i="13"/>
  <c r="W25" i="13" s="1"/>
  <c r="V26" i="13"/>
  <c r="W26" i="13" s="1"/>
  <c r="V27" i="13"/>
  <c r="W27" i="13" s="1"/>
  <c r="V28" i="13"/>
  <c r="W28" i="13" s="1"/>
  <c r="V29" i="13"/>
  <c r="W29" i="13" s="1"/>
  <c r="V30" i="13"/>
  <c r="W30" i="13" s="1"/>
  <c r="V31" i="13"/>
  <c r="W31" i="13" s="1"/>
  <c r="V32" i="13"/>
  <c r="W32" i="13" s="1"/>
  <c r="V33" i="13"/>
  <c r="W33" i="13" s="1"/>
  <c r="V34" i="13"/>
  <c r="W34" i="13" s="1"/>
  <c r="V35" i="13"/>
  <c r="W35" i="13" s="1"/>
  <c r="V5" i="13"/>
  <c r="W5" i="13" s="1"/>
  <c r="S6" i="13"/>
  <c r="T6" i="13" s="1"/>
  <c r="S7" i="13"/>
  <c r="T7" i="13" s="1"/>
  <c r="S8" i="13"/>
  <c r="T8" i="13" s="1"/>
  <c r="S9" i="13"/>
  <c r="T9" i="13" s="1"/>
  <c r="S10" i="13"/>
  <c r="T10" i="13" s="1"/>
  <c r="S11" i="13"/>
  <c r="T11" i="13" s="1"/>
  <c r="S12" i="13"/>
  <c r="T12" i="13" s="1"/>
  <c r="S13" i="13"/>
  <c r="T13" i="13" s="1"/>
  <c r="S14" i="13"/>
  <c r="T14" i="13" s="1"/>
  <c r="S15" i="13"/>
  <c r="T15" i="13" s="1"/>
  <c r="S16" i="13"/>
  <c r="T16" i="13" s="1"/>
  <c r="S17" i="13"/>
  <c r="T17" i="13" s="1"/>
  <c r="S18" i="13"/>
  <c r="T18" i="13" s="1"/>
  <c r="S19" i="13"/>
  <c r="T19" i="13" s="1"/>
  <c r="S20" i="13"/>
  <c r="T20" i="13" s="1"/>
  <c r="S21" i="13"/>
  <c r="T21" i="13" s="1"/>
  <c r="S22" i="13"/>
  <c r="T22" i="13" s="1"/>
  <c r="S23" i="13"/>
  <c r="T23" i="13" s="1"/>
  <c r="S24" i="13"/>
  <c r="T24" i="13" s="1"/>
  <c r="S25" i="13"/>
  <c r="T25" i="13" s="1"/>
  <c r="S26" i="13"/>
  <c r="T26" i="13" s="1"/>
  <c r="S27" i="13"/>
  <c r="T27" i="13" s="1"/>
  <c r="S28" i="13"/>
  <c r="T28" i="13" s="1"/>
  <c r="S29" i="13"/>
  <c r="T29" i="13" s="1"/>
  <c r="S30" i="13"/>
  <c r="T30" i="13" s="1"/>
  <c r="S31" i="13"/>
  <c r="T31" i="13" s="1"/>
  <c r="S32" i="13"/>
  <c r="T32" i="13" s="1"/>
  <c r="S33" i="13"/>
  <c r="T33" i="13" s="1"/>
  <c r="S34" i="13"/>
  <c r="T34" i="13" s="1"/>
  <c r="S35" i="13"/>
  <c r="T35" i="13" s="1"/>
  <c r="S5" i="13"/>
  <c r="T5" i="13" s="1"/>
  <c r="P6" i="13"/>
  <c r="Q6" i="13" s="1"/>
  <c r="P7" i="13"/>
  <c r="Q7" i="13" s="1"/>
  <c r="P8" i="13"/>
  <c r="Q8" i="13" s="1"/>
  <c r="P9" i="13"/>
  <c r="Q9" i="13" s="1"/>
  <c r="P10" i="13"/>
  <c r="Q10" i="13" s="1"/>
  <c r="P11" i="13"/>
  <c r="Q11" i="13" s="1"/>
  <c r="P12" i="13"/>
  <c r="Q12" i="13" s="1"/>
  <c r="P13" i="13"/>
  <c r="Q13" i="13" s="1"/>
  <c r="P14" i="13"/>
  <c r="Q14" i="13" s="1"/>
  <c r="P15" i="13"/>
  <c r="Q15" i="13" s="1"/>
  <c r="P16" i="13"/>
  <c r="Q16" i="13" s="1"/>
  <c r="P17" i="13"/>
  <c r="Q17" i="13" s="1"/>
  <c r="P18" i="13"/>
  <c r="P19" i="13"/>
  <c r="Q19" i="13" s="1"/>
  <c r="P20" i="13"/>
  <c r="Q20" i="13" s="1"/>
  <c r="P21" i="13"/>
  <c r="Q21" i="13" s="1"/>
  <c r="P22" i="13"/>
  <c r="Q22" i="13" s="1"/>
  <c r="P23" i="13"/>
  <c r="Q23" i="13" s="1"/>
  <c r="P24" i="13"/>
  <c r="Q24" i="13" s="1"/>
  <c r="P25" i="13"/>
  <c r="Q25" i="13" s="1"/>
  <c r="P26" i="13"/>
  <c r="Q26" i="13" s="1"/>
  <c r="P27" i="13"/>
  <c r="Q27" i="13" s="1"/>
  <c r="P28" i="13"/>
  <c r="Q28" i="13" s="1"/>
  <c r="P29" i="13"/>
  <c r="Q29" i="13" s="1"/>
  <c r="P30" i="13"/>
  <c r="P31" i="13"/>
  <c r="Q31" i="13" s="1"/>
  <c r="P32" i="13"/>
  <c r="Q32" i="13" s="1"/>
  <c r="P33" i="13"/>
  <c r="Q33" i="13" s="1"/>
  <c r="P34" i="13"/>
  <c r="Q34" i="13" s="1"/>
  <c r="P35" i="13"/>
  <c r="Q35" i="13" s="1"/>
  <c r="P5" i="13"/>
  <c r="L6" i="13"/>
  <c r="M6" i="13" s="1"/>
  <c r="L7" i="13"/>
  <c r="M7" i="13" s="1"/>
  <c r="L8" i="13"/>
  <c r="M8" i="13" s="1"/>
  <c r="L9" i="13"/>
  <c r="M9" i="13" s="1"/>
  <c r="L10" i="13"/>
  <c r="M10" i="13" s="1"/>
  <c r="L11" i="13"/>
  <c r="M11" i="13" s="1"/>
  <c r="L12" i="13"/>
  <c r="M12" i="13" s="1"/>
  <c r="L13" i="13"/>
  <c r="M13" i="13" s="1"/>
  <c r="L14" i="13"/>
  <c r="M14" i="13" s="1"/>
  <c r="L15" i="13"/>
  <c r="M15" i="13" s="1"/>
  <c r="L16" i="13"/>
  <c r="M16" i="13" s="1"/>
  <c r="L17" i="13"/>
  <c r="M17" i="13" s="1"/>
  <c r="L18" i="13"/>
  <c r="M18" i="13" s="1"/>
  <c r="L19" i="13"/>
  <c r="M19" i="13" s="1"/>
  <c r="L20" i="13"/>
  <c r="M20" i="13" s="1"/>
  <c r="L21" i="13"/>
  <c r="M21" i="13" s="1"/>
  <c r="L22" i="13"/>
  <c r="M22" i="13" s="1"/>
  <c r="L23" i="13"/>
  <c r="M23" i="13" s="1"/>
  <c r="L24" i="13"/>
  <c r="M24" i="13" s="1"/>
  <c r="L25" i="13"/>
  <c r="M25" i="13" s="1"/>
  <c r="L26" i="13"/>
  <c r="M26" i="13" s="1"/>
  <c r="L27" i="13"/>
  <c r="M27" i="13" s="1"/>
  <c r="L28" i="13"/>
  <c r="M28" i="13" s="1"/>
  <c r="L29" i="13"/>
  <c r="M29" i="13" s="1"/>
  <c r="L30" i="13"/>
  <c r="M30" i="13" s="1"/>
  <c r="L31" i="13"/>
  <c r="M31" i="13" s="1"/>
  <c r="L32" i="13"/>
  <c r="M32" i="13" s="1"/>
  <c r="L33" i="13"/>
  <c r="M33" i="13" s="1"/>
  <c r="L34" i="13"/>
  <c r="M34" i="13" s="1"/>
  <c r="L35" i="13"/>
  <c r="M35" i="13" s="1"/>
  <c r="L5" i="13"/>
  <c r="M5" i="13" s="1"/>
  <c r="I6" i="13"/>
  <c r="J6" i="13" s="1"/>
  <c r="I7" i="13"/>
  <c r="J7" i="13" s="1"/>
  <c r="I8" i="13"/>
  <c r="J8" i="13" s="1"/>
  <c r="I9" i="13"/>
  <c r="J9" i="13" s="1"/>
  <c r="I10" i="13"/>
  <c r="J10" i="13" s="1"/>
  <c r="I11" i="13"/>
  <c r="J11" i="13" s="1"/>
  <c r="I12" i="13"/>
  <c r="J12" i="13" s="1"/>
  <c r="I13" i="13"/>
  <c r="J13" i="13" s="1"/>
  <c r="I14" i="13"/>
  <c r="J14" i="13" s="1"/>
  <c r="I15" i="13"/>
  <c r="J15" i="13" s="1"/>
  <c r="I16" i="13"/>
  <c r="J16" i="13" s="1"/>
  <c r="I17" i="13"/>
  <c r="J17" i="13" s="1"/>
  <c r="I18" i="13"/>
  <c r="J18" i="13" s="1"/>
  <c r="I19" i="13"/>
  <c r="J19" i="13" s="1"/>
  <c r="I20" i="13"/>
  <c r="J20" i="13" s="1"/>
  <c r="I21" i="13"/>
  <c r="J21" i="13" s="1"/>
  <c r="I22" i="13"/>
  <c r="J22" i="13" s="1"/>
  <c r="I23" i="13"/>
  <c r="J23" i="13" s="1"/>
  <c r="I24" i="13"/>
  <c r="J24" i="13" s="1"/>
  <c r="I25" i="13"/>
  <c r="J25" i="13" s="1"/>
  <c r="I26" i="13"/>
  <c r="J26" i="13" s="1"/>
  <c r="I27" i="13"/>
  <c r="J27" i="13" s="1"/>
  <c r="I28" i="13"/>
  <c r="J28" i="13" s="1"/>
  <c r="I29" i="13"/>
  <c r="J29" i="13" s="1"/>
  <c r="I30" i="13"/>
  <c r="J30" i="13" s="1"/>
  <c r="I31" i="13"/>
  <c r="J31" i="13" s="1"/>
  <c r="I32" i="13"/>
  <c r="J32" i="13" s="1"/>
  <c r="I33" i="13"/>
  <c r="J33" i="13" s="1"/>
  <c r="I34" i="13"/>
  <c r="J34" i="13" s="1"/>
  <c r="I35" i="13"/>
  <c r="J35" i="13" s="1"/>
  <c r="I5" i="13"/>
  <c r="J5" i="13" s="1"/>
  <c r="F6" i="13"/>
  <c r="G6" i="13" s="1"/>
  <c r="F7" i="13"/>
  <c r="G7" i="13" s="1"/>
  <c r="F8" i="13"/>
  <c r="G8" i="13" s="1"/>
  <c r="F9" i="13"/>
  <c r="G9" i="13" s="1"/>
  <c r="F10" i="13"/>
  <c r="G10" i="13" s="1"/>
  <c r="F11" i="13"/>
  <c r="G11" i="13" s="1"/>
  <c r="F12" i="13"/>
  <c r="G12" i="13" s="1"/>
  <c r="F13" i="13"/>
  <c r="G13" i="13" s="1"/>
  <c r="F14" i="13"/>
  <c r="G14" i="13" s="1"/>
  <c r="F15" i="13"/>
  <c r="G15" i="13" s="1"/>
  <c r="F16" i="13"/>
  <c r="G16" i="13" s="1"/>
  <c r="F17" i="13"/>
  <c r="G17" i="13" s="1"/>
  <c r="F18" i="13"/>
  <c r="G18" i="13" s="1"/>
  <c r="F19" i="13"/>
  <c r="G19" i="13" s="1"/>
  <c r="F20" i="13"/>
  <c r="G20" i="13" s="1"/>
  <c r="F21" i="13"/>
  <c r="G21" i="13" s="1"/>
  <c r="F22" i="13"/>
  <c r="G22" i="13" s="1"/>
  <c r="F23" i="13"/>
  <c r="G23" i="13" s="1"/>
  <c r="F24" i="13"/>
  <c r="G24" i="13" s="1"/>
  <c r="F25" i="13"/>
  <c r="G25" i="13" s="1"/>
  <c r="F26" i="13"/>
  <c r="G26" i="13" s="1"/>
  <c r="F27" i="13"/>
  <c r="G27" i="13" s="1"/>
  <c r="F28" i="13"/>
  <c r="G28" i="13" s="1"/>
  <c r="F29" i="13"/>
  <c r="G29" i="13" s="1"/>
  <c r="F30" i="13"/>
  <c r="G30" i="13" s="1"/>
  <c r="F31" i="13"/>
  <c r="G31" i="13" s="1"/>
  <c r="F32" i="13"/>
  <c r="G32" i="13" s="1"/>
  <c r="F33" i="13"/>
  <c r="G33" i="13" s="1"/>
  <c r="F34" i="13"/>
  <c r="G34" i="13" s="1"/>
  <c r="F35" i="13"/>
  <c r="G35" i="13" s="1"/>
  <c r="F5" i="13"/>
  <c r="G5" i="13" s="1"/>
  <c r="C6" i="13"/>
  <c r="AB7" i="13"/>
  <c r="C8" i="13"/>
  <c r="AB9" i="13"/>
  <c r="AB10" i="13"/>
  <c r="AB11" i="13"/>
  <c r="AB12" i="13"/>
  <c r="C13" i="13"/>
  <c r="D13" i="13" s="1"/>
  <c r="AB14" i="13"/>
  <c r="C15" i="13"/>
  <c r="C16" i="13"/>
  <c r="C17" i="13"/>
  <c r="AB18" i="13"/>
  <c r="AB19" i="13"/>
  <c r="C20" i="13"/>
  <c r="C21" i="13"/>
  <c r="D21" i="13" s="1"/>
  <c r="C22" i="13"/>
  <c r="AB23" i="13"/>
  <c r="C24" i="13"/>
  <c r="C25" i="13"/>
  <c r="D25" i="13" s="1"/>
  <c r="C26" i="13"/>
  <c r="D26" i="13" s="1"/>
  <c r="C27" i="13"/>
  <c r="C28" i="13"/>
  <c r="AB29" i="13"/>
  <c r="AB30" i="13"/>
  <c r="AB31" i="13"/>
  <c r="AB32" i="13"/>
  <c r="AB33" i="13"/>
  <c r="AB34" i="13"/>
  <c r="AB35" i="13"/>
  <c r="C5" i="13"/>
  <c r="D5" i="13" s="1"/>
  <c r="Y6" i="14"/>
  <c r="Z6" i="14" s="1"/>
  <c r="Y7" i="14"/>
  <c r="Z7" i="14" s="1"/>
  <c r="Y8" i="14"/>
  <c r="Z8" i="14" s="1"/>
  <c r="Y9" i="14"/>
  <c r="Z9" i="14" s="1"/>
  <c r="Y10" i="14"/>
  <c r="Z10" i="14" s="1"/>
  <c r="Y11" i="14"/>
  <c r="Z11" i="14" s="1"/>
  <c r="Y12" i="14"/>
  <c r="Z12" i="14" s="1"/>
  <c r="Y13" i="14"/>
  <c r="Z13" i="14" s="1"/>
  <c r="Y14" i="14"/>
  <c r="Z14" i="14" s="1"/>
  <c r="Y15" i="14"/>
  <c r="Z15" i="14" s="1"/>
  <c r="Y16" i="14"/>
  <c r="Z16" i="14" s="1"/>
  <c r="Y17" i="14"/>
  <c r="Z17" i="14" s="1"/>
  <c r="Y18" i="14"/>
  <c r="Z18" i="14" s="1"/>
  <c r="Y19" i="14"/>
  <c r="Z19" i="14" s="1"/>
  <c r="Y20" i="14"/>
  <c r="Z20" i="14" s="1"/>
  <c r="Y21" i="14"/>
  <c r="Z21" i="14" s="1"/>
  <c r="Y22" i="14"/>
  <c r="Z22" i="14" s="1"/>
  <c r="Y23" i="14"/>
  <c r="Z23" i="14" s="1"/>
  <c r="Y24" i="14"/>
  <c r="Z24" i="14" s="1"/>
  <c r="Y25" i="14"/>
  <c r="Z25" i="14" s="1"/>
  <c r="Y26" i="14"/>
  <c r="Z26" i="14" s="1"/>
  <c r="Y27" i="14"/>
  <c r="Z27" i="14" s="1"/>
  <c r="Y28" i="14"/>
  <c r="Z28" i="14" s="1"/>
  <c r="Y29" i="14"/>
  <c r="Z29" i="14" s="1"/>
  <c r="Y30" i="14"/>
  <c r="Z30" i="14" s="1"/>
  <c r="Y31" i="14"/>
  <c r="Z31" i="14" s="1"/>
  <c r="Y32" i="14"/>
  <c r="Z32" i="14" s="1"/>
  <c r="Y33" i="14"/>
  <c r="Z33" i="14" s="1"/>
  <c r="Y34" i="14"/>
  <c r="Z34" i="14" s="1"/>
  <c r="Y5" i="14"/>
  <c r="Z5" i="14" s="1"/>
  <c r="V6" i="14"/>
  <c r="W6" i="14" s="1"/>
  <c r="V7" i="14"/>
  <c r="W7" i="14" s="1"/>
  <c r="V8" i="14"/>
  <c r="W8" i="14" s="1"/>
  <c r="V9" i="14"/>
  <c r="W9" i="14" s="1"/>
  <c r="V10" i="14"/>
  <c r="W10" i="14" s="1"/>
  <c r="V11" i="14"/>
  <c r="W11" i="14" s="1"/>
  <c r="V12" i="14"/>
  <c r="W12" i="14" s="1"/>
  <c r="V13" i="14"/>
  <c r="W13" i="14" s="1"/>
  <c r="V14" i="14"/>
  <c r="W14" i="14" s="1"/>
  <c r="V15" i="14"/>
  <c r="W15" i="14" s="1"/>
  <c r="V16" i="14"/>
  <c r="W16" i="14" s="1"/>
  <c r="V17" i="14"/>
  <c r="W17" i="14" s="1"/>
  <c r="V18" i="14"/>
  <c r="W18" i="14" s="1"/>
  <c r="V19" i="14"/>
  <c r="W19" i="14" s="1"/>
  <c r="V20" i="14"/>
  <c r="W20" i="14" s="1"/>
  <c r="V21" i="14"/>
  <c r="W21" i="14" s="1"/>
  <c r="V22" i="14"/>
  <c r="W22" i="14" s="1"/>
  <c r="V23" i="14"/>
  <c r="W23" i="14" s="1"/>
  <c r="V24" i="14"/>
  <c r="W24" i="14" s="1"/>
  <c r="V25" i="14"/>
  <c r="W25" i="14" s="1"/>
  <c r="V26" i="14"/>
  <c r="W26" i="14" s="1"/>
  <c r="V27" i="14"/>
  <c r="W27" i="14" s="1"/>
  <c r="V28" i="14"/>
  <c r="W28" i="14" s="1"/>
  <c r="V29" i="14"/>
  <c r="W29" i="14" s="1"/>
  <c r="V30" i="14"/>
  <c r="W30" i="14" s="1"/>
  <c r="V31" i="14"/>
  <c r="W31" i="14" s="1"/>
  <c r="V32" i="14"/>
  <c r="W32" i="14" s="1"/>
  <c r="V33" i="14"/>
  <c r="W33" i="14" s="1"/>
  <c r="V34" i="14"/>
  <c r="W34" i="14" s="1"/>
  <c r="V5" i="14"/>
  <c r="W5" i="14" s="1"/>
  <c r="S6" i="14"/>
  <c r="T6" i="14" s="1"/>
  <c r="S7" i="14"/>
  <c r="T7" i="14" s="1"/>
  <c r="S8" i="14"/>
  <c r="T8" i="14" s="1"/>
  <c r="S9" i="14"/>
  <c r="T9" i="14" s="1"/>
  <c r="S10" i="14"/>
  <c r="T10" i="14" s="1"/>
  <c r="S11" i="14"/>
  <c r="T11" i="14" s="1"/>
  <c r="S12" i="14"/>
  <c r="T12" i="14" s="1"/>
  <c r="S13" i="14"/>
  <c r="T13" i="14" s="1"/>
  <c r="S14" i="14"/>
  <c r="T14" i="14" s="1"/>
  <c r="S15" i="14"/>
  <c r="T15" i="14" s="1"/>
  <c r="S16" i="14"/>
  <c r="T16" i="14" s="1"/>
  <c r="S17" i="14"/>
  <c r="T17" i="14" s="1"/>
  <c r="S18" i="14"/>
  <c r="T18" i="14" s="1"/>
  <c r="S19" i="14"/>
  <c r="T19" i="14" s="1"/>
  <c r="S20" i="14"/>
  <c r="T20" i="14" s="1"/>
  <c r="S21" i="14"/>
  <c r="T21" i="14" s="1"/>
  <c r="S22" i="14"/>
  <c r="T22" i="14" s="1"/>
  <c r="S23" i="14"/>
  <c r="T23" i="14" s="1"/>
  <c r="S24" i="14"/>
  <c r="T24" i="14" s="1"/>
  <c r="S25" i="14"/>
  <c r="T25" i="14" s="1"/>
  <c r="S26" i="14"/>
  <c r="T26" i="14" s="1"/>
  <c r="S27" i="14"/>
  <c r="T27" i="14" s="1"/>
  <c r="S28" i="14"/>
  <c r="T28" i="14" s="1"/>
  <c r="S29" i="14"/>
  <c r="T29" i="14" s="1"/>
  <c r="S30" i="14"/>
  <c r="T30" i="14" s="1"/>
  <c r="S31" i="14"/>
  <c r="T31" i="14" s="1"/>
  <c r="S32" i="14"/>
  <c r="T32" i="14" s="1"/>
  <c r="S33" i="14"/>
  <c r="T33" i="14" s="1"/>
  <c r="S34" i="14"/>
  <c r="T34" i="14" s="1"/>
  <c r="S5" i="14"/>
  <c r="T5" i="14" s="1"/>
  <c r="P6" i="14"/>
  <c r="Q6" i="14" s="1"/>
  <c r="P7" i="14"/>
  <c r="Q7" i="14" s="1"/>
  <c r="P8" i="14"/>
  <c r="Q8" i="14" s="1"/>
  <c r="P9" i="14"/>
  <c r="Q9" i="14" s="1"/>
  <c r="P10" i="14"/>
  <c r="Q10" i="14" s="1"/>
  <c r="P11" i="14"/>
  <c r="Q11" i="14" s="1"/>
  <c r="P12" i="14"/>
  <c r="Q12" i="14" s="1"/>
  <c r="P13" i="14"/>
  <c r="Q13" i="14" s="1"/>
  <c r="P14" i="14"/>
  <c r="Q14" i="14" s="1"/>
  <c r="P15" i="14"/>
  <c r="Q15" i="14" s="1"/>
  <c r="P16" i="14"/>
  <c r="Q16" i="14" s="1"/>
  <c r="P17" i="14"/>
  <c r="Q17" i="14" s="1"/>
  <c r="P18" i="14"/>
  <c r="Q18" i="14" s="1"/>
  <c r="P19" i="14"/>
  <c r="Q19" i="14" s="1"/>
  <c r="P20" i="14"/>
  <c r="Q20" i="14" s="1"/>
  <c r="P21" i="14"/>
  <c r="Q21" i="14" s="1"/>
  <c r="P22" i="14"/>
  <c r="Q22" i="14" s="1"/>
  <c r="P23" i="14"/>
  <c r="Q23" i="14" s="1"/>
  <c r="P24" i="14"/>
  <c r="Q24" i="14" s="1"/>
  <c r="P25" i="14"/>
  <c r="Q25" i="14" s="1"/>
  <c r="P26" i="14"/>
  <c r="Q26" i="14" s="1"/>
  <c r="P27" i="14"/>
  <c r="Q27" i="14" s="1"/>
  <c r="P28" i="14"/>
  <c r="Q28" i="14" s="1"/>
  <c r="P29" i="14"/>
  <c r="Q29" i="14" s="1"/>
  <c r="P30" i="14"/>
  <c r="Q30" i="14" s="1"/>
  <c r="P31" i="14"/>
  <c r="Q31" i="14" s="1"/>
  <c r="P32" i="14"/>
  <c r="Q32" i="14" s="1"/>
  <c r="P33" i="14"/>
  <c r="Q33" i="14" s="1"/>
  <c r="P34" i="14"/>
  <c r="Q34" i="14" s="1"/>
  <c r="P5" i="14"/>
  <c r="Q5" i="14" s="1"/>
  <c r="L6" i="14"/>
  <c r="M6" i="14" s="1"/>
  <c r="L7" i="14"/>
  <c r="M7" i="14" s="1"/>
  <c r="L8" i="14"/>
  <c r="M8" i="14" s="1"/>
  <c r="L9" i="14"/>
  <c r="M9" i="14" s="1"/>
  <c r="L10" i="14"/>
  <c r="M10" i="14" s="1"/>
  <c r="L11" i="14"/>
  <c r="M11" i="14" s="1"/>
  <c r="L12" i="14"/>
  <c r="M12" i="14" s="1"/>
  <c r="L13" i="14"/>
  <c r="M13" i="14" s="1"/>
  <c r="L14" i="14"/>
  <c r="M14" i="14" s="1"/>
  <c r="L15" i="14"/>
  <c r="M15" i="14" s="1"/>
  <c r="L16" i="14"/>
  <c r="M16" i="14" s="1"/>
  <c r="L17" i="14"/>
  <c r="M17" i="14" s="1"/>
  <c r="L18" i="14"/>
  <c r="M18" i="14" s="1"/>
  <c r="L19" i="14"/>
  <c r="M19" i="14" s="1"/>
  <c r="L20" i="14"/>
  <c r="M20" i="14" s="1"/>
  <c r="L21" i="14"/>
  <c r="M21" i="14" s="1"/>
  <c r="L22" i="14"/>
  <c r="M22" i="14" s="1"/>
  <c r="L23" i="14"/>
  <c r="M23" i="14" s="1"/>
  <c r="L24" i="14"/>
  <c r="M24" i="14" s="1"/>
  <c r="L25" i="14"/>
  <c r="M25" i="14" s="1"/>
  <c r="L26" i="14"/>
  <c r="M26" i="14" s="1"/>
  <c r="L27" i="14"/>
  <c r="M27" i="14" s="1"/>
  <c r="L28" i="14"/>
  <c r="M28" i="14" s="1"/>
  <c r="L29" i="14"/>
  <c r="M29" i="14" s="1"/>
  <c r="L30" i="14"/>
  <c r="M30" i="14" s="1"/>
  <c r="L31" i="14"/>
  <c r="M31" i="14" s="1"/>
  <c r="L32" i="14"/>
  <c r="M32" i="14" s="1"/>
  <c r="L33" i="14"/>
  <c r="M33" i="14" s="1"/>
  <c r="L34" i="14"/>
  <c r="M34" i="14" s="1"/>
  <c r="L5" i="14"/>
  <c r="M5" i="14" s="1"/>
  <c r="I6" i="14"/>
  <c r="J6" i="14" s="1"/>
  <c r="I7" i="14"/>
  <c r="J7" i="14" s="1"/>
  <c r="I8" i="14"/>
  <c r="I9" i="14"/>
  <c r="J9" i="14" s="1"/>
  <c r="I10" i="14"/>
  <c r="J10" i="14" s="1"/>
  <c r="I11" i="14"/>
  <c r="J11" i="14" s="1"/>
  <c r="I12" i="14"/>
  <c r="J12" i="14" s="1"/>
  <c r="I13" i="14"/>
  <c r="J13" i="14" s="1"/>
  <c r="I14" i="14"/>
  <c r="J14" i="14" s="1"/>
  <c r="I15" i="14"/>
  <c r="J15" i="14" s="1"/>
  <c r="I16" i="14"/>
  <c r="J16" i="14" s="1"/>
  <c r="I17" i="14"/>
  <c r="J17" i="14" s="1"/>
  <c r="I18" i="14"/>
  <c r="J18" i="14" s="1"/>
  <c r="I19" i="14"/>
  <c r="J19" i="14" s="1"/>
  <c r="I20" i="14"/>
  <c r="J20" i="14" s="1"/>
  <c r="I21" i="14"/>
  <c r="J21" i="14" s="1"/>
  <c r="I22" i="14"/>
  <c r="J22" i="14" s="1"/>
  <c r="I23" i="14"/>
  <c r="J23" i="14" s="1"/>
  <c r="I24" i="14"/>
  <c r="J24" i="14" s="1"/>
  <c r="I25" i="14"/>
  <c r="J25" i="14" s="1"/>
  <c r="I26" i="14"/>
  <c r="J26" i="14" s="1"/>
  <c r="I27" i="14"/>
  <c r="J27" i="14" s="1"/>
  <c r="I28" i="14"/>
  <c r="J28" i="14" s="1"/>
  <c r="I29" i="14"/>
  <c r="J29" i="14" s="1"/>
  <c r="I30" i="14"/>
  <c r="J30" i="14" s="1"/>
  <c r="I31" i="14"/>
  <c r="J31" i="14" s="1"/>
  <c r="I32" i="14"/>
  <c r="J32" i="14" s="1"/>
  <c r="I33" i="14"/>
  <c r="J33" i="14" s="1"/>
  <c r="I34" i="14"/>
  <c r="J34" i="14" s="1"/>
  <c r="I5" i="14"/>
  <c r="J5" i="14" s="1"/>
  <c r="F6" i="14"/>
  <c r="G6" i="14" s="1"/>
  <c r="F7" i="14"/>
  <c r="G7" i="14" s="1"/>
  <c r="F8" i="14"/>
  <c r="G8" i="14" s="1"/>
  <c r="F9" i="14"/>
  <c r="G9" i="14" s="1"/>
  <c r="F10" i="14"/>
  <c r="G10" i="14" s="1"/>
  <c r="F11" i="14"/>
  <c r="G11" i="14" s="1"/>
  <c r="F12" i="14"/>
  <c r="G12" i="14" s="1"/>
  <c r="F13" i="14"/>
  <c r="G13" i="14" s="1"/>
  <c r="F14" i="14"/>
  <c r="G14" i="14" s="1"/>
  <c r="F15" i="14"/>
  <c r="G15" i="14" s="1"/>
  <c r="F16" i="14"/>
  <c r="G16" i="14" s="1"/>
  <c r="F17" i="14"/>
  <c r="G17" i="14" s="1"/>
  <c r="F18" i="14"/>
  <c r="G18" i="14" s="1"/>
  <c r="F19" i="14"/>
  <c r="G19" i="14" s="1"/>
  <c r="F20" i="14"/>
  <c r="G20" i="14" s="1"/>
  <c r="F21" i="14"/>
  <c r="G21" i="14" s="1"/>
  <c r="F22" i="14"/>
  <c r="G22" i="14" s="1"/>
  <c r="F23" i="14"/>
  <c r="G23" i="14" s="1"/>
  <c r="F24" i="14"/>
  <c r="G24" i="14" s="1"/>
  <c r="F25" i="14"/>
  <c r="G25" i="14" s="1"/>
  <c r="F26" i="14"/>
  <c r="G26" i="14" s="1"/>
  <c r="F27" i="14"/>
  <c r="G27" i="14" s="1"/>
  <c r="F28" i="14"/>
  <c r="G28" i="14" s="1"/>
  <c r="F29" i="14"/>
  <c r="G29" i="14" s="1"/>
  <c r="F30" i="14"/>
  <c r="G30" i="14" s="1"/>
  <c r="F31" i="14"/>
  <c r="G31" i="14" s="1"/>
  <c r="F32" i="14"/>
  <c r="G32" i="14" s="1"/>
  <c r="F33" i="14"/>
  <c r="G33" i="14" s="1"/>
  <c r="F34" i="14"/>
  <c r="G34" i="14" s="1"/>
  <c r="F5" i="14"/>
  <c r="AB6" i="14"/>
  <c r="AB7" i="14"/>
  <c r="AB8" i="14"/>
  <c r="AB10" i="14"/>
  <c r="AB11" i="14"/>
  <c r="AB12" i="14"/>
  <c r="AB13" i="14"/>
  <c r="AB14" i="14"/>
  <c r="C15" i="14"/>
  <c r="AB16" i="14"/>
  <c r="AB18" i="14"/>
  <c r="AB19" i="14"/>
  <c r="AB21" i="14"/>
  <c r="AB22" i="14"/>
  <c r="AB23" i="14"/>
  <c r="AB25" i="14"/>
  <c r="AB26" i="14"/>
  <c r="AB30" i="14"/>
  <c r="AB31" i="14"/>
  <c r="AB34" i="14"/>
  <c r="AB5" i="14"/>
  <c r="AB35" i="7"/>
  <c r="AB34" i="4"/>
  <c r="AB35" i="14"/>
  <c r="AD26" i="13" l="1"/>
  <c r="AD14" i="6"/>
  <c r="AD25" i="13"/>
  <c r="AD31" i="6"/>
  <c r="AC28" i="13"/>
  <c r="F13" i="15"/>
  <c r="I13" i="15"/>
  <c r="D13" i="15"/>
  <c r="H13" i="15"/>
  <c r="E13" i="15"/>
  <c r="G13" i="15"/>
  <c r="C13" i="15"/>
  <c r="L36" i="11"/>
  <c r="M36" i="11" s="1"/>
  <c r="E12" i="15" s="1"/>
  <c r="Y36" i="11"/>
  <c r="Z36" i="11" s="1"/>
  <c r="I12" i="15" s="1"/>
  <c r="P36" i="11"/>
  <c r="Q36" i="11" s="1"/>
  <c r="F12" i="15" s="1"/>
  <c r="F36" i="11"/>
  <c r="G36" i="11" s="1"/>
  <c r="C12" i="15" s="1"/>
  <c r="C36" i="11"/>
  <c r="D36" i="11" s="1"/>
  <c r="B12" i="15" s="1"/>
  <c r="V36" i="11"/>
  <c r="W36" i="11" s="1"/>
  <c r="H12" i="15" s="1"/>
  <c r="S36" i="11"/>
  <c r="T36" i="11" s="1"/>
  <c r="G12" i="15" s="1"/>
  <c r="I36" i="11"/>
  <c r="J36" i="11" s="1"/>
  <c r="D12" i="15" s="1"/>
  <c r="AB18" i="6"/>
  <c r="C10" i="14"/>
  <c r="D10" i="14" s="1"/>
  <c r="AD10" i="14" s="1"/>
  <c r="AB22" i="13"/>
  <c r="C13" i="14"/>
  <c r="D13" i="14" s="1"/>
  <c r="AD13" i="14" s="1"/>
  <c r="C34" i="6"/>
  <c r="D34" i="6" s="1"/>
  <c r="AD34" i="6" s="1"/>
  <c r="C11" i="4"/>
  <c r="D11" i="4" s="1"/>
  <c r="AD11" i="4" s="1"/>
  <c r="AC14" i="6"/>
  <c r="C34" i="13"/>
  <c r="D34" i="13" s="1"/>
  <c r="AD34" i="13" s="1"/>
  <c r="AB10" i="6"/>
  <c r="D18" i="1"/>
  <c r="C15" i="4"/>
  <c r="D15" i="4" s="1"/>
  <c r="C21" i="14"/>
  <c r="D21" i="14" s="1"/>
  <c r="AD21" i="14" s="1"/>
  <c r="AB14" i="6"/>
  <c r="AB6" i="13"/>
  <c r="C16" i="7"/>
  <c r="D16" i="7" s="1"/>
  <c r="AD16" i="7" s="1"/>
  <c r="Y36" i="16"/>
  <c r="Z36" i="16" s="1"/>
  <c r="I11" i="15" s="1"/>
  <c r="AB15" i="13"/>
  <c r="C22" i="14"/>
  <c r="D22" i="14" s="1"/>
  <c r="AD22" i="14" s="1"/>
  <c r="D27" i="1"/>
  <c r="AD27" i="1" s="1"/>
  <c r="C7" i="6"/>
  <c r="AC7" i="6" s="1"/>
  <c r="I36" i="16"/>
  <c r="J36" i="16" s="1"/>
  <c r="D11" i="15" s="1"/>
  <c r="S36" i="16"/>
  <c r="T36" i="16" s="1"/>
  <c r="G11" i="15" s="1"/>
  <c r="AB27" i="13"/>
  <c r="C7" i="13"/>
  <c r="D7" i="13" s="1"/>
  <c r="AD7" i="13" s="1"/>
  <c r="C31" i="13"/>
  <c r="D31" i="13" s="1"/>
  <c r="AD31" i="13" s="1"/>
  <c r="F36" i="16"/>
  <c r="G36" i="16" s="1"/>
  <c r="L36" i="16"/>
  <c r="M36" i="16" s="1"/>
  <c r="E11" i="15" s="1"/>
  <c r="C36" i="16"/>
  <c r="D36" i="16" s="1"/>
  <c r="B11" i="15" s="1"/>
  <c r="V36" i="16"/>
  <c r="W36" i="16" s="1"/>
  <c r="H11" i="15" s="1"/>
  <c r="P36" i="16"/>
  <c r="Q36" i="16" s="1"/>
  <c r="F11" i="15" s="1"/>
  <c r="AB23" i="6"/>
  <c r="C19" i="13"/>
  <c r="AC19" i="13" s="1"/>
  <c r="C26" i="14"/>
  <c r="D26" i="14" s="1"/>
  <c r="AD26" i="14" s="1"/>
  <c r="AB31" i="6"/>
  <c r="I10" i="15"/>
  <c r="G10" i="15"/>
  <c r="C8" i="7"/>
  <c r="D8" i="7" s="1"/>
  <c r="AD8" i="7" s="1"/>
  <c r="D33" i="1"/>
  <c r="AD33" i="1" s="1"/>
  <c r="C28" i="7"/>
  <c r="D28" i="7" s="1"/>
  <c r="AD28" i="7" s="1"/>
  <c r="C20" i="7"/>
  <c r="D20" i="7" s="1"/>
  <c r="AD20" i="7" s="1"/>
  <c r="E10" i="15"/>
  <c r="AC29" i="1"/>
  <c r="AB9" i="1"/>
  <c r="AD12" i="7"/>
  <c r="AB21" i="6"/>
  <c r="AB33" i="6"/>
  <c r="D17" i="1"/>
  <c r="D13" i="1"/>
  <c r="AD13" i="1" s="1"/>
  <c r="C9" i="6"/>
  <c r="D9" i="6" s="1"/>
  <c r="AD9" i="6" s="1"/>
  <c r="AB12" i="7"/>
  <c r="AC22" i="4"/>
  <c r="C6" i="4"/>
  <c r="D6" i="4" s="1"/>
  <c r="AD6" i="4" s="1"/>
  <c r="C17" i="6"/>
  <c r="D17" i="6" s="1"/>
  <c r="AD17" i="6" s="1"/>
  <c r="AB22" i="4"/>
  <c r="AB24" i="7"/>
  <c r="AB29" i="6"/>
  <c r="AC25" i="1"/>
  <c r="C10" i="4"/>
  <c r="D10" i="4" s="1"/>
  <c r="AD10" i="4" s="1"/>
  <c r="C32" i="7"/>
  <c r="D32" i="7" s="1"/>
  <c r="AD32" i="7" s="1"/>
  <c r="C23" i="14"/>
  <c r="D23" i="14" s="1"/>
  <c r="AD23" i="14" s="1"/>
  <c r="AF30" i="6"/>
  <c r="C27" i="14"/>
  <c r="D27" i="14" s="1"/>
  <c r="AD27" i="14" s="1"/>
  <c r="AB27" i="14"/>
  <c r="AB28" i="13"/>
  <c r="C11" i="14"/>
  <c r="D11" i="14" s="1"/>
  <c r="AD11" i="14" s="1"/>
  <c r="AB26" i="4"/>
  <c r="AB14" i="4"/>
  <c r="AB25" i="6"/>
  <c r="AB21" i="13"/>
  <c r="D21" i="1"/>
  <c r="AD21" i="1" s="1"/>
  <c r="C12" i="13"/>
  <c r="D12" i="13" s="1"/>
  <c r="AD12" i="13" s="1"/>
  <c r="C32" i="13"/>
  <c r="D32" i="13" s="1"/>
  <c r="AD32" i="13" s="1"/>
  <c r="C30" i="4"/>
  <c r="D30" i="4" s="1"/>
  <c r="AD30" i="4" s="1"/>
  <c r="AB30" i="4"/>
  <c r="AB18" i="4"/>
  <c r="C18" i="4"/>
  <c r="AD14" i="4"/>
  <c r="AB13" i="6"/>
  <c r="C13" i="6"/>
  <c r="D13" i="6" s="1"/>
  <c r="AD13" i="6" s="1"/>
  <c r="D16" i="13"/>
  <c r="AD16" i="13" s="1"/>
  <c r="AC16" i="13"/>
  <c r="D15" i="14"/>
  <c r="AD15" i="14" s="1"/>
  <c r="AC15" i="14"/>
  <c r="D20" i="13"/>
  <c r="AD20" i="13" s="1"/>
  <c r="AC20" i="13"/>
  <c r="D24" i="13"/>
  <c r="AD24" i="13" s="1"/>
  <c r="AC24" i="13"/>
  <c r="AC14" i="4"/>
  <c r="AB5" i="13"/>
  <c r="AB8" i="13"/>
  <c r="AB20" i="13"/>
  <c r="AB24" i="13"/>
  <c r="C31" i="14"/>
  <c r="D31" i="14" s="1"/>
  <c r="AD31" i="14" s="1"/>
  <c r="C19" i="14"/>
  <c r="D19" i="14" s="1"/>
  <c r="AD19" i="14" s="1"/>
  <c r="C5" i="14"/>
  <c r="D5" i="14" s="1"/>
  <c r="AD5" i="14" s="1"/>
  <c r="AB15" i="14"/>
  <c r="AB16" i="13"/>
  <c r="AF20" i="6"/>
  <c r="C7" i="14"/>
  <c r="D7" i="14" s="1"/>
  <c r="AD7" i="14" s="1"/>
  <c r="D27" i="4"/>
  <c r="AD27" i="4" s="1"/>
  <c r="AC27" i="4"/>
  <c r="AB33" i="14"/>
  <c r="C33" i="14"/>
  <c r="D33" i="14" s="1"/>
  <c r="AD33" i="14" s="1"/>
  <c r="AB34" i="1"/>
  <c r="D34" i="1"/>
  <c r="C26" i="6"/>
  <c r="D26" i="6" s="1"/>
  <c r="AD26" i="6" s="1"/>
  <c r="AB26" i="6"/>
  <c r="C21" i="7"/>
  <c r="AB21" i="7"/>
  <c r="AB9" i="7"/>
  <c r="C9" i="7"/>
  <c r="AC9" i="7" s="1"/>
  <c r="AC29" i="6"/>
  <c r="C10" i="13"/>
  <c r="D10" i="13" s="1"/>
  <c r="AD10" i="13" s="1"/>
  <c r="C18" i="13"/>
  <c r="D18" i="13" s="1"/>
  <c r="AB26" i="13"/>
  <c r="C30" i="13"/>
  <c r="D30" i="13" s="1"/>
  <c r="AC30" i="1"/>
  <c r="D26" i="1"/>
  <c r="AD26" i="1" s="1"/>
  <c r="AB27" i="4"/>
  <c r="AC9" i="1"/>
  <c r="D9" i="1"/>
  <c r="AD9" i="1" s="1"/>
  <c r="AB29" i="14"/>
  <c r="C29" i="14"/>
  <c r="D29" i="14" s="1"/>
  <c r="AD29" i="14" s="1"/>
  <c r="AB10" i="1"/>
  <c r="D10" i="1"/>
  <c r="AD10" i="1" s="1"/>
  <c r="AB31" i="4"/>
  <c r="C31" i="4"/>
  <c r="AC31" i="4" s="1"/>
  <c r="AB19" i="4"/>
  <c r="C19" i="4"/>
  <c r="D19" i="4" s="1"/>
  <c r="AB7" i="4"/>
  <c r="C7" i="4"/>
  <c r="D7" i="4" s="1"/>
  <c r="AD7" i="4" s="1"/>
  <c r="C30" i="6"/>
  <c r="D30" i="6" s="1"/>
  <c r="AD30" i="6" s="1"/>
  <c r="AB30" i="6"/>
  <c r="C6" i="6"/>
  <c r="AC6" i="6" s="1"/>
  <c r="AB6" i="6"/>
  <c r="AB29" i="7"/>
  <c r="C29" i="7"/>
  <c r="AB13" i="7"/>
  <c r="C13" i="7"/>
  <c r="AB17" i="14"/>
  <c r="C17" i="14"/>
  <c r="D17" i="14" s="1"/>
  <c r="AD17" i="14" s="1"/>
  <c r="AB9" i="14"/>
  <c r="C9" i="14"/>
  <c r="D9" i="14" s="1"/>
  <c r="AD9" i="14" s="1"/>
  <c r="AB22" i="1"/>
  <c r="D22" i="1"/>
  <c r="AD22" i="1" s="1"/>
  <c r="AB14" i="1"/>
  <c r="D14" i="1"/>
  <c r="AD14" i="1" s="1"/>
  <c r="AB23" i="4"/>
  <c r="C23" i="4"/>
  <c r="AC23" i="4" s="1"/>
  <c r="C22" i="6"/>
  <c r="AB22" i="6"/>
  <c r="AB33" i="7"/>
  <c r="C33" i="7"/>
  <c r="AB25" i="7"/>
  <c r="C25" i="7"/>
  <c r="D25" i="7" s="1"/>
  <c r="AD25" i="7" s="1"/>
  <c r="C17" i="7"/>
  <c r="D17" i="7" s="1"/>
  <c r="AD17" i="7" s="1"/>
  <c r="AB17" i="7"/>
  <c r="C14" i="13"/>
  <c r="C25" i="14"/>
  <c r="D25" i="14" s="1"/>
  <c r="AD25" i="14" s="1"/>
  <c r="AD26" i="4"/>
  <c r="AB6" i="1"/>
  <c r="AC26" i="4"/>
  <c r="AF26" i="6"/>
  <c r="AF14" i="6"/>
  <c r="D27" i="13"/>
  <c r="AD27" i="13" s="1"/>
  <c r="AC27" i="13"/>
  <c r="AB11" i="1"/>
  <c r="AB28" i="4"/>
  <c r="C28" i="4"/>
  <c r="AC28" i="4" s="1"/>
  <c r="AB12" i="4"/>
  <c r="C12" i="4"/>
  <c r="AC31" i="6"/>
  <c r="C11" i="13"/>
  <c r="C23" i="13"/>
  <c r="AC23" i="13" s="1"/>
  <c r="D28" i="13"/>
  <c r="AD28" i="13" s="1"/>
  <c r="C35" i="13"/>
  <c r="D35" i="13" s="1"/>
  <c r="AD35" i="13" s="1"/>
  <c r="C34" i="14"/>
  <c r="D34" i="14" s="1"/>
  <c r="AD34" i="14" s="1"/>
  <c r="C11" i="6"/>
  <c r="AB19" i="1"/>
  <c r="D19" i="1"/>
  <c r="AD19" i="1" s="1"/>
  <c r="AB7" i="1"/>
  <c r="AB32" i="4"/>
  <c r="C32" i="4"/>
  <c r="AB20" i="4"/>
  <c r="C20" i="4"/>
  <c r="D20" i="4" s="1"/>
  <c r="AD20" i="4" s="1"/>
  <c r="AB30" i="7"/>
  <c r="C30" i="7"/>
  <c r="D30" i="7" s="1"/>
  <c r="AD30" i="7" s="1"/>
  <c r="AB18" i="7"/>
  <c r="C18" i="7"/>
  <c r="AB10" i="7"/>
  <c r="C10" i="7"/>
  <c r="C30" i="14"/>
  <c r="D30" i="14" s="1"/>
  <c r="AD30" i="14" s="1"/>
  <c r="C14" i="14"/>
  <c r="D31" i="1"/>
  <c r="AD31" i="1" s="1"/>
  <c r="D23" i="1"/>
  <c r="C19" i="6"/>
  <c r="D19" i="6" s="1"/>
  <c r="AD19" i="6" s="1"/>
  <c r="AB15" i="1"/>
  <c r="AB24" i="4"/>
  <c r="C24" i="4"/>
  <c r="AC24" i="4" s="1"/>
  <c r="AB16" i="4"/>
  <c r="C16" i="4"/>
  <c r="D16" i="4" s="1"/>
  <c r="AD16" i="4" s="1"/>
  <c r="AB8" i="4"/>
  <c r="C8" i="4"/>
  <c r="D8" i="4" s="1"/>
  <c r="AD8" i="4" s="1"/>
  <c r="AD23" i="6"/>
  <c r="AB15" i="6"/>
  <c r="C15" i="6"/>
  <c r="AB34" i="7"/>
  <c r="C34" i="7"/>
  <c r="D34" i="7" s="1"/>
  <c r="AD34" i="7" s="1"/>
  <c r="AB26" i="7"/>
  <c r="C26" i="7"/>
  <c r="AB14" i="7"/>
  <c r="C14" i="7"/>
  <c r="D14" i="7" s="1"/>
  <c r="AD14" i="7" s="1"/>
  <c r="AB27" i="6"/>
  <c r="AB35" i="6"/>
  <c r="C18" i="14"/>
  <c r="C6" i="14"/>
  <c r="C22" i="7"/>
  <c r="C6" i="7"/>
  <c r="D6" i="7" s="1"/>
  <c r="AD6" i="7" s="1"/>
  <c r="AF18" i="6"/>
  <c r="AC10" i="6"/>
  <c r="AC12" i="7"/>
  <c r="AC23" i="6"/>
  <c r="F35" i="7"/>
  <c r="Q6" i="1"/>
  <c r="AD6" i="1" s="1"/>
  <c r="AC6" i="1"/>
  <c r="Q19" i="4"/>
  <c r="AD29" i="6"/>
  <c r="D21" i="6"/>
  <c r="AD21" i="6" s="1"/>
  <c r="AC21" i="6"/>
  <c r="AC27" i="6"/>
  <c r="Q10" i="6"/>
  <c r="AD10" i="6" s="1"/>
  <c r="D8" i="13"/>
  <c r="AD8" i="13" s="1"/>
  <c r="AC8" i="13"/>
  <c r="Q23" i="1"/>
  <c r="D18" i="6"/>
  <c r="AD18" i="6" s="1"/>
  <c r="AC18" i="6"/>
  <c r="D35" i="6"/>
  <c r="AD35" i="6" s="1"/>
  <c r="AC35" i="6"/>
  <c r="J36" i="5"/>
  <c r="D14" i="15" s="1"/>
  <c r="AF28" i="6"/>
  <c r="AF24" i="6"/>
  <c r="AF16" i="6"/>
  <c r="AF12" i="6"/>
  <c r="AF35" i="6"/>
  <c r="AF31" i="6"/>
  <c r="AF23" i="6"/>
  <c r="AF19" i="6"/>
  <c r="AF15" i="6"/>
  <c r="AF11" i="6"/>
  <c r="AF29" i="6"/>
  <c r="AF13" i="6"/>
  <c r="Z36" i="6"/>
  <c r="I7" i="15" s="1"/>
  <c r="AF6" i="6"/>
  <c r="AF34" i="6"/>
  <c r="AF27" i="6"/>
  <c r="AF9" i="6"/>
  <c r="AC26" i="13"/>
  <c r="I36" i="8"/>
  <c r="J36" i="8" s="1"/>
  <c r="D9" i="15" s="1"/>
  <c r="AB8" i="6"/>
  <c r="AD22" i="4"/>
  <c r="AB21" i="4"/>
  <c r="F34" i="4"/>
  <c r="AF33" i="6"/>
  <c r="AF17" i="6"/>
  <c r="W35" i="7"/>
  <c r="H8" i="15" s="1"/>
  <c r="V36" i="5"/>
  <c r="L35" i="14"/>
  <c r="P35" i="14"/>
  <c r="J36" i="1"/>
  <c r="D5" i="15" s="1"/>
  <c r="T34" i="4"/>
  <c r="G6" i="15" s="1"/>
  <c r="C28" i="6"/>
  <c r="D28" i="6" s="1"/>
  <c r="AD28" i="6" s="1"/>
  <c r="AB28" i="6"/>
  <c r="AF32" i="6"/>
  <c r="Y36" i="8"/>
  <c r="Z36" i="8" s="1"/>
  <c r="I9" i="15" s="1"/>
  <c r="G5" i="4"/>
  <c r="G34" i="4" s="1"/>
  <c r="C6" i="15" s="1"/>
  <c r="I34" i="4"/>
  <c r="Q18" i="1"/>
  <c r="M36" i="5"/>
  <c r="E14" i="15" s="1"/>
  <c r="Q35" i="14"/>
  <c r="AD13" i="13"/>
  <c r="AD27" i="6"/>
  <c r="AF22" i="6"/>
  <c r="T36" i="13"/>
  <c r="W7" i="13"/>
  <c r="W36" i="13" s="1"/>
  <c r="V36" i="13"/>
  <c r="W36" i="1"/>
  <c r="H5" i="15" s="1"/>
  <c r="M34" i="4"/>
  <c r="E6" i="15" s="1"/>
  <c r="T36" i="6"/>
  <c r="G7" i="15" s="1"/>
  <c r="AF5" i="6"/>
  <c r="W35" i="14"/>
  <c r="Y35" i="14"/>
  <c r="L36" i="13"/>
  <c r="Q5" i="13"/>
  <c r="P36" i="13"/>
  <c r="Q34" i="1"/>
  <c r="G36" i="13"/>
  <c r="D22" i="13"/>
  <c r="AD22" i="13" s="1"/>
  <c r="AC22" i="13"/>
  <c r="Q24" i="7"/>
  <c r="AD24" i="7" s="1"/>
  <c r="AC24" i="7"/>
  <c r="T35" i="14"/>
  <c r="AD21" i="13"/>
  <c r="J36" i="13"/>
  <c r="G36" i="1"/>
  <c r="C5" i="15" s="1"/>
  <c r="V36" i="1"/>
  <c r="S36" i="1"/>
  <c r="D6" i="13"/>
  <c r="AC6" i="13"/>
  <c r="Q30" i="13"/>
  <c r="P34" i="4"/>
  <c r="Q5" i="4"/>
  <c r="Z35" i="14"/>
  <c r="Y36" i="13"/>
  <c r="M36" i="13"/>
  <c r="AF7" i="6"/>
  <c r="Z36" i="1"/>
  <c r="I5" i="15" s="1"/>
  <c r="S36" i="6"/>
  <c r="D15" i="13"/>
  <c r="AD15" i="13" s="1"/>
  <c r="AC15" i="13"/>
  <c r="Z36" i="13"/>
  <c r="Q17" i="1"/>
  <c r="D33" i="6"/>
  <c r="AD33" i="6" s="1"/>
  <c r="AC33" i="6"/>
  <c r="AB32" i="14"/>
  <c r="C32" i="14"/>
  <c r="AB24" i="14"/>
  <c r="C24" i="14"/>
  <c r="J8" i="14"/>
  <c r="J35" i="14" s="1"/>
  <c r="I35" i="14"/>
  <c r="AB20" i="1"/>
  <c r="AB5" i="4"/>
  <c r="C5" i="4"/>
  <c r="AC21" i="4"/>
  <c r="D21" i="4"/>
  <c r="AD21" i="4" s="1"/>
  <c r="AB9" i="4"/>
  <c r="C9" i="4"/>
  <c r="Z5" i="4"/>
  <c r="Z34" i="4" s="1"/>
  <c r="I6" i="15" s="1"/>
  <c r="Y34" i="4"/>
  <c r="D8" i="6"/>
  <c r="AD8" i="6" s="1"/>
  <c r="AC8" i="6"/>
  <c r="G36" i="6"/>
  <c r="C7" i="15" s="1"/>
  <c r="M36" i="6"/>
  <c r="E7" i="15" s="1"/>
  <c r="C5" i="7"/>
  <c r="AB5" i="7"/>
  <c r="C19" i="7"/>
  <c r="AB19" i="7"/>
  <c r="G35" i="7"/>
  <c r="C8" i="15" s="1"/>
  <c r="V36" i="8"/>
  <c r="W36" i="8" s="1"/>
  <c r="H9" i="15" s="1"/>
  <c r="H10" i="15"/>
  <c r="L36" i="5"/>
  <c r="P36" i="5"/>
  <c r="AC21" i="13"/>
  <c r="AC25" i="13"/>
  <c r="AC13" i="13"/>
  <c r="S35" i="14"/>
  <c r="V34" i="4"/>
  <c r="V36" i="6"/>
  <c r="I36" i="1"/>
  <c r="L36" i="1"/>
  <c r="D10" i="15"/>
  <c r="L36" i="6"/>
  <c r="P36" i="8"/>
  <c r="Q36" i="8" s="1"/>
  <c r="F9" i="15" s="1"/>
  <c r="C29" i="13"/>
  <c r="Q18" i="13"/>
  <c r="Q25" i="6"/>
  <c r="AC25" i="6"/>
  <c r="C24" i="6"/>
  <c r="G36" i="5"/>
  <c r="C14" i="15" s="1"/>
  <c r="F36" i="5"/>
  <c r="W36" i="5"/>
  <c r="G14" i="15" s="1"/>
  <c r="H14" i="15"/>
  <c r="AB20" i="14"/>
  <c r="C20" i="14"/>
  <c r="AC17" i="13"/>
  <c r="D17" i="13"/>
  <c r="AD17" i="13" s="1"/>
  <c r="F36" i="13"/>
  <c r="C5" i="1"/>
  <c r="AB16" i="1"/>
  <c r="AB8" i="1"/>
  <c r="T36" i="1"/>
  <c r="G5" i="15" s="1"/>
  <c r="AB29" i="4"/>
  <c r="C29" i="4"/>
  <c r="AB13" i="4"/>
  <c r="C13" i="4"/>
  <c r="C5" i="6"/>
  <c r="AB20" i="6"/>
  <c r="C20" i="6"/>
  <c r="C12" i="6"/>
  <c r="AB12" i="6"/>
  <c r="C27" i="7"/>
  <c r="AB27" i="7"/>
  <c r="AB15" i="7"/>
  <c r="C15" i="7"/>
  <c r="M9" i="7"/>
  <c r="M35" i="7" s="1"/>
  <c r="E8" i="15" s="1"/>
  <c r="L35" i="7"/>
  <c r="T35" i="7"/>
  <c r="G8" i="15" s="1"/>
  <c r="F10" i="15"/>
  <c r="I36" i="13"/>
  <c r="I36" i="6"/>
  <c r="AC16" i="6"/>
  <c r="S35" i="7"/>
  <c r="Y36" i="6"/>
  <c r="V35" i="7"/>
  <c r="AC5" i="13"/>
  <c r="C9" i="13"/>
  <c r="AB13" i="13"/>
  <c r="AB25" i="13"/>
  <c r="V35" i="14"/>
  <c r="Y36" i="1"/>
  <c r="AB28" i="14"/>
  <c r="C28" i="14"/>
  <c r="M35" i="14"/>
  <c r="AB25" i="4"/>
  <c r="C25" i="4"/>
  <c r="AB17" i="4"/>
  <c r="C17" i="4"/>
  <c r="J34" i="4"/>
  <c r="D6" i="15" s="1"/>
  <c r="L34" i="4"/>
  <c r="W34" i="4"/>
  <c r="H6" i="15" s="1"/>
  <c r="C32" i="6"/>
  <c r="AB32" i="6"/>
  <c r="J36" i="6"/>
  <c r="D7" i="15" s="1"/>
  <c r="P36" i="6"/>
  <c r="AB31" i="7"/>
  <c r="C31" i="7"/>
  <c r="AB23" i="7"/>
  <c r="C23" i="7"/>
  <c r="C11" i="7"/>
  <c r="AB11" i="7"/>
  <c r="AB7" i="7"/>
  <c r="C7" i="7"/>
  <c r="J5" i="7"/>
  <c r="J35" i="7" s="1"/>
  <c r="D8" i="15" s="1"/>
  <c r="I35" i="7"/>
  <c r="Z9" i="7"/>
  <c r="Z35" i="7" s="1"/>
  <c r="I8" i="15" s="1"/>
  <c r="Y35" i="7"/>
  <c r="I36" i="5"/>
  <c r="S36" i="13"/>
  <c r="W36" i="6"/>
  <c r="H7" i="15" s="1"/>
  <c r="F36" i="6"/>
  <c r="P36" i="1"/>
  <c r="S34" i="4"/>
  <c r="P35" i="7"/>
  <c r="S36" i="8"/>
  <c r="T36" i="8" s="1"/>
  <c r="G9" i="15" s="1"/>
  <c r="F36" i="8"/>
  <c r="G36" i="8" s="1"/>
  <c r="C9" i="15" s="1"/>
  <c r="E9" i="15"/>
  <c r="AB16" i="6"/>
  <c r="AB17" i="13"/>
  <c r="C33" i="13"/>
  <c r="C16" i="14"/>
  <c r="C12" i="14"/>
  <c r="C8" i="14"/>
  <c r="F35" i="14"/>
  <c r="G5" i="14"/>
  <c r="G35" i="14" s="1"/>
  <c r="M36" i="1"/>
  <c r="E5" i="15" s="1"/>
  <c r="Q15" i="4"/>
  <c r="AF21" i="6"/>
  <c r="AF8" i="6"/>
  <c r="F36" i="1"/>
  <c r="E18" i="15" l="1"/>
  <c r="E3" i="15"/>
  <c r="G3" i="15"/>
  <c r="C4" i="15"/>
  <c r="H3" i="15"/>
  <c r="C3" i="15"/>
  <c r="G18" i="15"/>
  <c r="I3" i="15"/>
  <c r="D18" i="15"/>
  <c r="D3" i="15"/>
  <c r="H4" i="15"/>
  <c r="F3" i="15"/>
  <c r="C11" i="15"/>
  <c r="C10" i="15"/>
  <c r="D4" i="15"/>
  <c r="I4" i="15"/>
  <c r="E4" i="15"/>
  <c r="H18" i="15"/>
  <c r="G4" i="15"/>
  <c r="AC13" i="14"/>
  <c r="AD15" i="4"/>
  <c r="AC21" i="14"/>
  <c r="AC16" i="7"/>
  <c r="AC15" i="4"/>
  <c r="AC36" i="11"/>
  <c r="AD36" i="11" s="1"/>
  <c r="AC11" i="4"/>
  <c r="AC10" i="14"/>
  <c r="AC34" i="6"/>
  <c r="AC31" i="13"/>
  <c r="AC22" i="14"/>
  <c r="AD18" i="1"/>
  <c r="AC18" i="1"/>
  <c r="AC27" i="1"/>
  <c r="AC34" i="13"/>
  <c r="AC36" i="16"/>
  <c r="AD36" i="16" s="1"/>
  <c r="AC7" i="13"/>
  <c r="D7" i="6"/>
  <c r="AD7" i="6" s="1"/>
  <c r="D9" i="7"/>
  <c r="AD9" i="7" s="1"/>
  <c r="D19" i="13"/>
  <c r="AD19" i="13" s="1"/>
  <c r="AC21" i="1"/>
  <c r="C35" i="9"/>
  <c r="D35" i="9" s="1"/>
  <c r="B10" i="15" s="1"/>
  <c r="AD23" i="1"/>
  <c r="AC30" i="13"/>
  <c r="AC31" i="14"/>
  <c r="AC26" i="14"/>
  <c r="AC33" i="1"/>
  <c r="AC31" i="1"/>
  <c r="AC25" i="14"/>
  <c r="D29" i="1"/>
  <c r="AD29" i="1" s="1"/>
  <c r="AC33" i="14"/>
  <c r="AC13" i="1"/>
  <c r="AC27" i="14"/>
  <c r="AC10" i="4"/>
  <c r="AC20" i="7"/>
  <c r="AC19" i="6"/>
  <c r="AC6" i="4"/>
  <c r="AC32" i="13"/>
  <c r="D25" i="1"/>
  <c r="AD25" i="1" s="1"/>
  <c r="AC17" i="1"/>
  <c r="AC17" i="7"/>
  <c r="AC19" i="14"/>
  <c r="AC11" i="14"/>
  <c r="AC28" i="7"/>
  <c r="AD17" i="1"/>
  <c r="AC30" i="14"/>
  <c r="AC6" i="7"/>
  <c r="AC12" i="13"/>
  <c r="AC23" i="14"/>
  <c r="AC8" i="7"/>
  <c r="AC34" i="1"/>
  <c r="AC14" i="7"/>
  <c r="D24" i="4"/>
  <c r="AD24" i="4" s="1"/>
  <c r="AC17" i="6"/>
  <c r="AC9" i="6"/>
  <c r="AC30" i="6"/>
  <c r="AC32" i="7"/>
  <c r="AC18" i="13"/>
  <c r="AC26" i="1"/>
  <c r="AD18" i="13"/>
  <c r="D6" i="6"/>
  <c r="AD6" i="6" s="1"/>
  <c r="AD30" i="13"/>
  <c r="AD34" i="1"/>
  <c r="AC20" i="4"/>
  <c r="AC35" i="13"/>
  <c r="AC22" i="1"/>
  <c r="AC5" i="14"/>
  <c r="D18" i="4"/>
  <c r="AD18" i="4" s="1"/>
  <c r="AC18" i="4"/>
  <c r="AC13" i="6"/>
  <c r="D23" i="4"/>
  <c r="AD23" i="4" s="1"/>
  <c r="AC17" i="14"/>
  <c r="AC30" i="4"/>
  <c r="AC29" i="14"/>
  <c r="D30" i="1"/>
  <c r="AD30" i="1" s="1"/>
  <c r="AC7" i="14"/>
  <c r="AC26" i="6"/>
  <c r="AC7" i="4"/>
  <c r="D31" i="4"/>
  <c r="AD31" i="4" s="1"/>
  <c r="AC8" i="4"/>
  <c r="AC9" i="14"/>
  <c r="AC23" i="1"/>
  <c r="AC14" i="1"/>
  <c r="AC10" i="13"/>
  <c r="AC29" i="7"/>
  <c r="D29" i="7"/>
  <c r="AD29" i="7" s="1"/>
  <c r="D21" i="7"/>
  <c r="AD21" i="7" s="1"/>
  <c r="AC21" i="7"/>
  <c r="AC16" i="4"/>
  <c r="AC25" i="7"/>
  <c r="AC28" i="6"/>
  <c r="AF10" i="6"/>
  <c r="AC34" i="14"/>
  <c r="AC19" i="4"/>
  <c r="AC10" i="1"/>
  <c r="D22" i="6"/>
  <c r="AD22" i="6" s="1"/>
  <c r="AC22" i="6"/>
  <c r="AD19" i="4"/>
  <c r="D28" i="4"/>
  <c r="AD28" i="4" s="1"/>
  <c r="D14" i="13"/>
  <c r="AD14" i="13" s="1"/>
  <c r="AC14" i="13"/>
  <c r="D33" i="7"/>
  <c r="AD33" i="7" s="1"/>
  <c r="AC33" i="7"/>
  <c r="D13" i="7"/>
  <c r="AD13" i="7" s="1"/>
  <c r="AC13" i="7"/>
  <c r="D15" i="1"/>
  <c r="AD15" i="1" s="1"/>
  <c r="AC15" i="1"/>
  <c r="D10" i="7"/>
  <c r="AD10" i="7" s="1"/>
  <c r="AC10" i="7"/>
  <c r="D23" i="13"/>
  <c r="AD23" i="13" s="1"/>
  <c r="AC19" i="1"/>
  <c r="D35" i="1"/>
  <c r="AD35" i="1" s="1"/>
  <c r="AC35" i="1"/>
  <c r="AC26" i="7"/>
  <c r="D26" i="7"/>
  <c r="AD26" i="7" s="1"/>
  <c r="D15" i="6"/>
  <c r="AD15" i="6" s="1"/>
  <c r="AC15" i="6"/>
  <c r="AC34" i="7"/>
  <c r="D12" i="4"/>
  <c r="AD12" i="4" s="1"/>
  <c r="AC12" i="4"/>
  <c r="D6" i="14"/>
  <c r="AD6" i="14" s="1"/>
  <c r="AC6" i="14"/>
  <c r="D32" i="4"/>
  <c r="AD32" i="4" s="1"/>
  <c r="AC32" i="4"/>
  <c r="D11" i="6"/>
  <c r="AD11" i="6" s="1"/>
  <c r="AC11" i="6"/>
  <c r="D11" i="1"/>
  <c r="AD11" i="1" s="1"/>
  <c r="AC11" i="1"/>
  <c r="D18" i="14"/>
  <c r="AD18" i="14" s="1"/>
  <c r="AC18" i="14"/>
  <c r="AC11" i="13"/>
  <c r="D11" i="13"/>
  <c r="AD11" i="13" s="1"/>
  <c r="AC30" i="7"/>
  <c r="D22" i="7"/>
  <c r="AD22" i="7" s="1"/>
  <c r="AC22" i="7"/>
  <c r="D14" i="14"/>
  <c r="AD14" i="14" s="1"/>
  <c r="AC14" i="14"/>
  <c r="D18" i="7"/>
  <c r="AD18" i="7" s="1"/>
  <c r="AC18" i="7"/>
  <c r="D7" i="1"/>
  <c r="AD7" i="1" s="1"/>
  <c r="AC7" i="1"/>
  <c r="Q36" i="5"/>
  <c r="F14" i="15" s="1"/>
  <c r="D20" i="6"/>
  <c r="AD20" i="6" s="1"/>
  <c r="AC20" i="6"/>
  <c r="AC8" i="14"/>
  <c r="D8" i="14"/>
  <c r="C35" i="14"/>
  <c r="AC35" i="14" s="1"/>
  <c r="AC33" i="13"/>
  <c r="D33" i="13"/>
  <c r="AD33" i="13" s="1"/>
  <c r="D31" i="7"/>
  <c r="AD31" i="7" s="1"/>
  <c r="AC31" i="7"/>
  <c r="D27" i="7"/>
  <c r="AD27" i="7" s="1"/>
  <c r="AC27" i="7"/>
  <c r="AC5" i="1"/>
  <c r="D5" i="1"/>
  <c r="C36" i="1"/>
  <c r="C36" i="5"/>
  <c r="D9" i="4"/>
  <c r="AD9" i="4" s="1"/>
  <c r="AC9" i="4"/>
  <c r="D5" i="4"/>
  <c r="C34" i="4"/>
  <c r="AC34" i="4" s="1"/>
  <c r="AC5" i="4"/>
  <c r="D32" i="14"/>
  <c r="AD32" i="14" s="1"/>
  <c r="AC32" i="14"/>
  <c r="AD6" i="13"/>
  <c r="D13" i="4"/>
  <c r="AD13" i="4" s="1"/>
  <c r="AC13" i="4"/>
  <c r="C36" i="8"/>
  <c r="D36" i="8" s="1"/>
  <c r="B9" i="15" s="1"/>
  <c r="D19" i="7"/>
  <c r="AD19" i="7" s="1"/>
  <c r="AC19" i="7"/>
  <c r="D32" i="1"/>
  <c r="AD32" i="1" s="1"/>
  <c r="AC32" i="1"/>
  <c r="D12" i="14"/>
  <c r="AD12" i="14" s="1"/>
  <c r="AC12" i="14"/>
  <c r="D11" i="7"/>
  <c r="AD11" i="7" s="1"/>
  <c r="AC11" i="7"/>
  <c r="D32" i="6"/>
  <c r="AD32" i="6" s="1"/>
  <c r="AC32" i="6"/>
  <c r="AC17" i="4"/>
  <c r="D17" i="4"/>
  <c r="AD17" i="4" s="1"/>
  <c r="D28" i="1"/>
  <c r="AD28" i="1" s="1"/>
  <c r="AC28" i="1"/>
  <c r="D9" i="13"/>
  <c r="AD9" i="13" s="1"/>
  <c r="AC9" i="13"/>
  <c r="D15" i="7"/>
  <c r="AD15" i="7" s="1"/>
  <c r="AC15" i="7"/>
  <c r="C36" i="6"/>
  <c r="AC5" i="6"/>
  <c r="D5" i="6"/>
  <c r="AC29" i="4"/>
  <c r="D29" i="4"/>
  <c r="AD29" i="4" s="1"/>
  <c r="AC8" i="1"/>
  <c r="D8" i="1"/>
  <c r="AD8" i="1" s="1"/>
  <c r="AC20" i="14"/>
  <c r="D20" i="14"/>
  <c r="AD20" i="14" s="1"/>
  <c r="AF25" i="6"/>
  <c r="AD25" i="6"/>
  <c r="AC29" i="13"/>
  <c r="D29" i="13"/>
  <c r="AD29" i="13" s="1"/>
  <c r="D5" i="7"/>
  <c r="AC5" i="7"/>
  <c r="C35" i="7"/>
  <c r="AC35" i="7" s="1"/>
  <c r="Q36" i="1"/>
  <c r="F5" i="15" s="1"/>
  <c r="AC25" i="4"/>
  <c r="D25" i="4"/>
  <c r="AD25" i="4" s="1"/>
  <c r="D24" i="6"/>
  <c r="AD24" i="6" s="1"/>
  <c r="AC24" i="6"/>
  <c r="D12" i="1"/>
  <c r="AD12" i="1" s="1"/>
  <c r="AC12" i="1"/>
  <c r="D16" i="14"/>
  <c r="AD16" i="14" s="1"/>
  <c r="AC16" i="14"/>
  <c r="D7" i="7"/>
  <c r="AD7" i="7" s="1"/>
  <c r="AC7" i="7"/>
  <c r="AC23" i="7"/>
  <c r="D23" i="7"/>
  <c r="AD23" i="7" s="1"/>
  <c r="D28" i="14"/>
  <c r="AD28" i="14" s="1"/>
  <c r="AC28" i="14"/>
  <c r="D12" i="6"/>
  <c r="AD12" i="6" s="1"/>
  <c r="AC12" i="6"/>
  <c r="D16" i="1"/>
  <c r="AD16" i="1" s="1"/>
  <c r="AC16" i="1"/>
  <c r="D24" i="1"/>
  <c r="AD24" i="1" s="1"/>
  <c r="AC24" i="1"/>
  <c r="AC20" i="1"/>
  <c r="D20" i="1"/>
  <c r="AD20" i="1" s="1"/>
  <c r="D24" i="14"/>
  <c r="AD24" i="14" s="1"/>
  <c r="AC24" i="14"/>
  <c r="Q34" i="4"/>
  <c r="F6" i="15" s="1"/>
  <c r="C36" i="13"/>
  <c r="Q36" i="13"/>
  <c r="AD5" i="13"/>
  <c r="Q35" i="7"/>
  <c r="F8" i="15" s="1"/>
  <c r="Q36" i="6"/>
  <c r="F7" i="15" s="1"/>
  <c r="B13" i="15" l="1"/>
  <c r="G17" i="15"/>
  <c r="D17" i="15"/>
  <c r="E17" i="15"/>
  <c r="H17" i="15"/>
  <c r="C18" i="15"/>
  <c r="F4" i="15"/>
  <c r="F17" i="15" s="1"/>
  <c r="F18" i="15"/>
  <c r="I14" i="15"/>
  <c r="I18" i="15" s="1"/>
  <c r="C17" i="15"/>
  <c r="AC36" i="8"/>
  <c r="AD36" i="8" s="1"/>
  <c r="AF36" i="6"/>
  <c r="AC36" i="13"/>
  <c r="AD36" i="13"/>
  <c r="D36" i="13"/>
  <c r="AD5" i="7"/>
  <c r="D35" i="7"/>
  <c r="B8" i="15" s="1"/>
  <c r="AD8" i="14"/>
  <c r="D35" i="14"/>
  <c r="D36" i="6"/>
  <c r="B7" i="15" s="1"/>
  <c r="AD5" i="6"/>
  <c r="AC36" i="5"/>
  <c r="D36" i="1"/>
  <c r="B5" i="15" s="1"/>
  <c r="AD5" i="1"/>
  <c r="AC36" i="6"/>
  <c r="AD36" i="6" s="1"/>
  <c r="D34" i="4"/>
  <c r="B6" i="15" s="1"/>
  <c r="AD5" i="4"/>
  <c r="AC36" i="1"/>
  <c r="AD36" i="1" s="1"/>
  <c r="AD36" i="5"/>
  <c r="D36" i="5"/>
  <c r="B14" i="15" s="1"/>
  <c r="I17" i="15" l="1"/>
  <c r="B18" i="15"/>
  <c r="B4" i="15"/>
  <c r="AD34" i="4"/>
  <c r="AD35" i="7"/>
  <c r="B3" i="15"/>
  <c r="AD35" i="14"/>
  <c r="B17" i="15" l="1"/>
</calcChain>
</file>

<file path=xl/sharedStrings.xml><?xml version="1.0" encoding="utf-8"?>
<sst xmlns="http://schemas.openxmlformats.org/spreadsheetml/2006/main" count="462" uniqueCount="24">
  <si>
    <t>gallons</t>
  </si>
  <si>
    <t>MGD</t>
  </si>
  <si>
    <t>AF</t>
  </si>
  <si>
    <t>Standley Pipeline to TTP</t>
  </si>
  <si>
    <t>TTP Production</t>
  </si>
  <si>
    <t>ERWPS to TTP</t>
  </si>
  <si>
    <t>TTP Backwash</t>
  </si>
  <si>
    <t>TOTAL PRODUCTION</t>
  </si>
  <si>
    <t>Water From Standley to EGL #4</t>
  </si>
  <si>
    <t>WBTP Production</t>
  </si>
  <si>
    <t>ERWPS to WBTP</t>
  </si>
  <si>
    <t>WRWPS to WBTP</t>
  </si>
  <si>
    <t>WBTP Backwash</t>
  </si>
  <si>
    <t>Standley to EGL #4</t>
  </si>
  <si>
    <t>Standley to EGL4</t>
  </si>
  <si>
    <t>UPDATE LINKS</t>
  </si>
  <si>
    <t>WYTOTAL</t>
  </si>
  <si>
    <t>Calendar Year Total</t>
  </si>
  <si>
    <t>Standley Pipeline to Old TTP</t>
  </si>
  <si>
    <t>EGL 4 to WBTP</t>
  </si>
  <si>
    <t>WGL to WBTP</t>
  </si>
  <si>
    <t>TTP2 Production</t>
  </si>
  <si>
    <t>TTP2  Production</t>
  </si>
  <si>
    <t>Link to S:\ID\CWTP\Operations\2021\2021 Midnight Numbers.xls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</si>
</sst>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d\-mmm;@"/>
  </numFmts>
  <fonts count="6" x14ac:knownFonts="1">
    <font>
      <sz val="10"/>
      <name val="Arial"/>
    </font>
    <font>
      <sz val="8"/>
      <name val="Arial"/>
      <family val="2"/>
    </font>
    <font>
      <b/>
      <sz val="10"/>
      <color indexed="10"/>
      <name val="Arial"/>
      <family val="2"/>
    </font>
    <font>
      <sz val="10"/>
      <name val="Arial"/>
      <family val="2"/>
    </font>
    <font>
      <b/>
      <sz val="10"/>
      <color rgb="FFFF0000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76">
    <xf numFmtId="0" fontId="0" fillId="0" borderId="0" xfId="0"/>
    <xf numFmtId="16" fontId="0" fillId="0" borderId="0" xfId="0" applyNumberFormat="1"/>
    <xf numFmtId="0" fontId="0" fillId="0" borderId="0" xfId="0" applyAlignment="1">
      <alignment horizontal="center"/>
    </xf>
    <xf numFmtId="0" fontId="0" fillId="0" borderId="0" xfId="0" applyFill="1"/>
    <xf numFmtId="0" fontId="0" fillId="0" borderId="1" xfId="0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3" fontId="0" fillId="0" borderId="1" xfId="0" applyNumberFormat="1" applyFill="1" applyBorder="1"/>
    <xf numFmtId="2" fontId="0" fillId="0" borderId="2" xfId="0" applyNumberFormat="1" applyFill="1" applyBorder="1"/>
    <xf numFmtId="2" fontId="0" fillId="0" borderId="4" xfId="0" applyNumberFormat="1" applyFill="1" applyBorder="1"/>
    <xf numFmtId="2" fontId="0" fillId="0" borderId="3" xfId="0" applyNumberFormat="1" applyFill="1" applyBorder="1"/>
    <xf numFmtId="2" fontId="0" fillId="0" borderId="5" xfId="0" applyNumberFormat="1" applyFill="1" applyBorder="1"/>
    <xf numFmtId="16" fontId="0" fillId="0" borderId="0" xfId="0" applyNumberFormat="1" applyBorder="1"/>
    <xf numFmtId="3" fontId="0" fillId="0" borderId="0" xfId="0" applyNumberFormat="1" applyFill="1" applyBorder="1"/>
    <xf numFmtId="0" fontId="0" fillId="0" borderId="0" xfId="0" applyFill="1" applyBorder="1"/>
    <xf numFmtId="2" fontId="0" fillId="0" borderId="0" xfId="0" applyNumberFormat="1" applyFill="1" applyBorder="1"/>
    <xf numFmtId="2" fontId="0" fillId="0" borderId="0" xfId="0" applyNumberFormat="1" applyBorder="1"/>
    <xf numFmtId="2" fontId="0" fillId="0" borderId="2" xfId="0" applyNumberFormat="1" applyFill="1" applyBorder="1" applyAlignment="1">
      <alignment horizontal="center"/>
    </xf>
    <xf numFmtId="2" fontId="0" fillId="0" borderId="0" xfId="0" applyNumberFormat="1"/>
    <xf numFmtId="0" fontId="0" fillId="0" borderId="0" xfId="0" applyFill="1" applyBorder="1" applyAlignment="1">
      <alignment horizontal="center"/>
    </xf>
    <xf numFmtId="0" fontId="0" fillId="0" borderId="0" xfId="0" applyBorder="1"/>
    <xf numFmtId="164" fontId="0" fillId="0" borderId="0" xfId="0" applyNumberFormat="1" applyFill="1" applyBorder="1"/>
    <xf numFmtId="0" fontId="0" fillId="0" borderId="0" xfId="0" applyAlignment="1"/>
    <xf numFmtId="0" fontId="0" fillId="0" borderId="6" xfId="0" applyFill="1" applyBorder="1"/>
    <xf numFmtId="2" fontId="0" fillId="0" borderId="0" xfId="0" applyNumberFormat="1" applyFill="1"/>
    <xf numFmtId="0" fontId="0" fillId="0" borderId="0" xfId="0" applyFill="1" applyAlignment="1"/>
    <xf numFmtId="0" fontId="0" fillId="0" borderId="0" xfId="0" applyFill="1" applyAlignment="1">
      <alignment horizontal="center"/>
    </xf>
    <xf numFmtId="16" fontId="0" fillId="0" borderId="0" xfId="0" applyNumberFormat="1" applyFill="1"/>
    <xf numFmtId="16" fontId="0" fillId="0" borderId="0" xfId="0" applyNumberFormat="1" applyFill="1" applyBorder="1"/>
    <xf numFmtId="2" fontId="0" fillId="0" borderId="6" xfId="0" applyNumberFormat="1" applyFill="1" applyBorder="1"/>
    <xf numFmtId="0" fontId="0" fillId="0" borderId="7" xfId="0" applyFill="1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0" fillId="0" borderId="10" xfId="0" applyBorder="1" applyAlignment="1">
      <alignment horizontal="center" wrapText="1"/>
    </xf>
    <xf numFmtId="0" fontId="0" fillId="0" borderId="7" xfId="0" applyFill="1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0" fillId="0" borderId="10" xfId="0" applyBorder="1"/>
    <xf numFmtId="2" fontId="0" fillId="0" borderId="10" xfId="0" applyNumberFormat="1" applyBorder="1"/>
    <xf numFmtId="0" fontId="3" fillId="0" borderId="0" xfId="0" applyFont="1" applyFill="1" applyAlignment="1"/>
    <xf numFmtId="0" fontId="0" fillId="2" borderId="0" xfId="0" applyFill="1" applyAlignment="1"/>
    <xf numFmtId="0" fontId="2" fillId="0" borderId="0" xfId="0" applyFont="1" applyFill="1"/>
    <xf numFmtId="0" fontId="3" fillId="0" borderId="0" xfId="1" applyAlignment="1">
      <alignment horizontal="left"/>
    </xf>
    <xf numFmtId="0" fontId="3" fillId="0" borderId="0" xfId="1" applyFill="1" applyBorder="1" applyAlignment="1">
      <alignment horizontal="left"/>
    </xf>
    <xf numFmtId="0" fontId="3" fillId="0" borderId="0" xfId="1" applyAlignment="1">
      <alignment horizontal="center"/>
    </xf>
    <xf numFmtId="0" fontId="3" fillId="0" borderId="0" xfId="1" applyFont="1" applyFill="1" applyBorder="1" applyAlignment="1">
      <alignment horizontal="center"/>
    </xf>
    <xf numFmtId="0" fontId="3" fillId="0" borderId="0" xfId="1" applyFill="1" applyBorder="1" applyAlignment="1">
      <alignment horizontal="center"/>
    </xf>
    <xf numFmtId="17" fontId="3" fillId="0" borderId="0" xfId="1" applyNumberFormat="1"/>
    <xf numFmtId="2" fontId="3" fillId="0" borderId="0" xfId="1" applyNumberFormat="1"/>
    <xf numFmtId="0" fontId="3" fillId="0" borderId="0" xfId="1"/>
    <xf numFmtId="0" fontId="4" fillId="2" borderId="0" xfId="0" applyFont="1" applyFill="1" applyAlignment="1"/>
    <xf numFmtId="2" fontId="0" fillId="0" borderId="0" xfId="0" applyNumberFormat="1" applyFill="1" applyBorder="1" applyAlignment="1">
      <alignment horizontal="center"/>
    </xf>
    <xf numFmtId="0" fontId="5" fillId="0" borderId="0" xfId="1" applyFont="1"/>
    <xf numFmtId="2" fontId="5" fillId="0" borderId="0" xfId="1" applyNumberFormat="1" applyFont="1"/>
    <xf numFmtId="0" fontId="5" fillId="0" borderId="0" xfId="0" applyFont="1" applyFill="1" applyAlignment="1"/>
    <xf numFmtId="0" fontId="0" fillId="0" borderId="0" xfId="0" applyFill="1" applyBorder="1" applyAlignment="1">
      <alignment horizontal="center" wrapText="1"/>
    </xf>
    <xf numFmtId="3" fontId="0" fillId="0" borderId="10" xfId="0" applyNumberFormat="1" applyBorder="1"/>
    <xf numFmtId="2" fontId="0" fillId="0" borderId="17" xfId="0" applyNumberFormat="1" applyFill="1" applyBorder="1"/>
    <xf numFmtId="0" fontId="0" fillId="0" borderId="20" xfId="0" applyFill="1" applyBorder="1" applyAlignment="1">
      <alignment horizontal="center"/>
    </xf>
    <xf numFmtId="0" fontId="0" fillId="0" borderId="22" xfId="0" applyFill="1" applyBorder="1" applyAlignment="1">
      <alignment horizontal="center"/>
    </xf>
    <xf numFmtId="3" fontId="0" fillId="0" borderId="22" xfId="0" applyNumberFormat="1" applyFill="1" applyBorder="1"/>
    <xf numFmtId="0" fontId="0" fillId="0" borderId="23" xfId="0" applyBorder="1"/>
    <xf numFmtId="0" fontId="0" fillId="0" borderId="18" xfId="0" applyFill="1" applyBorder="1" applyAlignment="1">
      <alignment horizontal="center"/>
    </xf>
    <xf numFmtId="2" fontId="0" fillId="0" borderId="18" xfId="0" applyNumberFormat="1" applyFill="1" applyBorder="1"/>
    <xf numFmtId="0" fontId="0" fillId="0" borderId="18" xfId="0" applyFill="1" applyBorder="1"/>
    <xf numFmtId="0" fontId="0" fillId="0" borderId="11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3" fillId="0" borderId="14" xfId="0" applyFont="1" applyFill="1" applyBorder="1" applyAlignment="1">
      <alignment horizontal="center"/>
    </xf>
    <xf numFmtId="0" fontId="0" fillId="0" borderId="21" xfId="0" applyFill="1" applyBorder="1" applyAlignment="1">
      <alignment horizontal="center"/>
    </xf>
    <xf numFmtId="0" fontId="0" fillId="0" borderId="19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colors>
    <mruColors>
      <color rgb="FFFDFD6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3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ID/CWTP/Operations/2020/2020%20Shift%20Sheet%204Q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ID/CWTP/Operations/2021/2021%20Shift%20Sheet%201Q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ID/CWTP/Operations/2021/2021%20Midnight%20Number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ven Hour"/>
      <sheetName val="NTTP Floc-Sed"/>
      <sheetName val="NTTP Chem Flow Changes"/>
      <sheetName val="WB Chem Flow Changes"/>
      <sheetName val="TTP Chem Flow Changes"/>
      <sheetName val="Midnight Numbers"/>
      <sheetName val="Production Summary"/>
      <sheetName val="New pH Probe"/>
      <sheetName val="Chemical Summary"/>
      <sheetName val="Scheduled Tasks"/>
      <sheetName val="Lab Data"/>
      <sheetName val="WB Clarifiers"/>
    </sheetNames>
    <sheetDataSet>
      <sheetData sheetId="0"/>
      <sheetData sheetId="1"/>
      <sheetData sheetId="2"/>
      <sheetData sheetId="3"/>
      <sheetData sheetId="4"/>
      <sheetData sheetId="5"/>
      <sheetData sheetId="6">
        <row r="37">
          <cell r="J37">
            <v>6250501</v>
          </cell>
          <cell r="K37">
            <v>6000000</v>
          </cell>
          <cell r="O37">
            <v>8000000</v>
          </cell>
          <cell r="Q37">
            <v>10000</v>
          </cell>
          <cell r="T37">
            <v>460341</v>
          </cell>
          <cell r="AE37">
            <v>5717924</v>
          </cell>
          <cell r="AF37">
            <v>0</v>
          </cell>
          <cell r="AJ37">
            <v>93303</v>
          </cell>
        </row>
        <row r="38">
          <cell r="J38">
            <v>6254188</v>
          </cell>
          <cell r="K38">
            <v>6250000</v>
          </cell>
          <cell r="O38">
            <v>7000000</v>
          </cell>
          <cell r="Q38">
            <v>0</v>
          </cell>
          <cell r="T38">
            <v>747901</v>
          </cell>
          <cell r="AE38">
            <v>4443850</v>
          </cell>
          <cell r="AF38">
            <v>1561388</v>
          </cell>
          <cell r="AJ38">
            <v>118034</v>
          </cell>
        </row>
        <row r="39">
          <cell r="J39">
            <v>5512903</v>
          </cell>
          <cell r="K39">
            <v>6360000.000000014</v>
          </cell>
          <cell r="O39">
            <v>7000000</v>
          </cell>
          <cell r="Q39">
            <v>0</v>
          </cell>
          <cell r="T39">
            <v>633193</v>
          </cell>
          <cell r="AE39">
            <v>2263295</v>
          </cell>
          <cell r="AF39">
            <v>3615705</v>
          </cell>
          <cell r="AJ39">
            <v>142058</v>
          </cell>
        </row>
        <row r="40">
          <cell r="J40">
            <v>5522050</v>
          </cell>
          <cell r="K40">
            <v>7500000</v>
          </cell>
          <cell r="O40">
            <v>7000000</v>
          </cell>
          <cell r="Q40">
            <v>1630000</v>
          </cell>
          <cell r="T40">
            <v>0</v>
          </cell>
          <cell r="AE40">
            <v>868126</v>
          </cell>
          <cell r="AF40">
            <v>6436573</v>
          </cell>
          <cell r="AJ40">
            <v>110350</v>
          </cell>
        </row>
        <row r="41">
          <cell r="J41">
            <v>11189790</v>
          </cell>
          <cell r="K41">
            <v>4469999.9999999702</v>
          </cell>
          <cell r="O41">
            <v>5000000</v>
          </cell>
          <cell r="Q41">
            <v>10000</v>
          </cell>
          <cell r="T41">
            <v>456300</v>
          </cell>
          <cell r="AE41">
            <v>0</v>
          </cell>
          <cell r="AF41">
            <v>12391175</v>
          </cell>
          <cell r="AJ41">
            <v>272410</v>
          </cell>
        </row>
        <row r="42">
          <cell r="J42">
            <v>11413109</v>
          </cell>
          <cell r="K42">
            <v>5519999.9999999814</v>
          </cell>
          <cell r="O42">
            <v>6000000</v>
          </cell>
          <cell r="Q42">
            <v>0</v>
          </cell>
          <cell r="T42">
            <v>476448</v>
          </cell>
          <cell r="AE42">
            <v>0</v>
          </cell>
          <cell r="AF42">
            <v>11622538</v>
          </cell>
          <cell r="AJ42">
            <v>0</v>
          </cell>
        </row>
        <row r="43">
          <cell r="J43">
            <v>6388593</v>
          </cell>
          <cell r="K43">
            <v>4490000.0000000093</v>
          </cell>
          <cell r="O43">
            <v>5000000</v>
          </cell>
          <cell r="Q43">
            <v>10000</v>
          </cell>
          <cell r="T43">
            <v>526490</v>
          </cell>
          <cell r="AE43">
            <v>0</v>
          </cell>
          <cell r="AF43">
            <v>7029072</v>
          </cell>
          <cell r="AJ43">
            <v>162861</v>
          </cell>
        </row>
        <row r="44">
          <cell r="J44">
            <v>5654586</v>
          </cell>
          <cell r="K44">
            <v>4759999.9999999907</v>
          </cell>
          <cell r="O44">
            <v>6000000</v>
          </cell>
          <cell r="Q44">
            <v>0</v>
          </cell>
          <cell r="T44">
            <v>522723</v>
          </cell>
          <cell r="AE44">
            <v>0</v>
          </cell>
          <cell r="AF44">
            <v>5994447</v>
          </cell>
          <cell r="AJ44">
            <v>286143</v>
          </cell>
        </row>
        <row r="45">
          <cell r="J45">
            <v>4538233</v>
          </cell>
          <cell r="K45">
            <v>6000000</v>
          </cell>
          <cell r="O45">
            <v>6000000</v>
          </cell>
          <cell r="Q45">
            <v>460000</v>
          </cell>
          <cell r="T45">
            <v>518345</v>
          </cell>
          <cell r="AE45">
            <v>0</v>
          </cell>
          <cell r="AF45">
            <v>5621671</v>
          </cell>
          <cell r="AJ45">
            <v>22238</v>
          </cell>
        </row>
        <row r="46">
          <cell r="J46">
            <v>3773701</v>
          </cell>
          <cell r="K46">
            <v>8910000.0000000242</v>
          </cell>
          <cell r="O46">
            <v>10000000</v>
          </cell>
          <cell r="Q46">
            <v>0</v>
          </cell>
          <cell r="T46">
            <v>610654</v>
          </cell>
          <cell r="AE46">
            <v>0</v>
          </cell>
          <cell r="AF46">
            <v>4799519</v>
          </cell>
          <cell r="AJ46">
            <v>311005</v>
          </cell>
        </row>
        <row r="47">
          <cell r="J47">
            <v>4986714</v>
          </cell>
          <cell r="K47">
            <v>9269999.9999999814</v>
          </cell>
          <cell r="O47">
            <v>11000000</v>
          </cell>
          <cell r="Q47">
            <v>0</v>
          </cell>
          <cell r="T47">
            <v>0</v>
          </cell>
          <cell r="AE47">
            <v>0</v>
          </cell>
          <cell r="AF47">
            <v>5002269</v>
          </cell>
          <cell r="AJ47">
            <v>25555</v>
          </cell>
        </row>
        <row r="48">
          <cell r="J48">
            <v>5273819</v>
          </cell>
          <cell r="K48">
            <v>5030000.0000000298</v>
          </cell>
          <cell r="O48">
            <v>6000000</v>
          </cell>
          <cell r="Q48">
            <v>0</v>
          </cell>
          <cell r="T48">
            <v>566093</v>
          </cell>
          <cell r="AE48">
            <v>0</v>
          </cell>
          <cell r="AF48">
            <v>5994131</v>
          </cell>
          <cell r="AJ48">
            <v>37171</v>
          </cell>
        </row>
        <row r="49">
          <cell r="J49">
            <v>3560952</v>
          </cell>
          <cell r="K49">
            <v>9490000.0000000093</v>
          </cell>
          <cell r="O49">
            <v>6000000</v>
          </cell>
          <cell r="Q49">
            <v>0</v>
          </cell>
          <cell r="T49">
            <v>731621</v>
          </cell>
          <cell r="AE49">
            <v>0</v>
          </cell>
          <cell r="AF49">
            <v>4064213</v>
          </cell>
          <cell r="AJ49">
            <v>191070</v>
          </cell>
        </row>
        <row r="50">
          <cell r="J50">
            <v>6536982</v>
          </cell>
          <cell r="K50">
            <v>6579999.9999999274</v>
          </cell>
          <cell r="O50">
            <v>7000000</v>
          </cell>
          <cell r="Q50">
            <v>0</v>
          </cell>
          <cell r="T50">
            <v>847162</v>
          </cell>
          <cell r="AE50">
            <v>0</v>
          </cell>
          <cell r="AF50">
            <v>6483306</v>
          </cell>
          <cell r="AJ50">
            <v>0</v>
          </cell>
        </row>
        <row r="51">
          <cell r="J51">
            <v>5780316</v>
          </cell>
          <cell r="K51">
            <v>5600000.0000000224</v>
          </cell>
          <cell r="O51">
            <v>7000000</v>
          </cell>
          <cell r="Q51">
            <v>0</v>
          </cell>
          <cell r="T51">
            <v>501524</v>
          </cell>
          <cell r="AE51">
            <v>0</v>
          </cell>
          <cell r="AF51">
            <v>6482269</v>
          </cell>
          <cell r="AJ51">
            <v>107662</v>
          </cell>
        </row>
        <row r="52">
          <cell r="J52">
            <v>6258646</v>
          </cell>
          <cell r="K52">
            <v>5600000.0000000224</v>
          </cell>
          <cell r="O52">
            <v>6000000</v>
          </cell>
          <cell r="Q52">
            <v>4360000</v>
          </cell>
          <cell r="T52">
            <v>700166</v>
          </cell>
          <cell r="AE52">
            <v>0</v>
          </cell>
          <cell r="AF52">
            <v>6485877</v>
          </cell>
          <cell r="AJ52">
            <v>224165</v>
          </cell>
        </row>
        <row r="53">
          <cell r="J53">
            <v>5648277</v>
          </cell>
          <cell r="K53">
            <v>7090000.0000000317</v>
          </cell>
          <cell r="O53">
            <v>9000000</v>
          </cell>
          <cell r="Q53">
            <v>0</v>
          </cell>
          <cell r="T53">
            <v>773003</v>
          </cell>
          <cell r="AE53">
            <v>0</v>
          </cell>
          <cell r="AF53">
            <v>6487120</v>
          </cell>
          <cell r="AJ53">
            <v>136610</v>
          </cell>
        </row>
        <row r="54">
          <cell r="J54">
            <v>6413070</v>
          </cell>
          <cell r="K54">
            <v>8939999.9999999404</v>
          </cell>
          <cell r="O54">
            <v>7000000</v>
          </cell>
          <cell r="Q54">
            <v>2270000</v>
          </cell>
          <cell r="T54">
            <v>861304</v>
          </cell>
          <cell r="AE54">
            <v>0</v>
          </cell>
          <cell r="AF54">
            <v>6484510</v>
          </cell>
          <cell r="AJ54">
            <v>203596</v>
          </cell>
        </row>
        <row r="55">
          <cell r="J55">
            <v>3484518</v>
          </cell>
          <cell r="K55">
            <v>7060000.0000000587</v>
          </cell>
          <cell r="O55">
            <v>2000000</v>
          </cell>
          <cell r="Q55">
            <v>5710000</v>
          </cell>
          <cell r="T55">
            <v>721456</v>
          </cell>
          <cell r="AE55">
            <v>0</v>
          </cell>
          <cell r="AF55">
            <v>4234486</v>
          </cell>
          <cell r="AJ55">
            <v>0</v>
          </cell>
        </row>
        <row r="56">
          <cell r="J56">
            <v>7939958</v>
          </cell>
          <cell r="K56">
            <v>4559999.9999999451</v>
          </cell>
          <cell r="O56">
            <v>0</v>
          </cell>
          <cell r="Q56">
            <v>5280000</v>
          </cell>
          <cell r="T56">
            <v>413277</v>
          </cell>
          <cell r="AE56">
            <v>0</v>
          </cell>
          <cell r="AF56">
            <v>8853627</v>
          </cell>
          <cell r="AJ56">
            <v>131247</v>
          </cell>
        </row>
        <row r="57">
          <cell r="J57">
            <v>7315730</v>
          </cell>
          <cell r="K57">
            <v>4129999.9999999953</v>
          </cell>
          <cell r="O57">
            <v>0</v>
          </cell>
          <cell r="Q57">
            <v>4950000</v>
          </cell>
          <cell r="T57">
            <v>457089</v>
          </cell>
          <cell r="AE57">
            <v>0</v>
          </cell>
          <cell r="AF57">
            <v>7378320</v>
          </cell>
          <cell r="AJ57">
            <v>209879</v>
          </cell>
        </row>
        <row r="58">
          <cell r="J58">
            <v>7818603</v>
          </cell>
          <cell r="K58">
            <v>4269999.9999999814</v>
          </cell>
          <cell r="O58">
            <v>0</v>
          </cell>
          <cell r="Q58">
            <v>5050000</v>
          </cell>
          <cell r="T58">
            <v>402870</v>
          </cell>
          <cell r="AE58">
            <v>0</v>
          </cell>
          <cell r="AF58">
            <v>8066122</v>
          </cell>
          <cell r="AJ58">
            <v>54105</v>
          </cell>
        </row>
        <row r="59">
          <cell r="J59">
            <v>8099580</v>
          </cell>
          <cell r="K59">
            <v>4150000.0000000908</v>
          </cell>
          <cell r="O59">
            <v>0</v>
          </cell>
          <cell r="Q59">
            <v>5350000</v>
          </cell>
          <cell r="T59">
            <v>591937</v>
          </cell>
          <cell r="AE59">
            <v>0</v>
          </cell>
          <cell r="AF59">
            <v>8628882</v>
          </cell>
          <cell r="AJ59">
            <v>289163</v>
          </cell>
        </row>
        <row r="60">
          <cell r="J60">
            <v>7113620</v>
          </cell>
          <cell r="K60">
            <v>5059999.9999999451</v>
          </cell>
          <cell r="O60">
            <v>0</v>
          </cell>
          <cell r="Q60">
            <v>6000000</v>
          </cell>
          <cell r="T60">
            <v>831290</v>
          </cell>
          <cell r="AE60">
            <v>1404999</v>
          </cell>
          <cell r="AF60">
            <v>5548687</v>
          </cell>
          <cell r="AJ60">
            <v>0</v>
          </cell>
        </row>
        <row r="61">
          <cell r="J61">
            <v>6737516</v>
          </cell>
          <cell r="K61">
            <v>4789999.9999999637</v>
          </cell>
          <cell r="O61">
            <v>0</v>
          </cell>
          <cell r="Q61">
            <v>5980000</v>
          </cell>
          <cell r="T61">
            <v>648519</v>
          </cell>
          <cell r="AE61">
            <v>2482435</v>
          </cell>
          <cell r="AF61">
            <v>4486019</v>
          </cell>
          <cell r="AJ61">
            <v>43279</v>
          </cell>
        </row>
        <row r="62">
          <cell r="J62">
            <v>5566451</v>
          </cell>
          <cell r="K62">
            <v>7290000.0000000773</v>
          </cell>
          <cell r="O62">
            <v>0</v>
          </cell>
          <cell r="Q62">
            <v>8470000</v>
          </cell>
          <cell r="T62">
            <v>888835</v>
          </cell>
          <cell r="AE62">
            <v>2028679</v>
          </cell>
          <cell r="AF62">
            <v>4171682</v>
          </cell>
          <cell r="AJ62">
            <v>220083</v>
          </cell>
        </row>
        <row r="63">
          <cell r="J63">
            <v>8581593</v>
          </cell>
          <cell r="K63">
            <v>4709999.9999999227</v>
          </cell>
          <cell r="O63">
            <v>0</v>
          </cell>
          <cell r="Q63">
            <v>5900000</v>
          </cell>
          <cell r="T63">
            <v>595826</v>
          </cell>
          <cell r="AE63">
            <v>2968755</v>
          </cell>
          <cell r="AF63">
            <v>5568221</v>
          </cell>
          <cell r="AJ63">
            <v>78856</v>
          </cell>
        </row>
        <row r="64">
          <cell r="J64">
            <v>6255232</v>
          </cell>
          <cell r="K64">
            <v>4530000.0000000866</v>
          </cell>
          <cell r="O64">
            <v>0</v>
          </cell>
          <cell r="Q64">
            <v>5510000</v>
          </cell>
          <cell r="T64">
            <v>544807</v>
          </cell>
          <cell r="AE64">
            <v>2646423</v>
          </cell>
          <cell r="AF64">
            <v>3604806</v>
          </cell>
          <cell r="AJ64">
            <v>0</v>
          </cell>
        </row>
        <row r="65">
          <cell r="J65">
            <v>6392703</v>
          </cell>
          <cell r="K65">
            <v>4230000.0000000186</v>
          </cell>
          <cell r="O65">
            <v>0</v>
          </cell>
          <cell r="Q65">
            <v>5540000</v>
          </cell>
          <cell r="T65">
            <v>663467</v>
          </cell>
          <cell r="AE65">
            <v>2684667</v>
          </cell>
          <cell r="AF65">
            <v>4174544</v>
          </cell>
          <cell r="AJ65">
            <v>287000</v>
          </cell>
        </row>
        <row r="66">
          <cell r="J66">
            <v>9304698</v>
          </cell>
          <cell r="K66">
            <v>4289999.9999999637</v>
          </cell>
          <cell r="O66">
            <v>0</v>
          </cell>
          <cell r="Q66">
            <v>3440000</v>
          </cell>
          <cell r="T66">
            <v>321265</v>
          </cell>
          <cell r="AE66">
            <v>3635702</v>
          </cell>
          <cell r="AF66">
            <v>6216606</v>
          </cell>
          <cell r="AJ66">
            <v>78226</v>
          </cell>
        </row>
        <row r="67">
          <cell r="J67">
            <v>12152879</v>
          </cell>
          <cell r="K67">
            <v>0</v>
          </cell>
          <cell r="O67">
            <v>0</v>
          </cell>
          <cell r="Q67">
            <v>0</v>
          </cell>
          <cell r="T67">
            <v>167634</v>
          </cell>
          <cell r="AE67">
            <v>3625230</v>
          </cell>
          <cell r="AF67">
            <v>8434646</v>
          </cell>
          <cell r="AJ67">
            <v>0</v>
          </cell>
        </row>
        <row r="68">
          <cell r="J68">
            <v>11436341</v>
          </cell>
          <cell r="K68">
            <v>0</v>
          </cell>
          <cell r="O68">
            <v>0</v>
          </cell>
          <cell r="Q68">
            <v>0</v>
          </cell>
          <cell r="T68">
            <v>6382</v>
          </cell>
          <cell r="AE68">
            <v>3576507</v>
          </cell>
          <cell r="AF68">
            <v>8343327</v>
          </cell>
          <cell r="AJ68">
            <v>319193</v>
          </cell>
        </row>
        <row r="69">
          <cell r="J69">
            <v>11829970</v>
          </cell>
          <cell r="K69">
            <v>0</v>
          </cell>
          <cell r="O69">
            <v>0</v>
          </cell>
          <cell r="Q69">
            <v>0</v>
          </cell>
          <cell r="T69">
            <v>6382</v>
          </cell>
          <cell r="AE69">
            <v>3564314</v>
          </cell>
          <cell r="AF69">
            <v>8347206</v>
          </cell>
          <cell r="AJ69">
            <v>68839</v>
          </cell>
        </row>
        <row r="70">
          <cell r="J70">
            <v>13081865</v>
          </cell>
          <cell r="K70">
            <v>0</v>
          </cell>
          <cell r="O70">
            <v>0</v>
          </cell>
          <cell r="Q70">
            <v>0</v>
          </cell>
          <cell r="T70">
            <v>60502</v>
          </cell>
          <cell r="AE70">
            <v>3963257</v>
          </cell>
          <cell r="AF70">
            <v>9261169</v>
          </cell>
          <cell r="AJ70">
            <v>50523</v>
          </cell>
        </row>
        <row r="71">
          <cell r="J71">
            <v>12265608</v>
          </cell>
          <cell r="K71">
            <v>0</v>
          </cell>
          <cell r="O71">
            <v>0</v>
          </cell>
          <cell r="Q71">
            <v>0</v>
          </cell>
          <cell r="T71">
            <v>134260</v>
          </cell>
          <cell r="AE71">
            <v>3816379</v>
          </cell>
          <cell r="AF71">
            <v>8855497</v>
          </cell>
          <cell r="AJ71">
            <v>293029</v>
          </cell>
        </row>
        <row r="72">
          <cell r="J72">
            <v>12390738.833333334</v>
          </cell>
          <cell r="K72">
            <v>0</v>
          </cell>
          <cell r="O72">
            <v>0</v>
          </cell>
          <cell r="Q72">
            <v>0</v>
          </cell>
          <cell r="T72">
            <v>281626</v>
          </cell>
          <cell r="AE72">
            <v>0</v>
          </cell>
          <cell r="AF72">
            <v>0</v>
          </cell>
          <cell r="AJ72">
            <v>0</v>
          </cell>
        </row>
        <row r="73">
          <cell r="J73">
            <v>12828196</v>
          </cell>
          <cell r="K73">
            <v>0</v>
          </cell>
          <cell r="O73">
            <v>0</v>
          </cell>
          <cell r="Q73">
            <v>0</v>
          </cell>
          <cell r="T73">
            <v>0</v>
          </cell>
          <cell r="AE73">
            <v>3910953</v>
          </cell>
          <cell r="AF73">
            <v>9052991</v>
          </cell>
          <cell r="AJ73">
            <v>197154</v>
          </cell>
        </row>
        <row r="74">
          <cell r="J74">
            <v>11646615</v>
          </cell>
          <cell r="K74">
            <v>0</v>
          </cell>
          <cell r="O74">
            <v>0</v>
          </cell>
          <cell r="Q74">
            <v>0</v>
          </cell>
          <cell r="T74">
            <v>0</v>
          </cell>
          <cell r="AE74">
            <v>3672358</v>
          </cell>
          <cell r="AF74">
            <v>8464108</v>
          </cell>
          <cell r="AJ74">
            <v>211546</v>
          </cell>
        </row>
        <row r="75">
          <cell r="J75">
            <v>11755179</v>
          </cell>
          <cell r="K75">
            <v>0</v>
          </cell>
          <cell r="O75">
            <v>0</v>
          </cell>
          <cell r="Q75">
            <v>0</v>
          </cell>
          <cell r="T75">
            <v>6405</v>
          </cell>
          <cell r="AE75">
            <v>3540211</v>
          </cell>
          <cell r="AF75">
            <v>8259420</v>
          </cell>
          <cell r="AJ75">
            <v>115909</v>
          </cell>
        </row>
        <row r="76">
          <cell r="J76">
            <v>12212767</v>
          </cell>
          <cell r="K76">
            <v>0</v>
          </cell>
          <cell r="O76">
            <v>0</v>
          </cell>
          <cell r="Q76">
            <v>0</v>
          </cell>
          <cell r="T76">
            <v>13796</v>
          </cell>
          <cell r="AE76">
            <v>4399972</v>
          </cell>
          <cell r="AF76">
            <v>7784353</v>
          </cell>
          <cell r="AJ76">
            <v>116173</v>
          </cell>
        </row>
        <row r="77">
          <cell r="J77">
            <v>11615171</v>
          </cell>
          <cell r="K77">
            <v>0</v>
          </cell>
          <cell r="O77">
            <v>0</v>
          </cell>
          <cell r="Q77">
            <v>0</v>
          </cell>
          <cell r="T77">
            <v>0</v>
          </cell>
          <cell r="AE77">
            <v>4818753</v>
          </cell>
          <cell r="AF77">
            <v>7196198</v>
          </cell>
          <cell r="AJ77">
            <v>231576</v>
          </cell>
        </row>
        <row r="78">
          <cell r="J78">
            <v>11905750</v>
          </cell>
          <cell r="K78">
            <v>0</v>
          </cell>
          <cell r="O78">
            <v>0</v>
          </cell>
          <cell r="Q78">
            <v>0</v>
          </cell>
          <cell r="T78">
            <v>0</v>
          </cell>
          <cell r="AE78">
            <v>4799651</v>
          </cell>
          <cell r="AF78">
            <v>7197890</v>
          </cell>
          <cell r="AJ78">
            <v>115466</v>
          </cell>
        </row>
        <row r="79">
          <cell r="J79">
            <v>12028148</v>
          </cell>
          <cell r="K79">
            <v>0</v>
          </cell>
          <cell r="O79">
            <v>0</v>
          </cell>
          <cell r="Q79">
            <v>0</v>
          </cell>
          <cell r="T79">
            <v>0</v>
          </cell>
          <cell r="AE79">
            <v>4790177</v>
          </cell>
          <cell r="AF79">
            <v>7201804</v>
          </cell>
          <cell r="AJ79">
            <v>116808</v>
          </cell>
        </row>
        <row r="80">
          <cell r="J80">
            <v>12629465</v>
          </cell>
          <cell r="K80">
            <v>0</v>
          </cell>
          <cell r="O80">
            <v>0</v>
          </cell>
          <cell r="Q80">
            <v>0</v>
          </cell>
          <cell r="T80">
            <v>276344</v>
          </cell>
          <cell r="AE80">
            <v>5176784</v>
          </cell>
          <cell r="AF80">
            <v>7771159</v>
          </cell>
          <cell r="AJ80">
            <v>233407</v>
          </cell>
        </row>
        <row r="81">
          <cell r="J81">
            <v>12972008</v>
          </cell>
          <cell r="K81">
            <v>0</v>
          </cell>
          <cell r="O81">
            <v>0</v>
          </cell>
          <cell r="Q81">
            <v>0</v>
          </cell>
          <cell r="T81">
            <v>39</v>
          </cell>
          <cell r="AE81">
            <v>5182831</v>
          </cell>
          <cell r="AF81">
            <v>7780621</v>
          </cell>
          <cell r="AJ81">
            <v>117073</v>
          </cell>
        </row>
        <row r="82">
          <cell r="J82">
            <v>12971590</v>
          </cell>
          <cell r="K82">
            <v>0</v>
          </cell>
          <cell r="O82">
            <v>0</v>
          </cell>
          <cell r="Q82">
            <v>0</v>
          </cell>
          <cell r="T82">
            <v>0</v>
          </cell>
          <cell r="AE82">
            <v>5190097</v>
          </cell>
          <cell r="AF82">
            <v>7779468</v>
          </cell>
          <cell r="AJ82">
            <v>115535</v>
          </cell>
        </row>
        <row r="83">
          <cell r="J83">
            <v>10430211</v>
          </cell>
          <cell r="K83">
            <v>0</v>
          </cell>
          <cell r="O83">
            <v>0</v>
          </cell>
          <cell r="Q83">
            <v>0</v>
          </cell>
          <cell r="T83">
            <v>0</v>
          </cell>
          <cell r="AE83">
            <v>4316697</v>
          </cell>
          <cell r="AF83">
            <v>6504225</v>
          </cell>
          <cell r="AJ83">
            <v>231773</v>
          </cell>
        </row>
        <row r="84">
          <cell r="J84">
            <v>11994361</v>
          </cell>
          <cell r="K84">
            <v>0</v>
          </cell>
          <cell r="O84">
            <v>0</v>
          </cell>
          <cell r="Q84">
            <v>0</v>
          </cell>
          <cell r="T84">
            <v>0</v>
          </cell>
          <cell r="AE84">
            <v>5163502</v>
          </cell>
          <cell r="AF84">
            <v>6768335</v>
          </cell>
          <cell r="AJ84">
            <v>115729</v>
          </cell>
        </row>
        <row r="85">
          <cell r="J85">
            <v>10748960</v>
          </cell>
          <cell r="K85">
            <v>0</v>
          </cell>
          <cell r="O85">
            <v>0</v>
          </cell>
          <cell r="Q85">
            <v>0</v>
          </cell>
          <cell r="T85">
            <v>0</v>
          </cell>
          <cell r="AE85">
            <v>4834423</v>
          </cell>
          <cell r="AF85">
            <v>5912390</v>
          </cell>
          <cell r="AJ85">
            <v>117885</v>
          </cell>
        </row>
        <row r="86">
          <cell r="J86">
            <v>12481638</v>
          </cell>
          <cell r="K86">
            <v>0</v>
          </cell>
          <cell r="O86">
            <v>0</v>
          </cell>
          <cell r="Q86">
            <v>0</v>
          </cell>
          <cell r="T86">
            <v>0</v>
          </cell>
          <cell r="AE86">
            <v>5720870</v>
          </cell>
          <cell r="AF86">
            <v>6993347</v>
          </cell>
          <cell r="AJ86">
            <v>195711</v>
          </cell>
        </row>
        <row r="87">
          <cell r="J87">
            <v>13910183</v>
          </cell>
          <cell r="K87">
            <v>0</v>
          </cell>
          <cell r="O87">
            <v>0</v>
          </cell>
          <cell r="Q87">
            <v>0</v>
          </cell>
          <cell r="T87">
            <v>0</v>
          </cell>
          <cell r="AE87">
            <v>6295527</v>
          </cell>
          <cell r="AF87">
            <v>7691115</v>
          </cell>
          <cell r="AJ87">
            <v>150629</v>
          </cell>
        </row>
        <row r="88">
          <cell r="J88">
            <v>12213009</v>
          </cell>
          <cell r="K88">
            <v>0</v>
          </cell>
          <cell r="O88">
            <v>0</v>
          </cell>
          <cell r="Q88">
            <v>0</v>
          </cell>
          <cell r="T88">
            <v>0</v>
          </cell>
          <cell r="AE88">
            <v>5471080</v>
          </cell>
          <cell r="AF88">
            <v>6668586</v>
          </cell>
          <cell r="AJ88">
            <v>102352</v>
          </cell>
        </row>
        <row r="89">
          <cell r="J89">
            <v>11723955</v>
          </cell>
          <cell r="K89">
            <v>0</v>
          </cell>
          <cell r="O89">
            <v>0</v>
          </cell>
          <cell r="Q89">
            <v>0</v>
          </cell>
          <cell r="T89">
            <v>0</v>
          </cell>
          <cell r="AE89">
            <v>5392413</v>
          </cell>
          <cell r="AF89">
            <v>6577450</v>
          </cell>
          <cell r="AJ89">
            <v>204917</v>
          </cell>
        </row>
        <row r="90">
          <cell r="J90">
            <v>12396774</v>
          </cell>
          <cell r="K90">
            <v>0</v>
          </cell>
          <cell r="O90">
            <v>0</v>
          </cell>
          <cell r="Q90">
            <v>0</v>
          </cell>
          <cell r="T90">
            <v>0</v>
          </cell>
          <cell r="AE90">
            <v>5538245</v>
          </cell>
          <cell r="AF90">
            <v>6749579</v>
          </cell>
          <cell r="AJ90">
            <v>0</v>
          </cell>
        </row>
        <row r="91">
          <cell r="J91">
            <v>12351506</v>
          </cell>
          <cell r="K91">
            <v>0</v>
          </cell>
          <cell r="O91">
            <v>0</v>
          </cell>
          <cell r="Q91">
            <v>0</v>
          </cell>
          <cell r="T91">
            <v>0</v>
          </cell>
          <cell r="AE91">
            <v>5610604</v>
          </cell>
          <cell r="AF91">
            <v>6820839</v>
          </cell>
          <cell r="AJ91">
            <v>155954</v>
          </cell>
        </row>
        <row r="92">
          <cell r="J92">
            <v>10178147</v>
          </cell>
          <cell r="K92">
            <v>0</v>
          </cell>
          <cell r="O92">
            <v>0</v>
          </cell>
          <cell r="Q92">
            <v>0</v>
          </cell>
          <cell r="T92">
            <v>0</v>
          </cell>
          <cell r="AE92">
            <v>4726439</v>
          </cell>
          <cell r="AF92">
            <v>5726867</v>
          </cell>
          <cell r="AJ92">
            <v>108005</v>
          </cell>
        </row>
        <row r="93">
          <cell r="J93">
            <v>11926242</v>
          </cell>
          <cell r="K93">
            <v>0</v>
          </cell>
          <cell r="O93">
            <v>0</v>
          </cell>
          <cell r="Q93">
            <v>0</v>
          </cell>
          <cell r="T93">
            <v>0</v>
          </cell>
          <cell r="AE93">
            <v>5321793</v>
          </cell>
          <cell r="AF93">
            <v>6493213</v>
          </cell>
          <cell r="AJ93">
            <v>0</v>
          </cell>
        </row>
        <row r="94">
          <cell r="J94">
            <v>11905148</v>
          </cell>
          <cell r="K94">
            <v>0</v>
          </cell>
          <cell r="O94">
            <v>0</v>
          </cell>
          <cell r="Q94">
            <v>0</v>
          </cell>
          <cell r="T94">
            <v>0</v>
          </cell>
          <cell r="AE94">
            <v>5393465</v>
          </cell>
          <cell r="AF94">
            <v>6576635</v>
          </cell>
          <cell r="AJ94">
            <v>159630</v>
          </cell>
        </row>
        <row r="95">
          <cell r="J95">
            <v>11788267</v>
          </cell>
          <cell r="K95">
            <v>0</v>
          </cell>
          <cell r="O95">
            <v>0</v>
          </cell>
          <cell r="Q95">
            <v>0</v>
          </cell>
          <cell r="T95">
            <v>0</v>
          </cell>
          <cell r="AE95">
            <v>5580862</v>
          </cell>
          <cell r="AF95">
            <v>6813195</v>
          </cell>
          <cell r="AJ95">
            <v>153137</v>
          </cell>
        </row>
        <row r="96">
          <cell r="J96">
            <v>12907902</v>
          </cell>
          <cell r="K96">
            <v>0</v>
          </cell>
          <cell r="O96">
            <v>0</v>
          </cell>
          <cell r="Q96">
            <v>0</v>
          </cell>
          <cell r="T96">
            <v>0</v>
          </cell>
          <cell r="AE96">
            <v>6141344</v>
          </cell>
          <cell r="AF96">
            <v>7498055</v>
          </cell>
          <cell r="AJ96">
            <v>393346</v>
          </cell>
        </row>
        <row r="97">
          <cell r="J97">
            <v>12494714</v>
          </cell>
          <cell r="K97">
            <v>0</v>
          </cell>
          <cell r="O97">
            <v>0</v>
          </cell>
          <cell r="Q97">
            <v>0</v>
          </cell>
          <cell r="T97">
            <v>0</v>
          </cell>
          <cell r="AE97">
            <v>5631939</v>
          </cell>
          <cell r="AF97">
            <v>6820617</v>
          </cell>
          <cell r="AJ97">
            <v>27472</v>
          </cell>
        </row>
      </sheetData>
      <sheetData sheetId="7"/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ven Hour"/>
      <sheetName val="NTTP Floc-Sed"/>
      <sheetName val="NTTP Chem Flow Changes"/>
      <sheetName val="WB Clarifiers"/>
      <sheetName val="WB Chem Flow Changes"/>
      <sheetName val="TTP Chem Flow Changes"/>
      <sheetName val="Midnight Numbers"/>
      <sheetName val="Production Summary"/>
      <sheetName val="New pH Probe"/>
      <sheetName val="Chemical Summary"/>
      <sheetName val="Scheduled Tasks"/>
      <sheetName val="Lab Dat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E6">
            <v>0</v>
          </cell>
          <cell r="G6">
            <v>0</v>
          </cell>
          <cell r="J6">
            <v>12239297</v>
          </cell>
          <cell r="K6">
            <v>0</v>
          </cell>
          <cell r="T6">
            <v>0</v>
          </cell>
          <cell r="AE6">
            <v>5568439</v>
          </cell>
          <cell r="AF6">
            <v>6745698</v>
          </cell>
          <cell r="AJ6">
            <v>206613</v>
          </cell>
        </row>
        <row r="7">
          <cell r="E7">
            <v>0</v>
          </cell>
          <cell r="G7">
            <v>0</v>
          </cell>
          <cell r="J7">
            <v>11712896</v>
          </cell>
          <cell r="K7">
            <v>0</v>
          </cell>
          <cell r="T7">
            <v>0</v>
          </cell>
          <cell r="AE7">
            <v>5364748</v>
          </cell>
          <cell r="AF7">
            <v>6558605</v>
          </cell>
          <cell r="AJ7">
            <v>67315</v>
          </cell>
        </row>
        <row r="8">
          <cell r="E8">
            <v>0</v>
          </cell>
          <cell r="G8">
            <v>0</v>
          </cell>
          <cell r="J8">
            <v>12751618</v>
          </cell>
          <cell r="K8">
            <v>0</v>
          </cell>
          <cell r="T8">
            <v>0</v>
          </cell>
          <cell r="AE8">
            <v>5764703</v>
          </cell>
          <cell r="AF8">
            <v>7026067</v>
          </cell>
          <cell r="AJ8">
            <v>190147</v>
          </cell>
        </row>
        <row r="9">
          <cell r="E9">
            <v>0</v>
          </cell>
          <cell r="G9">
            <v>0</v>
          </cell>
          <cell r="J9">
            <v>12365820</v>
          </cell>
          <cell r="K9">
            <v>0</v>
          </cell>
          <cell r="T9">
            <v>0</v>
          </cell>
          <cell r="AE9">
            <v>5597587</v>
          </cell>
          <cell r="AF9">
            <v>6785881</v>
          </cell>
          <cell r="AJ9">
            <v>87908</v>
          </cell>
        </row>
        <row r="10">
          <cell r="E10">
            <v>0</v>
          </cell>
          <cell r="G10">
            <v>0</v>
          </cell>
          <cell r="J10">
            <v>13208784</v>
          </cell>
          <cell r="K10">
            <v>0</v>
          </cell>
          <cell r="T10">
            <v>0</v>
          </cell>
          <cell r="AE10">
            <v>6160751</v>
          </cell>
          <cell r="AF10">
            <v>7494755</v>
          </cell>
          <cell r="AJ10">
            <v>250069</v>
          </cell>
        </row>
        <row r="11">
          <cell r="E11">
            <v>0</v>
          </cell>
          <cell r="G11">
            <v>0</v>
          </cell>
          <cell r="J11">
            <v>13855008</v>
          </cell>
          <cell r="K11">
            <v>0</v>
          </cell>
          <cell r="T11">
            <v>0</v>
          </cell>
          <cell r="AE11">
            <v>6295711</v>
          </cell>
          <cell r="AF11">
            <v>7695539</v>
          </cell>
          <cell r="AJ11">
            <v>146960</v>
          </cell>
        </row>
        <row r="12">
          <cell r="E12">
            <v>0</v>
          </cell>
          <cell r="G12">
            <v>0</v>
          </cell>
          <cell r="J12">
            <v>13570827</v>
          </cell>
          <cell r="K12">
            <v>0</v>
          </cell>
          <cell r="T12">
            <v>0</v>
          </cell>
          <cell r="AE12">
            <v>6294170</v>
          </cell>
          <cell r="AF12">
            <v>7697018</v>
          </cell>
          <cell r="AJ12">
            <v>236436</v>
          </cell>
        </row>
        <row r="13">
          <cell r="E13">
            <v>0</v>
          </cell>
          <cell r="G13">
            <v>0</v>
          </cell>
          <cell r="J13">
            <v>13088439</v>
          </cell>
          <cell r="K13">
            <v>0</v>
          </cell>
          <cell r="T13">
            <v>0</v>
          </cell>
          <cell r="AE13">
            <v>5928854</v>
          </cell>
          <cell r="AF13">
            <v>7216126</v>
          </cell>
          <cell r="AJ13">
            <v>81145</v>
          </cell>
        </row>
        <row r="14">
          <cell r="E14">
            <v>0</v>
          </cell>
          <cell r="G14">
            <v>0</v>
          </cell>
          <cell r="J14">
            <v>12345984</v>
          </cell>
          <cell r="K14">
            <v>0</v>
          </cell>
          <cell r="T14">
            <v>0</v>
          </cell>
          <cell r="AE14">
            <v>5591356</v>
          </cell>
          <cell r="AF14">
            <v>6810326</v>
          </cell>
          <cell r="AJ14">
            <v>71516</v>
          </cell>
        </row>
        <row r="15">
          <cell r="E15">
            <v>0</v>
          </cell>
          <cell r="G15">
            <v>0</v>
          </cell>
          <cell r="J15">
            <v>12478759</v>
          </cell>
          <cell r="K15">
            <v>0</v>
          </cell>
          <cell r="T15">
            <v>0</v>
          </cell>
          <cell r="AE15">
            <v>5847776</v>
          </cell>
          <cell r="AF15">
            <v>7124825</v>
          </cell>
          <cell r="AJ15">
            <v>333671</v>
          </cell>
        </row>
        <row r="16">
          <cell r="E16">
            <v>0</v>
          </cell>
          <cell r="G16">
            <v>0</v>
          </cell>
          <cell r="J16">
            <v>11860631</v>
          </cell>
          <cell r="K16">
            <v>0</v>
          </cell>
          <cell r="T16">
            <v>0</v>
          </cell>
          <cell r="AE16">
            <v>5415323</v>
          </cell>
          <cell r="AF16">
            <v>6601876</v>
          </cell>
          <cell r="AJ16">
            <v>103242</v>
          </cell>
        </row>
        <row r="17">
          <cell r="E17">
            <v>0</v>
          </cell>
          <cell r="G17">
            <v>0</v>
          </cell>
          <cell r="J17">
            <v>11230592</v>
          </cell>
          <cell r="K17">
            <v>0</v>
          </cell>
          <cell r="T17">
            <v>0</v>
          </cell>
          <cell r="AE17">
            <v>5066388</v>
          </cell>
          <cell r="AF17">
            <v>6186890</v>
          </cell>
          <cell r="AJ17">
            <v>95198</v>
          </cell>
        </row>
        <row r="18">
          <cell r="E18">
            <v>0</v>
          </cell>
          <cell r="G18">
            <v>10000</v>
          </cell>
          <cell r="J18">
            <v>11042643</v>
          </cell>
          <cell r="K18">
            <v>0</v>
          </cell>
          <cell r="T18">
            <v>0</v>
          </cell>
          <cell r="AE18">
            <v>6070749</v>
          </cell>
          <cell r="AF18">
            <v>7377590</v>
          </cell>
          <cell r="AJ18">
            <v>283147</v>
          </cell>
        </row>
        <row r="19">
          <cell r="E19">
            <v>0</v>
          </cell>
          <cell r="G19">
            <v>0</v>
          </cell>
          <cell r="J19">
            <v>9603076</v>
          </cell>
          <cell r="K19">
            <v>0</v>
          </cell>
          <cell r="T19">
            <v>0</v>
          </cell>
          <cell r="AE19">
            <v>5339000</v>
          </cell>
          <cell r="AF19">
            <v>6456000</v>
          </cell>
          <cell r="AJ19">
            <v>0</v>
          </cell>
        </row>
        <row r="20">
          <cell r="E20">
            <v>0</v>
          </cell>
          <cell r="G20">
            <v>0</v>
          </cell>
          <cell r="J20">
            <v>10858000</v>
          </cell>
          <cell r="K20">
            <v>0</v>
          </cell>
          <cell r="T20">
            <v>0</v>
          </cell>
          <cell r="AE20">
            <v>5318000</v>
          </cell>
          <cell r="AF20">
            <v>6400000</v>
          </cell>
          <cell r="AJ20">
            <v>144000</v>
          </cell>
        </row>
        <row r="21">
          <cell r="E21">
            <v>0</v>
          </cell>
          <cell r="G21">
            <v>0</v>
          </cell>
          <cell r="J21">
            <v>9268765</v>
          </cell>
          <cell r="K21">
            <v>0</v>
          </cell>
          <cell r="T21">
            <v>0</v>
          </cell>
          <cell r="AE21">
            <v>5320980</v>
          </cell>
          <cell r="AF21">
            <v>6399902</v>
          </cell>
          <cell r="AJ21">
            <v>294000</v>
          </cell>
        </row>
        <row r="22">
          <cell r="E22">
            <v>0</v>
          </cell>
          <cell r="G22">
            <v>0</v>
          </cell>
          <cell r="J22">
            <v>8878980</v>
          </cell>
          <cell r="K22">
            <v>0</v>
          </cell>
          <cell r="T22">
            <v>0</v>
          </cell>
          <cell r="AE22">
            <v>5317980</v>
          </cell>
          <cell r="AF22">
            <v>6413901</v>
          </cell>
          <cell r="AJ22">
            <v>56000</v>
          </cell>
        </row>
        <row r="23">
          <cell r="E23">
            <v>0</v>
          </cell>
          <cell r="G23">
            <v>0</v>
          </cell>
          <cell r="J23">
            <v>10750768</v>
          </cell>
          <cell r="K23">
            <v>0</v>
          </cell>
          <cell r="T23">
            <v>0</v>
          </cell>
          <cell r="AE23">
            <v>5311980</v>
          </cell>
          <cell r="AF23">
            <v>6399902</v>
          </cell>
          <cell r="AJ23">
            <v>132000</v>
          </cell>
        </row>
        <row r="24">
          <cell r="E24">
            <v>0</v>
          </cell>
          <cell r="G24">
            <v>0</v>
          </cell>
          <cell r="J24">
            <v>10521726</v>
          </cell>
          <cell r="K24">
            <v>0</v>
          </cell>
          <cell r="T24">
            <v>0</v>
          </cell>
          <cell r="AE24">
            <v>5321980</v>
          </cell>
          <cell r="AF24">
            <v>6399902</v>
          </cell>
          <cell r="AJ24">
            <v>257000</v>
          </cell>
        </row>
        <row r="25">
          <cell r="E25">
            <v>0</v>
          </cell>
          <cell r="G25">
            <v>0</v>
          </cell>
          <cell r="J25">
            <v>11063878</v>
          </cell>
          <cell r="K25">
            <v>0</v>
          </cell>
          <cell r="T25">
            <v>0</v>
          </cell>
          <cell r="AE25">
            <v>5315980</v>
          </cell>
          <cell r="AF25">
            <v>6393902</v>
          </cell>
          <cell r="AJ25">
            <v>93000</v>
          </cell>
        </row>
        <row r="26">
          <cell r="E26">
            <v>0</v>
          </cell>
          <cell r="G26">
            <v>0</v>
          </cell>
          <cell r="J26">
            <v>10817789</v>
          </cell>
          <cell r="K26">
            <v>0</v>
          </cell>
          <cell r="T26">
            <v>0</v>
          </cell>
          <cell r="AE26">
            <v>5677954</v>
          </cell>
          <cell r="AF26">
            <v>6100923</v>
          </cell>
          <cell r="AJ26">
            <v>117000</v>
          </cell>
        </row>
        <row r="27">
          <cell r="E27">
            <v>0</v>
          </cell>
          <cell r="G27">
            <v>0</v>
          </cell>
          <cell r="J27">
            <v>10575766</v>
          </cell>
          <cell r="K27">
            <v>0</v>
          </cell>
          <cell r="T27">
            <v>0</v>
          </cell>
          <cell r="AE27">
            <v>5922937</v>
          </cell>
          <cell r="AF27">
            <v>5900938</v>
          </cell>
          <cell r="AJ27">
            <v>303000</v>
          </cell>
        </row>
        <row r="28">
          <cell r="E28">
            <v>0</v>
          </cell>
          <cell r="G28">
            <v>0</v>
          </cell>
          <cell r="J28">
            <v>11843180</v>
          </cell>
          <cell r="K28">
            <v>0</v>
          </cell>
          <cell r="T28">
            <v>0</v>
          </cell>
          <cell r="AE28">
            <v>5972933</v>
          </cell>
          <cell r="AF28">
            <v>5948934</v>
          </cell>
          <cell r="AJ28">
            <v>59000</v>
          </cell>
        </row>
        <row r="29">
          <cell r="E29">
            <v>0</v>
          </cell>
          <cell r="G29">
            <v>0</v>
          </cell>
          <cell r="J29">
            <v>12036286</v>
          </cell>
          <cell r="K29">
            <v>0</v>
          </cell>
          <cell r="T29">
            <v>0</v>
          </cell>
          <cell r="AE29">
            <v>6053927</v>
          </cell>
          <cell r="AF29">
            <v>6023929</v>
          </cell>
          <cell r="AJ29">
            <v>129000</v>
          </cell>
        </row>
        <row r="30">
          <cell r="E30">
            <v>0</v>
          </cell>
          <cell r="G30">
            <v>0</v>
          </cell>
          <cell r="J30">
            <v>12297474</v>
          </cell>
          <cell r="K30">
            <v>0</v>
          </cell>
          <cell r="T30">
            <v>0</v>
          </cell>
          <cell r="AE30">
            <v>6498894</v>
          </cell>
          <cell r="AF30">
            <v>6464897</v>
          </cell>
          <cell r="AJ30">
            <v>329999</v>
          </cell>
        </row>
        <row r="31">
          <cell r="E31">
            <v>0</v>
          </cell>
          <cell r="G31">
            <v>0</v>
          </cell>
          <cell r="J31">
            <v>12570451</v>
          </cell>
          <cell r="K31">
            <v>0</v>
          </cell>
          <cell r="T31">
            <v>0</v>
          </cell>
          <cell r="AE31">
            <v>6161919</v>
          </cell>
          <cell r="AF31">
            <v>6130922</v>
          </cell>
          <cell r="AJ31">
            <v>3000</v>
          </cell>
        </row>
        <row r="32">
          <cell r="E32">
            <v>0</v>
          </cell>
          <cell r="G32">
            <v>0</v>
          </cell>
          <cell r="J32">
            <v>11127916</v>
          </cell>
          <cell r="K32">
            <v>0</v>
          </cell>
          <cell r="T32">
            <v>0</v>
          </cell>
          <cell r="AE32">
            <v>5610959</v>
          </cell>
          <cell r="AF32">
            <v>5579961</v>
          </cell>
          <cell r="AJ32">
            <v>122000</v>
          </cell>
        </row>
        <row r="33">
          <cell r="E33">
            <v>0</v>
          </cell>
          <cell r="G33">
            <v>0</v>
          </cell>
          <cell r="J33">
            <v>10479740</v>
          </cell>
          <cell r="K33">
            <v>0</v>
          </cell>
          <cell r="T33">
            <v>0</v>
          </cell>
          <cell r="AE33">
            <v>5580961</v>
          </cell>
          <cell r="AF33">
            <v>5516966</v>
          </cell>
          <cell r="AJ33">
            <v>330999</v>
          </cell>
        </row>
        <row r="34">
          <cell r="E34">
            <v>0</v>
          </cell>
          <cell r="G34">
            <v>0</v>
          </cell>
          <cell r="J34">
            <v>12203301</v>
          </cell>
          <cell r="K34">
            <v>0</v>
          </cell>
          <cell r="T34">
            <v>0</v>
          </cell>
          <cell r="AE34">
            <v>5998930</v>
          </cell>
          <cell r="AF34">
            <v>5967932</v>
          </cell>
          <cell r="AJ34">
            <v>0</v>
          </cell>
        </row>
        <row r="35">
          <cell r="E35">
            <v>0</v>
          </cell>
          <cell r="G35">
            <v>0</v>
          </cell>
          <cell r="J35">
            <v>11863208</v>
          </cell>
          <cell r="K35">
            <v>0</v>
          </cell>
          <cell r="T35">
            <v>0</v>
          </cell>
          <cell r="AE35">
            <v>5999930</v>
          </cell>
          <cell r="AF35">
            <v>5967932</v>
          </cell>
          <cell r="AJ35">
            <v>108000</v>
          </cell>
        </row>
        <row r="36">
          <cell r="E36">
            <v>0</v>
          </cell>
          <cell r="G36">
            <v>0</v>
          </cell>
          <cell r="J36">
            <v>11870289</v>
          </cell>
          <cell r="K36">
            <v>0</v>
          </cell>
          <cell r="T36">
            <v>0</v>
          </cell>
          <cell r="AE36">
            <v>6264911</v>
          </cell>
          <cell r="AF36">
            <v>6231914</v>
          </cell>
          <cell r="AJ36">
            <v>303000</v>
          </cell>
        </row>
      </sheetData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TP Chem Flow Changes"/>
      <sheetName val="Midnight Numbers"/>
      <sheetName val="Production Summary"/>
      <sheetName val="New pH Probe"/>
    </sheetNames>
    <sheetDataSet>
      <sheetData sheetId="0"/>
      <sheetData sheetId="1"/>
      <sheetData sheetId="2">
        <row r="37">
          <cell r="O37">
            <v>0</v>
          </cell>
          <cell r="Q37">
            <v>0</v>
          </cell>
          <cell r="T37">
            <v>0</v>
          </cell>
          <cell r="U37">
            <v>0</v>
          </cell>
          <cell r="AE37">
            <v>6511894</v>
          </cell>
          <cell r="AF37">
            <v>6477896</v>
          </cell>
          <cell r="AJ37">
            <v>23000</v>
          </cell>
          <cell r="AL37">
            <v>13217721</v>
          </cell>
        </row>
        <row r="38">
          <cell r="O38">
            <v>0</v>
          </cell>
          <cell r="Q38">
            <v>0</v>
          </cell>
          <cell r="T38">
            <v>0</v>
          </cell>
          <cell r="U38">
            <v>0</v>
          </cell>
          <cell r="AE38">
            <v>5647956</v>
          </cell>
          <cell r="AF38">
            <v>5612958</v>
          </cell>
          <cell r="AJ38">
            <v>122000</v>
          </cell>
          <cell r="AL38">
            <v>11183939</v>
          </cell>
        </row>
        <row r="39">
          <cell r="O39">
            <v>0</v>
          </cell>
          <cell r="Q39">
            <v>0</v>
          </cell>
          <cell r="T39">
            <v>0</v>
          </cell>
          <cell r="U39">
            <v>0</v>
          </cell>
          <cell r="AE39">
            <v>6172918</v>
          </cell>
          <cell r="AF39">
            <v>6141920</v>
          </cell>
          <cell r="AJ39">
            <v>311000</v>
          </cell>
          <cell r="AL39">
            <v>11614189</v>
          </cell>
        </row>
        <row r="40">
          <cell r="O40">
            <v>0</v>
          </cell>
          <cell r="Q40">
            <v>0</v>
          </cell>
          <cell r="T40">
            <v>0</v>
          </cell>
          <cell r="U40">
            <v>0</v>
          </cell>
          <cell r="AE40">
            <v>6350905</v>
          </cell>
          <cell r="AF40">
            <v>6319907</v>
          </cell>
          <cell r="AJ40">
            <v>0</v>
          </cell>
          <cell r="AL40">
            <v>12929595</v>
          </cell>
        </row>
        <row r="41">
          <cell r="O41">
            <v>0</v>
          </cell>
          <cell r="Q41">
            <v>0</v>
          </cell>
          <cell r="T41">
            <v>0</v>
          </cell>
          <cell r="U41">
            <v>0</v>
          </cell>
          <cell r="AE41">
            <v>5498967</v>
          </cell>
          <cell r="AF41">
            <v>5467969</v>
          </cell>
          <cell r="AJ41">
            <v>121000</v>
          </cell>
          <cell r="AL41">
            <v>10795781</v>
          </cell>
        </row>
        <row r="42">
          <cell r="O42">
            <v>0</v>
          </cell>
          <cell r="Q42">
            <v>0</v>
          </cell>
          <cell r="T42">
            <v>0</v>
          </cell>
          <cell r="U42">
            <v>0</v>
          </cell>
          <cell r="AE42">
            <v>5835942</v>
          </cell>
          <cell r="AF42">
            <v>5807944</v>
          </cell>
          <cell r="AJ42">
            <v>326999</v>
          </cell>
          <cell r="AL42">
            <v>10996947</v>
          </cell>
        </row>
        <row r="43">
          <cell r="O43">
            <v>0</v>
          </cell>
          <cell r="Q43">
            <v>0</v>
          </cell>
          <cell r="T43">
            <v>0</v>
          </cell>
          <cell r="U43">
            <v>0</v>
          </cell>
          <cell r="AE43">
            <v>6497895</v>
          </cell>
          <cell r="AF43">
            <v>6459897</v>
          </cell>
          <cell r="AJ43">
            <v>32000</v>
          </cell>
          <cell r="AL43">
            <v>13138692</v>
          </cell>
        </row>
        <row r="44">
          <cell r="O44">
            <v>0</v>
          </cell>
          <cell r="Q44">
            <v>0</v>
          </cell>
          <cell r="T44">
            <v>0</v>
          </cell>
          <cell r="U44">
            <v>0</v>
          </cell>
          <cell r="AE44">
            <v>6172918</v>
          </cell>
          <cell r="AF44">
            <v>6134921</v>
          </cell>
          <cell r="AJ44">
            <v>121000</v>
          </cell>
          <cell r="AL44">
            <v>12185343</v>
          </cell>
        </row>
        <row r="45">
          <cell r="O45">
            <v>0</v>
          </cell>
          <cell r="Q45">
            <v>0</v>
          </cell>
          <cell r="T45">
            <v>0</v>
          </cell>
          <cell r="U45">
            <v>0</v>
          </cell>
          <cell r="AE45">
            <v>6195916</v>
          </cell>
          <cell r="AF45">
            <v>6139920</v>
          </cell>
          <cell r="AJ45">
            <v>314000</v>
          </cell>
          <cell r="AL45">
            <v>11632198</v>
          </cell>
        </row>
        <row r="46">
          <cell r="O46">
            <v>0</v>
          </cell>
          <cell r="Q46">
            <v>0</v>
          </cell>
          <cell r="T46">
            <v>0</v>
          </cell>
          <cell r="U46">
            <v>0</v>
          </cell>
          <cell r="AE46">
            <v>6246913</v>
          </cell>
          <cell r="AF46">
            <v>6212916</v>
          </cell>
          <cell r="AJ46">
            <v>45000</v>
          </cell>
          <cell r="AL46">
            <v>12637495</v>
          </cell>
        </row>
        <row r="47">
          <cell r="O47">
            <v>0</v>
          </cell>
          <cell r="Q47">
            <v>0</v>
          </cell>
          <cell r="T47">
            <v>0</v>
          </cell>
          <cell r="U47">
            <v>0</v>
          </cell>
          <cell r="AE47">
            <v>5380976</v>
          </cell>
          <cell r="AF47">
            <v>5340978</v>
          </cell>
          <cell r="AJ47">
            <v>132000</v>
          </cell>
          <cell r="AL47">
            <v>10638722</v>
          </cell>
        </row>
        <row r="48">
          <cell r="O48">
            <v>0</v>
          </cell>
          <cell r="Q48">
            <v>0</v>
          </cell>
          <cell r="T48">
            <v>0</v>
          </cell>
          <cell r="U48">
            <v>0</v>
          </cell>
          <cell r="AE48">
            <v>6788874</v>
          </cell>
          <cell r="AF48">
            <v>6724878</v>
          </cell>
          <cell r="AJ48">
            <v>321999</v>
          </cell>
          <cell r="AL48">
            <v>12814680</v>
          </cell>
        </row>
        <row r="49">
          <cell r="O49">
            <v>0</v>
          </cell>
          <cell r="Q49">
            <v>0</v>
          </cell>
          <cell r="T49">
            <v>0</v>
          </cell>
          <cell r="U49">
            <v>0</v>
          </cell>
          <cell r="AE49">
            <v>6212915</v>
          </cell>
          <cell r="AF49">
            <v>6181918</v>
          </cell>
          <cell r="AJ49">
            <v>12000</v>
          </cell>
          <cell r="AL49">
            <v>12641483</v>
          </cell>
        </row>
        <row r="50">
          <cell r="O50">
            <v>0</v>
          </cell>
          <cell r="Q50">
            <v>0</v>
          </cell>
          <cell r="T50">
            <v>0</v>
          </cell>
          <cell r="U50">
            <v>0</v>
          </cell>
          <cell r="AE50">
            <v>5909937</v>
          </cell>
          <cell r="AF50">
            <v>5886939</v>
          </cell>
          <cell r="AJ50">
            <v>108000</v>
          </cell>
          <cell r="AL50">
            <v>11689137</v>
          </cell>
        </row>
        <row r="51">
          <cell r="O51">
            <v>0</v>
          </cell>
          <cell r="Q51">
            <v>0</v>
          </cell>
          <cell r="T51">
            <v>0</v>
          </cell>
          <cell r="U51">
            <v>0</v>
          </cell>
          <cell r="AE51">
            <v>6609887</v>
          </cell>
          <cell r="AF51">
            <v>6562890</v>
          </cell>
          <cell r="AJ51">
            <v>324999</v>
          </cell>
          <cell r="AL51">
            <v>12553575</v>
          </cell>
        </row>
        <row r="52">
          <cell r="O52">
            <v>0</v>
          </cell>
          <cell r="Q52">
            <v>0</v>
          </cell>
          <cell r="T52">
            <v>0</v>
          </cell>
          <cell r="U52">
            <v>0</v>
          </cell>
          <cell r="AE52">
            <v>6555891</v>
          </cell>
          <cell r="AF52">
            <v>6519893</v>
          </cell>
          <cell r="AJ52">
            <v>0</v>
          </cell>
          <cell r="AL52">
            <v>13288740</v>
          </cell>
        </row>
        <row r="53">
          <cell r="O53">
            <v>0</v>
          </cell>
          <cell r="Q53">
            <v>0</v>
          </cell>
          <cell r="T53">
            <v>0</v>
          </cell>
          <cell r="U53">
            <v>0</v>
          </cell>
          <cell r="AE53">
            <v>6101924</v>
          </cell>
          <cell r="AF53">
            <v>6072925</v>
          </cell>
          <cell r="AJ53">
            <v>109000</v>
          </cell>
          <cell r="AL53">
            <v>12103305</v>
          </cell>
        </row>
        <row r="54">
          <cell r="O54">
            <v>0</v>
          </cell>
          <cell r="Q54">
            <v>0</v>
          </cell>
          <cell r="T54">
            <v>0</v>
          </cell>
          <cell r="U54">
            <v>0</v>
          </cell>
          <cell r="AE54">
            <v>6306909</v>
          </cell>
          <cell r="AF54">
            <v>6347905</v>
          </cell>
          <cell r="AJ54">
            <v>323999</v>
          </cell>
          <cell r="AL54">
            <v>11916317</v>
          </cell>
        </row>
        <row r="55">
          <cell r="O55">
            <v>0</v>
          </cell>
          <cell r="Q55">
            <v>10000</v>
          </cell>
          <cell r="T55">
            <v>0</v>
          </cell>
          <cell r="U55">
            <v>0</v>
          </cell>
          <cell r="AE55">
            <v>6520893</v>
          </cell>
          <cell r="AF55">
            <v>6483896</v>
          </cell>
          <cell r="AJ55">
            <v>0</v>
          </cell>
          <cell r="AL55">
            <v>13234718</v>
          </cell>
        </row>
        <row r="56">
          <cell r="O56">
            <v>0</v>
          </cell>
          <cell r="Q56">
            <v>0</v>
          </cell>
          <cell r="T56">
            <v>0</v>
          </cell>
          <cell r="U56">
            <v>0</v>
          </cell>
          <cell r="AE56">
            <v>6198716</v>
          </cell>
          <cell r="AF56">
            <v>6160919</v>
          </cell>
          <cell r="AJ56">
            <v>108000</v>
          </cell>
          <cell r="AL56">
            <v>12318392</v>
          </cell>
        </row>
        <row r="57">
          <cell r="O57">
            <v>0</v>
          </cell>
          <cell r="Q57">
            <v>0</v>
          </cell>
          <cell r="T57">
            <v>0</v>
          </cell>
          <cell r="U57">
            <v>0</v>
          </cell>
          <cell r="AE57">
            <v>6145920</v>
          </cell>
          <cell r="AF57">
            <v>6114922</v>
          </cell>
          <cell r="AJ57">
            <v>324999</v>
          </cell>
          <cell r="AL57">
            <v>11596188</v>
          </cell>
        </row>
        <row r="58">
          <cell r="O58">
            <v>0</v>
          </cell>
          <cell r="Q58">
            <v>0</v>
          </cell>
          <cell r="T58">
            <v>0</v>
          </cell>
          <cell r="U58">
            <v>0</v>
          </cell>
          <cell r="AE58">
            <v>6906865</v>
          </cell>
          <cell r="AF58">
            <v>6867868</v>
          </cell>
          <cell r="AJ58">
            <v>0</v>
          </cell>
          <cell r="AL58">
            <v>14049047</v>
          </cell>
        </row>
        <row r="59">
          <cell r="O59">
            <v>0</v>
          </cell>
          <cell r="Q59">
            <v>0</v>
          </cell>
          <cell r="T59">
            <v>0</v>
          </cell>
          <cell r="U59">
            <v>0</v>
          </cell>
          <cell r="AE59">
            <v>6114922</v>
          </cell>
          <cell r="AF59">
            <v>6080924</v>
          </cell>
          <cell r="AJ59">
            <v>109000</v>
          </cell>
          <cell r="AL59">
            <v>12158327</v>
          </cell>
        </row>
        <row r="60">
          <cell r="O60">
            <v>0</v>
          </cell>
          <cell r="Q60">
            <v>0</v>
          </cell>
          <cell r="T60">
            <v>0</v>
          </cell>
          <cell r="U60">
            <v>0</v>
          </cell>
          <cell r="AE60">
            <v>6249913</v>
          </cell>
          <cell r="AF60">
            <v>6216915</v>
          </cell>
          <cell r="AJ60">
            <v>323999</v>
          </cell>
          <cell r="AL60">
            <v>11970339</v>
          </cell>
        </row>
        <row r="61">
          <cell r="O61">
            <v>0</v>
          </cell>
          <cell r="Q61">
            <v>0</v>
          </cell>
          <cell r="T61">
            <v>0</v>
          </cell>
          <cell r="U61">
            <v>0</v>
          </cell>
          <cell r="AE61">
            <v>6035928</v>
          </cell>
          <cell r="AF61">
            <v>6002930</v>
          </cell>
          <cell r="AJ61">
            <v>129000</v>
          </cell>
          <cell r="AL61">
            <v>11977262</v>
          </cell>
        </row>
        <row r="62">
          <cell r="O62">
            <v>0</v>
          </cell>
          <cell r="Q62">
            <v>0</v>
          </cell>
          <cell r="T62">
            <v>0</v>
          </cell>
          <cell r="U62">
            <v>0</v>
          </cell>
          <cell r="AE62">
            <v>6044927</v>
          </cell>
          <cell r="AF62">
            <v>6016930</v>
          </cell>
          <cell r="AJ62">
            <v>155000</v>
          </cell>
          <cell r="AL62">
            <v>12020290</v>
          </cell>
        </row>
        <row r="63">
          <cell r="O63">
            <v>0</v>
          </cell>
          <cell r="Q63">
            <v>0</v>
          </cell>
          <cell r="T63">
            <v>0</v>
          </cell>
          <cell r="U63">
            <v>0</v>
          </cell>
          <cell r="AE63">
            <v>6000931</v>
          </cell>
          <cell r="AF63">
            <v>5970932</v>
          </cell>
          <cell r="AJ63">
            <v>265000</v>
          </cell>
          <cell r="AL63">
            <v>11763231</v>
          </cell>
        </row>
        <row r="64">
          <cell r="O64">
            <v>0</v>
          </cell>
          <cell r="Q64">
            <v>0</v>
          </cell>
          <cell r="T64">
            <v>0</v>
          </cell>
          <cell r="U64">
            <v>0</v>
          </cell>
          <cell r="AE64">
            <v>5996931</v>
          </cell>
          <cell r="AF64">
            <v>5971933</v>
          </cell>
          <cell r="AJ64">
            <v>144000</v>
          </cell>
          <cell r="AL64">
            <v>11939253</v>
          </cell>
        </row>
        <row r="65">
          <cell r="O65">
            <v>0</v>
          </cell>
          <cell r="Q65">
            <v>0</v>
          </cell>
          <cell r="T65">
            <v>0</v>
          </cell>
          <cell r="U65">
            <v>0</v>
          </cell>
          <cell r="AE65">
            <v>6427900</v>
          </cell>
          <cell r="AF65">
            <v>6401901</v>
          </cell>
          <cell r="AJ65">
            <v>178000</v>
          </cell>
          <cell r="AL65">
            <v>12769602</v>
          </cell>
        </row>
        <row r="66">
          <cell r="O66">
            <v>0</v>
          </cell>
          <cell r="Q66">
            <v>650000</v>
          </cell>
          <cell r="T66">
            <v>0</v>
          </cell>
          <cell r="U66">
            <v>0</v>
          </cell>
          <cell r="AE66">
            <v>6592887</v>
          </cell>
          <cell r="AF66">
            <v>6575889</v>
          </cell>
          <cell r="AJ66">
            <v>283000</v>
          </cell>
          <cell r="AL66">
            <v>12978726</v>
          </cell>
        </row>
        <row r="67">
          <cell r="O67">
            <v>0</v>
          </cell>
          <cell r="Q67">
            <v>0</v>
          </cell>
          <cell r="T67">
            <v>0</v>
          </cell>
          <cell r="U67">
            <v>0</v>
          </cell>
          <cell r="AE67">
            <v>6016930</v>
          </cell>
          <cell r="AF67">
            <v>5999930</v>
          </cell>
          <cell r="AJ67">
            <v>156000</v>
          </cell>
          <cell r="AL67">
            <v>12039298</v>
          </cell>
        </row>
        <row r="68">
          <cell r="O68">
            <v>1000000</v>
          </cell>
          <cell r="Q68">
            <v>0</v>
          </cell>
          <cell r="T68">
            <v>0</v>
          </cell>
          <cell r="U68">
            <v>0</v>
          </cell>
          <cell r="AE68">
            <v>5836943</v>
          </cell>
          <cell r="AF68">
            <v>5817944</v>
          </cell>
          <cell r="AJ68">
            <v>207000</v>
          </cell>
          <cell r="AL68">
            <v>11594139</v>
          </cell>
        </row>
        <row r="69">
          <cell r="O69">
            <v>0</v>
          </cell>
          <cell r="Q69">
            <v>0</v>
          </cell>
          <cell r="T69">
            <v>0</v>
          </cell>
          <cell r="U69">
            <v>0</v>
          </cell>
          <cell r="AE69">
            <v>5590960</v>
          </cell>
          <cell r="AF69">
            <v>5566962</v>
          </cell>
          <cell r="AJ69">
            <v>340999</v>
          </cell>
          <cell r="AL69">
            <v>10931926</v>
          </cell>
        </row>
        <row r="70">
          <cell r="O70">
            <v>0</v>
          </cell>
          <cell r="Q70">
            <v>0</v>
          </cell>
          <cell r="T70">
            <v>0</v>
          </cell>
          <cell r="U70">
            <v>0</v>
          </cell>
          <cell r="AE70">
            <v>6073925</v>
          </cell>
          <cell r="AF70">
            <v>6194916</v>
          </cell>
          <cell r="AJ70">
            <v>205000</v>
          </cell>
          <cell r="AL70">
            <v>12215389</v>
          </cell>
        </row>
        <row r="71">
          <cell r="O71">
            <v>0</v>
          </cell>
          <cell r="Q71">
            <v>0</v>
          </cell>
          <cell r="T71">
            <v>0</v>
          </cell>
          <cell r="U71">
            <v>0</v>
          </cell>
          <cell r="AE71">
            <v>6000931</v>
          </cell>
          <cell r="AF71">
            <v>5948934</v>
          </cell>
          <cell r="AJ71">
            <v>177000</v>
          </cell>
          <cell r="AL71">
            <v>11960275</v>
          </cell>
        </row>
        <row r="72">
          <cell r="O72">
            <v>0</v>
          </cell>
          <cell r="Q72">
            <v>10000</v>
          </cell>
          <cell r="T72">
            <v>0</v>
          </cell>
          <cell r="U72">
            <v>0</v>
          </cell>
          <cell r="AE72">
            <v>6736877</v>
          </cell>
          <cell r="AF72">
            <v>6710879</v>
          </cell>
          <cell r="AJ72">
            <v>174000</v>
          </cell>
          <cell r="AL72">
            <v>13358839</v>
          </cell>
        </row>
        <row r="73">
          <cell r="O73">
            <v>0</v>
          </cell>
          <cell r="Q73">
            <v>0</v>
          </cell>
          <cell r="T73">
            <v>0</v>
          </cell>
          <cell r="U73">
            <v>0</v>
          </cell>
          <cell r="AE73">
            <v>5243985</v>
          </cell>
          <cell r="AF73">
            <v>5238985</v>
          </cell>
          <cell r="AJ73">
            <v>414998</v>
          </cell>
          <cell r="AL73">
            <v>10174651</v>
          </cell>
        </row>
        <row r="74">
          <cell r="O74">
            <v>0</v>
          </cell>
          <cell r="Q74">
            <v>0</v>
          </cell>
          <cell r="T74">
            <v>0</v>
          </cell>
          <cell r="U74">
            <v>0</v>
          </cell>
          <cell r="AE74">
            <v>5441971</v>
          </cell>
          <cell r="AF74">
            <v>5392975</v>
          </cell>
          <cell r="AJ74">
            <v>133000</v>
          </cell>
          <cell r="AL74">
            <v>10805790</v>
          </cell>
        </row>
        <row r="75">
          <cell r="O75">
            <v>0</v>
          </cell>
          <cell r="Q75">
            <v>0</v>
          </cell>
          <cell r="T75">
            <v>0</v>
          </cell>
          <cell r="U75">
            <v>0</v>
          </cell>
          <cell r="AE75">
            <v>6471896</v>
          </cell>
          <cell r="AF75">
            <v>6476896</v>
          </cell>
          <cell r="AJ75">
            <v>315000</v>
          </cell>
          <cell r="AL75">
            <v>12883704</v>
          </cell>
        </row>
        <row r="76">
          <cell r="O76">
            <v>0</v>
          </cell>
          <cell r="Q76">
            <v>0</v>
          </cell>
          <cell r="T76">
            <v>0</v>
          </cell>
          <cell r="U76">
            <v>0</v>
          </cell>
          <cell r="AE76">
            <v>6996858</v>
          </cell>
          <cell r="AF76">
            <v>6999858</v>
          </cell>
          <cell r="AJ76">
            <v>272000</v>
          </cell>
          <cell r="AL76">
            <v>13752037</v>
          </cell>
        </row>
        <row r="77">
          <cell r="O77">
            <v>0</v>
          </cell>
          <cell r="Q77">
            <v>0</v>
          </cell>
          <cell r="T77">
            <v>0</v>
          </cell>
          <cell r="U77">
            <v>0</v>
          </cell>
          <cell r="AE77">
            <v>5626958</v>
          </cell>
          <cell r="AF77">
            <v>5612959</v>
          </cell>
          <cell r="AJ77">
            <v>132000</v>
          </cell>
          <cell r="AL77">
            <v>11298989</v>
          </cell>
        </row>
        <row r="78">
          <cell r="O78">
            <v>0</v>
          </cell>
          <cell r="Q78">
            <v>0</v>
          </cell>
          <cell r="T78">
            <v>0</v>
          </cell>
          <cell r="U78">
            <v>0</v>
          </cell>
          <cell r="AE78">
            <v>6027929</v>
          </cell>
          <cell r="AF78">
            <v>6014930</v>
          </cell>
          <cell r="AJ78">
            <v>304000</v>
          </cell>
          <cell r="AL78">
            <v>11289055</v>
          </cell>
        </row>
        <row r="79">
          <cell r="O79">
            <v>0</v>
          </cell>
          <cell r="Q79">
            <v>0</v>
          </cell>
          <cell r="T79">
            <v>0</v>
          </cell>
          <cell r="U79">
            <v>0</v>
          </cell>
          <cell r="AE79">
            <v>5738949</v>
          </cell>
          <cell r="AF79">
            <v>5734949</v>
          </cell>
          <cell r="AJ79">
            <v>283000</v>
          </cell>
          <cell r="AL79">
            <v>11403092</v>
          </cell>
        </row>
        <row r="80">
          <cell r="O80">
            <v>0</v>
          </cell>
          <cell r="Q80">
            <v>0</v>
          </cell>
          <cell r="T80">
            <v>0</v>
          </cell>
          <cell r="U80">
            <v>0</v>
          </cell>
          <cell r="AE80">
            <v>5051000</v>
          </cell>
          <cell r="AF80">
            <v>5046999</v>
          </cell>
          <cell r="AJ80">
            <v>173000</v>
          </cell>
          <cell r="AL80">
            <v>9912445</v>
          </cell>
        </row>
        <row r="81">
          <cell r="O81">
            <v>0</v>
          </cell>
          <cell r="Q81">
            <v>0</v>
          </cell>
          <cell r="T81">
            <v>171710</v>
          </cell>
          <cell r="U81">
            <v>0</v>
          </cell>
          <cell r="AE81">
            <v>5616958</v>
          </cell>
          <cell r="AF81">
            <v>5623958</v>
          </cell>
          <cell r="AJ81">
            <v>170000</v>
          </cell>
          <cell r="AL81">
            <v>11124934</v>
          </cell>
        </row>
        <row r="82">
          <cell r="O82">
            <v>0</v>
          </cell>
          <cell r="Q82">
            <v>2700000</v>
          </cell>
          <cell r="T82">
            <v>18171</v>
          </cell>
          <cell r="U82">
            <v>0</v>
          </cell>
          <cell r="AE82">
            <v>6252912</v>
          </cell>
          <cell r="AF82">
            <v>6249912</v>
          </cell>
          <cell r="AJ82">
            <v>248000</v>
          </cell>
          <cell r="AL82">
            <v>12441498</v>
          </cell>
        </row>
        <row r="83">
          <cell r="O83">
            <v>0</v>
          </cell>
          <cell r="Q83">
            <v>880000</v>
          </cell>
          <cell r="T83">
            <v>18171</v>
          </cell>
          <cell r="U83">
            <v>0</v>
          </cell>
          <cell r="AE83">
            <v>6251913</v>
          </cell>
          <cell r="AF83">
            <v>6249913</v>
          </cell>
          <cell r="AJ83">
            <v>179000</v>
          </cell>
          <cell r="AL83">
            <v>12502495</v>
          </cell>
        </row>
        <row r="84">
          <cell r="O84">
            <v>0</v>
          </cell>
          <cell r="Q84">
            <v>0</v>
          </cell>
          <cell r="T84">
            <v>0</v>
          </cell>
          <cell r="U84">
            <v>0</v>
          </cell>
          <cell r="AE84">
            <v>5544963</v>
          </cell>
          <cell r="AF84">
            <v>5541964</v>
          </cell>
          <cell r="AJ84">
            <v>180000</v>
          </cell>
          <cell r="AL84">
            <v>11122938</v>
          </cell>
        </row>
        <row r="85">
          <cell r="O85">
            <v>0</v>
          </cell>
          <cell r="Q85">
            <v>0</v>
          </cell>
          <cell r="T85">
            <v>0</v>
          </cell>
          <cell r="U85">
            <v>0</v>
          </cell>
          <cell r="AE85">
            <v>5712951</v>
          </cell>
          <cell r="AF85">
            <v>5714952</v>
          </cell>
          <cell r="AJ85">
            <v>180000</v>
          </cell>
          <cell r="AL85">
            <v>11321018</v>
          </cell>
        </row>
        <row r="86">
          <cell r="O86">
            <v>0</v>
          </cell>
          <cell r="Q86">
            <v>840000</v>
          </cell>
          <cell r="T86">
            <v>118935</v>
          </cell>
          <cell r="U86">
            <v>0</v>
          </cell>
          <cell r="AE86">
            <v>5998931</v>
          </cell>
          <cell r="AF86">
            <v>6000930</v>
          </cell>
          <cell r="AJ86">
            <v>180000</v>
          </cell>
          <cell r="AL86">
            <v>11684164</v>
          </cell>
        </row>
        <row r="87">
          <cell r="O87">
            <v>0</v>
          </cell>
          <cell r="Q87">
            <v>2150000</v>
          </cell>
          <cell r="T87">
            <v>221595</v>
          </cell>
          <cell r="U87">
            <v>0</v>
          </cell>
          <cell r="AE87">
            <v>6000930</v>
          </cell>
          <cell r="AF87">
            <v>5999931</v>
          </cell>
          <cell r="AJ87">
            <v>180000</v>
          </cell>
          <cell r="AL87">
            <v>11988287</v>
          </cell>
        </row>
        <row r="88">
          <cell r="O88">
            <v>0</v>
          </cell>
          <cell r="Q88">
            <v>0</v>
          </cell>
          <cell r="T88">
            <v>0</v>
          </cell>
          <cell r="U88">
            <v>0</v>
          </cell>
          <cell r="AE88">
            <v>6000930</v>
          </cell>
          <cell r="AF88">
            <v>6000931</v>
          </cell>
          <cell r="AJ88">
            <v>181000</v>
          </cell>
          <cell r="AL88">
            <v>11977283</v>
          </cell>
        </row>
        <row r="89">
          <cell r="O89">
            <v>0</v>
          </cell>
          <cell r="Q89">
            <v>10000</v>
          </cell>
          <cell r="T89">
            <v>6970</v>
          </cell>
          <cell r="U89">
            <v>0</v>
          </cell>
          <cell r="AE89">
            <v>5998931</v>
          </cell>
          <cell r="AF89">
            <v>5998930</v>
          </cell>
          <cell r="AJ89">
            <v>180000</v>
          </cell>
          <cell r="AL89">
            <v>11989288</v>
          </cell>
        </row>
        <row r="90">
          <cell r="O90">
            <v>0</v>
          </cell>
          <cell r="Q90">
            <v>3290000</v>
          </cell>
          <cell r="T90">
            <v>312317</v>
          </cell>
          <cell r="U90">
            <v>0</v>
          </cell>
          <cell r="AE90">
            <v>5884939</v>
          </cell>
          <cell r="AF90">
            <v>5881939</v>
          </cell>
          <cell r="AJ90">
            <v>181000</v>
          </cell>
          <cell r="AL90">
            <v>11748191</v>
          </cell>
        </row>
        <row r="91">
          <cell r="O91">
            <v>0</v>
          </cell>
          <cell r="Q91">
            <v>350000</v>
          </cell>
          <cell r="T91">
            <v>0</v>
          </cell>
          <cell r="U91">
            <v>0</v>
          </cell>
          <cell r="AE91">
            <v>5499967</v>
          </cell>
          <cell r="AF91">
            <v>5499967</v>
          </cell>
          <cell r="AJ91">
            <v>179000</v>
          </cell>
          <cell r="AL91">
            <v>10907850</v>
          </cell>
        </row>
        <row r="92">
          <cell r="O92">
            <v>0</v>
          </cell>
          <cell r="Q92">
            <v>0</v>
          </cell>
          <cell r="T92">
            <v>13722</v>
          </cell>
          <cell r="U92">
            <v>0</v>
          </cell>
          <cell r="AE92">
            <v>5606959</v>
          </cell>
          <cell r="AF92">
            <v>5610959</v>
          </cell>
          <cell r="AJ92">
            <v>181000</v>
          </cell>
          <cell r="AL92">
            <v>11081921</v>
          </cell>
        </row>
        <row r="93">
          <cell r="O93">
            <v>0</v>
          </cell>
          <cell r="Q93">
            <v>2490000</v>
          </cell>
          <cell r="T93">
            <v>271087</v>
          </cell>
          <cell r="U93">
            <v>0</v>
          </cell>
          <cell r="AE93">
            <v>6737877</v>
          </cell>
          <cell r="AF93">
            <v>6740877</v>
          </cell>
          <cell r="AJ93">
            <v>189000</v>
          </cell>
          <cell r="AL93">
            <v>13100741</v>
          </cell>
        </row>
        <row r="94">
          <cell r="O94">
            <v>0</v>
          </cell>
          <cell r="Q94">
            <v>4950000</v>
          </cell>
          <cell r="T94">
            <v>568205</v>
          </cell>
          <cell r="U94">
            <v>0</v>
          </cell>
          <cell r="AE94">
            <v>6482895</v>
          </cell>
          <cell r="AF94">
            <v>6480895</v>
          </cell>
          <cell r="AJ94">
            <v>265000</v>
          </cell>
          <cell r="AL94">
            <v>13017738</v>
          </cell>
        </row>
        <row r="95">
          <cell r="O95">
            <v>0</v>
          </cell>
          <cell r="Q95">
            <v>5010000</v>
          </cell>
          <cell r="T95">
            <v>460403</v>
          </cell>
          <cell r="U95">
            <v>0</v>
          </cell>
          <cell r="AE95">
            <v>5535964</v>
          </cell>
          <cell r="AF95">
            <v>5532964</v>
          </cell>
          <cell r="AJ95">
            <v>203000</v>
          </cell>
          <cell r="AL95">
            <v>11060922</v>
          </cell>
        </row>
        <row r="96">
          <cell r="O96">
            <v>0</v>
          </cell>
          <cell r="Q96">
            <v>5050000</v>
          </cell>
          <cell r="T96">
            <v>546645</v>
          </cell>
          <cell r="U96">
            <v>0</v>
          </cell>
          <cell r="AE96">
            <v>6182918</v>
          </cell>
          <cell r="AF96">
            <v>6186918</v>
          </cell>
          <cell r="AJ96">
            <v>191000</v>
          </cell>
          <cell r="AL96">
            <v>12118344</v>
          </cell>
        </row>
        <row r="97">
          <cell r="O97">
            <v>0</v>
          </cell>
          <cell r="Q97">
            <v>5280000</v>
          </cell>
          <cell r="T97">
            <v>498186</v>
          </cell>
          <cell r="U97">
            <v>4689999.9999999413</v>
          </cell>
          <cell r="AE97">
            <v>4925258</v>
          </cell>
          <cell r="AF97">
            <v>4921759</v>
          </cell>
          <cell r="AJ97">
            <v>198000</v>
          </cell>
          <cell r="AL97">
            <v>9753141</v>
          </cell>
        </row>
        <row r="98">
          <cell r="O98">
            <v>0</v>
          </cell>
          <cell r="Q98">
            <v>5830000</v>
          </cell>
          <cell r="T98">
            <v>532236</v>
          </cell>
          <cell r="U98">
            <v>7580000.000000041</v>
          </cell>
          <cell r="AE98">
            <v>4506039</v>
          </cell>
          <cell r="AF98">
            <v>4500040</v>
          </cell>
          <cell r="AJ98">
            <v>190000</v>
          </cell>
          <cell r="AL98">
            <v>8975073</v>
          </cell>
        </row>
        <row r="99">
          <cell r="O99">
            <v>0</v>
          </cell>
          <cell r="Q99">
            <v>6470000</v>
          </cell>
          <cell r="T99">
            <v>542892</v>
          </cell>
          <cell r="U99">
            <v>7279999.999999973</v>
          </cell>
          <cell r="AE99">
            <v>4489040</v>
          </cell>
          <cell r="AF99">
            <v>4499040</v>
          </cell>
          <cell r="AJ99">
            <v>181000</v>
          </cell>
          <cell r="AL99">
            <v>8916046</v>
          </cell>
        </row>
        <row r="100">
          <cell r="O100">
            <v>0</v>
          </cell>
          <cell r="Q100">
            <v>7050000</v>
          </cell>
          <cell r="T100">
            <v>578450</v>
          </cell>
          <cell r="U100">
            <v>6490000.0000000093</v>
          </cell>
          <cell r="AE100">
            <v>3878070</v>
          </cell>
          <cell r="AF100">
            <v>3881069</v>
          </cell>
          <cell r="AJ100">
            <v>196000</v>
          </cell>
          <cell r="AL100">
            <v>7573620</v>
          </cell>
        </row>
        <row r="101">
          <cell r="O101">
            <v>0</v>
          </cell>
          <cell r="Q101">
            <v>6950000</v>
          </cell>
          <cell r="T101">
            <v>751855</v>
          </cell>
          <cell r="U101">
            <v>7139999.999999986</v>
          </cell>
          <cell r="AE101">
            <v>3387046</v>
          </cell>
          <cell r="AF101">
            <v>3391046</v>
          </cell>
          <cell r="AJ101">
            <v>167000</v>
          </cell>
          <cell r="AL101">
            <v>6311713</v>
          </cell>
        </row>
        <row r="102">
          <cell r="O102">
            <v>0</v>
          </cell>
          <cell r="Q102">
            <v>7830000</v>
          </cell>
          <cell r="T102">
            <v>951530</v>
          </cell>
          <cell r="U102">
            <v>7160000.000000082</v>
          </cell>
          <cell r="AE102">
            <v>3045030</v>
          </cell>
          <cell r="AF102">
            <v>3473051</v>
          </cell>
          <cell r="AJ102">
            <v>153000</v>
          </cell>
          <cell r="AL102">
            <v>6182724</v>
          </cell>
        </row>
        <row r="103">
          <cell r="O103">
            <v>0</v>
          </cell>
          <cell r="Q103">
            <v>5860000</v>
          </cell>
          <cell r="T103">
            <v>544018</v>
          </cell>
          <cell r="U103">
            <v>6250000</v>
          </cell>
          <cell r="AE103">
            <v>2883023</v>
          </cell>
          <cell r="AF103">
            <v>3486051</v>
          </cell>
          <cell r="AJ103">
            <v>176000</v>
          </cell>
          <cell r="AL103">
            <v>6973665</v>
          </cell>
        </row>
        <row r="104">
          <cell r="O104">
            <v>0</v>
          </cell>
          <cell r="Q104">
            <v>6400000</v>
          </cell>
          <cell r="T104">
            <v>854555</v>
          </cell>
          <cell r="U104">
            <v>6359999.9999999003</v>
          </cell>
          <cell r="AE104">
            <v>2381000</v>
          </cell>
          <cell r="AF104">
            <v>3000029</v>
          </cell>
          <cell r="AJ104">
            <v>177000</v>
          </cell>
          <cell r="AL104">
            <v>5353782</v>
          </cell>
        </row>
        <row r="105">
          <cell r="O105">
            <v>0</v>
          </cell>
          <cell r="Q105">
            <v>7480000</v>
          </cell>
          <cell r="T105">
            <v>1008025</v>
          </cell>
          <cell r="U105">
            <v>7070000.0000000503</v>
          </cell>
          <cell r="AE105">
            <v>2391000</v>
          </cell>
          <cell r="AF105">
            <v>2701029</v>
          </cell>
          <cell r="AJ105">
            <v>176000</v>
          </cell>
          <cell r="AL105">
            <v>5811749</v>
          </cell>
        </row>
        <row r="106">
          <cell r="O106">
            <v>0</v>
          </cell>
          <cell r="Q106">
            <v>8310000</v>
          </cell>
          <cell r="T106">
            <v>900050</v>
          </cell>
          <cell r="U106">
            <v>7690000.0000000549</v>
          </cell>
          <cell r="AE106">
            <v>2391000</v>
          </cell>
          <cell r="AF106">
            <v>2999029</v>
          </cell>
          <cell r="AJ106">
            <v>148000</v>
          </cell>
          <cell r="AL106">
            <v>5643763</v>
          </cell>
        </row>
        <row r="107">
          <cell r="O107">
            <v>0</v>
          </cell>
          <cell r="Q107">
            <v>8700000</v>
          </cell>
          <cell r="T107">
            <v>924357</v>
          </cell>
          <cell r="U107">
            <v>8049999.9999999544</v>
          </cell>
          <cell r="AE107">
            <v>2389000</v>
          </cell>
          <cell r="AF107">
            <v>3000029</v>
          </cell>
          <cell r="AJ107">
            <v>0</v>
          </cell>
          <cell r="AL107">
            <v>6063743</v>
          </cell>
        </row>
        <row r="108">
          <cell r="O108">
            <v>0</v>
          </cell>
          <cell r="Q108">
            <v>7360000</v>
          </cell>
          <cell r="T108">
            <v>979018</v>
          </cell>
          <cell r="U108">
            <v>7189999.9999999413</v>
          </cell>
          <cell r="AE108">
            <v>2403001</v>
          </cell>
          <cell r="AF108">
            <v>3001029</v>
          </cell>
          <cell r="AJ108">
            <v>0</v>
          </cell>
          <cell r="AL108">
            <v>5946752</v>
          </cell>
        </row>
        <row r="109">
          <cell r="O109">
            <v>0</v>
          </cell>
          <cell r="Q109">
            <v>8450000</v>
          </cell>
          <cell r="T109">
            <v>1151183</v>
          </cell>
          <cell r="U109">
            <v>7260000.0000001043</v>
          </cell>
          <cell r="AE109">
            <v>2399001</v>
          </cell>
          <cell r="AF109">
            <v>3000028</v>
          </cell>
          <cell r="AJ109">
            <v>177000</v>
          </cell>
          <cell r="AL109">
            <v>5814749</v>
          </cell>
        </row>
        <row r="110">
          <cell r="O110">
            <v>0</v>
          </cell>
          <cell r="Q110">
            <v>6510000</v>
          </cell>
          <cell r="T110">
            <v>832740</v>
          </cell>
          <cell r="U110">
            <v>6750000</v>
          </cell>
          <cell r="AE110">
            <v>2390000</v>
          </cell>
          <cell r="AF110">
            <v>2999028</v>
          </cell>
          <cell r="AJ110">
            <v>158000</v>
          </cell>
          <cell r="AL110">
            <v>5831749</v>
          </cell>
        </row>
        <row r="111">
          <cell r="O111">
            <v>0</v>
          </cell>
          <cell r="Q111">
            <v>5300000</v>
          </cell>
          <cell r="T111">
            <v>498045</v>
          </cell>
          <cell r="U111">
            <v>5729999.9999999041</v>
          </cell>
          <cell r="AE111">
            <v>2404000</v>
          </cell>
          <cell r="AF111">
            <v>3000029</v>
          </cell>
          <cell r="AJ111">
            <v>0</v>
          </cell>
          <cell r="AL111">
            <v>6142738</v>
          </cell>
        </row>
        <row r="112">
          <cell r="O112">
            <v>0</v>
          </cell>
          <cell r="Q112">
            <v>6420000</v>
          </cell>
          <cell r="T112">
            <v>714630</v>
          </cell>
          <cell r="U112">
            <v>6250000</v>
          </cell>
          <cell r="AE112">
            <v>2366999</v>
          </cell>
          <cell r="AF112">
            <v>3001029</v>
          </cell>
          <cell r="AJ112">
            <v>158000</v>
          </cell>
          <cell r="AL112">
            <v>5826749</v>
          </cell>
        </row>
        <row r="113">
          <cell r="O113">
            <v>0</v>
          </cell>
          <cell r="Q113">
            <v>6640000</v>
          </cell>
          <cell r="T113">
            <v>1045889</v>
          </cell>
          <cell r="U113">
            <v>6200000.0000000456</v>
          </cell>
          <cell r="AE113">
            <v>2367999</v>
          </cell>
          <cell r="AF113">
            <v>2999028</v>
          </cell>
          <cell r="AJ113">
            <v>158000</v>
          </cell>
          <cell r="AL113">
            <v>5915743</v>
          </cell>
        </row>
        <row r="114">
          <cell r="O114">
            <v>0</v>
          </cell>
          <cell r="Q114">
            <v>6880000</v>
          </cell>
          <cell r="T114">
            <v>0</v>
          </cell>
          <cell r="U114">
            <v>6870000.0000000047</v>
          </cell>
          <cell r="AE114">
            <v>2383999</v>
          </cell>
          <cell r="AF114">
            <v>2986028</v>
          </cell>
          <cell r="AJ114">
            <v>158000</v>
          </cell>
          <cell r="AL114">
            <v>5932741</v>
          </cell>
        </row>
        <row r="115">
          <cell r="O115">
            <v>0</v>
          </cell>
          <cell r="Q115">
            <v>7010000</v>
          </cell>
          <cell r="T115">
            <v>0</v>
          </cell>
          <cell r="U115">
            <v>6559999.9999999451</v>
          </cell>
          <cell r="AE115">
            <v>2393000</v>
          </cell>
          <cell r="AF115">
            <v>3001028</v>
          </cell>
          <cell r="AJ115">
            <v>0</v>
          </cell>
          <cell r="AL115">
            <v>6161736</v>
          </cell>
        </row>
        <row r="116">
          <cell r="O116">
            <v>0</v>
          </cell>
          <cell r="Q116">
            <v>7180000</v>
          </cell>
          <cell r="T116">
            <v>929893</v>
          </cell>
          <cell r="U116">
            <v>6590000.0000000317</v>
          </cell>
          <cell r="AE116">
            <v>2393000</v>
          </cell>
          <cell r="AF116">
            <v>3000028</v>
          </cell>
          <cell r="AJ116">
            <v>158000</v>
          </cell>
          <cell r="AL116">
            <v>5934741</v>
          </cell>
        </row>
        <row r="117">
          <cell r="O117">
            <v>0</v>
          </cell>
          <cell r="Q117">
            <v>7490000</v>
          </cell>
          <cell r="T117">
            <v>916304</v>
          </cell>
          <cell r="U117">
            <v>6639999.999999986</v>
          </cell>
          <cell r="AE117">
            <v>2387000</v>
          </cell>
          <cell r="AF117">
            <v>2999028</v>
          </cell>
          <cell r="AJ117">
            <v>153000</v>
          </cell>
          <cell r="AL117">
            <v>5953740</v>
          </cell>
        </row>
        <row r="118">
          <cell r="O118">
            <v>0</v>
          </cell>
          <cell r="Q118">
            <v>8010000</v>
          </cell>
          <cell r="T118">
            <v>0</v>
          </cell>
          <cell r="U118">
            <v>7070000.0000000503</v>
          </cell>
          <cell r="AE118">
            <v>2397000</v>
          </cell>
          <cell r="AF118">
            <v>3000028</v>
          </cell>
          <cell r="AJ118">
            <v>153000</v>
          </cell>
          <cell r="AL118">
            <v>5923742</v>
          </cell>
        </row>
        <row r="119">
          <cell r="O119">
            <v>0</v>
          </cell>
          <cell r="Q119">
            <v>8490000</v>
          </cell>
          <cell r="T119">
            <v>0</v>
          </cell>
          <cell r="U119">
            <v>7549999.9999999544</v>
          </cell>
          <cell r="AE119">
            <v>2383999</v>
          </cell>
          <cell r="AF119">
            <v>3000028</v>
          </cell>
          <cell r="AJ119">
            <v>0</v>
          </cell>
          <cell r="AL119">
            <v>6113740</v>
          </cell>
        </row>
        <row r="120">
          <cell r="O120">
            <v>0</v>
          </cell>
          <cell r="Q120">
            <v>8050000</v>
          </cell>
          <cell r="T120">
            <v>0</v>
          </cell>
          <cell r="U120">
            <v>8040000.0000000773</v>
          </cell>
          <cell r="AE120">
            <v>2395000</v>
          </cell>
          <cell r="AF120">
            <v>3001029</v>
          </cell>
          <cell r="AJ120">
            <v>152000</v>
          </cell>
          <cell r="AL120">
            <v>5911743</v>
          </cell>
        </row>
        <row r="121">
          <cell r="O121">
            <v>0</v>
          </cell>
          <cell r="Q121">
            <v>9170000</v>
          </cell>
          <cell r="T121">
            <v>1339658</v>
          </cell>
          <cell r="U121">
            <v>8339999.999999918</v>
          </cell>
          <cell r="AE121">
            <v>2397001</v>
          </cell>
          <cell r="AF121">
            <v>2988028</v>
          </cell>
          <cell r="AJ121">
            <v>152000</v>
          </cell>
          <cell r="AL121">
            <v>5944741</v>
          </cell>
        </row>
        <row r="122">
          <cell r="O122">
            <v>0</v>
          </cell>
          <cell r="Q122">
            <v>7050000</v>
          </cell>
          <cell r="T122">
            <v>803055</v>
          </cell>
          <cell r="U122">
            <v>7129999.9999999953</v>
          </cell>
          <cell r="AE122">
            <v>2392000</v>
          </cell>
          <cell r="AF122">
            <v>3000029</v>
          </cell>
          <cell r="AJ122">
            <v>153000</v>
          </cell>
          <cell r="AL122">
            <v>5991737</v>
          </cell>
        </row>
        <row r="123">
          <cell r="O123">
            <v>0</v>
          </cell>
          <cell r="Q123">
            <v>7980000</v>
          </cell>
          <cell r="T123">
            <v>2642</v>
          </cell>
          <cell r="U123">
            <v>7300000.000000068</v>
          </cell>
          <cell r="AE123">
            <v>2392000</v>
          </cell>
          <cell r="AF123">
            <v>3000029</v>
          </cell>
          <cell r="AJ123">
            <v>0</v>
          </cell>
          <cell r="AL123">
            <v>6640702</v>
          </cell>
        </row>
        <row r="124">
          <cell r="O124">
            <v>0</v>
          </cell>
          <cell r="Q124">
            <v>7150000</v>
          </cell>
          <cell r="T124">
            <v>0</v>
          </cell>
          <cell r="U124">
            <v>7139999.999999986</v>
          </cell>
          <cell r="AE124">
            <v>4085069</v>
          </cell>
          <cell r="AF124">
            <v>3000029</v>
          </cell>
          <cell r="AJ124">
            <v>153000</v>
          </cell>
          <cell r="AL124">
            <v>7622619</v>
          </cell>
        </row>
        <row r="125">
          <cell r="O125">
            <v>0</v>
          </cell>
          <cell r="Q125">
            <v>7860000</v>
          </cell>
          <cell r="T125">
            <v>999304</v>
          </cell>
          <cell r="U125">
            <v>7620000.0000000047</v>
          </cell>
          <cell r="AE125">
            <v>4085069</v>
          </cell>
          <cell r="AF125">
            <v>3000029</v>
          </cell>
          <cell r="AJ125">
            <v>196000</v>
          </cell>
          <cell r="AL125">
            <v>7814607</v>
          </cell>
        </row>
        <row r="126">
          <cell r="O126">
            <v>0</v>
          </cell>
          <cell r="Q126">
            <v>8510000</v>
          </cell>
          <cell r="T126">
            <v>1170883</v>
          </cell>
          <cell r="U126">
            <v>8459999.9999999218</v>
          </cell>
          <cell r="AE126">
            <v>5090996</v>
          </cell>
          <cell r="AF126">
            <v>2981027</v>
          </cell>
          <cell r="AJ126">
            <v>152000</v>
          </cell>
          <cell r="AL126">
            <v>8584900</v>
          </cell>
        </row>
        <row r="127">
          <cell r="O127">
            <v>0</v>
          </cell>
          <cell r="Q127">
            <v>6910000</v>
          </cell>
          <cell r="T127">
            <v>661464</v>
          </cell>
          <cell r="U127">
            <v>7920000.0000000726</v>
          </cell>
          <cell r="AE127">
            <v>5229986</v>
          </cell>
          <cell r="AF127">
            <v>3000029</v>
          </cell>
          <cell r="AJ127">
            <v>0</v>
          </cell>
          <cell r="AL127">
            <v>8995005</v>
          </cell>
        </row>
        <row r="128">
          <cell r="O128">
            <v>0</v>
          </cell>
          <cell r="Q128">
            <v>6100000</v>
          </cell>
          <cell r="T128">
            <v>0</v>
          </cell>
          <cell r="U128">
            <v>6879999.9999999953</v>
          </cell>
          <cell r="AE128">
            <v>4449044</v>
          </cell>
          <cell r="AF128">
            <v>3000029</v>
          </cell>
          <cell r="AJ128">
            <v>162000</v>
          </cell>
          <cell r="AL128">
            <v>8019676</v>
          </cell>
        </row>
        <row r="129">
          <cell r="O129">
            <v>0</v>
          </cell>
          <cell r="Q129">
            <v>6070000</v>
          </cell>
          <cell r="T129">
            <v>0</v>
          </cell>
          <cell r="U129">
            <v>7049999.9999999544</v>
          </cell>
          <cell r="AE129">
            <v>4387048</v>
          </cell>
          <cell r="AF129">
            <v>3000029</v>
          </cell>
          <cell r="AJ129">
            <v>170000</v>
          </cell>
          <cell r="AL129">
            <v>7955654</v>
          </cell>
        </row>
        <row r="130">
          <cell r="O130">
            <v>0</v>
          </cell>
          <cell r="Q130">
            <v>6410000</v>
          </cell>
          <cell r="T130">
            <v>815000</v>
          </cell>
          <cell r="U130">
            <v>7019999.9999999814</v>
          </cell>
          <cell r="AE130">
            <v>5388975</v>
          </cell>
          <cell r="AF130">
            <v>3000029</v>
          </cell>
          <cell r="AJ130">
            <v>208000</v>
          </cell>
          <cell r="AL130">
            <v>8947069</v>
          </cell>
        </row>
        <row r="131">
          <cell r="O131">
            <v>0</v>
          </cell>
          <cell r="Q131">
            <v>6010000</v>
          </cell>
          <cell r="T131">
            <v>712757</v>
          </cell>
          <cell r="U131">
            <v>6580000.000000041</v>
          </cell>
          <cell r="AE131">
            <v>5379975</v>
          </cell>
          <cell r="AF131">
            <v>2999029</v>
          </cell>
          <cell r="AJ131">
            <v>74000</v>
          </cell>
          <cell r="AL131">
            <v>9011041</v>
          </cell>
        </row>
        <row r="132">
          <cell r="O132">
            <v>0</v>
          </cell>
          <cell r="Q132">
            <v>5990000</v>
          </cell>
          <cell r="T132">
            <v>0</v>
          </cell>
          <cell r="U132">
            <v>7310000.0000000587</v>
          </cell>
          <cell r="AE132">
            <v>5862940</v>
          </cell>
          <cell r="AF132">
            <v>3001029</v>
          </cell>
          <cell r="AJ132">
            <v>152000</v>
          </cell>
          <cell r="AL132">
            <v>8983061</v>
          </cell>
        </row>
        <row r="133">
          <cell r="O133">
            <v>0</v>
          </cell>
          <cell r="Q133">
            <v>7080000</v>
          </cell>
          <cell r="T133">
            <v>0</v>
          </cell>
          <cell r="U133">
            <v>6829999.9999999274</v>
          </cell>
          <cell r="AE133">
            <v>4123902</v>
          </cell>
          <cell r="AF133">
            <v>3000028</v>
          </cell>
          <cell r="AJ133">
            <v>0</v>
          </cell>
          <cell r="AL133">
            <v>10832747</v>
          </cell>
        </row>
        <row r="134">
          <cell r="O134">
            <v>0</v>
          </cell>
          <cell r="Q134">
            <v>6160000</v>
          </cell>
          <cell r="T134">
            <v>3147</v>
          </cell>
          <cell r="U134">
            <v>5240000.0000000093</v>
          </cell>
          <cell r="AE134">
            <v>7286837</v>
          </cell>
          <cell r="AF134">
            <v>3000029</v>
          </cell>
          <cell r="AJ134">
            <v>152000</v>
          </cell>
          <cell r="AL134">
            <v>10224563</v>
          </cell>
        </row>
        <row r="135">
          <cell r="O135">
            <v>0</v>
          </cell>
          <cell r="Q135">
            <v>6000000</v>
          </cell>
          <cell r="T135">
            <v>686736</v>
          </cell>
          <cell r="U135">
            <v>6300000.000000068</v>
          </cell>
          <cell r="AE135">
            <v>6333907</v>
          </cell>
          <cell r="AF135">
            <v>1117993</v>
          </cell>
          <cell r="AJ135">
            <v>153000</v>
          </cell>
          <cell r="AL135">
            <v>7913630</v>
          </cell>
        </row>
        <row r="136">
          <cell r="O136">
            <v>0</v>
          </cell>
          <cell r="Q136">
            <v>6580000</v>
          </cell>
          <cell r="T136">
            <v>799440</v>
          </cell>
          <cell r="U136">
            <v>6239999.9999998957</v>
          </cell>
          <cell r="AE136">
            <v>5384975</v>
          </cell>
          <cell r="AF136">
            <v>0</v>
          </cell>
          <cell r="AJ136">
            <v>152000</v>
          </cell>
          <cell r="AL136">
            <v>6056733</v>
          </cell>
        </row>
        <row r="137">
          <cell r="O137">
            <v>0</v>
          </cell>
          <cell r="Q137">
            <v>8040000</v>
          </cell>
          <cell r="T137">
            <v>0</v>
          </cell>
          <cell r="U137">
            <v>7780000.0000000866</v>
          </cell>
          <cell r="AE137">
            <v>5694953</v>
          </cell>
          <cell r="AF137">
            <v>0</v>
          </cell>
          <cell r="AJ137">
            <v>154000</v>
          </cell>
          <cell r="AL137">
            <v>6296715</v>
          </cell>
        </row>
        <row r="138">
          <cell r="O138">
            <v>0</v>
          </cell>
          <cell r="Q138">
            <v>9350000</v>
          </cell>
          <cell r="T138">
            <v>3408</v>
          </cell>
          <cell r="U138">
            <v>8299999.9999999544</v>
          </cell>
          <cell r="AE138">
            <v>7140848</v>
          </cell>
          <cell r="AF138">
            <v>0</v>
          </cell>
          <cell r="AJ138">
            <v>152000</v>
          </cell>
          <cell r="AL138">
            <v>7754610</v>
          </cell>
        </row>
        <row r="139">
          <cell r="O139">
            <v>0</v>
          </cell>
          <cell r="Q139">
            <v>9410000</v>
          </cell>
          <cell r="T139">
            <v>1112153</v>
          </cell>
          <cell r="U139">
            <v>8560000.0000000596</v>
          </cell>
          <cell r="AE139">
            <v>6959757</v>
          </cell>
          <cell r="AF139">
            <v>0</v>
          </cell>
          <cell r="AJ139">
            <v>152000</v>
          </cell>
          <cell r="AL139">
            <v>7583622</v>
          </cell>
        </row>
        <row r="140">
          <cell r="O140">
            <v>0</v>
          </cell>
          <cell r="Q140">
            <v>8490000</v>
          </cell>
          <cell r="T140">
            <v>1020044</v>
          </cell>
          <cell r="U140">
            <v>8179999.9999999497</v>
          </cell>
          <cell r="AE140">
            <v>6616704</v>
          </cell>
          <cell r="AF140">
            <v>0</v>
          </cell>
          <cell r="AJ140">
            <v>107000</v>
          </cell>
          <cell r="AL140">
            <v>7210652</v>
          </cell>
        </row>
        <row r="141">
          <cell r="O141">
            <v>0</v>
          </cell>
          <cell r="Q141">
            <v>8390000</v>
          </cell>
          <cell r="T141">
            <v>0</v>
          </cell>
          <cell r="U141">
            <v>8250000</v>
          </cell>
          <cell r="AE141">
            <v>5947752</v>
          </cell>
          <cell r="AF141">
            <v>0</v>
          </cell>
          <cell r="AJ141">
            <v>199000</v>
          </cell>
          <cell r="AL141">
            <v>6425703</v>
          </cell>
        </row>
        <row r="142">
          <cell r="O142">
            <v>0</v>
          </cell>
          <cell r="Q142">
            <v>10290000</v>
          </cell>
          <cell r="T142">
            <v>0</v>
          </cell>
          <cell r="U142">
            <v>9580000.000000041</v>
          </cell>
          <cell r="AE142">
            <v>5133811</v>
          </cell>
          <cell r="AF142">
            <v>0</v>
          </cell>
          <cell r="AJ142">
            <v>430998</v>
          </cell>
          <cell r="AL142">
            <v>5431760</v>
          </cell>
        </row>
        <row r="143">
          <cell r="O143">
            <v>4000000</v>
          </cell>
          <cell r="Q143">
            <v>10150000</v>
          </cell>
          <cell r="T143">
            <v>0</v>
          </cell>
          <cell r="U143">
            <v>11909999.999999968</v>
          </cell>
          <cell r="AE143">
            <v>1636021</v>
          </cell>
          <cell r="AF143">
            <v>0</v>
          </cell>
          <cell r="AJ143">
            <v>44000</v>
          </cell>
          <cell r="AL143">
            <v>2087028</v>
          </cell>
        </row>
        <row r="144">
          <cell r="O144">
            <v>5000000</v>
          </cell>
          <cell r="Q144">
            <v>10710000</v>
          </cell>
          <cell r="T144">
            <v>0</v>
          </cell>
          <cell r="U144">
            <v>14289999.999999963</v>
          </cell>
          <cell r="AE144">
            <v>5000</v>
          </cell>
          <cell r="AF144">
            <v>0</v>
          </cell>
          <cell r="AJ144">
            <v>0</v>
          </cell>
          <cell r="AL144">
            <v>0</v>
          </cell>
        </row>
        <row r="145">
          <cell r="O145">
            <v>6000000</v>
          </cell>
          <cell r="Q145">
            <v>12930000</v>
          </cell>
          <cell r="T145">
            <v>2040683</v>
          </cell>
          <cell r="U145">
            <v>17170000.000000075</v>
          </cell>
          <cell r="AE145">
            <v>0</v>
          </cell>
          <cell r="AF145">
            <v>0</v>
          </cell>
          <cell r="AJ145">
            <v>0</v>
          </cell>
          <cell r="AL145">
            <v>0</v>
          </cell>
        </row>
        <row r="146">
          <cell r="O146">
            <v>7000000</v>
          </cell>
          <cell r="Q146">
            <v>14470000</v>
          </cell>
          <cell r="T146">
            <v>0</v>
          </cell>
          <cell r="U146">
            <v>19299999.999999955</v>
          </cell>
          <cell r="AE146">
            <v>0</v>
          </cell>
          <cell r="AF146">
            <v>0</v>
          </cell>
          <cell r="AJ146">
            <v>0</v>
          </cell>
          <cell r="AL146">
            <v>0</v>
          </cell>
        </row>
        <row r="147">
          <cell r="O147">
            <v>6000000</v>
          </cell>
          <cell r="Q147">
            <v>11190000</v>
          </cell>
          <cell r="T147">
            <v>3251</v>
          </cell>
          <cell r="U147">
            <v>15360000.000000013</v>
          </cell>
          <cell r="AE147">
            <v>0</v>
          </cell>
          <cell r="AF147">
            <v>0</v>
          </cell>
          <cell r="AJ147">
            <v>0</v>
          </cell>
          <cell r="AL147">
            <v>0</v>
          </cell>
        </row>
        <row r="148">
          <cell r="O148">
            <v>5000000</v>
          </cell>
          <cell r="Q148">
            <v>10970000</v>
          </cell>
          <cell r="T148">
            <v>0</v>
          </cell>
          <cell r="U148">
            <v>14960000.000000037</v>
          </cell>
          <cell r="AE148">
            <v>0</v>
          </cell>
          <cell r="AF148">
            <v>0</v>
          </cell>
          <cell r="AJ148">
            <v>0</v>
          </cell>
          <cell r="AL148">
            <v>0</v>
          </cell>
        </row>
        <row r="149">
          <cell r="O149">
            <v>6000000</v>
          </cell>
          <cell r="Q149">
            <v>14430000</v>
          </cell>
          <cell r="T149">
            <v>2259709</v>
          </cell>
          <cell r="U149">
            <v>18759999.999999877</v>
          </cell>
          <cell r="AE149">
            <v>58000</v>
          </cell>
          <cell r="AF149">
            <v>0</v>
          </cell>
          <cell r="AJ149">
            <v>0</v>
          </cell>
          <cell r="AL149">
            <v>0</v>
          </cell>
        </row>
        <row r="150">
          <cell r="O150">
            <v>7000000</v>
          </cell>
          <cell r="Q150">
            <v>16770000</v>
          </cell>
          <cell r="T150">
            <v>2625172</v>
          </cell>
          <cell r="U150">
            <v>21230000.000000019</v>
          </cell>
          <cell r="AE150">
            <v>1914034</v>
          </cell>
          <cell r="AF150">
            <v>0</v>
          </cell>
          <cell r="AJ150">
            <v>0</v>
          </cell>
          <cell r="AL150">
            <v>0</v>
          </cell>
        </row>
        <row r="151">
          <cell r="O151">
            <v>7000000</v>
          </cell>
          <cell r="Q151">
            <v>15910000</v>
          </cell>
          <cell r="T151">
            <v>0</v>
          </cell>
          <cell r="U151">
            <v>20820000.000000164</v>
          </cell>
          <cell r="AE151">
            <v>3064961</v>
          </cell>
          <cell r="AF151">
            <v>0</v>
          </cell>
          <cell r="AJ151">
            <v>27000</v>
          </cell>
          <cell r="AL151">
            <v>1614021</v>
          </cell>
        </row>
        <row r="152">
          <cell r="O152">
            <v>7000000</v>
          </cell>
          <cell r="Q152">
            <v>15940000</v>
          </cell>
          <cell r="T152">
            <v>0</v>
          </cell>
          <cell r="U152">
            <v>20059999.999999944</v>
          </cell>
          <cell r="AE152">
            <v>2989966</v>
          </cell>
          <cell r="AF152">
            <v>0</v>
          </cell>
          <cell r="AJ152">
            <v>63000</v>
          </cell>
          <cell r="AL152">
            <v>2356007</v>
          </cell>
        </row>
        <row r="153">
          <cell r="O153">
            <v>7000000</v>
          </cell>
          <cell r="Q153">
            <v>17090000</v>
          </cell>
          <cell r="T153">
            <v>2363695</v>
          </cell>
          <cell r="U153">
            <v>23119999.999999892</v>
          </cell>
          <cell r="AE153">
            <v>4252875</v>
          </cell>
          <cell r="AF153">
            <v>0</v>
          </cell>
          <cell r="AJ153">
            <v>185000</v>
          </cell>
          <cell r="AL153">
            <v>244872</v>
          </cell>
        </row>
        <row r="154">
          <cell r="O154">
            <v>7000000</v>
          </cell>
          <cell r="Q154">
            <v>13810000</v>
          </cell>
          <cell r="T154">
            <v>2203072</v>
          </cell>
          <cell r="U154">
            <v>17750000</v>
          </cell>
          <cell r="AE154">
            <v>6725695</v>
          </cell>
          <cell r="AF154">
            <v>0</v>
          </cell>
          <cell r="AJ154">
            <v>152000</v>
          </cell>
          <cell r="AL154">
            <v>6870674</v>
          </cell>
        </row>
        <row r="155">
          <cell r="O155">
            <v>3000000</v>
          </cell>
          <cell r="Q155">
            <v>8360000</v>
          </cell>
          <cell r="T155">
            <v>1058675</v>
          </cell>
          <cell r="U155">
            <v>11220000.000000028</v>
          </cell>
          <cell r="AE155">
            <v>7722624</v>
          </cell>
          <cell r="AF155">
            <v>0</v>
          </cell>
          <cell r="AJ155">
            <v>154000</v>
          </cell>
          <cell r="AL155">
            <v>8277777</v>
          </cell>
        </row>
        <row r="156">
          <cell r="O156">
            <v>0</v>
          </cell>
          <cell r="Q156">
            <v>8940000</v>
          </cell>
          <cell r="T156">
            <v>904240</v>
          </cell>
          <cell r="U156">
            <v>8039999.9999999637</v>
          </cell>
          <cell r="AE156">
            <v>5701770</v>
          </cell>
          <cell r="AF156">
            <v>0</v>
          </cell>
          <cell r="AJ156">
            <v>152000</v>
          </cell>
          <cell r="AL156">
            <v>6196723</v>
          </cell>
        </row>
        <row r="157">
          <cell r="O157" t="str">
            <v/>
          </cell>
          <cell r="Q157" t="str">
            <v/>
          </cell>
          <cell r="T157" t="str">
            <v/>
          </cell>
          <cell r="U157" t="str">
            <v/>
          </cell>
          <cell r="AF157" t="str">
            <v/>
          </cell>
          <cell r="AI157" t="str">
            <v/>
          </cell>
          <cell r="AJ157" t="str">
            <v/>
          </cell>
          <cell r="AL157" t="str">
            <v/>
          </cell>
        </row>
        <row r="158">
          <cell r="O158" t="str">
            <v/>
          </cell>
          <cell r="Q158" t="str">
            <v/>
          </cell>
          <cell r="T158" t="str">
            <v/>
          </cell>
          <cell r="U158" t="str">
            <v/>
          </cell>
          <cell r="AF158" t="str">
            <v/>
          </cell>
          <cell r="AI158" t="str">
            <v/>
          </cell>
          <cell r="AJ158" t="str">
            <v/>
          </cell>
          <cell r="AL158" t="str">
            <v/>
          </cell>
        </row>
        <row r="159">
          <cell r="O159" t="str">
            <v/>
          </cell>
          <cell r="Q159" t="str">
            <v/>
          </cell>
          <cell r="T159" t="str">
            <v/>
          </cell>
          <cell r="U159" t="str">
            <v/>
          </cell>
          <cell r="AF159" t="str">
            <v/>
          </cell>
          <cell r="AI159" t="str">
            <v/>
          </cell>
          <cell r="AJ159" t="str">
            <v/>
          </cell>
          <cell r="AL159" t="str">
            <v/>
          </cell>
        </row>
        <row r="160">
          <cell r="O160" t="str">
            <v/>
          </cell>
          <cell r="Q160" t="str">
            <v/>
          </cell>
          <cell r="T160" t="str">
            <v/>
          </cell>
          <cell r="U160" t="str">
            <v/>
          </cell>
          <cell r="AF160" t="str">
            <v/>
          </cell>
          <cell r="AI160" t="str">
            <v/>
          </cell>
          <cell r="AJ160" t="str">
            <v/>
          </cell>
          <cell r="AL160" t="str">
            <v/>
          </cell>
        </row>
        <row r="161">
          <cell r="O161" t="str">
            <v/>
          </cell>
          <cell r="Q161" t="str">
            <v/>
          </cell>
          <cell r="T161" t="str">
            <v/>
          </cell>
          <cell r="U161" t="str">
            <v/>
          </cell>
          <cell r="AF161" t="str">
            <v/>
          </cell>
          <cell r="AI161" t="str">
            <v/>
          </cell>
          <cell r="AJ161" t="str">
            <v/>
          </cell>
          <cell r="AL161" t="str">
            <v/>
          </cell>
        </row>
        <row r="162">
          <cell r="O162" t="str">
            <v/>
          </cell>
          <cell r="Q162" t="str">
            <v/>
          </cell>
          <cell r="T162" t="str">
            <v/>
          </cell>
          <cell r="U162" t="str">
            <v/>
          </cell>
          <cell r="AF162" t="str">
            <v/>
          </cell>
          <cell r="AI162" t="str">
            <v/>
          </cell>
          <cell r="AJ162" t="str">
            <v/>
          </cell>
          <cell r="AL162" t="str">
            <v/>
          </cell>
        </row>
        <row r="163">
          <cell r="O163" t="str">
            <v/>
          </cell>
          <cell r="Q163" t="str">
            <v/>
          </cell>
          <cell r="T163" t="str">
            <v/>
          </cell>
          <cell r="U163" t="str">
            <v/>
          </cell>
          <cell r="AF163" t="str">
            <v/>
          </cell>
          <cell r="AI163" t="str">
            <v/>
          </cell>
          <cell r="AJ163" t="str">
            <v/>
          </cell>
          <cell r="AL163" t="str">
            <v/>
          </cell>
        </row>
        <row r="164">
          <cell r="O164" t="str">
            <v/>
          </cell>
          <cell r="Q164" t="str">
            <v/>
          </cell>
          <cell r="T164" t="str">
            <v/>
          </cell>
          <cell r="U164" t="str">
            <v/>
          </cell>
          <cell r="AF164" t="str">
            <v/>
          </cell>
          <cell r="AI164" t="str">
            <v/>
          </cell>
          <cell r="AJ164" t="str">
            <v/>
          </cell>
          <cell r="AL164" t="str">
            <v/>
          </cell>
        </row>
        <row r="165">
          <cell r="O165" t="str">
            <v/>
          </cell>
          <cell r="Q165" t="str">
            <v/>
          </cell>
          <cell r="T165" t="str">
            <v/>
          </cell>
          <cell r="U165" t="str">
            <v/>
          </cell>
          <cell r="AF165" t="str">
            <v/>
          </cell>
          <cell r="AI165" t="str">
            <v/>
          </cell>
          <cell r="AJ165" t="str">
            <v/>
          </cell>
          <cell r="AL165" t="str">
            <v/>
          </cell>
        </row>
        <row r="166">
          <cell r="O166" t="str">
            <v/>
          </cell>
          <cell r="Q166" t="str">
            <v/>
          </cell>
          <cell r="T166" t="str">
            <v/>
          </cell>
          <cell r="U166" t="str">
            <v/>
          </cell>
          <cell r="AF166" t="str">
            <v/>
          </cell>
          <cell r="AI166" t="str">
            <v/>
          </cell>
          <cell r="AJ166" t="str">
            <v/>
          </cell>
          <cell r="AL166" t="str">
            <v/>
          </cell>
        </row>
        <row r="167">
          <cell r="O167" t="str">
            <v/>
          </cell>
          <cell r="Q167" t="str">
            <v/>
          </cell>
          <cell r="T167" t="str">
            <v/>
          </cell>
          <cell r="U167" t="str">
            <v/>
          </cell>
          <cell r="AF167" t="str">
            <v/>
          </cell>
          <cell r="AI167" t="str">
            <v/>
          </cell>
          <cell r="AJ167" t="str">
            <v/>
          </cell>
          <cell r="AL167" t="str">
            <v/>
          </cell>
        </row>
        <row r="168">
          <cell r="O168" t="str">
            <v/>
          </cell>
          <cell r="Q168" t="str">
            <v/>
          </cell>
          <cell r="T168" t="str">
            <v/>
          </cell>
          <cell r="U168" t="str">
            <v/>
          </cell>
          <cell r="AF168" t="str">
            <v/>
          </cell>
          <cell r="AI168" t="str">
            <v/>
          </cell>
          <cell r="AJ168" t="str">
            <v/>
          </cell>
          <cell r="AL168" t="str">
            <v/>
          </cell>
        </row>
        <row r="169">
          <cell r="O169" t="str">
            <v/>
          </cell>
          <cell r="Q169" t="str">
            <v/>
          </cell>
          <cell r="T169" t="str">
            <v/>
          </cell>
          <cell r="U169" t="str">
            <v/>
          </cell>
          <cell r="AF169" t="str">
            <v/>
          </cell>
          <cell r="AI169" t="str">
            <v/>
          </cell>
          <cell r="AJ169" t="str">
            <v/>
          </cell>
          <cell r="AL169" t="str">
            <v/>
          </cell>
        </row>
        <row r="170">
          <cell r="O170" t="str">
            <v/>
          </cell>
          <cell r="Q170" t="str">
            <v/>
          </cell>
          <cell r="T170" t="str">
            <v/>
          </cell>
          <cell r="U170" t="str">
            <v/>
          </cell>
          <cell r="AF170" t="str">
            <v/>
          </cell>
          <cell r="AI170" t="str">
            <v/>
          </cell>
          <cell r="AJ170" t="str">
            <v/>
          </cell>
          <cell r="AL170" t="str">
            <v/>
          </cell>
        </row>
        <row r="171">
          <cell r="O171" t="str">
            <v/>
          </cell>
          <cell r="Q171" t="str">
            <v/>
          </cell>
          <cell r="T171" t="str">
            <v/>
          </cell>
          <cell r="U171" t="str">
            <v/>
          </cell>
          <cell r="AF171" t="str">
            <v/>
          </cell>
          <cell r="AI171" t="str">
            <v/>
          </cell>
          <cell r="AJ171" t="str">
            <v/>
          </cell>
          <cell r="AL171" t="str">
            <v/>
          </cell>
        </row>
        <row r="172">
          <cell r="O172" t="str">
            <v/>
          </cell>
          <cell r="Q172" t="str">
            <v/>
          </cell>
          <cell r="T172" t="str">
            <v/>
          </cell>
          <cell r="U172" t="str">
            <v/>
          </cell>
          <cell r="AF172" t="str">
            <v/>
          </cell>
          <cell r="AI172" t="str">
            <v/>
          </cell>
          <cell r="AJ172" t="str">
            <v/>
          </cell>
          <cell r="AL172" t="str">
            <v/>
          </cell>
        </row>
        <row r="173">
          <cell r="O173" t="str">
            <v/>
          </cell>
          <cell r="Q173" t="str">
            <v/>
          </cell>
          <cell r="T173" t="str">
            <v/>
          </cell>
          <cell r="U173" t="str">
            <v/>
          </cell>
          <cell r="AF173" t="str">
            <v/>
          </cell>
          <cell r="AI173" t="str">
            <v/>
          </cell>
          <cell r="AJ173" t="str">
            <v/>
          </cell>
          <cell r="AL173" t="str">
            <v/>
          </cell>
        </row>
        <row r="174">
          <cell r="O174" t="str">
            <v/>
          </cell>
          <cell r="Q174" t="str">
            <v/>
          </cell>
          <cell r="T174" t="str">
            <v/>
          </cell>
          <cell r="U174" t="str">
            <v/>
          </cell>
          <cell r="AF174" t="str">
            <v/>
          </cell>
          <cell r="AI174" t="str">
            <v/>
          </cell>
          <cell r="AJ174" t="str">
            <v/>
          </cell>
          <cell r="AL174" t="str">
            <v/>
          </cell>
        </row>
        <row r="175">
          <cell r="O175" t="str">
            <v/>
          </cell>
          <cell r="Q175" t="str">
            <v/>
          </cell>
          <cell r="T175" t="str">
            <v/>
          </cell>
          <cell r="U175" t="str">
            <v/>
          </cell>
          <cell r="AF175" t="str">
            <v/>
          </cell>
          <cell r="AI175" t="str">
            <v/>
          </cell>
          <cell r="AJ175" t="str">
            <v/>
          </cell>
          <cell r="AL175" t="str">
            <v/>
          </cell>
        </row>
        <row r="176">
          <cell r="O176" t="str">
            <v/>
          </cell>
          <cell r="Q176" t="str">
            <v/>
          </cell>
          <cell r="T176" t="str">
            <v/>
          </cell>
          <cell r="U176" t="str">
            <v/>
          </cell>
          <cell r="AF176" t="str">
            <v/>
          </cell>
          <cell r="AI176" t="str">
            <v/>
          </cell>
          <cell r="AJ176" t="str">
            <v/>
          </cell>
          <cell r="AL176" t="str">
            <v/>
          </cell>
        </row>
        <row r="177">
          <cell r="O177" t="str">
            <v/>
          </cell>
          <cell r="Q177" t="str">
            <v/>
          </cell>
          <cell r="T177" t="str">
            <v/>
          </cell>
          <cell r="U177" t="str">
            <v/>
          </cell>
          <cell r="AF177" t="str">
            <v/>
          </cell>
          <cell r="AI177" t="str">
            <v/>
          </cell>
          <cell r="AJ177" t="str">
            <v/>
          </cell>
          <cell r="AL177" t="str">
            <v/>
          </cell>
        </row>
        <row r="178">
          <cell r="O178" t="str">
            <v/>
          </cell>
          <cell r="Q178" t="str">
            <v/>
          </cell>
          <cell r="T178" t="str">
            <v/>
          </cell>
          <cell r="U178" t="str">
            <v/>
          </cell>
          <cell r="AF178" t="str">
            <v/>
          </cell>
          <cell r="AI178" t="str">
            <v/>
          </cell>
          <cell r="AJ178" t="str">
            <v/>
          </cell>
          <cell r="AL178" t="str">
            <v/>
          </cell>
        </row>
        <row r="179">
          <cell r="O179" t="str">
            <v/>
          </cell>
          <cell r="Q179" t="str">
            <v/>
          </cell>
          <cell r="T179" t="str">
            <v/>
          </cell>
          <cell r="U179" t="str">
            <v/>
          </cell>
          <cell r="AF179" t="str">
            <v/>
          </cell>
          <cell r="AI179" t="str">
            <v/>
          </cell>
          <cell r="AJ179" t="str">
            <v/>
          </cell>
          <cell r="AL179" t="str">
            <v/>
          </cell>
        </row>
        <row r="180">
          <cell r="O180" t="str">
            <v/>
          </cell>
          <cell r="Q180" t="str">
            <v/>
          </cell>
          <cell r="T180" t="str">
            <v/>
          </cell>
          <cell r="U180" t="str">
            <v/>
          </cell>
          <cell r="AF180" t="str">
            <v/>
          </cell>
          <cell r="AI180" t="str">
            <v/>
          </cell>
          <cell r="AJ180" t="str">
            <v/>
          </cell>
          <cell r="AL180" t="str">
            <v/>
          </cell>
        </row>
        <row r="181">
          <cell r="O181" t="str">
            <v/>
          </cell>
          <cell r="Q181" t="str">
            <v/>
          </cell>
          <cell r="T181" t="str">
            <v/>
          </cell>
          <cell r="U181" t="str">
            <v/>
          </cell>
          <cell r="AF181" t="str">
            <v/>
          </cell>
          <cell r="AI181" t="str">
            <v/>
          </cell>
          <cell r="AJ181" t="str">
            <v/>
          </cell>
          <cell r="AL181" t="str">
            <v/>
          </cell>
        </row>
        <row r="182">
          <cell r="O182" t="str">
            <v/>
          </cell>
          <cell r="Q182" t="str">
            <v/>
          </cell>
          <cell r="T182" t="str">
            <v/>
          </cell>
          <cell r="U182" t="str">
            <v/>
          </cell>
          <cell r="AF182" t="str">
            <v/>
          </cell>
          <cell r="AI182" t="str">
            <v/>
          </cell>
          <cell r="AJ182" t="str">
            <v/>
          </cell>
          <cell r="AL182" t="str">
            <v/>
          </cell>
        </row>
        <row r="183">
          <cell r="O183" t="str">
            <v/>
          </cell>
          <cell r="Q183" t="str">
            <v/>
          </cell>
          <cell r="T183" t="str">
            <v/>
          </cell>
          <cell r="U183" t="str">
            <v/>
          </cell>
          <cell r="AF183" t="str">
            <v/>
          </cell>
          <cell r="AI183" t="str">
            <v/>
          </cell>
          <cell r="AJ183" t="str">
            <v/>
          </cell>
          <cell r="AL183" t="str">
            <v/>
          </cell>
        </row>
        <row r="184">
          <cell r="O184" t="str">
            <v/>
          </cell>
          <cell r="Q184" t="str">
            <v/>
          </cell>
          <cell r="T184" t="str">
            <v/>
          </cell>
          <cell r="U184" t="str">
            <v/>
          </cell>
          <cell r="AF184" t="str">
            <v/>
          </cell>
          <cell r="AI184" t="str">
            <v/>
          </cell>
          <cell r="AJ184" t="str">
            <v/>
          </cell>
          <cell r="AL184" t="str">
            <v/>
          </cell>
        </row>
        <row r="185">
          <cell r="O185" t="str">
            <v/>
          </cell>
          <cell r="Q185" t="str">
            <v/>
          </cell>
          <cell r="T185" t="str">
            <v/>
          </cell>
          <cell r="U185" t="str">
            <v/>
          </cell>
          <cell r="AF185" t="str">
            <v/>
          </cell>
          <cell r="AI185" t="str">
            <v/>
          </cell>
          <cell r="AJ185" t="str">
            <v/>
          </cell>
          <cell r="AL185" t="str">
            <v/>
          </cell>
        </row>
        <row r="186">
          <cell r="O186" t="str">
            <v/>
          </cell>
          <cell r="Q186" t="str">
            <v/>
          </cell>
          <cell r="T186" t="str">
            <v/>
          </cell>
          <cell r="U186" t="str">
            <v/>
          </cell>
          <cell r="AF186" t="str">
            <v/>
          </cell>
          <cell r="AI186" t="str">
            <v/>
          </cell>
          <cell r="AJ186" t="str">
            <v/>
          </cell>
          <cell r="AL186" t="str">
            <v/>
          </cell>
        </row>
        <row r="187">
          <cell r="O187" t="str">
            <v/>
          </cell>
          <cell r="Q187" t="str">
            <v/>
          </cell>
          <cell r="T187" t="str">
            <v/>
          </cell>
          <cell r="U187" t="str">
            <v/>
          </cell>
          <cell r="AF187" t="str">
            <v/>
          </cell>
          <cell r="AI187" t="str">
            <v/>
          </cell>
          <cell r="AJ187" t="str">
            <v/>
          </cell>
          <cell r="AL187" t="str">
            <v/>
          </cell>
        </row>
        <row r="188">
          <cell r="O188" t="str">
            <v/>
          </cell>
          <cell r="Q188" t="str">
            <v/>
          </cell>
          <cell r="T188" t="str">
            <v/>
          </cell>
          <cell r="U188" t="str">
            <v/>
          </cell>
          <cell r="AF188" t="str">
            <v/>
          </cell>
          <cell r="AI188" t="str">
            <v/>
          </cell>
          <cell r="AJ188" t="str">
            <v/>
          </cell>
          <cell r="AL188" t="str">
            <v/>
          </cell>
        </row>
        <row r="189">
          <cell r="O189" t="str">
            <v/>
          </cell>
          <cell r="Q189" t="str">
            <v/>
          </cell>
          <cell r="T189" t="str">
            <v/>
          </cell>
          <cell r="U189" t="str">
            <v/>
          </cell>
          <cell r="AF189" t="str">
            <v/>
          </cell>
          <cell r="AI189" t="str">
            <v/>
          </cell>
          <cell r="AJ189" t="str">
            <v/>
          </cell>
          <cell r="AL189" t="str">
            <v/>
          </cell>
        </row>
        <row r="190">
          <cell r="O190" t="str">
            <v/>
          </cell>
          <cell r="Q190" t="str">
            <v/>
          </cell>
          <cell r="T190" t="str">
            <v/>
          </cell>
          <cell r="U190" t="str">
            <v/>
          </cell>
          <cell r="AF190" t="str">
            <v/>
          </cell>
          <cell r="AI190" t="str">
            <v/>
          </cell>
          <cell r="AJ190" t="str">
            <v/>
          </cell>
          <cell r="AL190" t="str">
            <v/>
          </cell>
        </row>
        <row r="191">
          <cell r="O191" t="str">
            <v/>
          </cell>
          <cell r="Q191" t="str">
            <v/>
          </cell>
          <cell r="T191" t="str">
            <v/>
          </cell>
          <cell r="U191" t="str">
            <v/>
          </cell>
          <cell r="AF191" t="str">
            <v/>
          </cell>
          <cell r="AI191" t="str">
            <v/>
          </cell>
          <cell r="AJ191" t="str">
            <v/>
          </cell>
          <cell r="AL191" t="str">
            <v/>
          </cell>
        </row>
        <row r="192">
          <cell r="O192" t="str">
            <v/>
          </cell>
          <cell r="Q192" t="str">
            <v/>
          </cell>
          <cell r="T192" t="str">
            <v/>
          </cell>
          <cell r="U192" t="str">
            <v/>
          </cell>
          <cell r="AF192" t="str">
            <v/>
          </cell>
          <cell r="AI192" t="str">
            <v/>
          </cell>
          <cell r="AJ192" t="str">
            <v/>
          </cell>
          <cell r="AL192" t="str">
            <v/>
          </cell>
        </row>
        <row r="193">
          <cell r="O193" t="str">
            <v/>
          </cell>
          <cell r="Q193" t="str">
            <v/>
          </cell>
          <cell r="T193" t="str">
            <v/>
          </cell>
          <cell r="U193" t="str">
            <v/>
          </cell>
          <cell r="AF193" t="str">
            <v/>
          </cell>
          <cell r="AI193" t="str">
            <v/>
          </cell>
          <cell r="AJ193" t="str">
            <v/>
          </cell>
          <cell r="AL193" t="str">
            <v/>
          </cell>
        </row>
        <row r="194">
          <cell r="O194" t="str">
            <v/>
          </cell>
          <cell r="Q194" t="str">
            <v/>
          </cell>
          <cell r="T194" t="str">
            <v/>
          </cell>
          <cell r="U194" t="str">
            <v/>
          </cell>
          <cell r="AF194" t="str">
            <v/>
          </cell>
          <cell r="AI194" t="str">
            <v/>
          </cell>
          <cell r="AJ194" t="str">
            <v/>
          </cell>
          <cell r="AL194" t="str">
            <v/>
          </cell>
        </row>
        <row r="195">
          <cell r="O195" t="str">
            <v/>
          </cell>
          <cell r="Q195" t="str">
            <v/>
          </cell>
          <cell r="T195" t="str">
            <v/>
          </cell>
          <cell r="U195" t="str">
            <v/>
          </cell>
          <cell r="AF195" t="str">
            <v/>
          </cell>
          <cell r="AI195" t="str">
            <v/>
          </cell>
          <cell r="AJ195" t="str">
            <v/>
          </cell>
          <cell r="AL195" t="str">
            <v/>
          </cell>
        </row>
        <row r="196">
          <cell r="O196" t="str">
            <v/>
          </cell>
          <cell r="Q196" t="str">
            <v/>
          </cell>
          <cell r="T196" t="str">
            <v/>
          </cell>
          <cell r="U196" t="str">
            <v/>
          </cell>
          <cell r="AF196" t="str">
            <v/>
          </cell>
          <cell r="AI196" t="str">
            <v/>
          </cell>
          <cell r="AJ196" t="str">
            <v/>
          </cell>
          <cell r="AL196" t="str">
            <v/>
          </cell>
        </row>
        <row r="197">
          <cell r="O197" t="str">
            <v/>
          </cell>
          <cell r="Q197" t="str">
            <v/>
          </cell>
          <cell r="T197" t="str">
            <v/>
          </cell>
          <cell r="U197" t="str">
            <v/>
          </cell>
          <cell r="AF197" t="str">
            <v/>
          </cell>
          <cell r="AI197" t="str">
            <v/>
          </cell>
          <cell r="AJ197" t="str">
            <v/>
          </cell>
          <cell r="AL197" t="str">
            <v/>
          </cell>
        </row>
        <row r="198">
          <cell r="O198" t="str">
            <v/>
          </cell>
          <cell r="Q198" t="str">
            <v/>
          </cell>
          <cell r="T198" t="str">
            <v/>
          </cell>
          <cell r="U198" t="str">
            <v/>
          </cell>
          <cell r="AF198" t="str">
            <v/>
          </cell>
          <cell r="AI198" t="str">
            <v/>
          </cell>
          <cell r="AJ198" t="str">
            <v/>
          </cell>
          <cell r="AL198" t="str">
            <v/>
          </cell>
        </row>
        <row r="199">
          <cell r="O199" t="str">
            <v/>
          </cell>
          <cell r="Q199" t="str">
            <v/>
          </cell>
          <cell r="T199" t="str">
            <v/>
          </cell>
          <cell r="U199" t="str">
            <v/>
          </cell>
          <cell r="AF199" t="str">
            <v/>
          </cell>
          <cell r="AI199" t="str">
            <v/>
          </cell>
          <cell r="AJ199" t="str">
            <v/>
          </cell>
          <cell r="AL199" t="str">
            <v/>
          </cell>
        </row>
        <row r="200">
          <cell r="O200" t="str">
            <v/>
          </cell>
          <cell r="Q200" t="str">
            <v/>
          </cell>
          <cell r="T200" t="str">
            <v/>
          </cell>
          <cell r="U200" t="str">
            <v/>
          </cell>
          <cell r="AF200" t="str">
            <v/>
          </cell>
          <cell r="AI200" t="str">
            <v/>
          </cell>
          <cell r="AJ200" t="str">
            <v/>
          </cell>
          <cell r="AL200" t="str">
            <v/>
          </cell>
        </row>
        <row r="201">
          <cell r="O201" t="str">
            <v/>
          </cell>
          <cell r="Q201" t="str">
            <v/>
          </cell>
          <cell r="T201" t="str">
            <v/>
          </cell>
          <cell r="U201" t="str">
            <v/>
          </cell>
          <cell r="AF201" t="str">
            <v/>
          </cell>
          <cell r="AI201" t="str">
            <v/>
          </cell>
          <cell r="AJ201" t="str">
            <v/>
          </cell>
          <cell r="AL201" t="str">
            <v/>
          </cell>
        </row>
        <row r="202">
          <cell r="O202" t="str">
            <v/>
          </cell>
          <cell r="Q202" t="str">
            <v/>
          </cell>
          <cell r="T202" t="str">
            <v/>
          </cell>
          <cell r="U202" t="str">
            <v/>
          </cell>
          <cell r="AF202" t="str">
            <v/>
          </cell>
          <cell r="AI202" t="str">
            <v/>
          </cell>
          <cell r="AJ202" t="str">
            <v/>
          </cell>
          <cell r="AL202" t="str">
            <v/>
          </cell>
        </row>
        <row r="203">
          <cell r="O203" t="str">
            <v/>
          </cell>
          <cell r="Q203" t="str">
            <v/>
          </cell>
          <cell r="T203" t="str">
            <v/>
          </cell>
          <cell r="U203" t="str">
            <v/>
          </cell>
          <cell r="AF203" t="str">
            <v/>
          </cell>
          <cell r="AI203" t="str">
            <v/>
          </cell>
          <cell r="AJ203" t="str">
            <v/>
          </cell>
          <cell r="AL203" t="str">
            <v/>
          </cell>
        </row>
        <row r="204">
          <cell r="O204" t="str">
            <v/>
          </cell>
          <cell r="Q204" t="str">
            <v/>
          </cell>
          <cell r="T204" t="str">
            <v/>
          </cell>
          <cell r="U204" t="str">
            <v/>
          </cell>
          <cell r="AF204" t="str">
            <v/>
          </cell>
          <cell r="AI204" t="str">
            <v/>
          </cell>
          <cell r="AJ204" t="str">
            <v/>
          </cell>
          <cell r="AL204" t="str">
            <v/>
          </cell>
        </row>
        <row r="205">
          <cell r="O205" t="str">
            <v/>
          </cell>
          <cell r="Q205" t="str">
            <v/>
          </cell>
          <cell r="T205" t="str">
            <v/>
          </cell>
          <cell r="U205" t="str">
            <v/>
          </cell>
          <cell r="AF205" t="str">
            <v/>
          </cell>
          <cell r="AI205" t="str">
            <v/>
          </cell>
          <cell r="AJ205" t="str">
            <v/>
          </cell>
          <cell r="AL205" t="str">
            <v/>
          </cell>
        </row>
        <row r="206">
          <cell r="O206" t="str">
            <v/>
          </cell>
          <cell r="Q206" t="str">
            <v/>
          </cell>
          <cell r="T206" t="str">
            <v/>
          </cell>
          <cell r="U206" t="str">
            <v/>
          </cell>
          <cell r="AF206" t="str">
            <v/>
          </cell>
          <cell r="AI206" t="str">
            <v/>
          </cell>
          <cell r="AJ206" t="str">
            <v/>
          </cell>
          <cell r="AL206" t="str">
            <v/>
          </cell>
        </row>
        <row r="207">
          <cell r="O207" t="str">
            <v/>
          </cell>
          <cell r="Q207" t="str">
            <v/>
          </cell>
          <cell r="T207" t="str">
            <v/>
          </cell>
          <cell r="U207" t="str">
            <v/>
          </cell>
          <cell r="AF207" t="str">
            <v/>
          </cell>
          <cell r="AI207" t="str">
            <v/>
          </cell>
          <cell r="AJ207" t="str">
            <v/>
          </cell>
          <cell r="AL207" t="str">
            <v/>
          </cell>
        </row>
        <row r="208">
          <cell r="O208" t="str">
            <v/>
          </cell>
          <cell r="Q208" t="str">
            <v/>
          </cell>
          <cell r="T208" t="str">
            <v/>
          </cell>
          <cell r="U208" t="str">
            <v/>
          </cell>
          <cell r="AF208" t="str">
            <v/>
          </cell>
          <cell r="AI208" t="str">
            <v/>
          </cell>
          <cell r="AJ208" t="str">
            <v/>
          </cell>
          <cell r="AL208" t="str">
            <v/>
          </cell>
        </row>
        <row r="209">
          <cell r="O209" t="str">
            <v/>
          </cell>
          <cell r="Q209" t="str">
            <v/>
          </cell>
          <cell r="T209" t="str">
            <v/>
          </cell>
          <cell r="U209" t="str">
            <v/>
          </cell>
          <cell r="AF209" t="str">
            <v/>
          </cell>
          <cell r="AI209" t="str">
            <v/>
          </cell>
          <cell r="AJ209" t="str">
            <v/>
          </cell>
          <cell r="AL209" t="str">
            <v/>
          </cell>
        </row>
        <row r="210">
          <cell r="O210" t="str">
            <v/>
          </cell>
          <cell r="Q210" t="str">
            <v/>
          </cell>
          <cell r="T210" t="str">
            <v/>
          </cell>
          <cell r="U210" t="str">
            <v/>
          </cell>
          <cell r="AF210" t="str">
            <v/>
          </cell>
          <cell r="AI210" t="str">
            <v/>
          </cell>
          <cell r="AJ210" t="str">
            <v/>
          </cell>
          <cell r="AL210" t="str">
            <v/>
          </cell>
        </row>
        <row r="211">
          <cell r="O211" t="str">
            <v/>
          </cell>
          <cell r="Q211" t="str">
            <v/>
          </cell>
          <cell r="T211" t="str">
            <v/>
          </cell>
          <cell r="U211" t="str">
            <v/>
          </cell>
          <cell r="AF211" t="str">
            <v/>
          </cell>
          <cell r="AI211" t="str">
            <v/>
          </cell>
          <cell r="AJ211" t="str">
            <v/>
          </cell>
          <cell r="AL211" t="str">
            <v/>
          </cell>
        </row>
        <row r="212">
          <cell r="O212" t="str">
            <v/>
          </cell>
          <cell r="Q212" t="str">
            <v/>
          </cell>
          <cell r="T212" t="str">
            <v/>
          </cell>
          <cell r="U212" t="str">
            <v/>
          </cell>
          <cell r="AF212" t="str">
            <v/>
          </cell>
          <cell r="AI212" t="str">
            <v/>
          </cell>
          <cell r="AJ212" t="str">
            <v/>
          </cell>
          <cell r="AL212" t="str">
            <v/>
          </cell>
        </row>
        <row r="213">
          <cell r="O213" t="str">
            <v/>
          </cell>
          <cell r="Q213" t="str">
            <v/>
          </cell>
          <cell r="T213" t="str">
            <v/>
          </cell>
          <cell r="U213" t="str">
            <v/>
          </cell>
          <cell r="AF213" t="str">
            <v/>
          </cell>
          <cell r="AI213" t="str">
            <v/>
          </cell>
          <cell r="AJ213" t="str">
            <v/>
          </cell>
          <cell r="AL213" t="str">
            <v/>
          </cell>
        </row>
        <row r="214">
          <cell r="O214" t="str">
            <v/>
          </cell>
          <cell r="Q214" t="str">
            <v/>
          </cell>
          <cell r="T214" t="str">
            <v/>
          </cell>
          <cell r="U214" t="str">
            <v/>
          </cell>
          <cell r="AF214" t="str">
            <v/>
          </cell>
          <cell r="AI214" t="str">
            <v/>
          </cell>
          <cell r="AJ214" t="str">
            <v/>
          </cell>
          <cell r="AL214" t="str">
            <v/>
          </cell>
        </row>
        <row r="215">
          <cell r="O215" t="str">
            <v/>
          </cell>
          <cell r="Q215" t="str">
            <v/>
          </cell>
          <cell r="T215" t="str">
            <v/>
          </cell>
          <cell r="U215" t="str">
            <v/>
          </cell>
          <cell r="AF215" t="str">
            <v/>
          </cell>
          <cell r="AI215" t="str">
            <v/>
          </cell>
          <cell r="AJ215" t="str">
            <v/>
          </cell>
          <cell r="AL215" t="str">
            <v/>
          </cell>
        </row>
        <row r="216">
          <cell r="O216" t="str">
            <v/>
          </cell>
          <cell r="Q216" t="str">
            <v/>
          </cell>
          <cell r="T216" t="str">
            <v/>
          </cell>
          <cell r="U216" t="str">
            <v/>
          </cell>
          <cell r="AF216" t="str">
            <v/>
          </cell>
          <cell r="AI216" t="str">
            <v/>
          </cell>
          <cell r="AJ216" t="str">
            <v/>
          </cell>
          <cell r="AL216" t="str">
            <v/>
          </cell>
        </row>
        <row r="217">
          <cell r="O217" t="str">
            <v/>
          </cell>
          <cell r="Q217" t="str">
            <v/>
          </cell>
          <cell r="T217" t="str">
            <v/>
          </cell>
          <cell r="U217" t="str">
            <v/>
          </cell>
          <cell r="AF217" t="str">
            <v/>
          </cell>
          <cell r="AI217" t="str">
            <v/>
          </cell>
          <cell r="AJ217" t="str">
            <v/>
          </cell>
          <cell r="AL217" t="str">
            <v/>
          </cell>
        </row>
        <row r="218">
          <cell r="O218" t="str">
            <v/>
          </cell>
          <cell r="Q218" t="str">
            <v/>
          </cell>
          <cell r="T218" t="str">
            <v/>
          </cell>
          <cell r="U218" t="str">
            <v/>
          </cell>
          <cell r="AF218" t="str">
            <v/>
          </cell>
          <cell r="AI218" t="str">
            <v/>
          </cell>
          <cell r="AJ218" t="str">
            <v/>
          </cell>
          <cell r="AL218" t="str">
            <v/>
          </cell>
        </row>
        <row r="219">
          <cell r="O219" t="str">
            <v/>
          </cell>
          <cell r="Q219" t="str">
            <v/>
          </cell>
          <cell r="T219" t="str">
            <v/>
          </cell>
          <cell r="U219" t="str">
            <v/>
          </cell>
          <cell r="AF219" t="str">
            <v/>
          </cell>
          <cell r="AI219" t="str">
            <v/>
          </cell>
          <cell r="AJ219" t="str">
            <v/>
          </cell>
          <cell r="AL219" t="str">
            <v/>
          </cell>
        </row>
        <row r="220">
          <cell r="O220" t="str">
            <v/>
          </cell>
          <cell r="Q220" t="str">
            <v/>
          </cell>
          <cell r="T220" t="str">
            <v/>
          </cell>
          <cell r="U220" t="str">
            <v/>
          </cell>
          <cell r="AF220" t="str">
            <v/>
          </cell>
          <cell r="AI220" t="str">
            <v/>
          </cell>
          <cell r="AJ220" t="str">
            <v/>
          </cell>
          <cell r="AL220" t="str">
            <v/>
          </cell>
        </row>
        <row r="221">
          <cell r="O221" t="str">
            <v/>
          </cell>
          <cell r="Q221" t="str">
            <v/>
          </cell>
          <cell r="T221" t="str">
            <v/>
          </cell>
          <cell r="U221" t="str">
            <v/>
          </cell>
          <cell r="AF221" t="str">
            <v/>
          </cell>
          <cell r="AI221" t="str">
            <v/>
          </cell>
          <cell r="AJ221" t="str">
            <v/>
          </cell>
          <cell r="AL221" t="str">
            <v/>
          </cell>
        </row>
        <row r="222">
          <cell r="O222" t="str">
            <v/>
          </cell>
          <cell r="Q222" t="str">
            <v/>
          </cell>
          <cell r="T222" t="str">
            <v/>
          </cell>
          <cell r="U222" t="str">
            <v/>
          </cell>
          <cell r="AF222" t="str">
            <v/>
          </cell>
          <cell r="AI222" t="str">
            <v/>
          </cell>
          <cell r="AJ222" t="str">
            <v/>
          </cell>
          <cell r="AL222" t="str">
            <v/>
          </cell>
        </row>
        <row r="223">
          <cell r="O223" t="str">
            <v/>
          </cell>
          <cell r="Q223" t="str">
            <v/>
          </cell>
          <cell r="T223" t="str">
            <v/>
          </cell>
          <cell r="U223" t="str">
            <v/>
          </cell>
          <cell r="AF223" t="str">
            <v/>
          </cell>
          <cell r="AI223" t="str">
            <v/>
          </cell>
          <cell r="AJ223" t="str">
            <v/>
          </cell>
          <cell r="AL223" t="str">
            <v/>
          </cell>
        </row>
        <row r="224">
          <cell r="O224" t="str">
            <v/>
          </cell>
          <cell r="Q224" t="str">
            <v/>
          </cell>
          <cell r="T224" t="str">
            <v/>
          </cell>
          <cell r="U224" t="str">
            <v/>
          </cell>
          <cell r="AF224" t="str">
            <v/>
          </cell>
          <cell r="AI224" t="str">
            <v/>
          </cell>
          <cell r="AJ224" t="str">
            <v/>
          </cell>
          <cell r="AL224" t="str">
            <v/>
          </cell>
        </row>
        <row r="225">
          <cell r="O225" t="str">
            <v/>
          </cell>
          <cell r="Q225" t="str">
            <v/>
          </cell>
          <cell r="T225" t="str">
            <v/>
          </cell>
          <cell r="U225" t="str">
            <v/>
          </cell>
          <cell r="AF225" t="str">
            <v/>
          </cell>
          <cell r="AI225" t="str">
            <v/>
          </cell>
          <cell r="AJ225" t="str">
            <v/>
          </cell>
          <cell r="AL225" t="str">
            <v/>
          </cell>
        </row>
        <row r="226">
          <cell r="O226" t="str">
            <v/>
          </cell>
          <cell r="Q226" t="str">
            <v/>
          </cell>
          <cell r="T226" t="str">
            <v/>
          </cell>
          <cell r="U226" t="str">
            <v/>
          </cell>
          <cell r="AF226" t="str">
            <v/>
          </cell>
          <cell r="AI226" t="str">
            <v/>
          </cell>
          <cell r="AJ226" t="str">
            <v/>
          </cell>
          <cell r="AL226" t="str">
            <v/>
          </cell>
        </row>
        <row r="227">
          <cell r="O227" t="str">
            <v/>
          </cell>
          <cell r="Q227" t="str">
            <v/>
          </cell>
          <cell r="T227" t="str">
            <v/>
          </cell>
          <cell r="U227" t="str">
            <v/>
          </cell>
          <cell r="AF227" t="str">
            <v/>
          </cell>
          <cell r="AI227" t="str">
            <v/>
          </cell>
          <cell r="AJ227" t="str">
            <v/>
          </cell>
          <cell r="AL227" t="str">
            <v/>
          </cell>
        </row>
        <row r="228">
          <cell r="O228" t="str">
            <v/>
          </cell>
          <cell r="Q228" t="str">
            <v/>
          </cell>
          <cell r="T228" t="str">
            <v/>
          </cell>
          <cell r="U228" t="str">
            <v/>
          </cell>
          <cell r="AF228" t="str">
            <v/>
          </cell>
          <cell r="AI228" t="str">
            <v/>
          </cell>
          <cell r="AJ228" t="str">
            <v/>
          </cell>
          <cell r="AL228" t="str">
            <v/>
          </cell>
        </row>
        <row r="229">
          <cell r="O229" t="str">
            <v/>
          </cell>
          <cell r="Q229" t="str">
            <v/>
          </cell>
          <cell r="T229" t="str">
            <v/>
          </cell>
          <cell r="U229" t="str">
            <v/>
          </cell>
          <cell r="AF229" t="str">
            <v/>
          </cell>
          <cell r="AI229" t="str">
            <v/>
          </cell>
          <cell r="AJ229" t="str">
            <v/>
          </cell>
          <cell r="AL229" t="str">
            <v/>
          </cell>
        </row>
        <row r="230">
          <cell r="O230" t="str">
            <v/>
          </cell>
          <cell r="Q230" t="str">
            <v/>
          </cell>
          <cell r="T230" t="str">
            <v/>
          </cell>
          <cell r="U230" t="str">
            <v/>
          </cell>
          <cell r="AF230" t="str">
            <v/>
          </cell>
          <cell r="AI230" t="str">
            <v/>
          </cell>
          <cell r="AJ230" t="str">
            <v/>
          </cell>
          <cell r="AL230" t="str">
            <v/>
          </cell>
        </row>
        <row r="231">
          <cell r="O231" t="str">
            <v/>
          </cell>
          <cell r="Q231" t="str">
            <v/>
          </cell>
          <cell r="T231" t="str">
            <v/>
          </cell>
          <cell r="U231" t="str">
            <v/>
          </cell>
          <cell r="AF231" t="str">
            <v/>
          </cell>
          <cell r="AI231" t="str">
            <v/>
          </cell>
          <cell r="AJ231" t="str">
            <v/>
          </cell>
          <cell r="AL231" t="str">
            <v/>
          </cell>
        </row>
        <row r="232">
          <cell r="O232" t="str">
            <v/>
          </cell>
          <cell r="Q232" t="str">
            <v/>
          </cell>
          <cell r="T232" t="str">
            <v/>
          </cell>
          <cell r="U232" t="str">
            <v/>
          </cell>
          <cell r="AF232" t="str">
            <v/>
          </cell>
          <cell r="AI232" t="str">
            <v/>
          </cell>
          <cell r="AJ232" t="str">
            <v/>
          </cell>
          <cell r="AL232" t="str">
            <v/>
          </cell>
        </row>
        <row r="233">
          <cell r="O233" t="str">
            <v/>
          </cell>
          <cell r="Q233" t="str">
            <v/>
          </cell>
          <cell r="T233" t="str">
            <v/>
          </cell>
          <cell r="U233" t="str">
            <v/>
          </cell>
          <cell r="AF233" t="str">
            <v/>
          </cell>
          <cell r="AI233" t="str">
            <v/>
          </cell>
          <cell r="AJ233" t="str">
            <v/>
          </cell>
          <cell r="AL233" t="str">
            <v/>
          </cell>
        </row>
        <row r="234">
          <cell r="O234" t="str">
            <v/>
          </cell>
          <cell r="Q234" t="str">
            <v/>
          </cell>
          <cell r="T234" t="str">
            <v/>
          </cell>
          <cell r="U234" t="str">
            <v/>
          </cell>
          <cell r="AF234" t="str">
            <v/>
          </cell>
          <cell r="AI234" t="str">
            <v/>
          </cell>
          <cell r="AJ234" t="str">
            <v/>
          </cell>
          <cell r="AL234" t="str">
            <v/>
          </cell>
        </row>
        <row r="235">
          <cell r="O235" t="str">
            <v/>
          </cell>
          <cell r="Q235" t="str">
            <v/>
          </cell>
          <cell r="T235" t="str">
            <v/>
          </cell>
          <cell r="U235" t="str">
            <v/>
          </cell>
          <cell r="AF235" t="str">
            <v/>
          </cell>
          <cell r="AI235" t="str">
            <v/>
          </cell>
          <cell r="AJ235" t="str">
            <v/>
          </cell>
          <cell r="AL235" t="str">
            <v/>
          </cell>
        </row>
        <row r="236">
          <cell r="O236" t="str">
            <v/>
          </cell>
          <cell r="Q236" t="str">
            <v/>
          </cell>
          <cell r="T236" t="str">
            <v/>
          </cell>
          <cell r="U236" t="str">
            <v/>
          </cell>
          <cell r="AF236" t="str">
            <v/>
          </cell>
          <cell r="AI236" t="str">
            <v/>
          </cell>
          <cell r="AJ236" t="str">
            <v/>
          </cell>
          <cell r="AL236" t="str">
            <v/>
          </cell>
        </row>
        <row r="237">
          <cell r="O237" t="str">
            <v/>
          </cell>
          <cell r="Q237" t="str">
            <v/>
          </cell>
          <cell r="T237" t="str">
            <v/>
          </cell>
          <cell r="U237" t="str">
            <v/>
          </cell>
          <cell r="AF237" t="str">
            <v/>
          </cell>
          <cell r="AI237" t="str">
            <v/>
          </cell>
          <cell r="AJ237" t="str">
            <v/>
          </cell>
          <cell r="AL237" t="str">
            <v/>
          </cell>
        </row>
        <row r="238">
          <cell r="O238" t="str">
            <v/>
          </cell>
          <cell r="Q238" t="str">
            <v/>
          </cell>
          <cell r="T238" t="str">
            <v/>
          </cell>
          <cell r="U238" t="str">
            <v/>
          </cell>
          <cell r="AF238" t="str">
            <v/>
          </cell>
          <cell r="AI238" t="str">
            <v/>
          </cell>
          <cell r="AJ238" t="str">
            <v/>
          </cell>
          <cell r="AL238" t="str">
            <v/>
          </cell>
        </row>
        <row r="239">
          <cell r="O239" t="str">
            <v/>
          </cell>
          <cell r="Q239" t="str">
            <v/>
          </cell>
          <cell r="T239" t="str">
            <v/>
          </cell>
          <cell r="U239" t="str">
            <v/>
          </cell>
          <cell r="AF239" t="str">
            <v/>
          </cell>
          <cell r="AI239" t="str">
            <v/>
          </cell>
          <cell r="AJ239" t="str">
            <v/>
          </cell>
          <cell r="AL239" t="str">
            <v/>
          </cell>
        </row>
        <row r="240">
          <cell r="O240" t="str">
            <v/>
          </cell>
          <cell r="Q240" t="str">
            <v/>
          </cell>
          <cell r="T240" t="str">
            <v/>
          </cell>
          <cell r="U240" t="str">
            <v/>
          </cell>
          <cell r="AF240" t="str">
            <v/>
          </cell>
          <cell r="AI240" t="str">
            <v/>
          </cell>
          <cell r="AJ240" t="str">
            <v/>
          </cell>
          <cell r="AL240" t="str">
            <v/>
          </cell>
        </row>
        <row r="241">
          <cell r="O241" t="str">
            <v/>
          </cell>
          <cell r="Q241" t="str">
            <v/>
          </cell>
          <cell r="T241" t="str">
            <v/>
          </cell>
          <cell r="U241" t="str">
            <v/>
          </cell>
          <cell r="AF241" t="str">
            <v/>
          </cell>
          <cell r="AI241" t="str">
            <v/>
          </cell>
          <cell r="AJ241" t="str">
            <v/>
          </cell>
          <cell r="AL241" t="str">
            <v/>
          </cell>
        </row>
        <row r="242">
          <cell r="O242" t="str">
            <v/>
          </cell>
          <cell r="Q242" t="str">
            <v/>
          </cell>
          <cell r="T242" t="str">
            <v/>
          </cell>
          <cell r="U242" t="str">
            <v/>
          </cell>
          <cell r="AF242" t="str">
            <v/>
          </cell>
          <cell r="AI242" t="str">
            <v/>
          </cell>
          <cell r="AJ242" t="str">
            <v/>
          </cell>
          <cell r="AL242" t="str">
            <v/>
          </cell>
        </row>
        <row r="243">
          <cell r="O243" t="str">
            <v/>
          </cell>
          <cell r="Q243" t="str">
            <v/>
          </cell>
          <cell r="T243" t="str">
            <v/>
          </cell>
          <cell r="U243" t="str">
            <v/>
          </cell>
          <cell r="AF243" t="str">
            <v/>
          </cell>
          <cell r="AI243" t="str">
            <v/>
          </cell>
          <cell r="AJ243" t="str">
            <v/>
          </cell>
          <cell r="AL243" t="str">
            <v/>
          </cell>
        </row>
        <row r="244">
          <cell r="O244" t="str">
            <v/>
          </cell>
          <cell r="Q244" t="str">
            <v/>
          </cell>
          <cell r="T244" t="str">
            <v/>
          </cell>
          <cell r="U244" t="str">
            <v/>
          </cell>
          <cell r="AF244" t="str">
            <v/>
          </cell>
          <cell r="AI244" t="str">
            <v/>
          </cell>
          <cell r="AJ244" t="str">
            <v/>
          </cell>
          <cell r="AL244" t="str">
            <v/>
          </cell>
        </row>
        <row r="245">
          <cell r="O245" t="str">
            <v/>
          </cell>
          <cell r="Q245" t="str">
            <v/>
          </cell>
          <cell r="T245" t="str">
            <v/>
          </cell>
          <cell r="U245" t="str">
            <v/>
          </cell>
          <cell r="AF245" t="str">
            <v/>
          </cell>
          <cell r="AI245" t="str">
            <v/>
          </cell>
          <cell r="AJ245" t="str">
            <v/>
          </cell>
          <cell r="AL245" t="str">
            <v/>
          </cell>
        </row>
        <row r="246">
          <cell r="O246" t="str">
            <v/>
          </cell>
          <cell r="Q246" t="str">
            <v/>
          </cell>
          <cell r="T246" t="str">
            <v/>
          </cell>
          <cell r="U246" t="str">
            <v/>
          </cell>
          <cell r="AF246" t="str">
            <v/>
          </cell>
          <cell r="AI246" t="str">
            <v/>
          </cell>
          <cell r="AJ246" t="str">
            <v/>
          </cell>
          <cell r="AL246" t="str">
            <v/>
          </cell>
        </row>
        <row r="247">
          <cell r="O247" t="str">
            <v/>
          </cell>
          <cell r="Q247" t="str">
            <v/>
          </cell>
          <cell r="T247" t="str">
            <v/>
          </cell>
          <cell r="U247" t="str">
            <v/>
          </cell>
          <cell r="AF247" t="str">
            <v/>
          </cell>
          <cell r="AI247" t="str">
            <v/>
          </cell>
          <cell r="AJ247" t="str">
            <v/>
          </cell>
          <cell r="AL247" t="str">
            <v/>
          </cell>
        </row>
        <row r="248">
          <cell r="O248" t="str">
            <v/>
          </cell>
          <cell r="Q248" t="str">
            <v/>
          </cell>
          <cell r="T248" t="str">
            <v/>
          </cell>
          <cell r="U248" t="str">
            <v/>
          </cell>
          <cell r="AF248" t="str">
            <v/>
          </cell>
          <cell r="AI248" t="str">
            <v/>
          </cell>
          <cell r="AJ248" t="str">
            <v/>
          </cell>
          <cell r="AL248" t="str">
            <v/>
          </cell>
        </row>
        <row r="249">
          <cell r="O249" t="str">
            <v/>
          </cell>
          <cell r="Q249" t="str">
            <v/>
          </cell>
          <cell r="T249" t="str">
            <v/>
          </cell>
          <cell r="U249" t="str">
            <v/>
          </cell>
          <cell r="AF249" t="str">
            <v/>
          </cell>
          <cell r="AI249" t="str">
            <v/>
          </cell>
          <cell r="AJ249" t="str">
            <v/>
          </cell>
          <cell r="AL249" t="str">
            <v/>
          </cell>
        </row>
        <row r="250">
          <cell r="O250" t="str">
            <v/>
          </cell>
          <cell r="Q250" t="str">
            <v/>
          </cell>
          <cell r="T250" t="str">
            <v/>
          </cell>
          <cell r="U250" t="str">
            <v/>
          </cell>
          <cell r="AF250" t="str">
            <v/>
          </cell>
          <cell r="AI250" t="str">
            <v/>
          </cell>
          <cell r="AJ250" t="str">
            <v/>
          </cell>
          <cell r="AL250" t="str">
            <v/>
          </cell>
        </row>
        <row r="251">
          <cell r="O251" t="str">
            <v/>
          </cell>
          <cell r="Q251" t="str">
            <v/>
          </cell>
          <cell r="T251" t="str">
            <v/>
          </cell>
          <cell r="U251" t="str">
            <v/>
          </cell>
          <cell r="AF251" t="str">
            <v/>
          </cell>
          <cell r="AI251" t="str">
            <v/>
          </cell>
          <cell r="AJ251" t="str">
            <v/>
          </cell>
          <cell r="AL251" t="str">
            <v/>
          </cell>
        </row>
        <row r="252">
          <cell r="O252" t="str">
            <v/>
          </cell>
          <cell r="Q252" t="str">
            <v/>
          </cell>
          <cell r="T252" t="str">
            <v/>
          </cell>
          <cell r="U252" t="str">
            <v/>
          </cell>
          <cell r="AF252" t="str">
            <v/>
          </cell>
          <cell r="AI252" t="str">
            <v/>
          </cell>
          <cell r="AJ252" t="str">
            <v/>
          </cell>
          <cell r="AL252" t="str">
            <v/>
          </cell>
        </row>
        <row r="253">
          <cell r="O253" t="str">
            <v/>
          </cell>
          <cell r="Q253" t="str">
            <v/>
          </cell>
          <cell r="T253" t="str">
            <v/>
          </cell>
          <cell r="U253" t="str">
            <v/>
          </cell>
          <cell r="AF253" t="str">
            <v/>
          </cell>
          <cell r="AI253" t="str">
            <v/>
          </cell>
          <cell r="AJ253" t="str">
            <v/>
          </cell>
          <cell r="AL253" t="str">
            <v/>
          </cell>
        </row>
        <row r="254">
          <cell r="O254" t="str">
            <v/>
          </cell>
          <cell r="Q254" t="str">
            <v/>
          </cell>
          <cell r="T254" t="str">
            <v/>
          </cell>
          <cell r="U254" t="str">
            <v/>
          </cell>
          <cell r="AF254" t="str">
            <v/>
          </cell>
          <cell r="AI254" t="str">
            <v/>
          </cell>
          <cell r="AJ254" t="str">
            <v/>
          </cell>
          <cell r="AL254" t="str">
            <v/>
          </cell>
        </row>
        <row r="255">
          <cell r="O255" t="str">
            <v/>
          </cell>
          <cell r="Q255" t="str">
            <v/>
          </cell>
          <cell r="T255" t="str">
            <v/>
          </cell>
          <cell r="U255" t="str">
            <v/>
          </cell>
          <cell r="AF255" t="str">
            <v/>
          </cell>
          <cell r="AI255" t="str">
            <v/>
          </cell>
          <cell r="AJ255" t="str">
            <v/>
          </cell>
          <cell r="AL255" t="str">
            <v/>
          </cell>
        </row>
        <row r="256">
          <cell r="O256" t="str">
            <v/>
          </cell>
          <cell r="Q256" t="str">
            <v/>
          </cell>
          <cell r="T256" t="str">
            <v/>
          </cell>
          <cell r="U256" t="str">
            <v/>
          </cell>
          <cell r="AF256" t="str">
            <v/>
          </cell>
          <cell r="AI256" t="str">
            <v/>
          </cell>
          <cell r="AJ256" t="str">
            <v/>
          </cell>
          <cell r="AL256" t="str">
            <v/>
          </cell>
        </row>
        <row r="257">
          <cell r="O257" t="str">
            <v/>
          </cell>
          <cell r="Q257" t="str">
            <v/>
          </cell>
          <cell r="T257" t="str">
            <v/>
          </cell>
          <cell r="U257" t="str">
            <v/>
          </cell>
          <cell r="AF257" t="str">
            <v/>
          </cell>
          <cell r="AI257" t="str">
            <v/>
          </cell>
          <cell r="AJ257" t="str">
            <v/>
          </cell>
          <cell r="AL257" t="str">
            <v/>
          </cell>
        </row>
        <row r="258">
          <cell r="O258" t="str">
            <v/>
          </cell>
          <cell r="Q258" t="str">
            <v/>
          </cell>
          <cell r="T258" t="str">
            <v/>
          </cell>
          <cell r="U258" t="str">
            <v/>
          </cell>
          <cell r="AF258" t="str">
            <v/>
          </cell>
          <cell r="AI258" t="str">
            <v/>
          </cell>
          <cell r="AJ258" t="str">
            <v/>
          </cell>
          <cell r="AL258" t="str">
            <v/>
          </cell>
        </row>
        <row r="259">
          <cell r="O259" t="str">
            <v/>
          </cell>
          <cell r="Q259" t="str">
            <v/>
          </cell>
          <cell r="T259" t="str">
            <v/>
          </cell>
          <cell r="U259" t="str">
            <v/>
          </cell>
          <cell r="AF259" t="str">
            <v/>
          </cell>
          <cell r="AI259" t="str">
            <v/>
          </cell>
          <cell r="AJ259" t="str">
            <v/>
          </cell>
          <cell r="AL259" t="str">
            <v/>
          </cell>
        </row>
        <row r="260">
          <cell r="O260" t="str">
            <v/>
          </cell>
          <cell r="Q260" t="str">
            <v/>
          </cell>
          <cell r="T260" t="str">
            <v/>
          </cell>
          <cell r="U260" t="str">
            <v/>
          </cell>
          <cell r="AF260" t="str">
            <v/>
          </cell>
          <cell r="AI260" t="str">
            <v/>
          </cell>
          <cell r="AJ260" t="str">
            <v/>
          </cell>
          <cell r="AL260" t="str">
            <v/>
          </cell>
        </row>
        <row r="261">
          <cell r="O261" t="str">
            <v/>
          </cell>
          <cell r="Q261" t="str">
            <v/>
          </cell>
          <cell r="T261" t="str">
            <v/>
          </cell>
          <cell r="U261" t="str">
            <v/>
          </cell>
          <cell r="AF261" t="str">
            <v/>
          </cell>
          <cell r="AI261" t="str">
            <v/>
          </cell>
          <cell r="AJ261" t="str">
            <v/>
          </cell>
          <cell r="AL261" t="str">
            <v/>
          </cell>
        </row>
        <row r="262">
          <cell r="O262" t="str">
            <v/>
          </cell>
          <cell r="Q262" t="str">
            <v/>
          </cell>
          <cell r="T262" t="str">
            <v/>
          </cell>
          <cell r="U262" t="str">
            <v/>
          </cell>
          <cell r="AF262" t="str">
            <v/>
          </cell>
          <cell r="AI262" t="str">
            <v/>
          </cell>
          <cell r="AJ262" t="str">
            <v/>
          </cell>
          <cell r="AL262" t="str">
            <v/>
          </cell>
        </row>
        <row r="263">
          <cell r="O263" t="str">
            <v/>
          </cell>
          <cell r="Q263" t="str">
            <v/>
          </cell>
          <cell r="T263" t="str">
            <v/>
          </cell>
          <cell r="U263" t="str">
            <v/>
          </cell>
          <cell r="AF263" t="str">
            <v/>
          </cell>
          <cell r="AI263" t="str">
            <v/>
          </cell>
          <cell r="AJ263" t="str">
            <v/>
          </cell>
          <cell r="AL263" t="str">
            <v/>
          </cell>
        </row>
        <row r="264">
          <cell r="O264" t="str">
            <v/>
          </cell>
          <cell r="Q264" t="str">
            <v/>
          </cell>
          <cell r="T264" t="str">
            <v/>
          </cell>
          <cell r="U264" t="str">
            <v/>
          </cell>
          <cell r="AF264" t="str">
            <v/>
          </cell>
          <cell r="AI264" t="str">
            <v/>
          </cell>
          <cell r="AJ264" t="str">
            <v/>
          </cell>
          <cell r="AL264" t="str">
            <v/>
          </cell>
        </row>
        <row r="265">
          <cell r="O265" t="str">
            <v/>
          </cell>
          <cell r="Q265" t="str">
            <v/>
          </cell>
          <cell r="T265" t="str">
            <v/>
          </cell>
          <cell r="U265" t="str">
            <v/>
          </cell>
          <cell r="AF265" t="str">
            <v/>
          </cell>
          <cell r="AI265" t="str">
            <v/>
          </cell>
          <cell r="AJ265" t="str">
            <v/>
          </cell>
          <cell r="AL265" t="str">
            <v/>
          </cell>
        </row>
        <row r="266">
          <cell r="O266" t="str">
            <v/>
          </cell>
          <cell r="Q266" t="str">
            <v/>
          </cell>
          <cell r="T266" t="str">
            <v/>
          </cell>
          <cell r="U266" t="str">
            <v/>
          </cell>
          <cell r="AF266" t="str">
            <v/>
          </cell>
          <cell r="AI266" t="str">
            <v/>
          </cell>
          <cell r="AJ266" t="str">
            <v/>
          </cell>
          <cell r="AL266" t="str">
            <v/>
          </cell>
        </row>
        <row r="267">
          <cell r="O267" t="str">
            <v/>
          </cell>
          <cell r="Q267" t="str">
            <v/>
          </cell>
          <cell r="T267" t="str">
            <v/>
          </cell>
          <cell r="U267" t="str">
            <v/>
          </cell>
          <cell r="AF267" t="str">
            <v/>
          </cell>
          <cell r="AI267" t="str">
            <v/>
          </cell>
          <cell r="AJ267" t="str">
            <v/>
          </cell>
          <cell r="AL267" t="str">
            <v/>
          </cell>
        </row>
        <row r="268">
          <cell r="O268" t="str">
            <v/>
          </cell>
          <cell r="Q268" t="str">
            <v/>
          </cell>
          <cell r="T268" t="str">
            <v/>
          </cell>
          <cell r="U268" t="str">
            <v/>
          </cell>
          <cell r="AF268" t="str">
            <v/>
          </cell>
          <cell r="AI268" t="str">
            <v/>
          </cell>
          <cell r="AJ268" t="str">
            <v/>
          </cell>
          <cell r="AL268" t="str">
            <v/>
          </cell>
        </row>
        <row r="269">
          <cell r="O269" t="str">
            <v/>
          </cell>
          <cell r="Q269" t="str">
            <v/>
          </cell>
          <cell r="T269" t="str">
            <v/>
          </cell>
          <cell r="U269" t="str">
            <v/>
          </cell>
          <cell r="AF269" t="str">
            <v/>
          </cell>
          <cell r="AI269" t="str">
            <v/>
          </cell>
          <cell r="AJ269" t="str">
            <v/>
          </cell>
          <cell r="AL269" t="str">
            <v/>
          </cell>
        </row>
        <row r="270">
          <cell r="O270" t="str">
            <v/>
          </cell>
          <cell r="Q270" t="str">
            <v/>
          </cell>
          <cell r="T270" t="str">
            <v/>
          </cell>
          <cell r="U270" t="str">
            <v/>
          </cell>
          <cell r="AF270" t="str">
            <v/>
          </cell>
          <cell r="AI270" t="str">
            <v/>
          </cell>
          <cell r="AJ270" t="str">
            <v/>
          </cell>
          <cell r="AL270" t="str">
            <v/>
          </cell>
        </row>
        <row r="271">
          <cell r="O271" t="str">
            <v/>
          </cell>
          <cell r="Q271" t="str">
            <v/>
          </cell>
          <cell r="T271" t="str">
            <v/>
          </cell>
          <cell r="U271" t="str">
            <v/>
          </cell>
          <cell r="AF271" t="str">
            <v/>
          </cell>
          <cell r="AI271" t="str">
            <v/>
          </cell>
          <cell r="AJ271" t="str">
            <v/>
          </cell>
          <cell r="AL271" t="str">
            <v/>
          </cell>
        </row>
        <row r="272">
          <cell r="O272" t="str">
            <v/>
          </cell>
          <cell r="Q272" t="str">
            <v/>
          </cell>
          <cell r="T272" t="str">
            <v/>
          </cell>
          <cell r="U272" t="str">
            <v/>
          </cell>
          <cell r="AF272" t="str">
            <v/>
          </cell>
          <cell r="AI272" t="str">
            <v/>
          </cell>
          <cell r="AJ272" t="str">
            <v/>
          </cell>
          <cell r="AL272" t="str">
            <v/>
          </cell>
        </row>
        <row r="273">
          <cell r="O273" t="str">
            <v/>
          </cell>
          <cell r="Q273" t="str">
            <v/>
          </cell>
          <cell r="T273" t="str">
            <v/>
          </cell>
          <cell r="U273" t="str">
            <v/>
          </cell>
          <cell r="AF273" t="str">
            <v/>
          </cell>
          <cell r="AI273" t="str">
            <v/>
          </cell>
          <cell r="AJ273" t="str">
            <v/>
          </cell>
          <cell r="AL273" t="str">
            <v/>
          </cell>
        </row>
        <row r="274">
          <cell r="O274" t="str">
            <v/>
          </cell>
          <cell r="Q274" t="str">
            <v/>
          </cell>
          <cell r="T274" t="str">
            <v/>
          </cell>
          <cell r="U274" t="str">
            <v/>
          </cell>
          <cell r="AF274" t="str">
            <v/>
          </cell>
          <cell r="AI274" t="str">
            <v/>
          </cell>
          <cell r="AJ274" t="str">
            <v/>
          </cell>
          <cell r="AL274" t="str">
            <v/>
          </cell>
        </row>
        <row r="275">
          <cell r="O275" t="str">
            <v/>
          </cell>
          <cell r="Q275" t="str">
            <v/>
          </cell>
          <cell r="T275" t="str">
            <v/>
          </cell>
          <cell r="U275" t="str">
            <v/>
          </cell>
          <cell r="AF275" t="str">
            <v/>
          </cell>
          <cell r="AI275" t="str">
            <v/>
          </cell>
          <cell r="AJ275" t="str">
            <v/>
          </cell>
          <cell r="AL275" t="str">
            <v/>
          </cell>
        </row>
        <row r="276">
          <cell r="O276" t="str">
            <v/>
          </cell>
          <cell r="Q276" t="str">
            <v/>
          </cell>
          <cell r="T276" t="str">
            <v/>
          </cell>
          <cell r="U276" t="str">
            <v/>
          </cell>
          <cell r="AF276" t="str">
            <v/>
          </cell>
          <cell r="AI276" t="str">
            <v/>
          </cell>
          <cell r="AJ276" t="str">
            <v/>
          </cell>
          <cell r="AL276" t="str">
            <v/>
          </cell>
        </row>
        <row r="277">
          <cell r="O277" t="str">
            <v/>
          </cell>
          <cell r="Q277" t="str">
            <v/>
          </cell>
          <cell r="T277" t="str">
            <v/>
          </cell>
          <cell r="U277" t="str">
            <v/>
          </cell>
          <cell r="AF277" t="str">
            <v/>
          </cell>
          <cell r="AI277" t="str">
            <v/>
          </cell>
          <cell r="AJ277" t="str">
            <v/>
          </cell>
          <cell r="AL277" t="str">
            <v/>
          </cell>
        </row>
        <row r="278">
          <cell r="O278" t="str">
            <v/>
          </cell>
          <cell r="Q278" t="str">
            <v/>
          </cell>
          <cell r="T278" t="str">
            <v/>
          </cell>
          <cell r="U278" t="str">
            <v/>
          </cell>
          <cell r="AF278" t="str">
            <v/>
          </cell>
          <cell r="AI278" t="str">
            <v/>
          </cell>
          <cell r="AJ278" t="str">
            <v/>
          </cell>
          <cell r="AL278" t="str">
            <v/>
          </cell>
        </row>
        <row r="279">
          <cell r="O279" t="str">
            <v/>
          </cell>
          <cell r="Q279" t="str">
            <v/>
          </cell>
          <cell r="T279" t="str">
            <v/>
          </cell>
          <cell r="U279" t="str">
            <v/>
          </cell>
          <cell r="AF279" t="str">
            <v/>
          </cell>
          <cell r="AI279" t="str">
            <v/>
          </cell>
          <cell r="AJ279" t="str">
            <v/>
          </cell>
          <cell r="AL279" t="str">
            <v/>
          </cell>
        </row>
        <row r="280">
          <cell r="O280" t="str">
            <v/>
          </cell>
          <cell r="Q280" t="str">
            <v/>
          </cell>
          <cell r="T280" t="str">
            <v/>
          </cell>
          <cell r="U280" t="str">
            <v/>
          </cell>
          <cell r="AF280" t="str">
            <v/>
          </cell>
          <cell r="AI280" t="str">
            <v/>
          </cell>
          <cell r="AJ280" t="str">
            <v/>
          </cell>
          <cell r="AL280" t="str">
            <v/>
          </cell>
        </row>
        <row r="281">
          <cell r="O281" t="str">
            <v/>
          </cell>
          <cell r="Q281" t="str">
            <v/>
          </cell>
          <cell r="T281" t="str">
            <v/>
          </cell>
          <cell r="U281" t="str">
            <v/>
          </cell>
          <cell r="AF281" t="str">
            <v/>
          </cell>
          <cell r="AI281" t="str">
            <v/>
          </cell>
          <cell r="AJ281" t="str">
            <v/>
          </cell>
          <cell r="AL281" t="str">
            <v/>
          </cell>
        </row>
        <row r="282">
          <cell r="O282" t="str">
            <v/>
          </cell>
          <cell r="Q282" t="str">
            <v/>
          </cell>
          <cell r="T282" t="str">
            <v/>
          </cell>
          <cell r="U282" t="str">
            <v/>
          </cell>
          <cell r="AF282" t="str">
            <v/>
          </cell>
          <cell r="AI282" t="str">
            <v/>
          </cell>
          <cell r="AJ282" t="str">
            <v/>
          </cell>
          <cell r="AL282" t="str">
            <v/>
          </cell>
        </row>
        <row r="283">
          <cell r="O283" t="str">
            <v/>
          </cell>
          <cell r="Q283" t="str">
            <v/>
          </cell>
          <cell r="T283" t="str">
            <v/>
          </cell>
          <cell r="U283" t="str">
            <v/>
          </cell>
          <cell r="AF283" t="str">
            <v/>
          </cell>
          <cell r="AI283" t="str">
            <v/>
          </cell>
          <cell r="AJ283" t="str">
            <v/>
          </cell>
          <cell r="AL283" t="str">
            <v/>
          </cell>
        </row>
        <row r="284">
          <cell r="O284" t="str">
            <v/>
          </cell>
          <cell r="Q284" t="str">
            <v/>
          </cell>
          <cell r="T284" t="str">
            <v/>
          </cell>
          <cell r="U284" t="str">
            <v/>
          </cell>
          <cell r="AF284" t="str">
            <v/>
          </cell>
          <cell r="AI284" t="str">
            <v/>
          </cell>
          <cell r="AJ284" t="str">
            <v/>
          </cell>
          <cell r="AL284" t="str">
            <v/>
          </cell>
        </row>
        <row r="285">
          <cell r="O285" t="str">
            <v/>
          </cell>
          <cell r="Q285" t="str">
            <v/>
          </cell>
          <cell r="T285" t="str">
            <v/>
          </cell>
          <cell r="U285" t="str">
            <v/>
          </cell>
          <cell r="AF285" t="str">
            <v/>
          </cell>
          <cell r="AI285" t="str">
            <v/>
          </cell>
          <cell r="AJ285" t="str">
            <v/>
          </cell>
          <cell r="AL285" t="str">
            <v/>
          </cell>
        </row>
        <row r="286">
          <cell r="O286" t="str">
            <v/>
          </cell>
          <cell r="Q286" t="str">
            <v/>
          </cell>
          <cell r="T286" t="str">
            <v/>
          </cell>
          <cell r="U286" t="str">
            <v/>
          </cell>
          <cell r="AF286" t="str">
            <v/>
          </cell>
          <cell r="AI286" t="str">
            <v/>
          </cell>
          <cell r="AJ286" t="str">
            <v/>
          </cell>
          <cell r="AL286" t="str">
            <v/>
          </cell>
        </row>
        <row r="287">
          <cell r="O287" t="str">
            <v/>
          </cell>
          <cell r="Q287" t="str">
            <v/>
          </cell>
          <cell r="T287" t="str">
            <v/>
          </cell>
          <cell r="U287" t="str">
            <v/>
          </cell>
          <cell r="AF287" t="str">
            <v/>
          </cell>
          <cell r="AI287" t="str">
            <v/>
          </cell>
          <cell r="AJ287" t="str">
            <v/>
          </cell>
          <cell r="AL287" t="str">
            <v/>
          </cell>
        </row>
        <row r="288">
          <cell r="O288" t="str">
            <v/>
          </cell>
          <cell r="Q288" t="str">
            <v/>
          </cell>
          <cell r="T288" t="str">
            <v/>
          </cell>
          <cell r="U288" t="str">
            <v/>
          </cell>
          <cell r="AF288" t="str">
            <v/>
          </cell>
          <cell r="AI288" t="str">
            <v/>
          </cell>
          <cell r="AJ288" t="str">
            <v/>
          </cell>
          <cell r="AL288" t="str">
            <v/>
          </cell>
        </row>
        <row r="289">
          <cell r="O289" t="str">
            <v/>
          </cell>
          <cell r="Q289" t="str">
            <v/>
          </cell>
          <cell r="T289" t="str">
            <v/>
          </cell>
          <cell r="U289" t="str">
            <v/>
          </cell>
          <cell r="AF289" t="str">
            <v/>
          </cell>
          <cell r="AI289" t="str">
            <v/>
          </cell>
          <cell r="AJ289" t="str">
            <v/>
          </cell>
          <cell r="AL289" t="str">
            <v/>
          </cell>
        </row>
        <row r="290">
          <cell r="O290" t="str">
            <v/>
          </cell>
          <cell r="Q290" t="str">
            <v/>
          </cell>
          <cell r="T290" t="str">
            <v/>
          </cell>
          <cell r="U290" t="str">
            <v/>
          </cell>
          <cell r="AF290" t="str">
            <v/>
          </cell>
          <cell r="AI290" t="str">
            <v/>
          </cell>
          <cell r="AJ290" t="str">
            <v/>
          </cell>
          <cell r="AL290" t="str">
            <v/>
          </cell>
        </row>
        <row r="291">
          <cell r="O291" t="str">
            <v/>
          </cell>
          <cell r="Q291" t="str">
            <v/>
          </cell>
          <cell r="T291" t="str">
            <v/>
          </cell>
          <cell r="U291" t="str">
            <v/>
          </cell>
          <cell r="AF291" t="str">
            <v/>
          </cell>
          <cell r="AI291" t="str">
            <v/>
          </cell>
          <cell r="AJ291" t="str">
            <v/>
          </cell>
          <cell r="AL291" t="str">
            <v/>
          </cell>
        </row>
        <row r="292">
          <cell r="O292" t="str">
            <v/>
          </cell>
          <cell r="Q292" t="str">
            <v/>
          </cell>
          <cell r="T292" t="str">
            <v/>
          </cell>
          <cell r="U292" t="str">
            <v/>
          </cell>
          <cell r="AF292" t="str">
            <v/>
          </cell>
          <cell r="AI292" t="str">
            <v/>
          </cell>
          <cell r="AJ292" t="str">
            <v/>
          </cell>
          <cell r="AL292" t="str">
            <v/>
          </cell>
        </row>
        <row r="293">
          <cell r="O293" t="str">
            <v/>
          </cell>
          <cell r="Q293" t="str">
            <v/>
          </cell>
          <cell r="T293" t="str">
            <v/>
          </cell>
          <cell r="U293" t="str">
            <v/>
          </cell>
          <cell r="AF293" t="str">
            <v/>
          </cell>
          <cell r="AI293" t="str">
            <v/>
          </cell>
          <cell r="AJ293" t="str">
            <v/>
          </cell>
          <cell r="AL293" t="str">
            <v/>
          </cell>
        </row>
        <row r="294">
          <cell r="O294" t="str">
            <v/>
          </cell>
          <cell r="Q294" t="str">
            <v/>
          </cell>
          <cell r="T294" t="str">
            <v/>
          </cell>
          <cell r="U294" t="str">
            <v/>
          </cell>
          <cell r="AF294" t="str">
            <v/>
          </cell>
          <cell r="AI294" t="str">
            <v/>
          </cell>
          <cell r="AJ294" t="str">
            <v/>
          </cell>
          <cell r="AL294" t="str">
            <v/>
          </cell>
        </row>
        <row r="295">
          <cell r="O295" t="str">
            <v/>
          </cell>
          <cell r="Q295" t="str">
            <v/>
          </cell>
          <cell r="T295" t="str">
            <v/>
          </cell>
          <cell r="U295" t="str">
            <v/>
          </cell>
          <cell r="AF295" t="str">
            <v/>
          </cell>
          <cell r="AI295" t="str">
            <v/>
          </cell>
          <cell r="AJ295" t="str">
            <v/>
          </cell>
          <cell r="AL295" t="str">
            <v/>
          </cell>
        </row>
        <row r="296">
          <cell r="O296" t="str">
            <v/>
          </cell>
          <cell r="Q296" t="str">
            <v/>
          </cell>
          <cell r="T296" t="str">
            <v/>
          </cell>
          <cell r="U296" t="str">
            <v/>
          </cell>
          <cell r="AF296" t="str">
            <v/>
          </cell>
          <cell r="AI296" t="str">
            <v/>
          </cell>
          <cell r="AJ296" t="str">
            <v/>
          </cell>
          <cell r="AL296" t="str">
            <v/>
          </cell>
        </row>
        <row r="297">
          <cell r="O297" t="str">
            <v/>
          </cell>
          <cell r="Q297" t="str">
            <v/>
          </cell>
          <cell r="T297" t="str">
            <v/>
          </cell>
          <cell r="U297" t="str">
            <v/>
          </cell>
          <cell r="AF297" t="str">
            <v/>
          </cell>
          <cell r="AI297" t="str">
            <v/>
          </cell>
          <cell r="AJ297" t="str">
            <v/>
          </cell>
          <cell r="AL297" t="str">
            <v/>
          </cell>
        </row>
        <row r="298">
          <cell r="O298" t="str">
            <v/>
          </cell>
          <cell r="Q298" t="str">
            <v/>
          </cell>
          <cell r="T298" t="str">
            <v/>
          </cell>
          <cell r="U298" t="str">
            <v/>
          </cell>
          <cell r="AF298" t="str">
            <v/>
          </cell>
          <cell r="AI298" t="str">
            <v/>
          </cell>
          <cell r="AJ298" t="str">
            <v/>
          </cell>
          <cell r="AL298" t="str">
            <v/>
          </cell>
        </row>
        <row r="299">
          <cell r="O299" t="str">
            <v/>
          </cell>
          <cell r="Q299" t="str">
            <v/>
          </cell>
          <cell r="T299" t="str">
            <v/>
          </cell>
          <cell r="U299" t="str">
            <v/>
          </cell>
          <cell r="AF299" t="str">
            <v/>
          </cell>
          <cell r="AI299" t="str">
            <v/>
          </cell>
          <cell r="AJ299" t="str">
            <v/>
          </cell>
          <cell r="AL299" t="str">
            <v/>
          </cell>
        </row>
        <row r="300">
          <cell r="O300" t="str">
            <v/>
          </cell>
          <cell r="Q300" t="str">
            <v/>
          </cell>
          <cell r="T300" t="str">
            <v/>
          </cell>
          <cell r="U300" t="str">
            <v/>
          </cell>
          <cell r="AF300" t="str">
            <v/>
          </cell>
          <cell r="AI300" t="str">
            <v/>
          </cell>
          <cell r="AJ300" t="str">
            <v/>
          </cell>
          <cell r="AL300" t="str">
            <v/>
          </cell>
        </row>
        <row r="301">
          <cell r="O301" t="str">
            <v/>
          </cell>
          <cell r="Q301" t="str">
            <v/>
          </cell>
          <cell r="T301" t="str">
            <v/>
          </cell>
          <cell r="U301" t="str">
            <v/>
          </cell>
          <cell r="AF301" t="str">
            <v/>
          </cell>
          <cell r="AI301" t="str">
            <v/>
          </cell>
          <cell r="AJ301" t="str">
            <v/>
          </cell>
          <cell r="AL301" t="str">
            <v/>
          </cell>
        </row>
        <row r="302">
          <cell r="O302" t="str">
            <v/>
          </cell>
          <cell r="Q302" t="str">
            <v/>
          </cell>
          <cell r="T302" t="str">
            <v/>
          </cell>
          <cell r="U302" t="str">
            <v/>
          </cell>
          <cell r="AF302" t="str">
            <v/>
          </cell>
          <cell r="AI302" t="str">
            <v/>
          </cell>
          <cell r="AJ302" t="str">
            <v/>
          </cell>
          <cell r="AL302" t="str">
            <v/>
          </cell>
        </row>
        <row r="303">
          <cell r="O303" t="str">
            <v/>
          </cell>
          <cell r="Q303" t="str">
            <v/>
          </cell>
          <cell r="T303" t="str">
            <v/>
          </cell>
          <cell r="U303" t="str">
            <v/>
          </cell>
          <cell r="AF303" t="str">
            <v/>
          </cell>
          <cell r="AI303" t="str">
            <v/>
          </cell>
          <cell r="AJ303" t="str">
            <v/>
          </cell>
          <cell r="AL303" t="str">
            <v/>
          </cell>
        </row>
        <row r="304">
          <cell r="O304" t="str">
            <v/>
          </cell>
          <cell r="Q304" t="str">
            <v/>
          </cell>
          <cell r="T304" t="str">
            <v/>
          </cell>
          <cell r="U304" t="str">
            <v/>
          </cell>
          <cell r="AF304" t="str">
            <v/>
          </cell>
          <cell r="AI304" t="str">
            <v/>
          </cell>
          <cell r="AJ304" t="str">
            <v/>
          </cell>
          <cell r="AL304" t="str">
            <v/>
          </cell>
        </row>
        <row r="305">
          <cell r="O305" t="str">
            <v/>
          </cell>
          <cell r="Q305" t="str">
            <v/>
          </cell>
          <cell r="T305" t="str">
            <v/>
          </cell>
          <cell r="U305" t="str">
            <v/>
          </cell>
          <cell r="AF305" t="str">
            <v/>
          </cell>
          <cell r="AI305" t="str">
            <v/>
          </cell>
          <cell r="AJ305" t="str">
            <v/>
          </cell>
          <cell r="AL305" t="str">
            <v/>
          </cell>
        </row>
        <row r="306">
          <cell r="O306" t="str">
            <v/>
          </cell>
          <cell r="Q306" t="str">
            <v/>
          </cell>
          <cell r="T306" t="str">
            <v/>
          </cell>
          <cell r="U306" t="str">
            <v/>
          </cell>
          <cell r="AF306" t="str">
            <v/>
          </cell>
          <cell r="AI306" t="str">
            <v/>
          </cell>
          <cell r="AJ306" t="str">
            <v/>
          </cell>
          <cell r="AL306" t="str">
            <v/>
          </cell>
        </row>
        <row r="307">
          <cell r="O307" t="str">
            <v/>
          </cell>
          <cell r="Q307" t="str">
            <v/>
          </cell>
          <cell r="T307" t="str">
            <v/>
          </cell>
          <cell r="U307" t="str">
            <v/>
          </cell>
          <cell r="AF307" t="str">
            <v/>
          </cell>
          <cell r="AI307" t="str">
            <v/>
          </cell>
          <cell r="AJ307" t="str">
            <v/>
          </cell>
          <cell r="AL307" t="str">
            <v/>
          </cell>
        </row>
        <row r="308">
          <cell r="O308" t="str">
            <v/>
          </cell>
          <cell r="Q308" t="str">
            <v/>
          </cell>
          <cell r="T308" t="str">
            <v/>
          </cell>
          <cell r="U308" t="str">
            <v/>
          </cell>
          <cell r="AF308" t="str">
            <v/>
          </cell>
          <cell r="AI308" t="str">
            <v/>
          </cell>
          <cell r="AJ308" t="str">
            <v/>
          </cell>
          <cell r="AL308" t="str">
            <v/>
          </cell>
        </row>
        <row r="309">
          <cell r="O309" t="str">
            <v/>
          </cell>
          <cell r="Q309" t="str">
            <v/>
          </cell>
          <cell r="T309" t="str">
            <v/>
          </cell>
          <cell r="U309" t="str">
            <v/>
          </cell>
          <cell r="AF309" t="str">
            <v/>
          </cell>
          <cell r="AI309" t="str">
            <v/>
          </cell>
          <cell r="AJ309" t="str">
            <v/>
          </cell>
          <cell r="AL309" t="str">
            <v/>
          </cell>
        </row>
      </sheetData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D36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33" sqref="J33"/>
    </sheetView>
  </sheetViews>
  <sheetFormatPr defaultRowHeight="13.2" x14ac:dyDescent="0.25"/>
  <cols>
    <col min="2" max="2" width="12" customWidth="1"/>
    <col min="5" max="5" width="11.33203125" customWidth="1"/>
    <col min="8" max="8" width="15.33203125" bestFit="1" customWidth="1"/>
    <col min="11" max="11" width="13.6640625" customWidth="1"/>
    <col min="12" max="12" width="10.6640625" customWidth="1"/>
    <col min="15" max="15" width="11" customWidth="1"/>
    <col min="18" max="18" width="10.6640625" customWidth="1"/>
    <col min="21" max="21" width="11.6640625" bestFit="1" customWidth="1"/>
    <col min="22" max="22" width="10.6640625" customWidth="1"/>
    <col min="28" max="28" width="12.6640625" customWidth="1"/>
  </cols>
  <sheetData>
    <row r="1" spans="1:30" x14ac:dyDescent="0.25">
      <c r="B1" s="22"/>
      <c r="C1" s="22"/>
      <c r="D1" s="22"/>
      <c r="E1" s="22"/>
      <c r="F1" s="22"/>
      <c r="G1" s="3"/>
      <c r="H1" s="3"/>
      <c r="I1" s="3"/>
      <c r="J1" s="3"/>
      <c r="K1" s="14"/>
      <c r="L1" s="3"/>
      <c r="M1" s="3"/>
      <c r="N1" s="3"/>
      <c r="O1" s="3"/>
      <c r="P1" s="3"/>
      <c r="Q1" s="3"/>
      <c r="R1" s="3"/>
      <c r="S1" s="3"/>
      <c r="T1" s="3"/>
      <c r="U1" s="14"/>
    </row>
    <row r="2" spans="1:30" ht="13.8" thickBot="1" x14ac:dyDescent="0.3">
      <c r="C2" s="18"/>
      <c r="E2" s="3"/>
      <c r="F2" s="3"/>
      <c r="G2" s="3"/>
      <c r="H2" s="3"/>
      <c r="I2" s="3"/>
      <c r="J2" s="3"/>
      <c r="K2" s="14"/>
      <c r="L2" s="3"/>
      <c r="M2" s="3"/>
      <c r="N2" s="3"/>
      <c r="O2" s="3"/>
      <c r="P2" s="3"/>
      <c r="Q2" s="3"/>
      <c r="R2" s="3"/>
      <c r="S2" s="3"/>
      <c r="T2" s="3"/>
      <c r="U2" s="14"/>
    </row>
    <row r="3" spans="1:30" ht="60.75" customHeight="1" thickBot="1" x14ac:dyDescent="0.3">
      <c r="A3" s="3"/>
      <c r="B3" s="68" t="s">
        <v>9</v>
      </c>
      <c r="C3" s="69"/>
      <c r="D3" s="70"/>
      <c r="E3" s="68" t="s">
        <v>10</v>
      </c>
      <c r="F3" s="69"/>
      <c r="G3" s="70"/>
      <c r="H3" s="68" t="s">
        <v>11</v>
      </c>
      <c r="I3" s="69"/>
      <c r="J3" s="70"/>
      <c r="K3" s="68" t="s">
        <v>12</v>
      </c>
      <c r="L3" s="69"/>
      <c r="M3" s="70"/>
      <c r="N3" s="19"/>
      <c r="O3" s="71" t="s">
        <v>21</v>
      </c>
      <c r="P3" s="69"/>
      <c r="Q3" s="70"/>
      <c r="R3" s="68" t="s">
        <v>3</v>
      </c>
      <c r="S3" s="69"/>
      <c r="T3" s="70"/>
      <c r="U3" s="68" t="s">
        <v>5</v>
      </c>
      <c r="V3" s="69"/>
      <c r="W3" s="70"/>
      <c r="X3" s="68" t="s">
        <v>6</v>
      </c>
      <c r="Y3" s="69"/>
      <c r="Z3" s="70"/>
      <c r="AA3" s="19"/>
      <c r="AB3" s="65" t="s">
        <v>7</v>
      </c>
      <c r="AC3" s="66"/>
      <c r="AD3" s="67"/>
    </row>
    <row r="4" spans="1:30" x14ac:dyDescent="0.25">
      <c r="A4" s="2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19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19"/>
      <c r="AB4" s="34" t="s">
        <v>0</v>
      </c>
      <c r="AC4" s="35" t="s">
        <v>1</v>
      </c>
      <c r="AD4" s="36" t="s">
        <v>2</v>
      </c>
    </row>
    <row r="5" spans="1:30" x14ac:dyDescent="0.25">
      <c r="A5" s="1">
        <v>43040</v>
      </c>
      <c r="B5" s="7">
        <f>'[1]Production Summary'!K37</f>
        <v>6000000</v>
      </c>
      <c r="C5" s="8">
        <f t="shared" ref="C5:C34" si="0">B5/1000000</f>
        <v>6</v>
      </c>
      <c r="D5" s="10">
        <f t="shared" ref="D5:D34" si="1">C5*3.07</f>
        <v>18.419999999999998</v>
      </c>
      <c r="E5" s="7">
        <f>'[1]Production Summary'!O37</f>
        <v>8000000</v>
      </c>
      <c r="F5" s="8">
        <f t="shared" ref="F5:F34" si="2">E5/1000000</f>
        <v>8</v>
      </c>
      <c r="G5" s="10">
        <f t="shared" ref="G5:G34" si="3">F5*3.07</f>
        <v>24.56</v>
      </c>
      <c r="H5" s="7">
        <f>'[1]Production Summary'!Q37</f>
        <v>10000</v>
      </c>
      <c r="I5" s="8">
        <f>H5/1000000</f>
        <v>0.01</v>
      </c>
      <c r="J5" s="10">
        <f t="shared" ref="J5:J34" si="4">I5*3.07</f>
        <v>3.0699999999999998E-2</v>
      </c>
      <c r="K5" s="7">
        <f>'[1]Production Summary'!T37</f>
        <v>460341</v>
      </c>
      <c r="L5" s="8">
        <f t="shared" ref="L5:L7" si="5">K5/10000000</f>
        <v>4.6034100000000001E-2</v>
      </c>
      <c r="M5" s="10">
        <f t="shared" ref="M5:M34" si="6">L5*3.07</f>
        <v>0.141324687</v>
      </c>
      <c r="N5" s="21"/>
      <c r="O5" s="7">
        <f>'[1]Production Summary'!J37</f>
        <v>6250501</v>
      </c>
      <c r="P5" s="8">
        <f t="shared" ref="P5:P16" si="7">O5/1000000</f>
        <v>6.2505009999999999</v>
      </c>
      <c r="Q5" s="10">
        <f t="shared" ref="Q5:Q34" si="8">P5*3.07</f>
        <v>19.189038069999999</v>
      </c>
      <c r="R5" s="7">
        <f>'[1]Production Summary'!AE37</f>
        <v>5717924</v>
      </c>
      <c r="S5" s="8">
        <f t="shared" ref="S5:S17" si="9">R5/1000000</f>
        <v>5.717924</v>
      </c>
      <c r="T5" s="10">
        <f t="shared" ref="T5:T34" si="10">S5*3.07</f>
        <v>17.55402668</v>
      </c>
      <c r="U5" s="7">
        <f>'[1]Production Summary'!AF37</f>
        <v>0</v>
      </c>
      <c r="V5" s="8">
        <f t="shared" ref="V5:V34" si="11">U5/1000000</f>
        <v>0</v>
      </c>
      <c r="W5" s="10">
        <f t="shared" ref="W5:W34" si="12">V5*3.07</f>
        <v>0</v>
      </c>
      <c r="X5" s="7">
        <f>'[1]Production Summary'!AJ37</f>
        <v>93303</v>
      </c>
      <c r="Y5" s="8">
        <f t="shared" ref="Y5:Y34" si="13">X5/1000000</f>
        <v>9.3302999999999997E-2</v>
      </c>
      <c r="Z5" s="10">
        <f t="shared" ref="Z5:Z34" si="14">Y5*3.07</f>
        <v>0.28644020999999997</v>
      </c>
      <c r="AA5" s="15"/>
      <c r="AB5" s="7">
        <f>B5+O5</f>
        <v>12250501</v>
      </c>
      <c r="AC5" s="8">
        <f>C5+P5</f>
        <v>12.250501</v>
      </c>
      <c r="AD5" s="8">
        <f>D5+Q5</f>
        <v>37.609038069999997</v>
      </c>
    </row>
    <row r="6" spans="1:30" x14ac:dyDescent="0.25">
      <c r="A6" s="1">
        <v>43041</v>
      </c>
      <c r="B6" s="7">
        <f>'[1]Production Summary'!K38</f>
        <v>6250000</v>
      </c>
      <c r="C6" s="8">
        <f t="shared" si="0"/>
        <v>6.25</v>
      </c>
      <c r="D6" s="10">
        <f t="shared" si="1"/>
        <v>19.1875</v>
      </c>
      <c r="E6" s="7">
        <f>'[1]Production Summary'!O38</f>
        <v>7000000</v>
      </c>
      <c r="F6" s="8">
        <f t="shared" si="2"/>
        <v>7</v>
      </c>
      <c r="G6" s="10">
        <f t="shared" si="3"/>
        <v>21.49</v>
      </c>
      <c r="H6" s="7">
        <f>'[1]Production Summary'!Q38</f>
        <v>0</v>
      </c>
      <c r="I6" s="8">
        <f t="shared" ref="I6:I34" si="15">H6/1000000</f>
        <v>0</v>
      </c>
      <c r="J6" s="10">
        <f t="shared" si="4"/>
        <v>0</v>
      </c>
      <c r="K6" s="7">
        <f>'[1]Production Summary'!T38</f>
        <v>747901</v>
      </c>
      <c r="L6" s="8">
        <f t="shared" si="5"/>
        <v>7.4790099999999998E-2</v>
      </c>
      <c r="M6" s="10">
        <f t="shared" si="6"/>
        <v>0.22960560699999999</v>
      </c>
      <c r="N6" s="21"/>
      <c r="O6" s="7">
        <f>'[1]Production Summary'!J38</f>
        <v>6254188</v>
      </c>
      <c r="P6" s="8">
        <f t="shared" si="7"/>
        <v>6.2541880000000001</v>
      </c>
      <c r="Q6" s="10">
        <f t="shared" si="8"/>
        <v>19.200357159999999</v>
      </c>
      <c r="R6" s="7">
        <f>'[1]Production Summary'!AE38</f>
        <v>4443850</v>
      </c>
      <c r="S6" s="8">
        <f t="shared" si="9"/>
        <v>4.4438500000000003</v>
      </c>
      <c r="T6" s="10">
        <f t="shared" si="10"/>
        <v>13.6426195</v>
      </c>
      <c r="U6" s="7">
        <f>'[1]Production Summary'!AF38</f>
        <v>1561388</v>
      </c>
      <c r="V6" s="8">
        <f t="shared" si="11"/>
        <v>1.561388</v>
      </c>
      <c r="W6" s="10">
        <f t="shared" si="12"/>
        <v>4.7934611599999997</v>
      </c>
      <c r="X6" s="7">
        <f>'[1]Production Summary'!AJ38</f>
        <v>118034</v>
      </c>
      <c r="Y6" s="8">
        <f t="shared" si="13"/>
        <v>0.118034</v>
      </c>
      <c r="Z6" s="10">
        <f t="shared" si="14"/>
        <v>0.36236437999999999</v>
      </c>
      <c r="AA6" s="15"/>
      <c r="AB6" s="7">
        <f t="shared" ref="AB6:AD35" si="16">B6+O6</f>
        <v>12504188</v>
      </c>
      <c r="AC6" s="8">
        <f t="shared" si="16"/>
        <v>12.504187999999999</v>
      </c>
      <c r="AD6" s="8">
        <f t="shared" si="16"/>
        <v>38.387857159999996</v>
      </c>
    </row>
    <row r="7" spans="1:30" x14ac:dyDescent="0.25">
      <c r="A7" s="1">
        <v>43042</v>
      </c>
      <c r="B7" s="7">
        <f>'[1]Production Summary'!K39</f>
        <v>6360000.000000014</v>
      </c>
      <c r="C7" s="8">
        <f t="shared" si="0"/>
        <v>6.3600000000000136</v>
      </c>
      <c r="D7" s="10">
        <f t="shared" si="1"/>
        <v>19.525200000000041</v>
      </c>
      <c r="E7" s="7">
        <f>'[1]Production Summary'!O39</f>
        <v>7000000</v>
      </c>
      <c r="F7" s="8">
        <f t="shared" si="2"/>
        <v>7</v>
      </c>
      <c r="G7" s="10">
        <f t="shared" si="3"/>
        <v>21.49</v>
      </c>
      <c r="H7" s="7">
        <f>'[1]Production Summary'!Q39</f>
        <v>0</v>
      </c>
      <c r="I7" s="8">
        <f t="shared" si="15"/>
        <v>0</v>
      </c>
      <c r="J7" s="10">
        <f t="shared" si="4"/>
        <v>0</v>
      </c>
      <c r="K7" s="7">
        <f>'[1]Production Summary'!T39</f>
        <v>633193</v>
      </c>
      <c r="L7" s="8">
        <f t="shared" si="5"/>
        <v>6.3319299999999995E-2</v>
      </c>
      <c r="M7" s="10">
        <f t="shared" si="6"/>
        <v>0.19439025099999999</v>
      </c>
      <c r="N7" s="21"/>
      <c r="O7" s="7">
        <f>'[1]Production Summary'!J39</f>
        <v>5512903</v>
      </c>
      <c r="P7" s="8">
        <f t="shared" si="7"/>
        <v>5.5129029999999997</v>
      </c>
      <c r="Q7" s="10">
        <f t="shared" si="8"/>
        <v>16.924612209999999</v>
      </c>
      <c r="R7" s="7">
        <f>'[1]Production Summary'!AE39</f>
        <v>2263295</v>
      </c>
      <c r="S7" s="8">
        <f t="shared" si="9"/>
        <v>2.2632949999999998</v>
      </c>
      <c r="T7" s="10">
        <f t="shared" si="10"/>
        <v>6.9483156499999987</v>
      </c>
      <c r="U7" s="7">
        <f>'[1]Production Summary'!AF39</f>
        <v>3615705</v>
      </c>
      <c r="V7" s="8">
        <f t="shared" si="11"/>
        <v>3.6157050000000002</v>
      </c>
      <c r="W7" s="10">
        <f t="shared" si="12"/>
        <v>11.10021435</v>
      </c>
      <c r="X7" s="7">
        <f>'[1]Production Summary'!AJ39</f>
        <v>142058</v>
      </c>
      <c r="Y7" s="8">
        <f t="shared" si="13"/>
        <v>0.14205799999999999</v>
      </c>
      <c r="Z7" s="10">
        <f t="shared" si="14"/>
        <v>0.43611805999999992</v>
      </c>
      <c r="AA7" s="15"/>
      <c r="AB7" s="7">
        <f t="shared" si="16"/>
        <v>11872903.000000015</v>
      </c>
      <c r="AC7" s="8">
        <f t="shared" si="16"/>
        <v>11.872903000000013</v>
      </c>
      <c r="AD7" s="8">
        <f t="shared" si="16"/>
        <v>36.44981221000004</v>
      </c>
    </row>
    <row r="8" spans="1:30" x14ac:dyDescent="0.25">
      <c r="A8" s="1">
        <v>43043</v>
      </c>
      <c r="B8" s="7">
        <f>'[1]Production Summary'!K40</f>
        <v>7500000</v>
      </c>
      <c r="C8" s="8">
        <f t="shared" si="0"/>
        <v>7.5</v>
      </c>
      <c r="D8" s="10">
        <f t="shared" si="1"/>
        <v>23.024999999999999</v>
      </c>
      <c r="E8" s="7">
        <f>'[1]Production Summary'!O40</f>
        <v>7000000</v>
      </c>
      <c r="F8" s="8">
        <f t="shared" si="2"/>
        <v>7</v>
      </c>
      <c r="G8" s="10">
        <f t="shared" si="3"/>
        <v>21.49</v>
      </c>
      <c r="H8" s="7">
        <f>'[1]Production Summary'!Q40</f>
        <v>1630000</v>
      </c>
      <c r="I8" s="8">
        <f t="shared" si="15"/>
        <v>1.63</v>
      </c>
      <c r="J8" s="10">
        <f t="shared" si="4"/>
        <v>5.0040999999999993</v>
      </c>
      <c r="K8" s="7">
        <f>'[1]Production Summary'!T40</f>
        <v>0</v>
      </c>
      <c r="L8" s="8">
        <f>K8/10000000</f>
        <v>0</v>
      </c>
      <c r="M8" s="10">
        <f t="shared" si="6"/>
        <v>0</v>
      </c>
      <c r="N8" s="21"/>
      <c r="O8" s="7">
        <f>'[1]Production Summary'!J40</f>
        <v>5522050</v>
      </c>
      <c r="P8" s="8">
        <f t="shared" si="7"/>
        <v>5.5220500000000001</v>
      </c>
      <c r="Q8" s="10">
        <f t="shared" si="8"/>
        <v>16.952693499999999</v>
      </c>
      <c r="R8" s="7">
        <f>'[1]Production Summary'!AE40</f>
        <v>868126</v>
      </c>
      <c r="S8" s="8">
        <f t="shared" si="9"/>
        <v>0.86812599999999995</v>
      </c>
      <c r="T8" s="10">
        <f t="shared" si="10"/>
        <v>2.6651468199999999</v>
      </c>
      <c r="U8" s="7">
        <f>'[1]Production Summary'!AF40</f>
        <v>6436573</v>
      </c>
      <c r="V8" s="8">
        <f t="shared" si="11"/>
        <v>6.4365730000000001</v>
      </c>
      <c r="W8" s="10">
        <f t="shared" si="12"/>
        <v>19.760279109999999</v>
      </c>
      <c r="X8" s="7">
        <f>'[1]Production Summary'!AJ40</f>
        <v>110350</v>
      </c>
      <c r="Y8" s="8">
        <f t="shared" si="13"/>
        <v>0.11035</v>
      </c>
      <c r="Z8" s="10">
        <f t="shared" si="14"/>
        <v>0.33877449999999998</v>
      </c>
      <c r="AA8" s="15"/>
      <c r="AB8" s="7">
        <f t="shared" si="16"/>
        <v>13022050</v>
      </c>
      <c r="AC8" s="8">
        <f t="shared" si="16"/>
        <v>13.02205</v>
      </c>
      <c r="AD8" s="8">
        <f>D8+Q8</f>
        <v>39.977693500000001</v>
      </c>
    </row>
    <row r="9" spans="1:30" x14ac:dyDescent="0.25">
      <c r="A9" s="1">
        <v>43044</v>
      </c>
      <c r="B9" s="7">
        <f>'[1]Production Summary'!K41</f>
        <v>4469999.9999999702</v>
      </c>
      <c r="C9" s="8">
        <f t="shared" si="0"/>
        <v>4.4699999999999704</v>
      </c>
      <c r="D9" s="10">
        <f t="shared" si="1"/>
        <v>13.722899999999909</v>
      </c>
      <c r="E9" s="7">
        <f>'[1]Production Summary'!O41</f>
        <v>5000000</v>
      </c>
      <c r="F9" s="8">
        <f t="shared" si="2"/>
        <v>5</v>
      </c>
      <c r="G9" s="10">
        <f t="shared" si="3"/>
        <v>15.35</v>
      </c>
      <c r="H9" s="7">
        <f>'[1]Production Summary'!Q41</f>
        <v>10000</v>
      </c>
      <c r="I9" s="8">
        <f t="shared" si="15"/>
        <v>0.01</v>
      </c>
      <c r="J9" s="10">
        <f t="shared" si="4"/>
        <v>3.0699999999999998E-2</v>
      </c>
      <c r="K9" s="7">
        <f>'[1]Production Summary'!T41</f>
        <v>456300</v>
      </c>
      <c r="L9" s="8">
        <f t="shared" ref="L9:L34" si="17">K9/10000000</f>
        <v>4.5629999999999997E-2</v>
      </c>
      <c r="M9" s="10">
        <f t="shared" si="6"/>
        <v>0.14008409999999999</v>
      </c>
      <c r="N9" s="21"/>
      <c r="O9" s="7">
        <f>'[1]Production Summary'!J41</f>
        <v>11189790</v>
      </c>
      <c r="P9" s="8">
        <f t="shared" si="7"/>
        <v>11.18979</v>
      </c>
      <c r="Q9" s="10">
        <f t="shared" si="8"/>
        <v>34.352655300000002</v>
      </c>
      <c r="R9" s="7">
        <f>'[1]Production Summary'!AE41</f>
        <v>0</v>
      </c>
      <c r="S9" s="8">
        <f t="shared" si="9"/>
        <v>0</v>
      </c>
      <c r="T9" s="10">
        <f t="shared" si="10"/>
        <v>0</v>
      </c>
      <c r="U9" s="7">
        <f>'[1]Production Summary'!AF41</f>
        <v>12391175</v>
      </c>
      <c r="V9" s="8">
        <f t="shared" si="11"/>
        <v>12.391175</v>
      </c>
      <c r="W9" s="10">
        <f t="shared" si="12"/>
        <v>38.040907249999997</v>
      </c>
      <c r="X9" s="7">
        <f>'[1]Production Summary'!AJ41</f>
        <v>272410</v>
      </c>
      <c r="Y9" s="8">
        <f t="shared" si="13"/>
        <v>0.27240999999999999</v>
      </c>
      <c r="Z9" s="10">
        <f t="shared" si="14"/>
        <v>0.83629869999999995</v>
      </c>
      <c r="AA9" s="15"/>
      <c r="AB9" s="7">
        <f t="shared" si="16"/>
        <v>15659789.99999997</v>
      </c>
      <c r="AC9" s="8">
        <f t="shared" si="16"/>
        <v>15.659789999999971</v>
      </c>
      <c r="AD9" s="8">
        <f t="shared" si="16"/>
        <v>48.075555299999913</v>
      </c>
    </row>
    <row r="10" spans="1:30" x14ac:dyDescent="0.25">
      <c r="A10" s="1">
        <v>43045</v>
      </c>
      <c r="B10" s="7">
        <f>'[1]Production Summary'!K42</f>
        <v>5519999.9999999814</v>
      </c>
      <c r="C10" s="8">
        <f t="shared" si="0"/>
        <v>5.5199999999999818</v>
      </c>
      <c r="D10" s="10">
        <f t="shared" si="1"/>
        <v>16.946399999999944</v>
      </c>
      <c r="E10" s="7">
        <f>'[1]Production Summary'!O42</f>
        <v>6000000</v>
      </c>
      <c r="F10" s="8">
        <f t="shared" si="2"/>
        <v>6</v>
      </c>
      <c r="G10" s="10">
        <f t="shared" si="3"/>
        <v>18.419999999999998</v>
      </c>
      <c r="H10" s="7">
        <f>'[1]Production Summary'!Q42</f>
        <v>0</v>
      </c>
      <c r="I10" s="8">
        <f t="shared" si="15"/>
        <v>0</v>
      </c>
      <c r="J10" s="10">
        <f t="shared" si="4"/>
        <v>0</v>
      </c>
      <c r="K10" s="7">
        <f>'[1]Production Summary'!T42</f>
        <v>476448</v>
      </c>
      <c r="L10" s="8">
        <f t="shared" si="17"/>
        <v>4.7644800000000001E-2</v>
      </c>
      <c r="M10" s="10">
        <f t="shared" si="6"/>
        <v>0.14626953600000001</v>
      </c>
      <c r="N10" s="21"/>
      <c r="O10" s="7">
        <f>'[1]Production Summary'!J42</f>
        <v>11413109</v>
      </c>
      <c r="P10" s="8">
        <f t="shared" si="7"/>
        <v>11.413109</v>
      </c>
      <c r="Q10" s="10">
        <f t="shared" si="8"/>
        <v>35.038244630000001</v>
      </c>
      <c r="R10" s="7">
        <f>'[1]Production Summary'!AE42</f>
        <v>0</v>
      </c>
      <c r="S10" s="8">
        <f t="shared" si="9"/>
        <v>0</v>
      </c>
      <c r="T10" s="10">
        <f t="shared" si="10"/>
        <v>0</v>
      </c>
      <c r="U10" s="7">
        <f>'[1]Production Summary'!AF42</f>
        <v>11622538</v>
      </c>
      <c r="V10" s="8">
        <f t="shared" si="11"/>
        <v>11.622538</v>
      </c>
      <c r="W10" s="10">
        <f t="shared" si="12"/>
        <v>35.681191659999996</v>
      </c>
      <c r="X10" s="7">
        <f>'[1]Production Summary'!AJ42</f>
        <v>0</v>
      </c>
      <c r="Y10" s="8">
        <f t="shared" si="13"/>
        <v>0</v>
      </c>
      <c r="Z10" s="10">
        <f t="shared" si="14"/>
        <v>0</v>
      </c>
      <c r="AA10" s="15"/>
      <c r="AB10" s="7">
        <f t="shared" si="16"/>
        <v>16933108.999999981</v>
      </c>
      <c r="AC10" s="8">
        <f t="shared" si="16"/>
        <v>16.93310899999998</v>
      </c>
      <c r="AD10" s="8">
        <f t="shared" si="16"/>
        <v>51.984644629999949</v>
      </c>
    </row>
    <row r="11" spans="1:30" x14ac:dyDescent="0.25">
      <c r="A11" s="1">
        <v>43046</v>
      </c>
      <c r="B11" s="7">
        <f>'[1]Production Summary'!K43</f>
        <v>4490000.0000000093</v>
      </c>
      <c r="C11" s="8">
        <f t="shared" si="0"/>
        <v>4.4900000000000091</v>
      </c>
      <c r="D11" s="10">
        <f t="shared" si="1"/>
        <v>13.784300000000027</v>
      </c>
      <c r="E11" s="7">
        <f>'[1]Production Summary'!O43</f>
        <v>5000000</v>
      </c>
      <c r="F11" s="8">
        <f t="shared" si="2"/>
        <v>5</v>
      </c>
      <c r="G11" s="10">
        <f t="shared" si="3"/>
        <v>15.35</v>
      </c>
      <c r="H11" s="7">
        <f>'[1]Production Summary'!Q43</f>
        <v>10000</v>
      </c>
      <c r="I11" s="8">
        <f t="shared" si="15"/>
        <v>0.01</v>
      </c>
      <c r="J11" s="10">
        <f t="shared" si="4"/>
        <v>3.0699999999999998E-2</v>
      </c>
      <c r="K11" s="7">
        <f>'[1]Production Summary'!T43</f>
        <v>526490</v>
      </c>
      <c r="L11" s="8">
        <f t="shared" si="17"/>
        <v>5.2649000000000001E-2</v>
      </c>
      <c r="M11" s="10">
        <f t="shared" si="6"/>
        <v>0.16163242999999999</v>
      </c>
      <c r="N11" s="21"/>
      <c r="O11" s="7">
        <f>'[1]Production Summary'!J43</f>
        <v>6388593</v>
      </c>
      <c r="P11" s="8">
        <f t="shared" si="7"/>
        <v>6.3885930000000002</v>
      </c>
      <c r="Q11" s="10">
        <f t="shared" si="8"/>
        <v>19.61298051</v>
      </c>
      <c r="R11" s="7">
        <f>'[1]Production Summary'!AE43</f>
        <v>0</v>
      </c>
      <c r="S11" s="8">
        <f t="shared" si="9"/>
        <v>0</v>
      </c>
      <c r="T11" s="10">
        <f t="shared" si="10"/>
        <v>0</v>
      </c>
      <c r="U11" s="7">
        <f>'[1]Production Summary'!AF43</f>
        <v>7029072</v>
      </c>
      <c r="V11" s="8">
        <f t="shared" si="11"/>
        <v>7.0290720000000002</v>
      </c>
      <c r="W11" s="10">
        <f t="shared" si="12"/>
        <v>21.579251039999999</v>
      </c>
      <c r="X11" s="7">
        <f>'[1]Production Summary'!AJ43</f>
        <v>162861</v>
      </c>
      <c r="Y11" s="8">
        <f t="shared" si="13"/>
        <v>0.16286100000000001</v>
      </c>
      <c r="Z11" s="10">
        <f t="shared" si="14"/>
        <v>0.49998326999999998</v>
      </c>
      <c r="AA11" s="15"/>
      <c r="AB11" s="7">
        <f t="shared" si="16"/>
        <v>10878593.000000009</v>
      </c>
      <c r="AC11" s="8">
        <f t="shared" si="16"/>
        <v>10.878593000000009</v>
      </c>
      <c r="AD11" s="8">
        <f t="shared" si="16"/>
        <v>33.39728051000003</v>
      </c>
    </row>
    <row r="12" spans="1:30" x14ac:dyDescent="0.25">
      <c r="A12" s="1">
        <v>43047</v>
      </c>
      <c r="B12" s="7">
        <f>'[1]Production Summary'!K44</f>
        <v>4759999.9999999907</v>
      </c>
      <c r="C12" s="8">
        <f t="shared" si="0"/>
        <v>4.7599999999999909</v>
      </c>
      <c r="D12" s="10">
        <f t="shared" si="1"/>
        <v>14.613199999999971</v>
      </c>
      <c r="E12" s="7">
        <f>'[1]Production Summary'!O44</f>
        <v>6000000</v>
      </c>
      <c r="F12" s="8">
        <f t="shared" si="2"/>
        <v>6</v>
      </c>
      <c r="G12" s="10">
        <f t="shared" si="3"/>
        <v>18.419999999999998</v>
      </c>
      <c r="H12" s="7">
        <f>'[1]Production Summary'!Q44</f>
        <v>0</v>
      </c>
      <c r="I12" s="8">
        <f t="shared" si="15"/>
        <v>0</v>
      </c>
      <c r="J12" s="10">
        <f t="shared" si="4"/>
        <v>0</v>
      </c>
      <c r="K12" s="7">
        <f>'[1]Production Summary'!T44</f>
        <v>522723</v>
      </c>
      <c r="L12" s="8">
        <f t="shared" si="17"/>
        <v>5.2272300000000001E-2</v>
      </c>
      <c r="M12" s="10">
        <f t="shared" si="6"/>
        <v>0.160475961</v>
      </c>
      <c r="N12" s="21"/>
      <c r="O12" s="7">
        <f>'[1]Production Summary'!J44</f>
        <v>5654586</v>
      </c>
      <c r="P12" s="8">
        <f t="shared" si="7"/>
        <v>5.6545860000000001</v>
      </c>
      <c r="Q12" s="10">
        <f t="shared" si="8"/>
        <v>17.359579019999998</v>
      </c>
      <c r="R12" s="7">
        <f>'[1]Production Summary'!AE44</f>
        <v>0</v>
      </c>
      <c r="S12" s="8">
        <f t="shared" si="9"/>
        <v>0</v>
      </c>
      <c r="T12" s="10">
        <f t="shared" si="10"/>
        <v>0</v>
      </c>
      <c r="U12" s="7">
        <f>'[1]Production Summary'!AF44</f>
        <v>5994447</v>
      </c>
      <c r="V12" s="8">
        <f t="shared" si="11"/>
        <v>5.9944470000000001</v>
      </c>
      <c r="W12" s="10">
        <f t="shared" si="12"/>
        <v>18.402952289999998</v>
      </c>
      <c r="X12" s="7">
        <f>'[1]Production Summary'!AJ44</f>
        <v>286143</v>
      </c>
      <c r="Y12" s="8">
        <f t="shared" si="13"/>
        <v>0.28614299999999998</v>
      </c>
      <c r="Z12" s="10">
        <f t="shared" si="14"/>
        <v>0.87845900999999993</v>
      </c>
      <c r="AA12" s="15"/>
      <c r="AB12" s="7">
        <f t="shared" si="16"/>
        <v>10414585.999999991</v>
      </c>
      <c r="AC12" s="8">
        <f t="shared" si="16"/>
        <v>10.414585999999991</v>
      </c>
      <c r="AD12" s="8">
        <f t="shared" si="16"/>
        <v>31.972779019999969</v>
      </c>
    </row>
    <row r="13" spans="1:30" x14ac:dyDescent="0.25">
      <c r="A13" s="1">
        <v>43048</v>
      </c>
      <c r="B13" s="7">
        <f>'[1]Production Summary'!K45</f>
        <v>6000000</v>
      </c>
      <c r="C13" s="8">
        <f t="shared" si="0"/>
        <v>6</v>
      </c>
      <c r="D13" s="10">
        <f t="shared" si="1"/>
        <v>18.419999999999998</v>
      </c>
      <c r="E13" s="7">
        <f>'[1]Production Summary'!O45</f>
        <v>6000000</v>
      </c>
      <c r="F13" s="8">
        <f t="shared" si="2"/>
        <v>6</v>
      </c>
      <c r="G13" s="10">
        <f t="shared" si="3"/>
        <v>18.419999999999998</v>
      </c>
      <c r="H13" s="7">
        <f>'[1]Production Summary'!Q45</f>
        <v>460000</v>
      </c>
      <c r="I13" s="8">
        <f t="shared" si="15"/>
        <v>0.46</v>
      </c>
      <c r="J13" s="10">
        <f t="shared" si="4"/>
        <v>1.4121999999999999</v>
      </c>
      <c r="K13" s="7">
        <f>'[1]Production Summary'!T45</f>
        <v>518345</v>
      </c>
      <c r="L13" s="8">
        <f t="shared" si="17"/>
        <v>5.1834499999999999E-2</v>
      </c>
      <c r="M13" s="10">
        <f t="shared" si="6"/>
        <v>0.15913191499999998</v>
      </c>
      <c r="N13" s="21"/>
      <c r="O13" s="7">
        <f>'[1]Production Summary'!J45</f>
        <v>4538233</v>
      </c>
      <c r="P13" s="8">
        <f t="shared" si="7"/>
        <v>4.538233</v>
      </c>
      <c r="Q13" s="10">
        <f t="shared" si="8"/>
        <v>13.932375309999999</v>
      </c>
      <c r="R13" s="7">
        <f>'[1]Production Summary'!AE45</f>
        <v>0</v>
      </c>
      <c r="S13" s="8">
        <f t="shared" si="9"/>
        <v>0</v>
      </c>
      <c r="T13" s="10">
        <f t="shared" si="10"/>
        <v>0</v>
      </c>
      <c r="U13" s="7">
        <f>'[1]Production Summary'!AF45</f>
        <v>5621671</v>
      </c>
      <c r="V13" s="8">
        <f t="shared" si="11"/>
        <v>5.6216710000000001</v>
      </c>
      <c r="W13" s="10">
        <f t="shared" si="12"/>
        <v>17.258529969999998</v>
      </c>
      <c r="X13" s="7">
        <f>'[1]Production Summary'!AJ45</f>
        <v>22238</v>
      </c>
      <c r="Y13" s="8">
        <f t="shared" si="13"/>
        <v>2.2238000000000001E-2</v>
      </c>
      <c r="Z13" s="10">
        <f t="shared" si="14"/>
        <v>6.8270659999999997E-2</v>
      </c>
      <c r="AA13" s="15"/>
      <c r="AB13" s="7">
        <f t="shared" si="16"/>
        <v>10538233</v>
      </c>
      <c r="AC13" s="8">
        <f t="shared" si="16"/>
        <v>10.538233</v>
      </c>
      <c r="AD13" s="8">
        <f t="shared" si="16"/>
        <v>32.352375309999999</v>
      </c>
    </row>
    <row r="14" spans="1:30" x14ac:dyDescent="0.25">
      <c r="A14" s="1">
        <v>43049</v>
      </c>
      <c r="B14" s="7">
        <f>'[1]Production Summary'!K46</f>
        <v>8910000.0000000242</v>
      </c>
      <c r="C14" s="8">
        <f t="shared" si="0"/>
        <v>8.910000000000025</v>
      </c>
      <c r="D14" s="10">
        <f t="shared" si="1"/>
        <v>27.353700000000075</v>
      </c>
      <c r="E14" s="7">
        <f>'[1]Production Summary'!O46</f>
        <v>10000000</v>
      </c>
      <c r="F14" s="8">
        <f t="shared" si="2"/>
        <v>10</v>
      </c>
      <c r="G14" s="10">
        <f t="shared" si="3"/>
        <v>30.7</v>
      </c>
      <c r="H14" s="7">
        <f>'[1]Production Summary'!Q46</f>
        <v>0</v>
      </c>
      <c r="I14" s="8">
        <f t="shared" si="15"/>
        <v>0</v>
      </c>
      <c r="J14" s="10">
        <f t="shared" si="4"/>
        <v>0</v>
      </c>
      <c r="K14" s="7">
        <f>'[1]Production Summary'!T46</f>
        <v>610654</v>
      </c>
      <c r="L14" s="8">
        <f t="shared" si="17"/>
        <v>6.1065399999999999E-2</v>
      </c>
      <c r="M14" s="10">
        <f t="shared" si="6"/>
        <v>0.18747077799999998</v>
      </c>
      <c r="N14" s="21"/>
      <c r="O14" s="7">
        <f>'[1]Production Summary'!J46</f>
        <v>3773701</v>
      </c>
      <c r="P14" s="8">
        <f t="shared" si="7"/>
        <v>3.773701</v>
      </c>
      <c r="Q14" s="10">
        <f t="shared" si="8"/>
        <v>11.585262069999999</v>
      </c>
      <c r="R14" s="7">
        <f>'[1]Production Summary'!AE46</f>
        <v>0</v>
      </c>
      <c r="S14" s="8">
        <f t="shared" si="9"/>
        <v>0</v>
      </c>
      <c r="T14" s="10">
        <f t="shared" si="10"/>
        <v>0</v>
      </c>
      <c r="U14" s="7">
        <f>'[1]Production Summary'!AF46</f>
        <v>4799519</v>
      </c>
      <c r="V14" s="8">
        <f t="shared" si="11"/>
        <v>4.7995190000000001</v>
      </c>
      <c r="W14" s="10">
        <f t="shared" si="12"/>
        <v>14.73452333</v>
      </c>
      <c r="X14" s="7">
        <f>'[1]Production Summary'!AJ46</f>
        <v>311005</v>
      </c>
      <c r="Y14" s="8">
        <f t="shared" si="13"/>
        <v>0.31100499999999998</v>
      </c>
      <c r="Z14" s="10">
        <f t="shared" si="14"/>
        <v>0.95478534999999987</v>
      </c>
      <c r="AA14" s="15"/>
      <c r="AB14" s="7">
        <f t="shared" si="16"/>
        <v>12683701.000000024</v>
      </c>
      <c r="AC14" s="8">
        <f t="shared" si="16"/>
        <v>12.683701000000024</v>
      </c>
      <c r="AD14" s="8">
        <f t="shared" si="16"/>
        <v>38.938962070000073</v>
      </c>
    </row>
    <row r="15" spans="1:30" x14ac:dyDescent="0.25">
      <c r="A15" s="1">
        <v>43050</v>
      </c>
      <c r="B15" s="7">
        <f>'[1]Production Summary'!K47</f>
        <v>9269999.9999999814</v>
      </c>
      <c r="C15" s="8">
        <f t="shared" si="0"/>
        <v>9.2699999999999818</v>
      </c>
      <c r="D15" s="10">
        <f t="shared" si="1"/>
        <v>28.458899999999943</v>
      </c>
      <c r="E15" s="7">
        <f>'[1]Production Summary'!O47</f>
        <v>11000000</v>
      </c>
      <c r="F15" s="8">
        <f t="shared" si="2"/>
        <v>11</v>
      </c>
      <c r="G15" s="10">
        <f t="shared" si="3"/>
        <v>33.769999999999996</v>
      </c>
      <c r="H15" s="7">
        <f>'[1]Production Summary'!Q47</f>
        <v>0</v>
      </c>
      <c r="I15" s="8">
        <f t="shared" si="15"/>
        <v>0</v>
      </c>
      <c r="J15" s="10">
        <f t="shared" si="4"/>
        <v>0</v>
      </c>
      <c r="K15" s="7">
        <f>'[1]Production Summary'!T47</f>
        <v>0</v>
      </c>
      <c r="L15" s="8">
        <f t="shared" si="17"/>
        <v>0</v>
      </c>
      <c r="M15" s="10">
        <f t="shared" si="6"/>
        <v>0</v>
      </c>
      <c r="N15" s="21"/>
      <c r="O15" s="7">
        <f>'[1]Production Summary'!J47</f>
        <v>4986714</v>
      </c>
      <c r="P15" s="8">
        <f t="shared" si="7"/>
        <v>4.9867140000000001</v>
      </c>
      <c r="Q15" s="10">
        <f t="shared" si="8"/>
        <v>15.309211979999999</v>
      </c>
      <c r="R15" s="7">
        <f>'[1]Production Summary'!AE47</f>
        <v>0</v>
      </c>
      <c r="S15" s="8">
        <f t="shared" si="9"/>
        <v>0</v>
      </c>
      <c r="T15" s="10">
        <f t="shared" si="10"/>
        <v>0</v>
      </c>
      <c r="U15" s="7">
        <f>'[1]Production Summary'!AF47</f>
        <v>5002269</v>
      </c>
      <c r="V15" s="8">
        <f t="shared" si="11"/>
        <v>5.0022690000000001</v>
      </c>
      <c r="W15" s="10">
        <f t="shared" si="12"/>
        <v>15.35696583</v>
      </c>
      <c r="X15" s="7">
        <f>'[1]Production Summary'!AJ47</f>
        <v>25555</v>
      </c>
      <c r="Y15" s="8">
        <f t="shared" si="13"/>
        <v>2.5555000000000001E-2</v>
      </c>
      <c r="Z15" s="10">
        <f t="shared" si="14"/>
        <v>7.8453850000000006E-2</v>
      </c>
      <c r="AA15" s="15"/>
      <c r="AB15" s="7">
        <f t="shared" si="16"/>
        <v>14256713.999999981</v>
      </c>
      <c r="AC15" s="8">
        <f t="shared" si="16"/>
        <v>14.256713999999981</v>
      </c>
      <c r="AD15" s="8">
        <f t="shared" si="16"/>
        <v>43.768111979999944</v>
      </c>
    </row>
    <row r="16" spans="1:30" x14ac:dyDescent="0.25">
      <c r="A16" s="1">
        <v>43051</v>
      </c>
      <c r="B16" s="7">
        <f>'[1]Production Summary'!K48</f>
        <v>5030000.0000000298</v>
      </c>
      <c r="C16" s="8">
        <f t="shared" si="0"/>
        <v>5.0300000000000296</v>
      </c>
      <c r="D16" s="10">
        <f t="shared" si="1"/>
        <v>15.442100000000091</v>
      </c>
      <c r="E16" s="7">
        <f>'[1]Production Summary'!O48</f>
        <v>6000000</v>
      </c>
      <c r="F16" s="8">
        <f t="shared" si="2"/>
        <v>6</v>
      </c>
      <c r="G16" s="10">
        <f t="shared" si="3"/>
        <v>18.419999999999998</v>
      </c>
      <c r="H16" s="7">
        <f>'[1]Production Summary'!Q48</f>
        <v>0</v>
      </c>
      <c r="I16" s="8">
        <f t="shared" si="15"/>
        <v>0</v>
      </c>
      <c r="J16" s="10">
        <f t="shared" si="4"/>
        <v>0</v>
      </c>
      <c r="K16" s="7">
        <f>'[1]Production Summary'!T48</f>
        <v>566093</v>
      </c>
      <c r="L16" s="8">
        <f t="shared" si="17"/>
        <v>5.6609300000000001E-2</v>
      </c>
      <c r="M16" s="10">
        <f t="shared" si="6"/>
        <v>0.17379055099999999</v>
      </c>
      <c r="N16" s="21"/>
      <c r="O16" s="7">
        <f>'[1]Production Summary'!J48</f>
        <v>5273819</v>
      </c>
      <c r="P16" s="8">
        <f t="shared" si="7"/>
        <v>5.2738189999999996</v>
      </c>
      <c r="Q16" s="10">
        <f t="shared" si="8"/>
        <v>16.190624329999999</v>
      </c>
      <c r="R16" s="7">
        <f>'[1]Production Summary'!AE48</f>
        <v>0</v>
      </c>
      <c r="S16" s="8">
        <f t="shared" si="9"/>
        <v>0</v>
      </c>
      <c r="T16" s="10">
        <f t="shared" si="10"/>
        <v>0</v>
      </c>
      <c r="U16" s="7">
        <f>'[1]Production Summary'!AF48</f>
        <v>5994131</v>
      </c>
      <c r="V16" s="8">
        <f t="shared" si="11"/>
        <v>5.9941310000000003</v>
      </c>
      <c r="W16" s="10">
        <f t="shared" si="12"/>
        <v>18.40198217</v>
      </c>
      <c r="X16" s="7">
        <f>'[1]Production Summary'!AJ48</f>
        <v>37171</v>
      </c>
      <c r="Y16" s="8">
        <f t="shared" si="13"/>
        <v>3.7171000000000003E-2</v>
      </c>
      <c r="Z16" s="10">
        <f t="shared" si="14"/>
        <v>0.11411497</v>
      </c>
      <c r="AA16" s="15"/>
      <c r="AB16" s="7">
        <f t="shared" si="16"/>
        <v>10303819.00000003</v>
      </c>
      <c r="AC16" s="8">
        <f t="shared" si="16"/>
        <v>10.303819000000029</v>
      </c>
      <c r="AD16" s="8">
        <f t="shared" si="16"/>
        <v>31.632724330000087</v>
      </c>
    </row>
    <row r="17" spans="1:30" x14ac:dyDescent="0.25">
      <c r="A17" s="1">
        <v>43052</v>
      </c>
      <c r="B17" s="7">
        <f>'[1]Production Summary'!K49</f>
        <v>9490000.0000000093</v>
      </c>
      <c r="C17" s="8">
        <f t="shared" si="0"/>
        <v>9.4900000000000091</v>
      </c>
      <c r="D17" s="10">
        <f t="shared" si="1"/>
        <v>29.134300000000028</v>
      </c>
      <c r="E17" s="7">
        <f>'[1]Production Summary'!O49</f>
        <v>6000000</v>
      </c>
      <c r="F17" s="8">
        <f t="shared" si="2"/>
        <v>6</v>
      </c>
      <c r="G17" s="10">
        <f t="shared" si="3"/>
        <v>18.419999999999998</v>
      </c>
      <c r="H17" s="7">
        <f>'[1]Production Summary'!Q49</f>
        <v>0</v>
      </c>
      <c r="I17" s="8">
        <f t="shared" si="15"/>
        <v>0</v>
      </c>
      <c r="J17" s="10">
        <f t="shared" si="4"/>
        <v>0</v>
      </c>
      <c r="K17" s="7">
        <f>'[1]Production Summary'!T49</f>
        <v>731621</v>
      </c>
      <c r="L17" s="8">
        <f t="shared" si="17"/>
        <v>7.3162099999999994E-2</v>
      </c>
      <c r="M17" s="10">
        <f t="shared" si="6"/>
        <v>0.22460764699999997</v>
      </c>
      <c r="N17" s="21"/>
      <c r="O17" s="7">
        <f>'[1]Production Summary'!J49</f>
        <v>3560952</v>
      </c>
      <c r="P17" s="8">
        <f t="shared" ref="P17:P34" si="18">O17/1000000</f>
        <v>3.5609519999999999</v>
      </c>
      <c r="Q17" s="10">
        <f t="shared" si="8"/>
        <v>10.932122639999999</v>
      </c>
      <c r="R17" s="7">
        <f>'[1]Production Summary'!AE49</f>
        <v>0</v>
      </c>
      <c r="S17" s="8">
        <f t="shared" si="9"/>
        <v>0</v>
      </c>
      <c r="T17" s="10">
        <f t="shared" si="10"/>
        <v>0</v>
      </c>
      <c r="U17" s="7">
        <f>'[1]Production Summary'!AF49</f>
        <v>4064213</v>
      </c>
      <c r="V17" s="8">
        <f t="shared" si="11"/>
        <v>4.0642129999999996</v>
      </c>
      <c r="W17" s="10">
        <f t="shared" si="12"/>
        <v>12.477133909999997</v>
      </c>
      <c r="X17" s="7">
        <f>'[1]Production Summary'!AJ49</f>
        <v>191070</v>
      </c>
      <c r="Y17" s="8">
        <f t="shared" si="13"/>
        <v>0.19106999999999999</v>
      </c>
      <c r="Z17" s="10">
        <f t="shared" si="14"/>
        <v>0.58658489999999996</v>
      </c>
      <c r="AA17" s="15"/>
      <c r="AB17" s="7">
        <f t="shared" si="16"/>
        <v>13050952.000000009</v>
      </c>
      <c r="AC17" s="8">
        <f t="shared" si="16"/>
        <v>13.050952000000009</v>
      </c>
      <c r="AD17" s="8">
        <f t="shared" si="16"/>
        <v>40.066422640000027</v>
      </c>
    </row>
    <row r="18" spans="1:30" x14ac:dyDescent="0.25">
      <c r="A18" s="1">
        <v>43053</v>
      </c>
      <c r="B18" s="7">
        <f>'[1]Production Summary'!K50</f>
        <v>6579999.9999999274</v>
      </c>
      <c r="C18" s="8">
        <f t="shared" si="0"/>
        <v>6.5799999999999272</v>
      </c>
      <c r="D18" s="10">
        <f t="shared" si="1"/>
        <v>20.200599999999774</v>
      </c>
      <c r="E18" s="7">
        <f>'[1]Production Summary'!O50</f>
        <v>7000000</v>
      </c>
      <c r="F18" s="8">
        <f t="shared" si="2"/>
        <v>7</v>
      </c>
      <c r="G18" s="10">
        <f t="shared" si="3"/>
        <v>21.49</v>
      </c>
      <c r="H18" s="7">
        <f>'[1]Production Summary'!Q50</f>
        <v>0</v>
      </c>
      <c r="I18" s="8">
        <f t="shared" si="15"/>
        <v>0</v>
      </c>
      <c r="J18" s="10">
        <f t="shared" si="4"/>
        <v>0</v>
      </c>
      <c r="K18" s="7">
        <f>'[1]Production Summary'!T50</f>
        <v>847162</v>
      </c>
      <c r="L18" s="8">
        <f t="shared" si="17"/>
        <v>8.4716200000000005E-2</v>
      </c>
      <c r="M18" s="10">
        <f t="shared" si="6"/>
        <v>0.26007873399999998</v>
      </c>
      <c r="N18" s="21"/>
      <c r="O18" s="7">
        <f>'[1]Production Summary'!J50</f>
        <v>6536982</v>
      </c>
      <c r="P18" s="8">
        <f t="shared" si="18"/>
        <v>6.5369820000000001</v>
      </c>
      <c r="Q18" s="10">
        <f t="shared" si="8"/>
        <v>20.06853474</v>
      </c>
      <c r="R18" s="7">
        <f>'[1]Production Summary'!AE50</f>
        <v>0</v>
      </c>
      <c r="S18" s="8">
        <f t="shared" ref="S18:S34" si="19">R18/1000000</f>
        <v>0</v>
      </c>
      <c r="T18" s="10">
        <f t="shared" si="10"/>
        <v>0</v>
      </c>
      <c r="U18" s="7">
        <f>'[1]Production Summary'!AF50</f>
        <v>6483306</v>
      </c>
      <c r="V18" s="8">
        <f t="shared" si="11"/>
        <v>6.4833059999999998</v>
      </c>
      <c r="W18" s="10">
        <f t="shared" si="12"/>
        <v>19.903749419999997</v>
      </c>
      <c r="X18" s="7">
        <f>'[1]Production Summary'!AJ50</f>
        <v>0</v>
      </c>
      <c r="Y18" s="8">
        <f t="shared" si="13"/>
        <v>0</v>
      </c>
      <c r="Z18" s="10">
        <f t="shared" si="14"/>
        <v>0</v>
      </c>
      <c r="AA18" s="15"/>
      <c r="AB18" s="7">
        <f t="shared" si="16"/>
        <v>13116981.999999927</v>
      </c>
      <c r="AC18" s="8">
        <f t="shared" si="16"/>
        <v>13.116981999999927</v>
      </c>
      <c r="AD18" s="8">
        <f t="shared" si="16"/>
        <v>40.269134739999771</v>
      </c>
    </row>
    <row r="19" spans="1:30" x14ac:dyDescent="0.25">
      <c r="A19" s="1">
        <v>43054</v>
      </c>
      <c r="B19" s="7">
        <f>'[1]Production Summary'!K51</f>
        <v>5600000.0000000224</v>
      </c>
      <c r="C19" s="8">
        <f t="shared" si="0"/>
        <v>5.6000000000000227</v>
      </c>
      <c r="D19" s="10">
        <f t="shared" si="1"/>
        <v>17.192000000000068</v>
      </c>
      <c r="E19" s="7">
        <f>'[1]Production Summary'!O51</f>
        <v>7000000</v>
      </c>
      <c r="F19" s="8">
        <f t="shared" si="2"/>
        <v>7</v>
      </c>
      <c r="G19" s="10">
        <f t="shared" si="3"/>
        <v>21.49</v>
      </c>
      <c r="H19" s="7">
        <f>'[1]Production Summary'!Q51</f>
        <v>0</v>
      </c>
      <c r="I19" s="8">
        <f t="shared" si="15"/>
        <v>0</v>
      </c>
      <c r="J19" s="10">
        <f t="shared" si="4"/>
        <v>0</v>
      </c>
      <c r="K19" s="7">
        <f>'[1]Production Summary'!T51</f>
        <v>501524</v>
      </c>
      <c r="L19" s="8">
        <f t="shared" si="17"/>
        <v>5.01524E-2</v>
      </c>
      <c r="M19" s="10">
        <f t="shared" si="6"/>
        <v>0.15396786799999998</v>
      </c>
      <c r="N19" s="21"/>
      <c r="O19" s="7">
        <f>'[1]Production Summary'!J51</f>
        <v>5780316</v>
      </c>
      <c r="P19" s="8">
        <f t="shared" si="18"/>
        <v>5.780316</v>
      </c>
      <c r="Q19" s="10">
        <f t="shared" si="8"/>
        <v>17.74557012</v>
      </c>
      <c r="R19" s="7">
        <f>'[1]Production Summary'!AE51</f>
        <v>0</v>
      </c>
      <c r="S19" s="8">
        <f t="shared" si="19"/>
        <v>0</v>
      </c>
      <c r="T19" s="10">
        <f t="shared" si="10"/>
        <v>0</v>
      </c>
      <c r="U19" s="7">
        <f>'[1]Production Summary'!AF51</f>
        <v>6482269</v>
      </c>
      <c r="V19" s="8">
        <f t="shared" si="11"/>
        <v>6.4822689999999996</v>
      </c>
      <c r="W19" s="10">
        <f t="shared" si="12"/>
        <v>19.900565829999998</v>
      </c>
      <c r="X19" s="7">
        <f>'[1]Production Summary'!AJ51</f>
        <v>107662</v>
      </c>
      <c r="Y19" s="8">
        <f t="shared" si="13"/>
        <v>0.10766199999999999</v>
      </c>
      <c r="Z19" s="10">
        <f t="shared" si="14"/>
        <v>0.33052233999999997</v>
      </c>
      <c r="AA19" s="15"/>
      <c r="AB19" s="7">
        <f t="shared" si="16"/>
        <v>11380316.000000022</v>
      </c>
      <c r="AC19" s="8">
        <f t="shared" si="16"/>
        <v>11.380316000000022</v>
      </c>
      <c r="AD19" s="8">
        <f>D19+Q19</f>
        <v>34.937570120000068</v>
      </c>
    </row>
    <row r="20" spans="1:30" x14ac:dyDescent="0.25">
      <c r="A20" s="1">
        <v>43055</v>
      </c>
      <c r="B20" s="7">
        <f>'[1]Production Summary'!K52</f>
        <v>5600000.0000000224</v>
      </c>
      <c r="C20" s="8">
        <f t="shared" si="0"/>
        <v>5.6000000000000227</v>
      </c>
      <c r="D20" s="10">
        <f t="shared" si="1"/>
        <v>17.192000000000068</v>
      </c>
      <c r="E20" s="7">
        <f>'[1]Production Summary'!O52</f>
        <v>6000000</v>
      </c>
      <c r="F20" s="8">
        <f t="shared" si="2"/>
        <v>6</v>
      </c>
      <c r="G20" s="10">
        <f t="shared" si="3"/>
        <v>18.419999999999998</v>
      </c>
      <c r="H20" s="7">
        <f>'[1]Production Summary'!Q52</f>
        <v>4360000</v>
      </c>
      <c r="I20" s="8">
        <f t="shared" si="15"/>
        <v>4.3600000000000003</v>
      </c>
      <c r="J20" s="10">
        <f t="shared" si="4"/>
        <v>13.385200000000001</v>
      </c>
      <c r="K20" s="7">
        <f>'[1]Production Summary'!T52</f>
        <v>700166</v>
      </c>
      <c r="L20" s="8">
        <f t="shared" si="17"/>
        <v>7.0016599999999998E-2</v>
      </c>
      <c r="M20" s="10">
        <f t="shared" si="6"/>
        <v>0.214950962</v>
      </c>
      <c r="N20" s="21"/>
      <c r="O20" s="7">
        <f>'[1]Production Summary'!J52</f>
        <v>6258646</v>
      </c>
      <c r="P20" s="8">
        <f t="shared" si="18"/>
        <v>6.2586459999999997</v>
      </c>
      <c r="Q20" s="10">
        <f t="shared" si="8"/>
        <v>19.214043219999997</v>
      </c>
      <c r="R20" s="7">
        <f>'[1]Production Summary'!AE52</f>
        <v>0</v>
      </c>
      <c r="S20" s="8">
        <f t="shared" si="19"/>
        <v>0</v>
      </c>
      <c r="T20" s="10">
        <f t="shared" si="10"/>
        <v>0</v>
      </c>
      <c r="U20" s="7">
        <f>'[1]Production Summary'!AF52</f>
        <v>6485877</v>
      </c>
      <c r="V20" s="8">
        <f t="shared" si="11"/>
        <v>6.4858770000000003</v>
      </c>
      <c r="W20" s="10">
        <f t="shared" si="12"/>
        <v>19.911642390000001</v>
      </c>
      <c r="X20" s="7">
        <f>'[1]Production Summary'!AJ52</f>
        <v>224165</v>
      </c>
      <c r="Y20" s="8">
        <f t="shared" si="13"/>
        <v>0.224165</v>
      </c>
      <c r="Z20" s="10">
        <f t="shared" si="14"/>
        <v>0.68818654999999995</v>
      </c>
      <c r="AA20" s="15"/>
      <c r="AB20" s="7">
        <f t="shared" si="16"/>
        <v>11858646.000000022</v>
      </c>
      <c r="AC20" s="8">
        <f t="shared" si="16"/>
        <v>11.858646000000022</v>
      </c>
      <c r="AD20" s="8">
        <f t="shared" si="16"/>
        <v>36.406043220000065</v>
      </c>
    </row>
    <row r="21" spans="1:30" x14ac:dyDescent="0.25">
      <c r="A21" s="1">
        <v>43056</v>
      </c>
      <c r="B21" s="7">
        <f>'[1]Production Summary'!K53</f>
        <v>7090000.0000000317</v>
      </c>
      <c r="C21" s="8">
        <f t="shared" si="0"/>
        <v>7.0900000000000318</v>
      </c>
      <c r="D21" s="10">
        <f t="shared" si="1"/>
        <v>21.766300000000097</v>
      </c>
      <c r="E21" s="7">
        <f>'[1]Production Summary'!O53</f>
        <v>9000000</v>
      </c>
      <c r="F21" s="8">
        <f t="shared" si="2"/>
        <v>9</v>
      </c>
      <c r="G21" s="10">
        <f t="shared" si="3"/>
        <v>27.63</v>
      </c>
      <c r="H21" s="7">
        <f>'[1]Production Summary'!Q53</f>
        <v>0</v>
      </c>
      <c r="I21" s="8">
        <f t="shared" si="15"/>
        <v>0</v>
      </c>
      <c r="J21" s="10">
        <f t="shared" si="4"/>
        <v>0</v>
      </c>
      <c r="K21" s="7">
        <f>'[1]Production Summary'!T53</f>
        <v>773003</v>
      </c>
      <c r="L21" s="8">
        <f t="shared" si="17"/>
        <v>7.7300300000000002E-2</v>
      </c>
      <c r="M21" s="10">
        <f t="shared" si="6"/>
        <v>0.23731192099999998</v>
      </c>
      <c r="N21" s="21"/>
      <c r="O21" s="7">
        <f>'[1]Production Summary'!J53</f>
        <v>5648277</v>
      </c>
      <c r="P21" s="8">
        <f t="shared" si="18"/>
        <v>5.6482770000000002</v>
      </c>
      <c r="Q21" s="10">
        <f t="shared" si="8"/>
        <v>17.340210389999999</v>
      </c>
      <c r="R21" s="7">
        <f>'[1]Production Summary'!AE53</f>
        <v>0</v>
      </c>
      <c r="S21" s="8">
        <f t="shared" si="19"/>
        <v>0</v>
      </c>
      <c r="T21" s="10">
        <f t="shared" si="10"/>
        <v>0</v>
      </c>
      <c r="U21" s="7">
        <f>'[1]Production Summary'!AF53</f>
        <v>6487120</v>
      </c>
      <c r="V21" s="8">
        <f t="shared" si="11"/>
        <v>6.48712</v>
      </c>
      <c r="W21" s="10">
        <f t="shared" si="12"/>
        <v>19.915458399999999</v>
      </c>
      <c r="X21" s="7">
        <f>'[1]Production Summary'!AJ53</f>
        <v>136610</v>
      </c>
      <c r="Y21" s="8">
        <f t="shared" si="13"/>
        <v>0.13661000000000001</v>
      </c>
      <c r="Z21" s="10">
        <f t="shared" si="14"/>
        <v>0.41939270000000001</v>
      </c>
      <c r="AA21" s="15"/>
      <c r="AB21" s="7">
        <f t="shared" si="16"/>
        <v>12738277.000000032</v>
      </c>
      <c r="AC21" s="8">
        <f t="shared" si="16"/>
        <v>12.738277000000032</v>
      </c>
      <c r="AD21" s="8">
        <f t="shared" si="16"/>
        <v>39.106510390000096</v>
      </c>
    </row>
    <row r="22" spans="1:30" x14ac:dyDescent="0.25">
      <c r="A22" s="1">
        <v>43057</v>
      </c>
      <c r="B22" s="7">
        <f>'[1]Production Summary'!K54</f>
        <v>8939999.9999999404</v>
      </c>
      <c r="C22" s="8">
        <f t="shared" si="0"/>
        <v>8.9399999999999409</v>
      </c>
      <c r="D22" s="10">
        <f t="shared" si="1"/>
        <v>27.445799999999817</v>
      </c>
      <c r="E22" s="7">
        <f>'[1]Production Summary'!O54</f>
        <v>7000000</v>
      </c>
      <c r="F22" s="8">
        <f t="shared" si="2"/>
        <v>7</v>
      </c>
      <c r="G22" s="10">
        <f t="shared" si="3"/>
        <v>21.49</v>
      </c>
      <c r="H22" s="7">
        <f>'[1]Production Summary'!Q54</f>
        <v>2270000</v>
      </c>
      <c r="I22" s="8">
        <f t="shared" si="15"/>
        <v>2.27</v>
      </c>
      <c r="J22" s="10">
        <f t="shared" si="4"/>
        <v>6.9688999999999997</v>
      </c>
      <c r="K22" s="7">
        <f>'[1]Production Summary'!T54</f>
        <v>861304</v>
      </c>
      <c r="L22" s="8">
        <f t="shared" si="17"/>
        <v>8.6130399999999996E-2</v>
      </c>
      <c r="M22" s="10">
        <f t="shared" si="6"/>
        <v>0.26442032799999998</v>
      </c>
      <c r="N22" s="21"/>
      <c r="O22" s="7">
        <f>'[1]Production Summary'!J54</f>
        <v>6413070</v>
      </c>
      <c r="P22" s="8">
        <f t="shared" si="18"/>
        <v>6.4130700000000003</v>
      </c>
      <c r="Q22" s="10">
        <f t="shared" si="8"/>
        <v>19.688124899999998</v>
      </c>
      <c r="R22" s="7">
        <f>'[1]Production Summary'!AE54</f>
        <v>0</v>
      </c>
      <c r="S22" s="8">
        <f t="shared" si="19"/>
        <v>0</v>
      </c>
      <c r="T22" s="10">
        <f t="shared" si="10"/>
        <v>0</v>
      </c>
      <c r="U22" s="7">
        <f>'[1]Production Summary'!AF54</f>
        <v>6484510</v>
      </c>
      <c r="V22" s="8">
        <f t="shared" si="11"/>
        <v>6.4845100000000002</v>
      </c>
      <c r="W22" s="10">
        <f t="shared" si="12"/>
        <v>19.9074457</v>
      </c>
      <c r="X22" s="7">
        <f>'[1]Production Summary'!AJ54</f>
        <v>203596</v>
      </c>
      <c r="Y22" s="8">
        <f t="shared" si="13"/>
        <v>0.203596</v>
      </c>
      <c r="Z22" s="10">
        <f t="shared" si="14"/>
        <v>0.62503971999999997</v>
      </c>
      <c r="AA22" s="15"/>
      <c r="AB22" s="7">
        <f t="shared" si="16"/>
        <v>15353069.99999994</v>
      </c>
      <c r="AC22" s="8">
        <f t="shared" si="16"/>
        <v>15.353069999999942</v>
      </c>
      <c r="AD22" s="8">
        <f t="shared" si="16"/>
        <v>47.133924899999812</v>
      </c>
    </row>
    <row r="23" spans="1:30" x14ac:dyDescent="0.25">
      <c r="A23" s="1">
        <v>43058</v>
      </c>
      <c r="B23" s="7">
        <f>'[1]Production Summary'!K55</f>
        <v>7060000.0000000587</v>
      </c>
      <c r="C23" s="8">
        <f t="shared" si="0"/>
        <v>7.0600000000000591</v>
      </c>
      <c r="D23" s="10">
        <f t="shared" si="1"/>
        <v>21.67420000000018</v>
      </c>
      <c r="E23" s="7">
        <f>'[1]Production Summary'!O55</f>
        <v>2000000</v>
      </c>
      <c r="F23" s="8">
        <f t="shared" si="2"/>
        <v>2</v>
      </c>
      <c r="G23" s="10">
        <f t="shared" si="3"/>
        <v>6.14</v>
      </c>
      <c r="H23" s="7">
        <f>'[1]Production Summary'!Q55</f>
        <v>5710000</v>
      </c>
      <c r="I23" s="8">
        <f t="shared" si="15"/>
        <v>5.71</v>
      </c>
      <c r="J23" s="10">
        <f t="shared" si="4"/>
        <v>17.529699999999998</v>
      </c>
      <c r="K23" s="7">
        <f>'[1]Production Summary'!T55</f>
        <v>721456</v>
      </c>
      <c r="L23" s="8">
        <f t="shared" si="17"/>
        <v>7.2145600000000004E-2</v>
      </c>
      <c r="M23" s="10">
        <f t="shared" si="6"/>
        <v>0.22148699199999999</v>
      </c>
      <c r="N23" s="21"/>
      <c r="O23" s="7">
        <f>'[1]Production Summary'!J55</f>
        <v>3484518</v>
      </c>
      <c r="P23" s="8">
        <f t="shared" si="18"/>
        <v>3.484518</v>
      </c>
      <c r="Q23" s="10">
        <f t="shared" si="8"/>
        <v>10.697470259999999</v>
      </c>
      <c r="R23" s="7">
        <f>'[1]Production Summary'!AE55</f>
        <v>0</v>
      </c>
      <c r="S23" s="8">
        <f t="shared" si="19"/>
        <v>0</v>
      </c>
      <c r="T23" s="10">
        <f t="shared" si="10"/>
        <v>0</v>
      </c>
      <c r="U23" s="7">
        <f>'[1]Production Summary'!AF55</f>
        <v>4234486</v>
      </c>
      <c r="V23" s="8">
        <f t="shared" si="11"/>
        <v>4.2344860000000004</v>
      </c>
      <c r="W23" s="10">
        <f t="shared" si="12"/>
        <v>12.99987202</v>
      </c>
      <c r="X23" s="7">
        <f>'[1]Production Summary'!AJ55</f>
        <v>0</v>
      </c>
      <c r="Y23" s="8">
        <f t="shared" si="13"/>
        <v>0</v>
      </c>
      <c r="Z23" s="10">
        <f t="shared" si="14"/>
        <v>0</v>
      </c>
      <c r="AA23" s="15"/>
      <c r="AB23" s="7">
        <f t="shared" si="16"/>
        <v>10544518.00000006</v>
      </c>
      <c r="AC23" s="8">
        <f t="shared" si="16"/>
        <v>10.544518000000059</v>
      </c>
      <c r="AD23" s="8">
        <f t="shared" si="16"/>
        <v>32.37167026000018</v>
      </c>
    </row>
    <row r="24" spans="1:30" x14ac:dyDescent="0.25">
      <c r="A24" s="1">
        <v>43059</v>
      </c>
      <c r="B24" s="7">
        <f>'[1]Production Summary'!K56</f>
        <v>4559999.9999999451</v>
      </c>
      <c r="C24" s="8">
        <f t="shared" si="0"/>
        <v>4.5599999999999454</v>
      </c>
      <c r="D24" s="10">
        <f t="shared" si="1"/>
        <v>13.999199999999831</v>
      </c>
      <c r="E24" s="7">
        <f>'[1]Production Summary'!O56</f>
        <v>0</v>
      </c>
      <c r="F24" s="8">
        <f t="shared" si="2"/>
        <v>0</v>
      </c>
      <c r="G24" s="10">
        <f t="shared" si="3"/>
        <v>0</v>
      </c>
      <c r="H24" s="7">
        <f>'[1]Production Summary'!Q56</f>
        <v>5280000</v>
      </c>
      <c r="I24" s="8">
        <f t="shared" si="15"/>
        <v>5.28</v>
      </c>
      <c r="J24" s="10">
        <f t="shared" si="4"/>
        <v>16.209599999999998</v>
      </c>
      <c r="K24" s="7">
        <f>'[1]Production Summary'!T56</f>
        <v>413277</v>
      </c>
      <c r="L24" s="8">
        <f t="shared" si="17"/>
        <v>4.1327700000000002E-2</v>
      </c>
      <c r="M24" s="10">
        <f t="shared" si="6"/>
        <v>0.126876039</v>
      </c>
      <c r="N24" s="21"/>
      <c r="O24" s="7">
        <f>'[1]Production Summary'!J56</f>
        <v>7939958</v>
      </c>
      <c r="P24" s="8">
        <f t="shared" si="18"/>
        <v>7.9399579999999998</v>
      </c>
      <c r="Q24" s="10">
        <f t="shared" si="8"/>
        <v>24.375671059999998</v>
      </c>
      <c r="R24" s="7">
        <f>'[1]Production Summary'!AE56</f>
        <v>0</v>
      </c>
      <c r="S24" s="8">
        <f t="shared" si="19"/>
        <v>0</v>
      </c>
      <c r="T24" s="10">
        <f t="shared" si="10"/>
        <v>0</v>
      </c>
      <c r="U24" s="7">
        <f>'[1]Production Summary'!AF56</f>
        <v>8853627</v>
      </c>
      <c r="V24" s="8">
        <f t="shared" si="11"/>
        <v>8.8536269999999995</v>
      </c>
      <c r="W24" s="10">
        <f t="shared" si="12"/>
        <v>27.180634889999997</v>
      </c>
      <c r="X24" s="7">
        <f>'[1]Production Summary'!AJ56</f>
        <v>131247</v>
      </c>
      <c r="Y24" s="8">
        <f t="shared" si="13"/>
        <v>0.131247</v>
      </c>
      <c r="Z24" s="10">
        <f t="shared" si="14"/>
        <v>0.40292828999999997</v>
      </c>
      <c r="AA24" s="15"/>
      <c r="AB24" s="7">
        <f t="shared" si="16"/>
        <v>12499957.999999944</v>
      </c>
      <c r="AC24" s="8">
        <f t="shared" si="16"/>
        <v>12.499957999999946</v>
      </c>
      <c r="AD24" s="8">
        <f>D24+Q24</f>
        <v>38.374871059999833</v>
      </c>
    </row>
    <row r="25" spans="1:30" x14ac:dyDescent="0.25">
      <c r="A25" s="1">
        <v>43060</v>
      </c>
      <c r="B25" s="7">
        <f>'[1]Production Summary'!K57</f>
        <v>4129999.9999999953</v>
      </c>
      <c r="C25" s="8">
        <f t="shared" si="0"/>
        <v>4.1299999999999955</v>
      </c>
      <c r="D25" s="10">
        <f t="shared" si="1"/>
        <v>12.679099999999986</v>
      </c>
      <c r="E25" s="7">
        <f>'[1]Production Summary'!O57</f>
        <v>0</v>
      </c>
      <c r="F25" s="8">
        <f t="shared" si="2"/>
        <v>0</v>
      </c>
      <c r="G25" s="10">
        <f t="shared" si="3"/>
        <v>0</v>
      </c>
      <c r="H25" s="7">
        <f>'[1]Production Summary'!Q57</f>
        <v>4950000</v>
      </c>
      <c r="I25" s="8">
        <f t="shared" si="15"/>
        <v>4.95</v>
      </c>
      <c r="J25" s="10">
        <f t="shared" si="4"/>
        <v>15.1965</v>
      </c>
      <c r="K25" s="7">
        <f>'[1]Production Summary'!T57</f>
        <v>457089</v>
      </c>
      <c r="L25" s="8">
        <f t="shared" si="17"/>
        <v>4.5708899999999997E-2</v>
      </c>
      <c r="M25" s="10">
        <f t="shared" si="6"/>
        <v>0.14032632299999998</v>
      </c>
      <c r="N25" s="21"/>
      <c r="O25" s="7">
        <f>'[1]Production Summary'!J57</f>
        <v>7315730</v>
      </c>
      <c r="P25" s="8">
        <f t="shared" si="18"/>
        <v>7.3157300000000003</v>
      </c>
      <c r="Q25" s="10">
        <f t="shared" si="8"/>
        <v>22.459291099999998</v>
      </c>
      <c r="R25" s="7">
        <f>'[1]Production Summary'!AE57</f>
        <v>0</v>
      </c>
      <c r="S25" s="8">
        <f t="shared" si="19"/>
        <v>0</v>
      </c>
      <c r="T25" s="10">
        <f t="shared" si="10"/>
        <v>0</v>
      </c>
      <c r="U25" s="7">
        <f>'[1]Production Summary'!AF57</f>
        <v>7378320</v>
      </c>
      <c r="V25" s="8">
        <f t="shared" si="11"/>
        <v>7.3783200000000004</v>
      </c>
      <c r="W25" s="10">
        <f t="shared" si="12"/>
        <v>22.651442400000001</v>
      </c>
      <c r="X25" s="7">
        <f>'[1]Production Summary'!AJ57</f>
        <v>209879</v>
      </c>
      <c r="Y25" s="8">
        <f t="shared" si="13"/>
        <v>0.20987900000000001</v>
      </c>
      <c r="Z25" s="10">
        <f t="shared" si="14"/>
        <v>0.64432853000000001</v>
      </c>
      <c r="AA25" s="15"/>
      <c r="AB25" s="7">
        <f t="shared" si="16"/>
        <v>11445729.999999996</v>
      </c>
      <c r="AC25" s="8">
        <f t="shared" si="16"/>
        <v>11.445729999999996</v>
      </c>
      <c r="AD25" s="8">
        <f t="shared" si="16"/>
        <v>35.138391099999986</v>
      </c>
    </row>
    <row r="26" spans="1:30" x14ac:dyDescent="0.25">
      <c r="A26" s="1">
        <v>43061</v>
      </c>
      <c r="B26" s="7">
        <f>'[1]Production Summary'!K58</f>
        <v>4269999.9999999814</v>
      </c>
      <c r="C26" s="8">
        <f t="shared" si="0"/>
        <v>4.2699999999999818</v>
      </c>
      <c r="D26" s="10">
        <f t="shared" si="1"/>
        <v>13.108899999999943</v>
      </c>
      <c r="E26" s="7">
        <f>'[1]Production Summary'!O58</f>
        <v>0</v>
      </c>
      <c r="F26" s="8">
        <f t="shared" si="2"/>
        <v>0</v>
      </c>
      <c r="G26" s="10">
        <f t="shared" si="3"/>
        <v>0</v>
      </c>
      <c r="H26" s="7">
        <f>'[1]Production Summary'!Q58</f>
        <v>5050000</v>
      </c>
      <c r="I26" s="8">
        <f t="shared" si="15"/>
        <v>5.05</v>
      </c>
      <c r="J26" s="10">
        <f t="shared" si="4"/>
        <v>15.503499999999999</v>
      </c>
      <c r="K26" s="7">
        <f>'[1]Production Summary'!T58</f>
        <v>402870</v>
      </c>
      <c r="L26" s="8">
        <f t="shared" si="17"/>
        <v>4.0287000000000003E-2</v>
      </c>
      <c r="M26" s="10">
        <f t="shared" si="6"/>
        <v>0.12368109000000001</v>
      </c>
      <c r="N26" s="21"/>
      <c r="O26" s="7">
        <f>'[1]Production Summary'!J58</f>
        <v>7818603</v>
      </c>
      <c r="P26" s="8">
        <f t="shared" si="18"/>
        <v>7.8186030000000004</v>
      </c>
      <c r="Q26" s="10">
        <f t="shared" si="8"/>
        <v>24.00311121</v>
      </c>
      <c r="R26" s="7">
        <f>'[1]Production Summary'!AE58</f>
        <v>0</v>
      </c>
      <c r="S26" s="8">
        <f t="shared" si="19"/>
        <v>0</v>
      </c>
      <c r="T26" s="10">
        <f t="shared" si="10"/>
        <v>0</v>
      </c>
      <c r="U26" s="7">
        <f>'[1]Production Summary'!AF58</f>
        <v>8066122</v>
      </c>
      <c r="V26" s="8">
        <f t="shared" si="11"/>
        <v>8.066122</v>
      </c>
      <c r="W26" s="10">
        <f t="shared" si="12"/>
        <v>24.762994539999998</v>
      </c>
      <c r="X26" s="7">
        <f>'[1]Production Summary'!AJ58</f>
        <v>54105</v>
      </c>
      <c r="Y26" s="8">
        <f t="shared" si="13"/>
        <v>5.4105E-2</v>
      </c>
      <c r="Z26" s="10">
        <f t="shared" si="14"/>
        <v>0.16610234999999998</v>
      </c>
      <c r="AA26" s="15"/>
      <c r="AB26" s="7">
        <f t="shared" si="16"/>
        <v>12088602.999999981</v>
      </c>
      <c r="AC26" s="8">
        <f t="shared" si="16"/>
        <v>12.088602999999981</v>
      </c>
      <c r="AD26" s="8">
        <f t="shared" si="16"/>
        <v>37.112011209999942</v>
      </c>
    </row>
    <row r="27" spans="1:30" x14ac:dyDescent="0.25">
      <c r="A27" s="1">
        <v>43062</v>
      </c>
      <c r="B27" s="7">
        <f>'[1]Production Summary'!K59</f>
        <v>4150000.0000000908</v>
      </c>
      <c r="C27" s="8">
        <f t="shared" si="0"/>
        <v>4.1500000000000909</v>
      </c>
      <c r="D27" s="10">
        <f t="shared" si="1"/>
        <v>12.740500000000278</v>
      </c>
      <c r="E27" s="7">
        <f>'[1]Production Summary'!O59</f>
        <v>0</v>
      </c>
      <c r="F27" s="8">
        <f t="shared" si="2"/>
        <v>0</v>
      </c>
      <c r="G27" s="10">
        <f t="shared" si="3"/>
        <v>0</v>
      </c>
      <c r="H27" s="7">
        <f>'[1]Production Summary'!Q59</f>
        <v>5350000</v>
      </c>
      <c r="I27" s="8">
        <f t="shared" si="15"/>
        <v>5.35</v>
      </c>
      <c r="J27" s="10">
        <f t="shared" si="4"/>
        <v>16.424499999999998</v>
      </c>
      <c r="K27" s="7">
        <f>'[1]Production Summary'!T59</f>
        <v>591937</v>
      </c>
      <c r="L27" s="8">
        <f t="shared" si="17"/>
        <v>5.9193700000000002E-2</v>
      </c>
      <c r="M27" s="10">
        <f t="shared" si="6"/>
        <v>0.18172465899999998</v>
      </c>
      <c r="N27" s="21"/>
      <c r="O27" s="7">
        <f>'[1]Production Summary'!J59</f>
        <v>8099580</v>
      </c>
      <c r="P27" s="8">
        <f t="shared" si="18"/>
        <v>8.0995799999999996</v>
      </c>
      <c r="Q27" s="10">
        <f t="shared" si="8"/>
        <v>24.865710599999996</v>
      </c>
      <c r="R27" s="7">
        <f>'[1]Production Summary'!AE59</f>
        <v>0</v>
      </c>
      <c r="S27" s="8">
        <f t="shared" si="19"/>
        <v>0</v>
      </c>
      <c r="T27" s="10">
        <f t="shared" si="10"/>
        <v>0</v>
      </c>
      <c r="U27" s="7">
        <f>'[1]Production Summary'!AF59</f>
        <v>8628882</v>
      </c>
      <c r="V27" s="8">
        <f t="shared" si="11"/>
        <v>8.6288820000000008</v>
      </c>
      <c r="W27" s="10">
        <f t="shared" si="12"/>
        <v>26.490667740000003</v>
      </c>
      <c r="X27" s="7">
        <f>'[1]Production Summary'!AJ59</f>
        <v>289163</v>
      </c>
      <c r="Y27" s="8">
        <f t="shared" si="13"/>
        <v>0.289163</v>
      </c>
      <c r="Z27" s="10">
        <f t="shared" si="14"/>
        <v>0.88773040999999997</v>
      </c>
      <c r="AA27" s="15"/>
      <c r="AB27" s="7">
        <f t="shared" si="16"/>
        <v>12249580.000000091</v>
      </c>
      <c r="AC27" s="8">
        <f t="shared" si="16"/>
        <v>12.249580000000091</v>
      </c>
      <c r="AD27" s="8">
        <f t="shared" si="16"/>
        <v>37.606210600000274</v>
      </c>
    </row>
    <row r="28" spans="1:30" x14ac:dyDescent="0.25">
      <c r="A28" s="1">
        <v>43063</v>
      </c>
      <c r="B28" s="7">
        <f>'[1]Production Summary'!K60</f>
        <v>5059999.9999999451</v>
      </c>
      <c r="C28" s="8">
        <f t="shared" si="0"/>
        <v>5.0599999999999454</v>
      </c>
      <c r="D28" s="10">
        <f t="shared" si="1"/>
        <v>15.534199999999831</v>
      </c>
      <c r="E28" s="7">
        <f>'[1]Production Summary'!O60</f>
        <v>0</v>
      </c>
      <c r="F28" s="8">
        <f t="shared" si="2"/>
        <v>0</v>
      </c>
      <c r="G28" s="10">
        <f t="shared" si="3"/>
        <v>0</v>
      </c>
      <c r="H28" s="7">
        <f>'[1]Production Summary'!Q60</f>
        <v>6000000</v>
      </c>
      <c r="I28" s="8">
        <f t="shared" si="15"/>
        <v>6</v>
      </c>
      <c r="J28" s="10">
        <f t="shared" si="4"/>
        <v>18.419999999999998</v>
      </c>
      <c r="K28" s="7">
        <f>'[1]Production Summary'!T60</f>
        <v>831290</v>
      </c>
      <c r="L28" s="8">
        <f t="shared" si="17"/>
        <v>8.3128999999999995E-2</v>
      </c>
      <c r="M28" s="10">
        <f t="shared" si="6"/>
        <v>0.25520602999999997</v>
      </c>
      <c r="N28" s="21"/>
      <c r="O28" s="7">
        <f>'[1]Production Summary'!J60</f>
        <v>7113620</v>
      </c>
      <c r="P28" s="8">
        <f t="shared" si="18"/>
        <v>7.1136200000000001</v>
      </c>
      <c r="Q28" s="10">
        <f t="shared" si="8"/>
        <v>21.838813399999999</v>
      </c>
      <c r="R28" s="7">
        <f>'[1]Production Summary'!AE60</f>
        <v>1404999</v>
      </c>
      <c r="S28" s="8">
        <f t="shared" si="19"/>
        <v>1.4049990000000001</v>
      </c>
      <c r="T28" s="10">
        <f t="shared" si="10"/>
        <v>4.3133469299999998</v>
      </c>
      <c r="U28" s="7">
        <f>'[1]Production Summary'!AF60</f>
        <v>5548687</v>
      </c>
      <c r="V28" s="8">
        <f t="shared" si="11"/>
        <v>5.5486870000000001</v>
      </c>
      <c r="W28" s="10">
        <f t="shared" si="12"/>
        <v>17.034469089999998</v>
      </c>
      <c r="X28" s="7">
        <f>'[1]Production Summary'!AJ60</f>
        <v>0</v>
      </c>
      <c r="Y28" s="8">
        <f t="shared" si="13"/>
        <v>0</v>
      </c>
      <c r="Z28" s="10">
        <f t="shared" si="14"/>
        <v>0</v>
      </c>
      <c r="AA28" s="15"/>
      <c r="AB28" s="7">
        <f t="shared" si="16"/>
        <v>12173619.999999944</v>
      </c>
      <c r="AC28" s="8">
        <f t="shared" si="16"/>
        <v>12.173619999999946</v>
      </c>
      <c r="AD28" s="8">
        <f t="shared" si="16"/>
        <v>37.373013399999834</v>
      </c>
    </row>
    <row r="29" spans="1:30" x14ac:dyDescent="0.25">
      <c r="A29" s="1">
        <v>43064</v>
      </c>
      <c r="B29" s="7">
        <f>'[1]Production Summary'!K61</f>
        <v>4789999.9999999637</v>
      </c>
      <c r="C29" s="8">
        <f t="shared" si="0"/>
        <v>4.7899999999999636</v>
      </c>
      <c r="D29" s="10">
        <f t="shared" si="1"/>
        <v>14.705299999999887</v>
      </c>
      <c r="E29" s="7">
        <f>'[1]Production Summary'!O61</f>
        <v>0</v>
      </c>
      <c r="F29" s="8">
        <f t="shared" si="2"/>
        <v>0</v>
      </c>
      <c r="G29" s="10">
        <f t="shared" si="3"/>
        <v>0</v>
      </c>
      <c r="H29" s="7">
        <f>'[1]Production Summary'!Q61</f>
        <v>5980000</v>
      </c>
      <c r="I29" s="8">
        <f t="shared" si="15"/>
        <v>5.98</v>
      </c>
      <c r="J29" s="10">
        <f t="shared" si="4"/>
        <v>18.358599999999999</v>
      </c>
      <c r="K29" s="7">
        <f>'[1]Production Summary'!T61</f>
        <v>648519</v>
      </c>
      <c r="L29" s="8">
        <f t="shared" si="17"/>
        <v>6.4851900000000004E-2</v>
      </c>
      <c r="M29" s="10">
        <f t="shared" si="6"/>
        <v>0.19909533300000001</v>
      </c>
      <c r="N29" s="21"/>
      <c r="O29" s="7">
        <f>'[1]Production Summary'!J61</f>
        <v>6737516</v>
      </c>
      <c r="P29" s="8">
        <f t="shared" si="18"/>
        <v>6.7375160000000003</v>
      </c>
      <c r="Q29" s="10">
        <f t="shared" si="8"/>
        <v>20.684174120000002</v>
      </c>
      <c r="R29" s="7">
        <f>'[1]Production Summary'!AE61</f>
        <v>2482435</v>
      </c>
      <c r="S29" s="8">
        <f t="shared" si="19"/>
        <v>2.4824350000000002</v>
      </c>
      <c r="T29" s="10">
        <f t="shared" si="10"/>
        <v>7.6210754500000002</v>
      </c>
      <c r="U29" s="7">
        <f>'[1]Production Summary'!AF61</f>
        <v>4486019</v>
      </c>
      <c r="V29" s="8">
        <f t="shared" si="11"/>
        <v>4.4860189999999998</v>
      </c>
      <c r="W29" s="10">
        <f t="shared" si="12"/>
        <v>13.772078329999999</v>
      </c>
      <c r="X29" s="7">
        <f>'[1]Production Summary'!AJ61</f>
        <v>43279</v>
      </c>
      <c r="Y29" s="8">
        <f t="shared" si="13"/>
        <v>4.3278999999999998E-2</v>
      </c>
      <c r="Z29" s="10">
        <f t="shared" si="14"/>
        <v>0.13286652999999998</v>
      </c>
      <c r="AA29" s="15"/>
      <c r="AB29" s="7">
        <f t="shared" si="16"/>
        <v>11527515.999999963</v>
      </c>
      <c r="AC29" s="8">
        <f t="shared" si="16"/>
        <v>11.527515999999963</v>
      </c>
      <c r="AD29" s="8">
        <f t="shared" si="16"/>
        <v>35.389474119999889</v>
      </c>
    </row>
    <row r="30" spans="1:30" x14ac:dyDescent="0.25">
      <c r="A30" s="1">
        <v>43065</v>
      </c>
      <c r="B30" s="7">
        <f>'[1]Production Summary'!K62</f>
        <v>7290000.0000000773</v>
      </c>
      <c r="C30" s="8">
        <f t="shared" si="0"/>
        <v>7.2900000000000773</v>
      </c>
      <c r="D30" s="10">
        <f t="shared" si="1"/>
        <v>22.380300000000236</v>
      </c>
      <c r="E30" s="7">
        <f>'[1]Production Summary'!O62</f>
        <v>0</v>
      </c>
      <c r="F30" s="8">
        <f t="shared" si="2"/>
        <v>0</v>
      </c>
      <c r="G30" s="10">
        <f t="shared" si="3"/>
        <v>0</v>
      </c>
      <c r="H30" s="7">
        <f>'[1]Production Summary'!Q62</f>
        <v>8470000</v>
      </c>
      <c r="I30" s="8">
        <f t="shared" si="15"/>
        <v>8.4700000000000006</v>
      </c>
      <c r="J30" s="10">
        <f t="shared" si="4"/>
        <v>26.0029</v>
      </c>
      <c r="K30" s="7">
        <f>'[1]Production Summary'!T62</f>
        <v>888835</v>
      </c>
      <c r="L30" s="8">
        <f t="shared" si="17"/>
        <v>8.8883500000000004E-2</v>
      </c>
      <c r="M30" s="10">
        <f t="shared" si="6"/>
        <v>0.27287234500000002</v>
      </c>
      <c r="N30" s="21"/>
      <c r="O30" s="7">
        <f>'[1]Production Summary'!J62</f>
        <v>5566451</v>
      </c>
      <c r="P30" s="8">
        <f t="shared" si="18"/>
        <v>5.5664509999999998</v>
      </c>
      <c r="Q30" s="10">
        <f t="shared" si="8"/>
        <v>17.08900457</v>
      </c>
      <c r="R30" s="7">
        <f>'[1]Production Summary'!AE62</f>
        <v>2028679</v>
      </c>
      <c r="S30" s="8">
        <f t="shared" si="19"/>
        <v>2.0286789999999999</v>
      </c>
      <c r="T30" s="10">
        <f t="shared" si="10"/>
        <v>6.2280445299999991</v>
      </c>
      <c r="U30" s="7">
        <f>'[1]Production Summary'!AF62</f>
        <v>4171682</v>
      </c>
      <c r="V30" s="8">
        <f t="shared" si="11"/>
        <v>4.1716819999999997</v>
      </c>
      <c r="W30" s="10">
        <f t="shared" si="12"/>
        <v>12.807063739999998</v>
      </c>
      <c r="X30" s="7">
        <f>'[1]Production Summary'!AJ62</f>
        <v>220083</v>
      </c>
      <c r="Y30" s="8">
        <f t="shared" si="13"/>
        <v>0.220083</v>
      </c>
      <c r="Z30" s="10">
        <f t="shared" si="14"/>
        <v>0.67565480999999994</v>
      </c>
      <c r="AA30" s="15"/>
      <c r="AB30" s="7">
        <f t="shared" si="16"/>
        <v>12856451.000000078</v>
      </c>
      <c r="AC30" s="8">
        <f t="shared" si="16"/>
        <v>12.856451000000078</v>
      </c>
      <c r="AD30" s="8">
        <f>D30+Q30</f>
        <v>39.469304570000233</v>
      </c>
    </row>
    <row r="31" spans="1:30" x14ac:dyDescent="0.25">
      <c r="A31" s="1">
        <v>43066</v>
      </c>
      <c r="B31" s="7">
        <f>'[1]Production Summary'!K63</f>
        <v>4709999.9999999227</v>
      </c>
      <c r="C31" s="8">
        <f t="shared" si="0"/>
        <v>4.7099999999999227</v>
      </c>
      <c r="D31" s="10">
        <f t="shared" si="1"/>
        <v>14.459699999999762</v>
      </c>
      <c r="E31" s="7">
        <f>'[1]Production Summary'!O63</f>
        <v>0</v>
      </c>
      <c r="F31" s="8">
        <f t="shared" si="2"/>
        <v>0</v>
      </c>
      <c r="G31" s="10">
        <f t="shared" si="3"/>
        <v>0</v>
      </c>
      <c r="H31" s="7">
        <f>'[1]Production Summary'!Q63</f>
        <v>5900000</v>
      </c>
      <c r="I31" s="8">
        <f t="shared" si="15"/>
        <v>5.9</v>
      </c>
      <c r="J31" s="10">
        <f t="shared" si="4"/>
        <v>18.113</v>
      </c>
      <c r="K31" s="7">
        <f>'[1]Production Summary'!T63</f>
        <v>595826</v>
      </c>
      <c r="L31" s="8">
        <f t="shared" si="17"/>
        <v>5.9582599999999999E-2</v>
      </c>
      <c r="M31" s="10">
        <f t="shared" si="6"/>
        <v>0.182918582</v>
      </c>
      <c r="N31" s="21"/>
      <c r="O31" s="7">
        <f>'[1]Production Summary'!J63</f>
        <v>8581593</v>
      </c>
      <c r="P31" s="8">
        <f t="shared" si="18"/>
        <v>8.5815929999999998</v>
      </c>
      <c r="Q31" s="10">
        <f t="shared" si="8"/>
        <v>26.345490509999998</v>
      </c>
      <c r="R31" s="7">
        <f>'[1]Production Summary'!AE63</f>
        <v>2968755</v>
      </c>
      <c r="S31" s="8">
        <f t="shared" si="19"/>
        <v>2.9687549999999998</v>
      </c>
      <c r="T31" s="10">
        <f t="shared" si="10"/>
        <v>9.1140778499999993</v>
      </c>
      <c r="U31" s="7">
        <f>'[1]Production Summary'!AF63</f>
        <v>5568221</v>
      </c>
      <c r="V31" s="8">
        <f t="shared" si="11"/>
        <v>5.5682210000000003</v>
      </c>
      <c r="W31" s="10">
        <f t="shared" si="12"/>
        <v>17.09443847</v>
      </c>
      <c r="X31" s="7">
        <f>'[1]Production Summary'!AJ63</f>
        <v>78856</v>
      </c>
      <c r="Y31" s="8">
        <f t="shared" si="13"/>
        <v>7.8855999999999996E-2</v>
      </c>
      <c r="Z31" s="10">
        <f t="shared" si="14"/>
        <v>0.24208791999999998</v>
      </c>
      <c r="AA31" s="15"/>
      <c r="AB31" s="7">
        <f t="shared" si="16"/>
        <v>13291592.999999922</v>
      </c>
      <c r="AC31" s="8">
        <f t="shared" si="16"/>
        <v>13.291592999999922</v>
      </c>
      <c r="AD31" s="8">
        <f t="shared" si="16"/>
        <v>40.805190509999761</v>
      </c>
    </row>
    <row r="32" spans="1:30" x14ac:dyDescent="0.25">
      <c r="A32" s="1">
        <v>43067</v>
      </c>
      <c r="B32" s="7">
        <f>'[1]Production Summary'!K64</f>
        <v>4530000.0000000866</v>
      </c>
      <c r="C32" s="8">
        <f t="shared" si="0"/>
        <v>4.5300000000000864</v>
      </c>
      <c r="D32" s="10">
        <f t="shared" si="1"/>
        <v>13.907100000000264</v>
      </c>
      <c r="E32" s="7">
        <f>'[1]Production Summary'!O64</f>
        <v>0</v>
      </c>
      <c r="F32" s="8">
        <f t="shared" si="2"/>
        <v>0</v>
      </c>
      <c r="G32" s="10">
        <f t="shared" si="3"/>
        <v>0</v>
      </c>
      <c r="H32" s="7">
        <f>'[1]Production Summary'!Q64</f>
        <v>5510000</v>
      </c>
      <c r="I32" s="8">
        <f t="shared" si="15"/>
        <v>5.51</v>
      </c>
      <c r="J32" s="10">
        <f t="shared" si="4"/>
        <v>16.915699999999998</v>
      </c>
      <c r="K32" s="7">
        <f>'[1]Production Summary'!T64</f>
        <v>544807</v>
      </c>
      <c r="L32" s="8">
        <f t="shared" si="17"/>
        <v>5.44807E-2</v>
      </c>
      <c r="M32" s="10">
        <f t="shared" si="6"/>
        <v>0.16725574899999998</v>
      </c>
      <c r="N32" s="21"/>
      <c r="O32" s="7">
        <f>'[1]Production Summary'!J64</f>
        <v>6255232</v>
      </c>
      <c r="P32" s="8">
        <f t="shared" si="18"/>
        <v>6.2552320000000003</v>
      </c>
      <c r="Q32" s="10">
        <f t="shared" si="8"/>
        <v>19.20356224</v>
      </c>
      <c r="R32" s="7">
        <f>'[1]Production Summary'!AE64</f>
        <v>2646423</v>
      </c>
      <c r="S32" s="8">
        <f t="shared" si="19"/>
        <v>2.646423</v>
      </c>
      <c r="T32" s="10">
        <f t="shared" si="10"/>
        <v>8.1245186099999991</v>
      </c>
      <c r="U32" s="7">
        <f>'[1]Production Summary'!AF64</f>
        <v>3604806</v>
      </c>
      <c r="V32" s="8">
        <f t="shared" si="11"/>
        <v>3.604806</v>
      </c>
      <c r="W32" s="10">
        <f t="shared" si="12"/>
        <v>11.066754419999999</v>
      </c>
      <c r="X32" s="7">
        <f>'[1]Production Summary'!AJ64</f>
        <v>0</v>
      </c>
      <c r="Y32" s="8">
        <f t="shared" si="13"/>
        <v>0</v>
      </c>
      <c r="Z32" s="10">
        <f t="shared" si="14"/>
        <v>0</v>
      </c>
      <c r="AA32" s="15"/>
      <c r="AB32" s="7">
        <f t="shared" si="16"/>
        <v>10785232.000000086</v>
      </c>
      <c r="AC32" s="8">
        <f t="shared" si="16"/>
        <v>10.785232000000086</v>
      </c>
      <c r="AD32" s="8">
        <f t="shared" si="16"/>
        <v>33.110662240000266</v>
      </c>
    </row>
    <row r="33" spans="1:30" x14ac:dyDescent="0.25">
      <c r="A33" s="1">
        <v>43068</v>
      </c>
      <c r="B33" s="7">
        <f>'[1]Production Summary'!K65</f>
        <v>4230000.0000000186</v>
      </c>
      <c r="C33" s="8">
        <f t="shared" si="0"/>
        <v>4.2300000000000182</v>
      </c>
      <c r="D33" s="10">
        <f t="shared" si="1"/>
        <v>12.986100000000055</v>
      </c>
      <c r="E33" s="7">
        <f>'[1]Production Summary'!O65</f>
        <v>0</v>
      </c>
      <c r="F33" s="8">
        <f t="shared" si="2"/>
        <v>0</v>
      </c>
      <c r="G33" s="10">
        <f t="shared" si="3"/>
        <v>0</v>
      </c>
      <c r="H33" s="7">
        <f>'[1]Production Summary'!Q65</f>
        <v>5540000</v>
      </c>
      <c r="I33" s="8">
        <f t="shared" si="15"/>
        <v>5.54</v>
      </c>
      <c r="J33" s="10">
        <f t="shared" si="4"/>
        <v>17.0078</v>
      </c>
      <c r="K33" s="7">
        <f>'[1]Production Summary'!T65</f>
        <v>663467</v>
      </c>
      <c r="L33" s="8">
        <f t="shared" si="17"/>
        <v>6.6346699999999995E-2</v>
      </c>
      <c r="M33" s="10">
        <f t="shared" si="6"/>
        <v>0.20368436899999998</v>
      </c>
      <c r="N33" s="21"/>
      <c r="O33" s="7">
        <f>'[1]Production Summary'!J65</f>
        <v>6392703</v>
      </c>
      <c r="P33" s="8">
        <f t="shared" si="18"/>
        <v>6.392703</v>
      </c>
      <c r="Q33" s="10">
        <f t="shared" si="8"/>
        <v>19.62559821</v>
      </c>
      <c r="R33" s="7">
        <f>'[1]Production Summary'!AE65</f>
        <v>2684667</v>
      </c>
      <c r="S33" s="8">
        <f t="shared" si="19"/>
        <v>2.6846670000000001</v>
      </c>
      <c r="T33" s="10">
        <f t="shared" si="10"/>
        <v>8.2419276900000007</v>
      </c>
      <c r="U33" s="7">
        <f>'[1]Production Summary'!AF65</f>
        <v>4174544</v>
      </c>
      <c r="V33" s="8">
        <f t="shared" si="11"/>
        <v>4.174544</v>
      </c>
      <c r="W33" s="10">
        <f t="shared" si="12"/>
        <v>12.815850079999999</v>
      </c>
      <c r="X33" s="7">
        <f>'[1]Production Summary'!AJ65</f>
        <v>287000</v>
      </c>
      <c r="Y33" s="8">
        <f t="shared" si="13"/>
        <v>0.28699999999999998</v>
      </c>
      <c r="Z33" s="10">
        <f t="shared" si="14"/>
        <v>0.88108999999999993</v>
      </c>
      <c r="AA33" s="15"/>
      <c r="AB33" s="7">
        <f t="shared" si="16"/>
        <v>10622703.000000019</v>
      </c>
      <c r="AC33" s="8">
        <f t="shared" si="16"/>
        <v>10.622703000000019</v>
      </c>
      <c r="AD33" s="8">
        <f t="shared" si="16"/>
        <v>32.611698210000057</v>
      </c>
    </row>
    <row r="34" spans="1:30" ht="13.8" thickBot="1" x14ac:dyDescent="0.3">
      <c r="A34" s="1">
        <v>43069</v>
      </c>
      <c r="B34" s="7">
        <f>'[1]Production Summary'!K66</f>
        <v>4289999.9999999637</v>
      </c>
      <c r="C34" s="8">
        <f t="shared" si="0"/>
        <v>4.2899999999999636</v>
      </c>
      <c r="D34" s="10">
        <f t="shared" si="1"/>
        <v>13.170299999999887</v>
      </c>
      <c r="E34" s="7">
        <f>'[1]Production Summary'!O66</f>
        <v>0</v>
      </c>
      <c r="F34" s="8">
        <f t="shared" si="2"/>
        <v>0</v>
      </c>
      <c r="G34" s="10">
        <f t="shared" si="3"/>
        <v>0</v>
      </c>
      <c r="H34" s="7">
        <f>'[1]Production Summary'!Q66</f>
        <v>3440000</v>
      </c>
      <c r="I34" s="8">
        <f t="shared" si="15"/>
        <v>3.44</v>
      </c>
      <c r="J34" s="10">
        <f t="shared" si="4"/>
        <v>10.560799999999999</v>
      </c>
      <c r="K34" s="7">
        <f>'[1]Production Summary'!T66</f>
        <v>321265</v>
      </c>
      <c r="L34" s="8">
        <f t="shared" si="17"/>
        <v>3.2126500000000002E-2</v>
      </c>
      <c r="M34" s="10">
        <f t="shared" si="6"/>
        <v>9.8628355000000001E-2</v>
      </c>
      <c r="N34" s="21"/>
      <c r="O34" s="7">
        <f>'[1]Production Summary'!J66</f>
        <v>9304698</v>
      </c>
      <c r="P34" s="8">
        <f t="shared" si="18"/>
        <v>9.3046980000000001</v>
      </c>
      <c r="Q34" s="10">
        <f t="shared" si="8"/>
        <v>28.565422859999998</v>
      </c>
      <c r="R34" s="7">
        <f>'[1]Production Summary'!AE66</f>
        <v>3635702</v>
      </c>
      <c r="S34" s="8">
        <f t="shared" si="19"/>
        <v>3.6357020000000002</v>
      </c>
      <c r="T34" s="10">
        <f t="shared" si="10"/>
        <v>11.161605140000001</v>
      </c>
      <c r="U34" s="7">
        <f>'[1]Production Summary'!AF66</f>
        <v>6216606</v>
      </c>
      <c r="V34" s="8">
        <f t="shared" si="11"/>
        <v>6.2166059999999996</v>
      </c>
      <c r="W34" s="10">
        <f t="shared" si="12"/>
        <v>19.084980419999997</v>
      </c>
      <c r="X34" s="7">
        <f>'[1]Production Summary'!AJ66</f>
        <v>78226</v>
      </c>
      <c r="Y34" s="8">
        <f t="shared" si="13"/>
        <v>7.8226000000000004E-2</v>
      </c>
      <c r="Z34" s="10">
        <f t="shared" si="14"/>
        <v>0.24015381999999999</v>
      </c>
      <c r="AA34" s="15"/>
      <c r="AB34" s="7">
        <f t="shared" si="16"/>
        <v>13594697.999999963</v>
      </c>
      <c r="AC34" s="8">
        <f t="shared" si="16"/>
        <v>13.594697999999964</v>
      </c>
      <c r="AD34" s="8">
        <f t="shared" si="16"/>
        <v>41.735722859999882</v>
      </c>
    </row>
    <row r="35" spans="1:30" ht="13.8" thickBot="1" x14ac:dyDescent="0.3">
      <c r="A35" s="20"/>
      <c r="B35" s="37"/>
      <c r="C35" s="38">
        <f>SUM(C5:C34)</f>
        <v>176.93</v>
      </c>
      <c r="D35" s="38">
        <f>SUM(D5:D34)</f>
        <v>543.17510000000004</v>
      </c>
      <c r="E35" s="37"/>
      <c r="F35" s="38">
        <f>SUM(F5:F34)</f>
        <v>128</v>
      </c>
      <c r="G35" s="38">
        <f>SUM(G5:G34)</f>
        <v>392.96</v>
      </c>
      <c r="H35" s="37"/>
      <c r="I35" s="38">
        <f>SUM(I5:I34)</f>
        <v>75.930000000000007</v>
      </c>
      <c r="J35" s="38">
        <f>SUM(J5:J34)</f>
        <v>233.10509999999999</v>
      </c>
      <c r="K35" s="37">
        <f>'[1]Production Summary'!T67</f>
        <v>167634</v>
      </c>
      <c r="L35" s="38">
        <f>SUM(L5:L34)</f>
        <v>1.7013906000000001</v>
      </c>
      <c r="M35" s="38">
        <f>SUM(M5:M34)</f>
        <v>5.2232691419999986</v>
      </c>
      <c r="N35" s="14"/>
      <c r="O35" s="37"/>
      <c r="P35" s="38">
        <f>SUM(P5:P34)</f>
        <v>195.56663200000003</v>
      </c>
      <c r="Q35" s="38">
        <f>SUM(Q5:Q34)</f>
        <v>600.38956024000004</v>
      </c>
      <c r="R35" s="37"/>
      <c r="S35" s="38">
        <f>SUM(S5:S34)</f>
        <v>31.144855</v>
      </c>
      <c r="T35" s="38">
        <f>SUM(T5:T34)</f>
        <v>95.614704849999995</v>
      </c>
      <c r="U35" s="37"/>
      <c r="V35" s="38">
        <f>SUM(V5:V34)</f>
        <v>177.487785</v>
      </c>
      <c r="W35" s="38">
        <f>SUM(W5:W34)</f>
        <v>544.88749995000001</v>
      </c>
      <c r="X35" s="37"/>
      <c r="Y35" s="38">
        <f>SUM(Y5:Y34)</f>
        <v>3.8360689999999997</v>
      </c>
      <c r="Z35" s="38">
        <f>SUM(Z5:Z34)</f>
        <v>11.776731829999997</v>
      </c>
      <c r="AA35" s="14"/>
      <c r="AB35" s="37">
        <f t="shared" si="16"/>
        <v>0</v>
      </c>
      <c r="AC35" s="38">
        <f t="shared" si="16"/>
        <v>372.49663200000003</v>
      </c>
      <c r="AD35" s="38">
        <f t="shared" si="16"/>
        <v>1143.5646602400002</v>
      </c>
    </row>
    <row r="36" spans="1:30" x14ac:dyDescent="0.25">
      <c r="C36" s="18"/>
      <c r="E36" s="3"/>
      <c r="F36" s="3"/>
      <c r="G36" s="3"/>
      <c r="H36" s="3"/>
      <c r="I36" s="3"/>
      <c r="J36" s="3"/>
      <c r="K36" s="14"/>
      <c r="L36" s="3"/>
      <c r="M36" s="3"/>
      <c r="N36" s="3"/>
      <c r="O36" s="3"/>
      <c r="P36" s="3"/>
      <c r="Q36" s="3"/>
      <c r="R36" s="3"/>
      <c r="S36" s="3"/>
      <c r="T36" s="3"/>
      <c r="U36" s="14"/>
      <c r="AB36" s="23"/>
      <c r="AC36" s="29"/>
      <c r="AD36" s="23"/>
    </row>
  </sheetData>
  <mergeCells count="9">
    <mergeCell ref="AB3:AD3"/>
    <mergeCell ref="R3:T3"/>
    <mergeCell ref="U3:W3"/>
    <mergeCell ref="B3:D3"/>
    <mergeCell ref="E3:G3"/>
    <mergeCell ref="H3:J3"/>
    <mergeCell ref="O3:Q3"/>
    <mergeCell ref="K3:M3"/>
    <mergeCell ref="X3:Z3"/>
  </mergeCells>
  <phoneticPr fontId="1" type="noConversion"/>
  <pageMargins left="0.75" right="0.75" top="1" bottom="1" header="0.5" footer="0.5"/>
  <pageSetup scale="78"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D37"/>
  <sheetViews>
    <sheetView workbookViewId="0">
      <pane xSplit="1" ySplit="4" topLeftCell="B20" activePane="bottomRight" state="frozen"/>
      <selection pane="topRight" activeCell="B1" sqref="B1"/>
      <selection pane="bottomLeft" activeCell="A5" sqref="A5"/>
      <selection pane="bottomRight" activeCell="R23" sqref="R23"/>
    </sheetView>
  </sheetViews>
  <sheetFormatPr defaultRowHeight="13.2" x14ac:dyDescent="0.25"/>
  <cols>
    <col min="2" max="2" width="14.33203125" bestFit="1" customWidth="1"/>
    <col min="5" max="5" width="11" customWidth="1"/>
    <col min="8" max="8" width="13.33203125" bestFit="1" customWidth="1"/>
    <col min="11" max="11" width="10" customWidth="1"/>
    <col min="12" max="12" width="10.6640625" customWidth="1"/>
    <col min="15" max="15" width="11" customWidth="1"/>
    <col min="18" max="18" width="10.6640625" customWidth="1"/>
    <col min="21" max="21" width="11.6640625" bestFit="1" customWidth="1"/>
    <col min="22" max="22" width="10.6640625" customWidth="1"/>
    <col min="28" max="28" width="12.6640625" customWidth="1"/>
  </cols>
  <sheetData>
    <row r="1" spans="1:30" x14ac:dyDescent="0.25">
      <c r="B1" s="39"/>
      <c r="C1" s="25"/>
      <c r="D1" s="25"/>
      <c r="E1" s="22"/>
      <c r="F1" s="22"/>
      <c r="G1" s="3"/>
      <c r="H1" s="3"/>
      <c r="I1" s="3"/>
      <c r="J1" s="3"/>
      <c r="K1" s="14"/>
      <c r="L1" s="3"/>
      <c r="M1" s="3"/>
      <c r="N1" s="3"/>
      <c r="O1" s="3"/>
      <c r="P1" s="3"/>
      <c r="Q1" s="3"/>
      <c r="R1" s="3"/>
      <c r="S1" s="3"/>
      <c r="T1" s="3"/>
      <c r="U1" s="14"/>
    </row>
    <row r="2" spans="1:30" ht="13.8" thickBot="1" x14ac:dyDescent="0.3">
      <c r="C2" s="18"/>
      <c r="E2" s="3"/>
      <c r="F2" s="3"/>
      <c r="G2" s="3"/>
      <c r="H2" s="3"/>
      <c r="I2" s="3"/>
      <c r="J2" s="3"/>
      <c r="K2" s="14"/>
      <c r="L2" s="3"/>
      <c r="M2" s="3"/>
      <c r="N2" s="3"/>
      <c r="O2" s="3"/>
      <c r="P2" s="3"/>
      <c r="Q2" s="3"/>
      <c r="R2" s="3"/>
      <c r="S2" s="3"/>
      <c r="T2" s="3"/>
      <c r="U2" s="14"/>
    </row>
    <row r="3" spans="1:30" ht="60.75" customHeight="1" thickBot="1" x14ac:dyDescent="0.3">
      <c r="A3" s="3"/>
      <c r="B3" s="68" t="s">
        <v>9</v>
      </c>
      <c r="C3" s="69"/>
      <c r="D3" s="70"/>
      <c r="E3" s="68" t="s">
        <v>10</v>
      </c>
      <c r="F3" s="69"/>
      <c r="G3" s="70"/>
      <c r="H3" s="68" t="s">
        <v>11</v>
      </c>
      <c r="I3" s="69"/>
      <c r="J3" s="70"/>
      <c r="K3" s="68" t="s">
        <v>12</v>
      </c>
      <c r="L3" s="69"/>
      <c r="M3" s="70"/>
      <c r="N3" s="19"/>
      <c r="O3" s="68" t="s">
        <v>22</v>
      </c>
      <c r="P3" s="69"/>
      <c r="Q3" s="70"/>
      <c r="R3" s="68" t="s">
        <v>3</v>
      </c>
      <c r="S3" s="69"/>
      <c r="T3" s="70"/>
      <c r="U3" s="68" t="s">
        <v>5</v>
      </c>
      <c r="V3" s="69"/>
      <c r="W3" s="70"/>
      <c r="X3" s="68" t="s">
        <v>6</v>
      </c>
      <c r="Y3" s="69"/>
      <c r="Z3" s="70"/>
      <c r="AA3" s="19"/>
      <c r="AB3" s="65" t="s">
        <v>7</v>
      </c>
      <c r="AC3" s="66"/>
      <c r="AD3" s="67"/>
    </row>
    <row r="4" spans="1:30" x14ac:dyDescent="0.25">
      <c r="A4" s="2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51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19"/>
      <c r="AB4" s="34" t="s">
        <v>0</v>
      </c>
      <c r="AC4" s="35" t="s">
        <v>1</v>
      </c>
      <c r="AD4" s="36" t="s">
        <v>2</v>
      </c>
    </row>
    <row r="5" spans="1:30" x14ac:dyDescent="0.25">
      <c r="A5" s="1">
        <v>43070</v>
      </c>
      <c r="B5" s="7">
        <f>'[1]Production Summary'!K67</f>
        <v>0</v>
      </c>
      <c r="C5" s="8">
        <f t="shared" ref="C5:C35" si="0">B5/1000000</f>
        <v>0</v>
      </c>
      <c r="D5" s="10">
        <f t="shared" ref="D5:D35" si="1">C5*3.07</f>
        <v>0</v>
      </c>
      <c r="E5" s="7">
        <f>'[1]Production Summary'!O67</f>
        <v>0</v>
      </c>
      <c r="F5" s="8">
        <f t="shared" ref="F5:F35" si="2">E5/1000000</f>
        <v>0</v>
      </c>
      <c r="G5" s="10">
        <f t="shared" ref="G5:G35" si="3">F5*3.07</f>
        <v>0</v>
      </c>
      <c r="H5" s="7">
        <f>'[1]Production Summary'!Q67</f>
        <v>0</v>
      </c>
      <c r="I5" s="8">
        <f t="shared" ref="I5:I33" si="4">H5/1000000</f>
        <v>0</v>
      </c>
      <c r="J5" s="10">
        <f t="shared" ref="J5:J35" si="5">I5*3.07</f>
        <v>0</v>
      </c>
      <c r="K5" s="7">
        <f>'[1]Production Summary'!T67</f>
        <v>167634</v>
      </c>
      <c r="L5" s="8">
        <f t="shared" ref="L5:L35" si="6">K5/1000000</f>
        <v>0.16763400000000001</v>
      </c>
      <c r="M5" s="10">
        <f t="shared" ref="M5:M35" si="7">L5*3.07</f>
        <v>0.51463638</v>
      </c>
      <c r="N5" s="51"/>
      <c r="O5" s="7">
        <f>'[1]Production Summary'!J67</f>
        <v>12152879</v>
      </c>
      <c r="P5" s="8">
        <f t="shared" ref="P5:P35" si="8">O5/1000000</f>
        <v>12.152879</v>
      </c>
      <c r="Q5" s="10">
        <f t="shared" ref="Q5:Q35" si="9">P5*3.07</f>
        <v>37.309338529999998</v>
      </c>
      <c r="R5" s="7">
        <f>'[1]Production Summary'!AE67</f>
        <v>3625230</v>
      </c>
      <c r="S5" s="8">
        <f t="shared" ref="S5:S35" si="10">R5/1000000</f>
        <v>3.6252300000000002</v>
      </c>
      <c r="T5" s="10">
        <f t="shared" ref="T5:T35" si="11">S5*3.07</f>
        <v>11.129456100000001</v>
      </c>
      <c r="U5" s="7">
        <f>'[1]Production Summary'!AF67</f>
        <v>8434646</v>
      </c>
      <c r="V5" s="8">
        <f t="shared" ref="V5:V35" si="12">U5/1000000</f>
        <v>8.4346460000000008</v>
      </c>
      <c r="W5" s="10">
        <f t="shared" ref="W5:W35" si="13">V5*3.07</f>
        <v>25.894363220000002</v>
      </c>
      <c r="X5" s="7">
        <f>'[1]Production Summary'!AJ67</f>
        <v>0</v>
      </c>
      <c r="Y5" s="8">
        <f t="shared" ref="Y5:Y35" si="14">X5/1000000</f>
        <v>0</v>
      </c>
      <c r="Z5" s="10">
        <f t="shared" ref="Z5:Z35" si="15">Y5*3.07</f>
        <v>0</v>
      </c>
      <c r="AA5" s="15"/>
      <c r="AB5" s="7">
        <f>B5+O5</f>
        <v>12152879</v>
      </c>
      <c r="AC5" s="8">
        <f>C5+P5</f>
        <v>12.152879</v>
      </c>
      <c r="AD5" s="8">
        <f>D5+Q5</f>
        <v>37.309338529999998</v>
      </c>
    </row>
    <row r="6" spans="1:30" x14ac:dyDescent="0.25">
      <c r="A6" s="1">
        <v>43071</v>
      </c>
      <c r="B6" s="7">
        <f>'[1]Production Summary'!K68</f>
        <v>0</v>
      </c>
      <c r="C6" s="8">
        <f t="shared" si="0"/>
        <v>0</v>
      </c>
      <c r="D6" s="10">
        <f t="shared" si="1"/>
        <v>0</v>
      </c>
      <c r="E6" s="7">
        <f>'[1]Production Summary'!O68</f>
        <v>0</v>
      </c>
      <c r="F6" s="8">
        <f t="shared" si="2"/>
        <v>0</v>
      </c>
      <c r="G6" s="10">
        <f t="shared" si="3"/>
        <v>0</v>
      </c>
      <c r="H6" s="7">
        <f>'[1]Production Summary'!Q68</f>
        <v>0</v>
      </c>
      <c r="I6" s="8">
        <f t="shared" si="4"/>
        <v>0</v>
      </c>
      <c r="J6" s="10">
        <f t="shared" si="5"/>
        <v>0</v>
      </c>
      <c r="K6" s="7">
        <f>'[1]Production Summary'!T68</f>
        <v>6382</v>
      </c>
      <c r="L6" s="8">
        <f t="shared" si="6"/>
        <v>6.3819999999999997E-3</v>
      </c>
      <c r="M6" s="10">
        <f t="shared" si="7"/>
        <v>1.9592739999999997E-2</v>
      </c>
      <c r="N6" s="51"/>
      <c r="O6" s="7">
        <f>'[1]Production Summary'!J68</f>
        <v>11436341</v>
      </c>
      <c r="P6" s="8">
        <f t="shared" si="8"/>
        <v>11.436341000000001</v>
      </c>
      <c r="Q6" s="10">
        <f t="shared" si="9"/>
        <v>35.109566870000002</v>
      </c>
      <c r="R6" s="7">
        <f>'[1]Production Summary'!AE68</f>
        <v>3576507</v>
      </c>
      <c r="S6" s="8">
        <f t="shared" si="10"/>
        <v>3.5765069999999999</v>
      </c>
      <c r="T6" s="10">
        <f t="shared" si="11"/>
        <v>10.979876489999999</v>
      </c>
      <c r="U6" s="7">
        <f>'[1]Production Summary'!AF68</f>
        <v>8343327</v>
      </c>
      <c r="V6" s="8">
        <f t="shared" si="12"/>
        <v>8.3433270000000004</v>
      </c>
      <c r="W6" s="10">
        <f t="shared" si="13"/>
        <v>25.614013889999999</v>
      </c>
      <c r="X6" s="7">
        <f>'[1]Production Summary'!AJ68</f>
        <v>319193</v>
      </c>
      <c r="Y6" s="8">
        <f t="shared" si="14"/>
        <v>0.319193</v>
      </c>
      <c r="Z6" s="10">
        <f t="shared" si="15"/>
        <v>0.97992250999999997</v>
      </c>
      <c r="AA6" s="15"/>
      <c r="AB6" s="7">
        <f t="shared" ref="AB6:AD35" si="16">B6+O6</f>
        <v>11436341</v>
      </c>
      <c r="AC6" s="8">
        <f t="shared" si="16"/>
        <v>11.436341000000001</v>
      </c>
      <c r="AD6" s="8">
        <f t="shared" si="16"/>
        <v>35.109566870000002</v>
      </c>
    </row>
    <row r="7" spans="1:30" x14ac:dyDescent="0.25">
      <c r="A7" s="1">
        <v>43072</v>
      </c>
      <c r="B7" s="7">
        <f>'[1]Production Summary'!K69</f>
        <v>0</v>
      </c>
      <c r="C7" s="8">
        <f t="shared" si="0"/>
        <v>0</v>
      </c>
      <c r="D7" s="10">
        <f t="shared" si="1"/>
        <v>0</v>
      </c>
      <c r="E7" s="7">
        <f>'[1]Production Summary'!O69</f>
        <v>0</v>
      </c>
      <c r="F7" s="8">
        <f t="shared" si="2"/>
        <v>0</v>
      </c>
      <c r="G7" s="10">
        <f t="shared" si="3"/>
        <v>0</v>
      </c>
      <c r="H7" s="7">
        <f>'[1]Production Summary'!Q69</f>
        <v>0</v>
      </c>
      <c r="I7" s="8">
        <f t="shared" si="4"/>
        <v>0</v>
      </c>
      <c r="J7" s="10">
        <f t="shared" si="5"/>
        <v>0</v>
      </c>
      <c r="K7" s="7">
        <f>'[1]Production Summary'!T69</f>
        <v>6382</v>
      </c>
      <c r="L7" s="8">
        <f t="shared" si="6"/>
        <v>6.3819999999999997E-3</v>
      </c>
      <c r="M7" s="10">
        <f t="shared" si="7"/>
        <v>1.9592739999999997E-2</v>
      </c>
      <c r="N7" s="51"/>
      <c r="O7" s="7">
        <f>'[1]Production Summary'!J69</f>
        <v>11829970</v>
      </c>
      <c r="P7" s="8">
        <f t="shared" si="8"/>
        <v>11.829969999999999</v>
      </c>
      <c r="Q7" s="10">
        <f t="shared" si="9"/>
        <v>36.318007899999998</v>
      </c>
      <c r="R7" s="7">
        <f>'[1]Production Summary'!AE69</f>
        <v>3564314</v>
      </c>
      <c r="S7" s="8">
        <f t="shared" si="10"/>
        <v>3.564314</v>
      </c>
      <c r="T7" s="10">
        <f t="shared" si="11"/>
        <v>10.94244398</v>
      </c>
      <c r="U7" s="7">
        <f>'[1]Production Summary'!AF69</f>
        <v>8347206</v>
      </c>
      <c r="V7" s="8">
        <f t="shared" si="12"/>
        <v>8.3472059999999999</v>
      </c>
      <c r="W7" s="10">
        <f t="shared" si="13"/>
        <v>25.625922419999998</v>
      </c>
      <c r="X7" s="7">
        <f>'[1]Production Summary'!AJ69</f>
        <v>68839</v>
      </c>
      <c r="Y7" s="8">
        <f t="shared" si="14"/>
        <v>6.8838999999999997E-2</v>
      </c>
      <c r="Z7" s="10">
        <f t="shared" si="15"/>
        <v>0.21133572999999997</v>
      </c>
      <c r="AA7" s="15"/>
      <c r="AB7" s="7">
        <f t="shared" si="16"/>
        <v>11829970</v>
      </c>
      <c r="AC7" s="8">
        <f t="shared" si="16"/>
        <v>11.829969999999999</v>
      </c>
      <c r="AD7" s="8">
        <f t="shared" si="16"/>
        <v>36.318007899999998</v>
      </c>
    </row>
    <row r="8" spans="1:30" x14ac:dyDescent="0.25">
      <c r="A8" s="1">
        <v>43073</v>
      </c>
      <c r="B8" s="7">
        <f>'[1]Production Summary'!K70</f>
        <v>0</v>
      </c>
      <c r="C8" s="8">
        <f t="shared" si="0"/>
        <v>0</v>
      </c>
      <c r="D8" s="10">
        <f t="shared" si="1"/>
        <v>0</v>
      </c>
      <c r="E8" s="7">
        <f>'[1]Production Summary'!O70</f>
        <v>0</v>
      </c>
      <c r="F8" s="8">
        <f t="shared" si="2"/>
        <v>0</v>
      </c>
      <c r="G8" s="10">
        <f t="shared" si="3"/>
        <v>0</v>
      </c>
      <c r="H8" s="7">
        <f>'[1]Production Summary'!Q70</f>
        <v>0</v>
      </c>
      <c r="I8" s="8">
        <f t="shared" si="4"/>
        <v>0</v>
      </c>
      <c r="J8" s="10">
        <f t="shared" si="5"/>
        <v>0</v>
      </c>
      <c r="K8" s="7">
        <f>'[1]Production Summary'!T70</f>
        <v>60502</v>
      </c>
      <c r="L8" s="8">
        <f t="shared" si="6"/>
        <v>6.0502E-2</v>
      </c>
      <c r="M8" s="10">
        <f t="shared" si="7"/>
        <v>0.18574114</v>
      </c>
      <c r="N8" s="51"/>
      <c r="O8" s="7">
        <f>'[1]Production Summary'!J70</f>
        <v>13081865</v>
      </c>
      <c r="P8" s="8">
        <f t="shared" si="8"/>
        <v>13.081865000000001</v>
      </c>
      <c r="Q8" s="10">
        <f t="shared" si="9"/>
        <v>40.161325550000001</v>
      </c>
      <c r="R8" s="7">
        <f>'[1]Production Summary'!AE70</f>
        <v>3963257</v>
      </c>
      <c r="S8" s="8">
        <f t="shared" si="10"/>
        <v>3.963257</v>
      </c>
      <c r="T8" s="10">
        <f t="shared" si="11"/>
        <v>12.167198989999999</v>
      </c>
      <c r="U8" s="7">
        <f>'[1]Production Summary'!AF70</f>
        <v>9261169</v>
      </c>
      <c r="V8" s="8">
        <f t="shared" si="12"/>
        <v>9.2611690000000007</v>
      </c>
      <c r="W8" s="10">
        <f t="shared" si="13"/>
        <v>28.431788830000002</v>
      </c>
      <c r="X8" s="7">
        <f>'[1]Production Summary'!AJ70</f>
        <v>50523</v>
      </c>
      <c r="Y8" s="8">
        <f t="shared" si="14"/>
        <v>5.0522999999999998E-2</v>
      </c>
      <c r="Z8" s="10">
        <f t="shared" si="15"/>
        <v>0.15510560999999998</v>
      </c>
      <c r="AA8" s="15"/>
      <c r="AB8" s="7">
        <f t="shared" si="16"/>
        <v>13081865</v>
      </c>
      <c r="AC8" s="8">
        <f t="shared" si="16"/>
        <v>13.081865000000001</v>
      </c>
      <c r="AD8" s="8">
        <f>D8+Q8</f>
        <v>40.161325550000001</v>
      </c>
    </row>
    <row r="9" spans="1:30" x14ac:dyDescent="0.25">
      <c r="A9" s="1">
        <v>43074</v>
      </c>
      <c r="B9" s="7">
        <f>'[1]Production Summary'!K71</f>
        <v>0</v>
      </c>
      <c r="C9" s="8">
        <f t="shared" si="0"/>
        <v>0</v>
      </c>
      <c r="D9" s="10">
        <f t="shared" si="1"/>
        <v>0</v>
      </c>
      <c r="E9" s="7">
        <f>'[1]Production Summary'!O71</f>
        <v>0</v>
      </c>
      <c r="F9" s="8">
        <f t="shared" si="2"/>
        <v>0</v>
      </c>
      <c r="G9" s="10">
        <f t="shared" si="3"/>
        <v>0</v>
      </c>
      <c r="H9" s="7">
        <f>'[1]Production Summary'!Q71</f>
        <v>0</v>
      </c>
      <c r="I9" s="8">
        <f t="shared" si="4"/>
        <v>0</v>
      </c>
      <c r="J9" s="10">
        <f t="shared" si="5"/>
        <v>0</v>
      </c>
      <c r="K9" s="7">
        <f>'[1]Production Summary'!T71</f>
        <v>134260</v>
      </c>
      <c r="L9" s="8">
        <f t="shared" si="6"/>
        <v>0.13425999999999999</v>
      </c>
      <c r="M9" s="10">
        <f t="shared" si="7"/>
        <v>0.41217819999999994</v>
      </c>
      <c r="N9" s="51"/>
      <c r="O9" s="7">
        <f>'[1]Production Summary'!J71</f>
        <v>12265608</v>
      </c>
      <c r="P9" s="8">
        <f t="shared" si="8"/>
        <v>12.265608</v>
      </c>
      <c r="Q9" s="10">
        <f t="shared" si="9"/>
        <v>37.655416559999999</v>
      </c>
      <c r="R9" s="7">
        <f>'[1]Production Summary'!AE71</f>
        <v>3816379</v>
      </c>
      <c r="S9" s="8">
        <f t="shared" si="10"/>
        <v>3.816379</v>
      </c>
      <c r="T9" s="10">
        <f t="shared" si="11"/>
        <v>11.71628353</v>
      </c>
      <c r="U9" s="7">
        <f>'[1]Production Summary'!AF71</f>
        <v>8855497</v>
      </c>
      <c r="V9" s="8">
        <f t="shared" si="12"/>
        <v>8.8554969999999997</v>
      </c>
      <c r="W9" s="10">
        <f t="shared" si="13"/>
        <v>27.186375789999996</v>
      </c>
      <c r="X9" s="7">
        <f>'[1]Production Summary'!AJ71</f>
        <v>293029</v>
      </c>
      <c r="Y9" s="8">
        <f t="shared" si="14"/>
        <v>0.29302899999999998</v>
      </c>
      <c r="Z9" s="10">
        <f t="shared" si="15"/>
        <v>0.89959902999999986</v>
      </c>
      <c r="AA9" s="15"/>
      <c r="AB9" s="7">
        <f t="shared" si="16"/>
        <v>12265608</v>
      </c>
      <c r="AC9" s="8">
        <f t="shared" si="16"/>
        <v>12.265608</v>
      </c>
      <c r="AD9" s="8">
        <f t="shared" si="16"/>
        <v>37.655416559999999</v>
      </c>
    </row>
    <row r="10" spans="1:30" x14ac:dyDescent="0.25">
      <c r="A10" s="1">
        <v>43075</v>
      </c>
      <c r="B10" s="7">
        <f>'[1]Production Summary'!K72</f>
        <v>0</v>
      </c>
      <c r="C10" s="8">
        <f t="shared" si="0"/>
        <v>0</v>
      </c>
      <c r="D10" s="10">
        <f t="shared" si="1"/>
        <v>0</v>
      </c>
      <c r="E10" s="7">
        <f>'[1]Production Summary'!O72</f>
        <v>0</v>
      </c>
      <c r="F10" s="8">
        <f t="shared" si="2"/>
        <v>0</v>
      </c>
      <c r="G10" s="10">
        <f t="shared" si="3"/>
        <v>0</v>
      </c>
      <c r="H10" s="7">
        <f>'[1]Production Summary'!Q72</f>
        <v>0</v>
      </c>
      <c r="I10" s="8">
        <f t="shared" si="4"/>
        <v>0</v>
      </c>
      <c r="J10" s="10">
        <f t="shared" si="5"/>
        <v>0</v>
      </c>
      <c r="K10" s="7">
        <f>'[1]Production Summary'!T72</f>
        <v>281626</v>
      </c>
      <c r="L10" s="8">
        <f t="shared" si="6"/>
        <v>0.28162599999999999</v>
      </c>
      <c r="M10" s="10">
        <f t="shared" si="7"/>
        <v>0.8645918199999999</v>
      </c>
      <c r="N10" s="51"/>
      <c r="O10" s="7">
        <f>'[1]Production Summary'!J72</f>
        <v>12390738.833333334</v>
      </c>
      <c r="P10" s="8">
        <f t="shared" si="8"/>
        <v>12.390738833333334</v>
      </c>
      <c r="Q10" s="10">
        <f t="shared" si="9"/>
        <v>38.039568218333329</v>
      </c>
      <c r="R10" s="7">
        <f>'[1]Production Summary'!AE72</f>
        <v>0</v>
      </c>
      <c r="S10" s="8">
        <f t="shared" si="10"/>
        <v>0</v>
      </c>
      <c r="T10" s="10">
        <f t="shared" si="11"/>
        <v>0</v>
      </c>
      <c r="U10" s="7">
        <f>'[1]Production Summary'!AF72</f>
        <v>0</v>
      </c>
      <c r="V10" s="8">
        <f t="shared" si="12"/>
        <v>0</v>
      </c>
      <c r="W10" s="10">
        <f t="shared" si="13"/>
        <v>0</v>
      </c>
      <c r="X10" s="7">
        <f>'[1]Production Summary'!AJ72</f>
        <v>0</v>
      </c>
      <c r="Y10" s="8">
        <f t="shared" si="14"/>
        <v>0</v>
      </c>
      <c r="Z10" s="10">
        <f t="shared" si="15"/>
        <v>0</v>
      </c>
      <c r="AA10" s="15"/>
      <c r="AB10" s="7">
        <f t="shared" si="16"/>
        <v>12390738.833333334</v>
      </c>
      <c r="AC10" s="8">
        <f t="shared" si="16"/>
        <v>12.390738833333334</v>
      </c>
      <c r="AD10" s="8">
        <f t="shared" si="16"/>
        <v>38.039568218333329</v>
      </c>
    </row>
    <row r="11" spans="1:30" x14ac:dyDescent="0.25">
      <c r="A11" s="1">
        <v>43076</v>
      </c>
      <c r="B11" s="7">
        <f>'[1]Production Summary'!K73</f>
        <v>0</v>
      </c>
      <c r="C11" s="8">
        <f t="shared" si="0"/>
        <v>0</v>
      </c>
      <c r="D11" s="10">
        <f t="shared" si="1"/>
        <v>0</v>
      </c>
      <c r="E11" s="7">
        <f>'[1]Production Summary'!O73</f>
        <v>0</v>
      </c>
      <c r="F11" s="8">
        <f t="shared" si="2"/>
        <v>0</v>
      </c>
      <c r="G11" s="10">
        <f t="shared" si="3"/>
        <v>0</v>
      </c>
      <c r="H11" s="7">
        <f>'[1]Production Summary'!Q73</f>
        <v>0</v>
      </c>
      <c r="I11" s="8">
        <f t="shared" si="4"/>
        <v>0</v>
      </c>
      <c r="J11" s="10">
        <f t="shared" si="5"/>
        <v>0</v>
      </c>
      <c r="K11" s="7">
        <f>'[1]Production Summary'!T73</f>
        <v>0</v>
      </c>
      <c r="L11" s="8">
        <f t="shared" si="6"/>
        <v>0</v>
      </c>
      <c r="M11" s="10">
        <f t="shared" si="7"/>
        <v>0</v>
      </c>
      <c r="N11" s="51"/>
      <c r="O11" s="7">
        <f>'[1]Production Summary'!J73</f>
        <v>12828196</v>
      </c>
      <c r="P11" s="8">
        <f t="shared" si="8"/>
        <v>12.828196</v>
      </c>
      <c r="Q11" s="10">
        <f t="shared" si="9"/>
        <v>39.382561719999998</v>
      </c>
      <c r="R11" s="7">
        <f>'[1]Production Summary'!AE73</f>
        <v>3910953</v>
      </c>
      <c r="S11" s="8">
        <f t="shared" si="10"/>
        <v>3.9109530000000001</v>
      </c>
      <c r="T11" s="10">
        <f t="shared" si="11"/>
        <v>12.00662571</v>
      </c>
      <c r="U11" s="7">
        <f>'[1]Production Summary'!AF73</f>
        <v>9052991</v>
      </c>
      <c r="V11" s="8">
        <f t="shared" si="12"/>
        <v>9.0529910000000005</v>
      </c>
      <c r="W11" s="10">
        <f t="shared" si="13"/>
        <v>27.792682370000001</v>
      </c>
      <c r="X11" s="7">
        <f>'[1]Production Summary'!AJ73</f>
        <v>197154</v>
      </c>
      <c r="Y11" s="8">
        <f t="shared" si="14"/>
        <v>0.197154</v>
      </c>
      <c r="Z11" s="10">
        <f t="shared" si="15"/>
        <v>0.60526278</v>
      </c>
      <c r="AA11" s="15"/>
      <c r="AB11" s="7">
        <f t="shared" si="16"/>
        <v>12828196</v>
      </c>
      <c r="AC11" s="8">
        <f t="shared" si="16"/>
        <v>12.828196</v>
      </c>
      <c r="AD11" s="8">
        <f t="shared" si="16"/>
        <v>39.382561719999998</v>
      </c>
    </row>
    <row r="12" spans="1:30" x14ac:dyDescent="0.25">
      <c r="A12" s="1">
        <v>43077</v>
      </c>
      <c r="B12" s="7">
        <f>'[1]Production Summary'!K74</f>
        <v>0</v>
      </c>
      <c r="C12" s="8">
        <f t="shared" si="0"/>
        <v>0</v>
      </c>
      <c r="D12" s="10">
        <f t="shared" si="1"/>
        <v>0</v>
      </c>
      <c r="E12" s="7">
        <f>'[1]Production Summary'!O74</f>
        <v>0</v>
      </c>
      <c r="F12" s="8">
        <f t="shared" si="2"/>
        <v>0</v>
      </c>
      <c r="G12" s="10">
        <f t="shared" si="3"/>
        <v>0</v>
      </c>
      <c r="H12" s="7">
        <f>'[1]Production Summary'!Q74</f>
        <v>0</v>
      </c>
      <c r="I12" s="8">
        <f t="shared" si="4"/>
        <v>0</v>
      </c>
      <c r="J12" s="10">
        <f t="shared" si="5"/>
        <v>0</v>
      </c>
      <c r="K12" s="7">
        <f>'[1]Production Summary'!T74</f>
        <v>0</v>
      </c>
      <c r="L12" s="8">
        <f t="shared" si="6"/>
        <v>0</v>
      </c>
      <c r="M12" s="10">
        <f t="shared" si="7"/>
        <v>0</v>
      </c>
      <c r="N12" s="51"/>
      <c r="O12" s="7">
        <f>'[1]Production Summary'!J74</f>
        <v>11646615</v>
      </c>
      <c r="P12" s="8">
        <f t="shared" si="8"/>
        <v>11.646615000000001</v>
      </c>
      <c r="Q12" s="10">
        <f t="shared" si="9"/>
        <v>35.755108049999997</v>
      </c>
      <c r="R12" s="7">
        <f>'[1]Production Summary'!AE74</f>
        <v>3672358</v>
      </c>
      <c r="S12" s="8">
        <f t="shared" si="10"/>
        <v>3.672358</v>
      </c>
      <c r="T12" s="10">
        <f t="shared" si="11"/>
        <v>11.27413906</v>
      </c>
      <c r="U12" s="7">
        <f>'[1]Production Summary'!AF74</f>
        <v>8464108</v>
      </c>
      <c r="V12" s="8">
        <f t="shared" si="12"/>
        <v>8.4641079999999995</v>
      </c>
      <c r="W12" s="10">
        <f t="shared" si="13"/>
        <v>25.984811559999997</v>
      </c>
      <c r="X12" s="7">
        <f>'[1]Production Summary'!AJ74</f>
        <v>211546</v>
      </c>
      <c r="Y12" s="8">
        <f t="shared" si="14"/>
        <v>0.21154600000000001</v>
      </c>
      <c r="Z12" s="10">
        <f t="shared" si="15"/>
        <v>0.64944621999999996</v>
      </c>
      <c r="AA12" s="15"/>
      <c r="AB12" s="7">
        <f t="shared" si="16"/>
        <v>11646615</v>
      </c>
      <c r="AC12" s="8">
        <f t="shared" si="16"/>
        <v>11.646615000000001</v>
      </c>
      <c r="AD12" s="8">
        <f t="shared" si="16"/>
        <v>35.755108049999997</v>
      </c>
    </row>
    <row r="13" spans="1:30" x14ac:dyDescent="0.25">
      <c r="A13" s="1">
        <v>43078</v>
      </c>
      <c r="B13" s="7">
        <f>'[1]Production Summary'!K75</f>
        <v>0</v>
      </c>
      <c r="C13" s="8">
        <f t="shared" si="0"/>
        <v>0</v>
      </c>
      <c r="D13" s="10">
        <f t="shared" si="1"/>
        <v>0</v>
      </c>
      <c r="E13" s="7">
        <f>'[1]Production Summary'!O75</f>
        <v>0</v>
      </c>
      <c r="F13" s="8">
        <f t="shared" si="2"/>
        <v>0</v>
      </c>
      <c r="G13" s="10">
        <f t="shared" si="3"/>
        <v>0</v>
      </c>
      <c r="H13" s="7">
        <f>'[1]Production Summary'!Q75</f>
        <v>0</v>
      </c>
      <c r="I13" s="8">
        <f t="shared" si="4"/>
        <v>0</v>
      </c>
      <c r="J13" s="10">
        <f t="shared" si="5"/>
        <v>0</v>
      </c>
      <c r="K13" s="7">
        <f>'[1]Production Summary'!T75</f>
        <v>6405</v>
      </c>
      <c r="L13" s="8">
        <f t="shared" si="6"/>
        <v>6.4050000000000001E-3</v>
      </c>
      <c r="M13" s="10">
        <f t="shared" si="7"/>
        <v>1.966335E-2</v>
      </c>
      <c r="N13" s="51"/>
      <c r="O13" s="7">
        <f>'[1]Production Summary'!J75</f>
        <v>11755179</v>
      </c>
      <c r="P13" s="8">
        <f t="shared" si="8"/>
        <v>11.755179</v>
      </c>
      <c r="Q13" s="10">
        <f t="shared" si="9"/>
        <v>36.088399529999997</v>
      </c>
      <c r="R13" s="7">
        <f>'[1]Production Summary'!AE75</f>
        <v>3540211</v>
      </c>
      <c r="S13" s="8">
        <f t="shared" si="10"/>
        <v>3.5402110000000002</v>
      </c>
      <c r="T13" s="10">
        <f t="shared" si="11"/>
        <v>10.86844777</v>
      </c>
      <c r="U13" s="7">
        <f>'[1]Production Summary'!AF75</f>
        <v>8259420</v>
      </c>
      <c r="V13" s="8">
        <f t="shared" si="12"/>
        <v>8.2594200000000004</v>
      </c>
      <c r="W13" s="10">
        <f t="shared" si="13"/>
        <v>25.3564194</v>
      </c>
      <c r="X13" s="7">
        <f>'[1]Production Summary'!AJ75</f>
        <v>115909</v>
      </c>
      <c r="Y13" s="8">
        <f t="shared" si="14"/>
        <v>0.115909</v>
      </c>
      <c r="Z13" s="10">
        <f t="shared" si="15"/>
        <v>0.35584062999999999</v>
      </c>
      <c r="AA13" s="15"/>
      <c r="AB13" s="7">
        <f t="shared" si="16"/>
        <v>11755179</v>
      </c>
      <c r="AC13" s="8">
        <f t="shared" si="16"/>
        <v>11.755179</v>
      </c>
      <c r="AD13" s="8">
        <f t="shared" si="16"/>
        <v>36.088399529999997</v>
      </c>
    </row>
    <row r="14" spans="1:30" x14ac:dyDescent="0.25">
      <c r="A14" s="1">
        <v>43079</v>
      </c>
      <c r="B14" s="7">
        <f>'[1]Production Summary'!K76</f>
        <v>0</v>
      </c>
      <c r="C14" s="8">
        <f t="shared" si="0"/>
        <v>0</v>
      </c>
      <c r="D14" s="10">
        <f t="shared" si="1"/>
        <v>0</v>
      </c>
      <c r="E14" s="7">
        <f>'[1]Production Summary'!O76</f>
        <v>0</v>
      </c>
      <c r="F14" s="8">
        <f t="shared" si="2"/>
        <v>0</v>
      </c>
      <c r="G14" s="10">
        <f t="shared" si="3"/>
        <v>0</v>
      </c>
      <c r="H14" s="7">
        <f>'[1]Production Summary'!Q76</f>
        <v>0</v>
      </c>
      <c r="I14" s="8">
        <f t="shared" si="4"/>
        <v>0</v>
      </c>
      <c r="J14" s="10">
        <f t="shared" si="5"/>
        <v>0</v>
      </c>
      <c r="K14" s="7">
        <f>'[1]Production Summary'!T76</f>
        <v>13796</v>
      </c>
      <c r="L14" s="8">
        <f t="shared" si="6"/>
        <v>1.3795999999999999E-2</v>
      </c>
      <c r="M14" s="10">
        <f t="shared" si="7"/>
        <v>4.2353719999999997E-2</v>
      </c>
      <c r="N14" s="51"/>
      <c r="O14" s="7">
        <f>'[1]Production Summary'!J76</f>
        <v>12212767</v>
      </c>
      <c r="P14" s="8">
        <f t="shared" si="8"/>
        <v>12.212766999999999</v>
      </c>
      <c r="Q14" s="10">
        <f t="shared" si="9"/>
        <v>37.493194689999996</v>
      </c>
      <c r="R14" s="7">
        <f>'[1]Production Summary'!AE76</f>
        <v>4399972</v>
      </c>
      <c r="S14" s="8">
        <f t="shared" si="10"/>
        <v>4.399972</v>
      </c>
      <c r="T14" s="10">
        <f t="shared" si="11"/>
        <v>13.507914039999999</v>
      </c>
      <c r="U14" s="7">
        <f>'[1]Production Summary'!AF76</f>
        <v>7784353</v>
      </c>
      <c r="V14" s="8">
        <f t="shared" si="12"/>
        <v>7.7843530000000003</v>
      </c>
      <c r="W14" s="10">
        <f t="shared" si="13"/>
        <v>23.897963709999999</v>
      </c>
      <c r="X14" s="7">
        <f>'[1]Production Summary'!AJ76</f>
        <v>116173</v>
      </c>
      <c r="Y14" s="8">
        <f t="shared" si="14"/>
        <v>0.116173</v>
      </c>
      <c r="Z14" s="10">
        <f t="shared" si="15"/>
        <v>0.35665110999999999</v>
      </c>
      <c r="AA14" s="15"/>
      <c r="AB14" s="7">
        <f t="shared" si="16"/>
        <v>12212767</v>
      </c>
      <c r="AC14" s="8">
        <f t="shared" si="16"/>
        <v>12.212766999999999</v>
      </c>
      <c r="AD14" s="8">
        <f t="shared" si="16"/>
        <v>37.493194689999996</v>
      </c>
    </row>
    <row r="15" spans="1:30" x14ac:dyDescent="0.25">
      <c r="A15" s="1">
        <v>43080</v>
      </c>
      <c r="B15" s="7">
        <f>'[1]Production Summary'!K77</f>
        <v>0</v>
      </c>
      <c r="C15" s="8">
        <f t="shared" si="0"/>
        <v>0</v>
      </c>
      <c r="D15" s="10">
        <f t="shared" si="1"/>
        <v>0</v>
      </c>
      <c r="E15" s="7">
        <f>'[1]Production Summary'!O77</f>
        <v>0</v>
      </c>
      <c r="F15" s="8">
        <f t="shared" si="2"/>
        <v>0</v>
      </c>
      <c r="G15" s="10">
        <f t="shared" si="3"/>
        <v>0</v>
      </c>
      <c r="H15" s="7">
        <f>'[1]Production Summary'!Q77</f>
        <v>0</v>
      </c>
      <c r="I15" s="8">
        <f t="shared" si="4"/>
        <v>0</v>
      </c>
      <c r="J15" s="10">
        <f t="shared" si="5"/>
        <v>0</v>
      </c>
      <c r="K15" s="7">
        <f>'[1]Production Summary'!T77</f>
        <v>0</v>
      </c>
      <c r="L15" s="8">
        <f t="shared" si="6"/>
        <v>0</v>
      </c>
      <c r="M15" s="10">
        <f t="shared" si="7"/>
        <v>0</v>
      </c>
      <c r="N15" s="51"/>
      <c r="O15" s="7">
        <f>'[1]Production Summary'!J77</f>
        <v>11615171</v>
      </c>
      <c r="P15" s="8">
        <f t="shared" si="8"/>
        <v>11.615171</v>
      </c>
      <c r="Q15" s="10">
        <f t="shared" si="9"/>
        <v>35.658574969999997</v>
      </c>
      <c r="R15" s="7">
        <f>'[1]Production Summary'!AE77</f>
        <v>4818753</v>
      </c>
      <c r="S15" s="8">
        <f t="shared" si="10"/>
        <v>4.8187530000000001</v>
      </c>
      <c r="T15" s="10">
        <f t="shared" si="11"/>
        <v>14.79357171</v>
      </c>
      <c r="U15" s="7">
        <f>'[1]Production Summary'!AF77</f>
        <v>7196198</v>
      </c>
      <c r="V15" s="8">
        <f t="shared" si="12"/>
        <v>7.1961979999999999</v>
      </c>
      <c r="W15" s="10">
        <f t="shared" si="13"/>
        <v>22.092327859999997</v>
      </c>
      <c r="X15" s="7">
        <f>'[1]Production Summary'!AJ77</f>
        <v>231576</v>
      </c>
      <c r="Y15" s="8">
        <f t="shared" si="14"/>
        <v>0.231576</v>
      </c>
      <c r="Z15" s="10">
        <f t="shared" si="15"/>
        <v>0.71093832000000001</v>
      </c>
      <c r="AA15" s="15"/>
      <c r="AB15" s="7">
        <f t="shared" si="16"/>
        <v>11615171</v>
      </c>
      <c r="AC15" s="8">
        <f t="shared" si="16"/>
        <v>11.615171</v>
      </c>
      <c r="AD15" s="8">
        <f t="shared" si="16"/>
        <v>35.658574969999997</v>
      </c>
    </row>
    <row r="16" spans="1:30" x14ac:dyDescent="0.25">
      <c r="A16" s="1">
        <v>43081</v>
      </c>
      <c r="B16" s="7">
        <f>'[1]Production Summary'!K78</f>
        <v>0</v>
      </c>
      <c r="C16" s="8">
        <f t="shared" si="0"/>
        <v>0</v>
      </c>
      <c r="D16" s="10">
        <f t="shared" si="1"/>
        <v>0</v>
      </c>
      <c r="E16" s="7">
        <f>'[1]Production Summary'!O78</f>
        <v>0</v>
      </c>
      <c r="F16" s="8">
        <f t="shared" si="2"/>
        <v>0</v>
      </c>
      <c r="G16" s="10">
        <f t="shared" si="3"/>
        <v>0</v>
      </c>
      <c r="H16" s="7">
        <f>'[1]Production Summary'!Q78</f>
        <v>0</v>
      </c>
      <c r="I16" s="8">
        <f t="shared" si="4"/>
        <v>0</v>
      </c>
      <c r="J16" s="10">
        <f t="shared" si="5"/>
        <v>0</v>
      </c>
      <c r="K16" s="7">
        <f>'[1]Production Summary'!T78</f>
        <v>0</v>
      </c>
      <c r="L16" s="8">
        <f t="shared" si="6"/>
        <v>0</v>
      </c>
      <c r="M16" s="10">
        <f t="shared" si="7"/>
        <v>0</v>
      </c>
      <c r="N16" s="21"/>
      <c r="O16" s="7">
        <f>'[1]Production Summary'!J78</f>
        <v>11905750</v>
      </c>
      <c r="P16" s="8">
        <f t="shared" si="8"/>
        <v>11.905749999999999</v>
      </c>
      <c r="Q16" s="10">
        <f t="shared" si="9"/>
        <v>36.550652499999998</v>
      </c>
      <c r="R16" s="7">
        <f>'[1]Production Summary'!AE78</f>
        <v>4799651</v>
      </c>
      <c r="S16" s="8">
        <f t="shared" si="10"/>
        <v>4.7996509999999999</v>
      </c>
      <c r="T16" s="10">
        <f t="shared" si="11"/>
        <v>14.734928569999999</v>
      </c>
      <c r="U16" s="7">
        <f>'[1]Production Summary'!AF78</f>
        <v>7197890</v>
      </c>
      <c r="V16" s="8">
        <f t="shared" si="12"/>
        <v>7.1978900000000001</v>
      </c>
      <c r="W16" s="10">
        <f t="shared" si="13"/>
        <v>22.097522299999998</v>
      </c>
      <c r="X16" s="7">
        <f>'[1]Production Summary'!AJ78</f>
        <v>115466</v>
      </c>
      <c r="Y16" s="8">
        <f t="shared" si="14"/>
        <v>0.115466</v>
      </c>
      <c r="Z16" s="10">
        <f t="shared" si="15"/>
        <v>0.35448061999999997</v>
      </c>
      <c r="AA16" s="15"/>
      <c r="AB16" s="7">
        <f t="shared" si="16"/>
        <v>11905750</v>
      </c>
      <c r="AC16" s="8">
        <f t="shared" si="16"/>
        <v>11.905749999999999</v>
      </c>
      <c r="AD16" s="8">
        <f t="shared" si="16"/>
        <v>36.550652499999998</v>
      </c>
    </row>
    <row r="17" spans="1:30" x14ac:dyDescent="0.25">
      <c r="A17" s="1">
        <v>43082</v>
      </c>
      <c r="B17" s="7">
        <f>'[1]Production Summary'!K79</f>
        <v>0</v>
      </c>
      <c r="C17" s="8">
        <f t="shared" si="0"/>
        <v>0</v>
      </c>
      <c r="D17" s="10">
        <f t="shared" si="1"/>
        <v>0</v>
      </c>
      <c r="E17" s="7">
        <f>'[1]Production Summary'!O79</f>
        <v>0</v>
      </c>
      <c r="F17" s="8">
        <f t="shared" si="2"/>
        <v>0</v>
      </c>
      <c r="G17" s="10">
        <f t="shared" si="3"/>
        <v>0</v>
      </c>
      <c r="H17" s="7">
        <f>'[1]Production Summary'!Q79</f>
        <v>0</v>
      </c>
      <c r="I17" s="8">
        <f t="shared" si="4"/>
        <v>0</v>
      </c>
      <c r="J17" s="10">
        <f t="shared" si="5"/>
        <v>0</v>
      </c>
      <c r="K17" s="7">
        <f>'[1]Production Summary'!T79</f>
        <v>0</v>
      </c>
      <c r="L17" s="8">
        <f t="shared" si="6"/>
        <v>0</v>
      </c>
      <c r="M17" s="10">
        <f t="shared" si="7"/>
        <v>0</v>
      </c>
      <c r="N17" s="21"/>
      <c r="O17" s="7">
        <f>'[1]Production Summary'!J79</f>
        <v>12028148</v>
      </c>
      <c r="P17" s="8">
        <f t="shared" si="8"/>
        <v>12.028148</v>
      </c>
      <c r="Q17" s="10">
        <f t="shared" si="9"/>
        <v>36.926414359999995</v>
      </c>
      <c r="R17" s="7">
        <f>'[1]Production Summary'!AE79</f>
        <v>4790177</v>
      </c>
      <c r="S17" s="8">
        <f t="shared" si="10"/>
        <v>4.7901769999999999</v>
      </c>
      <c r="T17" s="10">
        <f t="shared" si="11"/>
        <v>14.705843389999998</v>
      </c>
      <c r="U17" s="7">
        <f>'[1]Production Summary'!AF79</f>
        <v>7201804</v>
      </c>
      <c r="V17" s="8">
        <f t="shared" si="12"/>
        <v>7.2018040000000001</v>
      </c>
      <c r="W17" s="10">
        <f t="shared" si="13"/>
        <v>22.109538279999999</v>
      </c>
      <c r="X17" s="7">
        <f>'[1]Production Summary'!AJ79</f>
        <v>116808</v>
      </c>
      <c r="Y17" s="8">
        <f t="shared" si="14"/>
        <v>0.116808</v>
      </c>
      <c r="Z17" s="10">
        <f t="shared" si="15"/>
        <v>0.35860055999999996</v>
      </c>
      <c r="AA17" s="15"/>
      <c r="AB17" s="7">
        <f t="shared" si="16"/>
        <v>12028148</v>
      </c>
      <c r="AC17" s="8">
        <f t="shared" si="16"/>
        <v>12.028148</v>
      </c>
      <c r="AD17" s="8">
        <f t="shared" si="16"/>
        <v>36.926414359999995</v>
      </c>
    </row>
    <row r="18" spans="1:30" x14ac:dyDescent="0.25">
      <c r="A18" s="1">
        <v>43083</v>
      </c>
      <c r="B18" s="7">
        <f>'[1]Production Summary'!K80</f>
        <v>0</v>
      </c>
      <c r="C18" s="8">
        <f t="shared" si="0"/>
        <v>0</v>
      </c>
      <c r="D18" s="10">
        <f t="shared" si="1"/>
        <v>0</v>
      </c>
      <c r="E18" s="7">
        <f>'[1]Production Summary'!O80</f>
        <v>0</v>
      </c>
      <c r="F18" s="8">
        <f t="shared" si="2"/>
        <v>0</v>
      </c>
      <c r="G18" s="10">
        <f t="shared" si="3"/>
        <v>0</v>
      </c>
      <c r="H18" s="7">
        <f>'[1]Production Summary'!Q80</f>
        <v>0</v>
      </c>
      <c r="I18" s="8">
        <f t="shared" si="4"/>
        <v>0</v>
      </c>
      <c r="J18" s="10">
        <f t="shared" si="5"/>
        <v>0</v>
      </c>
      <c r="K18" s="7">
        <f>'[1]Production Summary'!T80</f>
        <v>276344</v>
      </c>
      <c r="L18" s="8">
        <f t="shared" si="6"/>
        <v>0.27634399999999998</v>
      </c>
      <c r="M18" s="10">
        <f t="shared" si="7"/>
        <v>0.84837607999999987</v>
      </c>
      <c r="N18" s="21"/>
      <c r="O18" s="7">
        <f>'[1]Production Summary'!J80</f>
        <v>12629465</v>
      </c>
      <c r="P18" s="8">
        <f t="shared" si="8"/>
        <v>12.629465</v>
      </c>
      <c r="Q18" s="10">
        <f t="shared" si="9"/>
        <v>38.772457549999999</v>
      </c>
      <c r="R18" s="7">
        <f>'[1]Production Summary'!AE80</f>
        <v>5176784</v>
      </c>
      <c r="S18" s="8">
        <f t="shared" si="10"/>
        <v>5.1767839999999996</v>
      </c>
      <c r="T18" s="10">
        <f t="shared" si="11"/>
        <v>15.892726879999998</v>
      </c>
      <c r="U18" s="7">
        <f>'[1]Production Summary'!AF80</f>
        <v>7771159</v>
      </c>
      <c r="V18" s="8">
        <f t="shared" si="12"/>
        <v>7.7711589999999999</v>
      </c>
      <c r="W18" s="10">
        <f t="shared" si="13"/>
        <v>23.857458129999998</v>
      </c>
      <c r="X18" s="7">
        <f>'[1]Production Summary'!AJ80</f>
        <v>233407</v>
      </c>
      <c r="Y18" s="8">
        <f t="shared" si="14"/>
        <v>0.233407</v>
      </c>
      <c r="Z18" s="10">
        <f t="shared" si="15"/>
        <v>0.71655948999999997</v>
      </c>
      <c r="AA18" s="15"/>
      <c r="AB18" s="7">
        <f t="shared" si="16"/>
        <v>12629465</v>
      </c>
      <c r="AC18" s="8">
        <f t="shared" si="16"/>
        <v>12.629465</v>
      </c>
      <c r="AD18" s="8">
        <f t="shared" si="16"/>
        <v>38.772457549999999</v>
      </c>
    </row>
    <row r="19" spans="1:30" x14ac:dyDescent="0.25">
      <c r="A19" s="1">
        <v>43084</v>
      </c>
      <c r="B19" s="7">
        <f>'[1]Production Summary'!K81</f>
        <v>0</v>
      </c>
      <c r="C19" s="8">
        <f t="shared" si="0"/>
        <v>0</v>
      </c>
      <c r="D19" s="10">
        <f t="shared" si="1"/>
        <v>0</v>
      </c>
      <c r="E19" s="7">
        <f>'[1]Production Summary'!O81</f>
        <v>0</v>
      </c>
      <c r="F19" s="8">
        <f t="shared" si="2"/>
        <v>0</v>
      </c>
      <c r="G19" s="10">
        <f t="shared" si="3"/>
        <v>0</v>
      </c>
      <c r="H19" s="7">
        <f>'[1]Production Summary'!Q81</f>
        <v>0</v>
      </c>
      <c r="I19" s="8">
        <f t="shared" si="4"/>
        <v>0</v>
      </c>
      <c r="J19" s="10">
        <f t="shared" si="5"/>
        <v>0</v>
      </c>
      <c r="K19" s="7">
        <f>'[1]Production Summary'!T81</f>
        <v>39</v>
      </c>
      <c r="L19" s="8">
        <f t="shared" si="6"/>
        <v>3.8999999999999999E-5</v>
      </c>
      <c r="M19" s="10">
        <f t="shared" si="7"/>
        <v>1.1972999999999999E-4</v>
      </c>
      <c r="N19" s="21"/>
      <c r="O19" s="7">
        <f>'[1]Production Summary'!J81</f>
        <v>12972008</v>
      </c>
      <c r="P19" s="8">
        <f t="shared" si="8"/>
        <v>12.972008000000001</v>
      </c>
      <c r="Q19" s="10">
        <f t="shared" si="9"/>
        <v>39.824064559999997</v>
      </c>
      <c r="R19" s="7">
        <f>'[1]Production Summary'!AE81</f>
        <v>5182831</v>
      </c>
      <c r="S19" s="8">
        <f t="shared" si="10"/>
        <v>5.1828310000000002</v>
      </c>
      <c r="T19" s="10">
        <f t="shared" si="11"/>
        <v>15.91129117</v>
      </c>
      <c r="U19" s="7">
        <f>'[1]Production Summary'!AF81</f>
        <v>7780621</v>
      </c>
      <c r="V19" s="8">
        <f t="shared" si="12"/>
        <v>7.780621</v>
      </c>
      <c r="W19" s="10">
        <f t="shared" si="13"/>
        <v>23.88650647</v>
      </c>
      <c r="X19" s="7">
        <f>'[1]Production Summary'!AJ81</f>
        <v>117073</v>
      </c>
      <c r="Y19" s="8">
        <f t="shared" si="14"/>
        <v>0.117073</v>
      </c>
      <c r="Z19" s="10">
        <f t="shared" si="15"/>
        <v>0.35941410999999995</v>
      </c>
      <c r="AA19" s="15"/>
      <c r="AB19" s="7">
        <f t="shared" si="16"/>
        <v>12972008</v>
      </c>
      <c r="AC19" s="8">
        <f t="shared" si="16"/>
        <v>12.972008000000001</v>
      </c>
      <c r="AD19" s="8">
        <f>D19+Q19</f>
        <v>39.824064559999997</v>
      </c>
    </row>
    <row r="20" spans="1:30" x14ac:dyDescent="0.25">
      <c r="A20" s="1">
        <v>43085</v>
      </c>
      <c r="B20" s="7">
        <f>'[1]Production Summary'!K82</f>
        <v>0</v>
      </c>
      <c r="C20" s="8">
        <f t="shared" si="0"/>
        <v>0</v>
      </c>
      <c r="D20" s="10">
        <f t="shared" si="1"/>
        <v>0</v>
      </c>
      <c r="E20" s="7">
        <f>'[1]Production Summary'!O82</f>
        <v>0</v>
      </c>
      <c r="F20" s="8">
        <f t="shared" si="2"/>
        <v>0</v>
      </c>
      <c r="G20" s="10">
        <f t="shared" si="3"/>
        <v>0</v>
      </c>
      <c r="H20" s="7">
        <f>'[1]Production Summary'!Q82</f>
        <v>0</v>
      </c>
      <c r="I20" s="8">
        <f t="shared" si="4"/>
        <v>0</v>
      </c>
      <c r="J20" s="10">
        <f t="shared" si="5"/>
        <v>0</v>
      </c>
      <c r="K20" s="7">
        <f>'[1]Production Summary'!T82</f>
        <v>0</v>
      </c>
      <c r="L20" s="8">
        <f t="shared" si="6"/>
        <v>0</v>
      </c>
      <c r="M20" s="10">
        <f t="shared" si="7"/>
        <v>0</v>
      </c>
      <c r="N20" s="21"/>
      <c r="O20" s="7">
        <f>'[1]Production Summary'!J82</f>
        <v>12971590</v>
      </c>
      <c r="P20" s="8">
        <f t="shared" si="8"/>
        <v>12.971590000000001</v>
      </c>
      <c r="Q20" s="10">
        <f t="shared" si="9"/>
        <v>39.822781300000003</v>
      </c>
      <c r="R20" s="7">
        <f>'[1]Production Summary'!AE82</f>
        <v>5190097</v>
      </c>
      <c r="S20" s="8">
        <f t="shared" si="10"/>
        <v>5.1900969999999997</v>
      </c>
      <c r="T20" s="10">
        <f t="shared" si="11"/>
        <v>15.933597789999999</v>
      </c>
      <c r="U20" s="7">
        <f>'[1]Production Summary'!AF82</f>
        <v>7779468</v>
      </c>
      <c r="V20" s="8">
        <f t="shared" si="12"/>
        <v>7.7794679999999996</v>
      </c>
      <c r="W20" s="10">
        <f t="shared" si="13"/>
        <v>23.882966759999999</v>
      </c>
      <c r="X20" s="7">
        <f>'[1]Production Summary'!AJ82</f>
        <v>115535</v>
      </c>
      <c r="Y20" s="8">
        <f t="shared" si="14"/>
        <v>0.115535</v>
      </c>
      <c r="Z20" s="10">
        <f t="shared" si="15"/>
        <v>0.35469244999999999</v>
      </c>
      <c r="AA20" s="15"/>
      <c r="AB20" s="7">
        <f t="shared" si="16"/>
        <v>12971590</v>
      </c>
      <c r="AC20" s="8">
        <f t="shared" si="16"/>
        <v>12.971590000000001</v>
      </c>
      <c r="AD20" s="8">
        <f t="shared" si="16"/>
        <v>39.822781300000003</v>
      </c>
    </row>
    <row r="21" spans="1:30" x14ac:dyDescent="0.25">
      <c r="A21" s="1">
        <v>43086</v>
      </c>
      <c r="B21" s="7">
        <f>'[1]Production Summary'!K83</f>
        <v>0</v>
      </c>
      <c r="C21" s="8">
        <f t="shared" si="0"/>
        <v>0</v>
      </c>
      <c r="D21" s="10">
        <f t="shared" si="1"/>
        <v>0</v>
      </c>
      <c r="E21" s="7">
        <f>'[1]Production Summary'!O83</f>
        <v>0</v>
      </c>
      <c r="F21" s="8">
        <f t="shared" si="2"/>
        <v>0</v>
      </c>
      <c r="G21" s="10">
        <f t="shared" si="3"/>
        <v>0</v>
      </c>
      <c r="H21" s="7">
        <f>'[1]Production Summary'!Q83</f>
        <v>0</v>
      </c>
      <c r="I21" s="8">
        <f t="shared" si="4"/>
        <v>0</v>
      </c>
      <c r="J21" s="10">
        <f t="shared" si="5"/>
        <v>0</v>
      </c>
      <c r="K21" s="7">
        <f>'[1]Production Summary'!T83</f>
        <v>0</v>
      </c>
      <c r="L21" s="8">
        <f t="shared" si="6"/>
        <v>0</v>
      </c>
      <c r="M21" s="10">
        <f t="shared" si="7"/>
        <v>0</v>
      </c>
      <c r="N21" s="21"/>
      <c r="O21" s="7">
        <f>'[1]Production Summary'!J83</f>
        <v>10430211</v>
      </c>
      <c r="P21" s="8">
        <f t="shared" si="8"/>
        <v>10.430211</v>
      </c>
      <c r="Q21" s="10">
        <f t="shared" si="9"/>
        <v>32.02074777</v>
      </c>
      <c r="R21" s="7">
        <f>'[1]Production Summary'!AE83</f>
        <v>4316697</v>
      </c>
      <c r="S21" s="8">
        <f t="shared" si="10"/>
        <v>4.3166969999999996</v>
      </c>
      <c r="T21" s="10">
        <f t="shared" si="11"/>
        <v>13.252259789999998</v>
      </c>
      <c r="U21" s="7">
        <f>'[1]Production Summary'!AF83</f>
        <v>6504225</v>
      </c>
      <c r="V21" s="8">
        <f t="shared" si="12"/>
        <v>6.5042249999999999</v>
      </c>
      <c r="W21" s="10">
        <f t="shared" si="13"/>
        <v>19.967970749999999</v>
      </c>
      <c r="X21" s="7">
        <f>'[1]Production Summary'!AJ83</f>
        <v>231773</v>
      </c>
      <c r="Y21" s="8">
        <f t="shared" si="14"/>
        <v>0.23177300000000001</v>
      </c>
      <c r="Z21" s="10">
        <f t="shared" si="15"/>
        <v>0.71154311000000003</v>
      </c>
      <c r="AA21" s="15"/>
      <c r="AB21" s="7">
        <f t="shared" si="16"/>
        <v>10430211</v>
      </c>
      <c r="AC21" s="8">
        <f t="shared" si="16"/>
        <v>10.430211</v>
      </c>
      <c r="AD21" s="8">
        <f t="shared" si="16"/>
        <v>32.02074777</v>
      </c>
    </row>
    <row r="22" spans="1:30" x14ac:dyDescent="0.25">
      <c r="A22" s="1">
        <v>43087</v>
      </c>
      <c r="B22" s="7">
        <f>'[1]Production Summary'!K84</f>
        <v>0</v>
      </c>
      <c r="C22" s="8">
        <f t="shared" si="0"/>
        <v>0</v>
      </c>
      <c r="D22" s="10">
        <f t="shared" si="1"/>
        <v>0</v>
      </c>
      <c r="E22" s="7">
        <f>'[1]Production Summary'!O84</f>
        <v>0</v>
      </c>
      <c r="F22" s="8">
        <f t="shared" si="2"/>
        <v>0</v>
      </c>
      <c r="G22" s="10">
        <f t="shared" si="3"/>
        <v>0</v>
      </c>
      <c r="H22" s="7">
        <f>'[1]Production Summary'!Q84</f>
        <v>0</v>
      </c>
      <c r="I22" s="8">
        <f t="shared" si="4"/>
        <v>0</v>
      </c>
      <c r="J22" s="10">
        <f t="shared" si="5"/>
        <v>0</v>
      </c>
      <c r="K22" s="7">
        <f>'[1]Production Summary'!T84</f>
        <v>0</v>
      </c>
      <c r="L22" s="8">
        <f t="shared" si="6"/>
        <v>0</v>
      </c>
      <c r="M22" s="10">
        <f t="shared" si="7"/>
        <v>0</v>
      </c>
      <c r="N22" s="21"/>
      <c r="O22" s="7">
        <f>'[1]Production Summary'!J84</f>
        <v>11994361</v>
      </c>
      <c r="P22" s="8">
        <f t="shared" si="8"/>
        <v>11.994361</v>
      </c>
      <c r="Q22" s="10">
        <f t="shared" si="9"/>
        <v>36.822688269999993</v>
      </c>
      <c r="R22" s="7">
        <f>'[1]Production Summary'!AE84</f>
        <v>5163502</v>
      </c>
      <c r="S22" s="8">
        <f t="shared" si="10"/>
        <v>5.1635020000000003</v>
      </c>
      <c r="T22" s="10">
        <f t="shared" si="11"/>
        <v>15.851951140000001</v>
      </c>
      <c r="U22" s="7">
        <f>'[1]Production Summary'!AF84</f>
        <v>6768335</v>
      </c>
      <c r="V22" s="8">
        <f t="shared" si="12"/>
        <v>6.7683350000000004</v>
      </c>
      <c r="W22" s="10">
        <f t="shared" si="13"/>
        <v>20.77878845</v>
      </c>
      <c r="X22" s="7">
        <f>'[1]Production Summary'!AJ84</f>
        <v>115729</v>
      </c>
      <c r="Y22" s="8">
        <f t="shared" si="14"/>
        <v>0.115729</v>
      </c>
      <c r="Z22" s="10">
        <f t="shared" si="15"/>
        <v>0.35528802999999998</v>
      </c>
      <c r="AA22" s="15"/>
      <c r="AB22" s="7">
        <f t="shared" si="16"/>
        <v>11994361</v>
      </c>
      <c r="AC22" s="8">
        <f t="shared" si="16"/>
        <v>11.994361</v>
      </c>
      <c r="AD22" s="8">
        <f t="shared" si="16"/>
        <v>36.822688269999993</v>
      </c>
    </row>
    <row r="23" spans="1:30" x14ac:dyDescent="0.25">
      <c r="A23" s="1">
        <v>43088</v>
      </c>
      <c r="B23" s="7">
        <f>'[1]Production Summary'!K85</f>
        <v>0</v>
      </c>
      <c r="C23" s="8">
        <f t="shared" si="0"/>
        <v>0</v>
      </c>
      <c r="D23" s="10">
        <f t="shared" si="1"/>
        <v>0</v>
      </c>
      <c r="E23" s="7">
        <f>'[1]Production Summary'!O85</f>
        <v>0</v>
      </c>
      <c r="F23" s="8">
        <f t="shared" si="2"/>
        <v>0</v>
      </c>
      <c r="G23" s="10">
        <f t="shared" si="3"/>
        <v>0</v>
      </c>
      <c r="H23" s="7">
        <f>'[1]Production Summary'!Q85</f>
        <v>0</v>
      </c>
      <c r="I23" s="8">
        <f t="shared" si="4"/>
        <v>0</v>
      </c>
      <c r="J23" s="10">
        <f t="shared" si="5"/>
        <v>0</v>
      </c>
      <c r="K23" s="7">
        <f>'[1]Production Summary'!T85</f>
        <v>0</v>
      </c>
      <c r="L23" s="8">
        <f t="shared" si="6"/>
        <v>0</v>
      </c>
      <c r="M23" s="10">
        <f t="shared" si="7"/>
        <v>0</v>
      </c>
      <c r="N23" s="21"/>
      <c r="O23" s="7">
        <f>'[1]Production Summary'!J85</f>
        <v>10748960</v>
      </c>
      <c r="P23" s="8">
        <f t="shared" si="8"/>
        <v>10.74896</v>
      </c>
      <c r="Q23" s="10">
        <f t="shared" si="9"/>
        <v>32.999307199999997</v>
      </c>
      <c r="R23" s="7">
        <f>'[1]Production Summary'!AE85</f>
        <v>4834423</v>
      </c>
      <c r="S23" s="8">
        <f t="shared" si="10"/>
        <v>4.8344230000000001</v>
      </c>
      <c r="T23" s="10">
        <f t="shared" si="11"/>
        <v>14.841678609999999</v>
      </c>
      <c r="U23" s="7">
        <f>'[1]Production Summary'!AF85</f>
        <v>5912390</v>
      </c>
      <c r="V23" s="8">
        <f t="shared" si="12"/>
        <v>5.9123900000000003</v>
      </c>
      <c r="W23" s="10">
        <f t="shared" si="13"/>
        <v>18.151037299999999</v>
      </c>
      <c r="X23" s="7">
        <f>'[1]Production Summary'!AJ85</f>
        <v>117885</v>
      </c>
      <c r="Y23" s="8">
        <f t="shared" si="14"/>
        <v>0.117885</v>
      </c>
      <c r="Z23" s="10">
        <f t="shared" si="15"/>
        <v>0.36190695000000001</v>
      </c>
      <c r="AA23" s="15"/>
      <c r="AB23" s="7">
        <f t="shared" si="16"/>
        <v>10748960</v>
      </c>
      <c r="AC23" s="8">
        <f t="shared" si="16"/>
        <v>10.74896</v>
      </c>
      <c r="AD23" s="8">
        <f t="shared" si="16"/>
        <v>32.999307199999997</v>
      </c>
    </row>
    <row r="24" spans="1:30" x14ac:dyDescent="0.25">
      <c r="A24" s="1">
        <v>43089</v>
      </c>
      <c r="B24" s="7">
        <f>'[1]Production Summary'!K86</f>
        <v>0</v>
      </c>
      <c r="C24" s="8">
        <f t="shared" si="0"/>
        <v>0</v>
      </c>
      <c r="D24" s="10">
        <f t="shared" si="1"/>
        <v>0</v>
      </c>
      <c r="E24" s="7">
        <f>'[1]Production Summary'!O86</f>
        <v>0</v>
      </c>
      <c r="F24" s="8">
        <f t="shared" si="2"/>
        <v>0</v>
      </c>
      <c r="G24" s="10">
        <f t="shared" si="3"/>
        <v>0</v>
      </c>
      <c r="H24" s="7">
        <f>'[1]Production Summary'!Q86</f>
        <v>0</v>
      </c>
      <c r="I24" s="8">
        <f t="shared" si="4"/>
        <v>0</v>
      </c>
      <c r="J24" s="10">
        <f t="shared" si="5"/>
        <v>0</v>
      </c>
      <c r="K24" s="7">
        <f>'[1]Production Summary'!T86</f>
        <v>0</v>
      </c>
      <c r="L24" s="8">
        <f t="shared" si="6"/>
        <v>0</v>
      </c>
      <c r="M24" s="10">
        <f t="shared" si="7"/>
        <v>0</v>
      </c>
      <c r="N24" s="21"/>
      <c r="O24" s="7">
        <f>'[1]Production Summary'!J86</f>
        <v>12481638</v>
      </c>
      <c r="P24" s="8">
        <f t="shared" si="8"/>
        <v>12.481638</v>
      </c>
      <c r="Q24" s="10">
        <f t="shared" si="9"/>
        <v>38.318628660000002</v>
      </c>
      <c r="R24" s="7">
        <f>'[1]Production Summary'!AE86</f>
        <v>5720870</v>
      </c>
      <c r="S24" s="8">
        <f t="shared" si="10"/>
        <v>5.7208699999999997</v>
      </c>
      <c r="T24" s="10">
        <f t="shared" si="11"/>
        <v>17.5630709</v>
      </c>
      <c r="U24" s="7">
        <f>'[1]Production Summary'!AF86</f>
        <v>6993347</v>
      </c>
      <c r="V24" s="8">
        <f t="shared" si="12"/>
        <v>6.993347</v>
      </c>
      <c r="W24" s="10">
        <f t="shared" si="13"/>
        <v>21.469575289999998</v>
      </c>
      <c r="X24" s="7">
        <f>'[1]Production Summary'!AJ86</f>
        <v>195711</v>
      </c>
      <c r="Y24" s="8">
        <f t="shared" si="14"/>
        <v>0.195711</v>
      </c>
      <c r="Z24" s="10">
        <f t="shared" si="15"/>
        <v>0.6008327699999999</v>
      </c>
      <c r="AA24" s="15"/>
      <c r="AB24" s="7">
        <f t="shared" si="16"/>
        <v>12481638</v>
      </c>
      <c r="AC24" s="8">
        <f t="shared" si="16"/>
        <v>12.481638</v>
      </c>
      <c r="AD24" s="8">
        <f>D24+Q24</f>
        <v>38.318628660000002</v>
      </c>
    </row>
    <row r="25" spans="1:30" x14ac:dyDescent="0.25">
      <c r="A25" s="1">
        <v>43090</v>
      </c>
      <c r="B25" s="7">
        <f>'[1]Production Summary'!K87</f>
        <v>0</v>
      </c>
      <c r="C25" s="8">
        <f t="shared" si="0"/>
        <v>0</v>
      </c>
      <c r="D25" s="10">
        <f t="shared" si="1"/>
        <v>0</v>
      </c>
      <c r="E25" s="7">
        <f>'[1]Production Summary'!O87</f>
        <v>0</v>
      </c>
      <c r="F25" s="8">
        <f t="shared" si="2"/>
        <v>0</v>
      </c>
      <c r="G25" s="10">
        <f t="shared" si="3"/>
        <v>0</v>
      </c>
      <c r="H25" s="7">
        <f>'[1]Production Summary'!Q87</f>
        <v>0</v>
      </c>
      <c r="I25" s="8">
        <f t="shared" si="4"/>
        <v>0</v>
      </c>
      <c r="J25" s="10">
        <f t="shared" si="5"/>
        <v>0</v>
      </c>
      <c r="K25" s="7">
        <f>'[1]Production Summary'!T87</f>
        <v>0</v>
      </c>
      <c r="L25" s="8">
        <f t="shared" si="6"/>
        <v>0</v>
      </c>
      <c r="M25" s="10">
        <f t="shared" si="7"/>
        <v>0</v>
      </c>
      <c r="N25" s="21"/>
      <c r="O25" s="7">
        <f>'[1]Production Summary'!J87</f>
        <v>13910183</v>
      </c>
      <c r="P25" s="8">
        <f t="shared" si="8"/>
        <v>13.910183</v>
      </c>
      <c r="Q25" s="10">
        <f t="shared" si="9"/>
        <v>42.704261809999998</v>
      </c>
      <c r="R25" s="7">
        <f>'[1]Production Summary'!AE87</f>
        <v>6295527</v>
      </c>
      <c r="S25" s="8">
        <f t="shared" si="10"/>
        <v>6.2955269999999999</v>
      </c>
      <c r="T25" s="10">
        <f t="shared" si="11"/>
        <v>19.327267889999998</v>
      </c>
      <c r="U25" s="7">
        <f>'[1]Production Summary'!AF87</f>
        <v>7691115</v>
      </c>
      <c r="V25" s="8">
        <f t="shared" si="12"/>
        <v>7.6911149999999999</v>
      </c>
      <c r="W25" s="10">
        <f t="shared" si="13"/>
        <v>23.611723049999998</v>
      </c>
      <c r="X25" s="7">
        <f>'[1]Production Summary'!AJ87</f>
        <v>150629</v>
      </c>
      <c r="Y25" s="8">
        <f t="shared" si="14"/>
        <v>0.15062900000000001</v>
      </c>
      <c r="Z25" s="10">
        <f t="shared" si="15"/>
        <v>0.46243103000000002</v>
      </c>
      <c r="AA25" s="15"/>
      <c r="AB25" s="7">
        <f t="shared" si="16"/>
        <v>13910183</v>
      </c>
      <c r="AC25" s="8">
        <f t="shared" si="16"/>
        <v>13.910183</v>
      </c>
      <c r="AD25" s="8">
        <f t="shared" si="16"/>
        <v>42.704261809999998</v>
      </c>
    </row>
    <row r="26" spans="1:30" x14ac:dyDescent="0.25">
      <c r="A26" s="1">
        <v>43091</v>
      </c>
      <c r="B26" s="7">
        <f>'[1]Production Summary'!K88</f>
        <v>0</v>
      </c>
      <c r="C26" s="8">
        <f t="shared" si="0"/>
        <v>0</v>
      </c>
      <c r="D26" s="10">
        <f t="shared" si="1"/>
        <v>0</v>
      </c>
      <c r="E26" s="7">
        <f>'[1]Production Summary'!O88</f>
        <v>0</v>
      </c>
      <c r="F26" s="8">
        <f t="shared" si="2"/>
        <v>0</v>
      </c>
      <c r="G26" s="10">
        <f t="shared" si="3"/>
        <v>0</v>
      </c>
      <c r="H26" s="7">
        <f>'[1]Production Summary'!Q88</f>
        <v>0</v>
      </c>
      <c r="I26" s="8">
        <f t="shared" si="4"/>
        <v>0</v>
      </c>
      <c r="J26" s="10">
        <f t="shared" si="5"/>
        <v>0</v>
      </c>
      <c r="K26" s="7">
        <f>'[1]Production Summary'!T88</f>
        <v>0</v>
      </c>
      <c r="L26" s="8">
        <f t="shared" si="6"/>
        <v>0</v>
      </c>
      <c r="M26" s="10">
        <f t="shared" si="7"/>
        <v>0</v>
      </c>
      <c r="N26" s="21"/>
      <c r="O26" s="7">
        <f>'[1]Production Summary'!J88</f>
        <v>12213009</v>
      </c>
      <c r="P26" s="8">
        <f t="shared" si="8"/>
        <v>12.213009</v>
      </c>
      <c r="Q26" s="10">
        <f t="shared" si="9"/>
        <v>37.493937629999998</v>
      </c>
      <c r="R26" s="7">
        <f>'[1]Production Summary'!AE88</f>
        <v>5471080</v>
      </c>
      <c r="S26" s="8">
        <f t="shared" si="10"/>
        <v>5.4710799999999997</v>
      </c>
      <c r="T26" s="10">
        <f t="shared" si="11"/>
        <v>16.7962156</v>
      </c>
      <c r="U26" s="7">
        <f>'[1]Production Summary'!AF88</f>
        <v>6668586</v>
      </c>
      <c r="V26" s="8">
        <f t="shared" si="12"/>
        <v>6.6685860000000003</v>
      </c>
      <c r="W26" s="10">
        <f t="shared" si="13"/>
        <v>20.472559019999998</v>
      </c>
      <c r="X26" s="7">
        <f>'[1]Production Summary'!AJ88</f>
        <v>102352</v>
      </c>
      <c r="Y26" s="8">
        <f t="shared" si="14"/>
        <v>0.102352</v>
      </c>
      <c r="Z26" s="10">
        <f t="shared" si="15"/>
        <v>0.31422064</v>
      </c>
      <c r="AA26" s="15"/>
      <c r="AB26" s="7">
        <f t="shared" si="16"/>
        <v>12213009</v>
      </c>
      <c r="AC26" s="8">
        <f t="shared" si="16"/>
        <v>12.213009</v>
      </c>
      <c r="AD26" s="8">
        <f t="shared" si="16"/>
        <v>37.493937629999998</v>
      </c>
    </row>
    <row r="27" spans="1:30" x14ac:dyDescent="0.25">
      <c r="A27" s="1">
        <v>43092</v>
      </c>
      <c r="B27" s="7">
        <f>'[1]Production Summary'!K89</f>
        <v>0</v>
      </c>
      <c r="C27" s="8">
        <f t="shared" si="0"/>
        <v>0</v>
      </c>
      <c r="D27" s="10">
        <f t="shared" si="1"/>
        <v>0</v>
      </c>
      <c r="E27" s="7">
        <f>'[1]Production Summary'!O89</f>
        <v>0</v>
      </c>
      <c r="F27" s="8">
        <f t="shared" si="2"/>
        <v>0</v>
      </c>
      <c r="G27" s="10">
        <f t="shared" si="3"/>
        <v>0</v>
      </c>
      <c r="H27" s="7">
        <f>'[1]Production Summary'!Q89</f>
        <v>0</v>
      </c>
      <c r="I27" s="8">
        <f t="shared" si="4"/>
        <v>0</v>
      </c>
      <c r="J27" s="10">
        <f t="shared" si="5"/>
        <v>0</v>
      </c>
      <c r="K27" s="7">
        <f>'[1]Production Summary'!T89</f>
        <v>0</v>
      </c>
      <c r="L27" s="8">
        <f t="shared" si="6"/>
        <v>0</v>
      </c>
      <c r="M27" s="10">
        <f t="shared" si="7"/>
        <v>0</v>
      </c>
      <c r="N27" s="21"/>
      <c r="O27" s="7">
        <f>'[1]Production Summary'!J89</f>
        <v>11723955</v>
      </c>
      <c r="P27" s="8">
        <f t="shared" si="8"/>
        <v>11.723955</v>
      </c>
      <c r="Q27" s="10">
        <f t="shared" si="9"/>
        <v>35.992541850000002</v>
      </c>
      <c r="R27" s="7">
        <f>'[1]Production Summary'!AE89</f>
        <v>5392413</v>
      </c>
      <c r="S27" s="8">
        <f t="shared" si="10"/>
        <v>5.3924130000000003</v>
      </c>
      <c r="T27" s="10">
        <f t="shared" si="11"/>
        <v>16.554707910000001</v>
      </c>
      <c r="U27" s="7">
        <f>'[1]Production Summary'!AF89</f>
        <v>6577450</v>
      </c>
      <c r="V27" s="8">
        <f t="shared" si="12"/>
        <v>6.5774499999999998</v>
      </c>
      <c r="W27" s="10">
        <f t="shared" si="13"/>
        <v>20.192771499999999</v>
      </c>
      <c r="X27" s="7">
        <f>'[1]Production Summary'!AJ89</f>
        <v>204917</v>
      </c>
      <c r="Y27" s="8">
        <f t="shared" si="14"/>
        <v>0.20491699999999999</v>
      </c>
      <c r="Z27" s="10">
        <f t="shared" si="15"/>
        <v>0.62909518999999992</v>
      </c>
      <c r="AA27" s="15"/>
      <c r="AB27" s="7">
        <f t="shared" si="16"/>
        <v>11723955</v>
      </c>
      <c r="AC27" s="8">
        <f t="shared" si="16"/>
        <v>11.723955</v>
      </c>
      <c r="AD27" s="8">
        <f t="shared" si="16"/>
        <v>35.992541850000002</v>
      </c>
    </row>
    <row r="28" spans="1:30" x14ac:dyDescent="0.25">
      <c r="A28" s="1">
        <v>43093</v>
      </c>
      <c r="B28" s="7">
        <f>'[1]Production Summary'!K90</f>
        <v>0</v>
      </c>
      <c r="C28" s="8">
        <f t="shared" si="0"/>
        <v>0</v>
      </c>
      <c r="D28" s="10">
        <f t="shared" si="1"/>
        <v>0</v>
      </c>
      <c r="E28" s="7">
        <f>'[1]Production Summary'!O90</f>
        <v>0</v>
      </c>
      <c r="F28" s="8">
        <f t="shared" si="2"/>
        <v>0</v>
      </c>
      <c r="G28" s="10">
        <f t="shared" si="3"/>
        <v>0</v>
      </c>
      <c r="H28" s="7">
        <f>'[1]Production Summary'!Q90</f>
        <v>0</v>
      </c>
      <c r="I28" s="8">
        <f t="shared" si="4"/>
        <v>0</v>
      </c>
      <c r="J28" s="10">
        <f t="shared" si="5"/>
        <v>0</v>
      </c>
      <c r="K28" s="7">
        <f>'[1]Production Summary'!T90</f>
        <v>0</v>
      </c>
      <c r="L28" s="8">
        <f t="shared" si="6"/>
        <v>0</v>
      </c>
      <c r="M28" s="10">
        <f t="shared" si="7"/>
        <v>0</v>
      </c>
      <c r="N28" s="21"/>
      <c r="O28" s="7">
        <f>'[1]Production Summary'!J90</f>
        <v>12396774</v>
      </c>
      <c r="P28" s="8">
        <f t="shared" si="8"/>
        <v>12.396774000000001</v>
      </c>
      <c r="Q28" s="10">
        <f t="shared" si="9"/>
        <v>38.05809618</v>
      </c>
      <c r="R28" s="7">
        <f>'[1]Production Summary'!AE90</f>
        <v>5538245</v>
      </c>
      <c r="S28" s="8">
        <f t="shared" si="10"/>
        <v>5.5382449999999999</v>
      </c>
      <c r="T28" s="10">
        <f t="shared" si="11"/>
        <v>17.002412149999998</v>
      </c>
      <c r="U28" s="7">
        <f>'[1]Production Summary'!AF90</f>
        <v>6749579</v>
      </c>
      <c r="V28" s="8">
        <f t="shared" si="12"/>
        <v>6.7495789999999998</v>
      </c>
      <c r="W28" s="10">
        <f t="shared" si="13"/>
        <v>20.721207529999997</v>
      </c>
      <c r="X28" s="7">
        <f>'[1]Production Summary'!AJ90</f>
        <v>0</v>
      </c>
      <c r="Y28" s="8">
        <f t="shared" si="14"/>
        <v>0</v>
      </c>
      <c r="Z28" s="10">
        <f t="shared" si="15"/>
        <v>0</v>
      </c>
      <c r="AA28" s="15"/>
      <c r="AB28" s="7">
        <f t="shared" si="16"/>
        <v>12396774</v>
      </c>
      <c r="AC28" s="8">
        <f t="shared" si="16"/>
        <v>12.396774000000001</v>
      </c>
      <c r="AD28" s="8">
        <f t="shared" si="16"/>
        <v>38.05809618</v>
      </c>
    </row>
    <row r="29" spans="1:30" x14ac:dyDescent="0.25">
      <c r="A29" s="1">
        <v>43094</v>
      </c>
      <c r="B29" s="7">
        <f>'[1]Production Summary'!K91</f>
        <v>0</v>
      </c>
      <c r="C29" s="8">
        <f t="shared" si="0"/>
        <v>0</v>
      </c>
      <c r="D29" s="10">
        <f t="shared" si="1"/>
        <v>0</v>
      </c>
      <c r="E29" s="7">
        <f>'[1]Production Summary'!O91</f>
        <v>0</v>
      </c>
      <c r="F29" s="8">
        <f t="shared" si="2"/>
        <v>0</v>
      </c>
      <c r="G29" s="10">
        <f t="shared" si="3"/>
        <v>0</v>
      </c>
      <c r="H29" s="7">
        <f>'[1]Production Summary'!Q91</f>
        <v>0</v>
      </c>
      <c r="I29" s="8">
        <f t="shared" si="4"/>
        <v>0</v>
      </c>
      <c r="J29" s="10">
        <f t="shared" si="5"/>
        <v>0</v>
      </c>
      <c r="K29" s="7">
        <f>'[1]Production Summary'!T91</f>
        <v>0</v>
      </c>
      <c r="L29" s="8">
        <f t="shared" si="6"/>
        <v>0</v>
      </c>
      <c r="M29" s="10">
        <f t="shared" si="7"/>
        <v>0</v>
      </c>
      <c r="N29" s="21"/>
      <c r="O29" s="7">
        <f>'[1]Production Summary'!J91</f>
        <v>12351506</v>
      </c>
      <c r="P29" s="8">
        <f t="shared" si="8"/>
        <v>12.351506000000001</v>
      </c>
      <c r="Q29" s="10">
        <f t="shared" si="9"/>
        <v>37.919123419999998</v>
      </c>
      <c r="R29" s="7">
        <f>'[1]Production Summary'!AE91</f>
        <v>5610604</v>
      </c>
      <c r="S29" s="8">
        <f t="shared" si="10"/>
        <v>5.6106040000000004</v>
      </c>
      <c r="T29" s="10">
        <f t="shared" si="11"/>
        <v>17.22455428</v>
      </c>
      <c r="U29" s="7">
        <f>'[1]Production Summary'!AF91</f>
        <v>6820839</v>
      </c>
      <c r="V29" s="8">
        <f t="shared" si="12"/>
        <v>6.8208390000000003</v>
      </c>
      <c r="W29" s="10">
        <f t="shared" si="13"/>
        <v>20.93997573</v>
      </c>
      <c r="X29" s="7">
        <f>'[1]Production Summary'!AJ91</f>
        <v>155954</v>
      </c>
      <c r="Y29" s="8">
        <f t="shared" si="14"/>
        <v>0.15595400000000001</v>
      </c>
      <c r="Z29" s="10">
        <f t="shared" si="15"/>
        <v>0.47877878000000001</v>
      </c>
      <c r="AA29" s="15"/>
      <c r="AB29" s="7">
        <f t="shared" si="16"/>
        <v>12351506</v>
      </c>
      <c r="AC29" s="8">
        <f t="shared" si="16"/>
        <v>12.351506000000001</v>
      </c>
      <c r="AD29" s="8">
        <f t="shared" si="16"/>
        <v>37.919123419999998</v>
      </c>
    </row>
    <row r="30" spans="1:30" x14ac:dyDescent="0.25">
      <c r="A30" s="1">
        <v>43095</v>
      </c>
      <c r="B30" s="7">
        <f>'[1]Production Summary'!K92</f>
        <v>0</v>
      </c>
      <c r="C30" s="8">
        <f t="shared" si="0"/>
        <v>0</v>
      </c>
      <c r="D30" s="10">
        <f t="shared" si="1"/>
        <v>0</v>
      </c>
      <c r="E30" s="7">
        <f>'[1]Production Summary'!O92</f>
        <v>0</v>
      </c>
      <c r="F30" s="8">
        <f t="shared" si="2"/>
        <v>0</v>
      </c>
      <c r="G30" s="10">
        <f t="shared" si="3"/>
        <v>0</v>
      </c>
      <c r="H30" s="7">
        <f>'[1]Production Summary'!Q92</f>
        <v>0</v>
      </c>
      <c r="I30" s="8">
        <f>H30/100000000</f>
        <v>0</v>
      </c>
      <c r="J30" s="10">
        <f t="shared" si="5"/>
        <v>0</v>
      </c>
      <c r="K30" s="7">
        <f>'[1]Production Summary'!T92</f>
        <v>0</v>
      </c>
      <c r="L30" s="8">
        <f t="shared" si="6"/>
        <v>0</v>
      </c>
      <c r="M30" s="10">
        <f t="shared" si="7"/>
        <v>0</v>
      </c>
      <c r="N30" s="21"/>
      <c r="O30" s="7">
        <f>'[1]Production Summary'!J92</f>
        <v>10178147</v>
      </c>
      <c r="P30" s="8">
        <f t="shared" si="8"/>
        <v>10.178146999999999</v>
      </c>
      <c r="Q30" s="10">
        <f t="shared" si="9"/>
        <v>31.246911289999996</v>
      </c>
      <c r="R30" s="7">
        <f>'[1]Production Summary'!AE92</f>
        <v>4726439</v>
      </c>
      <c r="S30" s="8">
        <f t="shared" si="10"/>
        <v>4.7264390000000001</v>
      </c>
      <c r="T30" s="10">
        <f t="shared" si="11"/>
        <v>14.510167729999999</v>
      </c>
      <c r="U30" s="7">
        <f>'[1]Production Summary'!AF92</f>
        <v>5726867</v>
      </c>
      <c r="V30" s="8">
        <f t="shared" si="12"/>
        <v>5.7268670000000004</v>
      </c>
      <c r="W30" s="10">
        <f t="shared" si="13"/>
        <v>17.58148169</v>
      </c>
      <c r="X30" s="7">
        <f>'[1]Production Summary'!AJ92</f>
        <v>108005</v>
      </c>
      <c r="Y30" s="8">
        <f t="shared" si="14"/>
        <v>0.108005</v>
      </c>
      <c r="Z30" s="10">
        <f t="shared" si="15"/>
        <v>0.33157534999999999</v>
      </c>
      <c r="AA30" s="15"/>
      <c r="AB30" s="7">
        <f t="shared" si="16"/>
        <v>10178147</v>
      </c>
      <c r="AC30" s="8">
        <f t="shared" si="16"/>
        <v>10.178146999999999</v>
      </c>
      <c r="AD30" s="8">
        <f>D30+Q30</f>
        <v>31.246911289999996</v>
      </c>
    </row>
    <row r="31" spans="1:30" x14ac:dyDescent="0.25">
      <c r="A31" s="1">
        <v>43096</v>
      </c>
      <c r="B31" s="7">
        <f>'[1]Production Summary'!K93</f>
        <v>0</v>
      </c>
      <c r="C31" s="8">
        <f t="shared" si="0"/>
        <v>0</v>
      </c>
      <c r="D31" s="10">
        <f t="shared" si="1"/>
        <v>0</v>
      </c>
      <c r="E31" s="7">
        <f>'[1]Production Summary'!O93</f>
        <v>0</v>
      </c>
      <c r="F31" s="8">
        <f t="shared" si="2"/>
        <v>0</v>
      </c>
      <c r="G31" s="10">
        <f t="shared" si="3"/>
        <v>0</v>
      </c>
      <c r="H31" s="7">
        <f>'[1]Production Summary'!Q93</f>
        <v>0</v>
      </c>
      <c r="I31" s="8">
        <f t="shared" si="4"/>
        <v>0</v>
      </c>
      <c r="J31" s="10">
        <f t="shared" si="5"/>
        <v>0</v>
      </c>
      <c r="K31" s="7">
        <f>'[1]Production Summary'!T93</f>
        <v>0</v>
      </c>
      <c r="L31" s="8">
        <f t="shared" si="6"/>
        <v>0</v>
      </c>
      <c r="M31" s="10">
        <f t="shared" si="7"/>
        <v>0</v>
      </c>
      <c r="N31" s="21"/>
      <c r="O31" s="7">
        <f>'[1]Production Summary'!J93</f>
        <v>11926242</v>
      </c>
      <c r="P31" s="8">
        <f t="shared" si="8"/>
        <v>11.926242</v>
      </c>
      <c r="Q31" s="10">
        <f t="shared" si="9"/>
        <v>36.613562940000001</v>
      </c>
      <c r="R31" s="7">
        <f>'[1]Production Summary'!AE93</f>
        <v>5321793</v>
      </c>
      <c r="S31" s="8">
        <f t="shared" si="10"/>
        <v>5.3217930000000004</v>
      </c>
      <c r="T31" s="10">
        <f t="shared" si="11"/>
        <v>16.337904510000001</v>
      </c>
      <c r="U31" s="7">
        <f>'[1]Production Summary'!AF93</f>
        <v>6493213</v>
      </c>
      <c r="V31" s="8">
        <f t="shared" si="12"/>
        <v>6.4932129999999999</v>
      </c>
      <c r="W31" s="10">
        <f t="shared" si="13"/>
        <v>19.934163909999999</v>
      </c>
      <c r="X31" s="7">
        <f>'[1]Production Summary'!AJ93</f>
        <v>0</v>
      </c>
      <c r="Y31" s="8">
        <f t="shared" si="14"/>
        <v>0</v>
      </c>
      <c r="Z31" s="10">
        <f t="shared" si="15"/>
        <v>0</v>
      </c>
      <c r="AA31" s="15"/>
      <c r="AB31" s="7">
        <f t="shared" si="16"/>
        <v>11926242</v>
      </c>
      <c r="AC31" s="8">
        <f t="shared" si="16"/>
        <v>11.926242</v>
      </c>
      <c r="AD31" s="8">
        <f t="shared" si="16"/>
        <v>36.613562940000001</v>
      </c>
    </row>
    <row r="32" spans="1:30" x14ac:dyDescent="0.25">
      <c r="A32" s="1">
        <v>43097</v>
      </c>
      <c r="B32" s="7">
        <f>'[1]Production Summary'!K94</f>
        <v>0</v>
      </c>
      <c r="C32" s="8">
        <f t="shared" si="0"/>
        <v>0</v>
      </c>
      <c r="D32" s="10">
        <f t="shared" si="1"/>
        <v>0</v>
      </c>
      <c r="E32" s="7">
        <f>'[1]Production Summary'!O94</f>
        <v>0</v>
      </c>
      <c r="F32" s="8">
        <f t="shared" si="2"/>
        <v>0</v>
      </c>
      <c r="G32" s="10">
        <f t="shared" si="3"/>
        <v>0</v>
      </c>
      <c r="H32" s="7">
        <f>'[1]Production Summary'!Q94</f>
        <v>0</v>
      </c>
      <c r="I32" s="8">
        <f t="shared" si="4"/>
        <v>0</v>
      </c>
      <c r="J32" s="10">
        <f t="shared" si="5"/>
        <v>0</v>
      </c>
      <c r="K32" s="7">
        <f>'[1]Production Summary'!T94</f>
        <v>0</v>
      </c>
      <c r="L32" s="8">
        <f t="shared" si="6"/>
        <v>0</v>
      </c>
      <c r="M32" s="10">
        <f t="shared" si="7"/>
        <v>0</v>
      </c>
      <c r="N32" s="21"/>
      <c r="O32" s="7">
        <f>'[1]Production Summary'!J94</f>
        <v>11905148</v>
      </c>
      <c r="P32" s="8">
        <f t="shared" si="8"/>
        <v>11.905148000000001</v>
      </c>
      <c r="Q32" s="10">
        <f t="shared" si="9"/>
        <v>36.548804359999998</v>
      </c>
      <c r="R32" s="7">
        <f>'[1]Production Summary'!AE94</f>
        <v>5393465</v>
      </c>
      <c r="S32" s="8">
        <f t="shared" si="10"/>
        <v>5.393465</v>
      </c>
      <c r="T32" s="10">
        <f t="shared" si="11"/>
        <v>16.557937549999998</v>
      </c>
      <c r="U32" s="7">
        <f>'[1]Production Summary'!AF94</f>
        <v>6576635</v>
      </c>
      <c r="V32" s="8">
        <f t="shared" si="12"/>
        <v>6.5766349999999996</v>
      </c>
      <c r="W32" s="10">
        <f t="shared" si="13"/>
        <v>20.190269449999999</v>
      </c>
      <c r="X32" s="7">
        <f>'[1]Production Summary'!AJ94</f>
        <v>159630</v>
      </c>
      <c r="Y32" s="8">
        <f t="shared" si="14"/>
        <v>0.15962999999999999</v>
      </c>
      <c r="Z32" s="10">
        <f t="shared" si="15"/>
        <v>0.49006409999999995</v>
      </c>
      <c r="AA32" s="15"/>
      <c r="AB32" s="7">
        <f t="shared" si="16"/>
        <v>11905148</v>
      </c>
      <c r="AC32" s="8">
        <f t="shared" si="16"/>
        <v>11.905148000000001</v>
      </c>
      <c r="AD32" s="8">
        <f t="shared" si="16"/>
        <v>36.548804359999998</v>
      </c>
    </row>
    <row r="33" spans="1:30" x14ac:dyDescent="0.25">
      <c r="A33" s="1">
        <v>43098</v>
      </c>
      <c r="B33" s="7">
        <f>'[1]Production Summary'!K95</f>
        <v>0</v>
      </c>
      <c r="C33" s="8">
        <f t="shared" si="0"/>
        <v>0</v>
      </c>
      <c r="D33" s="10">
        <f t="shared" si="1"/>
        <v>0</v>
      </c>
      <c r="E33" s="7">
        <f>'[1]Production Summary'!O95</f>
        <v>0</v>
      </c>
      <c r="F33" s="8">
        <f t="shared" si="2"/>
        <v>0</v>
      </c>
      <c r="G33" s="10">
        <f t="shared" si="3"/>
        <v>0</v>
      </c>
      <c r="H33" s="7">
        <f>'[1]Production Summary'!Q95</f>
        <v>0</v>
      </c>
      <c r="I33" s="8">
        <f t="shared" si="4"/>
        <v>0</v>
      </c>
      <c r="J33" s="10">
        <f t="shared" si="5"/>
        <v>0</v>
      </c>
      <c r="K33" s="7">
        <f>'[1]Production Summary'!T95</f>
        <v>0</v>
      </c>
      <c r="L33" s="8">
        <f t="shared" si="6"/>
        <v>0</v>
      </c>
      <c r="M33" s="10">
        <f t="shared" si="7"/>
        <v>0</v>
      </c>
      <c r="N33" s="21"/>
      <c r="O33" s="7">
        <f>'[1]Production Summary'!J95</f>
        <v>11788267</v>
      </c>
      <c r="P33" s="8">
        <f t="shared" si="8"/>
        <v>11.788266999999999</v>
      </c>
      <c r="Q33" s="10">
        <f t="shared" si="9"/>
        <v>36.189979689999994</v>
      </c>
      <c r="R33" s="7">
        <f>'[1]Production Summary'!AE95</f>
        <v>5580862</v>
      </c>
      <c r="S33" s="8">
        <f t="shared" si="10"/>
        <v>5.5808619999999998</v>
      </c>
      <c r="T33" s="10">
        <f t="shared" si="11"/>
        <v>17.133246339999999</v>
      </c>
      <c r="U33" s="7">
        <f>'[1]Production Summary'!AF95</f>
        <v>6813195</v>
      </c>
      <c r="V33" s="8">
        <f t="shared" si="12"/>
        <v>6.8131950000000003</v>
      </c>
      <c r="W33" s="10">
        <f t="shared" si="13"/>
        <v>20.916508650000001</v>
      </c>
      <c r="X33" s="7">
        <f>'[1]Production Summary'!AJ95</f>
        <v>153137</v>
      </c>
      <c r="Y33" s="8">
        <f t="shared" si="14"/>
        <v>0.153137</v>
      </c>
      <c r="Z33" s="10">
        <f t="shared" si="15"/>
        <v>0.47013058999999996</v>
      </c>
      <c r="AA33" s="15"/>
      <c r="AB33" s="7">
        <f t="shared" si="16"/>
        <v>11788267</v>
      </c>
      <c r="AC33" s="8">
        <f t="shared" si="16"/>
        <v>11.788266999999999</v>
      </c>
      <c r="AD33" s="8">
        <f t="shared" si="16"/>
        <v>36.189979689999994</v>
      </c>
    </row>
    <row r="34" spans="1:30" x14ac:dyDescent="0.25">
      <c r="A34" s="1">
        <v>43099</v>
      </c>
      <c r="B34" s="7">
        <f>'[1]Production Summary'!K96</f>
        <v>0</v>
      </c>
      <c r="C34" s="8">
        <f t="shared" si="0"/>
        <v>0</v>
      </c>
      <c r="D34" s="10">
        <f t="shared" si="1"/>
        <v>0</v>
      </c>
      <c r="E34" s="7">
        <f>'[1]Production Summary'!O96</f>
        <v>0</v>
      </c>
      <c r="F34" s="8">
        <f t="shared" si="2"/>
        <v>0</v>
      </c>
      <c r="G34" s="10">
        <f t="shared" si="3"/>
        <v>0</v>
      </c>
      <c r="H34" s="7">
        <f>'[1]Production Summary'!Q96</f>
        <v>0</v>
      </c>
      <c r="I34" s="8">
        <f>H34/100000000</f>
        <v>0</v>
      </c>
      <c r="J34" s="10">
        <f t="shared" si="5"/>
        <v>0</v>
      </c>
      <c r="K34" s="7">
        <f>'[1]Production Summary'!T96</f>
        <v>0</v>
      </c>
      <c r="L34" s="8">
        <f t="shared" si="6"/>
        <v>0</v>
      </c>
      <c r="M34" s="10">
        <f t="shared" si="7"/>
        <v>0</v>
      </c>
      <c r="N34" s="21"/>
      <c r="O34" s="7">
        <f>'[1]Production Summary'!J96</f>
        <v>12907902</v>
      </c>
      <c r="P34" s="8">
        <f t="shared" si="8"/>
        <v>12.907902</v>
      </c>
      <c r="Q34" s="10">
        <f t="shared" si="9"/>
        <v>39.62725914</v>
      </c>
      <c r="R34" s="7">
        <f>'[1]Production Summary'!AE96</f>
        <v>6141344</v>
      </c>
      <c r="S34" s="8">
        <f t="shared" si="10"/>
        <v>6.1413440000000001</v>
      </c>
      <c r="T34" s="10">
        <f t="shared" si="11"/>
        <v>18.853926080000001</v>
      </c>
      <c r="U34" s="7">
        <f>'[1]Production Summary'!AF96</f>
        <v>7498055</v>
      </c>
      <c r="V34" s="8">
        <f t="shared" si="12"/>
        <v>7.4980549999999999</v>
      </c>
      <c r="W34" s="10">
        <f t="shared" si="13"/>
        <v>23.019028849999998</v>
      </c>
      <c r="X34" s="7">
        <f>'[1]Production Summary'!AJ96</f>
        <v>393346</v>
      </c>
      <c r="Y34" s="8">
        <f t="shared" si="14"/>
        <v>0.39334599999999997</v>
      </c>
      <c r="Z34" s="10">
        <f t="shared" si="15"/>
        <v>1.2075722199999999</v>
      </c>
      <c r="AA34" s="15"/>
      <c r="AB34" s="7">
        <f t="shared" si="16"/>
        <v>12907902</v>
      </c>
      <c r="AC34" s="8">
        <f t="shared" si="16"/>
        <v>12.907902</v>
      </c>
      <c r="AD34" s="8">
        <f t="shared" si="16"/>
        <v>39.62725914</v>
      </c>
    </row>
    <row r="35" spans="1:30" ht="13.8" thickBot="1" x14ac:dyDescent="0.3">
      <c r="A35" s="1">
        <v>43100</v>
      </c>
      <c r="B35" s="7">
        <f>'[1]Production Summary'!K97</f>
        <v>0</v>
      </c>
      <c r="C35" s="9">
        <f t="shared" si="0"/>
        <v>0</v>
      </c>
      <c r="D35" s="11">
        <f t="shared" si="1"/>
        <v>0</v>
      </c>
      <c r="E35" s="7">
        <f>'[1]Production Summary'!O97</f>
        <v>0</v>
      </c>
      <c r="F35" s="9">
        <f t="shared" si="2"/>
        <v>0</v>
      </c>
      <c r="G35" s="11">
        <f t="shared" si="3"/>
        <v>0</v>
      </c>
      <c r="H35" s="7">
        <f>'[1]Production Summary'!Q97</f>
        <v>0</v>
      </c>
      <c r="I35" s="9">
        <f>H35/100000000</f>
        <v>0</v>
      </c>
      <c r="J35" s="11">
        <f t="shared" si="5"/>
        <v>0</v>
      </c>
      <c r="K35" s="7">
        <f>'[1]Production Summary'!T97</f>
        <v>0</v>
      </c>
      <c r="L35" s="9">
        <f t="shared" si="6"/>
        <v>0</v>
      </c>
      <c r="M35" s="11">
        <f t="shared" si="7"/>
        <v>0</v>
      </c>
      <c r="N35" s="21"/>
      <c r="O35" s="7">
        <f>'[1]Production Summary'!J97</f>
        <v>12494714</v>
      </c>
      <c r="P35" s="9">
        <f t="shared" si="8"/>
        <v>12.494714</v>
      </c>
      <c r="Q35" s="11">
        <f t="shared" si="9"/>
        <v>38.35877198</v>
      </c>
      <c r="R35" s="7">
        <f>'[1]Production Summary'!AE97</f>
        <v>5631939</v>
      </c>
      <c r="S35" s="9">
        <f t="shared" si="10"/>
        <v>5.631939</v>
      </c>
      <c r="T35" s="11">
        <f t="shared" si="11"/>
        <v>17.290052729999999</v>
      </c>
      <c r="U35" s="7">
        <f>'[1]Production Summary'!AF97</f>
        <v>6820617</v>
      </c>
      <c r="V35" s="9">
        <f t="shared" si="12"/>
        <v>6.8206170000000004</v>
      </c>
      <c r="W35" s="11">
        <f t="shared" si="13"/>
        <v>20.939294190000002</v>
      </c>
      <c r="X35" s="7">
        <f>'[1]Production Summary'!AJ97</f>
        <v>27472</v>
      </c>
      <c r="Y35" s="9">
        <f t="shared" si="14"/>
        <v>2.7472E-2</v>
      </c>
      <c r="Z35" s="11">
        <f t="shared" si="15"/>
        <v>8.433903999999999E-2</v>
      </c>
      <c r="AA35" s="15"/>
      <c r="AB35" s="7">
        <f t="shared" si="16"/>
        <v>12494714</v>
      </c>
      <c r="AC35" s="8">
        <f t="shared" si="16"/>
        <v>12.494714</v>
      </c>
      <c r="AD35" s="8">
        <f t="shared" si="16"/>
        <v>38.35877198</v>
      </c>
    </row>
    <row r="36" spans="1:30" ht="13.8" thickBot="1" x14ac:dyDescent="0.3">
      <c r="A36" s="20"/>
      <c r="B36" s="37"/>
      <c r="C36" s="38">
        <f>SUM(C5:C35)</f>
        <v>0</v>
      </c>
      <c r="D36" s="38">
        <f>SUM(D5:D35)</f>
        <v>0</v>
      </c>
      <c r="E36" s="37"/>
      <c r="F36" s="38">
        <f>SUM(F5:F35)</f>
        <v>0</v>
      </c>
      <c r="G36" s="38">
        <f>SUM(G5:G35)</f>
        <v>0</v>
      </c>
      <c r="H36" s="37"/>
      <c r="I36" s="38">
        <f>SUM(I5:I35)</f>
        <v>0</v>
      </c>
      <c r="J36" s="38">
        <f>SUM(J5:J35)</f>
        <v>0</v>
      </c>
      <c r="K36" s="37"/>
      <c r="L36" s="38">
        <f>SUM(L5:L35)</f>
        <v>0.95336999999999994</v>
      </c>
      <c r="M36" s="38">
        <f>SUM(M5:M35)</f>
        <v>2.9268459</v>
      </c>
      <c r="N36" s="14"/>
      <c r="O36" s="37"/>
      <c r="P36" s="38">
        <f>SUM(P5:P35)</f>
        <v>375.1733078333333</v>
      </c>
      <c r="Q36" s="38">
        <f>SUM(Q5:Q35)</f>
        <v>1151.7820550483332</v>
      </c>
      <c r="R36" s="37"/>
      <c r="S36" s="38">
        <f>SUM(S5:S35)</f>
        <v>145.16667700000002</v>
      </c>
      <c r="T36" s="38">
        <f>SUM(T5:T35)</f>
        <v>445.66169838999997</v>
      </c>
      <c r="U36" s="37"/>
      <c r="V36" s="38">
        <f>SUM(V5:V35)</f>
        <v>222.34430499999999</v>
      </c>
      <c r="W36" s="38">
        <f>SUM(W5:W35)</f>
        <v>682.5970163500001</v>
      </c>
      <c r="X36" s="37"/>
      <c r="Y36" s="38">
        <f>SUM(Y5:Y35)</f>
        <v>4.4187710000000004</v>
      </c>
      <c r="Z36" s="38">
        <f>SUM(Z5:Z35)</f>
        <v>13.565626969999999</v>
      </c>
      <c r="AA36" s="14"/>
      <c r="AB36" s="37"/>
      <c r="AC36" s="38">
        <f>SUM(AC5:AC35)</f>
        <v>375.1733078333333</v>
      </c>
      <c r="AD36" s="38">
        <f>SUM(AD5:AD35)</f>
        <v>1151.7820550483332</v>
      </c>
    </row>
    <row r="37" spans="1:30" x14ac:dyDescent="0.25">
      <c r="C37" s="18"/>
      <c r="E37" s="3"/>
      <c r="F37" s="3"/>
      <c r="G37" s="3"/>
      <c r="H37" s="3"/>
      <c r="I37" s="3"/>
      <c r="J37" s="3"/>
      <c r="K37" s="14"/>
      <c r="L37" s="3"/>
      <c r="M37" s="3"/>
      <c r="N37" s="3"/>
      <c r="O37" s="3"/>
      <c r="P37" s="3"/>
      <c r="Q37" s="3"/>
      <c r="R37" s="3"/>
      <c r="S37" s="3"/>
      <c r="T37" s="3"/>
      <c r="U37" s="14"/>
    </row>
  </sheetData>
  <mergeCells count="9">
    <mergeCell ref="AB3:AD3"/>
    <mergeCell ref="R3:T3"/>
    <mergeCell ref="U3:W3"/>
    <mergeCell ref="B3:D3"/>
    <mergeCell ref="E3:G3"/>
    <mergeCell ref="H3:J3"/>
    <mergeCell ref="O3:Q3"/>
    <mergeCell ref="K3:M3"/>
    <mergeCell ref="X3:Z3"/>
  </mergeCells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AD36"/>
  <sheetViews>
    <sheetView workbookViewId="0">
      <pane xSplit="1" ySplit="4" topLeftCell="K5" activePane="bottomRight" state="frozen"/>
      <selection pane="topRight" activeCell="B1" sqref="B1"/>
      <selection pane="bottomLeft" activeCell="A5" sqref="A5"/>
      <selection pane="bottomRight" activeCell="U5" sqref="U5"/>
    </sheetView>
  </sheetViews>
  <sheetFormatPr defaultRowHeight="13.2" x14ac:dyDescent="0.25"/>
  <cols>
    <col min="2" max="2" width="10.6640625" customWidth="1"/>
    <col min="3" max="3" width="7.6640625" style="18" customWidth="1"/>
    <col min="5" max="5" width="13.33203125" style="3" bestFit="1" customWidth="1"/>
    <col min="6" max="6" width="8.33203125" style="3" customWidth="1"/>
    <col min="7" max="7" width="9.33203125" style="3"/>
    <col min="8" max="8" width="11.6640625" style="3" customWidth="1"/>
    <col min="9" max="10" width="9.33203125" style="3"/>
    <col min="11" max="11" width="11.6640625" style="14" customWidth="1"/>
    <col min="12" max="12" width="11" style="3" customWidth="1"/>
    <col min="13" max="13" width="11.33203125" style="3" bestFit="1" customWidth="1"/>
    <col min="14" max="14" width="9.33203125" style="3"/>
    <col min="15" max="15" width="13.33203125" style="3" bestFit="1" customWidth="1"/>
    <col min="16" max="17" width="9.33203125" style="3"/>
    <col min="18" max="18" width="11.6640625" style="3" bestFit="1" customWidth="1"/>
    <col min="19" max="21" width="9.33203125" style="3"/>
    <col min="22" max="22" width="11.6640625" bestFit="1" customWidth="1"/>
    <col min="24" max="24" width="10.6640625" customWidth="1"/>
    <col min="28" max="28" width="12.6640625" customWidth="1"/>
  </cols>
  <sheetData>
    <row r="1" spans="1:30" ht="13.5" customHeight="1" x14ac:dyDescent="0.25">
      <c r="A1" s="41" t="s">
        <v>15</v>
      </c>
      <c r="B1" s="39"/>
      <c r="C1" s="25"/>
      <c r="D1" s="25"/>
      <c r="E1" s="25"/>
      <c r="F1" s="25"/>
      <c r="U1" s="14"/>
      <c r="V1" s="3"/>
      <c r="W1" s="3"/>
      <c r="X1" s="3"/>
    </row>
    <row r="2" spans="1:30" ht="13.8" thickBot="1" x14ac:dyDescent="0.3">
      <c r="A2" s="3"/>
      <c r="B2" s="3"/>
      <c r="C2" s="24"/>
      <c r="D2" s="3"/>
      <c r="U2" s="14"/>
      <c r="V2" s="3"/>
      <c r="W2" s="3"/>
      <c r="X2" s="3"/>
    </row>
    <row r="3" spans="1:30" ht="60.75" customHeight="1" thickBot="1" x14ac:dyDescent="0.3">
      <c r="A3" s="3"/>
      <c r="B3" s="68" t="s">
        <v>9</v>
      </c>
      <c r="C3" s="69"/>
      <c r="D3" s="70"/>
      <c r="E3" s="68" t="s">
        <v>10</v>
      </c>
      <c r="F3" s="69"/>
      <c r="G3" s="70"/>
      <c r="H3" s="68" t="s">
        <v>11</v>
      </c>
      <c r="I3" s="69"/>
      <c r="J3" s="70"/>
      <c r="K3" s="68" t="s">
        <v>12</v>
      </c>
      <c r="L3" s="69"/>
      <c r="M3" s="70"/>
      <c r="N3" s="19"/>
      <c r="O3" s="68" t="s">
        <v>4</v>
      </c>
      <c r="P3" s="69"/>
      <c r="Q3" s="70"/>
      <c r="R3" s="68" t="s">
        <v>3</v>
      </c>
      <c r="S3" s="69"/>
      <c r="T3" s="70"/>
      <c r="U3" s="68" t="s">
        <v>5</v>
      </c>
      <c r="V3" s="69"/>
      <c r="W3" s="70"/>
      <c r="X3" s="68" t="s">
        <v>6</v>
      </c>
      <c r="Y3" s="69"/>
      <c r="Z3" s="70"/>
      <c r="AA3" s="19"/>
      <c r="AB3" s="65" t="s">
        <v>7</v>
      </c>
      <c r="AC3" s="66"/>
      <c r="AD3" s="67"/>
    </row>
    <row r="4" spans="1:30" x14ac:dyDescent="0.25">
      <c r="A4" s="26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19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19"/>
      <c r="AB4" s="34" t="s">
        <v>0</v>
      </c>
      <c r="AC4" s="35" t="s">
        <v>1</v>
      </c>
      <c r="AD4" s="36" t="s">
        <v>2</v>
      </c>
    </row>
    <row r="5" spans="1:30" x14ac:dyDescent="0.25">
      <c r="A5" s="27">
        <v>43101</v>
      </c>
      <c r="B5" s="7">
        <f>'[2]Production Summary'!K6</f>
        <v>0</v>
      </c>
      <c r="C5" s="8">
        <f>B5/1000000</f>
        <v>0</v>
      </c>
      <c r="D5" s="10">
        <f>C5*3.07</f>
        <v>0</v>
      </c>
      <c r="E5" s="7">
        <f>'[2]Production Summary'!E6</f>
        <v>0</v>
      </c>
      <c r="F5" s="8">
        <f>E5/1000000</f>
        <v>0</v>
      </c>
      <c r="G5" s="10">
        <f>F5*3.07</f>
        <v>0</v>
      </c>
      <c r="H5" s="7">
        <f>'[2]Production Summary'!G6</f>
        <v>0</v>
      </c>
      <c r="I5" s="8">
        <f>H5/1000000</f>
        <v>0</v>
      </c>
      <c r="J5" s="10">
        <f>I5*3.07</f>
        <v>0</v>
      </c>
      <c r="K5" s="7">
        <f>'[2]Production Summary'!T6</f>
        <v>0</v>
      </c>
      <c r="L5" s="8">
        <f>K5/1000000</f>
        <v>0</v>
      </c>
      <c r="M5" s="10">
        <f>L5*3.07</f>
        <v>0</v>
      </c>
      <c r="N5" s="21"/>
      <c r="O5" s="7">
        <f>'[2]Production Summary'!J6</f>
        <v>12239297</v>
      </c>
      <c r="P5" s="8">
        <f>O5/1000000</f>
        <v>12.239297000000001</v>
      </c>
      <c r="Q5" s="10">
        <f>P5*3.07</f>
        <v>37.574641790000001</v>
      </c>
      <c r="R5" s="7">
        <f>'[2]Production Summary'!AE6</f>
        <v>5568439</v>
      </c>
      <c r="S5" s="8">
        <f>R5/1000000</f>
        <v>5.5684389999999997</v>
      </c>
      <c r="T5" s="10">
        <f>S5*3.07</f>
        <v>17.095107729999999</v>
      </c>
      <c r="U5" s="7">
        <f>'[2]Production Summary'!AF6</f>
        <v>6745698</v>
      </c>
      <c r="V5" s="8">
        <f>U5/1000000</f>
        <v>6.745698</v>
      </c>
      <c r="W5" s="10">
        <f>V5*3.07</f>
        <v>20.709292859999998</v>
      </c>
      <c r="X5" s="7">
        <f>'[2]Production Summary'!AJ6</f>
        <v>206613</v>
      </c>
      <c r="Y5" s="8">
        <f>X5/1000000</f>
        <v>0.20661299999999999</v>
      </c>
      <c r="Z5" s="10">
        <f>Y5*3.07</f>
        <v>0.63430190999999991</v>
      </c>
      <c r="AA5" s="15"/>
      <c r="AB5" s="7">
        <f>B5+O5</f>
        <v>12239297</v>
      </c>
      <c r="AC5" s="8">
        <f>C5+P5</f>
        <v>12.239297000000001</v>
      </c>
      <c r="AD5" s="8">
        <f>D5+Q5</f>
        <v>37.574641790000001</v>
      </c>
    </row>
    <row r="6" spans="1:30" x14ac:dyDescent="0.25">
      <c r="A6" s="27">
        <v>43102</v>
      </c>
      <c r="B6" s="7">
        <f>'[2]Production Summary'!K7</f>
        <v>0</v>
      </c>
      <c r="C6" s="8">
        <f>IF(B6="",C5,B6/1000000)</f>
        <v>0</v>
      </c>
      <c r="D6" s="10">
        <f t="shared" ref="D6:D35" si="0">C6*3.07</f>
        <v>0</v>
      </c>
      <c r="E6" s="7">
        <f>'[2]Production Summary'!E7</f>
        <v>0</v>
      </c>
      <c r="F6" s="8">
        <f>IF(E6="",F5,E6/1000000)</f>
        <v>0</v>
      </c>
      <c r="G6" s="10">
        <f t="shared" ref="G6:G35" si="1">F6*3.07</f>
        <v>0</v>
      </c>
      <c r="H6" s="7">
        <f>'[2]Production Summary'!G7</f>
        <v>0</v>
      </c>
      <c r="I6" s="8">
        <f>IF(H6="",I5,H6/1000000)</f>
        <v>0</v>
      </c>
      <c r="J6" s="10">
        <f t="shared" ref="J6:J35" si="2">I6*3.07</f>
        <v>0</v>
      </c>
      <c r="K6" s="7">
        <f>'[2]Production Summary'!T7</f>
        <v>0</v>
      </c>
      <c r="L6" s="8">
        <f>IF(K6="",L5,K6/1000000)</f>
        <v>0</v>
      </c>
      <c r="M6" s="10">
        <f t="shared" ref="M6:M35" si="3">L6*3.07</f>
        <v>0</v>
      </c>
      <c r="N6" s="21"/>
      <c r="O6" s="7">
        <f>'[2]Production Summary'!J7</f>
        <v>11712896</v>
      </c>
      <c r="P6" s="8">
        <f>IF(O6="",P5,O6/1000000)</f>
        <v>11.712896000000001</v>
      </c>
      <c r="Q6" s="10">
        <f t="shared" ref="Q6:Q35" si="4">P6*3.07</f>
        <v>35.958590719999997</v>
      </c>
      <c r="R6" s="7">
        <f>'[2]Production Summary'!AE7</f>
        <v>5364748</v>
      </c>
      <c r="S6" s="8">
        <f>IF(R6="",S5,R6/1000000)</f>
        <v>5.3647479999999996</v>
      </c>
      <c r="T6" s="10">
        <f t="shared" ref="T6:T35" si="5">S6*3.07</f>
        <v>16.469776359999997</v>
      </c>
      <c r="U6" s="7">
        <f>'[2]Production Summary'!AF7</f>
        <v>6558605</v>
      </c>
      <c r="V6" s="8">
        <f>IF(U6="",V5,U6/1000000)</f>
        <v>6.558605</v>
      </c>
      <c r="W6" s="10">
        <f t="shared" ref="W6:W35" si="6">V6*3.07</f>
        <v>20.134917349999998</v>
      </c>
      <c r="X6" s="7">
        <f>'[2]Production Summary'!AJ7</f>
        <v>67315</v>
      </c>
      <c r="Y6" s="8">
        <f>IF(X6="",Y5,X6/1000000)</f>
        <v>6.7315E-2</v>
      </c>
      <c r="Z6" s="10">
        <f t="shared" ref="Z6:Z35" si="7">Y6*3.07</f>
        <v>0.20665704999999998</v>
      </c>
      <c r="AA6" s="15"/>
      <c r="AB6" s="7">
        <f t="shared" ref="AB6:AD35" si="8">B6+O6</f>
        <v>11712896</v>
      </c>
      <c r="AC6" s="8">
        <f t="shared" si="8"/>
        <v>11.712896000000001</v>
      </c>
      <c r="AD6" s="8">
        <f t="shared" si="8"/>
        <v>35.958590719999997</v>
      </c>
    </row>
    <row r="7" spans="1:30" x14ac:dyDescent="0.25">
      <c r="A7" s="27">
        <v>43103</v>
      </c>
      <c r="B7" s="7">
        <f>'[2]Production Summary'!K8</f>
        <v>0</v>
      </c>
      <c r="C7" s="8">
        <f t="shared" ref="C7:C35" si="9">IF(B7="",C6,B7/1000000)</f>
        <v>0</v>
      </c>
      <c r="D7" s="10">
        <f t="shared" si="0"/>
        <v>0</v>
      </c>
      <c r="E7" s="7">
        <f>'[2]Production Summary'!E8</f>
        <v>0</v>
      </c>
      <c r="F7" s="8">
        <f t="shared" ref="F7:F35" si="10">IF(E7="",F6,E7/1000000)</f>
        <v>0</v>
      </c>
      <c r="G7" s="10">
        <f t="shared" si="1"/>
        <v>0</v>
      </c>
      <c r="H7" s="7">
        <f>'[2]Production Summary'!G8</f>
        <v>0</v>
      </c>
      <c r="I7" s="8">
        <f t="shared" ref="I7:I35" si="11">IF(H7="",I6,H7/1000000)</f>
        <v>0</v>
      </c>
      <c r="J7" s="10">
        <f t="shared" si="2"/>
        <v>0</v>
      </c>
      <c r="K7" s="7">
        <f>'[2]Production Summary'!T8</f>
        <v>0</v>
      </c>
      <c r="L7" s="8">
        <f t="shared" ref="L7:L35" si="12">IF(K7="",L6,K7/1000000)</f>
        <v>0</v>
      </c>
      <c r="M7" s="10">
        <f t="shared" si="3"/>
        <v>0</v>
      </c>
      <c r="N7" s="21"/>
      <c r="O7" s="7">
        <f>'[2]Production Summary'!J8</f>
        <v>12751618</v>
      </c>
      <c r="P7" s="8">
        <f t="shared" ref="P7:P35" si="13">IF(O7="",P6,O7/1000000)</f>
        <v>12.751618000000001</v>
      </c>
      <c r="Q7" s="10">
        <f t="shared" si="4"/>
        <v>39.147467259999999</v>
      </c>
      <c r="R7" s="7">
        <f>'[2]Production Summary'!AE8</f>
        <v>5764703</v>
      </c>
      <c r="S7" s="8">
        <f t="shared" ref="S7:S35" si="14">IF(R7="",S6,R7/1000000)</f>
        <v>5.7647029999999999</v>
      </c>
      <c r="T7" s="10">
        <f t="shared" si="5"/>
        <v>17.697638209999997</v>
      </c>
      <c r="U7" s="7">
        <f>'[2]Production Summary'!AF8</f>
        <v>7026067</v>
      </c>
      <c r="V7" s="8">
        <f t="shared" ref="V7:V35" si="15">IF(U7="",V6,U7/1000000)</f>
        <v>7.0260670000000003</v>
      </c>
      <c r="W7" s="10">
        <f t="shared" si="6"/>
        <v>21.570025690000001</v>
      </c>
      <c r="X7" s="7">
        <f>'[2]Production Summary'!AJ8</f>
        <v>190147</v>
      </c>
      <c r="Y7" s="8">
        <f t="shared" ref="Y7:Y35" si="16">IF(X7="",Y6,X7/1000000)</f>
        <v>0.19014700000000001</v>
      </c>
      <c r="Z7" s="10">
        <f t="shared" si="7"/>
        <v>0.58375129000000003</v>
      </c>
      <c r="AA7" s="15"/>
      <c r="AB7" s="7">
        <f t="shared" si="8"/>
        <v>12751618</v>
      </c>
      <c r="AC7" s="8">
        <f t="shared" si="8"/>
        <v>12.751618000000001</v>
      </c>
      <c r="AD7" s="8">
        <f t="shared" si="8"/>
        <v>39.147467259999999</v>
      </c>
    </row>
    <row r="8" spans="1:30" x14ac:dyDescent="0.25">
      <c r="A8" s="27">
        <v>43104</v>
      </c>
      <c r="B8" s="7">
        <f>'[2]Production Summary'!K9</f>
        <v>0</v>
      </c>
      <c r="C8" s="8">
        <f t="shared" si="9"/>
        <v>0</v>
      </c>
      <c r="D8" s="10">
        <f t="shared" si="0"/>
        <v>0</v>
      </c>
      <c r="E8" s="7">
        <f>'[2]Production Summary'!E9</f>
        <v>0</v>
      </c>
      <c r="F8" s="8">
        <f t="shared" si="10"/>
        <v>0</v>
      </c>
      <c r="G8" s="10">
        <f t="shared" si="1"/>
        <v>0</v>
      </c>
      <c r="H8" s="7">
        <f>'[2]Production Summary'!G9</f>
        <v>0</v>
      </c>
      <c r="I8" s="8">
        <f t="shared" si="11"/>
        <v>0</v>
      </c>
      <c r="J8" s="10">
        <f t="shared" si="2"/>
        <v>0</v>
      </c>
      <c r="K8" s="7">
        <f>'[2]Production Summary'!T9</f>
        <v>0</v>
      </c>
      <c r="L8" s="8">
        <f t="shared" si="12"/>
        <v>0</v>
      </c>
      <c r="M8" s="10">
        <f t="shared" si="3"/>
        <v>0</v>
      </c>
      <c r="N8" s="21"/>
      <c r="O8" s="7">
        <f>'[2]Production Summary'!J9</f>
        <v>12365820</v>
      </c>
      <c r="P8" s="8">
        <f t="shared" si="13"/>
        <v>12.365819999999999</v>
      </c>
      <c r="Q8" s="10">
        <f t="shared" si="4"/>
        <v>37.963067399999993</v>
      </c>
      <c r="R8" s="7">
        <f>'[2]Production Summary'!AE9</f>
        <v>5597587</v>
      </c>
      <c r="S8" s="8">
        <f t="shared" si="14"/>
        <v>5.5975869999999999</v>
      </c>
      <c r="T8" s="10">
        <f t="shared" si="5"/>
        <v>17.184592089999999</v>
      </c>
      <c r="U8" s="7">
        <f>'[2]Production Summary'!AF9</f>
        <v>6785881</v>
      </c>
      <c r="V8" s="8">
        <f t="shared" si="15"/>
        <v>6.7858809999999998</v>
      </c>
      <c r="W8" s="10">
        <f t="shared" si="6"/>
        <v>20.83265467</v>
      </c>
      <c r="X8" s="7">
        <f>'[2]Production Summary'!AJ9</f>
        <v>87908</v>
      </c>
      <c r="Y8" s="8">
        <f t="shared" si="16"/>
        <v>8.7908E-2</v>
      </c>
      <c r="Z8" s="10">
        <f t="shared" si="7"/>
        <v>0.26987755999999996</v>
      </c>
      <c r="AA8" s="15"/>
      <c r="AB8" s="7">
        <f t="shared" si="8"/>
        <v>12365820</v>
      </c>
      <c r="AC8" s="8">
        <f t="shared" si="8"/>
        <v>12.365819999999999</v>
      </c>
      <c r="AD8" s="8">
        <f>D8+Q8</f>
        <v>37.963067399999993</v>
      </c>
    </row>
    <row r="9" spans="1:30" x14ac:dyDescent="0.25">
      <c r="A9" s="27">
        <v>43105</v>
      </c>
      <c r="B9" s="7">
        <f>'[2]Production Summary'!K10</f>
        <v>0</v>
      </c>
      <c r="C9" s="8">
        <f t="shared" si="9"/>
        <v>0</v>
      </c>
      <c r="D9" s="10">
        <f t="shared" si="0"/>
        <v>0</v>
      </c>
      <c r="E9" s="7">
        <f>'[2]Production Summary'!E10</f>
        <v>0</v>
      </c>
      <c r="F9" s="8">
        <f t="shared" si="10"/>
        <v>0</v>
      </c>
      <c r="G9" s="10">
        <f t="shared" si="1"/>
        <v>0</v>
      </c>
      <c r="H9" s="7">
        <f>'[2]Production Summary'!G10</f>
        <v>0</v>
      </c>
      <c r="I9" s="8">
        <f t="shared" si="11"/>
        <v>0</v>
      </c>
      <c r="J9" s="10">
        <f t="shared" si="2"/>
        <v>0</v>
      </c>
      <c r="K9" s="7">
        <f>'[2]Production Summary'!T10</f>
        <v>0</v>
      </c>
      <c r="L9" s="8">
        <f t="shared" si="12"/>
        <v>0</v>
      </c>
      <c r="M9" s="10">
        <f t="shared" si="3"/>
        <v>0</v>
      </c>
      <c r="N9" s="21"/>
      <c r="O9" s="7">
        <f>'[2]Production Summary'!J10</f>
        <v>13208784</v>
      </c>
      <c r="P9" s="8">
        <f t="shared" si="13"/>
        <v>13.208784</v>
      </c>
      <c r="Q9" s="10">
        <f t="shared" si="4"/>
        <v>40.550966879999997</v>
      </c>
      <c r="R9" s="7">
        <f>'[2]Production Summary'!AE10</f>
        <v>6160751</v>
      </c>
      <c r="S9" s="8">
        <f t="shared" si="14"/>
        <v>6.1607510000000003</v>
      </c>
      <c r="T9" s="10">
        <f t="shared" si="5"/>
        <v>18.913505570000002</v>
      </c>
      <c r="U9" s="7">
        <f>'[2]Production Summary'!AF10</f>
        <v>7494755</v>
      </c>
      <c r="V9" s="8">
        <f t="shared" si="15"/>
        <v>7.4947549999999996</v>
      </c>
      <c r="W9" s="10">
        <f t="shared" si="6"/>
        <v>23.008897849999997</v>
      </c>
      <c r="X9" s="7">
        <f>'[2]Production Summary'!AJ10</f>
        <v>250069</v>
      </c>
      <c r="Y9" s="8">
        <f t="shared" si="16"/>
        <v>0.25006899999999999</v>
      </c>
      <c r="Z9" s="10">
        <f t="shared" si="7"/>
        <v>0.76771182999999987</v>
      </c>
      <c r="AA9" s="15"/>
      <c r="AB9" s="7">
        <f t="shared" si="8"/>
        <v>13208784</v>
      </c>
      <c r="AC9" s="8">
        <f t="shared" si="8"/>
        <v>13.208784</v>
      </c>
      <c r="AD9" s="8">
        <f t="shared" si="8"/>
        <v>40.550966879999997</v>
      </c>
    </row>
    <row r="10" spans="1:30" x14ac:dyDescent="0.25">
      <c r="A10" s="27">
        <v>43106</v>
      </c>
      <c r="B10" s="7">
        <f>'[2]Production Summary'!K11</f>
        <v>0</v>
      </c>
      <c r="C10" s="8">
        <f t="shared" si="9"/>
        <v>0</v>
      </c>
      <c r="D10" s="10">
        <f t="shared" si="0"/>
        <v>0</v>
      </c>
      <c r="E10" s="7">
        <f>'[2]Production Summary'!E11</f>
        <v>0</v>
      </c>
      <c r="F10" s="8">
        <f t="shared" si="10"/>
        <v>0</v>
      </c>
      <c r="G10" s="10">
        <f t="shared" si="1"/>
        <v>0</v>
      </c>
      <c r="H10" s="7">
        <f>'[2]Production Summary'!G11</f>
        <v>0</v>
      </c>
      <c r="I10" s="8">
        <f t="shared" si="11"/>
        <v>0</v>
      </c>
      <c r="J10" s="10">
        <f t="shared" si="2"/>
        <v>0</v>
      </c>
      <c r="K10" s="7">
        <f>'[2]Production Summary'!T11</f>
        <v>0</v>
      </c>
      <c r="L10" s="8">
        <f t="shared" si="12"/>
        <v>0</v>
      </c>
      <c r="M10" s="10">
        <f t="shared" si="3"/>
        <v>0</v>
      </c>
      <c r="N10" s="21"/>
      <c r="O10" s="7">
        <f>'[2]Production Summary'!J11</f>
        <v>13855008</v>
      </c>
      <c r="P10" s="8">
        <f t="shared" si="13"/>
        <v>13.855008</v>
      </c>
      <c r="Q10" s="10">
        <f t="shared" si="4"/>
        <v>42.534874559999999</v>
      </c>
      <c r="R10" s="7">
        <f>'[2]Production Summary'!AE11</f>
        <v>6295711</v>
      </c>
      <c r="S10" s="8">
        <f t="shared" si="14"/>
        <v>6.2957109999999998</v>
      </c>
      <c r="T10" s="10">
        <f t="shared" si="5"/>
        <v>19.327832769999997</v>
      </c>
      <c r="U10" s="7">
        <f>'[2]Production Summary'!AF11</f>
        <v>7695539</v>
      </c>
      <c r="V10" s="8">
        <f>IF(U10="",V9,U10/1000000)</f>
        <v>7.6955390000000001</v>
      </c>
      <c r="W10" s="10">
        <f t="shared" si="6"/>
        <v>23.62530473</v>
      </c>
      <c r="X10" s="7">
        <f>'[2]Production Summary'!AJ11</f>
        <v>146960</v>
      </c>
      <c r="Y10" s="8">
        <f t="shared" si="16"/>
        <v>0.14696000000000001</v>
      </c>
      <c r="Z10" s="10">
        <f t="shared" si="7"/>
        <v>0.45116719999999999</v>
      </c>
      <c r="AA10" s="15"/>
      <c r="AB10" s="7">
        <f t="shared" si="8"/>
        <v>13855008</v>
      </c>
      <c r="AC10" s="8">
        <f t="shared" si="8"/>
        <v>13.855008</v>
      </c>
      <c r="AD10" s="8">
        <f t="shared" si="8"/>
        <v>42.534874559999999</v>
      </c>
    </row>
    <row r="11" spans="1:30" x14ac:dyDescent="0.25">
      <c r="A11" s="27">
        <v>43107</v>
      </c>
      <c r="B11" s="7">
        <f>'[2]Production Summary'!K12</f>
        <v>0</v>
      </c>
      <c r="C11" s="8">
        <f t="shared" si="9"/>
        <v>0</v>
      </c>
      <c r="D11" s="10">
        <f t="shared" si="0"/>
        <v>0</v>
      </c>
      <c r="E11" s="7">
        <f>'[2]Production Summary'!E12</f>
        <v>0</v>
      </c>
      <c r="F11" s="8">
        <f t="shared" si="10"/>
        <v>0</v>
      </c>
      <c r="G11" s="10">
        <f t="shared" si="1"/>
        <v>0</v>
      </c>
      <c r="H11" s="7">
        <f>'[2]Production Summary'!G12</f>
        <v>0</v>
      </c>
      <c r="I11" s="8">
        <f t="shared" si="11"/>
        <v>0</v>
      </c>
      <c r="J11" s="10">
        <f t="shared" si="2"/>
        <v>0</v>
      </c>
      <c r="K11" s="7">
        <f>'[2]Production Summary'!T12</f>
        <v>0</v>
      </c>
      <c r="L11" s="8">
        <f t="shared" si="12"/>
        <v>0</v>
      </c>
      <c r="M11" s="10">
        <f t="shared" si="3"/>
        <v>0</v>
      </c>
      <c r="N11" s="21"/>
      <c r="O11" s="7">
        <f>'[2]Production Summary'!J12</f>
        <v>13570827</v>
      </c>
      <c r="P11" s="8">
        <f t="shared" si="13"/>
        <v>13.570827</v>
      </c>
      <c r="Q11" s="10">
        <f t="shared" si="4"/>
        <v>41.662438889999997</v>
      </c>
      <c r="R11" s="7">
        <f>'[2]Production Summary'!AE12</f>
        <v>6294170</v>
      </c>
      <c r="S11" s="8">
        <f t="shared" si="14"/>
        <v>6.2941700000000003</v>
      </c>
      <c r="T11" s="10">
        <f t="shared" si="5"/>
        <v>19.323101900000001</v>
      </c>
      <c r="U11" s="7">
        <f>'[2]Production Summary'!AF12</f>
        <v>7697018</v>
      </c>
      <c r="V11" s="8">
        <f t="shared" si="15"/>
        <v>7.6970179999999999</v>
      </c>
      <c r="W11" s="10">
        <f t="shared" si="6"/>
        <v>23.62984526</v>
      </c>
      <c r="X11" s="7">
        <f>'[2]Production Summary'!AJ12</f>
        <v>236436</v>
      </c>
      <c r="Y11" s="8">
        <f t="shared" si="16"/>
        <v>0.23643600000000001</v>
      </c>
      <c r="Z11" s="10">
        <f t="shared" si="7"/>
        <v>0.72585851999999995</v>
      </c>
      <c r="AA11" s="15"/>
      <c r="AB11" s="7">
        <f t="shared" si="8"/>
        <v>13570827</v>
      </c>
      <c r="AC11" s="8">
        <f t="shared" si="8"/>
        <v>13.570827</v>
      </c>
      <c r="AD11" s="8">
        <f t="shared" si="8"/>
        <v>41.662438889999997</v>
      </c>
    </row>
    <row r="12" spans="1:30" x14ac:dyDescent="0.25">
      <c r="A12" s="27">
        <v>43108</v>
      </c>
      <c r="B12" s="7">
        <f>'[2]Production Summary'!K13</f>
        <v>0</v>
      </c>
      <c r="C12" s="8">
        <f t="shared" si="9"/>
        <v>0</v>
      </c>
      <c r="D12" s="10">
        <f t="shared" si="0"/>
        <v>0</v>
      </c>
      <c r="E12" s="7">
        <f>'[2]Production Summary'!E13</f>
        <v>0</v>
      </c>
      <c r="F12" s="8">
        <f t="shared" si="10"/>
        <v>0</v>
      </c>
      <c r="G12" s="10">
        <f t="shared" si="1"/>
        <v>0</v>
      </c>
      <c r="H12" s="7">
        <f>'[2]Production Summary'!G13</f>
        <v>0</v>
      </c>
      <c r="I12" s="8">
        <f t="shared" si="11"/>
        <v>0</v>
      </c>
      <c r="J12" s="10">
        <f t="shared" si="2"/>
        <v>0</v>
      </c>
      <c r="K12" s="7">
        <f>'[2]Production Summary'!T13</f>
        <v>0</v>
      </c>
      <c r="L12" s="8">
        <f t="shared" si="12"/>
        <v>0</v>
      </c>
      <c r="M12" s="10">
        <f t="shared" si="3"/>
        <v>0</v>
      </c>
      <c r="N12" s="21"/>
      <c r="O12" s="7">
        <f>'[2]Production Summary'!J13</f>
        <v>13088439</v>
      </c>
      <c r="P12" s="8">
        <f t="shared" si="13"/>
        <v>13.088438999999999</v>
      </c>
      <c r="Q12" s="10">
        <f t="shared" si="4"/>
        <v>40.181507729999993</v>
      </c>
      <c r="R12" s="7">
        <f>'[2]Production Summary'!AE13</f>
        <v>5928854</v>
      </c>
      <c r="S12" s="8">
        <f t="shared" si="14"/>
        <v>5.9288540000000003</v>
      </c>
      <c r="T12" s="10">
        <f t="shared" si="5"/>
        <v>18.201581780000001</v>
      </c>
      <c r="U12" s="7">
        <f>'[2]Production Summary'!AF13</f>
        <v>7216126</v>
      </c>
      <c r="V12" s="8">
        <f t="shared" si="15"/>
        <v>7.216126</v>
      </c>
      <c r="W12" s="10">
        <f t="shared" si="6"/>
        <v>22.15350682</v>
      </c>
      <c r="X12" s="7">
        <f>'[2]Production Summary'!AJ13</f>
        <v>81145</v>
      </c>
      <c r="Y12" s="8">
        <f t="shared" si="16"/>
        <v>8.1144999999999995E-2</v>
      </c>
      <c r="Z12" s="10">
        <f t="shared" si="7"/>
        <v>0.24911514999999998</v>
      </c>
      <c r="AA12" s="15"/>
      <c r="AB12" s="7">
        <f t="shared" si="8"/>
        <v>13088439</v>
      </c>
      <c r="AC12" s="8">
        <f t="shared" si="8"/>
        <v>13.088438999999999</v>
      </c>
      <c r="AD12" s="8">
        <f t="shared" si="8"/>
        <v>40.181507729999993</v>
      </c>
    </row>
    <row r="13" spans="1:30" x14ac:dyDescent="0.25">
      <c r="A13" s="27">
        <v>43109</v>
      </c>
      <c r="B13" s="7">
        <f>'[2]Production Summary'!K14</f>
        <v>0</v>
      </c>
      <c r="C13" s="8">
        <f t="shared" si="9"/>
        <v>0</v>
      </c>
      <c r="D13" s="10">
        <f t="shared" si="0"/>
        <v>0</v>
      </c>
      <c r="E13" s="7">
        <f>'[2]Production Summary'!E14</f>
        <v>0</v>
      </c>
      <c r="F13" s="8">
        <f t="shared" si="10"/>
        <v>0</v>
      </c>
      <c r="G13" s="10">
        <f t="shared" si="1"/>
        <v>0</v>
      </c>
      <c r="H13" s="7">
        <f>'[2]Production Summary'!G14</f>
        <v>0</v>
      </c>
      <c r="I13" s="8">
        <f t="shared" si="11"/>
        <v>0</v>
      </c>
      <c r="J13" s="10">
        <f t="shared" si="2"/>
        <v>0</v>
      </c>
      <c r="K13" s="7">
        <f>'[2]Production Summary'!T14</f>
        <v>0</v>
      </c>
      <c r="L13" s="8">
        <f t="shared" si="12"/>
        <v>0</v>
      </c>
      <c r="M13" s="10">
        <f t="shared" si="3"/>
        <v>0</v>
      </c>
      <c r="N13" s="21"/>
      <c r="O13" s="7">
        <f>'[2]Production Summary'!J14</f>
        <v>12345984</v>
      </c>
      <c r="P13" s="8">
        <f t="shared" si="13"/>
        <v>12.345984</v>
      </c>
      <c r="Q13" s="10">
        <f t="shared" si="4"/>
        <v>37.90217088</v>
      </c>
      <c r="R13" s="7">
        <f>'[2]Production Summary'!AE14</f>
        <v>5591356</v>
      </c>
      <c r="S13" s="8">
        <f t="shared" si="14"/>
        <v>5.5913560000000002</v>
      </c>
      <c r="T13" s="10">
        <f t="shared" si="5"/>
        <v>17.16546292</v>
      </c>
      <c r="U13" s="7">
        <f>'[2]Production Summary'!AF14</f>
        <v>6810326</v>
      </c>
      <c r="V13" s="8">
        <f t="shared" si="15"/>
        <v>6.8103259999999999</v>
      </c>
      <c r="W13" s="10">
        <f t="shared" si="6"/>
        <v>20.907700819999999</v>
      </c>
      <c r="X13" s="7">
        <f>'[2]Production Summary'!AJ14</f>
        <v>71516</v>
      </c>
      <c r="Y13" s="8">
        <f t="shared" si="16"/>
        <v>7.1515999999999996E-2</v>
      </c>
      <c r="Z13" s="10">
        <f t="shared" si="7"/>
        <v>0.21955411999999996</v>
      </c>
      <c r="AA13" s="15"/>
      <c r="AB13" s="7">
        <f t="shared" si="8"/>
        <v>12345984</v>
      </c>
      <c r="AC13" s="8">
        <f t="shared" si="8"/>
        <v>12.345984</v>
      </c>
      <c r="AD13" s="8">
        <f t="shared" si="8"/>
        <v>37.90217088</v>
      </c>
    </row>
    <row r="14" spans="1:30" x14ac:dyDescent="0.25">
      <c r="A14" s="27">
        <v>43110</v>
      </c>
      <c r="B14" s="7">
        <f>'[2]Production Summary'!K15</f>
        <v>0</v>
      </c>
      <c r="C14" s="8">
        <f t="shared" si="9"/>
        <v>0</v>
      </c>
      <c r="D14" s="10">
        <f t="shared" si="0"/>
        <v>0</v>
      </c>
      <c r="E14" s="7">
        <f>'[2]Production Summary'!E15</f>
        <v>0</v>
      </c>
      <c r="F14" s="8">
        <f t="shared" si="10"/>
        <v>0</v>
      </c>
      <c r="G14" s="10">
        <f t="shared" si="1"/>
        <v>0</v>
      </c>
      <c r="H14" s="7">
        <f>'[2]Production Summary'!G15</f>
        <v>0</v>
      </c>
      <c r="I14" s="8">
        <f t="shared" si="11"/>
        <v>0</v>
      </c>
      <c r="J14" s="10">
        <f t="shared" si="2"/>
        <v>0</v>
      </c>
      <c r="K14" s="7">
        <f>'[2]Production Summary'!T15</f>
        <v>0</v>
      </c>
      <c r="L14" s="8">
        <f t="shared" si="12"/>
        <v>0</v>
      </c>
      <c r="M14" s="10">
        <f t="shared" si="3"/>
        <v>0</v>
      </c>
      <c r="N14" s="21"/>
      <c r="O14" s="7">
        <f>'[2]Production Summary'!J15</f>
        <v>12478759</v>
      </c>
      <c r="P14" s="8">
        <f t="shared" si="13"/>
        <v>12.478759</v>
      </c>
      <c r="Q14" s="10">
        <f t="shared" si="4"/>
        <v>38.309790129999996</v>
      </c>
      <c r="R14" s="7">
        <f>'[2]Production Summary'!AE15</f>
        <v>5847776</v>
      </c>
      <c r="S14" s="8">
        <f t="shared" si="14"/>
        <v>5.8477759999999996</v>
      </c>
      <c r="T14" s="10">
        <f t="shared" si="5"/>
        <v>17.952672319999998</v>
      </c>
      <c r="U14" s="7">
        <f>'[2]Production Summary'!AF15</f>
        <v>7124825</v>
      </c>
      <c r="V14" s="8">
        <f t="shared" si="15"/>
        <v>7.1248250000000004</v>
      </c>
      <c r="W14" s="10">
        <f t="shared" si="6"/>
        <v>21.87321275</v>
      </c>
      <c r="X14" s="7">
        <f>'[2]Production Summary'!AJ15</f>
        <v>333671</v>
      </c>
      <c r="Y14" s="8">
        <f t="shared" si="16"/>
        <v>0.333671</v>
      </c>
      <c r="Z14" s="10">
        <f t="shared" si="7"/>
        <v>1.02436997</v>
      </c>
      <c r="AA14" s="15"/>
      <c r="AB14" s="7">
        <f t="shared" si="8"/>
        <v>12478759</v>
      </c>
      <c r="AC14" s="8">
        <f t="shared" si="8"/>
        <v>12.478759</v>
      </c>
      <c r="AD14" s="8">
        <f t="shared" si="8"/>
        <v>38.309790129999996</v>
      </c>
    </row>
    <row r="15" spans="1:30" x14ac:dyDescent="0.25">
      <c r="A15" s="27">
        <v>43111</v>
      </c>
      <c r="B15" s="7">
        <f>'[2]Production Summary'!K16</f>
        <v>0</v>
      </c>
      <c r="C15" s="8">
        <f t="shared" si="9"/>
        <v>0</v>
      </c>
      <c r="D15" s="10">
        <f t="shared" si="0"/>
        <v>0</v>
      </c>
      <c r="E15" s="7">
        <f>'[2]Production Summary'!E16</f>
        <v>0</v>
      </c>
      <c r="F15" s="8">
        <f t="shared" si="10"/>
        <v>0</v>
      </c>
      <c r="G15" s="10">
        <f t="shared" si="1"/>
        <v>0</v>
      </c>
      <c r="H15" s="7">
        <f>'[2]Production Summary'!G16</f>
        <v>0</v>
      </c>
      <c r="I15" s="8">
        <f t="shared" si="11"/>
        <v>0</v>
      </c>
      <c r="J15" s="10">
        <f t="shared" si="2"/>
        <v>0</v>
      </c>
      <c r="K15" s="7">
        <f>'[2]Production Summary'!T16</f>
        <v>0</v>
      </c>
      <c r="L15" s="8">
        <f t="shared" si="12"/>
        <v>0</v>
      </c>
      <c r="M15" s="10">
        <f t="shared" si="3"/>
        <v>0</v>
      </c>
      <c r="N15" s="21"/>
      <c r="O15" s="7">
        <f>'[2]Production Summary'!J16</f>
        <v>11860631</v>
      </c>
      <c r="P15" s="8">
        <f t="shared" si="13"/>
        <v>11.860631</v>
      </c>
      <c r="Q15" s="10">
        <f t="shared" si="4"/>
        <v>36.412137169999994</v>
      </c>
      <c r="R15" s="7">
        <f>'[2]Production Summary'!AE16</f>
        <v>5415323</v>
      </c>
      <c r="S15" s="8">
        <f t="shared" si="14"/>
        <v>5.4153229999999999</v>
      </c>
      <c r="T15" s="10">
        <f t="shared" si="5"/>
        <v>16.62504161</v>
      </c>
      <c r="U15" s="7">
        <f>'[2]Production Summary'!AF16</f>
        <v>6601876</v>
      </c>
      <c r="V15" s="8">
        <f t="shared" si="15"/>
        <v>6.6018759999999999</v>
      </c>
      <c r="W15" s="10">
        <f t="shared" si="6"/>
        <v>20.26775932</v>
      </c>
      <c r="X15" s="7">
        <f>'[2]Production Summary'!AJ16</f>
        <v>103242</v>
      </c>
      <c r="Y15" s="8">
        <f t="shared" si="16"/>
        <v>0.103242</v>
      </c>
      <c r="Z15" s="10">
        <f t="shared" si="7"/>
        <v>0.31695293999999996</v>
      </c>
      <c r="AA15" s="15"/>
      <c r="AB15" s="7">
        <f t="shared" si="8"/>
        <v>11860631</v>
      </c>
      <c r="AC15" s="8">
        <f t="shared" si="8"/>
        <v>11.860631</v>
      </c>
      <c r="AD15" s="8">
        <f t="shared" si="8"/>
        <v>36.412137169999994</v>
      </c>
    </row>
    <row r="16" spans="1:30" x14ac:dyDescent="0.25">
      <c r="A16" s="27">
        <v>43112</v>
      </c>
      <c r="B16" s="7">
        <f>'[2]Production Summary'!K17</f>
        <v>0</v>
      </c>
      <c r="C16" s="8">
        <f t="shared" si="9"/>
        <v>0</v>
      </c>
      <c r="D16" s="10">
        <f t="shared" si="0"/>
        <v>0</v>
      </c>
      <c r="E16" s="7">
        <f>'[2]Production Summary'!E17</f>
        <v>0</v>
      </c>
      <c r="F16" s="8">
        <f t="shared" si="10"/>
        <v>0</v>
      </c>
      <c r="G16" s="10">
        <f t="shared" si="1"/>
        <v>0</v>
      </c>
      <c r="H16" s="7">
        <f>'[2]Production Summary'!G17</f>
        <v>0</v>
      </c>
      <c r="I16" s="8">
        <f t="shared" si="11"/>
        <v>0</v>
      </c>
      <c r="J16" s="10">
        <f t="shared" si="2"/>
        <v>0</v>
      </c>
      <c r="K16" s="7">
        <f>'[2]Production Summary'!T17</f>
        <v>0</v>
      </c>
      <c r="L16" s="8">
        <f t="shared" si="12"/>
        <v>0</v>
      </c>
      <c r="M16" s="10">
        <f t="shared" si="3"/>
        <v>0</v>
      </c>
      <c r="N16" s="21"/>
      <c r="O16" s="7">
        <f>'[2]Production Summary'!J17</f>
        <v>11230592</v>
      </c>
      <c r="P16" s="8">
        <f t="shared" si="13"/>
        <v>11.230592</v>
      </c>
      <c r="Q16" s="10">
        <f t="shared" si="4"/>
        <v>34.477917439999999</v>
      </c>
      <c r="R16" s="7">
        <f>'[2]Production Summary'!AE17</f>
        <v>5066388</v>
      </c>
      <c r="S16" s="8">
        <f t="shared" si="14"/>
        <v>5.0663879999999999</v>
      </c>
      <c r="T16" s="10">
        <f t="shared" si="5"/>
        <v>15.553811159999999</v>
      </c>
      <c r="U16" s="7">
        <f>'[2]Production Summary'!AF17</f>
        <v>6186890</v>
      </c>
      <c r="V16" s="8">
        <f t="shared" si="15"/>
        <v>6.18689</v>
      </c>
      <c r="W16" s="10">
        <f t="shared" si="6"/>
        <v>18.993752300000001</v>
      </c>
      <c r="X16" s="7">
        <f>'[2]Production Summary'!AJ17</f>
        <v>95198</v>
      </c>
      <c r="Y16" s="8">
        <f t="shared" si="16"/>
        <v>9.5198000000000005E-2</v>
      </c>
      <c r="Z16" s="10">
        <f t="shared" si="7"/>
        <v>0.29225785999999998</v>
      </c>
      <c r="AA16" s="15"/>
      <c r="AB16" s="7">
        <f t="shared" si="8"/>
        <v>11230592</v>
      </c>
      <c r="AC16" s="8">
        <f t="shared" si="8"/>
        <v>11.230592</v>
      </c>
      <c r="AD16" s="8">
        <f t="shared" si="8"/>
        <v>34.477917439999999</v>
      </c>
    </row>
    <row r="17" spans="1:30" x14ac:dyDescent="0.25">
      <c r="A17" s="27">
        <v>43113</v>
      </c>
      <c r="B17" s="7">
        <f>'[2]Production Summary'!K18</f>
        <v>0</v>
      </c>
      <c r="C17" s="8">
        <f t="shared" si="9"/>
        <v>0</v>
      </c>
      <c r="D17" s="10">
        <f t="shared" si="0"/>
        <v>0</v>
      </c>
      <c r="E17" s="7">
        <f>'[2]Production Summary'!E18</f>
        <v>0</v>
      </c>
      <c r="F17" s="8">
        <f t="shared" si="10"/>
        <v>0</v>
      </c>
      <c r="G17" s="10">
        <f t="shared" si="1"/>
        <v>0</v>
      </c>
      <c r="H17" s="7">
        <f>'[2]Production Summary'!G18</f>
        <v>10000</v>
      </c>
      <c r="I17" s="8">
        <f t="shared" si="11"/>
        <v>0.01</v>
      </c>
      <c r="J17" s="10">
        <f t="shared" si="2"/>
        <v>3.0699999999999998E-2</v>
      </c>
      <c r="K17" s="7">
        <f>'[2]Production Summary'!T18</f>
        <v>0</v>
      </c>
      <c r="L17" s="8">
        <f t="shared" si="12"/>
        <v>0</v>
      </c>
      <c r="M17" s="10">
        <f t="shared" si="3"/>
        <v>0</v>
      </c>
      <c r="N17" s="21"/>
      <c r="O17" s="7">
        <f>'[2]Production Summary'!J18</f>
        <v>11042643</v>
      </c>
      <c r="P17" s="8">
        <f t="shared" si="13"/>
        <v>11.042643</v>
      </c>
      <c r="Q17" s="10">
        <f t="shared" si="4"/>
        <v>33.900914010000001</v>
      </c>
      <c r="R17" s="7">
        <f>'[2]Production Summary'!AE18</f>
        <v>6070749</v>
      </c>
      <c r="S17" s="8">
        <f t="shared" si="14"/>
        <v>6.0707490000000002</v>
      </c>
      <c r="T17" s="10">
        <f t="shared" si="5"/>
        <v>18.637199429999999</v>
      </c>
      <c r="U17" s="7">
        <f>'[2]Production Summary'!AF18</f>
        <v>7377590</v>
      </c>
      <c r="V17" s="8">
        <f t="shared" si="15"/>
        <v>7.3775899999999996</v>
      </c>
      <c r="W17" s="10">
        <f t="shared" si="6"/>
        <v>22.649201299999998</v>
      </c>
      <c r="X17" s="7">
        <f>'[2]Production Summary'!AJ18</f>
        <v>283147</v>
      </c>
      <c r="Y17" s="8">
        <f t="shared" si="16"/>
        <v>0.28314699999999998</v>
      </c>
      <c r="Z17" s="10">
        <f t="shared" si="7"/>
        <v>0.86926128999999985</v>
      </c>
      <c r="AA17" s="15"/>
      <c r="AB17" s="7">
        <f t="shared" si="8"/>
        <v>11042643</v>
      </c>
      <c r="AC17" s="8">
        <f t="shared" si="8"/>
        <v>11.042643</v>
      </c>
      <c r="AD17" s="8">
        <f t="shared" si="8"/>
        <v>33.900914010000001</v>
      </c>
    </row>
    <row r="18" spans="1:30" x14ac:dyDescent="0.25">
      <c r="A18" s="27">
        <v>43114</v>
      </c>
      <c r="B18" s="7">
        <f>'[2]Production Summary'!K19</f>
        <v>0</v>
      </c>
      <c r="C18" s="8">
        <f t="shared" si="9"/>
        <v>0</v>
      </c>
      <c r="D18" s="10">
        <f t="shared" si="0"/>
        <v>0</v>
      </c>
      <c r="E18" s="7">
        <f>'[2]Production Summary'!E19</f>
        <v>0</v>
      </c>
      <c r="F18" s="8">
        <f t="shared" si="10"/>
        <v>0</v>
      </c>
      <c r="G18" s="10">
        <f t="shared" si="1"/>
        <v>0</v>
      </c>
      <c r="H18" s="7">
        <f>'[2]Production Summary'!G19</f>
        <v>0</v>
      </c>
      <c r="I18" s="8">
        <f t="shared" si="11"/>
        <v>0</v>
      </c>
      <c r="J18" s="10">
        <f t="shared" si="2"/>
        <v>0</v>
      </c>
      <c r="K18" s="7">
        <f>'[2]Production Summary'!T19</f>
        <v>0</v>
      </c>
      <c r="L18" s="8">
        <f t="shared" si="12"/>
        <v>0</v>
      </c>
      <c r="M18" s="10">
        <f t="shared" si="3"/>
        <v>0</v>
      </c>
      <c r="N18" s="21"/>
      <c r="O18" s="7">
        <f>'[2]Production Summary'!J19</f>
        <v>9603076</v>
      </c>
      <c r="P18" s="8">
        <f t="shared" si="13"/>
        <v>9.6030759999999997</v>
      </c>
      <c r="Q18" s="10">
        <f t="shared" si="4"/>
        <v>29.481443319999997</v>
      </c>
      <c r="R18" s="7">
        <f>'[2]Production Summary'!AE19</f>
        <v>5339000</v>
      </c>
      <c r="S18" s="8">
        <f t="shared" si="14"/>
        <v>5.3390000000000004</v>
      </c>
      <c r="T18" s="10">
        <f t="shared" si="5"/>
        <v>16.390730000000001</v>
      </c>
      <c r="U18" s="7">
        <f>'[2]Production Summary'!AF19</f>
        <v>6456000</v>
      </c>
      <c r="V18" s="8">
        <f t="shared" si="15"/>
        <v>6.4560000000000004</v>
      </c>
      <c r="W18" s="10">
        <f t="shared" si="6"/>
        <v>19.81992</v>
      </c>
      <c r="X18" s="7">
        <f>'[2]Production Summary'!AJ19</f>
        <v>0</v>
      </c>
      <c r="Y18" s="8">
        <f t="shared" si="16"/>
        <v>0</v>
      </c>
      <c r="Z18" s="10">
        <f t="shared" si="7"/>
        <v>0</v>
      </c>
      <c r="AA18" s="15"/>
      <c r="AB18" s="7">
        <f t="shared" si="8"/>
        <v>9603076</v>
      </c>
      <c r="AC18" s="8">
        <f t="shared" si="8"/>
        <v>9.6030759999999997</v>
      </c>
      <c r="AD18" s="8">
        <f t="shared" si="8"/>
        <v>29.481443319999997</v>
      </c>
    </row>
    <row r="19" spans="1:30" x14ac:dyDescent="0.25">
      <c r="A19" s="27">
        <v>43115</v>
      </c>
      <c r="B19" s="7">
        <f>'[2]Production Summary'!K20</f>
        <v>0</v>
      </c>
      <c r="C19" s="8">
        <f t="shared" si="9"/>
        <v>0</v>
      </c>
      <c r="D19" s="10">
        <f t="shared" si="0"/>
        <v>0</v>
      </c>
      <c r="E19" s="7">
        <f>'[2]Production Summary'!E20</f>
        <v>0</v>
      </c>
      <c r="F19" s="8">
        <f t="shared" si="10"/>
        <v>0</v>
      </c>
      <c r="G19" s="10">
        <f t="shared" si="1"/>
        <v>0</v>
      </c>
      <c r="H19" s="7">
        <f>'[2]Production Summary'!G20</f>
        <v>0</v>
      </c>
      <c r="I19" s="8">
        <f t="shared" si="11"/>
        <v>0</v>
      </c>
      <c r="J19" s="10">
        <f t="shared" si="2"/>
        <v>0</v>
      </c>
      <c r="K19" s="7">
        <f>'[2]Production Summary'!T20</f>
        <v>0</v>
      </c>
      <c r="L19" s="8">
        <f t="shared" si="12"/>
        <v>0</v>
      </c>
      <c r="M19" s="10">
        <f t="shared" si="3"/>
        <v>0</v>
      </c>
      <c r="N19" s="21"/>
      <c r="O19" s="7">
        <f>'[2]Production Summary'!J20</f>
        <v>10858000</v>
      </c>
      <c r="P19" s="8">
        <f t="shared" si="13"/>
        <v>10.858000000000001</v>
      </c>
      <c r="Q19" s="10">
        <f t="shared" si="4"/>
        <v>33.334060000000001</v>
      </c>
      <c r="R19" s="7">
        <f>'[2]Production Summary'!AE20</f>
        <v>5318000</v>
      </c>
      <c r="S19" s="8">
        <f t="shared" si="14"/>
        <v>5.3179999999999996</v>
      </c>
      <c r="T19" s="10">
        <f t="shared" si="5"/>
        <v>16.326259999999998</v>
      </c>
      <c r="U19" s="7">
        <f>'[2]Production Summary'!AF20</f>
        <v>6400000</v>
      </c>
      <c r="V19" s="8">
        <f t="shared" si="15"/>
        <v>6.4</v>
      </c>
      <c r="W19" s="10">
        <f t="shared" si="6"/>
        <v>19.648</v>
      </c>
      <c r="X19" s="7">
        <f>'[2]Production Summary'!AJ20</f>
        <v>144000</v>
      </c>
      <c r="Y19" s="8">
        <f t="shared" si="16"/>
        <v>0.14399999999999999</v>
      </c>
      <c r="Z19" s="10">
        <f t="shared" si="7"/>
        <v>0.44207999999999992</v>
      </c>
      <c r="AA19" s="15"/>
      <c r="AB19" s="7">
        <f t="shared" si="8"/>
        <v>10858000</v>
      </c>
      <c r="AC19" s="8">
        <f t="shared" si="8"/>
        <v>10.858000000000001</v>
      </c>
      <c r="AD19" s="8">
        <f>D19+Q19</f>
        <v>33.334060000000001</v>
      </c>
    </row>
    <row r="20" spans="1:30" x14ac:dyDescent="0.25">
      <c r="A20" s="27">
        <v>43116</v>
      </c>
      <c r="B20" s="7">
        <f>'[2]Production Summary'!K21</f>
        <v>0</v>
      </c>
      <c r="C20" s="8">
        <f t="shared" si="9"/>
        <v>0</v>
      </c>
      <c r="D20" s="10">
        <f t="shared" si="0"/>
        <v>0</v>
      </c>
      <c r="E20" s="7">
        <f>'[2]Production Summary'!E21</f>
        <v>0</v>
      </c>
      <c r="F20" s="8">
        <f t="shared" si="10"/>
        <v>0</v>
      </c>
      <c r="G20" s="10">
        <f t="shared" si="1"/>
        <v>0</v>
      </c>
      <c r="H20" s="7">
        <f>'[2]Production Summary'!G21</f>
        <v>0</v>
      </c>
      <c r="I20" s="8">
        <f t="shared" si="11"/>
        <v>0</v>
      </c>
      <c r="J20" s="10">
        <f t="shared" si="2"/>
        <v>0</v>
      </c>
      <c r="K20" s="7">
        <f>'[2]Production Summary'!T21</f>
        <v>0</v>
      </c>
      <c r="L20" s="8">
        <f t="shared" si="12"/>
        <v>0</v>
      </c>
      <c r="M20" s="10">
        <f t="shared" si="3"/>
        <v>0</v>
      </c>
      <c r="N20" s="21"/>
      <c r="O20" s="7">
        <f>'[2]Production Summary'!J21</f>
        <v>9268765</v>
      </c>
      <c r="P20" s="8">
        <f t="shared" si="13"/>
        <v>9.2687650000000001</v>
      </c>
      <c r="Q20" s="10">
        <f t="shared" si="4"/>
        <v>28.455108549999999</v>
      </c>
      <c r="R20" s="7">
        <f>'[2]Production Summary'!AE21</f>
        <v>5320980</v>
      </c>
      <c r="S20" s="8">
        <f t="shared" si="14"/>
        <v>5.3209799999999996</v>
      </c>
      <c r="T20" s="10">
        <f t="shared" si="5"/>
        <v>16.335408599999997</v>
      </c>
      <c r="U20" s="7">
        <f>'[2]Production Summary'!AF21</f>
        <v>6399902</v>
      </c>
      <c r="V20" s="8">
        <f t="shared" si="15"/>
        <v>6.399902</v>
      </c>
      <c r="W20" s="10">
        <f t="shared" si="6"/>
        <v>19.64769914</v>
      </c>
      <c r="X20" s="7">
        <f>'[2]Production Summary'!AJ21</f>
        <v>294000</v>
      </c>
      <c r="Y20" s="8">
        <f t="shared" si="16"/>
        <v>0.29399999999999998</v>
      </c>
      <c r="Z20" s="10">
        <f t="shared" si="7"/>
        <v>0.90257999999999994</v>
      </c>
      <c r="AA20" s="15"/>
      <c r="AB20" s="7">
        <f t="shared" si="8"/>
        <v>9268765</v>
      </c>
      <c r="AC20" s="8">
        <f t="shared" si="8"/>
        <v>9.2687650000000001</v>
      </c>
      <c r="AD20" s="8">
        <f t="shared" si="8"/>
        <v>28.455108549999999</v>
      </c>
    </row>
    <row r="21" spans="1:30" x14ac:dyDescent="0.25">
      <c r="A21" s="27">
        <v>43117</v>
      </c>
      <c r="B21" s="7">
        <f>'[2]Production Summary'!K22</f>
        <v>0</v>
      </c>
      <c r="C21" s="8">
        <f t="shared" si="9"/>
        <v>0</v>
      </c>
      <c r="D21" s="10">
        <f t="shared" si="0"/>
        <v>0</v>
      </c>
      <c r="E21" s="7">
        <f>'[2]Production Summary'!E22</f>
        <v>0</v>
      </c>
      <c r="F21" s="8">
        <f t="shared" si="10"/>
        <v>0</v>
      </c>
      <c r="G21" s="10">
        <f t="shared" si="1"/>
        <v>0</v>
      </c>
      <c r="H21" s="7">
        <f>'[2]Production Summary'!G22</f>
        <v>0</v>
      </c>
      <c r="I21" s="8">
        <f t="shared" si="11"/>
        <v>0</v>
      </c>
      <c r="J21" s="10">
        <f t="shared" si="2"/>
        <v>0</v>
      </c>
      <c r="K21" s="7">
        <f>'[2]Production Summary'!T22</f>
        <v>0</v>
      </c>
      <c r="L21" s="8">
        <f t="shared" si="12"/>
        <v>0</v>
      </c>
      <c r="M21" s="10">
        <f t="shared" si="3"/>
        <v>0</v>
      </c>
      <c r="N21" s="21"/>
      <c r="O21" s="7">
        <f>'[2]Production Summary'!J22</f>
        <v>8878980</v>
      </c>
      <c r="P21" s="8">
        <f t="shared" si="13"/>
        <v>8.8789800000000003</v>
      </c>
      <c r="Q21" s="10">
        <f t="shared" si="4"/>
        <v>27.2584686</v>
      </c>
      <c r="R21" s="7">
        <f>'[2]Production Summary'!AE22</f>
        <v>5317980</v>
      </c>
      <c r="S21" s="8">
        <f t="shared" si="14"/>
        <v>5.3179800000000004</v>
      </c>
      <c r="T21" s="10">
        <f t="shared" si="5"/>
        <v>16.326198600000001</v>
      </c>
      <c r="U21" s="7">
        <f>'[2]Production Summary'!AF22</f>
        <v>6413901</v>
      </c>
      <c r="V21" s="8">
        <f t="shared" si="15"/>
        <v>6.4139010000000001</v>
      </c>
      <c r="W21" s="10">
        <f t="shared" si="6"/>
        <v>19.690676069999999</v>
      </c>
      <c r="X21" s="7">
        <f>'[2]Production Summary'!AJ22</f>
        <v>56000</v>
      </c>
      <c r="Y21" s="8">
        <f t="shared" si="16"/>
        <v>5.6000000000000001E-2</v>
      </c>
      <c r="Z21" s="10">
        <f t="shared" si="7"/>
        <v>0.17191999999999999</v>
      </c>
      <c r="AA21" s="15"/>
      <c r="AB21" s="7">
        <f t="shared" si="8"/>
        <v>8878980</v>
      </c>
      <c r="AC21" s="8">
        <f t="shared" si="8"/>
        <v>8.8789800000000003</v>
      </c>
      <c r="AD21" s="8">
        <f t="shared" si="8"/>
        <v>27.2584686</v>
      </c>
    </row>
    <row r="22" spans="1:30" x14ac:dyDescent="0.25">
      <c r="A22" s="27">
        <v>43118</v>
      </c>
      <c r="B22" s="7">
        <f>'[2]Production Summary'!K23</f>
        <v>0</v>
      </c>
      <c r="C22" s="8">
        <f t="shared" si="9"/>
        <v>0</v>
      </c>
      <c r="D22" s="10">
        <f t="shared" si="0"/>
        <v>0</v>
      </c>
      <c r="E22" s="7">
        <f>'[2]Production Summary'!E23</f>
        <v>0</v>
      </c>
      <c r="F22" s="8">
        <f t="shared" si="10"/>
        <v>0</v>
      </c>
      <c r="G22" s="10">
        <f t="shared" si="1"/>
        <v>0</v>
      </c>
      <c r="H22" s="7">
        <f>'[2]Production Summary'!G23</f>
        <v>0</v>
      </c>
      <c r="I22" s="8">
        <f t="shared" si="11"/>
        <v>0</v>
      </c>
      <c r="J22" s="10">
        <f t="shared" si="2"/>
        <v>0</v>
      </c>
      <c r="K22" s="7">
        <f>'[2]Production Summary'!T23</f>
        <v>0</v>
      </c>
      <c r="L22" s="8">
        <f t="shared" si="12"/>
        <v>0</v>
      </c>
      <c r="M22" s="10">
        <f t="shared" si="3"/>
        <v>0</v>
      </c>
      <c r="N22" s="21"/>
      <c r="O22" s="7">
        <f>'[2]Production Summary'!J23</f>
        <v>10750768</v>
      </c>
      <c r="P22" s="8">
        <f t="shared" si="13"/>
        <v>10.750768000000001</v>
      </c>
      <c r="Q22" s="10">
        <f t="shared" si="4"/>
        <v>33.00485776</v>
      </c>
      <c r="R22" s="7">
        <f>'[2]Production Summary'!AE23</f>
        <v>5311980</v>
      </c>
      <c r="S22" s="8">
        <f t="shared" si="14"/>
        <v>5.3119800000000001</v>
      </c>
      <c r="T22" s="10">
        <f t="shared" si="5"/>
        <v>16.307778599999999</v>
      </c>
      <c r="U22" s="7">
        <f>'[2]Production Summary'!AF23</f>
        <v>6399902</v>
      </c>
      <c r="V22" s="8">
        <f t="shared" si="15"/>
        <v>6.399902</v>
      </c>
      <c r="W22" s="10">
        <f t="shared" si="6"/>
        <v>19.64769914</v>
      </c>
      <c r="X22" s="7">
        <f>'[2]Production Summary'!AJ23</f>
        <v>132000</v>
      </c>
      <c r="Y22" s="8">
        <f t="shared" si="16"/>
        <v>0.13200000000000001</v>
      </c>
      <c r="Z22" s="10">
        <f t="shared" si="7"/>
        <v>0.40523999999999999</v>
      </c>
      <c r="AA22" s="15"/>
      <c r="AB22" s="7">
        <f t="shared" si="8"/>
        <v>10750768</v>
      </c>
      <c r="AC22" s="8">
        <f t="shared" si="8"/>
        <v>10.750768000000001</v>
      </c>
      <c r="AD22" s="8">
        <f t="shared" si="8"/>
        <v>33.00485776</v>
      </c>
    </row>
    <row r="23" spans="1:30" x14ac:dyDescent="0.25">
      <c r="A23" s="27">
        <v>43119</v>
      </c>
      <c r="B23" s="7">
        <f>'[2]Production Summary'!K24</f>
        <v>0</v>
      </c>
      <c r="C23" s="8">
        <f t="shared" si="9"/>
        <v>0</v>
      </c>
      <c r="D23" s="10">
        <f t="shared" si="0"/>
        <v>0</v>
      </c>
      <c r="E23" s="7">
        <f>'[2]Production Summary'!E24</f>
        <v>0</v>
      </c>
      <c r="F23" s="8">
        <f t="shared" si="10"/>
        <v>0</v>
      </c>
      <c r="G23" s="10">
        <f t="shared" si="1"/>
        <v>0</v>
      </c>
      <c r="H23" s="7">
        <f>'[2]Production Summary'!G24</f>
        <v>0</v>
      </c>
      <c r="I23" s="8">
        <f t="shared" si="11"/>
        <v>0</v>
      </c>
      <c r="J23" s="10">
        <f t="shared" si="2"/>
        <v>0</v>
      </c>
      <c r="K23" s="7">
        <f>'[2]Production Summary'!T24</f>
        <v>0</v>
      </c>
      <c r="L23" s="8">
        <f t="shared" si="12"/>
        <v>0</v>
      </c>
      <c r="M23" s="10">
        <f t="shared" si="3"/>
        <v>0</v>
      </c>
      <c r="N23" s="21"/>
      <c r="O23" s="7">
        <f>'[2]Production Summary'!J24</f>
        <v>10521726</v>
      </c>
      <c r="P23" s="8">
        <f t="shared" si="13"/>
        <v>10.521725999999999</v>
      </c>
      <c r="Q23" s="10">
        <f t="shared" si="4"/>
        <v>32.301698819999999</v>
      </c>
      <c r="R23" s="7">
        <f>'[2]Production Summary'!AE24</f>
        <v>5321980</v>
      </c>
      <c r="S23" s="8">
        <f t="shared" si="14"/>
        <v>5.3219799999999999</v>
      </c>
      <c r="T23" s="10">
        <f t="shared" si="5"/>
        <v>16.338478599999998</v>
      </c>
      <c r="U23" s="7">
        <f>'[2]Production Summary'!AF24</f>
        <v>6399902</v>
      </c>
      <c r="V23" s="8">
        <f t="shared" si="15"/>
        <v>6.399902</v>
      </c>
      <c r="W23" s="10">
        <f t="shared" si="6"/>
        <v>19.64769914</v>
      </c>
      <c r="X23" s="7">
        <f>'[2]Production Summary'!AJ24</f>
        <v>257000</v>
      </c>
      <c r="Y23" s="8">
        <f t="shared" si="16"/>
        <v>0.25700000000000001</v>
      </c>
      <c r="Z23" s="10">
        <f t="shared" si="7"/>
        <v>0.78898999999999997</v>
      </c>
      <c r="AA23" s="15"/>
      <c r="AB23" s="7">
        <f t="shared" si="8"/>
        <v>10521726</v>
      </c>
      <c r="AC23" s="8">
        <f t="shared" si="8"/>
        <v>10.521725999999999</v>
      </c>
      <c r="AD23" s="8">
        <f t="shared" si="8"/>
        <v>32.301698819999999</v>
      </c>
    </row>
    <row r="24" spans="1:30" x14ac:dyDescent="0.25">
      <c r="A24" s="27">
        <v>43120</v>
      </c>
      <c r="B24" s="7">
        <f>'[2]Production Summary'!K25</f>
        <v>0</v>
      </c>
      <c r="C24" s="8">
        <f t="shared" si="9"/>
        <v>0</v>
      </c>
      <c r="D24" s="10">
        <f t="shared" si="0"/>
        <v>0</v>
      </c>
      <c r="E24" s="7">
        <f>'[2]Production Summary'!E25</f>
        <v>0</v>
      </c>
      <c r="F24" s="8">
        <f t="shared" si="10"/>
        <v>0</v>
      </c>
      <c r="G24" s="10">
        <f t="shared" si="1"/>
        <v>0</v>
      </c>
      <c r="H24" s="7">
        <f>'[2]Production Summary'!G25</f>
        <v>0</v>
      </c>
      <c r="I24" s="8">
        <f t="shared" si="11"/>
        <v>0</v>
      </c>
      <c r="J24" s="10">
        <f t="shared" si="2"/>
        <v>0</v>
      </c>
      <c r="K24" s="7">
        <f>'[2]Production Summary'!T25</f>
        <v>0</v>
      </c>
      <c r="L24" s="8">
        <f t="shared" si="12"/>
        <v>0</v>
      </c>
      <c r="M24" s="10">
        <f t="shared" si="3"/>
        <v>0</v>
      </c>
      <c r="N24" s="21"/>
      <c r="O24" s="7">
        <f>'[2]Production Summary'!J25</f>
        <v>11063878</v>
      </c>
      <c r="P24" s="8">
        <f t="shared" si="13"/>
        <v>11.063878000000001</v>
      </c>
      <c r="Q24" s="10">
        <f t="shared" si="4"/>
        <v>33.966105460000001</v>
      </c>
      <c r="R24" s="7">
        <f>'[2]Production Summary'!AE25</f>
        <v>5315980</v>
      </c>
      <c r="S24" s="8">
        <f t="shared" si="14"/>
        <v>5.3159799999999997</v>
      </c>
      <c r="T24" s="10">
        <f t="shared" si="5"/>
        <v>16.320058599999999</v>
      </c>
      <c r="U24" s="7">
        <f>'[2]Production Summary'!AF25</f>
        <v>6393902</v>
      </c>
      <c r="V24" s="8">
        <f t="shared" si="15"/>
        <v>6.3939019999999998</v>
      </c>
      <c r="W24" s="10">
        <f t="shared" si="6"/>
        <v>19.629279139999998</v>
      </c>
      <c r="X24" s="7">
        <f>'[2]Production Summary'!AJ25</f>
        <v>93000</v>
      </c>
      <c r="Y24" s="8">
        <f t="shared" si="16"/>
        <v>9.2999999999999999E-2</v>
      </c>
      <c r="Z24" s="10">
        <f t="shared" si="7"/>
        <v>0.28550999999999999</v>
      </c>
      <c r="AA24" s="15"/>
      <c r="AB24" s="7">
        <f t="shared" si="8"/>
        <v>11063878</v>
      </c>
      <c r="AC24" s="8">
        <f t="shared" si="8"/>
        <v>11.063878000000001</v>
      </c>
      <c r="AD24" s="8">
        <f>D24+Q24</f>
        <v>33.966105460000001</v>
      </c>
    </row>
    <row r="25" spans="1:30" x14ac:dyDescent="0.25">
      <c r="A25" s="27">
        <v>43121</v>
      </c>
      <c r="B25" s="7">
        <f>'[2]Production Summary'!K26</f>
        <v>0</v>
      </c>
      <c r="C25" s="8">
        <f t="shared" si="9"/>
        <v>0</v>
      </c>
      <c r="D25" s="10">
        <f t="shared" si="0"/>
        <v>0</v>
      </c>
      <c r="E25" s="7">
        <f>'[2]Production Summary'!E26</f>
        <v>0</v>
      </c>
      <c r="F25" s="8">
        <f t="shared" si="10"/>
        <v>0</v>
      </c>
      <c r="G25" s="10">
        <f t="shared" si="1"/>
        <v>0</v>
      </c>
      <c r="H25" s="7">
        <f>'[2]Production Summary'!G26</f>
        <v>0</v>
      </c>
      <c r="I25" s="8">
        <f t="shared" si="11"/>
        <v>0</v>
      </c>
      <c r="J25" s="10">
        <f t="shared" si="2"/>
        <v>0</v>
      </c>
      <c r="K25" s="7">
        <f>'[2]Production Summary'!T26</f>
        <v>0</v>
      </c>
      <c r="L25" s="8">
        <f t="shared" si="12"/>
        <v>0</v>
      </c>
      <c r="M25" s="10">
        <f t="shared" si="3"/>
        <v>0</v>
      </c>
      <c r="N25" s="21"/>
      <c r="O25" s="7">
        <f>'[2]Production Summary'!J26</f>
        <v>10817789</v>
      </c>
      <c r="P25" s="8">
        <f t="shared" si="13"/>
        <v>10.817788999999999</v>
      </c>
      <c r="Q25" s="10">
        <f t="shared" si="4"/>
        <v>33.210612229999995</v>
      </c>
      <c r="R25" s="7">
        <f>'[2]Production Summary'!AE26</f>
        <v>5677954</v>
      </c>
      <c r="S25" s="8">
        <f t="shared" si="14"/>
        <v>5.6779539999999997</v>
      </c>
      <c r="T25" s="10">
        <f t="shared" si="5"/>
        <v>17.431318779999998</v>
      </c>
      <c r="U25" s="7">
        <f>'[2]Production Summary'!AF26</f>
        <v>6100923</v>
      </c>
      <c r="V25" s="8">
        <f t="shared" si="15"/>
        <v>6.1009229999999999</v>
      </c>
      <c r="W25" s="10">
        <f t="shared" si="6"/>
        <v>18.72983361</v>
      </c>
      <c r="X25" s="7">
        <f>'[2]Production Summary'!AJ26</f>
        <v>117000</v>
      </c>
      <c r="Y25" s="8">
        <f t="shared" si="16"/>
        <v>0.11700000000000001</v>
      </c>
      <c r="Z25" s="10">
        <f t="shared" si="7"/>
        <v>0.35919000000000001</v>
      </c>
      <c r="AA25" s="15"/>
      <c r="AB25" s="7">
        <f t="shared" si="8"/>
        <v>10817789</v>
      </c>
      <c r="AC25" s="8">
        <f t="shared" si="8"/>
        <v>10.817788999999999</v>
      </c>
      <c r="AD25" s="8">
        <f t="shared" si="8"/>
        <v>33.210612229999995</v>
      </c>
    </row>
    <row r="26" spans="1:30" x14ac:dyDescent="0.25">
      <c r="A26" s="27">
        <v>43122</v>
      </c>
      <c r="B26" s="7">
        <f>'[2]Production Summary'!K27</f>
        <v>0</v>
      </c>
      <c r="C26" s="8">
        <f t="shared" si="9"/>
        <v>0</v>
      </c>
      <c r="D26" s="10">
        <f t="shared" si="0"/>
        <v>0</v>
      </c>
      <c r="E26" s="7">
        <f>'[2]Production Summary'!E27</f>
        <v>0</v>
      </c>
      <c r="F26" s="8">
        <f t="shared" si="10"/>
        <v>0</v>
      </c>
      <c r="G26" s="10">
        <f t="shared" si="1"/>
        <v>0</v>
      </c>
      <c r="H26" s="7">
        <f>'[2]Production Summary'!G27</f>
        <v>0</v>
      </c>
      <c r="I26" s="8">
        <f t="shared" si="11"/>
        <v>0</v>
      </c>
      <c r="J26" s="10">
        <f t="shared" si="2"/>
        <v>0</v>
      </c>
      <c r="K26" s="7">
        <f>'[2]Production Summary'!T27</f>
        <v>0</v>
      </c>
      <c r="L26" s="8">
        <f t="shared" si="12"/>
        <v>0</v>
      </c>
      <c r="M26" s="10">
        <f t="shared" si="3"/>
        <v>0</v>
      </c>
      <c r="N26" s="21"/>
      <c r="O26" s="7">
        <f>'[2]Production Summary'!J27</f>
        <v>10575766</v>
      </c>
      <c r="P26" s="8">
        <f t="shared" si="13"/>
        <v>10.575766</v>
      </c>
      <c r="Q26" s="10">
        <f t="shared" si="4"/>
        <v>32.467601619999996</v>
      </c>
      <c r="R26" s="7">
        <f>'[2]Production Summary'!AE27</f>
        <v>5922937</v>
      </c>
      <c r="S26" s="8">
        <f t="shared" si="14"/>
        <v>5.9229370000000001</v>
      </c>
      <c r="T26" s="10">
        <f t="shared" si="5"/>
        <v>18.18341659</v>
      </c>
      <c r="U26" s="7">
        <f>'[2]Production Summary'!AF27</f>
        <v>5900938</v>
      </c>
      <c r="V26" s="8">
        <f t="shared" si="15"/>
        <v>5.900938</v>
      </c>
      <c r="W26" s="10">
        <f t="shared" si="6"/>
        <v>18.115879659999997</v>
      </c>
      <c r="X26" s="7">
        <f>'[2]Production Summary'!AJ27</f>
        <v>303000</v>
      </c>
      <c r="Y26" s="8">
        <f t="shared" si="16"/>
        <v>0.30299999999999999</v>
      </c>
      <c r="Z26" s="10">
        <f t="shared" si="7"/>
        <v>0.93020999999999987</v>
      </c>
      <c r="AA26" s="15"/>
      <c r="AB26" s="7">
        <f t="shared" si="8"/>
        <v>10575766</v>
      </c>
      <c r="AC26" s="8">
        <f t="shared" si="8"/>
        <v>10.575766</v>
      </c>
      <c r="AD26" s="8">
        <f t="shared" si="8"/>
        <v>32.467601619999996</v>
      </c>
    </row>
    <row r="27" spans="1:30" x14ac:dyDescent="0.25">
      <c r="A27" s="27">
        <v>43123</v>
      </c>
      <c r="B27" s="7">
        <f>'[2]Production Summary'!K28</f>
        <v>0</v>
      </c>
      <c r="C27" s="8">
        <f t="shared" si="9"/>
        <v>0</v>
      </c>
      <c r="D27" s="10">
        <f t="shared" si="0"/>
        <v>0</v>
      </c>
      <c r="E27" s="7">
        <f>'[2]Production Summary'!E28</f>
        <v>0</v>
      </c>
      <c r="F27" s="8">
        <f t="shared" si="10"/>
        <v>0</v>
      </c>
      <c r="G27" s="10">
        <f t="shared" si="1"/>
        <v>0</v>
      </c>
      <c r="H27" s="7">
        <f>'[2]Production Summary'!G28</f>
        <v>0</v>
      </c>
      <c r="I27" s="8">
        <f t="shared" si="11"/>
        <v>0</v>
      </c>
      <c r="J27" s="10">
        <f t="shared" si="2"/>
        <v>0</v>
      </c>
      <c r="K27" s="7">
        <f>'[2]Production Summary'!T28</f>
        <v>0</v>
      </c>
      <c r="L27" s="8">
        <f t="shared" si="12"/>
        <v>0</v>
      </c>
      <c r="M27" s="10">
        <f t="shared" si="3"/>
        <v>0</v>
      </c>
      <c r="N27" s="21"/>
      <c r="O27" s="7">
        <f>'[2]Production Summary'!J28</f>
        <v>11843180</v>
      </c>
      <c r="P27" s="8">
        <f t="shared" si="13"/>
        <v>11.84318</v>
      </c>
      <c r="Q27" s="10">
        <f t="shared" si="4"/>
        <v>36.358562599999999</v>
      </c>
      <c r="R27" s="7">
        <f>'[2]Production Summary'!AE28</f>
        <v>5972933</v>
      </c>
      <c r="S27" s="8">
        <f t="shared" si="14"/>
        <v>5.9729330000000003</v>
      </c>
      <c r="T27" s="10">
        <f t="shared" si="5"/>
        <v>18.336904310000001</v>
      </c>
      <c r="U27" s="7">
        <f>'[2]Production Summary'!AF28</f>
        <v>5948934</v>
      </c>
      <c r="V27" s="8">
        <f t="shared" si="15"/>
        <v>5.9489340000000004</v>
      </c>
      <c r="W27" s="10">
        <f t="shared" si="6"/>
        <v>18.26322738</v>
      </c>
      <c r="X27" s="7">
        <f>'[2]Production Summary'!AJ28</f>
        <v>59000</v>
      </c>
      <c r="Y27" s="8">
        <f t="shared" si="16"/>
        <v>5.8999999999999997E-2</v>
      </c>
      <c r="Z27" s="10">
        <f t="shared" si="7"/>
        <v>0.18112999999999999</v>
      </c>
      <c r="AA27" s="15"/>
      <c r="AB27" s="7">
        <f t="shared" si="8"/>
        <v>11843180</v>
      </c>
      <c r="AC27" s="8">
        <f t="shared" si="8"/>
        <v>11.84318</v>
      </c>
      <c r="AD27" s="8">
        <f t="shared" si="8"/>
        <v>36.358562599999999</v>
      </c>
    </row>
    <row r="28" spans="1:30" x14ac:dyDescent="0.25">
      <c r="A28" s="27">
        <v>43124</v>
      </c>
      <c r="B28" s="7">
        <f>'[2]Production Summary'!K29</f>
        <v>0</v>
      </c>
      <c r="C28" s="8">
        <f t="shared" si="9"/>
        <v>0</v>
      </c>
      <c r="D28" s="10">
        <f t="shared" si="0"/>
        <v>0</v>
      </c>
      <c r="E28" s="7">
        <f>'[2]Production Summary'!E29</f>
        <v>0</v>
      </c>
      <c r="F28" s="8">
        <f t="shared" si="10"/>
        <v>0</v>
      </c>
      <c r="G28" s="10">
        <f t="shared" si="1"/>
        <v>0</v>
      </c>
      <c r="H28" s="7">
        <f>'[2]Production Summary'!G29</f>
        <v>0</v>
      </c>
      <c r="I28" s="8">
        <f t="shared" si="11"/>
        <v>0</v>
      </c>
      <c r="J28" s="10">
        <f t="shared" si="2"/>
        <v>0</v>
      </c>
      <c r="K28" s="7">
        <f>'[2]Production Summary'!T29</f>
        <v>0</v>
      </c>
      <c r="L28" s="8">
        <f t="shared" si="12"/>
        <v>0</v>
      </c>
      <c r="M28" s="10">
        <f t="shared" si="3"/>
        <v>0</v>
      </c>
      <c r="N28" s="21"/>
      <c r="O28" s="7">
        <f>'[2]Production Summary'!J29</f>
        <v>12036286</v>
      </c>
      <c r="P28" s="8">
        <f t="shared" si="13"/>
        <v>12.036286</v>
      </c>
      <c r="Q28" s="10">
        <f t="shared" si="4"/>
        <v>36.951398019999999</v>
      </c>
      <c r="R28" s="7">
        <f>'[2]Production Summary'!AE29</f>
        <v>6053927</v>
      </c>
      <c r="S28" s="8">
        <f t="shared" si="14"/>
        <v>6.0539269999999998</v>
      </c>
      <c r="T28" s="10">
        <f t="shared" si="5"/>
        <v>18.585555889999998</v>
      </c>
      <c r="U28" s="7">
        <f>'[2]Production Summary'!AF29</f>
        <v>6023929</v>
      </c>
      <c r="V28" s="8">
        <f t="shared" si="15"/>
        <v>6.0239289999999999</v>
      </c>
      <c r="W28" s="10">
        <f t="shared" si="6"/>
        <v>18.49346203</v>
      </c>
      <c r="X28" s="7">
        <f>'[2]Production Summary'!AJ29</f>
        <v>129000</v>
      </c>
      <c r="Y28" s="8">
        <f t="shared" si="16"/>
        <v>0.129</v>
      </c>
      <c r="Z28" s="10">
        <f t="shared" si="7"/>
        <v>0.39602999999999999</v>
      </c>
      <c r="AA28" s="15"/>
      <c r="AB28" s="7">
        <f t="shared" si="8"/>
        <v>12036286</v>
      </c>
      <c r="AC28" s="8">
        <f t="shared" si="8"/>
        <v>12.036286</v>
      </c>
      <c r="AD28" s="8">
        <f t="shared" si="8"/>
        <v>36.951398019999999</v>
      </c>
    </row>
    <row r="29" spans="1:30" x14ac:dyDescent="0.25">
      <c r="A29" s="27">
        <v>43125</v>
      </c>
      <c r="B29" s="7">
        <f>'[2]Production Summary'!K30</f>
        <v>0</v>
      </c>
      <c r="C29" s="8">
        <f t="shared" si="9"/>
        <v>0</v>
      </c>
      <c r="D29" s="10">
        <f t="shared" si="0"/>
        <v>0</v>
      </c>
      <c r="E29" s="7">
        <f>'[2]Production Summary'!E30</f>
        <v>0</v>
      </c>
      <c r="F29" s="8">
        <f t="shared" si="10"/>
        <v>0</v>
      </c>
      <c r="G29" s="10">
        <f t="shared" si="1"/>
        <v>0</v>
      </c>
      <c r="H29" s="7">
        <f>'[2]Production Summary'!G30</f>
        <v>0</v>
      </c>
      <c r="I29" s="8">
        <f t="shared" si="11"/>
        <v>0</v>
      </c>
      <c r="J29" s="10">
        <f t="shared" si="2"/>
        <v>0</v>
      </c>
      <c r="K29" s="7">
        <f>'[2]Production Summary'!T30</f>
        <v>0</v>
      </c>
      <c r="L29" s="8">
        <f t="shared" si="12"/>
        <v>0</v>
      </c>
      <c r="M29" s="10">
        <f t="shared" si="3"/>
        <v>0</v>
      </c>
      <c r="N29" s="21"/>
      <c r="O29" s="7">
        <f>'[2]Production Summary'!J30</f>
        <v>12297474</v>
      </c>
      <c r="P29" s="8">
        <f t="shared" si="13"/>
        <v>12.297473999999999</v>
      </c>
      <c r="Q29" s="10">
        <f t="shared" si="4"/>
        <v>37.753245179999993</v>
      </c>
      <c r="R29" s="7">
        <f>'[2]Production Summary'!AE30</f>
        <v>6498894</v>
      </c>
      <c r="S29" s="8">
        <f t="shared" si="14"/>
        <v>6.4988939999999999</v>
      </c>
      <c r="T29" s="10">
        <f t="shared" si="5"/>
        <v>19.951604579999998</v>
      </c>
      <c r="U29" s="7">
        <f>'[2]Production Summary'!AF30</f>
        <v>6464897</v>
      </c>
      <c r="V29" s="8">
        <f t="shared" si="15"/>
        <v>6.4648969999999997</v>
      </c>
      <c r="W29" s="10">
        <f t="shared" si="6"/>
        <v>19.847233789999997</v>
      </c>
      <c r="X29" s="7">
        <f>'[2]Production Summary'!AJ30</f>
        <v>329999</v>
      </c>
      <c r="Y29" s="8">
        <f t="shared" si="16"/>
        <v>0.32999899999999999</v>
      </c>
      <c r="Z29" s="10">
        <f t="shared" si="7"/>
        <v>1.0130969299999999</v>
      </c>
      <c r="AA29" s="15"/>
      <c r="AB29" s="7">
        <f t="shared" si="8"/>
        <v>12297474</v>
      </c>
      <c r="AC29" s="8">
        <f t="shared" si="8"/>
        <v>12.297473999999999</v>
      </c>
      <c r="AD29" s="8">
        <f t="shared" si="8"/>
        <v>37.753245179999993</v>
      </c>
    </row>
    <row r="30" spans="1:30" x14ac:dyDescent="0.25">
      <c r="A30" s="27">
        <v>43126</v>
      </c>
      <c r="B30" s="7">
        <f>'[2]Production Summary'!K31</f>
        <v>0</v>
      </c>
      <c r="C30" s="8">
        <f t="shared" si="9"/>
        <v>0</v>
      </c>
      <c r="D30" s="10">
        <f t="shared" si="0"/>
        <v>0</v>
      </c>
      <c r="E30" s="7">
        <f>'[2]Production Summary'!E31</f>
        <v>0</v>
      </c>
      <c r="F30" s="8">
        <f t="shared" si="10"/>
        <v>0</v>
      </c>
      <c r="G30" s="10">
        <f t="shared" si="1"/>
        <v>0</v>
      </c>
      <c r="H30" s="7">
        <f>'[2]Production Summary'!G31</f>
        <v>0</v>
      </c>
      <c r="I30" s="8">
        <f t="shared" si="11"/>
        <v>0</v>
      </c>
      <c r="J30" s="10">
        <f t="shared" si="2"/>
        <v>0</v>
      </c>
      <c r="K30" s="7">
        <f>'[2]Production Summary'!T31</f>
        <v>0</v>
      </c>
      <c r="L30" s="8">
        <f t="shared" si="12"/>
        <v>0</v>
      </c>
      <c r="M30" s="10">
        <f t="shared" si="3"/>
        <v>0</v>
      </c>
      <c r="N30" s="21"/>
      <c r="O30" s="7">
        <f>'[2]Production Summary'!J31</f>
        <v>12570451</v>
      </c>
      <c r="P30" s="8">
        <f t="shared" si="13"/>
        <v>12.570451</v>
      </c>
      <c r="Q30" s="10">
        <f t="shared" si="4"/>
        <v>38.591284569999999</v>
      </c>
      <c r="R30" s="7">
        <f>'[2]Production Summary'!AE31</f>
        <v>6161919</v>
      </c>
      <c r="S30" s="8">
        <f t="shared" si="14"/>
        <v>6.1619190000000001</v>
      </c>
      <c r="T30" s="10">
        <f t="shared" si="5"/>
        <v>18.917091329999998</v>
      </c>
      <c r="U30" s="7">
        <f>'[2]Production Summary'!AF31</f>
        <v>6130922</v>
      </c>
      <c r="V30" s="8">
        <f t="shared" si="15"/>
        <v>6.130922</v>
      </c>
      <c r="W30" s="10">
        <f t="shared" si="6"/>
        <v>18.82193054</v>
      </c>
      <c r="X30" s="7">
        <f>'[2]Production Summary'!AJ31</f>
        <v>3000</v>
      </c>
      <c r="Y30" s="8">
        <f t="shared" si="16"/>
        <v>3.0000000000000001E-3</v>
      </c>
      <c r="Z30" s="10">
        <f t="shared" si="7"/>
        <v>9.2099999999999994E-3</v>
      </c>
      <c r="AA30" s="15"/>
      <c r="AB30" s="7">
        <f t="shared" si="8"/>
        <v>12570451</v>
      </c>
      <c r="AC30" s="8">
        <f t="shared" si="8"/>
        <v>12.570451</v>
      </c>
      <c r="AD30" s="8">
        <f>D30+Q30</f>
        <v>38.591284569999999</v>
      </c>
    </row>
    <row r="31" spans="1:30" x14ac:dyDescent="0.25">
      <c r="A31" s="27">
        <v>43127</v>
      </c>
      <c r="B31" s="7">
        <f>'[2]Production Summary'!K32</f>
        <v>0</v>
      </c>
      <c r="C31" s="8">
        <f t="shared" si="9"/>
        <v>0</v>
      </c>
      <c r="D31" s="10">
        <f t="shared" si="0"/>
        <v>0</v>
      </c>
      <c r="E31" s="7">
        <f>'[2]Production Summary'!E32</f>
        <v>0</v>
      </c>
      <c r="F31" s="8">
        <f t="shared" si="10"/>
        <v>0</v>
      </c>
      <c r="G31" s="10">
        <f t="shared" si="1"/>
        <v>0</v>
      </c>
      <c r="H31" s="7">
        <f>'[2]Production Summary'!G32</f>
        <v>0</v>
      </c>
      <c r="I31" s="8">
        <f t="shared" si="11"/>
        <v>0</v>
      </c>
      <c r="J31" s="10">
        <f t="shared" si="2"/>
        <v>0</v>
      </c>
      <c r="K31" s="7">
        <f>'[2]Production Summary'!T32</f>
        <v>0</v>
      </c>
      <c r="L31" s="8">
        <f t="shared" si="12"/>
        <v>0</v>
      </c>
      <c r="M31" s="10">
        <f t="shared" si="3"/>
        <v>0</v>
      </c>
      <c r="N31" s="21"/>
      <c r="O31" s="7">
        <f>'[2]Production Summary'!J32</f>
        <v>11127916</v>
      </c>
      <c r="P31" s="8">
        <f t="shared" si="13"/>
        <v>11.127916000000001</v>
      </c>
      <c r="Q31" s="10">
        <f t="shared" si="4"/>
        <v>34.162702119999999</v>
      </c>
      <c r="R31" s="7">
        <f>'[2]Production Summary'!AE32</f>
        <v>5610959</v>
      </c>
      <c r="S31" s="8">
        <f t="shared" si="14"/>
        <v>5.6109590000000003</v>
      </c>
      <c r="T31" s="10">
        <f t="shared" si="5"/>
        <v>17.225644129999999</v>
      </c>
      <c r="U31" s="7">
        <f>'[2]Production Summary'!AF32</f>
        <v>5579961</v>
      </c>
      <c r="V31" s="8">
        <f t="shared" si="15"/>
        <v>5.5799609999999999</v>
      </c>
      <c r="W31" s="10">
        <f t="shared" si="6"/>
        <v>17.13048027</v>
      </c>
      <c r="X31" s="7">
        <f>'[2]Production Summary'!AJ32</f>
        <v>122000</v>
      </c>
      <c r="Y31" s="8">
        <f t="shared" si="16"/>
        <v>0.122</v>
      </c>
      <c r="Z31" s="10">
        <f t="shared" si="7"/>
        <v>0.37453999999999998</v>
      </c>
      <c r="AA31" s="15"/>
      <c r="AB31" s="7">
        <f t="shared" si="8"/>
        <v>11127916</v>
      </c>
      <c r="AC31" s="8">
        <f t="shared" si="8"/>
        <v>11.127916000000001</v>
      </c>
      <c r="AD31" s="8">
        <f t="shared" si="8"/>
        <v>34.162702119999999</v>
      </c>
    </row>
    <row r="32" spans="1:30" x14ac:dyDescent="0.25">
      <c r="A32" s="27">
        <v>43128</v>
      </c>
      <c r="B32" s="7">
        <f>'[2]Production Summary'!K33</f>
        <v>0</v>
      </c>
      <c r="C32" s="8">
        <f t="shared" si="9"/>
        <v>0</v>
      </c>
      <c r="D32" s="10">
        <f t="shared" si="0"/>
        <v>0</v>
      </c>
      <c r="E32" s="7">
        <f>'[2]Production Summary'!E33</f>
        <v>0</v>
      </c>
      <c r="F32" s="8">
        <f t="shared" si="10"/>
        <v>0</v>
      </c>
      <c r="G32" s="10">
        <f t="shared" si="1"/>
        <v>0</v>
      </c>
      <c r="H32" s="7">
        <f>'[2]Production Summary'!G33</f>
        <v>0</v>
      </c>
      <c r="I32" s="8">
        <f t="shared" si="11"/>
        <v>0</v>
      </c>
      <c r="J32" s="10">
        <f t="shared" si="2"/>
        <v>0</v>
      </c>
      <c r="K32" s="7">
        <f>'[2]Production Summary'!T33</f>
        <v>0</v>
      </c>
      <c r="L32" s="8">
        <f t="shared" si="12"/>
        <v>0</v>
      </c>
      <c r="M32" s="10">
        <f t="shared" si="3"/>
        <v>0</v>
      </c>
      <c r="N32" s="21"/>
      <c r="O32" s="7">
        <f>'[2]Production Summary'!J33</f>
        <v>10479740</v>
      </c>
      <c r="P32" s="8">
        <f t="shared" si="13"/>
        <v>10.47974</v>
      </c>
      <c r="Q32" s="10">
        <f t="shared" si="4"/>
        <v>32.172801799999995</v>
      </c>
      <c r="R32" s="7">
        <f>'[2]Production Summary'!AE33</f>
        <v>5580961</v>
      </c>
      <c r="S32" s="8">
        <f t="shared" si="14"/>
        <v>5.5809610000000003</v>
      </c>
      <c r="T32" s="10">
        <f t="shared" si="5"/>
        <v>17.133550270000001</v>
      </c>
      <c r="U32" s="7">
        <f>'[2]Production Summary'!AF33</f>
        <v>5516966</v>
      </c>
      <c r="V32" s="8">
        <f t="shared" si="15"/>
        <v>5.516966</v>
      </c>
      <c r="W32" s="10">
        <f t="shared" si="6"/>
        <v>16.937085619999998</v>
      </c>
      <c r="X32" s="7">
        <f>'[2]Production Summary'!AJ33</f>
        <v>330999</v>
      </c>
      <c r="Y32" s="8">
        <f t="shared" si="16"/>
        <v>0.33099899999999999</v>
      </c>
      <c r="Z32" s="10">
        <f t="shared" si="7"/>
        <v>1.0161669299999998</v>
      </c>
      <c r="AA32" s="15"/>
      <c r="AB32" s="7">
        <f t="shared" si="8"/>
        <v>10479740</v>
      </c>
      <c r="AC32" s="8">
        <f t="shared" si="8"/>
        <v>10.47974</v>
      </c>
      <c r="AD32" s="8">
        <f t="shared" si="8"/>
        <v>32.172801799999995</v>
      </c>
    </row>
    <row r="33" spans="1:30" x14ac:dyDescent="0.25">
      <c r="A33" s="27">
        <v>43129</v>
      </c>
      <c r="B33" s="7">
        <f>'[2]Production Summary'!K34</f>
        <v>0</v>
      </c>
      <c r="C33" s="8">
        <f t="shared" si="9"/>
        <v>0</v>
      </c>
      <c r="D33" s="10">
        <f t="shared" si="0"/>
        <v>0</v>
      </c>
      <c r="E33" s="7">
        <f>'[2]Production Summary'!E34</f>
        <v>0</v>
      </c>
      <c r="F33" s="8">
        <f t="shared" si="10"/>
        <v>0</v>
      </c>
      <c r="G33" s="10">
        <f t="shared" si="1"/>
        <v>0</v>
      </c>
      <c r="H33" s="7">
        <f>'[2]Production Summary'!G34</f>
        <v>0</v>
      </c>
      <c r="I33" s="8">
        <f t="shared" si="11"/>
        <v>0</v>
      </c>
      <c r="J33" s="10">
        <f t="shared" si="2"/>
        <v>0</v>
      </c>
      <c r="K33" s="7">
        <f>'[2]Production Summary'!T34</f>
        <v>0</v>
      </c>
      <c r="L33" s="8">
        <f t="shared" si="12"/>
        <v>0</v>
      </c>
      <c r="M33" s="10">
        <f t="shared" si="3"/>
        <v>0</v>
      </c>
      <c r="N33" s="21"/>
      <c r="O33" s="7">
        <f>'[2]Production Summary'!J34</f>
        <v>12203301</v>
      </c>
      <c r="P33" s="8">
        <f t="shared" si="13"/>
        <v>12.203301</v>
      </c>
      <c r="Q33" s="10">
        <f t="shared" si="4"/>
        <v>37.46413407</v>
      </c>
      <c r="R33" s="7">
        <f>'[2]Production Summary'!AE34</f>
        <v>5998930</v>
      </c>
      <c r="S33" s="8">
        <f t="shared" si="14"/>
        <v>5.9989299999999997</v>
      </c>
      <c r="T33" s="10">
        <f t="shared" si="5"/>
        <v>18.416715099999998</v>
      </c>
      <c r="U33" s="7">
        <f>'[2]Production Summary'!AF34</f>
        <v>5967932</v>
      </c>
      <c r="V33" s="8">
        <f t="shared" si="15"/>
        <v>5.9679320000000002</v>
      </c>
      <c r="W33" s="10">
        <f t="shared" si="6"/>
        <v>18.321551239999998</v>
      </c>
      <c r="X33" s="7">
        <f>'[2]Production Summary'!AJ34</f>
        <v>0</v>
      </c>
      <c r="Y33" s="8">
        <f t="shared" si="16"/>
        <v>0</v>
      </c>
      <c r="Z33" s="10">
        <f t="shared" si="7"/>
        <v>0</v>
      </c>
      <c r="AA33" s="15"/>
      <c r="AB33" s="7">
        <f t="shared" si="8"/>
        <v>12203301</v>
      </c>
      <c r="AC33" s="8">
        <f t="shared" si="8"/>
        <v>12.203301</v>
      </c>
      <c r="AD33" s="8">
        <f t="shared" si="8"/>
        <v>37.46413407</v>
      </c>
    </row>
    <row r="34" spans="1:30" x14ac:dyDescent="0.25">
      <c r="A34" s="27">
        <v>43130</v>
      </c>
      <c r="B34" s="7">
        <f>'[2]Production Summary'!K35</f>
        <v>0</v>
      </c>
      <c r="C34" s="8">
        <f t="shared" si="9"/>
        <v>0</v>
      </c>
      <c r="D34" s="10">
        <f t="shared" si="0"/>
        <v>0</v>
      </c>
      <c r="E34" s="7">
        <f>'[2]Production Summary'!E35</f>
        <v>0</v>
      </c>
      <c r="F34" s="8">
        <f t="shared" si="10"/>
        <v>0</v>
      </c>
      <c r="G34" s="10">
        <f t="shared" si="1"/>
        <v>0</v>
      </c>
      <c r="H34" s="7">
        <f>'[2]Production Summary'!G35</f>
        <v>0</v>
      </c>
      <c r="I34" s="8">
        <f t="shared" si="11"/>
        <v>0</v>
      </c>
      <c r="J34" s="10">
        <f t="shared" si="2"/>
        <v>0</v>
      </c>
      <c r="K34" s="7">
        <f>'[2]Production Summary'!T35</f>
        <v>0</v>
      </c>
      <c r="L34" s="8">
        <f t="shared" si="12"/>
        <v>0</v>
      </c>
      <c r="M34" s="10">
        <f t="shared" si="3"/>
        <v>0</v>
      </c>
      <c r="N34" s="21"/>
      <c r="O34" s="7">
        <f>'[2]Production Summary'!J35</f>
        <v>11863208</v>
      </c>
      <c r="P34" s="8">
        <f t="shared" si="13"/>
        <v>11.863208</v>
      </c>
      <c r="Q34" s="10">
        <f t="shared" si="4"/>
        <v>36.420048559999998</v>
      </c>
      <c r="R34" s="7">
        <f>'[2]Production Summary'!AE35</f>
        <v>5999930</v>
      </c>
      <c r="S34" s="8">
        <f t="shared" si="14"/>
        <v>5.99993</v>
      </c>
      <c r="T34" s="10">
        <f t="shared" si="5"/>
        <v>18.419785099999999</v>
      </c>
      <c r="U34" s="7">
        <f>'[2]Production Summary'!AF35</f>
        <v>5967932</v>
      </c>
      <c r="V34" s="8">
        <f t="shared" si="15"/>
        <v>5.9679320000000002</v>
      </c>
      <c r="W34" s="10">
        <f t="shared" si="6"/>
        <v>18.321551239999998</v>
      </c>
      <c r="X34" s="7">
        <f>'[2]Production Summary'!AJ35</f>
        <v>108000</v>
      </c>
      <c r="Y34" s="8">
        <f t="shared" si="16"/>
        <v>0.108</v>
      </c>
      <c r="Z34" s="10">
        <f t="shared" si="7"/>
        <v>0.33155999999999997</v>
      </c>
      <c r="AA34" s="15"/>
      <c r="AB34" s="7">
        <f t="shared" si="8"/>
        <v>11863208</v>
      </c>
      <c r="AC34" s="8">
        <f t="shared" si="8"/>
        <v>11.863208</v>
      </c>
      <c r="AD34" s="8">
        <f t="shared" si="8"/>
        <v>36.420048559999998</v>
      </c>
    </row>
    <row r="35" spans="1:30" ht="13.8" thickBot="1" x14ac:dyDescent="0.3">
      <c r="A35" s="27">
        <v>43131</v>
      </c>
      <c r="B35" s="7">
        <f>'[2]Production Summary'!K36</f>
        <v>0</v>
      </c>
      <c r="C35" s="8">
        <f t="shared" si="9"/>
        <v>0</v>
      </c>
      <c r="D35" s="10">
        <f t="shared" si="0"/>
        <v>0</v>
      </c>
      <c r="E35" s="7">
        <f>'[2]Production Summary'!E36</f>
        <v>0</v>
      </c>
      <c r="F35" s="8">
        <f t="shared" si="10"/>
        <v>0</v>
      </c>
      <c r="G35" s="10">
        <f t="shared" si="1"/>
        <v>0</v>
      </c>
      <c r="H35" s="7">
        <f>'[2]Production Summary'!G36</f>
        <v>0</v>
      </c>
      <c r="I35" s="8">
        <f t="shared" si="11"/>
        <v>0</v>
      </c>
      <c r="J35" s="10">
        <f t="shared" si="2"/>
        <v>0</v>
      </c>
      <c r="K35" s="7">
        <f>'[2]Production Summary'!T36</f>
        <v>0</v>
      </c>
      <c r="L35" s="8">
        <f t="shared" si="12"/>
        <v>0</v>
      </c>
      <c r="M35" s="10">
        <f t="shared" si="3"/>
        <v>0</v>
      </c>
      <c r="N35" s="21"/>
      <c r="O35" s="7">
        <f>'[2]Production Summary'!J36</f>
        <v>11870289</v>
      </c>
      <c r="P35" s="8">
        <f t="shared" si="13"/>
        <v>11.870289</v>
      </c>
      <c r="Q35" s="10">
        <f t="shared" si="4"/>
        <v>36.441787229999996</v>
      </c>
      <c r="R35" s="7">
        <f>'[2]Production Summary'!AE36</f>
        <v>6264911</v>
      </c>
      <c r="S35" s="8">
        <f t="shared" si="14"/>
        <v>6.2649109999999997</v>
      </c>
      <c r="T35" s="10">
        <f t="shared" si="5"/>
        <v>19.233276769999996</v>
      </c>
      <c r="U35" s="7">
        <f>'[2]Production Summary'!AF36</f>
        <v>6231914</v>
      </c>
      <c r="V35" s="8">
        <f t="shared" si="15"/>
        <v>6.2319139999999997</v>
      </c>
      <c r="W35" s="10">
        <f t="shared" si="6"/>
        <v>19.131975979999996</v>
      </c>
      <c r="X35" s="7">
        <f>'[2]Production Summary'!AJ36</f>
        <v>303000</v>
      </c>
      <c r="Y35" s="8">
        <f t="shared" si="16"/>
        <v>0.30299999999999999</v>
      </c>
      <c r="Z35" s="10">
        <f t="shared" si="7"/>
        <v>0.93020999999999987</v>
      </c>
      <c r="AA35" s="15"/>
      <c r="AB35" s="7">
        <f t="shared" si="8"/>
        <v>11870289</v>
      </c>
      <c r="AC35" s="8">
        <f t="shared" si="8"/>
        <v>11.870289</v>
      </c>
      <c r="AD35" s="8">
        <f t="shared" si="8"/>
        <v>36.441787229999996</v>
      </c>
    </row>
    <row r="36" spans="1:30" s="18" customFormat="1" ht="13.8" thickBot="1" x14ac:dyDescent="0.3">
      <c r="A36" s="15"/>
      <c r="B36" s="37"/>
      <c r="C36" s="38">
        <f t="shared" ref="C36:W36" si="17">SUM(C5:C35)</f>
        <v>0</v>
      </c>
      <c r="D36" s="38">
        <f t="shared" si="17"/>
        <v>0</v>
      </c>
      <c r="E36" s="37"/>
      <c r="F36" s="38">
        <f t="shared" si="17"/>
        <v>0</v>
      </c>
      <c r="G36" s="38">
        <f t="shared" si="17"/>
        <v>0</v>
      </c>
      <c r="H36" s="37"/>
      <c r="I36" s="38">
        <f t="shared" si="17"/>
        <v>0.01</v>
      </c>
      <c r="J36" s="38">
        <f t="shared" si="17"/>
        <v>3.0699999999999998E-2</v>
      </c>
      <c r="K36" s="37"/>
      <c r="L36" s="38">
        <f>SUM(L5:L35)</f>
        <v>0</v>
      </c>
      <c r="M36" s="38">
        <f>SUM(M5:M35)</f>
        <v>0</v>
      </c>
      <c r="N36" s="14"/>
      <c r="O36" s="37"/>
      <c r="P36" s="38">
        <f t="shared" si="17"/>
        <v>360.38189100000005</v>
      </c>
      <c r="Q36" s="38">
        <f t="shared" si="17"/>
        <v>1106.3724053699998</v>
      </c>
      <c r="R36" s="37"/>
      <c r="S36" s="38">
        <f t="shared" si="17"/>
        <v>177.95671000000007</v>
      </c>
      <c r="T36" s="38">
        <f t="shared" si="17"/>
        <v>546.32709969999996</v>
      </c>
      <c r="U36" s="37"/>
      <c r="V36" s="38">
        <f t="shared" si="17"/>
        <v>202.01995299999999</v>
      </c>
      <c r="W36" s="38">
        <f t="shared" si="17"/>
        <v>620.20125570999994</v>
      </c>
      <c r="X36" s="37"/>
      <c r="Y36" s="38">
        <f>SUM(Y5:Y35)</f>
        <v>4.9343650000000006</v>
      </c>
      <c r="Z36" s="38">
        <f>SUM(Z5:Z35)</f>
        <v>15.148500549999996</v>
      </c>
      <c r="AA36" s="14"/>
      <c r="AB36" s="37"/>
      <c r="AC36" s="38">
        <f>SUM(AC5:AC35)</f>
        <v>360.38189100000005</v>
      </c>
      <c r="AD36" s="38">
        <f>AC36*3.07</f>
        <v>1106.37240537</v>
      </c>
    </row>
  </sheetData>
  <mergeCells count="9">
    <mergeCell ref="AB3:AD3"/>
    <mergeCell ref="B3:D3"/>
    <mergeCell ref="O3:Q3"/>
    <mergeCell ref="U3:W3"/>
    <mergeCell ref="E3:G3"/>
    <mergeCell ref="H3:J3"/>
    <mergeCell ref="R3:T3"/>
    <mergeCell ref="K3:M3"/>
    <mergeCell ref="X3:Z3"/>
  </mergeCells>
  <phoneticPr fontId="1" type="noConversion"/>
  <pageMargins left="0.75" right="0.75" top="1" bottom="1" header="0.5" footer="0.5"/>
  <pageSetup scale="40" orientation="landscape" r:id="rId1"/>
  <headerFooter alignWithMargins="0">
    <oddFooter>&amp;R&amp;D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AD37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AB30" sqref="AB30"/>
    </sheetView>
  </sheetViews>
  <sheetFormatPr defaultRowHeight="13.2" x14ac:dyDescent="0.25"/>
  <cols>
    <col min="2" max="2" width="11.6640625" customWidth="1"/>
    <col min="5" max="5" width="11.33203125" customWidth="1"/>
    <col min="8" max="8" width="11.6640625" customWidth="1"/>
    <col min="11" max="11" width="14.6640625" bestFit="1" customWidth="1"/>
    <col min="12" max="12" width="11.5546875" customWidth="1"/>
    <col min="15" max="15" width="11.33203125" customWidth="1"/>
    <col min="18" max="18" width="11.5546875" customWidth="1"/>
    <col min="22" max="22" width="11" customWidth="1"/>
    <col min="24" max="24" width="13.6640625" customWidth="1"/>
    <col min="28" max="28" width="14.33203125" bestFit="1" customWidth="1"/>
  </cols>
  <sheetData>
    <row r="1" spans="1:30" x14ac:dyDescent="0.25">
      <c r="A1" s="41"/>
      <c r="B1" s="39"/>
      <c r="C1" s="54" t="s">
        <v>23</v>
      </c>
      <c r="D1" s="25"/>
      <c r="E1" s="25"/>
      <c r="F1" s="25"/>
      <c r="G1" s="3"/>
      <c r="H1" s="3"/>
      <c r="I1" s="3"/>
      <c r="J1" s="3"/>
      <c r="K1" s="14"/>
      <c r="L1" s="3"/>
      <c r="M1" s="3"/>
      <c r="N1" s="3"/>
      <c r="O1" s="3"/>
      <c r="P1" s="3"/>
      <c r="Q1" s="3"/>
      <c r="R1" s="3"/>
      <c r="S1" s="3"/>
      <c r="T1" s="3"/>
      <c r="U1" s="14"/>
      <c r="V1" s="3"/>
      <c r="W1" s="3"/>
      <c r="X1" s="3"/>
    </row>
    <row r="2" spans="1:30" ht="13.8" thickBot="1" x14ac:dyDescent="0.3">
      <c r="A2" s="3"/>
      <c r="B2" s="3"/>
      <c r="C2" s="24"/>
      <c r="D2" s="3"/>
      <c r="E2" s="3"/>
      <c r="F2" s="3"/>
      <c r="G2" s="3"/>
      <c r="H2" s="3"/>
      <c r="I2" s="3"/>
      <c r="J2" s="3"/>
      <c r="K2" s="14"/>
      <c r="L2" s="3"/>
      <c r="M2" s="3"/>
      <c r="N2" s="3"/>
      <c r="O2" s="3"/>
      <c r="P2" s="3"/>
      <c r="Q2" s="3"/>
      <c r="R2" s="3"/>
      <c r="S2" s="3"/>
      <c r="T2" s="3"/>
      <c r="U2" s="14"/>
      <c r="V2" s="3"/>
      <c r="W2" s="3"/>
      <c r="X2" s="3"/>
    </row>
    <row r="3" spans="1:30" ht="60.75" customHeight="1" thickBot="1" x14ac:dyDescent="0.3">
      <c r="A3" s="3"/>
      <c r="B3" s="68" t="s">
        <v>9</v>
      </c>
      <c r="C3" s="69"/>
      <c r="D3" s="70"/>
      <c r="E3" s="68" t="s">
        <v>10</v>
      </c>
      <c r="F3" s="69"/>
      <c r="G3" s="70"/>
      <c r="H3" s="68" t="s">
        <v>11</v>
      </c>
      <c r="I3" s="69"/>
      <c r="J3" s="70"/>
      <c r="K3" s="68" t="s">
        <v>12</v>
      </c>
      <c r="L3" s="69"/>
      <c r="M3" s="70"/>
      <c r="N3" s="19"/>
      <c r="O3" s="68" t="s">
        <v>4</v>
      </c>
      <c r="P3" s="69"/>
      <c r="Q3" s="70"/>
      <c r="R3" s="68" t="s">
        <v>3</v>
      </c>
      <c r="S3" s="69"/>
      <c r="T3" s="70"/>
      <c r="U3" s="68" t="s">
        <v>5</v>
      </c>
      <c r="V3" s="69"/>
      <c r="W3" s="70"/>
      <c r="X3" s="68" t="s">
        <v>6</v>
      </c>
      <c r="Y3" s="69"/>
      <c r="Z3" s="70"/>
      <c r="AA3" s="19"/>
      <c r="AB3" s="65" t="s">
        <v>7</v>
      </c>
      <c r="AC3" s="66"/>
      <c r="AD3" s="67"/>
    </row>
    <row r="4" spans="1:30" x14ac:dyDescent="0.25">
      <c r="A4" s="26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19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19"/>
      <c r="AB4" s="34" t="s">
        <v>0</v>
      </c>
      <c r="AC4" s="35" t="s">
        <v>1</v>
      </c>
      <c r="AD4" s="36" t="s">
        <v>2</v>
      </c>
    </row>
    <row r="5" spans="1:30" x14ac:dyDescent="0.25">
      <c r="A5" s="27">
        <v>44228</v>
      </c>
      <c r="B5" s="7">
        <f>'[3]Production Summary'!$U37</f>
        <v>0</v>
      </c>
      <c r="C5" s="8">
        <f>B5/1000000</f>
        <v>0</v>
      </c>
      <c r="D5" s="10">
        <f>C5*3.07</f>
        <v>0</v>
      </c>
      <c r="E5" s="7">
        <f>'[3]Production Summary'!$O37</f>
        <v>0</v>
      </c>
      <c r="F5" s="8">
        <f>E5/1000000</f>
        <v>0</v>
      </c>
      <c r="G5" s="10">
        <f>F5*3.07</f>
        <v>0</v>
      </c>
      <c r="H5" s="7">
        <f>'[3]Production Summary'!$Q37</f>
        <v>0</v>
      </c>
      <c r="I5" s="8">
        <f>H5/1000000</f>
        <v>0</v>
      </c>
      <c r="J5" s="10">
        <f>I5*3.07</f>
        <v>0</v>
      </c>
      <c r="K5" s="7">
        <f>'[3]Production Summary'!$T37</f>
        <v>0</v>
      </c>
      <c r="L5" s="8">
        <f>K5/1000000</f>
        <v>0</v>
      </c>
      <c r="M5" s="10">
        <f>L5*3.07</f>
        <v>0</v>
      </c>
      <c r="N5" s="21"/>
      <c r="O5" s="7">
        <f>'[3]Production Summary'!$AL37</f>
        <v>13217721</v>
      </c>
      <c r="P5" s="8">
        <f>O5/1000000</f>
        <v>13.217720999999999</v>
      </c>
      <c r="Q5" s="10">
        <f>P5*3.07</f>
        <v>40.578403469999998</v>
      </c>
      <c r="R5" s="7">
        <f>'[3]Production Summary'!$AE37</f>
        <v>6511894</v>
      </c>
      <c r="S5" s="8">
        <f>R5/1000000</f>
        <v>6.5118939999999998</v>
      </c>
      <c r="T5" s="10">
        <f>S5*3.07</f>
        <v>19.991514579999997</v>
      </c>
      <c r="U5" s="7">
        <f>'[3]Production Summary'!$AF37</f>
        <v>6477896</v>
      </c>
      <c r="V5" s="8">
        <f>U5/1000000</f>
        <v>6.4778960000000003</v>
      </c>
      <c r="W5" s="10">
        <f>V5*3.07</f>
        <v>19.887140720000001</v>
      </c>
      <c r="X5" s="7">
        <f>'[3]Production Summary'!$AJ37</f>
        <v>23000</v>
      </c>
      <c r="Y5" s="8">
        <f>X5/1000000</f>
        <v>2.3E-2</v>
      </c>
      <c r="Z5" s="10">
        <f>Y5*3.07</f>
        <v>7.0609999999999992E-2</v>
      </c>
      <c r="AA5" s="15"/>
      <c r="AB5" s="7">
        <f>B5+O5</f>
        <v>13217721</v>
      </c>
      <c r="AC5" s="8">
        <f>C5+P5</f>
        <v>13.217720999999999</v>
      </c>
      <c r="AD5" s="8">
        <f>D5+Q5</f>
        <v>40.578403469999998</v>
      </c>
    </row>
    <row r="6" spans="1:30" x14ac:dyDescent="0.25">
      <c r="A6" s="27">
        <v>44229</v>
      </c>
      <c r="B6" s="7">
        <f>'[3]Production Summary'!$U38</f>
        <v>0</v>
      </c>
      <c r="C6" s="8">
        <f t="shared" ref="C6:C32" si="0">B6/1000000</f>
        <v>0</v>
      </c>
      <c r="D6" s="10">
        <f t="shared" ref="D6:D32" si="1">C6*3.07</f>
        <v>0</v>
      </c>
      <c r="E6" s="7">
        <f>'[3]Production Summary'!$O38</f>
        <v>0</v>
      </c>
      <c r="F6" s="8">
        <f t="shared" ref="F6:F32" si="2">E6/1000000</f>
        <v>0</v>
      </c>
      <c r="G6" s="10">
        <f t="shared" ref="G6:G32" si="3">F6*3.07</f>
        <v>0</v>
      </c>
      <c r="H6" s="7">
        <f>'[3]Production Summary'!$Q38</f>
        <v>0</v>
      </c>
      <c r="I6" s="8">
        <f t="shared" ref="I6:I32" si="4">H6/1000000</f>
        <v>0</v>
      </c>
      <c r="J6" s="10">
        <f t="shared" ref="J6:J32" si="5">I6*3.07</f>
        <v>0</v>
      </c>
      <c r="K6" s="7">
        <f>'[3]Production Summary'!$T38</f>
        <v>0</v>
      </c>
      <c r="L6" s="8">
        <f t="shared" ref="L6:L23" si="6">K6/1000000</f>
        <v>0</v>
      </c>
      <c r="M6" s="10">
        <f t="shared" ref="M6:M32" si="7">L6*3.07</f>
        <v>0</v>
      </c>
      <c r="N6" s="21"/>
      <c r="O6" s="7">
        <f>'[3]Production Summary'!$AL38</f>
        <v>11183939</v>
      </c>
      <c r="P6" s="8">
        <f t="shared" ref="P6:P32" si="8">O6/1000000</f>
        <v>11.183939000000001</v>
      </c>
      <c r="Q6" s="10">
        <f t="shared" ref="Q6:Q32" si="9">P6*3.07</f>
        <v>34.33469273</v>
      </c>
      <c r="R6" s="7">
        <f>'[3]Production Summary'!$AE38</f>
        <v>5647956</v>
      </c>
      <c r="S6" s="8">
        <f t="shared" ref="S6:S32" si="10">R6/1000000</f>
        <v>5.6479559999999998</v>
      </c>
      <c r="T6" s="10">
        <f t="shared" ref="T6:T32" si="11">S6*3.07</f>
        <v>17.339224919999999</v>
      </c>
      <c r="U6" s="7">
        <f>'[3]Production Summary'!$AF38</f>
        <v>5612958</v>
      </c>
      <c r="V6" s="8">
        <f t="shared" ref="V6:V32" si="12">U6/1000000</f>
        <v>5.6129579999999999</v>
      </c>
      <c r="W6" s="10">
        <f t="shared" ref="W6:W32" si="13">V6*3.07</f>
        <v>17.231781059999999</v>
      </c>
      <c r="X6" s="7">
        <f>'[3]Production Summary'!$AJ38</f>
        <v>122000</v>
      </c>
      <c r="Y6" s="8">
        <f t="shared" ref="Y6:Y32" si="14">X6/1000000</f>
        <v>0.122</v>
      </c>
      <c r="Z6" s="10">
        <f t="shared" ref="Z6:Z32" si="15">Y6*3.07</f>
        <v>0.37453999999999998</v>
      </c>
      <c r="AA6" s="15"/>
      <c r="AB6" s="7">
        <f t="shared" ref="AB6:AB17" si="16">B6+O6</f>
        <v>11183939</v>
      </c>
      <c r="AC6" s="8">
        <f t="shared" ref="AB6:AD34" si="17">C6+P6</f>
        <v>11.183939000000001</v>
      </c>
      <c r="AD6" s="8">
        <f t="shared" si="17"/>
        <v>34.33469273</v>
      </c>
    </row>
    <row r="7" spans="1:30" x14ac:dyDescent="0.25">
      <c r="A7" s="27">
        <v>44230</v>
      </c>
      <c r="B7" s="7">
        <f>'[3]Production Summary'!$U39</f>
        <v>0</v>
      </c>
      <c r="C7" s="8">
        <f t="shared" si="0"/>
        <v>0</v>
      </c>
      <c r="D7" s="10">
        <f t="shared" si="1"/>
        <v>0</v>
      </c>
      <c r="E7" s="7">
        <f>'[3]Production Summary'!$O39</f>
        <v>0</v>
      </c>
      <c r="F7" s="8">
        <f t="shared" si="2"/>
        <v>0</v>
      </c>
      <c r="G7" s="10">
        <f t="shared" si="3"/>
        <v>0</v>
      </c>
      <c r="H7" s="7">
        <f>'[3]Production Summary'!$Q39</f>
        <v>0</v>
      </c>
      <c r="I7" s="8">
        <f t="shared" si="4"/>
        <v>0</v>
      </c>
      <c r="J7" s="10">
        <f t="shared" si="5"/>
        <v>0</v>
      </c>
      <c r="K7" s="7">
        <f>'[3]Production Summary'!$T39</f>
        <v>0</v>
      </c>
      <c r="L7" s="8">
        <f t="shared" si="6"/>
        <v>0</v>
      </c>
      <c r="M7" s="10">
        <f t="shared" si="7"/>
        <v>0</v>
      </c>
      <c r="N7" s="21"/>
      <c r="O7" s="7">
        <f>'[3]Production Summary'!$AL39</f>
        <v>11614189</v>
      </c>
      <c r="P7" s="8">
        <f t="shared" si="8"/>
        <v>11.614189</v>
      </c>
      <c r="Q7" s="10">
        <f t="shared" si="9"/>
        <v>35.655560229999999</v>
      </c>
      <c r="R7" s="7">
        <f>'[3]Production Summary'!$AE39</f>
        <v>6172918</v>
      </c>
      <c r="S7" s="8">
        <f t="shared" si="10"/>
        <v>6.1729180000000001</v>
      </c>
      <c r="T7" s="10">
        <f t="shared" si="11"/>
        <v>18.95085826</v>
      </c>
      <c r="U7" s="7">
        <f>'[3]Production Summary'!$AF39</f>
        <v>6141920</v>
      </c>
      <c r="V7" s="8">
        <f t="shared" si="12"/>
        <v>6.1419199999999998</v>
      </c>
      <c r="W7" s="10">
        <f t="shared" si="13"/>
        <v>18.855694399999997</v>
      </c>
      <c r="X7" s="7">
        <f>'[3]Production Summary'!$AJ39</f>
        <v>311000</v>
      </c>
      <c r="Y7" s="8">
        <f t="shared" si="14"/>
        <v>0.311</v>
      </c>
      <c r="Z7" s="10">
        <f t="shared" si="15"/>
        <v>0.9547699999999999</v>
      </c>
      <c r="AA7" s="15"/>
      <c r="AB7" s="7">
        <f t="shared" si="16"/>
        <v>11614189</v>
      </c>
      <c r="AC7" s="8">
        <f t="shared" si="17"/>
        <v>11.614189</v>
      </c>
      <c r="AD7" s="8">
        <f t="shared" si="17"/>
        <v>35.655560229999999</v>
      </c>
    </row>
    <row r="8" spans="1:30" x14ac:dyDescent="0.25">
      <c r="A8" s="27">
        <v>44231</v>
      </c>
      <c r="B8" s="7">
        <f>'[3]Production Summary'!$U40</f>
        <v>0</v>
      </c>
      <c r="C8" s="8">
        <f t="shared" si="0"/>
        <v>0</v>
      </c>
      <c r="D8" s="10">
        <f t="shared" si="1"/>
        <v>0</v>
      </c>
      <c r="E8" s="7">
        <f>'[3]Production Summary'!$O40</f>
        <v>0</v>
      </c>
      <c r="F8" s="8">
        <f t="shared" si="2"/>
        <v>0</v>
      </c>
      <c r="G8" s="10">
        <f t="shared" si="3"/>
        <v>0</v>
      </c>
      <c r="H8" s="7">
        <f>'[3]Production Summary'!$Q40</f>
        <v>0</v>
      </c>
      <c r="I8" s="8">
        <f t="shared" si="4"/>
        <v>0</v>
      </c>
      <c r="J8" s="10">
        <f t="shared" si="5"/>
        <v>0</v>
      </c>
      <c r="K8" s="7">
        <f>'[3]Production Summary'!$T40</f>
        <v>0</v>
      </c>
      <c r="L8" s="8">
        <f t="shared" si="6"/>
        <v>0</v>
      </c>
      <c r="M8" s="10">
        <f t="shared" si="7"/>
        <v>0</v>
      </c>
      <c r="N8" s="21"/>
      <c r="O8" s="7">
        <f>'[3]Production Summary'!$AL40</f>
        <v>12929595</v>
      </c>
      <c r="P8" s="8">
        <f t="shared" si="8"/>
        <v>12.929595000000001</v>
      </c>
      <c r="Q8" s="10">
        <f t="shared" si="9"/>
        <v>39.693856650000001</v>
      </c>
      <c r="R8" s="7">
        <f>'[3]Production Summary'!$AE40</f>
        <v>6350905</v>
      </c>
      <c r="S8" s="8">
        <f t="shared" si="10"/>
        <v>6.350905</v>
      </c>
      <c r="T8" s="10">
        <f t="shared" si="11"/>
        <v>19.497278349999998</v>
      </c>
      <c r="U8" s="7">
        <f>'[3]Production Summary'!$AF40</f>
        <v>6319907</v>
      </c>
      <c r="V8" s="8">
        <f t="shared" si="12"/>
        <v>6.3199069999999997</v>
      </c>
      <c r="W8" s="10">
        <f t="shared" si="13"/>
        <v>19.402114489999999</v>
      </c>
      <c r="X8" s="7">
        <f>'[3]Production Summary'!$AJ40</f>
        <v>0</v>
      </c>
      <c r="Y8" s="8">
        <f t="shared" si="14"/>
        <v>0</v>
      </c>
      <c r="Z8" s="10">
        <f t="shared" si="15"/>
        <v>0</v>
      </c>
      <c r="AA8" s="15"/>
      <c r="AB8" s="7">
        <f t="shared" si="16"/>
        <v>12929595</v>
      </c>
      <c r="AC8" s="8">
        <f t="shared" si="17"/>
        <v>12.929595000000001</v>
      </c>
      <c r="AD8" s="8">
        <f>D8+Q8</f>
        <v>39.693856650000001</v>
      </c>
    </row>
    <row r="9" spans="1:30" x14ac:dyDescent="0.25">
      <c r="A9" s="27">
        <v>44232</v>
      </c>
      <c r="B9" s="7">
        <f>'[3]Production Summary'!$U41</f>
        <v>0</v>
      </c>
      <c r="C9" s="8">
        <f t="shared" si="0"/>
        <v>0</v>
      </c>
      <c r="D9" s="10">
        <f t="shared" si="1"/>
        <v>0</v>
      </c>
      <c r="E9" s="7">
        <f>'[3]Production Summary'!$O41</f>
        <v>0</v>
      </c>
      <c r="F9" s="8">
        <f t="shared" si="2"/>
        <v>0</v>
      </c>
      <c r="G9" s="10">
        <f t="shared" si="3"/>
        <v>0</v>
      </c>
      <c r="H9" s="7">
        <f>'[3]Production Summary'!$Q41</f>
        <v>0</v>
      </c>
      <c r="I9" s="8">
        <f t="shared" si="4"/>
        <v>0</v>
      </c>
      <c r="J9" s="10">
        <f t="shared" si="5"/>
        <v>0</v>
      </c>
      <c r="K9" s="7">
        <f>'[3]Production Summary'!$T41</f>
        <v>0</v>
      </c>
      <c r="L9" s="8">
        <f t="shared" si="6"/>
        <v>0</v>
      </c>
      <c r="M9" s="10">
        <f t="shared" si="7"/>
        <v>0</v>
      </c>
      <c r="N9" s="21"/>
      <c r="O9" s="7">
        <f>'[3]Production Summary'!$AL41</f>
        <v>10795781</v>
      </c>
      <c r="P9" s="8">
        <f t="shared" si="8"/>
        <v>10.795781</v>
      </c>
      <c r="Q9" s="10">
        <f t="shared" si="9"/>
        <v>33.143047669999994</v>
      </c>
      <c r="R9" s="7">
        <f>'[3]Production Summary'!$AE41</f>
        <v>5498967</v>
      </c>
      <c r="S9" s="8">
        <f t="shared" si="10"/>
        <v>5.4989670000000004</v>
      </c>
      <c r="T9" s="10">
        <f t="shared" si="11"/>
        <v>16.881828689999999</v>
      </c>
      <c r="U9" s="7">
        <f>'[3]Production Summary'!$AF41</f>
        <v>5467969</v>
      </c>
      <c r="V9" s="8">
        <f t="shared" si="12"/>
        <v>5.4679690000000001</v>
      </c>
      <c r="W9" s="10">
        <f t="shared" si="13"/>
        <v>16.786664829999999</v>
      </c>
      <c r="X9" s="7">
        <f>'[3]Production Summary'!$AJ41</f>
        <v>121000</v>
      </c>
      <c r="Y9" s="8">
        <f t="shared" si="14"/>
        <v>0.121</v>
      </c>
      <c r="Z9" s="10">
        <f t="shared" si="15"/>
        <v>0.37146999999999997</v>
      </c>
      <c r="AA9" s="15"/>
      <c r="AB9" s="7">
        <f t="shared" si="16"/>
        <v>10795781</v>
      </c>
      <c r="AC9" s="8">
        <f t="shared" si="17"/>
        <v>10.795781</v>
      </c>
      <c r="AD9" s="8">
        <f t="shared" si="17"/>
        <v>33.143047669999994</v>
      </c>
    </row>
    <row r="10" spans="1:30" x14ac:dyDescent="0.25">
      <c r="A10" s="27">
        <v>44233</v>
      </c>
      <c r="B10" s="7">
        <f>'[3]Production Summary'!$U42</f>
        <v>0</v>
      </c>
      <c r="C10" s="8">
        <f t="shared" si="0"/>
        <v>0</v>
      </c>
      <c r="D10" s="10">
        <f t="shared" si="1"/>
        <v>0</v>
      </c>
      <c r="E10" s="7">
        <f>'[3]Production Summary'!$O42</f>
        <v>0</v>
      </c>
      <c r="F10" s="8">
        <f t="shared" si="2"/>
        <v>0</v>
      </c>
      <c r="G10" s="10">
        <f t="shared" si="3"/>
        <v>0</v>
      </c>
      <c r="H10" s="7">
        <f>'[3]Production Summary'!$Q42</f>
        <v>0</v>
      </c>
      <c r="I10" s="8">
        <f t="shared" si="4"/>
        <v>0</v>
      </c>
      <c r="J10" s="10">
        <f t="shared" si="5"/>
        <v>0</v>
      </c>
      <c r="K10" s="7">
        <f>'[3]Production Summary'!$T42</f>
        <v>0</v>
      </c>
      <c r="L10" s="8">
        <f t="shared" si="6"/>
        <v>0</v>
      </c>
      <c r="M10" s="10">
        <f t="shared" si="7"/>
        <v>0</v>
      </c>
      <c r="N10" s="21"/>
      <c r="O10" s="7">
        <f>'[3]Production Summary'!$AL42</f>
        <v>10996947</v>
      </c>
      <c r="P10" s="8">
        <f t="shared" si="8"/>
        <v>10.996947</v>
      </c>
      <c r="Q10" s="10">
        <f t="shared" si="9"/>
        <v>33.760627290000002</v>
      </c>
      <c r="R10" s="7">
        <f>'[3]Production Summary'!$AE42</f>
        <v>5835942</v>
      </c>
      <c r="S10" s="8">
        <f t="shared" si="10"/>
        <v>5.8359420000000002</v>
      </c>
      <c r="T10" s="10">
        <f t="shared" si="11"/>
        <v>17.916341939999999</v>
      </c>
      <c r="U10" s="7">
        <f>'[3]Production Summary'!$AF42</f>
        <v>5807944</v>
      </c>
      <c r="V10" s="8">
        <f t="shared" si="12"/>
        <v>5.807944</v>
      </c>
      <c r="W10" s="10">
        <f t="shared" si="13"/>
        <v>17.830388079999999</v>
      </c>
      <c r="X10" s="7">
        <f>'[3]Production Summary'!$AJ42</f>
        <v>326999</v>
      </c>
      <c r="Y10" s="8">
        <f t="shared" si="14"/>
        <v>0.32699899999999998</v>
      </c>
      <c r="Z10" s="10">
        <f t="shared" si="15"/>
        <v>1.00388693</v>
      </c>
      <c r="AA10" s="15"/>
      <c r="AB10" s="7">
        <f t="shared" si="16"/>
        <v>10996947</v>
      </c>
      <c r="AC10" s="8">
        <f t="shared" si="17"/>
        <v>10.996947</v>
      </c>
      <c r="AD10" s="8">
        <f t="shared" si="17"/>
        <v>33.760627290000002</v>
      </c>
    </row>
    <row r="11" spans="1:30" x14ac:dyDescent="0.25">
      <c r="A11" s="27">
        <v>44234</v>
      </c>
      <c r="B11" s="7">
        <f>'[3]Production Summary'!$U43</f>
        <v>0</v>
      </c>
      <c r="C11" s="8">
        <f t="shared" si="0"/>
        <v>0</v>
      </c>
      <c r="D11" s="10">
        <f t="shared" si="1"/>
        <v>0</v>
      </c>
      <c r="E11" s="7">
        <f>'[3]Production Summary'!$O43</f>
        <v>0</v>
      </c>
      <c r="F11" s="8">
        <f t="shared" si="2"/>
        <v>0</v>
      </c>
      <c r="G11" s="10">
        <f t="shared" si="3"/>
        <v>0</v>
      </c>
      <c r="H11" s="7">
        <f>'[3]Production Summary'!$Q43</f>
        <v>0</v>
      </c>
      <c r="I11" s="8">
        <f t="shared" si="4"/>
        <v>0</v>
      </c>
      <c r="J11" s="10">
        <f t="shared" si="5"/>
        <v>0</v>
      </c>
      <c r="K11" s="7">
        <f>'[3]Production Summary'!$T43</f>
        <v>0</v>
      </c>
      <c r="L11" s="8">
        <f t="shared" si="6"/>
        <v>0</v>
      </c>
      <c r="M11" s="10">
        <f t="shared" si="7"/>
        <v>0</v>
      </c>
      <c r="N11" s="21"/>
      <c r="O11" s="7">
        <f>'[3]Production Summary'!$AL43</f>
        <v>13138692</v>
      </c>
      <c r="P11" s="8">
        <f t="shared" si="8"/>
        <v>13.138692000000001</v>
      </c>
      <c r="Q11" s="10">
        <f t="shared" si="9"/>
        <v>40.335784439999998</v>
      </c>
      <c r="R11" s="7">
        <f>'[3]Production Summary'!$AE43</f>
        <v>6497895</v>
      </c>
      <c r="S11" s="8">
        <f t="shared" si="10"/>
        <v>6.4978949999999998</v>
      </c>
      <c r="T11" s="10">
        <f t="shared" si="11"/>
        <v>19.948537649999999</v>
      </c>
      <c r="U11" s="7">
        <f>'[3]Production Summary'!$AF43</f>
        <v>6459897</v>
      </c>
      <c r="V11" s="8">
        <f t="shared" si="12"/>
        <v>6.4598969999999998</v>
      </c>
      <c r="W11" s="10">
        <f t="shared" si="13"/>
        <v>19.831883789999999</v>
      </c>
      <c r="X11" s="7">
        <f>'[3]Production Summary'!$AJ43</f>
        <v>32000</v>
      </c>
      <c r="Y11" s="8">
        <f t="shared" si="14"/>
        <v>3.2000000000000001E-2</v>
      </c>
      <c r="Z11" s="10">
        <f t="shared" si="15"/>
        <v>9.8239999999999994E-2</v>
      </c>
      <c r="AA11" s="15"/>
      <c r="AB11" s="7">
        <f t="shared" si="16"/>
        <v>13138692</v>
      </c>
      <c r="AC11" s="8">
        <f t="shared" si="17"/>
        <v>13.138692000000001</v>
      </c>
      <c r="AD11" s="8">
        <f t="shared" si="17"/>
        <v>40.335784439999998</v>
      </c>
    </row>
    <row r="12" spans="1:30" x14ac:dyDescent="0.25">
      <c r="A12" s="27">
        <v>44235</v>
      </c>
      <c r="B12" s="7">
        <f>'[3]Production Summary'!$U44</f>
        <v>0</v>
      </c>
      <c r="C12" s="8">
        <f t="shared" si="0"/>
        <v>0</v>
      </c>
      <c r="D12" s="10">
        <f t="shared" si="1"/>
        <v>0</v>
      </c>
      <c r="E12" s="7">
        <f>'[3]Production Summary'!$O44</f>
        <v>0</v>
      </c>
      <c r="F12" s="8">
        <f t="shared" si="2"/>
        <v>0</v>
      </c>
      <c r="G12" s="10">
        <f t="shared" si="3"/>
        <v>0</v>
      </c>
      <c r="H12" s="7">
        <f>'[3]Production Summary'!$Q44</f>
        <v>0</v>
      </c>
      <c r="I12" s="8">
        <f t="shared" si="4"/>
        <v>0</v>
      </c>
      <c r="J12" s="10">
        <f t="shared" si="5"/>
        <v>0</v>
      </c>
      <c r="K12" s="7">
        <f>'[3]Production Summary'!$T44</f>
        <v>0</v>
      </c>
      <c r="L12" s="8">
        <f t="shared" si="6"/>
        <v>0</v>
      </c>
      <c r="M12" s="10">
        <f t="shared" si="7"/>
        <v>0</v>
      </c>
      <c r="N12" s="21"/>
      <c r="O12" s="7">
        <f>'[3]Production Summary'!$AL44</f>
        <v>12185343</v>
      </c>
      <c r="P12" s="8">
        <f t="shared" si="8"/>
        <v>12.185343</v>
      </c>
      <c r="Q12" s="10">
        <f t="shared" si="9"/>
        <v>37.409003009999999</v>
      </c>
      <c r="R12" s="7">
        <f>'[3]Production Summary'!$AE44</f>
        <v>6172918</v>
      </c>
      <c r="S12" s="8">
        <f t="shared" si="10"/>
        <v>6.1729180000000001</v>
      </c>
      <c r="T12" s="10">
        <f t="shared" si="11"/>
        <v>18.95085826</v>
      </c>
      <c r="U12" s="7">
        <f>'[3]Production Summary'!$AF44</f>
        <v>6134921</v>
      </c>
      <c r="V12" s="8">
        <f t="shared" si="12"/>
        <v>6.1349210000000003</v>
      </c>
      <c r="W12" s="10">
        <f t="shared" si="13"/>
        <v>18.834207469999999</v>
      </c>
      <c r="X12" s="7">
        <f>'[3]Production Summary'!$AJ44</f>
        <v>121000</v>
      </c>
      <c r="Y12" s="8">
        <f t="shared" si="14"/>
        <v>0.121</v>
      </c>
      <c r="Z12" s="10">
        <f t="shared" si="15"/>
        <v>0.37146999999999997</v>
      </c>
      <c r="AA12" s="15"/>
      <c r="AB12" s="7">
        <f t="shared" si="16"/>
        <v>12185343</v>
      </c>
      <c r="AC12" s="8">
        <f t="shared" si="17"/>
        <v>12.185343</v>
      </c>
      <c r="AD12" s="8">
        <f t="shared" si="17"/>
        <v>37.409003009999999</v>
      </c>
    </row>
    <row r="13" spans="1:30" x14ac:dyDescent="0.25">
      <c r="A13" s="27">
        <v>44236</v>
      </c>
      <c r="B13" s="7">
        <f>'[3]Production Summary'!$U45</f>
        <v>0</v>
      </c>
      <c r="C13" s="8">
        <f t="shared" si="0"/>
        <v>0</v>
      </c>
      <c r="D13" s="10">
        <f t="shared" si="1"/>
        <v>0</v>
      </c>
      <c r="E13" s="7">
        <f>'[3]Production Summary'!$O45</f>
        <v>0</v>
      </c>
      <c r="F13" s="8">
        <f t="shared" si="2"/>
        <v>0</v>
      </c>
      <c r="G13" s="10">
        <f t="shared" si="3"/>
        <v>0</v>
      </c>
      <c r="H13" s="7">
        <f>'[3]Production Summary'!$Q45</f>
        <v>0</v>
      </c>
      <c r="I13" s="8">
        <f t="shared" si="4"/>
        <v>0</v>
      </c>
      <c r="J13" s="10">
        <f t="shared" si="5"/>
        <v>0</v>
      </c>
      <c r="K13" s="7">
        <f>'[3]Production Summary'!$T45</f>
        <v>0</v>
      </c>
      <c r="L13" s="8">
        <f t="shared" si="6"/>
        <v>0</v>
      </c>
      <c r="M13" s="10">
        <f t="shared" si="7"/>
        <v>0</v>
      </c>
      <c r="N13" s="21"/>
      <c r="O13" s="7">
        <f>'[3]Production Summary'!$AL45</f>
        <v>11632198</v>
      </c>
      <c r="P13" s="8">
        <f t="shared" si="8"/>
        <v>11.632198000000001</v>
      </c>
      <c r="Q13" s="10">
        <f t="shared" si="9"/>
        <v>35.710847860000001</v>
      </c>
      <c r="R13" s="7">
        <f>'[3]Production Summary'!$AE45</f>
        <v>6195916</v>
      </c>
      <c r="S13" s="8">
        <f t="shared" si="10"/>
        <v>6.1959160000000004</v>
      </c>
      <c r="T13" s="10">
        <f t="shared" si="11"/>
        <v>19.021462119999999</v>
      </c>
      <c r="U13" s="7">
        <f>'[3]Production Summary'!$AF45</f>
        <v>6139920</v>
      </c>
      <c r="V13" s="8">
        <f t="shared" si="12"/>
        <v>6.13992</v>
      </c>
      <c r="W13" s="10">
        <f t="shared" si="13"/>
        <v>18.849554399999999</v>
      </c>
      <c r="X13" s="7">
        <f>'[3]Production Summary'!$AJ45</f>
        <v>314000</v>
      </c>
      <c r="Y13" s="8">
        <f t="shared" si="14"/>
        <v>0.314</v>
      </c>
      <c r="Z13" s="10">
        <f t="shared" si="15"/>
        <v>0.96397999999999995</v>
      </c>
      <c r="AA13" s="15"/>
      <c r="AB13" s="7">
        <f t="shared" si="16"/>
        <v>11632198</v>
      </c>
      <c r="AC13" s="8">
        <f t="shared" si="17"/>
        <v>11.632198000000001</v>
      </c>
      <c r="AD13" s="8">
        <f t="shared" si="17"/>
        <v>35.710847860000001</v>
      </c>
    </row>
    <row r="14" spans="1:30" x14ac:dyDescent="0.25">
      <c r="A14" s="27">
        <v>44237</v>
      </c>
      <c r="B14" s="7">
        <f>'[3]Production Summary'!$U46</f>
        <v>0</v>
      </c>
      <c r="C14" s="8">
        <f t="shared" si="0"/>
        <v>0</v>
      </c>
      <c r="D14" s="10">
        <f t="shared" si="1"/>
        <v>0</v>
      </c>
      <c r="E14" s="7">
        <f>'[3]Production Summary'!$O46</f>
        <v>0</v>
      </c>
      <c r="F14" s="8">
        <f t="shared" si="2"/>
        <v>0</v>
      </c>
      <c r="G14" s="10">
        <f t="shared" si="3"/>
        <v>0</v>
      </c>
      <c r="H14" s="7">
        <f>'[3]Production Summary'!$Q46</f>
        <v>0</v>
      </c>
      <c r="I14" s="8">
        <f t="shared" si="4"/>
        <v>0</v>
      </c>
      <c r="J14" s="10">
        <f t="shared" si="5"/>
        <v>0</v>
      </c>
      <c r="K14" s="7">
        <f>'[3]Production Summary'!$T46</f>
        <v>0</v>
      </c>
      <c r="L14" s="8">
        <f t="shared" si="6"/>
        <v>0</v>
      </c>
      <c r="M14" s="10">
        <f t="shared" si="7"/>
        <v>0</v>
      </c>
      <c r="N14" s="21"/>
      <c r="O14" s="7">
        <f>'[3]Production Summary'!$AL46</f>
        <v>12637495</v>
      </c>
      <c r="P14" s="8">
        <f t="shared" si="8"/>
        <v>12.637494999999999</v>
      </c>
      <c r="Q14" s="10">
        <f t="shared" si="9"/>
        <v>38.797109649999996</v>
      </c>
      <c r="R14" s="7">
        <f>'[3]Production Summary'!$AE46</f>
        <v>6246913</v>
      </c>
      <c r="S14" s="8">
        <f t="shared" si="10"/>
        <v>6.2469130000000002</v>
      </c>
      <c r="T14" s="10">
        <f t="shared" si="11"/>
        <v>19.178022909999999</v>
      </c>
      <c r="U14" s="7">
        <f>'[3]Production Summary'!$AF46</f>
        <v>6212916</v>
      </c>
      <c r="V14" s="8">
        <f t="shared" si="12"/>
        <v>6.2129159999999999</v>
      </c>
      <c r="W14" s="10">
        <f t="shared" si="13"/>
        <v>19.073652119999998</v>
      </c>
      <c r="X14" s="7">
        <f>'[3]Production Summary'!$AJ46</f>
        <v>45000</v>
      </c>
      <c r="Y14" s="8">
        <f t="shared" si="14"/>
        <v>4.4999999999999998E-2</v>
      </c>
      <c r="Z14" s="10">
        <f t="shared" si="15"/>
        <v>0.13815</v>
      </c>
      <c r="AA14" s="15"/>
      <c r="AB14" s="7">
        <f t="shared" si="16"/>
        <v>12637495</v>
      </c>
      <c r="AC14" s="8">
        <f t="shared" si="17"/>
        <v>12.637494999999999</v>
      </c>
      <c r="AD14" s="8">
        <f t="shared" si="17"/>
        <v>38.797109649999996</v>
      </c>
    </row>
    <row r="15" spans="1:30" x14ac:dyDescent="0.25">
      <c r="A15" s="27">
        <v>44238</v>
      </c>
      <c r="B15" s="7">
        <f>'[3]Production Summary'!$U47</f>
        <v>0</v>
      </c>
      <c r="C15" s="8">
        <f t="shared" si="0"/>
        <v>0</v>
      </c>
      <c r="D15" s="10">
        <f t="shared" si="1"/>
        <v>0</v>
      </c>
      <c r="E15" s="7">
        <f>'[3]Production Summary'!$O47</f>
        <v>0</v>
      </c>
      <c r="F15" s="8">
        <f t="shared" si="2"/>
        <v>0</v>
      </c>
      <c r="G15" s="10">
        <f t="shared" si="3"/>
        <v>0</v>
      </c>
      <c r="H15" s="7">
        <f>'[3]Production Summary'!$Q47</f>
        <v>0</v>
      </c>
      <c r="I15" s="8">
        <f t="shared" si="4"/>
        <v>0</v>
      </c>
      <c r="J15" s="10">
        <f t="shared" si="5"/>
        <v>0</v>
      </c>
      <c r="K15" s="7">
        <f>'[3]Production Summary'!$T47</f>
        <v>0</v>
      </c>
      <c r="L15" s="8">
        <f t="shared" si="6"/>
        <v>0</v>
      </c>
      <c r="M15" s="10">
        <f t="shared" si="7"/>
        <v>0</v>
      </c>
      <c r="N15" s="21"/>
      <c r="O15" s="7">
        <f>'[3]Production Summary'!$AL47</f>
        <v>10638722</v>
      </c>
      <c r="P15" s="8">
        <f t="shared" si="8"/>
        <v>10.638722</v>
      </c>
      <c r="Q15" s="10">
        <f t="shared" si="9"/>
        <v>32.660876539999997</v>
      </c>
      <c r="R15" s="7">
        <f>'[3]Production Summary'!$AE47</f>
        <v>5380976</v>
      </c>
      <c r="S15" s="8">
        <f t="shared" si="10"/>
        <v>5.3809760000000004</v>
      </c>
      <c r="T15" s="10">
        <f t="shared" si="11"/>
        <v>16.519596320000002</v>
      </c>
      <c r="U15" s="7">
        <f>'[3]Production Summary'!$AF47</f>
        <v>5340978</v>
      </c>
      <c r="V15" s="8">
        <f t="shared" si="12"/>
        <v>5.3409779999999998</v>
      </c>
      <c r="W15" s="10">
        <f t="shared" si="13"/>
        <v>16.39680246</v>
      </c>
      <c r="X15" s="7">
        <f>'[3]Production Summary'!$AJ47</f>
        <v>132000</v>
      </c>
      <c r="Y15" s="8">
        <f t="shared" si="14"/>
        <v>0.13200000000000001</v>
      </c>
      <c r="Z15" s="10">
        <f t="shared" si="15"/>
        <v>0.40523999999999999</v>
      </c>
      <c r="AA15" s="15"/>
      <c r="AB15" s="7">
        <f t="shared" si="16"/>
        <v>10638722</v>
      </c>
      <c r="AC15" s="8">
        <f t="shared" si="17"/>
        <v>10.638722</v>
      </c>
      <c r="AD15" s="8">
        <f t="shared" si="17"/>
        <v>32.660876539999997</v>
      </c>
    </row>
    <row r="16" spans="1:30" x14ac:dyDescent="0.25">
      <c r="A16" s="27">
        <v>44239</v>
      </c>
      <c r="B16" s="7">
        <f>'[3]Production Summary'!$U48</f>
        <v>0</v>
      </c>
      <c r="C16" s="8">
        <f t="shared" si="0"/>
        <v>0</v>
      </c>
      <c r="D16" s="10">
        <f t="shared" si="1"/>
        <v>0</v>
      </c>
      <c r="E16" s="7">
        <f>'[3]Production Summary'!$O48</f>
        <v>0</v>
      </c>
      <c r="F16" s="8">
        <f t="shared" si="2"/>
        <v>0</v>
      </c>
      <c r="G16" s="10">
        <f t="shared" si="3"/>
        <v>0</v>
      </c>
      <c r="H16" s="7">
        <f>'[3]Production Summary'!$Q48</f>
        <v>0</v>
      </c>
      <c r="I16" s="8">
        <f t="shared" si="4"/>
        <v>0</v>
      </c>
      <c r="J16" s="10">
        <f t="shared" si="5"/>
        <v>0</v>
      </c>
      <c r="K16" s="7">
        <f>'[3]Production Summary'!$T48</f>
        <v>0</v>
      </c>
      <c r="L16" s="8">
        <f t="shared" si="6"/>
        <v>0</v>
      </c>
      <c r="M16" s="10">
        <f t="shared" si="7"/>
        <v>0</v>
      </c>
      <c r="N16" s="21"/>
      <c r="O16" s="7">
        <f>'[3]Production Summary'!$AL48</f>
        <v>12814680</v>
      </c>
      <c r="P16" s="8">
        <f t="shared" si="8"/>
        <v>12.814679999999999</v>
      </c>
      <c r="Q16" s="10">
        <f t="shared" si="9"/>
        <v>39.341067599999995</v>
      </c>
      <c r="R16" s="7">
        <f>'[3]Production Summary'!$AE48</f>
        <v>6788874</v>
      </c>
      <c r="S16" s="8">
        <f t="shared" si="10"/>
        <v>6.7888739999999999</v>
      </c>
      <c r="T16" s="10">
        <f t="shared" si="11"/>
        <v>20.841843179999998</v>
      </c>
      <c r="U16" s="7">
        <f>'[3]Production Summary'!$AF48</f>
        <v>6724878</v>
      </c>
      <c r="V16" s="8">
        <f t="shared" si="12"/>
        <v>6.7248780000000004</v>
      </c>
      <c r="W16" s="10">
        <f t="shared" si="13"/>
        <v>20.64537546</v>
      </c>
      <c r="X16" s="7">
        <f>'[3]Production Summary'!$AJ48</f>
        <v>321999</v>
      </c>
      <c r="Y16" s="8">
        <f t="shared" si="14"/>
        <v>0.32199899999999998</v>
      </c>
      <c r="Z16" s="10">
        <f t="shared" si="15"/>
        <v>0.98853692999999987</v>
      </c>
      <c r="AA16" s="15"/>
      <c r="AB16" s="7">
        <f t="shared" si="16"/>
        <v>12814680</v>
      </c>
      <c r="AC16" s="8">
        <f t="shared" si="17"/>
        <v>12.814679999999999</v>
      </c>
      <c r="AD16" s="8">
        <f t="shared" si="17"/>
        <v>39.341067599999995</v>
      </c>
    </row>
    <row r="17" spans="1:30" x14ac:dyDescent="0.25">
      <c r="A17" s="27">
        <v>44240</v>
      </c>
      <c r="B17" s="7">
        <f>'[3]Production Summary'!$U49</f>
        <v>0</v>
      </c>
      <c r="C17" s="8">
        <f t="shared" si="0"/>
        <v>0</v>
      </c>
      <c r="D17" s="10">
        <f t="shared" si="1"/>
        <v>0</v>
      </c>
      <c r="E17" s="7">
        <f>'[3]Production Summary'!$O49</f>
        <v>0</v>
      </c>
      <c r="F17" s="8">
        <f t="shared" si="2"/>
        <v>0</v>
      </c>
      <c r="G17" s="10">
        <f t="shared" si="3"/>
        <v>0</v>
      </c>
      <c r="H17" s="7">
        <f>'[3]Production Summary'!$Q49</f>
        <v>0</v>
      </c>
      <c r="I17" s="8">
        <f t="shared" si="4"/>
        <v>0</v>
      </c>
      <c r="J17" s="10">
        <f t="shared" si="5"/>
        <v>0</v>
      </c>
      <c r="K17" s="7">
        <f>'[3]Production Summary'!$T49</f>
        <v>0</v>
      </c>
      <c r="L17" s="8">
        <f t="shared" si="6"/>
        <v>0</v>
      </c>
      <c r="M17" s="10">
        <f t="shared" si="7"/>
        <v>0</v>
      </c>
      <c r="N17" s="21"/>
      <c r="O17" s="7">
        <f>'[3]Production Summary'!$AL49</f>
        <v>12641483</v>
      </c>
      <c r="P17" s="8">
        <f t="shared" si="8"/>
        <v>12.641482999999999</v>
      </c>
      <c r="Q17" s="10">
        <f t="shared" si="9"/>
        <v>38.809352809999993</v>
      </c>
      <c r="R17" s="7">
        <f>'[3]Production Summary'!$AE49</f>
        <v>6212915</v>
      </c>
      <c r="S17" s="8">
        <f t="shared" si="10"/>
        <v>6.2129149999999997</v>
      </c>
      <c r="T17" s="10">
        <f t="shared" si="11"/>
        <v>19.073649049999997</v>
      </c>
      <c r="U17" s="7">
        <f>'[3]Production Summary'!$AF49</f>
        <v>6181918</v>
      </c>
      <c r="V17" s="8">
        <f t="shared" si="12"/>
        <v>6.1819179999999996</v>
      </c>
      <c r="W17" s="10">
        <f t="shared" si="13"/>
        <v>18.978488259999999</v>
      </c>
      <c r="X17" s="7">
        <f>'[3]Production Summary'!$AJ49</f>
        <v>12000</v>
      </c>
      <c r="Y17" s="8">
        <f t="shared" si="14"/>
        <v>1.2E-2</v>
      </c>
      <c r="Z17" s="10">
        <f t="shared" si="15"/>
        <v>3.6839999999999998E-2</v>
      </c>
      <c r="AA17" s="15"/>
      <c r="AB17" s="7">
        <f t="shared" si="16"/>
        <v>12641483</v>
      </c>
      <c r="AC17" s="8">
        <f t="shared" si="17"/>
        <v>12.641482999999999</v>
      </c>
      <c r="AD17" s="8">
        <f t="shared" si="17"/>
        <v>38.809352809999993</v>
      </c>
    </row>
    <row r="18" spans="1:30" x14ac:dyDescent="0.25">
      <c r="A18" s="27">
        <v>44241</v>
      </c>
      <c r="B18" s="7">
        <f>'[3]Production Summary'!$U50</f>
        <v>0</v>
      </c>
      <c r="C18" s="8">
        <f t="shared" si="0"/>
        <v>0</v>
      </c>
      <c r="D18" s="10">
        <f t="shared" si="1"/>
        <v>0</v>
      </c>
      <c r="E18" s="7">
        <f>'[3]Production Summary'!$O50</f>
        <v>0</v>
      </c>
      <c r="F18" s="8">
        <f t="shared" si="2"/>
        <v>0</v>
      </c>
      <c r="G18" s="10">
        <f t="shared" si="3"/>
        <v>0</v>
      </c>
      <c r="H18" s="7">
        <f>'[3]Production Summary'!$Q50</f>
        <v>0</v>
      </c>
      <c r="I18" s="8">
        <f t="shared" si="4"/>
        <v>0</v>
      </c>
      <c r="J18" s="10">
        <f t="shared" si="5"/>
        <v>0</v>
      </c>
      <c r="K18" s="7">
        <f>'[3]Production Summary'!$T50</f>
        <v>0</v>
      </c>
      <c r="L18" s="8">
        <f t="shared" ref="L18:L20" si="18">K18/1000000</f>
        <v>0</v>
      </c>
      <c r="M18" s="10">
        <f t="shared" ref="M18:M20" si="19">L18*3.07</f>
        <v>0</v>
      </c>
      <c r="N18" s="21"/>
      <c r="O18" s="7">
        <f>'[3]Production Summary'!$AL50</f>
        <v>11689137</v>
      </c>
      <c r="P18" s="8">
        <f t="shared" si="8"/>
        <v>11.689137000000001</v>
      </c>
      <c r="Q18" s="10">
        <f t="shared" si="9"/>
        <v>35.885650589999997</v>
      </c>
      <c r="R18" s="7">
        <f>'[3]Production Summary'!$AE50</f>
        <v>5909937</v>
      </c>
      <c r="S18" s="8">
        <f t="shared" si="10"/>
        <v>5.9099370000000002</v>
      </c>
      <c r="T18" s="10">
        <f t="shared" si="11"/>
        <v>18.143506590000001</v>
      </c>
      <c r="U18" s="7">
        <f>'[3]Production Summary'!$AF50</f>
        <v>5886939</v>
      </c>
      <c r="V18" s="8">
        <f t="shared" si="12"/>
        <v>5.8869389999999999</v>
      </c>
      <c r="W18" s="10">
        <f t="shared" si="13"/>
        <v>18.072902729999999</v>
      </c>
      <c r="X18" s="7">
        <f>'[3]Production Summary'!$AJ50</f>
        <v>108000</v>
      </c>
      <c r="Y18" s="8">
        <f t="shared" si="14"/>
        <v>0.108</v>
      </c>
      <c r="Z18" s="10">
        <f t="shared" si="15"/>
        <v>0.33155999999999997</v>
      </c>
      <c r="AA18" s="15"/>
      <c r="AB18" s="7">
        <f t="shared" si="17"/>
        <v>11689137</v>
      </c>
      <c r="AC18" s="8">
        <f t="shared" si="17"/>
        <v>11.689137000000001</v>
      </c>
      <c r="AD18" s="8">
        <f t="shared" si="17"/>
        <v>35.885650589999997</v>
      </c>
    </row>
    <row r="19" spans="1:30" x14ac:dyDescent="0.25">
      <c r="A19" s="27">
        <v>44242</v>
      </c>
      <c r="B19" s="7">
        <f>'[3]Production Summary'!$U51</f>
        <v>0</v>
      </c>
      <c r="C19" s="8">
        <f t="shared" si="0"/>
        <v>0</v>
      </c>
      <c r="D19" s="10">
        <f t="shared" si="1"/>
        <v>0</v>
      </c>
      <c r="E19" s="7">
        <f>'[3]Production Summary'!$O51</f>
        <v>0</v>
      </c>
      <c r="F19" s="8">
        <f t="shared" si="2"/>
        <v>0</v>
      </c>
      <c r="G19" s="10">
        <f t="shared" si="3"/>
        <v>0</v>
      </c>
      <c r="H19" s="7">
        <f>'[3]Production Summary'!$Q51</f>
        <v>0</v>
      </c>
      <c r="I19" s="8">
        <f t="shared" si="4"/>
        <v>0</v>
      </c>
      <c r="J19" s="10">
        <f t="shared" si="5"/>
        <v>0</v>
      </c>
      <c r="K19" s="7">
        <f>'[3]Production Summary'!$T51</f>
        <v>0</v>
      </c>
      <c r="L19" s="8">
        <f t="shared" si="18"/>
        <v>0</v>
      </c>
      <c r="M19" s="10">
        <f t="shared" si="19"/>
        <v>0</v>
      </c>
      <c r="N19" s="21"/>
      <c r="O19" s="7">
        <f>'[3]Production Summary'!$AL51</f>
        <v>12553575</v>
      </c>
      <c r="P19" s="8">
        <f t="shared" si="8"/>
        <v>12.553575</v>
      </c>
      <c r="Q19" s="10">
        <f t="shared" si="9"/>
        <v>38.539475250000002</v>
      </c>
      <c r="R19" s="7">
        <f>'[3]Production Summary'!$AE51</f>
        <v>6609887</v>
      </c>
      <c r="S19" s="8">
        <f t="shared" si="10"/>
        <v>6.6098869999999996</v>
      </c>
      <c r="T19" s="10">
        <f t="shared" si="11"/>
        <v>20.292353089999999</v>
      </c>
      <c r="U19" s="7">
        <f>'[3]Production Summary'!$AF51</f>
        <v>6562890</v>
      </c>
      <c r="V19" s="8">
        <f t="shared" si="12"/>
        <v>6.5628900000000003</v>
      </c>
      <c r="W19" s="10">
        <f t="shared" si="13"/>
        <v>20.148072299999999</v>
      </c>
      <c r="X19" s="7">
        <f>'[3]Production Summary'!$AJ51</f>
        <v>324999</v>
      </c>
      <c r="Y19" s="8">
        <f t="shared" si="14"/>
        <v>0.32499899999999998</v>
      </c>
      <c r="Z19" s="10">
        <f t="shared" si="15"/>
        <v>0.99774692999999992</v>
      </c>
      <c r="AA19" s="15"/>
      <c r="AB19" s="7">
        <f t="shared" si="17"/>
        <v>12553575</v>
      </c>
      <c r="AC19" s="8">
        <f t="shared" si="17"/>
        <v>12.553575</v>
      </c>
      <c r="AD19" s="8">
        <f>D19+Q19</f>
        <v>38.539475250000002</v>
      </c>
    </row>
    <row r="20" spans="1:30" x14ac:dyDescent="0.25">
      <c r="A20" s="27">
        <v>44243</v>
      </c>
      <c r="B20" s="7">
        <f>'[3]Production Summary'!$U52</f>
        <v>0</v>
      </c>
      <c r="C20" s="8">
        <f t="shared" si="0"/>
        <v>0</v>
      </c>
      <c r="D20" s="10">
        <f t="shared" si="1"/>
        <v>0</v>
      </c>
      <c r="E20" s="7">
        <f>'[3]Production Summary'!$O52</f>
        <v>0</v>
      </c>
      <c r="F20" s="8">
        <f t="shared" si="2"/>
        <v>0</v>
      </c>
      <c r="G20" s="10">
        <f t="shared" si="3"/>
        <v>0</v>
      </c>
      <c r="H20" s="7">
        <f>'[3]Production Summary'!$Q52</f>
        <v>0</v>
      </c>
      <c r="I20" s="8">
        <f t="shared" si="4"/>
        <v>0</v>
      </c>
      <c r="J20" s="10">
        <f t="shared" si="5"/>
        <v>0</v>
      </c>
      <c r="K20" s="7">
        <f>'[3]Production Summary'!$T52</f>
        <v>0</v>
      </c>
      <c r="L20" s="8">
        <f t="shared" si="18"/>
        <v>0</v>
      </c>
      <c r="M20" s="10">
        <f t="shared" si="19"/>
        <v>0</v>
      </c>
      <c r="N20" s="21"/>
      <c r="O20" s="7">
        <f>'[3]Production Summary'!$AL52</f>
        <v>13288740</v>
      </c>
      <c r="P20" s="8">
        <f t="shared" si="8"/>
        <v>13.288740000000001</v>
      </c>
      <c r="Q20" s="10">
        <f t="shared" si="9"/>
        <v>40.796431800000001</v>
      </c>
      <c r="R20" s="7">
        <f>'[3]Production Summary'!$AE52</f>
        <v>6555891</v>
      </c>
      <c r="S20" s="8">
        <f t="shared" si="10"/>
        <v>6.5558909999999999</v>
      </c>
      <c r="T20" s="10">
        <f t="shared" si="11"/>
        <v>20.126585369999997</v>
      </c>
      <c r="U20" s="7">
        <f>'[3]Production Summary'!$AF52</f>
        <v>6519893</v>
      </c>
      <c r="V20" s="8">
        <f t="shared" si="12"/>
        <v>6.5198929999999997</v>
      </c>
      <c r="W20" s="10">
        <f t="shared" si="13"/>
        <v>20.01607151</v>
      </c>
      <c r="X20" s="7">
        <f>'[3]Production Summary'!$AJ52</f>
        <v>0</v>
      </c>
      <c r="Y20" s="8">
        <f t="shared" si="14"/>
        <v>0</v>
      </c>
      <c r="Z20" s="10">
        <f t="shared" si="15"/>
        <v>0</v>
      </c>
      <c r="AA20" s="15"/>
      <c r="AB20" s="7">
        <f t="shared" si="17"/>
        <v>13288740</v>
      </c>
      <c r="AC20" s="8">
        <f t="shared" si="17"/>
        <v>13.288740000000001</v>
      </c>
      <c r="AD20" s="8">
        <f t="shared" si="17"/>
        <v>40.796431800000001</v>
      </c>
    </row>
    <row r="21" spans="1:30" x14ac:dyDescent="0.25">
      <c r="A21" s="27">
        <v>44244</v>
      </c>
      <c r="B21" s="7">
        <f>'[3]Production Summary'!$U53</f>
        <v>0</v>
      </c>
      <c r="C21" s="8">
        <f t="shared" si="0"/>
        <v>0</v>
      </c>
      <c r="D21" s="10">
        <f t="shared" si="1"/>
        <v>0</v>
      </c>
      <c r="E21" s="7">
        <f>'[3]Production Summary'!$O53</f>
        <v>0</v>
      </c>
      <c r="F21" s="8">
        <f t="shared" si="2"/>
        <v>0</v>
      </c>
      <c r="G21" s="10">
        <f t="shared" si="3"/>
        <v>0</v>
      </c>
      <c r="H21" s="7">
        <f>'[3]Production Summary'!$Q53</f>
        <v>0</v>
      </c>
      <c r="I21" s="8">
        <f t="shared" si="4"/>
        <v>0</v>
      </c>
      <c r="J21" s="10">
        <f t="shared" si="5"/>
        <v>0</v>
      </c>
      <c r="K21" s="7">
        <f>'[3]Production Summary'!$T53</f>
        <v>0</v>
      </c>
      <c r="L21" s="8">
        <f t="shared" si="6"/>
        <v>0</v>
      </c>
      <c r="M21" s="10">
        <f t="shared" si="7"/>
        <v>0</v>
      </c>
      <c r="N21" s="21"/>
      <c r="O21" s="7">
        <f>'[3]Production Summary'!$AL53</f>
        <v>12103305</v>
      </c>
      <c r="P21" s="8">
        <f t="shared" si="8"/>
        <v>12.103305000000001</v>
      </c>
      <c r="Q21" s="10">
        <f t="shared" si="9"/>
        <v>37.157146349999998</v>
      </c>
      <c r="R21" s="7">
        <f>'[3]Production Summary'!$AE53</f>
        <v>6101924</v>
      </c>
      <c r="S21" s="8">
        <f t="shared" si="10"/>
        <v>6.1019240000000003</v>
      </c>
      <c r="T21" s="10">
        <f t="shared" si="11"/>
        <v>18.732906679999999</v>
      </c>
      <c r="U21" s="7">
        <f>'[3]Production Summary'!$AF53</f>
        <v>6072925</v>
      </c>
      <c r="V21" s="8">
        <f t="shared" si="12"/>
        <v>6.0729249999999997</v>
      </c>
      <c r="W21" s="10">
        <f t="shared" si="13"/>
        <v>18.643879749999996</v>
      </c>
      <c r="X21" s="7">
        <f>'[3]Production Summary'!$AJ53</f>
        <v>109000</v>
      </c>
      <c r="Y21" s="8">
        <f t="shared" si="14"/>
        <v>0.109</v>
      </c>
      <c r="Z21" s="10">
        <f t="shared" si="15"/>
        <v>0.33462999999999998</v>
      </c>
      <c r="AA21" s="15"/>
      <c r="AB21" s="7">
        <f t="shared" si="17"/>
        <v>12103305</v>
      </c>
      <c r="AC21" s="8">
        <f t="shared" si="17"/>
        <v>12.103305000000001</v>
      </c>
      <c r="AD21" s="8">
        <f t="shared" si="17"/>
        <v>37.157146349999998</v>
      </c>
    </row>
    <row r="22" spans="1:30" x14ac:dyDescent="0.25">
      <c r="A22" s="27">
        <v>44245</v>
      </c>
      <c r="B22" s="7">
        <f>'[3]Production Summary'!$U54</f>
        <v>0</v>
      </c>
      <c r="C22" s="8">
        <f t="shared" si="0"/>
        <v>0</v>
      </c>
      <c r="D22" s="10">
        <f t="shared" si="1"/>
        <v>0</v>
      </c>
      <c r="E22" s="7">
        <f>'[3]Production Summary'!$O54</f>
        <v>0</v>
      </c>
      <c r="F22" s="8">
        <f t="shared" si="2"/>
        <v>0</v>
      </c>
      <c r="G22" s="10">
        <f t="shared" si="3"/>
        <v>0</v>
      </c>
      <c r="H22" s="7">
        <f>'[3]Production Summary'!$Q54</f>
        <v>0</v>
      </c>
      <c r="I22" s="8">
        <f t="shared" si="4"/>
        <v>0</v>
      </c>
      <c r="J22" s="10">
        <f t="shared" si="5"/>
        <v>0</v>
      </c>
      <c r="K22" s="7">
        <f>'[3]Production Summary'!$T54</f>
        <v>0</v>
      </c>
      <c r="L22" s="8">
        <f t="shared" si="6"/>
        <v>0</v>
      </c>
      <c r="M22" s="10">
        <f t="shared" si="7"/>
        <v>0</v>
      </c>
      <c r="N22" s="21"/>
      <c r="O22" s="7">
        <f>'[3]Production Summary'!$AL54</f>
        <v>11916317</v>
      </c>
      <c r="P22" s="8">
        <f t="shared" si="8"/>
        <v>11.916316999999999</v>
      </c>
      <c r="Q22" s="10">
        <f t="shared" si="9"/>
        <v>36.58309319</v>
      </c>
      <c r="R22" s="7">
        <f>'[3]Production Summary'!$AE54</f>
        <v>6306909</v>
      </c>
      <c r="S22" s="8">
        <f t="shared" si="10"/>
        <v>6.3069090000000001</v>
      </c>
      <c r="T22" s="10">
        <f t="shared" si="11"/>
        <v>19.36221063</v>
      </c>
      <c r="U22" s="7">
        <f>'[3]Production Summary'!$AF54</f>
        <v>6347905</v>
      </c>
      <c r="V22" s="8">
        <f t="shared" si="12"/>
        <v>6.3479049999999999</v>
      </c>
      <c r="W22" s="10">
        <f t="shared" si="13"/>
        <v>19.488068349999999</v>
      </c>
      <c r="X22" s="7">
        <f>'[3]Production Summary'!$AJ54</f>
        <v>323999</v>
      </c>
      <c r="Y22" s="8">
        <f t="shared" si="14"/>
        <v>0.32399899999999998</v>
      </c>
      <c r="Z22" s="10">
        <f t="shared" si="15"/>
        <v>0.9946769299999999</v>
      </c>
      <c r="AA22" s="15"/>
      <c r="AB22" s="7">
        <f t="shared" si="17"/>
        <v>11916317</v>
      </c>
      <c r="AC22" s="8">
        <f t="shared" si="17"/>
        <v>11.916316999999999</v>
      </c>
      <c r="AD22" s="8">
        <f t="shared" si="17"/>
        <v>36.58309319</v>
      </c>
    </row>
    <row r="23" spans="1:30" x14ac:dyDescent="0.25">
      <c r="A23" s="27">
        <v>44246</v>
      </c>
      <c r="B23" s="7">
        <f>'[3]Production Summary'!$U55</f>
        <v>0</v>
      </c>
      <c r="C23" s="8">
        <f t="shared" si="0"/>
        <v>0</v>
      </c>
      <c r="D23" s="10">
        <f t="shared" si="1"/>
        <v>0</v>
      </c>
      <c r="E23" s="7">
        <f>'[3]Production Summary'!$O55</f>
        <v>0</v>
      </c>
      <c r="F23" s="8">
        <f t="shared" si="2"/>
        <v>0</v>
      </c>
      <c r="G23" s="10">
        <f t="shared" si="3"/>
        <v>0</v>
      </c>
      <c r="H23" s="7">
        <f>'[3]Production Summary'!$Q55</f>
        <v>10000</v>
      </c>
      <c r="I23" s="8">
        <f t="shared" si="4"/>
        <v>0.01</v>
      </c>
      <c r="J23" s="10">
        <f t="shared" si="5"/>
        <v>3.0699999999999998E-2</v>
      </c>
      <c r="K23" s="7">
        <f>'[3]Production Summary'!$T55</f>
        <v>0</v>
      </c>
      <c r="L23" s="8">
        <f t="shared" si="6"/>
        <v>0</v>
      </c>
      <c r="M23" s="10">
        <f t="shared" si="7"/>
        <v>0</v>
      </c>
      <c r="N23" s="21"/>
      <c r="O23" s="7">
        <f>'[3]Production Summary'!$AL55</f>
        <v>13234718</v>
      </c>
      <c r="P23" s="8">
        <f t="shared" si="8"/>
        <v>13.234718000000001</v>
      </c>
      <c r="Q23" s="10">
        <f t="shared" si="9"/>
        <v>40.630584259999999</v>
      </c>
      <c r="R23" s="7">
        <f>'[3]Production Summary'!$AE55</f>
        <v>6520893</v>
      </c>
      <c r="S23" s="8">
        <f t="shared" si="10"/>
        <v>6.5208930000000001</v>
      </c>
      <c r="T23" s="10">
        <f t="shared" si="11"/>
        <v>20.019141510000001</v>
      </c>
      <c r="U23" s="7">
        <f>'[3]Production Summary'!$AF55</f>
        <v>6483896</v>
      </c>
      <c r="V23" s="8">
        <f t="shared" si="12"/>
        <v>6.4838959999999997</v>
      </c>
      <c r="W23" s="10">
        <f t="shared" si="13"/>
        <v>19.905560719999997</v>
      </c>
      <c r="X23" s="7">
        <f>'[3]Production Summary'!$AJ55</f>
        <v>0</v>
      </c>
      <c r="Y23" s="8">
        <f t="shared" si="14"/>
        <v>0</v>
      </c>
      <c r="Z23" s="10">
        <f t="shared" si="15"/>
        <v>0</v>
      </c>
      <c r="AA23" s="15"/>
      <c r="AB23" s="7">
        <f t="shared" si="17"/>
        <v>13234718</v>
      </c>
      <c r="AC23" s="8">
        <f t="shared" si="17"/>
        <v>13.234718000000001</v>
      </c>
      <c r="AD23" s="8">
        <f t="shared" si="17"/>
        <v>40.630584259999999</v>
      </c>
    </row>
    <row r="24" spans="1:30" x14ac:dyDescent="0.25">
      <c r="A24" s="27">
        <v>44247</v>
      </c>
      <c r="B24" s="7">
        <f>'[3]Production Summary'!$U56</f>
        <v>0</v>
      </c>
      <c r="C24" s="8">
        <f t="shared" si="0"/>
        <v>0</v>
      </c>
      <c r="D24" s="10">
        <f t="shared" si="1"/>
        <v>0</v>
      </c>
      <c r="E24" s="7">
        <f>'[3]Production Summary'!$O56</f>
        <v>0</v>
      </c>
      <c r="F24" s="8">
        <f t="shared" si="2"/>
        <v>0</v>
      </c>
      <c r="G24" s="10">
        <f t="shared" si="3"/>
        <v>0</v>
      </c>
      <c r="H24" s="7">
        <f>'[3]Production Summary'!$Q56</f>
        <v>0</v>
      </c>
      <c r="I24" s="8">
        <f t="shared" si="4"/>
        <v>0</v>
      </c>
      <c r="J24" s="10">
        <f t="shared" si="5"/>
        <v>0</v>
      </c>
      <c r="K24" s="7">
        <f>'[3]Production Summary'!$T56</f>
        <v>0</v>
      </c>
      <c r="L24" s="8">
        <f t="shared" ref="L24:L32" si="20">K24/1000000</f>
        <v>0</v>
      </c>
      <c r="M24" s="10">
        <f t="shared" si="7"/>
        <v>0</v>
      </c>
      <c r="N24" s="21"/>
      <c r="O24" s="7">
        <f>'[3]Production Summary'!$AL56</f>
        <v>12318392</v>
      </c>
      <c r="P24" s="8">
        <f t="shared" si="8"/>
        <v>12.318391999999999</v>
      </c>
      <c r="Q24" s="10">
        <f t="shared" si="9"/>
        <v>37.817463439999997</v>
      </c>
      <c r="R24" s="7">
        <f>'[3]Production Summary'!$AE56</f>
        <v>6198716</v>
      </c>
      <c r="S24" s="8">
        <f t="shared" si="10"/>
        <v>6.1987160000000001</v>
      </c>
      <c r="T24" s="10">
        <f t="shared" si="11"/>
        <v>19.03005812</v>
      </c>
      <c r="U24" s="7">
        <f>'[3]Production Summary'!$AF56</f>
        <v>6160919</v>
      </c>
      <c r="V24" s="8">
        <f t="shared" si="12"/>
        <v>6.1609189999999998</v>
      </c>
      <c r="W24" s="10">
        <f t="shared" si="13"/>
        <v>18.914021329999997</v>
      </c>
      <c r="X24" s="7">
        <f>'[3]Production Summary'!$AJ56</f>
        <v>108000</v>
      </c>
      <c r="Y24" s="8">
        <f t="shared" si="14"/>
        <v>0.108</v>
      </c>
      <c r="Z24" s="10">
        <f t="shared" si="15"/>
        <v>0.33155999999999997</v>
      </c>
      <c r="AA24" s="15"/>
      <c r="AB24" s="7">
        <f t="shared" si="17"/>
        <v>12318392</v>
      </c>
      <c r="AC24" s="8">
        <f t="shared" si="17"/>
        <v>12.318391999999999</v>
      </c>
      <c r="AD24" s="8">
        <f>D24+Q24</f>
        <v>37.817463439999997</v>
      </c>
    </row>
    <row r="25" spans="1:30" x14ac:dyDescent="0.25">
      <c r="A25" s="27">
        <v>44248</v>
      </c>
      <c r="B25" s="7">
        <f>'[3]Production Summary'!$U57</f>
        <v>0</v>
      </c>
      <c r="C25" s="8">
        <f t="shared" si="0"/>
        <v>0</v>
      </c>
      <c r="D25" s="10">
        <f t="shared" si="1"/>
        <v>0</v>
      </c>
      <c r="E25" s="7">
        <f>'[3]Production Summary'!$O57</f>
        <v>0</v>
      </c>
      <c r="F25" s="8">
        <f t="shared" si="2"/>
        <v>0</v>
      </c>
      <c r="G25" s="10">
        <f t="shared" si="3"/>
        <v>0</v>
      </c>
      <c r="H25" s="7">
        <f>'[3]Production Summary'!$Q57</f>
        <v>0</v>
      </c>
      <c r="I25" s="8">
        <f t="shared" si="4"/>
        <v>0</v>
      </c>
      <c r="J25" s="10">
        <f t="shared" si="5"/>
        <v>0</v>
      </c>
      <c r="K25" s="7">
        <f>'[3]Production Summary'!$T57</f>
        <v>0</v>
      </c>
      <c r="L25" s="8">
        <f t="shared" si="20"/>
        <v>0</v>
      </c>
      <c r="M25" s="10">
        <f t="shared" si="7"/>
        <v>0</v>
      </c>
      <c r="N25" s="21"/>
      <c r="O25" s="7">
        <f>'[3]Production Summary'!$AL57</f>
        <v>11596188</v>
      </c>
      <c r="P25" s="8">
        <f t="shared" si="8"/>
        <v>11.596188</v>
      </c>
      <c r="Q25" s="10">
        <f t="shared" si="9"/>
        <v>35.600297159999997</v>
      </c>
      <c r="R25" s="7">
        <f>'[3]Production Summary'!$AE57</f>
        <v>6145920</v>
      </c>
      <c r="S25" s="8">
        <f t="shared" si="10"/>
        <v>6.1459200000000003</v>
      </c>
      <c r="T25" s="10">
        <f t="shared" si="11"/>
        <v>18.867974400000001</v>
      </c>
      <c r="U25" s="7">
        <f>'[3]Production Summary'!$AF57</f>
        <v>6114922</v>
      </c>
      <c r="V25" s="8">
        <f t="shared" si="12"/>
        <v>6.114922</v>
      </c>
      <c r="W25" s="10">
        <f t="shared" si="13"/>
        <v>18.772810539999998</v>
      </c>
      <c r="X25" s="7">
        <f>'[3]Production Summary'!$AJ57</f>
        <v>324999</v>
      </c>
      <c r="Y25" s="8">
        <f t="shared" si="14"/>
        <v>0.32499899999999998</v>
      </c>
      <c r="Z25" s="10">
        <f t="shared" si="15"/>
        <v>0.99774692999999992</v>
      </c>
      <c r="AA25" s="15"/>
      <c r="AB25" s="7">
        <f t="shared" si="17"/>
        <v>11596188</v>
      </c>
      <c r="AC25" s="8">
        <f t="shared" si="17"/>
        <v>11.596188</v>
      </c>
      <c r="AD25" s="8">
        <f t="shared" si="17"/>
        <v>35.600297159999997</v>
      </c>
    </row>
    <row r="26" spans="1:30" x14ac:dyDescent="0.25">
      <c r="A26" s="27">
        <v>44249</v>
      </c>
      <c r="B26" s="7">
        <f>'[3]Production Summary'!$U58</f>
        <v>0</v>
      </c>
      <c r="C26" s="8">
        <f t="shared" si="0"/>
        <v>0</v>
      </c>
      <c r="D26" s="10">
        <f t="shared" si="1"/>
        <v>0</v>
      </c>
      <c r="E26" s="7">
        <f>'[3]Production Summary'!$O58</f>
        <v>0</v>
      </c>
      <c r="F26" s="8">
        <f t="shared" si="2"/>
        <v>0</v>
      </c>
      <c r="G26" s="10">
        <f t="shared" si="3"/>
        <v>0</v>
      </c>
      <c r="H26" s="7">
        <f>'[3]Production Summary'!$Q58</f>
        <v>0</v>
      </c>
      <c r="I26" s="8">
        <f t="shared" si="4"/>
        <v>0</v>
      </c>
      <c r="J26" s="10">
        <f t="shared" si="5"/>
        <v>0</v>
      </c>
      <c r="K26" s="7">
        <f>'[3]Production Summary'!$T58</f>
        <v>0</v>
      </c>
      <c r="L26" s="8">
        <f t="shared" si="20"/>
        <v>0</v>
      </c>
      <c r="M26" s="10">
        <f t="shared" si="7"/>
        <v>0</v>
      </c>
      <c r="N26" s="21"/>
      <c r="O26" s="7">
        <f>'[3]Production Summary'!$AL58</f>
        <v>14049047</v>
      </c>
      <c r="P26" s="8">
        <f t="shared" si="8"/>
        <v>14.049047</v>
      </c>
      <c r="Q26" s="10">
        <f t="shared" si="9"/>
        <v>43.130574289999998</v>
      </c>
      <c r="R26" s="7">
        <f>'[3]Production Summary'!$AE58</f>
        <v>6906865</v>
      </c>
      <c r="S26" s="8">
        <f t="shared" si="10"/>
        <v>6.9068649999999998</v>
      </c>
      <c r="T26" s="10">
        <f t="shared" si="11"/>
        <v>21.204075549999999</v>
      </c>
      <c r="U26" s="7">
        <f>'[3]Production Summary'!$AF58</f>
        <v>6867868</v>
      </c>
      <c r="V26" s="8">
        <f t="shared" si="12"/>
        <v>6.8678679999999996</v>
      </c>
      <c r="W26" s="10">
        <f t="shared" si="13"/>
        <v>21.084354759999997</v>
      </c>
      <c r="X26" s="7">
        <f>'[3]Production Summary'!$AJ58</f>
        <v>0</v>
      </c>
      <c r="Y26" s="8">
        <f t="shared" si="14"/>
        <v>0</v>
      </c>
      <c r="Z26" s="10">
        <f t="shared" si="15"/>
        <v>0</v>
      </c>
      <c r="AA26" s="15"/>
      <c r="AB26" s="7">
        <f t="shared" si="17"/>
        <v>14049047</v>
      </c>
      <c r="AC26" s="8">
        <f t="shared" si="17"/>
        <v>14.049047</v>
      </c>
      <c r="AD26" s="8">
        <f t="shared" si="17"/>
        <v>43.130574289999998</v>
      </c>
    </row>
    <row r="27" spans="1:30" x14ac:dyDescent="0.25">
      <c r="A27" s="27">
        <v>44250</v>
      </c>
      <c r="B27" s="7">
        <f>'[3]Production Summary'!$U59</f>
        <v>0</v>
      </c>
      <c r="C27" s="8">
        <f t="shared" si="0"/>
        <v>0</v>
      </c>
      <c r="D27" s="10">
        <f t="shared" si="1"/>
        <v>0</v>
      </c>
      <c r="E27" s="7">
        <f>'[3]Production Summary'!$O59</f>
        <v>0</v>
      </c>
      <c r="F27" s="8">
        <f t="shared" si="2"/>
        <v>0</v>
      </c>
      <c r="G27" s="10">
        <f t="shared" si="3"/>
        <v>0</v>
      </c>
      <c r="H27" s="7">
        <f>'[3]Production Summary'!$Q59</f>
        <v>0</v>
      </c>
      <c r="I27" s="8">
        <f t="shared" si="4"/>
        <v>0</v>
      </c>
      <c r="J27" s="10">
        <f t="shared" si="5"/>
        <v>0</v>
      </c>
      <c r="K27" s="7">
        <f>'[3]Production Summary'!$T59</f>
        <v>0</v>
      </c>
      <c r="L27" s="8">
        <f t="shared" si="20"/>
        <v>0</v>
      </c>
      <c r="M27" s="10">
        <f t="shared" si="7"/>
        <v>0</v>
      </c>
      <c r="N27" s="21"/>
      <c r="O27" s="7">
        <f>'[3]Production Summary'!$AL59</f>
        <v>12158327</v>
      </c>
      <c r="P27" s="8">
        <f t="shared" si="8"/>
        <v>12.158327</v>
      </c>
      <c r="Q27" s="10">
        <f t="shared" si="9"/>
        <v>37.32606389</v>
      </c>
      <c r="R27" s="7">
        <f>'[3]Production Summary'!$AE59</f>
        <v>6114922</v>
      </c>
      <c r="S27" s="8">
        <f t="shared" si="10"/>
        <v>6.114922</v>
      </c>
      <c r="T27" s="10">
        <f t="shared" si="11"/>
        <v>18.772810539999998</v>
      </c>
      <c r="U27" s="7">
        <f>'[3]Production Summary'!$AF59</f>
        <v>6080924</v>
      </c>
      <c r="V27" s="8">
        <f t="shared" si="12"/>
        <v>6.0809240000000004</v>
      </c>
      <c r="W27" s="10">
        <f t="shared" si="13"/>
        <v>18.668436679999999</v>
      </c>
      <c r="X27" s="7">
        <f>'[3]Production Summary'!$AJ59</f>
        <v>109000</v>
      </c>
      <c r="Y27" s="8">
        <f t="shared" si="14"/>
        <v>0.109</v>
      </c>
      <c r="Z27" s="10">
        <f t="shared" si="15"/>
        <v>0.33462999999999998</v>
      </c>
      <c r="AA27" s="15"/>
      <c r="AB27" s="7">
        <f t="shared" si="17"/>
        <v>12158327</v>
      </c>
      <c r="AC27" s="8">
        <f t="shared" si="17"/>
        <v>12.158327</v>
      </c>
      <c r="AD27" s="8">
        <f t="shared" si="17"/>
        <v>37.32606389</v>
      </c>
    </row>
    <row r="28" spans="1:30" x14ac:dyDescent="0.25">
      <c r="A28" s="27">
        <v>44251</v>
      </c>
      <c r="B28" s="7">
        <f>'[3]Production Summary'!$U60</f>
        <v>0</v>
      </c>
      <c r="C28" s="8">
        <f t="shared" si="0"/>
        <v>0</v>
      </c>
      <c r="D28" s="10">
        <f t="shared" si="1"/>
        <v>0</v>
      </c>
      <c r="E28" s="7">
        <f>'[3]Production Summary'!$O60</f>
        <v>0</v>
      </c>
      <c r="F28" s="8">
        <f t="shared" si="2"/>
        <v>0</v>
      </c>
      <c r="G28" s="10">
        <f t="shared" si="3"/>
        <v>0</v>
      </c>
      <c r="H28" s="7">
        <f>'[3]Production Summary'!$Q60</f>
        <v>0</v>
      </c>
      <c r="I28" s="8">
        <f t="shared" si="4"/>
        <v>0</v>
      </c>
      <c r="J28" s="10">
        <f t="shared" si="5"/>
        <v>0</v>
      </c>
      <c r="K28" s="7">
        <f>'[3]Production Summary'!$T60</f>
        <v>0</v>
      </c>
      <c r="L28" s="8">
        <f t="shared" si="20"/>
        <v>0</v>
      </c>
      <c r="M28" s="10">
        <f t="shared" si="7"/>
        <v>0</v>
      </c>
      <c r="N28" s="21"/>
      <c r="O28" s="7">
        <f>'[3]Production Summary'!$AL60</f>
        <v>11970339</v>
      </c>
      <c r="P28" s="8">
        <f t="shared" si="8"/>
        <v>11.970338999999999</v>
      </c>
      <c r="Q28" s="10">
        <f t="shared" si="9"/>
        <v>36.748940729999994</v>
      </c>
      <c r="R28" s="7">
        <f>'[3]Production Summary'!$AE60</f>
        <v>6249913</v>
      </c>
      <c r="S28" s="8">
        <f t="shared" si="10"/>
        <v>6.2499130000000003</v>
      </c>
      <c r="T28" s="10">
        <f t="shared" si="11"/>
        <v>19.187232909999999</v>
      </c>
      <c r="U28" s="7">
        <f>'[3]Production Summary'!$AF60</f>
        <v>6216915</v>
      </c>
      <c r="V28" s="8">
        <f t="shared" si="12"/>
        <v>6.2169150000000002</v>
      </c>
      <c r="W28" s="10">
        <f t="shared" si="13"/>
        <v>19.085929050000001</v>
      </c>
      <c r="X28" s="7">
        <f>'[3]Production Summary'!$AJ60</f>
        <v>323999</v>
      </c>
      <c r="Y28" s="8">
        <f t="shared" si="14"/>
        <v>0.32399899999999998</v>
      </c>
      <c r="Z28" s="10">
        <f t="shared" si="15"/>
        <v>0.9946769299999999</v>
      </c>
      <c r="AA28" s="15"/>
      <c r="AB28" s="7">
        <f t="shared" si="17"/>
        <v>11970339</v>
      </c>
      <c r="AC28" s="8">
        <f t="shared" si="17"/>
        <v>11.970338999999999</v>
      </c>
      <c r="AD28" s="8">
        <f t="shared" si="17"/>
        <v>36.748940729999994</v>
      </c>
    </row>
    <row r="29" spans="1:30" x14ac:dyDescent="0.25">
      <c r="A29" s="27">
        <v>44252</v>
      </c>
      <c r="B29" s="7">
        <f>'[3]Production Summary'!$U61</f>
        <v>0</v>
      </c>
      <c r="C29" s="8">
        <f t="shared" si="0"/>
        <v>0</v>
      </c>
      <c r="D29" s="10">
        <f t="shared" si="1"/>
        <v>0</v>
      </c>
      <c r="E29" s="7">
        <f>'[3]Production Summary'!$O61</f>
        <v>0</v>
      </c>
      <c r="F29" s="8">
        <f t="shared" si="2"/>
        <v>0</v>
      </c>
      <c r="G29" s="10">
        <f t="shared" si="3"/>
        <v>0</v>
      </c>
      <c r="H29" s="7">
        <f>'[3]Production Summary'!$Q61</f>
        <v>0</v>
      </c>
      <c r="I29" s="8">
        <f t="shared" si="4"/>
        <v>0</v>
      </c>
      <c r="J29" s="10">
        <f t="shared" si="5"/>
        <v>0</v>
      </c>
      <c r="K29" s="7">
        <f>'[3]Production Summary'!$T61</f>
        <v>0</v>
      </c>
      <c r="L29" s="8">
        <f t="shared" si="20"/>
        <v>0</v>
      </c>
      <c r="M29" s="10">
        <f t="shared" si="7"/>
        <v>0</v>
      </c>
      <c r="N29" s="21"/>
      <c r="O29" s="7">
        <f>'[3]Production Summary'!$AL61</f>
        <v>11977262</v>
      </c>
      <c r="P29" s="8">
        <f t="shared" si="8"/>
        <v>11.977262</v>
      </c>
      <c r="Q29" s="10">
        <f t="shared" si="9"/>
        <v>36.770194339999996</v>
      </c>
      <c r="R29" s="7">
        <f>'[3]Production Summary'!$AE61</f>
        <v>6035928</v>
      </c>
      <c r="S29" s="8">
        <f t="shared" si="10"/>
        <v>6.0359280000000002</v>
      </c>
      <c r="T29" s="10">
        <f t="shared" si="11"/>
        <v>18.53029896</v>
      </c>
      <c r="U29" s="7">
        <f>'[3]Production Summary'!$AF61</f>
        <v>6002930</v>
      </c>
      <c r="V29" s="8">
        <f t="shared" si="12"/>
        <v>6.0029300000000001</v>
      </c>
      <c r="W29" s="10">
        <f t="shared" si="13"/>
        <v>18.428995099999998</v>
      </c>
      <c r="X29" s="7">
        <f>'[3]Production Summary'!$AJ61</f>
        <v>129000</v>
      </c>
      <c r="Y29" s="8">
        <f t="shared" si="14"/>
        <v>0.129</v>
      </c>
      <c r="Z29" s="10">
        <f t="shared" si="15"/>
        <v>0.39602999999999999</v>
      </c>
      <c r="AA29" s="15"/>
      <c r="AB29" s="7">
        <f t="shared" si="17"/>
        <v>11977262</v>
      </c>
      <c r="AC29" s="8">
        <f t="shared" si="17"/>
        <v>11.977262</v>
      </c>
      <c r="AD29" s="8">
        <f t="shared" si="17"/>
        <v>36.770194339999996</v>
      </c>
    </row>
    <row r="30" spans="1:30" x14ac:dyDescent="0.25">
      <c r="A30" s="27">
        <v>44253</v>
      </c>
      <c r="B30" s="7">
        <f>'[3]Production Summary'!$U62</f>
        <v>0</v>
      </c>
      <c r="C30" s="8">
        <f t="shared" si="0"/>
        <v>0</v>
      </c>
      <c r="D30" s="10">
        <f t="shared" si="1"/>
        <v>0</v>
      </c>
      <c r="E30" s="7">
        <f>'[3]Production Summary'!$O62</f>
        <v>0</v>
      </c>
      <c r="F30" s="8">
        <f t="shared" si="2"/>
        <v>0</v>
      </c>
      <c r="G30" s="10">
        <f t="shared" si="3"/>
        <v>0</v>
      </c>
      <c r="H30" s="7">
        <f>'[3]Production Summary'!$Q62</f>
        <v>0</v>
      </c>
      <c r="I30" s="8">
        <f t="shared" si="4"/>
        <v>0</v>
      </c>
      <c r="J30" s="10">
        <f t="shared" si="5"/>
        <v>0</v>
      </c>
      <c r="K30" s="7">
        <f>'[3]Production Summary'!$T62</f>
        <v>0</v>
      </c>
      <c r="L30" s="8">
        <f t="shared" si="20"/>
        <v>0</v>
      </c>
      <c r="M30" s="10">
        <f t="shared" si="7"/>
        <v>0</v>
      </c>
      <c r="N30" s="21"/>
      <c r="O30" s="7">
        <f>'[3]Production Summary'!$AL62</f>
        <v>12020290</v>
      </c>
      <c r="P30" s="8">
        <f t="shared" si="8"/>
        <v>12.020289999999999</v>
      </c>
      <c r="Q30" s="10">
        <f t="shared" si="9"/>
        <v>36.902290299999997</v>
      </c>
      <c r="R30" s="7">
        <f>'[3]Production Summary'!$AE62</f>
        <v>6044927</v>
      </c>
      <c r="S30" s="8">
        <f t="shared" si="10"/>
        <v>6.0449270000000004</v>
      </c>
      <c r="T30" s="10">
        <f t="shared" si="11"/>
        <v>18.55792589</v>
      </c>
      <c r="U30" s="7">
        <f>'[3]Production Summary'!$AF62</f>
        <v>6016930</v>
      </c>
      <c r="V30" s="8">
        <f t="shared" si="12"/>
        <v>6.0169300000000003</v>
      </c>
      <c r="W30" s="10">
        <f t="shared" si="13"/>
        <v>18.471975100000002</v>
      </c>
      <c r="X30" s="7">
        <f>'[3]Production Summary'!$AJ62</f>
        <v>155000</v>
      </c>
      <c r="Y30" s="8">
        <f t="shared" si="14"/>
        <v>0.155</v>
      </c>
      <c r="Z30" s="10">
        <f t="shared" si="15"/>
        <v>0.47585</v>
      </c>
      <c r="AA30" s="15"/>
      <c r="AB30" s="7">
        <f t="shared" si="17"/>
        <v>12020290</v>
      </c>
      <c r="AC30" s="8">
        <f t="shared" si="17"/>
        <v>12.020289999999999</v>
      </c>
      <c r="AD30" s="8">
        <f>D30+Q30</f>
        <v>36.902290299999997</v>
      </c>
    </row>
    <row r="31" spans="1:30" x14ac:dyDescent="0.25">
      <c r="A31" s="27">
        <v>44254</v>
      </c>
      <c r="B31" s="7">
        <f>'[3]Production Summary'!$U63</f>
        <v>0</v>
      </c>
      <c r="C31" s="8">
        <f t="shared" si="0"/>
        <v>0</v>
      </c>
      <c r="D31" s="10">
        <f t="shared" si="1"/>
        <v>0</v>
      </c>
      <c r="E31" s="7">
        <f>'[3]Production Summary'!$O63</f>
        <v>0</v>
      </c>
      <c r="F31" s="8">
        <f t="shared" si="2"/>
        <v>0</v>
      </c>
      <c r="G31" s="10">
        <f t="shared" si="3"/>
        <v>0</v>
      </c>
      <c r="H31" s="7">
        <f>'[3]Production Summary'!$Q63</f>
        <v>0</v>
      </c>
      <c r="I31" s="8">
        <f t="shared" si="4"/>
        <v>0</v>
      </c>
      <c r="J31" s="10">
        <f t="shared" si="5"/>
        <v>0</v>
      </c>
      <c r="K31" s="7">
        <f>'[3]Production Summary'!$T63</f>
        <v>0</v>
      </c>
      <c r="L31" s="8">
        <f t="shared" si="20"/>
        <v>0</v>
      </c>
      <c r="M31" s="10">
        <f t="shared" si="7"/>
        <v>0</v>
      </c>
      <c r="N31" s="21"/>
      <c r="O31" s="7">
        <f>'[3]Production Summary'!$AL63</f>
        <v>11763231</v>
      </c>
      <c r="P31" s="8">
        <f t="shared" si="8"/>
        <v>11.763230999999999</v>
      </c>
      <c r="Q31" s="10">
        <f t="shared" si="9"/>
        <v>36.113119169999997</v>
      </c>
      <c r="R31" s="7">
        <f>'[3]Production Summary'!$AE63</f>
        <v>6000931</v>
      </c>
      <c r="S31" s="8">
        <f t="shared" si="10"/>
        <v>6.0009309999999996</v>
      </c>
      <c r="T31" s="10">
        <f t="shared" si="11"/>
        <v>18.422858169999998</v>
      </c>
      <c r="U31" s="7">
        <f>'[3]Production Summary'!$AF63</f>
        <v>5970932</v>
      </c>
      <c r="V31" s="8">
        <f t="shared" si="12"/>
        <v>5.9709320000000004</v>
      </c>
      <c r="W31" s="10">
        <f t="shared" si="13"/>
        <v>18.330761240000001</v>
      </c>
      <c r="X31" s="7">
        <f>'[3]Production Summary'!$AJ63</f>
        <v>265000</v>
      </c>
      <c r="Y31" s="8">
        <f t="shared" si="14"/>
        <v>0.26500000000000001</v>
      </c>
      <c r="Z31" s="10">
        <f t="shared" si="15"/>
        <v>0.81355</v>
      </c>
      <c r="AA31" s="15"/>
      <c r="AB31" s="7">
        <f t="shared" si="17"/>
        <v>11763231</v>
      </c>
      <c r="AC31" s="8">
        <f t="shared" si="17"/>
        <v>11.763230999999999</v>
      </c>
      <c r="AD31" s="8">
        <f t="shared" si="17"/>
        <v>36.113119169999997</v>
      </c>
    </row>
    <row r="32" spans="1:30" x14ac:dyDescent="0.25">
      <c r="A32" s="27">
        <v>44255</v>
      </c>
      <c r="B32" s="7">
        <f>'[3]Production Summary'!$U64</f>
        <v>0</v>
      </c>
      <c r="C32" s="8">
        <f t="shared" si="0"/>
        <v>0</v>
      </c>
      <c r="D32" s="10">
        <f t="shared" si="1"/>
        <v>0</v>
      </c>
      <c r="E32" s="7">
        <f>'[3]Production Summary'!$O64</f>
        <v>0</v>
      </c>
      <c r="F32" s="8">
        <f t="shared" si="2"/>
        <v>0</v>
      </c>
      <c r="G32" s="10">
        <f t="shared" si="3"/>
        <v>0</v>
      </c>
      <c r="H32" s="7">
        <f>'[3]Production Summary'!$Q64</f>
        <v>0</v>
      </c>
      <c r="I32" s="8">
        <f t="shared" si="4"/>
        <v>0</v>
      </c>
      <c r="J32" s="10">
        <f t="shared" si="5"/>
        <v>0</v>
      </c>
      <c r="K32" s="7">
        <f>'[3]Production Summary'!$T64</f>
        <v>0</v>
      </c>
      <c r="L32" s="8">
        <f t="shared" si="20"/>
        <v>0</v>
      </c>
      <c r="M32" s="10">
        <f t="shared" si="7"/>
        <v>0</v>
      </c>
      <c r="N32" s="21"/>
      <c r="O32" s="7">
        <f>'[3]Production Summary'!$AL64</f>
        <v>11939253</v>
      </c>
      <c r="P32" s="8">
        <f t="shared" si="8"/>
        <v>11.939253000000001</v>
      </c>
      <c r="Q32" s="10">
        <f t="shared" si="9"/>
        <v>36.653506710000002</v>
      </c>
      <c r="R32" s="7">
        <f>'[3]Production Summary'!$AE64</f>
        <v>5996931</v>
      </c>
      <c r="S32" s="8">
        <f t="shared" si="10"/>
        <v>5.996931</v>
      </c>
      <c r="T32" s="10">
        <f t="shared" si="11"/>
        <v>18.410578170000001</v>
      </c>
      <c r="U32" s="7">
        <f>'[3]Production Summary'!$AF64</f>
        <v>5971933</v>
      </c>
      <c r="V32" s="8">
        <f t="shared" si="12"/>
        <v>5.9719329999999999</v>
      </c>
      <c r="W32" s="10">
        <f t="shared" si="13"/>
        <v>18.33383431</v>
      </c>
      <c r="X32" s="7">
        <f>'[3]Production Summary'!$AJ64</f>
        <v>144000</v>
      </c>
      <c r="Y32" s="8">
        <f t="shared" si="14"/>
        <v>0.14399999999999999</v>
      </c>
      <c r="Z32" s="10">
        <f t="shared" si="15"/>
        <v>0.44207999999999992</v>
      </c>
      <c r="AA32" s="15"/>
      <c r="AB32" s="7">
        <f t="shared" si="17"/>
        <v>11939253</v>
      </c>
      <c r="AC32" s="8">
        <f t="shared" si="17"/>
        <v>11.939253000000001</v>
      </c>
      <c r="AD32" s="8">
        <f t="shared" si="17"/>
        <v>36.653506710000002</v>
      </c>
    </row>
    <row r="33" spans="1:30" ht="13.8" thickBot="1" x14ac:dyDescent="0.3">
      <c r="A33" s="27"/>
      <c r="B33" s="7"/>
      <c r="C33" s="8"/>
      <c r="D33" s="10"/>
      <c r="E33" s="7"/>
      <c r="F33" s="8"/>
      <c r="G33" s="10"/>
      <c r="H33" s="7"/>
      <c r="I33" s="8"/>
      <c r="J33" s="10"/>
      <c r="K33" s="7"/>
      <c r="L33" s="8"/>
      <c r="M33" s="10"/>
      <c r="N33" s="21"/>
      <c r="O33" s="7"/>
      <c r="P33" s="8"/>
      <c r="Q33" s="10"/>
      <c r="R33" s="7"/>
      <c r="S33" s="8"/>
      <c r="T33" s="10"/>
      <c r="U33" s="7"/>
      <c r="V33" s="8"/>
      <c r="W33" s="10"/>
      <c r="X33" s="7"/>
      <c r="Y33" s="8"/>
      <c r="Z33" s="10"/>
      <c r="AA33" s="15"/>
      <c r="AB33" s="7"/>
      <c r="AC33" s="8"/>
      <c r="AD33" s="8"/>
    </row>
    <row r="34" spans="1:30" ht="13.8" thickBot="1" x14ac:dyDescent="0.3">
      <c r="A34" s="28"/>
      <c r="B34" s="37"/>
      <c r="C34" s="38">
        <f>SUM(C5:C33)</f>
        <v>0</v>
      </c>
      <c r="D34" s="38">
        <f t="shared" ref="D34:J34" si="21">SUM(D5:D33)</f>
        <v>0</v>
      </c>
      <c r="E34" s="37"/>
      <c r="F34" s="38">
        <f t="shared" si="21"/>
        <v>0</v>
      </c>
      <c r="G34" s="38">
        <f t="shared" si="21"/>
        <v>0</v>
      </c>
      <c r="H34" s="37"/>
      <c r="I34" s="38">
        <f t="shared" si="21"/>
        <v>0.01</v>
      </c>
      <c r="J34" s="38">
        <f t="shared" si="21"/>
        <v>3.0699999999999998E-2</v>
      </c>
      <c r="K34" s="37"/>
      <c r="L34" s="38">
        <f>SUM(L5:L33)</f>
        <v>0</v>
      </c>
      <c r="M34" s="38">
        <f>SUM(M5:M33)</f>
        <v>0</v>
      </c>
      <c r="N34" s="14"/>
      <c r="O34" s="37"/>
      <c r="P34" s="38">
        <f>SUM(P5:P33)</f>
        <v>341.00490600000001</v>
      </c>
      <c r="Q34" s="38">
        <f>SUM(Q5:Q33)</f>
        <v>1046.8850614199998</v>
      </c>
      <c r="R34" s="37"/>
      <c r="S34" s="38">
        <f>SUM(S5:S33)</f>
        <v>173.21548300000003</v>
      </c>
      <c r="T34" s="38">
        <f>SUM(T5:T33)</f>
        <v>531.77153280999983</v>
      </c>
      <c r="U34" s="37"/>
      <c r="V34" s="38">
        <f>SUM(V5:V33)</f>
        <v>172.30274299999999</v>
      </c>
      <c r="W34" s="38">
        <f>SUM(W5:W33)</f>
        <v>528.96942101000002</v>
      </c>
      <c r="X34" s="37"/>
      <c r="Y34" s="38">
        <f>SUM(Y5:Y33)</f>
        <v>4.3069940000000004</v>
      </c>
      <c r="Z34" s="38">
        <f>SUM(Z5:Z33)</f>
        <v>13.222471579999999</v>
      </c>
      <c r="AA34" s="14"/>
      <c r="AB34" s="37">
        <f t="shared" si="17"/>
        <v>0</v>
      </c>
      <c r="AC34" s="38">
        <f t="shared" si="17"/>
        <v>341.00490600000001</v>
      </c>
      <c r="AD34" s="38">
        <f>D34+Q34</f>
        <v>1046.8850614199998</v>
      </c>
    </row>
    <row r="35" spans="1:30" x14ac:dyDescent="0.25">
      <c r="A35" s="12"/>
      <c r="B35" s="13"/>
      <c r="C35" s="15"/>
      <c r="D35" s="15"/>
      <c r="E35" s="13"/>
      <c r="F35" s="15"/>
      <c r="G35" s="15"/>
      <c r="H35" s="13"/>
      <c r="I35" s="15"/>
      <c r="J35" s="15"/>
      <c r="K35" s="21"/>
      <c r="L35" s="13"/>
      <c r="M35" s="15"/>
      <c r="N35" s="15"/>
      <c r="O35" s="13"/>
      <c r="P35" s="15"/>
      <c r="Q35" s="15"/>
      <c r="R35" s="13"/>
      <c r="S35" s="15"/>
      <c r="T35" s="15"/>
      <c r="U35" s="15"/>
      <c r="V35" s="13"/>
      <c r="W35" s="16"/>
      <c r="X35" s="16"/>
    </row>
    <row r="36" spans="1:30" x14ac:dyDescent="0.25">
      <c r="B36" s="20"/>
      <c r="C36" s="18"/>
      <c r="E36" s="3"/>
      <c r="F36" s="3"/>
      <c r="G36" s="3"/>
      <c r="H36" s="3"/>
      <c r="I36" s="3"/>
      <c r="J36" s="3"/>
      <c r="K36" s="14"/>
      <c r="L36" s="14"/>
      <c r="M36" s="3"/>
      <c r="N36" s="3"/>
      <c r="O36" s="3"/>
      <c r="P36" s="3"/>
      <c r="Q36" s="3"/>
      <c r="R36" s="14"/>
      <c r="S36" s="3"/>
      <c r="T36" s="3"/>
      <c r="U36" s="14"/>
    </row>
    <row r="37" spans="1:30" x14ac:dyDescent="0.25">
      <c r="C37" s="18"/>
      <c r="E37" s="3"/>
      <c r="F37" s="3"/>
      <c r="G37" s="3"/>
      <c r="H37" s="3"/>
      <c r="I37" s="3"/>
      <c r="J37" s="3"/>
      <c r="K37" s="14"/>
      <c r="L37" s="3"/>
      <c r="M37" s="3"/>
      <c r="N37" s="3"/>
      <c r="O37" s="3"/>
      <c r="P37" s="3"/>
      <c r="Q37" s="3"/>
      <c r="R37" s="3"/>
      <c r="S37" s="3"/>
      <c r="T37" s="3"/>
      <c r="U37" s="14"/>
    </row>
  </sheetData>
  <mergeCells count="9">
    <mergeCell ref="AB3:AD3"/>
    <mergeCell ref="R3:T3"/>
    <mergeCell ref="U3:W3"/>
    <mergeCell ref="B3:D3"/>
    <mergeCell ref="E3:G3"/>
    <mergeCell ref="H3:J3"/>
    <mergeCell ref="O3:Q3"/>
    <mergeCell ref="X3:Z3"/>
    <mergeCell ref="K3:M3"/>
  </mergeCells>
  <phoneticPr fontId="1" type="noConversion"/>
  <pageMargins left="0.75" right="0.75" top="1" bottom="1" header="0.5" footer="0.5"/>
  <pageSetup scale="86" orientation="landscape" r:id="rId1"/>
  <headerFooter alignWithMargins="0">
    <oddFooter>&amp;R&amp;D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AF37"/>
  <sheetViews>
    <sheetView workbookViewId="0">
      <pane xSplit="1" ySplit="4" topLeftCell="H5" activePane="bottomRight" state="frozen"/>
      <selection pane="topRight" activeCell="B1" sqref="B1"/>
      <selection pane="bottomLeft" activeCell="A5" sqref="A5"/>
      <selection pane="bottomRight" activeCell="P5" sqref="P5"/>
    </sheetView>
  </sheetViews>
  <sheetFormatPr defaultRowHeight="13.2" x14ac:dyDescent="0.25"/>
  <cols>
    <col min="2" max="2" width="12.6640625" customWidth="1"/>
    <col min="5" max="5" width="11.33203125" customWidth="1"/>
    <col min="8" max="8" width="16.33203125" customWidth="1"/>
    <col min="10" max="10" width="10.6640625" customWidth="1"/>
    <col min="11" max="11" width="12.5546875" customWidth="1"/>
    <col min="12" max="12" width="10.5546875" customWidth="1"/>
    <col min="15" max="15" width="10.5546875" customWidth="1"/>
    <col min="18" max="18" width="10.6640625" customWidth="1"/>
    <col min="22" max="22" width="11.6640625" customWidth="1"/>
    <col min="28" max="28" width="13.33203125" bestFit="1" customWidth="1"/>
  </cols>
  <sheetData>
    <row r="1" spans="1:32" x14ac:dyDescent="0.25">
      <c r="A1" s="41"/>
      <c r="B1" s="54" t="s">
        <v>23</v>
      </c>
      <c r="C1" s="25"/>
      <c r="D1" s="25"/>
      <c r="E1" s="25"/>
      <c r="F1" s="25"/>
      <c r="G1" s="3"/>
      <c r="H1" s="3"/>
      <c r="I1" s="3"/>
      <c r="J1" s="3"/>
      <c r="L1" s="3"/>
      <c r="M1" s="3"/>
      <c r="N1" s="3"/>
      <c r="O1" s="3"/>
      <c r="P1" s="3"/>
      <c r="Q1" s="3"/>
      <c r="R1" s="3"/>
      <c r="S1" s="3"/>
      <c r="T1" s="3"/>
      <c r="U1" s="14"/>
      <c r="V1" s="3"/>
      <c r="W1" s="3"/>
      <c r="X1" s="3"/>
    </row>
    <row r="2" spans="1:32" ht="13.8" thickBot="1" x14ac:dyDescent="0.3">
      <c r="A2" s="3"/>
      <c r="B2" s="3"/>
      <c r="C2" s="24"/>
      <c r="D2" s="3"/>
      <c r="E2" s="3"/>
      <c r="F2" s="3"/>
      <c r="G2" s="3"/>
      <c r="H2" s="3"/>
      <c r="I2" s="3"/>
      <c r="J2" s="3"/>
      <c r="K2" s="14"/>
      <c r="L2" s="3"/>
      <c r="M2" s="3"/>
      <c r="N2" s="3"/>
      <c r="O2" s="3"/>
      <c r="P2" s="3"/>
      <c r="Q2" s="3"/>
      <c r="R2" s="3"/>
      <c r="S2" s="3"/>
      <c r="T2" s="3"/>
      <c r="U2" s="14"/>
      <c r="V2" s="3"/>
      <c r="W2" s="3"/>
      <c r="X2" s="3"/>
    </row>
    <row r="3" spans="1:32" ht="60.75" customHeight="1" thickBot="1" x14ac:dyDescent="0.3">
      <c r="A3" s="3"/>
      <c r="B3" s="68" t="s">
        <v>9</v>
      </c>
      <c r="C3" s="69"/>
      <c r="D3" s="70"/>
      <c r="E3" s="68" t="s">
        <v>10</v>
      </c>
      <c r="F3" s="69"/>
      <c r="G3" s="70"/>
      <c r="H3" s="68" t="s">
        <v>11</v>
      </c>
      <c r="I3" s="69"/>
      <c r="J3" s="70"/>
      <c r="K3" s="68" t="s">
        <v>12</v>
      </c>
      <c r="L3" s="69"/>
      <c r="M3" s="70"/>
      <c r="N3" s="19"/>
      <c r="O3" s="68" t="s">
        <v>4</v>
      </c>
      <c r="P3" s="69"/>
      <c r="Q3" s="70"/>
      <c r="R3" s="68" t="s">
        <v>3</v>
      </c>
      <c r="S3" s="69"/>
      <c r="T3" s="70"/>
      <c r="U3" s="68" t="s">
        <v>5</v>
      </c>
      <c r="V3" s="69"/>
      <c r="W3" s="70"/>
      <c r="X3" s="68" t="s">
        <v>6</v>
      </c>
      <c r="Y3" s="69"/>
      <c r="Z3" s="70"/>
      <c r="AA3" s="19"/>
      <c r="AB3" s="65" t="s">
        <v>7</v>
      </c>
      <c r="AC3" s="66"/>
      <c r="AD3" s="67"/>
      <c r="AF3" s="33" t="s">
        <v>8</v>
      </c>
    </row>
    <row r="4" spans="1:32" x14ac:dyDescent="0.25">
      <c r="A4" s="26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19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19"/>
      <c r="AB4" s="30" t="s">
        <v>0</v>
      </c>
      <c r="AC4" s="31" t="s">
        <v>1</v>
      </c>
      <c r="AD4" s="32" t="s">
        <v>2</v>
      </c>
      <c r="AF4" s="5" t="s">
        <v>2</v>
      </c>
    </row>
    <row r="5" spans="1:32" x14ac:dyDescent="0.25">
      <c r="A5" s="27">
        <v>43160</v>
      </c>
      <c r="B5" s="7">
        <f>'[3]Production Summary'!$U65</f>
        <v>0</v>
      </c>
      <c r="C5" s="8">
        <f>B5/1000000</f>
        <v>0</v>
      </c>
      <c r="D5" s="10">
        <f t="shared" ref="D5:D35" si="0">C5*3.07</f>
        <v>0</v>
      </c>
      <c r="E5" s="7">
        <f>'[3]Production Summary'!$O65</f>
        <v>0</v>
      </c>
      <c r="F5" s="8">
        <f>E5/1000000</f>
        <v>0</v>
      </c>
      <c r="G5" s="10">
        <f>F5*3.07</f>
        <v>0</v>
      </c>
      <c r="H5" s="7">
        <f>'[3]Production Summary'!$Q65</f>
        <v>0</v>
      </c>
      <c r="I5" s="8">
        <f>H5/1000000</f>
        <v>0</v>
      </c>
      <c r="J5" s="10">
        <f>I5*3.07</f>
        <v>0</v>
      </c>
      <c r="K5" s="7">
        <f>'[3]Production Summary'!$T65</f>
        <v>0</v>
      </c>
      <c r="L5" s="8">
        <f>K5/1000000</f>
        <v>0</v>
      </c>
      <c r="M5" s="10">
        <f>L5*3.07</f>
        <v>0</v>
      </c>
      <c r="N5" s="21"/>
      <c r="O5" s="7">
        <f>'[3]Production Summary'!$AL65</f>
        <v>12769602</v>
      </c>
      <c r="P5" s="8">
        <f>O5/1000000</f>
        <v>12.769602000000001</v>
      </c>
      <c r="Q5" s="10">
        <f>P5*3.07</f>
        <v>39.202678140000003</v>
      </c>
      <c r="R5" s="7">
        <f>'[3]Production Summary'!$AE65</f>
        <v>6427900</v>
      </c>
      <c r="S5" s="8">
        <f>R5/1000000</f>
        <v>6.4279000000000002</v>
      </c>
      <c r="T5" s="10">
        <f>S5*3.07</f>
        <v>19.733653</v>
      </c>
      <c r="U5" s="7">
        <f>'[3]Production Summary'!$AF65</f>
        <v>6401901</v>
      </c>
      <c r="V5" s="8">
        <f>U5/1000000</f>
        <v>6.4019009999999996</v>
      </c>
      <c r="W5" s="10">
        <f>V5*3.07</f>
        <v>19.653836069999997</v>
      </c>
      <c r="X5" s="7">
        <f>'[3]Production Summary'!$AJ65</f>
        <v>178000</v>
      </c>
      <c r="Y5" s="8">
        <f>X5/1000000</f>
        <v>0.17799999999999999</v>
      </c>
      <c r="Z5" s="10">
        <f>Y5*3.07</f>
        <v>0.54645999999999995</v>
      </c>
      <c r="AA5" s="15"/>
      <c r="AB5" s="7">
        <f>B5+O5</f>
        <v>12769602</v>
      </c>
      <c r="AC5" s="8">
        <f>C5+P5</f>
        <v>12.769602000000001</v>
      </c>
      <c r="AD5" s="8">
        <f>D5+Q5</f>
        <v>39.202678140000003</v>
      </c>
      <c r="AF5" s="8">
        <f>T5-Q5-Z5</f>
        <v>-20.015485140000003</v>
      </c>
    </row>
    <row r="6" spans="1:32" x14ac:dyDescent="0.25">
      <c r="A6" s="27">
        <v>43161</v>
      </c>
      <c r="B6" s="7">
        <f>'[3]Production Summary'!$U66</f>
        <v>0</v>
      </c>
      <c r="C6" s="8">
        <f t="shared" ref="C6:C35" si="1">B6/1000000</f>
        <v>0</v>
      </c>
      <c r="D6" s="10">
        <f t="shared" si="0"/>
        <v>0</v>
      </c>
      <c r="E6" s="7">
        <f>'[3]Production Summary'!$O66</f>
        <v>0</v>
      </c>
      <c r="F6" s="8">
        <f t="shared" ref="F6:F35" si="2">E6/1000000</f>
        <v>0</v>
      </c>
      <c r="G6" s="10">
        <f t="shared" ref="G6:G35" si="3">F6*3.07</f>
        <v>0</v>
      </c>
      <c r="H6" s="7">
        <f>'[3]Production Summary'!$Q66</f>
        <v>650000</v>
      </c>
      <c r="I6" s="8">
        <f t="shared" ref="I6:I35" si="4">H6/1000000</f>
        <v>0.65</v>
      </c>
      <c r="J6" s="10">
        <f t="shared" ref="J6:J35" si="5">I6*3.07</f>
        <v>1.9955000000000001</v>
      </c>
      <c r="K6" s="7">
        <f>'[3]Production Summary'!$T66</f>
        <v>0</v>
      </c>
      <c r="L6" s="8">
        <f t="shared" ref="L6:L35" si="6">K6/1000000</f>
        <v>0</v>
      </c>
      <c r="M6" s="10">
        <f t="shared" ref="M6:M35" si="7">L6*3.07</f>
        <v>0</v>
      </c>
      <c r="N6" s="21"/>
      <c r="O6" s="7">
        <f>'[3]Production Summary'!$AL66</f>
        <v>12978726</v>
      </c>
      <c r="P6" s="8">
        <f t="shared" ref="P6:P35" si="8">O6/1000000</f>
        <v>12.978726</v>
      </c>
      <c r="Q6" s="10">
        <f t="shared" ref="Q6:Q35" si="9">P6*3.07</f>
        <v>39.844688819999995</v>
      </c>
      <c r="R6" s="7">
        <f>'[3]Production Summary'!$AE66</f>
        <v>6592887</v>
      </c>
      <c r="S6" s="8">
        <f t="shared" ref="S6:S35" si="10">R6/1000000</f>
        <v>6.5928870000000002</v>
      </c>
      <c r="T6" s="10">
        <f t="shared" ref="T6:T35" si="11">S6*3.07</f>
        <v>20.240163089999999</v>
      </c>
      <c r="U6" s="7">
        <f>'[3]Production Summary'!$AF66</f>
        <v>6575889</v>
      </c>
      <c r="V6" s="8">
        <f t="shared" ref="V6:V35" si="12">U6/1000000</f>
        <v>6.5758890000000001</v>
      </c>
      <c r="W6" s="10">
        <f t="shared" ref="W6:W35" si="13">V6*3.07</f>
        <v>20.18797923</v>
      </c>
      <c r="X6" s="7">
        <f>'[3]Production Summary'!$AJ66</f>
        <v>283000</v>
      </c>
      <c r="Y6" s="8">
        <f t="shared" ref="Y6:Y35" si="14">X6/1000000</f>
        <v>0.28299999999999997</v>
      </c>
      <c r="Z6" s="10">
        <f t="shared" ref="Z6:Z35" si="15">Y6*3.07</f>
        <v>0.86880999999999986</v>
      </c>
      <c r="AA6" s="15"/>
      <c r="AB6" s="7">
        <f t="shared" ref="AB6:AD35" si="16">B6+O6</f>
        <v>12978726</v>
      </c>
      <c r="AC6" s="8">
        <f t="shared" si="16"/>
        <v>12.978726</v>
      </c>
      <c r="AD6" s="8">
        <f t="shared" si="16"/>
        <v>39.844688819999995</v>
      </c>
      <c r="AF6" s="8">
        <f>T6-Q6-Z6</f>
        <v>-20.473335729999995</v>
      </c>
    </row>
    <row r="7" spans="1:32" x14ac:dyDescent="0.25">
      <c r="A7" s="27">
        <v>43162</v>
      </c>
      <c r="B7" s="7">
        <f>'[3]Production Summary'!$U67</f>
        <v>0</v>
      </c>
      <c r="C7" s="8">
        <f t="shared" si="1"/>
        <v>0</v>
      </c>
      <c r="D7" s="10">
        <f t="shared" si="0"/>
        <v>0</v>
      </c>
      <c r="E7" s="7">
        <f>'[3]Production Summary'!$O67</f>
        <v>0</v>
      </c>
      <c r="F7" s="8">
        <f t="shared" si="2"/>
        <v>0</v>
      </c>
      <c r="G7" s="10">
        <f t="shared" si="3"/>
        <v>0</v>
      </c>
      <c r="H7" s="7">
        <f>'[3]Production Summary'!$Q67</f>
        <v>0</v>
      </c>
      <c r="I7" s="8">
        <f t="shared" si="4"/>
        <v>0</v>
      </c>
      <c r="J7" s="10">
        <f t="shared" si="5"/>
        <v>0</v>
      </c>
      <c r="K7" s="7">
        <f>'[3]Production Summary'!$T67</f>
        <v>0</v>
      </c>
      <c r="L7" s="8">
        <f t="shared" si="6"/>
        <v>0</v>
      </c>
      <c r="M7" s="10">
        <f t="shared" si="7"/>
        <v>0</v>
      </c>
      <c r="N7" s="21"/>
      <c r="O7" s="7">
        <f>'[3]Production Summary'!$AL67</f>
        <v>12039298</v>
      </c>
      <c r="P7" s="8">
        <f t="shared" si="8"/>
        <v>12.039298</v>
      </c>
      <c r="Q7" s="10">
        <f t="shared" si="9"/>
        <v>36.960644860000002</v>
      </c>
      <c r="R7" s="7">
        <f>'[3]Production Summary'!$AE67</f>
        <v>6016930</v>
      </c>
      <c r="S7" s="8">
        <f t="shared" si="10"/>
        <v>6.0169300000000003</v>
      </c>
      <c r="T7" s="10">
        <f t="shared" si="11"/>
        <v>18.471975100000002</v>
      </c>
      <c r="U7" s="7">
        <f>'[3]Production Summary'!$AF67</f>
        <v>5999930</v>
      </c>
      <c r="V7" s="8">
        <f t="shared" si="12"/>
        <v>5.99993</v>
      </c>
      <c r="W7" s="10">
        <f t="shared" si="13"/>
        <v>18.419785099999999</v>
      </c>
      <c r="X7" s="7">
        <f>'[3]Production Summary'!$AJ67</f>
        <v>156000</v>
      </c>
      <c r="Y7" s="8">
        <f t="shared" si="14"/>
        <v>0.156</v>
      </c>
      <c r="Z7" s="10">
        <f t="shared" si="15"/>
        <v>0.47891999999999996</v>
      </c>
      <c r="AA7" s="15"/>
      <c r="AB7" s="7">
        <f t="shared" si="16"/>
        <v>12039298</v>
      </c>
      <c r="AC7" s="8">
        <f t="shared" si="16"/>
        <v>12.039298</v>
      </c>
      <c r="AD7" s="8">
        <f t="shared" si="16"/>
        <v>36.960644860000002</v>
      </c>
      <c r="AF7" s="8">
        <f t="shared" ref="AF7:AF14" si="17">T7-Q7-Z7</f>
        <v>-18.967589759999999</v>
      </c>
    </row>
    <row r="8" spans="1:32" x14ac:dyDescent="0.25">
      <c r="A8" s="27">
        <v>43163</v>
      </c>
      <c r="B8" s="7">
        <f>'[3]Production Summary'!$U68</f>
        <v>0</v>
      </c>
      <c r="C8" s="8">
        <f t="shared" si="1"/>
        <v>0</v>
      </c>
      <c r="D8" s="10">
        <f t="shared" si="0"/>
        <v>0</v>
      </c>
      <c r="E8" s="7">
        <f>'[3]Production Summary'!$O68</f>
        <v>1000000</v>
      </c>
      <c r="F8" s="8">
        <f t="shared" si="2"/>
        <v>1</v>
      </c>
      <c r="G8" s="10">
        <f t="shared" si="3"/>
        <v>3.07</v>
      </c>
      <c r="H8" s="7">
        <f>'[3]Production Summary'!$Q68</f>
        <v>0</v>
      </c>
      <c r="I8" s="8">
        <f t="shared" si="4"/>
        <v>0</v>
      </c>
      <c r="J8" s="10">
        <f t="shared" si="5"/>
        <v>0</v>
      </c>
      <c r="K8" s="7">
        <f>'[3]Production Summary'!$T68</f>
        <v>0</v>
      </c>
      <c r="L8" s="8">
        <f t="shared" si="6"/>
        <v>0</v>
      </c>
      <c r="M8" s="10">
        <f t="shared" si="7"/>
        <v>0</v>
      </c>
      <c r="N8" s="21"/>
      <c r="O8" s="7">
        <f>'[3]Production Summary'!$AL68</f>
        <v>11594139</v>
      </c>
      <c r="P8" s="8">
        <f t="shared" si="8"/>
        <v>11.594139</v>
      </c>
      <c r="Q8" s="10">
        <f t="shared" si="9"/>
        <v>35.594006729999997</v>
      </c>
      <c r="R8" s="7">
        <f>'[3]Production Summary'!$AE68</f>
        <v>5836943</v>
      </c>
      <c r="S8" s="8">
        <f t="shared" si="10"/>
        <v>5.8369429999999998</v>
      </c>
      <c r="T8" s="10">
        <f t="shared" si="11"/>
        <v>17.919415009999998</v>
      </c>
      <c r="U8" s="7">
        <f>'[3]Production Summary'!$AF68</f>
        <v>5817944</v>
      </c>
      <c r="V8" s="8">
        <f t="shared" si="12"/>
        <v>5.8179439999999998</v>
      </c>
      <c r="W8" s="10">
        <f t="shared" si="13"/>
        <v>17.861088079999998</v>
      </c>
      <c r="X8" s="7">
        <f>'[3]Production Summary'!$AJ68</f>
        <v>207000</v>
      </c>
      <c r="Y8" s="8">
        <f t="shared" si="14"/>
        <v>0.20699999999999999</v>
      </c>
      <c r="Z8" s="10">
        <f t="shared" si="15"/>
        <v>0.63548999999999989</v>
      </c>
      <c r="AA8" s="15"/>
      <c r="AB8" s="7">
        <f t="shared" si="16"/>
        <v>11594139</v>
      </c>
      <c r="AC8" s="8">
        <f t="shared" si="16"/>
        <v>11.594139</v>
      </c>
      <c r="AD8" s="8">
        <f>D8+Q8</f>
        <v>35.594006729999997</v>
      </c>
      <c r="AF8" s="8">
        <f t="shared" si="17"/>
        <v>-18.310081719999999</v>
      </c>
    </row>
    <row r="9" spans="1:32" x14ac:dyDescent="0.25">
      <c r="A9" s="27">
        <v>43164</v>
      </c>
      <c r="B9" s="7">
        <f>'[3]Production Summary'!$U69</f>
        <v>0</v>
      </c>
      <c r="C9" s="8">
        <f t="shared" si="1"/>
        <v>0</v>
      </c>
      <c r="D9" s="10">
        <f t="shared" si="0"/>
        <v>0</v>
      </c>
      <c r="E9" s="7">
        <f>'[3]Production Summary'!$O69</f>
        <v>0</v>
      </c>
      <c r="F9" s="8">
        <f t="shared" si="2"/>
        <v>0</v>
      </c>
      <c r="G9" s="10">
        <f t="shared" si="3"/>
        <v>0</v>
      </c>
      <c r="H9" s="7">
        <f>'[3]Production Summary'!$Q69</f>
        <v>0</v>
      </c>
      <c r="I9" s="8">
        <f t="shared" si="4"/>
        <v>0</v>
      </c>
      <c r="J9" s="10">
        <f t="shared" si="5"/>
        <v>0</v>
      </c>
      <c r="K9" s="7">
        <f>'[3]Production Summary'!$T69</f>
        <v>0</v>
      </c>
      <c r="L9" s="8">
        <f t="shared" si="6"/>
        <v>0</v>
      </c>
      <c r="M9" s="10">
        <f t="shared" si="7"/>
        <v>0</v>
      </c>
      <c r="N9" s="21"/>
      <c r="O9" s="7">
        <f>'[3]Production Summary'!$AL69</f>
        <v>10931926</v>
      </c>
      <c r="P9" s="8">
        <f t="shared" si="8"/>
        <v>10.931926000000001</v>
      </c>
      <c r="Q9" s="10">
        <f t="shared" si="9"/>
        <v>33.561012820000002</v>
      </c>
      <c r="R9" s="7">
        <f>'[3]Production Summary'!$AE69</f>
        <v>5590960</v>
      </c>
      <c r="S9" s="8">
        <f t="shared" si="10"/>
        <v>5.5909599999999999</v>
      </c>
      <c r="T9" s="10">
        <f t="shared" si="11"/>
        <v>17.164247199999998</v>
      </c>
      <c r="U9" s="7">
        <f>'[3]Production Summary'!$AF69</f>
        <v>5566962</v>
      </c>
      <c r="V9" s="8">
        <f t="shared" si="12"/>
        <v>5.5669620000000002</v>
      </c>
      <c r="W9" s="10">
        <f t="shared" si="13"/>
        <v>17.090573339999999</v>
      </c>
      <c r="X9" s="7">
        <f>'[3]Production Summary'!$AJ69</f>
        <v>340999</v>
      </c>
      <c r="Y9" s="8">
        <f t="shared" si="14"/>
        <v>0.340999</v>
      </c>
      <c r="Z9" s="10">
        <f t="shared" si="15"/>
        <v>1.04686693</v>
      </c>
      <c r="AA9" s="15"/>
      <c r="AB9" s="7">
        <f t="shared" si="16"/>
        <v>10931926</v>
      </c>
      <c r="AC9" s="8">
        <f t="shared" si="16"/>
        <v>10.931926000000001</v>
      </c>
      <c r="AD9" s="8">
        <f t="shared" si="16"/>
        <v>33.561012820000002</v>
      </c>
      <c r="AF9" s="8">
        <f t="shared" si="17"/>
        <v>-17.443632550000004</v>
      </c>
    </row>
    <row r="10" spans="1:32" x14ac:dyDescent="0.25">
      <c r="A10" s="27">
        <v>43165</v>
      </c>
      <c r="B10" s="7">
        <f>'[3]Production Summary'!$U70</f>
        <v>0</v>
      </c>
      <c r="C10" s="8">
        <f t="shared" si="1"/>
        <v>0</v>
      </c>
      <c r="D10" s="10">
        <f t="shared" si="0"/>
        <v>0</v>
      </c>
      <c r="E10" s="7">
        <f>'[3]Production Summary'!$O70</f>
        <v>0</v>
      </c>
      <c r="F10" s="8">
        <f t="shared" si="2"/>
        <v>0</v>
      </c>
      <c r="G10" s="10">
        <f t="shared" si="3"/>
        <v>0</v>
      </c>
      <c r="H10" s="7">
        <f>'[3]Production Summary'!$Q70</f>
        <v>0</v>
      </c>
      <c r="I10" s="8">
        <f t="shared" si="4"/>
        <v>0</v>
      </c>
      <c r="J10" s="10">
        <f t="shared" si="5"/>
        <v>0</v>
      </c>
      <c r="K10" s="7">
        <f>'[3]Production Summary'!$T70</f>
        <v>0</v>
      </c>
      <c r="L10" s="8">
        <f t="shared" si="6"/>
        <v>0</v>
      </c>
      <c r="M10" s="10">
        <f t="shared" si="7"/>
        <v>0</v>
      </c>
      <c r="N10" s="21"/>
      <c r="O10" s="7">
        <f>'[3]Production Summary'!$AL70</f>
        <v>12215389</v>
      </c>
      <c r="P10" s="8">
        <f t="shared" si="8"/>
        <v>12.215389</v>
      </c>
      <c r="Q10" s="10">
        <f t="shared" si="9"/>
        <v>37.501244229999998</v>
      </c>
      <c r="R10" s="7">
        <f>'[3]Production Summary'!$AE70</f>
        <v>6073925</v>
      </c>
      <c r="S10" s="8">
        <f t="shared" si="10"/>
        <v>6.073925</v>
      </c>
      <c r="T10" s="10">
        <f t="shared" si="11"/>
        <v>18.646949749999997</v>
      </c>
      <c r="U10" s="7">
        <f>'[3]Production Summary'!$AF70</f>
        <v>6194916</v>
      </c>
      <c r="V10" s="8">
        <f t="shared" si="12"/>
        <v>6.1949160000000001</v>
      </c>
      <c r="W10" s="10">
        <f t="shared" si="13"/>
        <v>19.018392119999998</v>
      </c>
      <c r="X10" s="7">
        <f>'[3]Production Summary'!$AJ70</f>
        <v>205000</v>
      </c>
      <c r="Y10" s="8">
        <f t="shared" si="14"/>
        <v>0.20499999999999999</v>
      </c>
      <c r="Z10" s="10">
        <f t="shared" si="15"/>
        <v>0.62934999999999997</v>
      </c>
      <c r="AA10" s="15"/>
      <c r="AB10" s="7">
        <f t="shared" si="16"/>
        <v>12215389</v>
      </c>
      <c r="AC10" s="8">
        <f t="shared" si="16"/>
        <v>12.215389</v>
      </c>
      <c r="AD10" s="8">
        <f t="shared" si="16"/>
        <v>37.501244229999998</v>
      </c>
      <c r="AF10" s="8">
        <f t="shared" si="17"/>
        <v>-19.483644479999999</v>
      </c>
    </row>
    <row r="11" spans="1:32" x14ac:dyDescent="0.25">
      <c r="A11" s="27">
        <v>43166</v>
      </c>
      <c r="B11" s="7">
        <f>'[3]Production Summary'!$U71</f>
        <v>0</v>
      </c>
      <c r="C11" s="8">
        <f t="shared" si="1"/>
        <v>0</v>
      </c>
      <c r="D11" s="10">
        <f t="shared" si="0"/>
        <v>0</v>
      </c>
      <c r="E11" s="7">
        <f>'[3]Production Summary'!$O71</f>
        <v>0</v>
      </c>
      <c r="F11" s="8">
        <f t="shared" si="2"/>
        <v>0</v>
      </c>
      <c r="G11" s="10">
        <f t="shared" si="3"/>
        <v>0</v>
      </c>
      <c r="H11" s="7">
        <f>'[3]Production Summary'!$Q71</f>
        <v>0</v>
      </c>
      <c r="I11" s="8">
        <f t="shared" si="4"/>
        <v>0</v>
      </c>
      <c r="J11" s="10">
        <f t="shared" si="5"/>
        <v>0</v>
      </c>
      <c r="K11" s="7">
        <f>'[3]Production Summary'!$T71</f>
        <v>0</v>
      </c>
      <c r="L11" s="8">
        <f t="shared" si="6"/>
        <v>0</v>
      </c>
      <c r="M11" s="10">
        <f t="shared" si="7"/>
        <v>0</v>
      </c>
      <c r="N11" s="21"/>
      <c r="O11" s="7">
        <f>'[3]Production Summary'!$AL71</f>
        <v>11960275</v>
      </c>
      <c r="P11" s="8">
        <f t="shared" si="8"/>
        <v>11.960274999999999</v>
      </c>
      <c r="Q11" s="10">
        <f t="shared" si="9"/>
        <v>36.718044249999998</v>
      </c>
      <c r="R11" s="7">
        <f>'[3]Production Summary'!$AE71</f>
        <v>6000931</v>
      </c>
      <c r="S11" s="8">
        <f t="shared" si="10"/>
        <v>6.0009309999999996</v>
      </c>
      <c r="T11" s="10">
        <f t="shared" si="11"/>
        <v>18.422858169999998</v>
      </c>
      <c r="U11" s="7">
        <f>'[3]Production Summary'!$AF71</f>
        <v>5948934</v>
      </c>
      <c r="V11" s="8">
        <f t="shared" si="12"/>
        <v>5.9489340000000004</v>
      </c>
      <c r="W11" s="10">
        <f t="shared" si="13"/>
        <v>18.26322738</v>
      </c>
      <c r="X11" s="7">
        <f>'[3]Production Summary'!$AJ71</f>
        <v>177000</v>
      </c>
      <c r="Y11" s="8">
        <f t="shared" si="14"/>
        <v>0.17699999999999999</v>
      </c>
      <c r="Z11" s="10">
        <f t="shared" si="15"/>
        <v>0.54338999999999993</v>
      </c>
      <c r="AA11" s="15"/>
      <c r="AB11" s="7">
        <f t="shared" si="16"/>
        <v>11960275</v>
      </c>
      <c r="AC11" s="8">
        <f t="shared" si="16"/>
        <v>11.960274999999999</v>
      </c>
      <c r="AD11" s="8">
        <f t="shared" si="16"/>
        <v>36.718044249999998</v>
      </c>
      <c r="AF11" s="8">
        <f t="shared" si="17"/>
        <v>-18.838576079999999</v>
      </c>
    </row>
    <row r="12" spans="1:32" x14ac:dyDescent="0.25">
      <c r="A12" s="27">
        <v>43167</v>
      </c>
      <c r="B12" s="7">
        <f>'[3]Production Summary'!$U72</f>
        <v>0</v>
      </c>
      <c r="C12" s="8">
        <f t="shared" si="1"/>
        <v>0</v>
      </c>
      <c r="D12" s="10">
        <f t="shared" si="0"/>
        <v>0</v>
      </c>
      <c r="E12" s="7">
        <f>'[3]Production Summary'!$O72</f>
        <v>0</v>
      </c>
      <c r="F12" s="8">
        <f t="shared" si="2"/>
        <v>0</v>
      </c>
      <c r="G12" s="10">
        <f t="shared" si="3"/>
        <v>0</v>
      </c>
      <c r="H12" s="7">
        <f>'[3]Production Summary'!$Q72</f>
        <v>10000</v>
      </c>
      <c r="I12" s="8">
        <f t="shared" si="4"/>
        <v>0.01</v>
      </c>
      <c r="J12" s="10">
        <f t="shared" si="5"/>
        <v>3.0699999999999998E-2</v>
      </c>
      <c r="K12" s="7">
        <f>'[3]Production Summary'!$T72</f>
        <v>0</v>
      </c>
      <c r="L12" s="8">
        <f t="shared" si="6"/>
        <v>0</v>
      </c>
      <c r="M12" s="10">
        <f t="shared" si="7"/>
        <v>0</v>
      </c>
      <c r="N12" s="21"/>
      <c r="O12" s="7">
        <f>'[3]Production Summary'!$AL72</f>
        <v>13358839</v>
      </c>
      <c r="P12" s="8">
        <f t="shared" si="8"/>
        <v>13.358839</v>
      </c>
      <c r="Q12" s="10">
        <f t="shared" si="9"/>
        <v>41.011635729999995</v>
      </c>
      <c r="R12" s="7">
        <f>'[3]Production Summary'!$AE72</f>
        <v>6736877</v>
      </c>
      <c r="S12" s="8">
        <f t="shared" si="10"/>
        <v>6.7368769999999998</v>
      </c>
      <c r="T12" s="10">
        <f t="shared" si="11"/>
        <v>20.682212389999997</v>
      </c>
      <c r="U12" s="7">
        <f>'[3]Production Summary'!$AF72</f>
        <v>6710879</v>
      </c>
      <c r="V12" s="8">
        <f t="shared" si="12"/>
        <v>6.7108790000000003</v>
      </c>
      <c r="W12" s="10">
        <f t="shared" si="13"/>
        <v>20.602398529999999</v>
      </c>
      <c r="X12" s="7">
        <f>'[3]Production Summary'!$AJ72</f>
        <v>174000</v>
      </c>
      <c r="Y12" s="8">
        <f t="shared" si="14"/>
        <v>0.17399999999999999</v>
      </c>
      <c r="Z12" s="10">
        <f t="shared" si="15"/>
        <v>0.53417999999999999</v>
      </c>
      <c r="AA12" s="15"/>
      <c r="AB12" s="7">
        <f t="shared" si="16"/>
        <v>13358839</v>
      </c>
      <c r="AC12" s="8">
        <f t="shared" si="16"/>
        <v>13.358839</v>
      </c>
      <c r="AD12" s="8">
        <f t="shared" si="16"/>
        <v>41.011635729999995</v>
      </c>
      <c r="AF12" s="8">
        <f t="shared" si="17"/>
        <v>-20.863603339999997</v>
      </c>
    </row>
    <row r="13" spans="1:32" x14ac:dyDescent="0.25">
      <c r="A13" s="27">
        <v>43168</v>
      </c>
      <c r="B13" s="7">
        <f>'[3]Production Summary'!$U73</f>
        <v>0</v>
      </c>
      <c r="C13" s="8">
        <f t="shared" si="1"/>
        <v>0</v>
      </c>
      <c r="D13" s="10">
        <f t="shared" si="0"/>
        <v>0</v>
      </c>
      <c r="E13" s="7">
        <f>'[3]Production Summary'!$O73</f>
        <v>0</v>
      </c>
      <c r="F13" s="8">
        <f t="shared" si="2"/>
        <v>0</v>
      </c>
      <c r="G13" s="10">
        <f t="shared" si="3"/>
        <v>0</v>
      </c>
      <c r="H13" s="7">
        <f>'[3]Production Summary'!$Q73</f>
        <v>0</v>
      </c>
      <c r="I13" s="8">
        <f t="shared" si="4"/>
        <v>0</v>
      </c>
      <c r="J13" s="10">
        <f t="shared" si="5"/>
        <v>0</v>
      </c>
      <c r="K13" s="7">
        <f>'[3]Production Summary'!$T73</f>
        <v>0</v>
      </c>
      <c r="L13" s="8">
        <f t="shared" si="6"/>
        <v>0</v>
      </c>
      <c r="M13" s="10">
        <f t="shared" si="7"/>
        <v>0</v>
      </c>
      <c r="N13" s="21"/>
      <c r="O13" s="7">
        <f>'[3]Production Summary'!$AL73</f>
        <v>10174651</v>
      </c>
      <c r="P13" s="8">
        <f t="shared" si="8"/>
        <v>10.174651000000001</v>
      </c>
      <c r="Q13" s="10">
        <f t="shared" si="9"/>
        <v>31.23617857</v>
      </c>
      <c r="R13" s="7">
        <f>'[3]Production Summary'!$AE73</f>
        <v>5243985</v>
      </c>
      <c r="S13" s="8">
        <f t="shared" si="10"/>
        <v>5.2439850000000003</v>
      </c>
      <c r="T13" s="10">
        <f t="shared" si="11"/>
        <v>16.099033949999999</v>
      </c>
      <c r="U13" s="7">
        <f>'[3]Production Summary'!$AF73</f>
        <v>5238985</v>
      </c>
      <c r="V13" s="8">
        <f t="shared" si="12"/>
        <v>5.2389849999999996</v>
      </c>
      <c r="W13" s="10">
        <f t="shared" si="13"/>
        <v>16.083683949999998</v>
      </c>
      <c r="X13" s="7">
        <f>'[3]Production Summary'!$AJ73</f>
        <v>414998</v>
      </c>
      <c r="Y13" s="8">
        <f t="shared" si="14"/>
        <v>0.41499799999999998</v>
      </c>
      <c r="Z13" s="10">
        <f t="shared" si="15"/>
        <v>1.2740438599999999</v>
      </c>
      <c r="AA13" s="15"/>
      <c r="AB13" s="7">
        <f t="shared" si="16"/>
        <v>10174651</v>
      </c>
      <c r="AC13" s="8">
        <f t="shared" si="16"/>
        <v>10.174651000000001</v>
      </c>
      <c r="AD13" s="8">
        <f>D13+Q13</f>
        <v>31.23617857</v>
      </c>
      <c r="AF13" s="8">
        <f t="shared" si="17"/>
        <v>-16.41118848</v>
      </c>
    </row>
    <row r="14" spans="1:32" x14ac:dyDescent="0.25">
      <c r="A14" s="27">
        <v>43169</v>
      </c>
      <c r="B14" s="7">
        <f>'[3]Production Summary'!$U74</f>
        <v>0</v>
      </c>
      <c r="C14" s="8">
        <f t="shared" si="1"/>
        <v>0</v>
      </c>
      <c r="D14" s="10">
        <f t="shared" si="0"/>
        <v>0</v>
      </c>
      <c r="E14" s="7">
        <f>'[3]Production Summary'!$O74</f>
        <v>0</v>
      </c>
      <c r="F14" s="8">
        <f t="shared" si="2"/>
        <v>0</v>
      </c>
      <c r="G14" s="10">
        <f t="shared" si="3"/>
        <v>0</v>
      </c>
      <c r="H14" s="7">
        <f>'[3]Production Summary'!$Q74</f>
        <v>0</v>
      </c>
      <c r="I14" s="8">
        <f t="shared" si="4"/>
        <v>0</v>
      </c>
      <c r="J14" s="10">
        <f t="shared" si="5"/>
        <v>0</v>
      </c>
      <c r="K14" s="7">
        <f>'[3]Production Summary'!$T74</f>
        <v>0</v>
      </c>
      <c r="L14" s="8">
        <f t="shared" si="6"/>
        <v>0</v>
      </c>
      <c r="M14" s="10">
        <f t="shared" si="7"/>
        <v>0</v>
      </c>
      <c r="N14" s="21"/>
      <c r="O14" s="7">
        <f>'[3]Production Summary'!$AL74</f>
        <v>10805790</v>
      </c>
      <c r="P14" s="8">
        <f t="shared" si="8"/>
        <v>10.80579</v>
      </c>
      <c r="Q14" s="10">
        <f t="shared" si="9"/>
        <v>33.173775299999996</v>
      </c>
      <c r="R14" s="7">
        <f>'[3]Production Summary'!$AE74</f>
        <v>5441971</v>
      </c>
      <c r="S14" s="8">
        <f t="shared" si="10"/>
        <v>5.4419709999999997</v>
      </c>
      <c r="T14" s="10">
        <f t="shared" si="11"/>
        <v>16.706850969999998</v>
      </c>
      <c r="U14" s="7">
        <f>'[3]Production Summary'!$AF74</f>
        <v>5392975</v>
      </c>
      <c r="V14" s="8">
        <f t="shared" si="12"/>
        <v>5.3929749999999999</v>
      </c>
      <c r="W14" s="10">
        <f t="shared" si="13"/>
        <v>16.556433249999998</v>
      </c>
      <c r="X14" s="7">
        <f>'[3]Production Summary'!$AJ74</f>
        <v>133000</v>
      </c>
      <c r="Y14" s="8">
        <f t="shared" si="14"/>
        <v>0.13300000000000001</v>
      </c>
      <c r="Z14" s="10">
        <f t="shared" si="15"/>
        <v>0.40831000000000001</v>
      </c>
      <c r="AA14" s="15"/>
      <c r="AB14" s="7">
        <f t="shared" si="16"/>
        <v>10805790</v>
      </c>
      <c r="AC14" s="8">
        <f t="shared" si="16"/>
        <v>10.80579</v>
      </c>
      <c r="AD14" s="8">
        <f t="shared" si="16"/>
        <v>33.173775299999996</v>
      </c>
      <c r="AF14" s="8">
        <f t="shared" si="17"/>
        <v>-16.875234329999998</v>
      </c>
    </row>
    <row r="15" spans="1:32" x14ac:dyDescent="0.25">
      <c r="A15" s="27">
        <v>43170</v>
      </c>
      <c r="B15" s="7">
        <f>'[3]Production Summary'!$U75</f>
        <v>0</v>
      </c>
      <c r="C15" s="8">
        <f t="shared" si="1"/>
        <v>0</v>
      </c>
      <c r="D15" s="10">
        <f t="shared" si="0"/>
        <v>0</v>
      </c>
      <c r="E15" s="7">
        <f>'[3]Production Summary'!$O75</f>
        <v>0</v>
      </c>
      <c r="F15" s="8">
        <f t="shared" si="2"/>
        <v>0</v>
      </c>
      <c r="G15" s="10">
        <f t="shared" si="3"/>
        <v>0</v>
      </c>
      <c r="H15" s="7">
        <f>'[3]Production Summary'!$Q75</f>
        <v>0</v>
      </c>
      <c r="I15" s="8">
        <f t="shared" si="4"/>
        <v>0</v>
      </c>
      <c r="J15" s="10">
        <f t="shared" si="5"/>
        <v>0</v>
      </c>
      <c r="K15" s="7">
        <f>'[3]Production Summary'!$T75</f>
        <v>0</v>
      </c>
      <c r="L15" s="8">
        <f t="shared" si="6"/>
        <v>0</v>
      </c>
      <c r="M15" s="10">
        <f t="shared" si="7"/>
        <v>0</v>
      </c>
      <c r="N15" s="21"/>
      <c r="O15" s="7">
        <f>'[3]Production Summary'!$AL75</f>
        <v>12883704</v>
      </c>
      <c r="P15" s="8">
        <f t="shared" si="8"/>
        <v>12.883704</v>
      </c>
      <c r="Q15" s="10">
        <f t="shared" si="9"/>
        <v>39.552971279999994</v>
      </c>
      <c r="R15" s="7">
        <f>'[3]Production Summary'!$AE75</f>
        <v>6471896</v>
      </c>
      <c r="S15" s="8">
        <f t="shared" si="10"/>
        <v>6.4718960000000001</v>
      </c>
      <c r="T15" s="10">
        <f t="shared" si="11"/>
        <v>19.868720719999999</v>
      </c>
      <c r="U15" s="7">
        <f>'[3]Production Summary'!$AF75</f>
        <v>6476896</v>
      </c>
      <c r="V15" s="8">
        <f t="shared" si="12"/>
        <v>6.476896</v>
      </c>
      <c r="W15" s="10">
        <f t="shared" si="13"/>
        <v>19.88407072</v>
      </c>
      <c r="X15" s="7">
        <f>'[3]Production Summary'!$AJ75</f>
        <v>315000</v>
      </c>
      <c r="Y15" s="8">
        <f t="shared" si="14"/>
        <v>0.315</v>
      </c>
      <c r="Z15" s="10">
        <f t="shared" si="15"/>
        <v>0.96704999999999997</v>
      </c>
      <c r="AA15" s="15"/>
      <c r="AB15" s="7">
        <f t="shared" si="16"/>
        <v>12883704</v>
      </c>
      <c r="AC15" s="8">
        <f t="shared" si="16"/>
        <v>12.883704</v>
      </c>
      <c r="AD15" s="8">
        <f t="shared" si="16"/>
        <v>39.552971279999994</v>
      </c>
      <c r="AF15" s="8">
        <f>T15-Q15-Z15</f>
        <v>-20.651300559999996</v>
      </c>
    </row>
    <row r="16" spans="1:32" x14ac:dyDescent="0.25">
      <c r="A16" s="27">
        <v>43171</v>
      </c>
      <c r="B16" s="7">
        <f>'[3]Production Summary'!$U76</f>
        <v>0</v>
      </c>
      <c r="C16" s="8">
        <f t="shared" si="1"/>
        <v>0</v>
      </c>
      <c r="D16" s="10">
        <f t="shared" si="0"/>
        <v>0</v>
      </c>
      <c r="E16" s="7">
        <f>'[3]Production Summary'!$O76</f>
        <v>0</v>
      </c>
      <c r="F16" s="8">
        <f t="shared" si="2"/>
        <v>0</v>
      </c>
      <c r="G16" s="10">
        <f t="shared" si="3"/>
        <v>0</v>
      </c>
      <c r="H16" s="7">
        <f>'[3]Production Summary'!$Q76</f>
        <v>0</v>
      </c>
      <c r="I16" s="8">
        <f t="shared" si="4"/>
        <v>0</v>
      </c>
      <c r="J16" s="10">
        <f t="shared" si="5"/>
        <v>0</v>
      </c>
      <c r="K16" s="7">
        <f>'[3]Production Summary'!$T76</f>
        <v>0</v>
      </c>
      <c r="L16" s="8">
        <f t="shared" si="6"/>
        <v>0</v>
      </c>
      <c r="M16" s="10">
        <f t="shared" si="7"/>
        <v>0</v>
      </c>
      <c r="N16" s="21"/>
      <c r="O16" s="7">
        <f>'[3]Production Summary'!$AL76</f>
        <v>13752037</v>
      </c>
      <c r="P16" s="8">
        <f t="shared" si="8"/>
        <v>13.752037</v>
      </c>
      <c r="Q16" s="10">
        <f t="shared" si="9"/>
        <v>42.218753589999999</v>
      </c>
      <c r="R16" s="7">
        <f>'[3]Production Summary'!$AE76</f>
        <v>6996858</v>
      </c>
      <c r="S16" s="8">
        <f t="shared" si="10"/>
        <v>6.9968579999999996</v>
      </c>
      <c r="T16" s="10">
        <f t="shared" si="11"/>
        <v>21.480354059999996</v>
      </c>
      <c r="U16" s="7">
        <f>'[3]Production Summary'!$AF76</f>
        <v>6999858</v>
      </c>
      <c r="V16" s="8">
        <f t="shared" si="12"/>
        <v>6.9998579999999997</v>
      </c>
      <c r="W16" s="10">
        <f t="shared" si="13"/>
        <v>21.489564059999999</v>
      </c>
      <c r="X16" s="7">
        <f>'[3]Production Summary'!$AJ76</f>
        <v>272000</v>
      </c>
      <c r="Y16" s="8">
        <f t="shared" si="14"/>
        <v>0.27200000000000002</v>
      </c>
      <c r="Z16" s="10">
        <f t="shared" si="15"/>
        <v>0.83504</v>
      </c>
      <c r="AA16" s="15"/>
      <c r="AB16" s="7">
        <f t="shared" si="16"/>
        <v>13752037</v>
      </c>
      <c r="AC16" s="8">
        <f t="shared" si="16"/>
        <v>13.752037</v>
      </c>
      <c r="AD16" s="8">
        <f t="shared" si="16"/>
        <v>42.218753589999999</v>
      </c>
      <c r="AF16" s="8">
        <f>T16-Q16-Z16</f>
        <v>-21.573439530000002</v>
      </c>
    </row>
    <row r="17" spans="1:32" x14ac:dyDescent="0.25">
      <c r="A17" s="27">
        <v>43172</v>
      </c>
      <c r="B17" s="7">
        <f>'[3]Production Summary'!$U77</f>
        <v>0</v>
      </c>
      <c r="C17" s="8">
        <f t="shared" si="1"/>
        <v>0</v>
      </c>
      <c r="D17" s="10">
        <f t="shared" si="0"/>
        <v>0</v>
      </c>
      <c r="E17" s="7">
        <f>'[3]Production Summary'!$O77</f>
        <v>0</v>
      </c>
      <c r="F17" s="8">
        <f t="shared" si="2"/>
        <v>0</v>
      </c>
      <c r="G17" s="10">
        <f t="shared" si="3"/>
        <v>0</v>
      </c>
      <c r="H17" s="7">
        <f>'[3]Production Summary'!$Q77</f>
        <v>0</v>
      </c>
      <c r="I17" s="8">
        <f t="shared" si="4"/>
        <v>0</v>
      </c>
      <c r="J17" s="10">
        <f t="shared" si="5"/>
        <v>0</v>
      </c>
      <c r="K17" s="7">
        <f>'[3]Production Summary'!$T77</f>
        <v>0</v>
      </c>
      <c r="L17" s="8">
        <f t="shared" si="6"/>
        <v>0</v>
      </c>
      <c r="M17" s="10">
        <f t="shared" si="7"/>
        <v>0</v>
      </c>
      <c r="N17" s="21"/>
      <c r="O17" s="7">
        <f>'[3]Production Summary'!$AL77</f>
        <v>11298989</v>
      </c>
      <c r="P17" s="8">
        <f t="shared" si="8"/>
        <v>11.298989000000001</v>
      </c>
      <c r="Q17" s="10">
        <f t="shared" si="9"/>
        <v>34.68789623</v>
      </c>
      <c r="R17" s="7">
        <f>'[3]Production Summary'!$AE77</f>
        <v>5626958</v>
      </c>
      <c r="S17" s="8">
        <f t="shared" si="10"/>
        <v>5.6269580000000001</v>
      </c>
      <c r="T17" s="10">
        <f t="shared" si="11"/>
        <v>17.274761059999999</v>
      </c>
      <c r="U17" s="7">
        <f>'[3]Production Summary'!$AF77</f>
        <v>5612959</v>
      </c>
      <c r="V17" s="8">
        <f t="shared" si="12"/>
        <v>5.612959</v>
      </c>
      <c r="W17" s="10">
        <f t="shared" si="13"/>
        <v>17.231784129999998</v>
      </c>
      <c r="X17" s="7">
        <f>'[3]Production Summary'!$AJ77</f>
        <v>132000</v>
      </c>
      <c r="Y17" s="8">
        <f t="shared" si="14"/>
        <v>0.13200000000000001</v>
      </c>
      <c r="Z17" s="10">
        <f t="shared" si="15"/>
        <v>0.40523999999999999</v>
      </c>
      <c r="AA17" s="15"/>
      <c r="AB17" s="7">
        <f t="shared" si="16"/>
        <v>11298989</v>
      </c>
      <c r="AC17" s="8">
        <f t="shared" si="16"/>
        <v>11.298989000000001</v>
      </c>
      <c r="AD17" s="8">
        <f t="shared" si="16"/>
        <v>34.68789623</v>
      </c>
      <c r="AF17" s="8">
        <f>T17-Q17-Z17</f>
        <v>-17.818375169999999</v>
      </c>
    </row>
    <row r="18" spans="1:32" x14ac:dyDescent="0.25">
      <c r="A18" s="27">
        <v>43173</v>
      </c>
      <c r="B18" s="7">
        <f>'[3]Production Summary'!$U78</f>
        <v>0</v>
      </c>
      <c r="C18" s="8">
        <f t="shared" si="1"/>
        <v>0</v>
      </c>
      <c r="D18" s="10">
        <f t="shared" si="0"/>
        <v>0</v>
      </c>
      <c r="E18" s="7">
        <f>'[3]Production Summary'!$O78</f>
        <v>0</v>
      </c>
      <c r="F18" s="8">
        <f t="shared" si="2"/>
        <v>0</v>
      </c>
      <c r="G18" s="10">
        <f t="shared" si="3"/>
        <v>0</v>
      </c>
      <c r="H18" s="7">
        <f>'[3]Production Summary'!$Q78</f>
        <v>0</v>
      </c>
      <c r="I18" s="8">
        <f t="shared" si="4"/>
        <v>0</v>
      </c>
      <c r="J18" s="10">
        <f t="shared" si="5"/>
        <v>0</v>
      </c>
      <c r="K18" s="7">
        <f>'[3]Production Summary'!$T78</f>
        <v>0</v>
      </c>
      <c r="L18" s="8">
        <f t="shared" si="6"/>
        <v>0</v>
      </c>
      <c r="M18" s="10">
        <f t="shared" si="7"/>
        <v>0</v>
      </c>
      <c r="N18" s="21"/>
      <c r="O18" s="7">
        <f>'[3]Production Summary'!$AL78</f>
        <v>11289055</v>
      </c>
      <c r="P18" s="8">
        <f t="shared" si="8"/>
        <v>11.289054999999999</v>
      </c>
      <c r="Q18" s="10">
        <f t="shared" si="9"/>
        <v>34.65739885</v>
      </c>
      <c r="R18" s="7">
        <f>'[3]Production Summary'!$AE78</f>
        <v>6027929</v>
      </c>
      <c r="S18" s="8">
        <f t="shared" si="10"/>
        <v>6.0279290000000003</v>
      </c>
      <c r="T18" s="10">
        <f t="shared" si="11"/>
        <v>18.50574203</v>
      </c>
      <c r="U18" s="7">
        <f>'[3]Production Summary'!$AF78</f>
        <v>6014930</v>
      </c>
      <c r="V18" s="8">
        <f t="shared" si="12"/>
        <v>6.0149299999999997</v>
      </c>
      <c r="W18" s="10">
        <f t="shared" si="13"/>
        <v>18.4658351</v>
      </c>
      <c r="X18" s="7">
        <f>'[3]Production Summary'!$AJ78</f>
        <v>304000</v>
      </c>
      <c r="Y18" s="8">
        <f t="shared" si="14"/>
        <v>0.30399999999999999</v>
      </c>
      <c r="Z18" s="10">
        <f t="shared" si="15"/>
        <v>0.93327999999999989</v>
      </c>
      <c r="AA18" s="15"/>
      <c r="AB18" s="7">
        <f t="shared" si="16"/>
        <v>11289055</v>
      </c>
      <c r="AC18" s="8">
        <f t="shared" si="16"/>
        <v>11.289054999999999</v>
      </c>
      <c r="AD18" s="8">
        <f t="shared" si="16"/>
        <v>34.65739885</v>
      </c>
      <c r="AF18" s="8">
        <f>T18-Q18-Z18</f>
        <v>-17.084936819999999</v>
      </c>
    </row>
    <row r="19" spans="1:32" x14ac:dyDescent="0.25">
      <c r="A19" s="27">
        <v>43174</v>
      </c>
      <c r="B19" s="7">
        <f>'[3]Production Summary'!$U79</f>
        <v>0</v>
      </c>
      <c r="C19" s="8">
        <f t="shared" si="1"/>
        <v>0</v>
      </c>
      <c r="D19" s="10">
        <f t="shared" si="0"/>
        <v>0</v>
      </c>
      <c r="E19" s="7">
        <f>'[3]Production Summary'!$O79</f>
        <v>0</v>
      </c>
      <c r="F19" s="8">
        <f t="shared" si="2"/>
        <v>0</v>
      </c>
      <c r="G19" s="10">
        <f t="shared" si="3"/>
        <v>0</v>
      </c>
      <c r="H19" s="7">
        <f>'[3]Production Summary'!$Q79</f>
        <v>0</v>
      </c>
      <c r="I19" s="8">
        <f t="shared" si="4"/>
        <v>0</v>
      </c>
      <c r="J19" s="10">
        <f t="shared" si="5"/>
        <v>0</v>
      </c>
      <c r="K19" s="7">
        <f>'[3]Production Summary'!$T79</f>
        <v>0</v>
      </c>
      <c r="L19" s="8">
        <f t="shared" si="6"/>
        <v>0</v>
      </c>
      <c r="M19" s="10">
        <f t="shared" si="7"/>
        <v>0</v>
      </c>
      <c r="N19" s="21"/>
      <c r="O19" s="7">
        <f>'[3]Production Summary'!$AL79</f>
        <v>11403092</v>
      </c>
      <c r="P19" s="8">
        <f t="shared" si="8"/>
        <v>11.403091999999999</v>
      </c>
      <c r="Q19" s="10">
        <f t="shared" si="9"/>
        <v>35.007492439999993</v>
      </c>
      <c r="R19" s="7">
        <f>'[3]Production Summary'!$AE79</f>
        <v>5738949</v>
      </c>
      <c r="S19" s="8">
        <f t="shared" si="10"/>
        <v>5.7389489999999999</v>
      </c>
      <c r="T19" s="10">
        <f t="shared" si="11"/>
        <v>17.618573429999998</v>
      </c>
      <c r="U19" s="7">
        <f>'[3]Production Summary'!$AF79</f>
        <v>5734949</v>
      </c>
      <c r="V19" s="8">
        <f t="shared" si="12"/>
        <v>5.7349490000000003</v>
      </c>
      <c r="W19" s="10">
        <f t="shared" si="13"/>
        <v>17.606293430000001</v>
      </c>
      <c r="X19" s="7">
        <f>'[3]Production Summary'!$AJ79</f>
        <v>283000</v>
      </c>
      <c r="Y19" s="8">
        <f t="shared" si="14"/>
        <v>0.28299999999999997</v>
      </c>
      <c r="Z19" s="10">
        <f t="shared" si="15"/>
        <v>0.86880999999999986</v>
      </c>
      <c r="AA19" s="15"/>
      <c r="AB19" s="7">
        <f t="shared" si="16"/>
        <v>11403092</v>
      </c>
      <c r="AC19" s="8">
        <f t="shared" si="16"/>
        <v>11.403091999999999</v>
      </c>
      <c r="AD19" s="8">
        <f>D19+Q19</f>
        <v>35.007492439999993</v>
      </c>
      <c r="AF19" s="8">
        <f>T19-Q19-Z19</f>
        <v>-18.257729009999995</v>
      </c>
    </row>
    <row r="20" spans="1:32" x14ac:dyDescent="0.25">
      <c r="A20" s="27">
        <v>43175</v>
      </c>
      <c r="B20" s="7">
        <f>'[3]Production Summary'!$U80</f>
        <v>0</v>
      </c>
      <c r="C20" s="8">
        <f t="shared" si="1"/>
        <v>0</v>
      </c>
      <c r="D20" s="10">
        <f t="shared" si="0"/>
        <v>0</v>
      </c>
      <c r="E20" s="7">
        <f>'[3]Production Summary'!$O80</f>
        <v>0</v>
      </c>
      <c r="F20" s="8">
        <f t="shared" si="2"/>
        <v>0</v>
      </c>
      <c r="G20" s="10">
        <f t="shared" si="3"/>
        <v>0</v>
      </c>
      <c r="H20" s="7">
        <f>'[3]Production Summary'!$Q80</f>
        <v>0</v>
      </c>
      <c r="I20" s="8">
        <f t="shared" si="4"/>
        <v>0</v>
      </c>
      <c r="J20" s="10">
        <f t="shared" si="5"/>
        <v>0</v>
      </c>
      <c r="K20" s="7">
        <f>'[3]Production Summary'!$T80</f>
        <v>0</v>
      </c>
      <c r="L20" s="8">
        <f t="shared" si="6"/>
        <v>0</v>
      </c>
      <c r="M20" s="10">
        <f t="shared" si="7"/>
        <v>0</v>
      </c>
      <c r="N20" s="21"/>
      <c r="O20" s="7">
        <f>'[3]Production Summary'!$AL80</f>
        <v>9912445</v>
      </c>
      <c r="P20" s="8">
        <f t="shared" si="8"/>
        <v>9.912445</v>
      </c>
      <c r="Q20" s="10">
        <f t="shared" si="9"/>
        <v>30.431206149999998</v>
      </c>
      <c r="R20" s="7">
        <f>'[3]Production Summary'!$AE80</f>
        <v>5051000</v>
      </c>
      <c r="S20" s="8">
        <f t="shared" si="10"/>
        <v>5.0510000000000002</v>
      </c>
      <c r="T20" s="10">
        <f t="shared" si="11"/>
        <v>15.50657</v>
      </c>
      <c r="U20" s="7">
        <f>'[3]Production Summary'!$AF80</f>
        <v>5046999</v>
      </c>
      <c r="V20" s="8">
        <f t="shared" si="12"/>
        <v>5.0469989999999996</v>
      </c>
      <c r="W20" s="10">
        <f t="shared" si="13"/>
        <v>15.494286929999998</v>
      </c>
      <c r="X20" s="7">
        <f>'[3]Production Summary'!$AJ80</f>
        <v>173000</v>
      </c>
      <c r="Y20" s="8">
        <f t="shared" si="14"/>
        <v>0.17299999999999999</v>
      </c>
      <c r="Z20" s="10">
        <f t="shared" si="15"/>
        <v>0.53110999999999997</v>
      </c>
      <c r="AA20" s="15"/>
      <c r="AB20" s="7">
        <f t="shared" si="16"/>
        <v>9912445</v>
      </c>
      <c r="AC20" s="8">
        <f t="shared" si="16"/>
        <v>9.912445</v>
      </c>
      <c r="AD20" s="8">
        <f t="shared" si="16"/>
        <v>30.431206149999998</v>
      </c>
      <c r="AF20" s="8">
        <f t="shared" ref="AF20:AF35" si="18">T20-Q20-Z20</f>
        <v>-15.455746149999998</v>
      </c>
    </row>
    <row r="21" spans="1:32" x14ac:dyDescent="0.25">
      <c r="A21" s="27">
        <v>43176</v>
      </c>
      <c r="B21" s="7">
        <f>'[3]Production Summary'!$U81</f>
        <v>0</v>
      </c>
      <c r="C21" s="8">
        <f t="shared" si="1"/>
        <v>0</v>
      </c>
      <c r="D21" s="10">
        <f t="shared" si="0"/>
        <v>0</v>
      </c>
      <c r="E21" s="7">
        <f>'[3]Production Summary'!$O81</f>
        <v>0</v>
      </c>
      <c r="F21" s="8">
        <f t="shared" si="2"/>
        <v>0</v>
      </c>
      <c r="G21" s="10">
        <f t="shared" si="3"/>
        <v>0</v>
      </c>
      <c r="H21" s="7">
        <f>'[3]Production Summary'!$Q81</f>
        <v>0</v>
      </c>
      <c r="I21" s="8">
        <f t="shared" si="4"/>
        <v>0</v>
      </c>
      <c r="J21" s="10">
        <f t="shared" si="5"/>
        <v>0</v>
      </c>
      <c r="K21" s="7">
        <f>'[3]Production Summary'!$T81</f>
        <v>171710</v>
      </c>
      <c r="L21" s="8">
        <f t="shared" si="6"/>
        <v>0.17171</v>
      </c>
      <c r="M21" s="10">
        <f t="shared" si="7"/>
        <v>0.52714969999999994</v>
      </c>
      <c r="N21" s="21"/>
      <c r="O21" s="7">
        <f>'[3]Production Summary'!$AL81</f>
        <v>11124934</v>
      </c>
      <c r="P21" s="8">
        <f t="shared" si="8"/>
        <v>11.124934</v>
      </c>
      <c r="Q21" s="10">
        <f t="shared" si="9"/>
        <v>34.153547379999999</v>
      </c>
      <c r="R21" s="7">
        <f>'[3]Production Summary'!$AE81</f>
        <v>5616958</v>
      </c>
      <c r="S21" s="8">
        <f t="shared" si="10"/>
        <v>5.6169580000000003</v>
      </c>
      <c r="T21" s="10">
        <f t="shared" si="11"/>
        <v>17.24406106</v>
      </c>
      <c r="U21" s="7">
        <f>'[3]Production Summary'!$AF81</f>
        <v>5623958</v>
      </c>
      <c r="V21" s="8">
        <f t="shared" si="12"/>
        <v>5.623958</v>
      </c>
      <c r="W21" s="10">
        <f t="shared" si="13"/>
        <v>17.26555106</v>
      </c>
      <c r="X21" s="7">
        <f>'[3]Production Summary'!$AJ81</f>
        <v>170000</v>
      </c>
      <c r="Y21" s="8">
        <f t="shared" si="14"/>
        <v>0.17</v>
      </c>
      <c r="Z21" s="10">
        <f t="shared" si="15"/>
        <v>0.52190000000000003</v>
      </c>
      <c r="AA21" s="15"/>
      <c r="AB21" s="7">
        <f t="shared" si="16"/>
        <v>11124934</v>
      </c>
      <c r="AC21" s="8">
        <f t="shared" si="16"/>
        <v>11.124934</v>
      </c>
      <c r="AD21" s="8">
        <f t="shared" si="16"/>
        <v>34.153547379999999</v>
      </c>
      <c r="AF21" s="8">
        <f t="shared" si="18"/>
        <v>-17.431386319999998</v>
      </c>
    </row>
    <row r="22" spans="1:32" x14ac:dyDescent="0.25">
      <c r="A22" s="27">
        <v>43177</v>
      </c>
      <c r="B22" s="7">
        <f>'[3]Production Summary'!$U82</f>
        <v>0</v>
      </c>
      <c r="C22" s="8">
        <f t="shared" si="1"/>
        <v>0</v>
      </c>
      <c r="D22" s="10">
        <f t="shared" si="0"/>
        <v>0</v>
      </c>
      <c r="E22" s="7">
        <f>'[3]Production Summary'!$O82</f>
        <v>0</v>
      </c>
      <c r="F22" s="8">
        <f t="shared" si="2"/>
        <v>0</v>
      </c>
      <c r="G22" s="10">
        <f t="shared" si="3"/>
        <v>0</v>
      </c>
      <c r="H22" s="7">
        <f>'[3]Production Summary'!$Q82</f>
        <v>2700000</v>
      </c>
      <c r="I22" s="8">
        <f t="shared" si="4"/>
        <v>2.7</v>
      </c>
      <c r="J22" s="10">
        <f t="shared" si="5"/>
        <v>8.2889999999999997</v>
      </c>
      <c r="K22" s="7">
        <f>'[3]Production Summary'!$T82</f>
        <v>18171</v>
      </c>
      <c r="L22" s="8">
        <f t="shared" si="6"/>
        <v>1.8171E-2</v>
      </c>
      <c r="M22" s="10">
        <f t="shared" si="7"/>
        <v>5.5784969999999996E-2</v>
      </c>
      <c r="N22" s="21"/>
      <c r="O22" s="7">
        <f>'[3]Production Summary'!$AL82</f>
        <v>12441498</v>
      </c>
      <c r="P22" s="8">
        <f t="shared" si="8"/>
        <v>12.441497999999999</v>
      </c>
      <c r="Q22" s="10">
        <f t="shared" si="9"/>
        <v>38.195398859999997</v>
      </c>
      <c r="R22" s="7">
        <f>'[3]Production Summary'!$AE82</f>
        <v>6252912</v>
      </c>
      <c r="S22" s="8">
        <f t="shared" si="10"/>
        <v>6.2529120000000002</v>
      </c>
      <c r="T22" s="10">
        <f t="shared" si="11"/>
        <v>19.19643984</v>
      </c>
      <c r="U22" s="7">
        <f>'[3]Production Summary'!$AF82</f>
        <v>6249912</v>
      </c>
      <c r="V22" s="8">
        <f t="shared" si="12"/>
        <v>6.2499120000000001</v>
      </c>
      <c r="W22" s="10">
        <f t="shared" si="13"/>
        <v>19.187229840000001</v>
      </c>
      <c r="X22" s="7">
        <f>'[3]Production Summary'!$AJ82</f>
        <v>248000</v>
      </c>
      <c r="Y22" s="8">
        <f t="shared" si="14"/>
        <v>0.248</v>
      </c>
      <c r="Z22" s="10">
        <f t="shared" si="15"/>
        <v>0.76135999999999993</v>
      </c>
      <c r="AA22" s="15"/>
      <c r="AB22" s="7">
        <f t="shared" si="16"/>
        <v>12441498</v>
      </c>
      <c r="AC22" s="8">
        <f t="shared" si="16"/>
        <v>12.441497999999999</v>
      </c>
      <c r="AD22" s="8">
        <f t="shared" si="16"/>
        <v>38.195398859999997</v>
      </c>
      <c r="AF22" s="8">
        <f t="shared" si="18"/>
        <v>-19.760319019999997</v>
      </c>
    </row>
    <row r="23" spans="1:32" x14ac:dyDescent="0.25">
      <c r="A23" s="27">
        <v>43178</v>
      </c>
      <c r="B23" s="7">
        <f>'[3]Production Summary'!$U83</f>
        <v>0</v>
      </c>
      <c r="C23" s="8">
        <f t="shared" si="1"/>
        <v>0</v>
      </c>
      <c r="D23" s="10">
        <f t="shared" si="0"/>
        <v>0</v>
      </c>
      <c r="E23" s="7">
        <f>'[3]Production Summary'!$O83</f>
        <v>0</v>
      </c>
      <c r="F23" s="8">
        <f t="shared" si="2"/>
        <v>0</v>
      </c>
      <c r="G23" s="10">
        <f t="shared" si="3"/>
        <v>0</v>
      </c>
      <c r="H23" s="7">
        <f>'[3]Production Summary'!$Q83</f>
        <v>880000</v>
      </c>
      <c r="I23" s="8">
        <f t="shared" si="4"/>
        <v>0.88</v>
      </c>
      <c r="J23" s="10">
        <f t="shared" si="5"/>
        <v>2.7016</v>
      </c>
      <c r="K23" s="7">
        <f>'[3]Production Summary'!$T83</f>
        <v>18171</v>
      </c>
      <c r="L23" s="8">
        <f t="shared" si="6"/>
        <v>1.8171E-2</v>
      </c>
      <c r="M23" s="10">
        <f t="shared" si="7"/>
        <v>5.5784969999999996E-2</v>
      </c>
      <c r="N23" s="21"/>
      <c r="O23" s="7">
        <f>'[3]Production Summary'!$AL83</f>
        <v>12502495</v>
      </c>
      <c r="P23" s="8">
        <f t="shared" si="8"/>
        <v>12.502495</v>
      </c>
      <c r="Q23" s="10">
        <f t="shared" si="9"/>
        <v>38.382659649999994</v>
      </c>
      <c r="R23" s="7">
        <f>'[3]Production Summary'!$AE83</f>
        <v>6251913</v>
      </c>
      <c r="S23" s="8">
        <f t="shared" si="10"/>
        <v>6.2519130000000001</v>
      </c>
      <c r="T23" s="10">
        <f t="shared" si="11"/>
        <v>19.193372910000001</v>
      </c>
      <c r="U23" s="7">
        <f>'[3]Production Summary'!$AF83</f>
        <v>6249913</v>
      </c>
      <c r="V23" s="8">
        <f t="shared" si="12"/>
        <v>6.2499130000000003</v>
      </c>
      <c r="W23" s="10">
        <f t="shared" si="13"/>
        <v>19.187232909999999</v>
      </c>
      <c r="X23" s="7">
        <f>'[3]Production Summary'!$AJ83</f>
        <v>179000</v>
      </c>
      <c r="Y23" s="8">
        <f t="shared" si="14"/>
        <v>0.17899999999999999</v>
      </c>
      <c r="Z23" s="10">
        <f t="shared" si="15"/>
        <v>0.54952999999999996</v>
      </c>
      <c r="AA23" s="15"/>
      <c r="AB23" s="7">
        <f t="shared" si="16"/>
        <v>12502495</v>
      </c>
      <c r="AC23" s="8">
        <f t="shared" si="16"/>
        <v>12.502495</v>
      </c>
      <c r="AD23" s="8">
        <f t="shared" si="16"/>
        <v>38.382659649999994</v>
      </c>
      <c r="AF23" s="8">
        <f t="shared" si="18"/>
        <v>-19.738816739999994</v>
      </c>
    </row>
    <row r="24" spans="1:32" x14ac:dyDescent="0.25">
      <c r="A24" s="27">
        <v>43179</v>
      </c>
      <c r="B24" s="7">
        <f>'[3]Production Summary'!$U84</f>
        <v>0</v>
      </c>
      <c r="C24" s="8">
        <f t="shared" si="1"/>
        <v>0</v>
      </c>
      <c r="D24" s="10">
        <f t="shared" si="0"/>
        <v>0</v>
      </c>
      <c r="E24" s="7">
        <f>'[3]Production Summary'!$O84</f>
        <v>0</v>
      </c>
      <c r="F24" s="8">
        <f t="shared" si="2"/>
        <v>0</v>
      </c>
      <c r="G24" s="10">
        <f t="shared" si="3"/>
        <v>0</v>
      </c>
      <c r="H24" s="7">
        <f>'[3]Production Summary'!$Q84</f>
        <v>0</v>
      </c>
      <c r="I24" s="8">
        <f t="shared" si="4"/>
        <v>0</v>
      </c>
      <c r="J24" s="10">
        <f t="shared" si="5"/>
        <v>0</v>
      </c>
      <c r="K24" s="7">
        <f>'[3]Production Summary'!$T84</f>
        <v>0</v>
      </c>
      <c r="L24" s="8">
        <f t="shared" si="6"/>
        <v>0</v>
      </c>
      <c r="M24" s="10">
        <f t="shared" si="7"/>
        <v>0</v>
      </c>
      <c r="N24" s="21"/>
      <c r="O24" s="7">
        <f>'[3]Production Summary'!$AL84</f>
        <v>11122938</v>
      </c>
      <c r="P24" s="8">
        <f t="shared" si="8"/>
        <v>11.122938</v>
      </c>
      <c r="Q24" s="10">
        <f t="shared" si="9"/>
        <v>34.147419659999997</v>
      </c>
      <c r="R24" s="7">
        <f>'[3]Production Summary'!$AE84</f>
        <v>5544963</v>
      </c>
      <c r="S24" s="8">
        <f t="shared" si="10"/>
        <v>5.5449630000000001</v>
      </c>
      <c r="T24" s="10">
        <f t="shared" si="11"/>
        <v>17.02303641</v>
      </c>
      <c r="U24" s="7">
        <f>'[3]Production Summary'!$AF84</f>
        <v>5541964</v>
      </c>
      <c r="V24" s="8">
        <f t="shared" si="12"/>
        <v>5.5419640000000001</v>
      </c>
      <c r="W24" s="10">
        <f t="shared" si="13"/>
        <v>17.013829479999998</v>
      </c>
      <c r="X24" s="7">
        <f>'[3]Production Summary'!$AJ84</f>
        <v>180000</v>
      </c>
      <c r="Y24" s="8">
        <f t="shared" si="14"/>
        <v>0.18</v>
      </c>
      <c r="Z24" s="10">
        <f t="shared" si="15"/>
        <v>0.55259999999999998</v>
      </c>
      <c r="AA24" s="15"/>
      <c r="AB24" s="7">
        <f t="shared" si="16"/>
        <v>11122938</v>
      </c>
      <c r="AC24" s="8">
        <f t="shared" si="16"/>
        <v>11.122938</v>
      </c>
      <c r="AD24" s="8">
        <f>D24+Q24</f>
        <v>34.147419659999997</v>
      </c>
      <c r="AF24" s="8">
        <f t="shared" si="18"/>
        <v>-17.676983249999999</v>
      </c>
    </row>
    <row r="25" spans="1:32" x14ac:dyDescent="0.25">
      <c r="A25" s="27">
        <v>43180</v>
      </c>
      <c r="B25" s="7">
        <f>'[3]Production Summary'!$U85</f>
        <v>0</v>
      </c>
      <c r="C25" s="8">
        <f t="shared" si="1"/>
        <v>0</v>
      </c>
      <c r="D25" s="10">
        <f t="shared" si="0"/>
        <v>0</v>
      </c>
      <c r="E25" s="7">
        <f>'[3]Production Summary'!$O85</f>
        <v>0</v>
      </c>
      <c r="F25" s="8">
        <f t="shared" si="2"/>
        <v>0</v>
      </c>
      <c r="G25" s="10">
        <f t="shared" si="3"/>
        <v>0</v>
      </c>
      <c r="H25" s="7">
        <f>'[3]Production Summary'!$Q85</f>
        <v>0</v>
      </c>
      <c r="I25" s="8">
        <f t="shared" si="4"/>
        <v>0</v>
      </c>
      <c r="J25" s="10">
        <f t="shared" si="5"/>
        <v>0</v>
      </c>
      <c r="K25" s="7">
        <f>'[3]Production Summary'!$T85</f>
        <v>0</v>
      </c>
      <c r="L25" s="8">
        <f t="shared" si="6"/>
        <v>0</v>
      </c>
      <c r="M25" s="10">
        <f t="shared" si="7"/>
        <v>0</v>
      </c>
      <c r="N25" s="21"/>
      <c r="O25" s="7">
        <f>'[3]Production Summary'!$AL85</f>
        <v>11321018</v>
      </c>
      <c r="P25" s="8">
        <f t="shared" si="8"/>
        <v>11.321018</v>
      </c>
      <c r="Q25" s="10">
        <f t="shared" si="9"/>
        <v>34.755525259999999</v>
      </c>
      <c r="R25" s="7">
        <f>'[3]Production Summary'!$AE85</f>
        <v>5712951</v>
      </c>
      <c r="S25" s="8">
        <f t="shared" si="10"/>
        <v>5.7129510000000003</v>
      </c>
      <c r="T25" s="10">
        <f t="shared" si="11"/>
        <v>17.53875957</v>
      </c>
      <c r="U25" s="7">
        <f>'[3]Production Summary'!$AF85</f>
        <v>5714952</v>
      </c>
      <c r="V25" s="8">
        <f t="shared" si="12"/>
        <v>5.7149520000000003</v>
      </c>
      <c r="W25" s="10">
        <f t="shared" si="13"/>
        <v>17.54490264</v>
      </c>
      <c r="X25" s="7">
        <f>'[3]Production Summary'!$AJ85</f>
        <v>180000</v>
      </c>
      <c r="Y25" s="8">
        <f t="shared" si="14"/>
        <v>0.18</v>
      </c>
      <c r="Z25" s="10">
        <f t="shared" si="15"/>
        <v>0.55259999999999998</v>
      </c>
      <c r="AA25" s="15"/>
      <c r="AB25" s="7">
        <f t="shared" si="16"/>
        <v>11321018</v>
      </c>
      <c r="AC25" s="8">
        <f t="shared" si="16"/>
        <v>11.321018</v>
      </c>
      <c r="AD25" s="8">
        <f t="shared" si="16"/>
        <v>34.755525259999999</v>
      </c>
      <c r="AF25" s="8">
        <f t="shared" si="18"/>
        <v>-17.769365690000001</v>
      </c>
    </row>
    <row r="26" spans="1:32" x14ac:dyDescent="0.25">
      <c r="A26" s="27">
        <v>43181</v>
      </c>
      <c r="B26" s="7">
        <f>'[3]Production Summary'!$U86</f>
        <v>0</v>
      </c>
      <c r="C26" s="8">
        <f t="shared" si="1"/>
        <v>0</v>
      </c>
      <c r="D26" s="10">
        <f t="shared" si="0"/>
        <v>0</v>
      </c>
      <c r="E26" s="7">
        <f>'[3]Production Summary'!$O86</f>
        <v>0</v>
      </c>
      <c r="F26" s="8">
        <f t="shared" si="2"/>
        <v>0</v>
      </c>
      <c r="G26" s="10">
        <f t="shared" si="3"/>
        <v>0</v>
      </c>
      <c r="H26" s="7">
        <f>'[3]Production Summary'!$Q86</f>
        <v>840000</v>
      </c>
      <c r="I26" s="8">
        <f t="shared" si="4"/>
        <v>0.84</v>
      </c>
      <c r="J26" s="10">
        <f t="shared" si="5"/>
        <v>2.5787999999999998</v>
      </c>
      <c r="K26" s="7">
        <f>'[3]Production Summary'!$T86</f>
        <v>118935</v>
      </c>
      <c r="L26" s="8">
        <f t="shared" si="6"/>
        <v>0.118935</v>
      </c>
      <c r="M26" s="10">
        <f t="shared" si="7"/>
        <v>0.36513045</v>
      </c>
      <c r="N26" s="21"/>
      <c r="O26" s="7">
        <f>'[3]Production Summary'!$AL86</f>
        <v>11684164</v>
      </c>
      <c r="P26" s="8">
        <f t="shared" si="8"/>
        <v>11.684164000000001</v>
      </c>
      <c r="Q26" s="10">
        <f t="shared" si="9"/>
        <v>35.870383480000001</v>
      </c>
      <c r="R26" s="7">
        <f>'[3]Production Summary'!$AE86</f>
        <v>5998931</v>
      </c>
      <c r="S26" s="8">
        <f t="shared" si="10"/>
        <v>5.9989309999999998</v>
      </c>
      <c r="T26" s="10">
        <f t="shared" si="11"/>
        <v>18.416718169999999</v>
      </c>
      <c r="U26" s="7">
        <f>'[3]Production Summary'!$AF86</f>
        <v>6000930</v>
      </c>
      <c r="V26" s="8">
        <f t="shared" si="12"/>
        <v>6.0009300000000003</v>
      </c>
      <c r="W26" s="10">
        <f t="shared" si="13"/>
        <v>18.4228551</v>
      </c>
      <c r="X26" s="7">
        <f>'[3]Production Summary'!$AJ86</f>
        <v>180000</v>
      </c>
      <c r="Y26" s="8">
        <f t="shared" si="14"/>
        <v>0.18</v>
      </c>
      <c r="Z26" s="10">
        <f t="shared" si="15"/>
        <v>0.55259999999999998</v>
      </c>
      <c r="AA26" s="15"/>
      <c r="AB26" s="7">
        <f t="shared" si="16"/>
        <v>11684164</v>
      </c>
      <c r="AC26" s="8">
        <f t="shared" si="16"/>
        <v>11.684164000000001</v>
      </c>
      <c r="AD26" s="8">
        <f t="shared" si="16"/>
        <v>35.870383480000001</v>
      </c>
      <c r="AF26" s="8">
        <f t="shared" si="18"/>
        <v>-18.006265310000003</v>
      </c>
    </row>
    <row r="27" spans="1:32" x14ac:dyDescent="0.25">
      <c r="A27" s="27">
        <v>43182</v>
      </c>
      <c r="B27" s="7">
        <f>'[3]Production Summary'!$U87</f>
        <v>0</v>
      </c>
      <c r="C27" s="8">
        <f t="shared" si="1"/>
        <v>0</v>
      </c>
      <c r="D27" s="10">
        <f t="shared" si="0"/>
        <v>0</v>
      </c>
      <c r="E27" s="7">
        <f>'[3]Production Summary'!$O87</f>
        <v>0</v>
      </c>
      <c r="F27" s="8">
        <f t="shared" si="2"/>
        <v>0</v>
      </c>
      <c r="G27" s="10">
        <f t="shared" si="3"/>
        <v>0</v>
      </c>
      <c r="H27" s="7">
        <f>'[3]Production Summary'!$Q87</f>
        <v>2150000</v>
      </c>
      <c r="I27" s="8">
        <f t="shared" si="4"/>
        <v>2.15</v>
      </c>
      <c r="J27" s="10">
        <f t="shared" si="5"/>
        <v>6.6004999999999994</v>
      </c>
      <c r="K27" s="7">
        <f>'[3]Production Summary'!$T87</f>
        <v>221595</v>
      </c>
      <c r="L27" s="8">
        <f t="shared" si="6"/>
        <v>0.22159499999999999</v>
      </c>
      <c r="M27" s="10">
        <f t="shared" si="7"/>
        <v>0.68029664999999995</v>
      </c>
      <c r="N27" s="21"/>
      <c r="O27" s="7">
        <f>'[3]Production Summary'!$AL87</f>
        <v>11988287</v>
      </c>
      <c r="P27" s="8">
        <f t="shared" si="8"/>
        <v>11.988287</v>
      </c>
      <c r="Q27" s="10">
        <f t="shared" si="9"/>
        <v>36.804041089999998</v>
      </c>
      <c r="R27" s="7">
        <f>'[3]Production Summary'!$AE87</f>
        <v>6000930</v>
      </c>
      <c r="S27" s="8">
        <f t="shared" si="10"/>
        <v>6.0009300000000003</v>
      </c>
      <c r="T27" s="10">
        <f t="shared" si="11"/>
        <v>18.4228551</v>
      </c>
      <c r="U27" s="7">
        <f>'[3]Production Summary'!$AF87</f>
        <v>5999931</v>
      </c>
      <c r="V27" s="8">
        <f t="shared" si="12"/>
        <v>5.9999310000000001</v>
      </c>
      <c r="W27" s="10">
        <f t="shared" si="13"/>
        <v>18.41978817</v>
      </c>
      <c r="X27" s="7">
        <f>'[3]Production Summary'!$AJ87</f>
        <v>180000</v>
      </c>
      <c r="Y27" s="8">
        <f t="shared" si="14"/>
        <v>0.18</v>
      </c>
      <c r="Z27" s="10">
        <f t="shared" si="15"/>
        <v>0.55259999999999998</v>
      </c>
      <c r="AA27" s="15"/>
      <c r="AB27" s="7">
        <f t="shared" si="16"/>
        <v>11988287</v>
      </c>
      <c r="AC27" s="8">
        <f t="shared" si="16"/>
        <v>11.988287</v>
      </c>
      <c r="AD27" s="8">
        <f t="shared" si="16"/>
        <v>36.804041089999998</v>
      </c>
      <c r="AF27" s="8">
        <f t="shared" si="18"/>
        <v>-18.933785989999997</v>
      </c>
    </row>
    <row r="28" spans="1:32" x14ac:dyDescent="0.25">
      <c r="A28" s="27">
        <v>43183</v>
      </c>
      <c r="B28" s="7">
        <f>'[3]Production Summary'!$U88</f>
        <v>0</v>
      </c>
      <c r="C28" s="8">
        <f t="shared" si="1"/>
        <v>0</v>
      </c>
      <c r="D28" s="10">
        <f t="shared" si="0"/>
        <v>0</v>
      </c>
      <c r="E28" s="7">
        <f>'[3]Production Summary'!$O88</f>
        <v>0</v>
      </c>
      <c r="F28" s="8">
        <f t="shared" si="2"/>
        <v>0</v>
      </c>
      <c r="G28" s="10">
        <f t="shared" si="3"/>
        <v>0</v>
      </c>
      <c r="H28" s="7">
        <f>'[3]Production Summary'!$Q88</f>
        <v>0</v>
      </c>
      <c r="I28" s="8">
        <f t="shared" si="4"/>
        <v>0</v>
      </c>
      <c r="J28" s="10">
        <f t="shared" si="5"/>
        <v>0</v>
      </c>
      <c r="K28" s="7">
        <f>'[3]Production Summary'!$T88</f>
        <v>0</v>
      </c>
      <c r="L28" s="8">
        <f t="shared" si="6"/>
        <v>0</v>
      </c>
      <c r="M28" s="10">
        <f t="shared" si="7"/>
        <v>0</v>
      </c>
      <c r="N28" s="21"/>
      <c r="O28" s="7">
        <f>'[3]Production Summary'!$AL88</f>
        <v>11977283</v>
      </c>
      <c r="P28" s="8">
        <f t="shared" si="8"/>
        <v>11.977283</v>
      </c>
      <c r="Q28" s="10">
        <f t="shared" si="9"/>
        <v>36.770258809999994</v>
      </c>
      <c r="R28" s="7">
        <f>'[3]Production Summary'!$AE88</f>
        <v>6000930</v>
      </c>
      <c r="S28" s="8">
        <f t="shared" si="10"/>
        <v>6.0009300000000003</v>
      </c>
      <c r="T28" s="10">
        <f t="shared" si="11"/>
        <v>18.4228551</v>
      </c>
      <c r="U28" s="7">
        <f>'[3]Production Summary'!$AF88</f>
        <v>6000931</v>
      </c>
      <c r="V28" s="8">
        <f t="shared" si="12"/>
        <v>6.0009309999999996</v>
      </c>
      <c r="W28" s="10">
        <f t="shared" si="13"/>
        <v>18.422858169999998</v>
      </c>
      <c r="X28" s="7">
        <f>'[3]Production Summary'!$AJ88</f>
        <v>181000</v>
      </c>
      <c r="Y28" s="8">
        <f t="shared" si="14"/>
        <v>0.18099999999999999</v>
      </c>
      <c r="Z28" s="10">
        <f t="shared" si="15"/>
        <v>0.55567</v>
      </c>
      <c r="AA28" s="15"/>
      <c r="AB28" s="7">
        <f t="shared" si="16"/>
        <v>11977283</v>
      </c>
      <c r="AC28" s="8">
        <f t="shared" si="16"/>
        <v>11.977283</v>
      </c>
      <c r="AD28" s="8">
        <f t="shared" si="16"/>
        <v>36.770258809999994</v>
      </c>
      <c r="AF28" s="8">
        <f t="shared" si="18"/>
        <v>-18.903073709999994</v>
      </c>
    </row>
    <row r="29" spans="1:32" x14ac:dyDescent="0.25">
      <c r="A29" s="27">
        <v>43184</v>
      </c>
      <c r="B29" s="7">
        <f>'[3]Production Summary'!$U89</f>
        <v>0</v>
      </c>
      <c r="C29" s="8">
        <f t="shared" si="1"/>
        <v>0</v>
      </c>
      <c r="D29" s="10">
        <f t="shared" si="0"/>
        <v>0</v>
      </c>
      <c r="E29" s="7">
        <f>'[3]Production Summary'!$O89</f>
        <v>0</v>
      </c>
      <c r="F29" s="8">
        <f t="shared" si="2"/>
        <v>0</v>
      </c>
      <c r="G29" s="10">
        <f t="shared" si="3"/>
        <v>0</v>
      </c>
      <c r="H29" s="7">
        <f>'[3]Production Summary'!$Q89</f>
        <v>10000</v>
      </c>
      <c r="I29" s="8">
        <f t="shared" si="4"/>
        <v>0.01</v>
      </c>
      <c r="J29" s="10">
        <f t="shared" si="5"/>
        <v>3.0699999999999998E-2</v>
      </c>
      <c r="K29" s="7">
        <f>'[3]Production Summary'!$T89</f>
        <v>6970</v>
      </c>
      <c r="L29" s="8">
        <f t="shared" si="6"/>
        <v>6.9699999999999996E-3</v>
      </c>
      <c r="M29" s="10">
        <f t="shared" si="7"/>
        <v>2.1397899999999997E-2</v>
      </c>
      <c r="N29" s="21"/>
      <c r="O29" s="7">
        <f>'[3]Production Summary'!$AL89</f>
        <v>11989288</v>
      </c>
      <c r="P29" s="8">
        <f t="shared" si="8"/>
        <v>11.989288</v>
      </c>
      <c r="Q29" s="10">
        <f t="shared" si="9"/>
        <v>36.807114159999998</v>
      </c>
      <c r="R29" s="7">
        <f>'[3]Production Summary'!$AE89</f>
        <v>5998931</v>
      </c>
      <c r="S29" s="8">
        <f t="shared" si="10"/>
        <v>5.9989309999999998</v>
      </c>
      <c r="T29" s="10">
        <f t="shared" si="11"/>
        <v>18.416718169999999</v>
      </c>
      <c r="U29" s="7">
        <f>'[3]Production Summary'!$AF89</f>
        <v>5998930</v>
      </c>
      <c r="V29" s="8">
        <f t="shared" si="12"/>
        <v>5.9989299999999997</v>
      </c>
      <c r="W29" s="10">
        <f t="shared" si="13"/>
        <v>18.416715099999998</v>
      </c>
      <c r="X29" s="7">
        <f>'[3]Production Summary'!$AJ89</f>
        <v>180000</v>
      </c>
      <c r="Y29" s="8">
        <f t="shared" si="14"/>
        <v>0.18</v>
      </c>
      <c r="Z29" s="10">
        <f t="shared" si="15"/>
        <v>0.55259999999999998</v>
      </c>
      <c r="AA29" s="15"/>
      <c r="AB29" s="7">
        <f t="shared" si="16"/>
        <v>11989288</v>
      </c>
      <c r="AC29" s="8">
        <f t="shared" si="16"/>
        <v>11.989288</v>
      </c>
      <c r="AD29" s="8">
        <f t="shared" si="16"/>
        <v>36.807114159999998</v>
      </c>
      <c r="AF29" s="8">
        <f t="shared" si="18"/>
        <v>-18.94299599</v>
      </c>
    </row>
    <row r="30" spans="1:32" x14ac:dyDescent="0.25">
      <c r="A30" s="27">
        <v>43185</v>
      </c>
      <c r="B30" s="7">
        <f>'[3]Production Summary'!$U90</f>
        <v>0</v>
      </c>
      <c r="C30" s="8">
        <f t="shared" si="1"/>
        <v>0</v>
      </c>
      <c r="D30" s="10">
        <f t="shared" si="0"/>
        <v>0</v>
      </c>
      <c r="E30" s="7">
        <f>'[3]Production Summary'!$O90</f>
        <v>0</v>
      </c>
      <c r="F30" s="8">
        <f t="shared" si="2"/>
        <v>0</v>
      </c>
      <c r="G30" s="10">
        <f t="shared" si="3"/>
        <v>0</v>
      </c>
      <c r="H30" s="7">
        <f>'[3]Production Summary'!$Q90</f>
        <v>3290000</v>
      </c>
      <c r="I30" s="8">
        <f t="shared" si="4"/>
        <v>3.29</v>
      </c>
      <c r="J30" s="10">
        <f t="shared" si="5"/>
        <v>10.100299999999999</v>
      </c>
      <c r="K30" s="7">
        <f>'[3]Production Summary'!$T90</f>
        <v>312317</v>
      </c>
      <c r="L30" s="8">
        <f t="shared" si="6"/>
        <v>0.31231700000000001</v>
      </c>
      <c r="M30" s="10">
        <f t="shared" si="7"/>
        <v>0.95881318999999998</v>
      </c>
      <c r="N30" s="21"/>
      <c r="O30" s="7">
        <f>'[3]Production Summary'!$AL90</f>
        <v>11748191</v>
      </c>
      <c r="P30" s="8">
        <f t="shared" si="8"/>
        <v>11.748191</v>
      </c>
      <c r="Q30" s="10">
        <f t="shared" si="9"/>
        <v>36.066946369999997</v>
      </c>
      <c r="R30" s="7">
        <f>'[3]Production Summary'!$AE90</f>
        <v>5884939</v>
      </c>
      <c r="S30" s="8">
        <f t="shared" si="10"/>
        <v>5.8849390000000001</v>
      </c>
      <c r="T30" s="10">
        <f t="shared" si="11"/>
        <v>18.066762730000001</v>
      </c>
      <c r="U30" s="7">
        <f>'[3]Production Summary'!$AF90</f>
        <v>5881939</v>
      </c>
      <c r="V30" s="8">
        <f t="shared" si="12"/>
        <v>5.881939</v>
      </c>
      <c r="W30" s="10">
        <f t="shared" si="13"/>
        <v>18.057552729999998</v>
      </c>
      <c r="X30" s="7">
        <f>'[3]Production Summary'!$AJ90</f>
        <v>181000</v>
      </c>
      <c r="Y30" s="8">
        <f t="shared" si="14"/>
        <v>0.18099999999999999</v>
      </c>
      <c r="Z30" s="10">
        <f t="shared" si="15"/>
        <v>0.55567</v>
      </c>
      <c r="AA30" s="15"/>
      <c r="AB30" s="7">
        <f t="shared" si="16"/>
        <v>11748191</v>
      </c>
      <c r="AC30" s="8">
        <f t="shared" si="16"/>
        <v>11.748191</v>
      </c>
      <c r="AD30" s="8">
        <f>D30+Q30</f>
        <v>36.066946369999997</v>
      </c>
      <c r="AF30" s="8">
        <f t="shared" si="18"/>
        <v>-18.555853639999995</v>
      </c>
    </row>
    <row r="31" spans="1:32" x14ac:dyDescent="0.25">
      <c r="A31" s="27">
        <v>43186</v>
      </c>
      <c r="B31" s="7">
        <f>'[3]Production Summary'!$U91</f>
        <v>0</v>
      </c>
      <c r="C31" s="8">
        <f t="shared" si="1"/>
        <v>0</v>
      </c>
      <c r="D31" s="10">
        <f t="shared" si="0"/>
        <v>0</v>
      </c>
      <c r="E31" s="7">
        <f>'[3]Production Summary'!$O91</f>
        <v>0</v>
      </c>
      <c r="F31" s="8">
        <f t="shared" si="2"/>
        <v>0</v>
      </c>
      <c r="G31" s="10">
        <f t="shared" si="3"/>
        <v>0</v>
      </c>
      <c r="H31" s="7">
        <f>'[3]Production Summary'!$Q91</f>
        <v>350000</v>
      </c>
      <c r="I31" s="8">
        <f t="shared" si="4"/>
        <v>0.35</v>
      </c>
      <c r="J31" s="10">
        <f t="shared" si="5"/>
        <v>1.0744999999999998</v>
      </c>
      <c r="K31" s="7">
        <f>'[3]Production Summary'!$T91</f>
        <v>0</v>
      </c>
      <c r="L31" s="8">
        <f t="shared" si="6"/>
        <v>0</v>
      </c>
      <c r="M31" s="10">
        <f t="shared" si="7"/>
        <v>0</v>
      </c>
      <c r="N31" s="21"/>
      <c r="O31" s="7">
        <f>'[3]Production Summary'!$AL91</f>
        <v>10907850</v>
      </c>
      <c r="P31" s="8">
        <f t="shared" si="8"/>
        <v>10.90785</v>
      </c>
      <c r="Q31" s="10">
        <f t="shared" si="9"/>
        <v>33.487099499999999</v>
      </c>
      <c r="R31" s="7">
        <f>'[3]Production Summary'!$AE91</f>
        <v>5499967</v>
      </c>
      <c r="S31" s="8">
        <f t="shared" si="10"/>
        <v>5.4999669999999998</v>
      </c>
      <c r="T31" s="10">
        <f t="shared" si="11"/>
        <v>16.88489869</v>
      </c>
      <c r="U31" s="7">
        <f>'[3]Production Summary'!$AF91</f>
        <v>5499967</v>
      </c>
      <c r="V31" s="8">
        <f t="shared" si="12"/>
        <v>5.4999669999999998</v>
      </c>
      <c r="W31" s="10">
        <f t="shared" si="13"/>
        <v>16.88489869</v>
      </c>
      <c r="X31" s="7">
        <f>'[3]Production Summary'!$AJ91</f>
        <v>179000</v>
      </c>
      <c r="Y31" s="8">
        <f t="shared" si="14"/>
        <v>0.17899999999999999</v>
      </c>
      <c r="Z31" s="10">
        <f t="shared" si="15"/>
        <v>0.54952999999999996</v>
      </c>
      <c r="AA31" s="15"/>
      <c r="AB31" s="7">
        <f t="shared" si="16"/>
        <v>10907850</v>
      </c>
      <c r="AC31" s="8">
        <f t="shared" si="16"/>
        <v>10.90785</v>
      </c>
      <c r="AD31" s="8">
        <f t="shared" si="16"/>
        <v>33.487099499999999</v>
      </c>
      <c r="AF31" s="8">
        <f>T31-Q31-Z31</f>
        <v>-17.15173081</v>
      </c>
    </row>
    <row r="32" spans="1:32" x14ac:dyDescent="0.25">
      <c r="A32" s="27">
        <v>43187</v>
      </c>
      <c r="B32" s="7">
        <f>'[3]Production Summary'!$U92</f>
        <v>0</v>
      </c>
      <c r="C32" s="8">
        <f t="shared" si="1"/>
        <v>0</v>
      </c>
      <c r="D32" s="10">
        <f t="shared" si="0"/>
        <v>0</v>
      </c>
      <c r="E32" s="7">
        <f>'[3]Production Summary'!$O92</f>
        <v>0</v>
      </c>
      <c r="F32" s="8">
        <f t="shared" si="2"/>
        <v>0</v>
      </c>
      <c r="G32" s="10">
        <f t="shared" si="3"/>
        <v>0</v>
      </c>
      <c r="H32" s="7">
        <f>'[3]Production Summary'!$Q92</f>
        <v>0</v>
      </c>
      <c r="I32" s="8">
        <f t="shared" si="4"/>
        <v>0</v>
      </c>
      <c r="J32" s="10">
        <f t="shared" si="5"/>
        <v>0</v>
      </c>
      <c r="K32" s="7">
        <f>'[3]Production Summary'!$T92</f>
        <v>13722</v>
      </c>
      <c r="L32" s="8">
        <f t="shared" si="6"/>
        <v>1.3722E-2</v>
      </c>
      <c r="M32" s="10">
        <f t="shared" si="7"/>
        <v>4.2126539999999997E-2</v>
      </c>
      <c r="N32" s="21"/>
      <c r="O32" s="7">
        <f>'[3]Production Summary'!$AL92</f>
        <v>11081921</v>
      </c>
      <c r="P32" s="8">
        <f t="shared" si="8"/>
        <v>11.081920999999999</v>
      </c>
      <c r="Q32" s="10">
        <f t="shared" si="9"/>
        <v>34.02149747</v>
      </c>
      <c r="R32" s="7">
        <f>'[3]Production Summary'!$AE92</f>
        <v>5606959</v>
      </c>
      <c r="S32" s="8">
        <f t="shared" si="10"/>
        <v>5.6069589999999998</v>
      </c>
      <c r="T32" s="10">
        <f t="shared" si="11"/>
        <v>17.213364129999999</v>
      </c>
      <c r="U32" s="7">
        <f>'[3]Production Summary'!$AF92</f>
        <v>5610959</v>
      </c>
      <c r="V32" s="8">
        <f t="shared" si="12"/>
        <v>5.6109590000000003</v>
      </c>
      <c r="W32" s="10">
        <f t="shared" si="13"/>
        <v>17.225644129999999</v>
      </c>
      <c r="X32" s="7">
        <f>'[3]Production Summary'!$AJ92</f>
        <v>181000</v>
      </c>
      <c r="Y32" s="8">
        <f t="shared" si="14"/>
        <v>0.18099999999999999</v>
      </c>
      <c r="Z32" s="10">
        <f t="shared" si="15"/>
        <v>0.55567</v>
      </c>
      <c r="AA32" s="15"/>
      <c r="AB32" s="7">
        <f t="shared" si="16"/>
        <v>11081921</v>
      </c>
      <c r="AC32" s="8">
        <f t="shared" si="16"/>
        <v>11.081920999999999</v>
      </c>
      <c r="AD32" s="8">
        <f t="shared" si="16"/>
        <v>34.02149747</v>
      </c>
      <c r="AF32" s="8">
        <f t="shared" si="18"/>
        <v>-17.36380334</v>
      </c>
    </row>
    <row r="33" spans="1:32" x14ac:dyDescent="0.25">
      <c r="A33" s="27">
        <v>43188</v>
      </c>
      <c r="B33" s="7">
        <f>'[3]Production Summary'!$U93</f>
        <v>0</v>
      </c>
      <c r="C33" s="8">
        <f t="shared" si="1"/>
        <v>0</v>
      </c>
      <c r="D33" s="10">
        <f t="shared" si="0"/>
        <v>0</v>
      </c>
      <c r="E33" s="7">
        <f>'[3]Production Summary'!$O93</f>
        <v>0</v>
      </c>
      <c r="F33" s="8">
        <f t="shared" si="2"/>
        <v>0</v>
      </c>
      <c r="G33" s="10">
        <f t="shared" si="3"/>
        <v>0</v>
      </c>
      <c r="H33" s="7">
        <f>'[3]Production Summary'!$Q93</f>
        <v>2490000</v>
      </c>
      <c r="I33" s="8">
        <f t="shared" si="4"/>
        <v>2.4900000000000002</v>
      </c>
      <c r="J33" s="10">
        <f t="shared" si="5"/>
        <v>7.6443000000000003</v>
      </c>
      <c r="K33" s="7">
        <f>'[3]Production Summary'!$T93</f>
        <v>271087</v>
      </c>
      <c r="L33" s="8">
        <f t="shared" si="6"/>
        <v>0.27108700000000002</v>
      </c>
      <c r="M33" s="10">
        <f t="shared" si="7"/>
        <v>0.83223709000000001</v>
      </c>
      <c r="N33" s="21"/>
      <c r="O33" s="7">
        <f>'[3]Production Summary'!$AL93</f>
        <v>13100741</v>
      </c>
      <c r="P33" s="8">
        <f t="shared" si="8"/>
        <v>13.100740999999999</v>
      </c>
      <c r="Q33" s="10">
        <f t="shared" si="9"/>
        <v>40.219274869999992</v>
      </c>
      <c r="R33" s="7">
        <f>'[3]Production Summary'!$AE93</f>
        <v>6737877</v>
      </c>
      <c r="S33" s="8">
        <f t="shared" si="10"/>
        <v>6.7378770000000001</v>
      </c>
      <c r="T33" s="10">
        <f t="shared" si="11"/>
        <v>20.685282389999998</v>
      </c>
      <c r="U33" s="7">
        <f>'[3]Production Summary'!$AF93</f>
        <v>6740877</v>
      </c>
      <c r="V33" s="8">
        <f t="shared" si="12"/>
        <v>6.7408770000000002</v>
      </c>
      <c r="W33" s="10">
        <f t="shared" si="13"/>
        <v>20.694492390000001</v>
      </c>
      <c r="X33" s="7">
        <f>'[3]Production Summary'!$AJ93</f>
        <v>189000</v>
      </c>
      <c r="Y33" s="8">
        <f t="shared" si="14"/>
        <v>0.189</v>
      </c>
      <c r="Z33" s="10">
        <f t="shared" si="15"/>
        <v>0.58023000000000002</v>
      </c>
      <c r="AA33" s="15"/>
      <c r="AB33" s="7">
        <f t="shared" si="16"/>
        <v>13100741</v>
      </c>
      <c r="AC33" s="8">
        <f t="shared" si="16"/>
        <v>13.100740999999999</v>
      </c>
      <c r="AD33" s="8">
        <f t="shared" si="16"/>
        <v>40.219274869999992</v>
      </c>
      <c r="AF33" s="8">
        <f t="shared" si="18"/>
        <v>-20.114222479999995</v>
      </c>
    </row>
    <row r="34" spans="1:32" x14ac:dyDescent="0.25">
      <c r="A34" s="27">
        <v>43189</v>
      </c>
      <c r="B34" s="7">
        <f>'[3]Production Summary'!$U94</f>
        <v>0</v>
      </c>
      <c r="C34" s="8">
        <f t="shared" si="1"/>
        <v>0</v>
      </c>
      <c r="D34" s="10">
        <f t="shared" si="0"/>
        <v>0</v>
      </c>
      <c r="E34" s="7">
        <f>'[3]Production Summary'!$O94</f>
        <v>0</v>
      </c>
      <c r="F34" s="8">
        <f t="shared" si="2"/>
        <v>0</v>
      </c>
      <c r="G34" s="10">
        <f t="shared" si="3"/>
        <v>0</v>
      </c>
      <c r="H34" s="7">
        <f>'[3]Production Summary'!$Q94</f>
        <v>4950000</v>
      </c>
      <c r="I34" s="8">
        <f t="shared" si="4"/>
        <v>4.95</v>
      </c>
      <c r="J34" s="10">
        <f t="shared" si="5"/>
        <v>15.1965</v>
      </c>
      <c r="K34" s="7">
        <f>'[3]Production Summary'!$T94</f>
        <v>568205</v>
      </c>
      <c r="L34" s="8">
        <f t="shared" si="6"/>
        <v>0.56820499999999996</v>
      </c>
      <c r="M34" s="10">
        <f t="shared" si="7"/>
        <v>1.7443893499999998</v>
      </c>
      <c r="N34" s="21"/>
      <c r="O34" s="7">
        <f>'[3]Production Summary'!$AL94</f>
        <v>13017738</v>
      </c>
      <c r="P34" s="8">
        <f t="shared" si="8"/>
        <v>13.017738</v>
      </c>
      <c r="Q34" s="10">
        <f t="shared" si="9"/>
        <v>39.964455659999999</v>
      </c>
      <c r="R34" s="7">
        <f>'[3]Production Summary'!$AE94</f>
        <v>6482895</v>
      </c>
      <c r="S34" s="8">
        <f t="shared" si="10"/>
        <v>6.4828950000000001</v>
      </c>
      <c r="T34" s="10">
        <f t="shared" si="11"/>
        <v>19.902487649999998</v>
      </c>
      <c r="U34" s="7">
        <f>'[3]Production Summary'!$AF94</f>
        <v>6480895</v>
      </c>
      <c r="V34" s="8">
        <f t="shared" si="12"/>
        <v>6.4808950000000003</v>
      </c>
      <c r="W34" s="10">
        <f t="shared" si="13"/>
        <v>19.896347649999999</v>
      </c>
      <c r="X34" s="7">
        <f>'[3]Production Summary'!$AJ94</f>
        <v>265000</v>
      </c>
      <c r="Y34" s="8">
        <f t="shared" si="14"/>
        <v>0.26500000000000001</v>
      </c>
      <c r="Z34" s="10">
        <f t="shared" si="15"/>
        <v>0.81355</v>
      </c>
      <c r="AA34" s="15"/>
      <c r="AB34" s="7">
        <f t="shared" si="16"/>
        <v>13017738</v>
      </c>
      <c r="AC34" s="8">
        <f t="shared" si="16"/>
        <v>13.017738</v>
      </c>
      <c r="AD34" s="8">
        <f t="shared" si="16"/>
        <v>39.964455659999999</v>
      </c>
      <c r="AF34" s="8">
        <f t="shared" si="18"/>
        <v>-20.87551801</v>
      </c>
    </row>
    <row r="35" spans="1:32" ht="13.8" thickBot="1" x14ac:dyDescent="0.3">
      <c r="A35" s="27">
        <v>43190</v>
      </c>
      <c r="B35" s="7">
        <f>'[3]Production Summary'!$U95</f>
        <v>0</v>
      </c>
      <c r="C35" s="8">
        <f t="shared" si="1"/>
        <v>0</v>
      </c>
      <c r="D35" s="10">
        <f t="shared" si="0"/>
        <v>0</v>
      </c>
      <c r="E35" s="7">
        <f>'[3]Production Summary'!$O95</f>
        <v>0</v>
      </c>
      <c r="F35" s="8">
        <f t="shared" si="2"/>
        <v>0</v>
      </c>
      <c r="G35" s="10">
        <f t="shared" si="3"/>
        <v>0</v>
      </c>
      <c r="H35" s="7">
        <f>'[3]Production Summary'!$Q95</f>
        <v>5010000</v>
      </c>
      <c r="I35" s="8">
        <f t="shared" si="4"/>
        <v>5.01</v>
      </c>
      <c r="J35" s="10">
        <f t="shared" si="5"/>
        <v>15.380699999999999</v>
      </c>
      <c r="K35" s="7">
        <f>'[3]Production Summary'!$T95</f>
        <v>460403</v>
      </c>
      <c r="L35" s="8">
        <f t="shared" si="6"/>
        <v>0.46040300000000001</v>
      </c>
      <c r="M35" s="10">
        <f t="shared" si="7"/>
        <v>1.4134372099999999</v>
      </c>
      <c r="N35" s="21"/>
      <c r="O35" s="7">
        <f>'[3]Production Summary'!$AL95</f>
        <v>11060922</v>
      </c>
      <c r="P35" s="8">
        <f t="shared" si="8"/>
        <v>11.060922</v>
      </c>
      <c r="Q35" s="10">
        <f t="shared" si="9"/>
        <v>33.957030539999998</v>
      </c>
      <c r="R35" s="7">
        <f>'[3]Production Summary'!$AE95</f>
        <v>5535964</v>
      </c>
      <c r="S35" s="8">
        <f t="shared" si="10"/>
        <v>5.5359639999999999</v>
      </c>
      <c r="T35" s="10">
        <f t="shared" si="11"/>
        <v>16.995409479999999</v>
      </c>
      <c r="U35" s="7">
        <f>'[3]Production Summary'!$AF95</f>
        <v>5532964</v>
      </c>
      <c r="V35" s="8">
        <f t="shared" si="12"/>
        <v>5.5329639999999998</v>
      </c>
      <c r="W35" s="10">
        <f t="shared" si="13"/>
        <v>16.98619948</v>
      </c>
      <c r="X35" s="7">
        <f>'[3]Production Summary'!$AJ95</f>
        <v>203000</v>
      </c>
      <c r="Y35" s="8">
        <f t="shared" si="14"/>
        <v>0.20300000000000001</v>
      </c>
      <c r="Z35" s="10">
        <f t="shared" si="15"/>
        <v>0.62321000000000004</v>
      </c>
      <c r="AA35" s="15"/>
      <c r="AB35" s="7">
        <f t="shared" si="16"/>
        <v>11060922</v>
      </c>
      <c r="AC35" s="8">
        <f t="shared" si="16"/>
        <v>11.060922</v>
      </c>
      <c r="AD35" s="8">
        <f t="shared" si="16"/>
        <v>33.957030539999998</v>
      </c>
      <c r="AF35" s="8">
        <f t="shared" si="18"/>
        <v>-17.584831059999999</v>
      </c>
    </row>
    <row r="36" spans="1:32" ht="13.8" thickBot="1" x14ac:dyDescent="0.3">
      <c r="A36" s="14"/>
      <c r="B36" s="37"/>
      <c r="C36" s="38">
        <f>SUM(C5:C35)</f>
        <v>0</v>
      </c>
      <c r="D36" s="38">
        <f t="shared" ref="D36:J36" si="19">SUM(D5:D35)</f>
        <v>0</v>
      </c>
      <c r="E36" s="37"/>
      <c r="F36" s="38">
        <f t="shared" si="19"/>
        <v>1</v>
      </c>
      <c r="G36" s="38">
        <f t="shared" si="19"/>
        <v>3.07</v>
      </c>
      <c r="H36" s="37"/>
      <c r="I36" s="38">
        <f t="shared" si="19"/>
        <v>23.33</v>
      </c>
      <c r="J36" s="38">
        <f t="shared" si="19"/>
        <v>71.623099999999994</v>
      </c>
      <c r="K36" s="37"/>
      <c r="L36" s="38">
        <f>SUM(L5:L35)</f>
        <v>2.1812860000000001</v>
      </c>
      <c r="M36" s="38">
        <f>SUM(M5:M35)</f>
        <v>6.6965480199999998</v>
      </c>
      <c r="N36" s="14"/>
      <c r="O36" s="37"/>
      <c r="P36" s="38">
        <f>SUM(P5:P35)</f>
        <v>366.43722500000001</v>
      </c>
      <c r="Q36" s="38">
        <f>SUM(Q5:Q35)</f>
        <v>1124.9622807499998</v>
      </c>
      <c r="R36" s="37"/>
      <c r="S36" s="38">
        <f>SUM(S5:S35)</f>
        <v>185.00491900000003</v>
      </c>
      <c r="T36" s="38">
        <f>SUM(T5:T35)</f>
        <v>567.96510132999992</v>
      </c>
      <c r="U36" s="37"/>
      <c r="V36" s="38">
        <f>SUM(V5:V35)</f>
        <v>184.86492800000002</v>
      </c>
      <c r="W36" s="38">
        <f>SUM(W5:W35)</f>
        <v>567.5353289599999</v>
      </c>
      <c r="X36" s="37"/>
      <c r="Y36" s="38">
        <f>SUM(Y5:Y35)</f>
        <v>6.6239969999999984</v>
      </c>
      <c r="Z36" s="38">
        <f>SUM(Z5:Z35)</f>
        <v>20.335670789999998</v>
      </c>
      <c r="AA36" s="14"/>
      <c r="AB36" s="37"/>
      <c r="AC36" s="38">
        <f>SUM(AC5:AC35)</f>
        <v>366.43722500000001</v>
      </c>
      <c r="AD36" s="38">
        <f>AC36*3.07</f>
        <v>1124.96228075</v>
      </c>
      <c r="AF36" s="38">
        <f>SUM(AF5:AF35)</f>
        <v>-577.33285020999983</v>
      </c>
    </row>
    <row r="37" spans="1:32" x14ac:dyDescent="0.25">
      <c r="C37" s="18"/>
      <c r="E37" s="3"/>
      <c r="F37" s="3"/>
      <c r="G37" s="3"/>
      <c r="H37" s="3"/>
      <c r="I37" s="3"/>
      <c r="J37" s="15"/>
      <c r="K37" s="14"/>
      <c r="L37" s="3"/>
      <c r="M37" s="3"/>
      <c r="N37" s="3"/>
      <c r="O37" s="3"/>
      <c r="P37" s="3"/>
      <c r="Q37" s="3"/>
      <c r="R37" s="3"/>
      <c r="S37" s="3"/>
      <c r="T37" s="3"/>
      <c r="U37" s="14"/>
    </row>
  </sheetData>
  <mergeCells count="9">
    <mergeCell ref="AB3:AD3"/>
    <mergeCell ref="R3:T3"/>
    <mergeCell ref="U3:W3"/>
    <mergeCell ref="X3:Z3"/>
    <mergeCell ref="B3:D3"/>
    <mergeCell ref="E3:G3"/>
    <mergeCell ref="H3:J3"/>
    <mergeCell ref="O3:Q3"/>
    <mergeCell ref="K3:M3"/>
  </mergeCells>
  <phoneticPr fontId="1" type="noConversion"/>
  <pageMargins left="0.75" right="0.75" top="1" bottom="1" header="0.5" footer="0.5"/>
  <pageSetup scale="37" orientation="landscape" r:id="rId1"/>
  <headerFooter alignWithMargins="0">
    <oddFooter>&amp;R&amp;D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AF36"/>
  <sheetViews>
    <sheetView workbookViewId="0">
      <pane xSplit="1" ySplit="4" topLeftCell="H8" activePane="bottomRight" state="frozen"/>
      <selection activeCell="D6" sqref="D5:D6"/>
      <selection pane="topRight" activeCell="D6" sqref="D5:D6"/>
      <selection pane="bottomLeft" activeCell="D6" sqref="D5:D6"/>
      <selection pane="bottomRight" activeCell="V35" sqref="V35"/>
    </sheetView>
  </sheetViews>
  <sheetFormatPr defaultRowHeight="13.2" x14ac:dyDescent="0.25"/>
  <cols>
    <col min="2" max="2" width="13.33203125" customWidth="1"/>
    <col min="5" max="5" width="13.33203125" customWidth="1"/>
    <col min="7" max="7" width="9.33203125" bestFit="1" customWidth="1"/>
    <col min="8" max="8" width="15.33203125" customWidth="1"/>
    <col min="9" max="10" width="9.33203125" bestFit="1" customWidth="1"/>
    <col min="11" max="11" width="10.33203125" customWidth="1"/>
    <col min="12" max="12" width="11.6640625" bestFit="1" customWidth="1"/>
    <col min="15" max="15" width="10.6640625" customWidth="1"/>
    <col min="16" max="17" width="9.33203125" bestFit="1" customWidth="1"/>
    <col min="18" max="18" width="10.6640625" customWidth="1"/>
    <col min="19" max="20" width="9.33203125" bestFit="1" customWidth="1"/>
    <col min="21" max="21" width="10.33203125" customWidth="1"/>
    <col min="22" max="22" width="10.6640625" customWidth="1"/>
    <col min="23" max="23" width="9" bestFit="1" customWidth="1"/>
    <col min="24" max="24" width="12.33203125" customWidth="1"/>
    <col min="25" max="26" width="9" bestFit="1" customWidth="1"/>
    <col min="28" max="28" width="13.33203125" customWidth="1"/>
  </cols>
  <sheetData>
    <row r="1" spans="1:30" x14ac:dyDescent="0.25">
      <c r="A1" s="41"/>
      <c r="B1" s="54" t="s">
        <v>23</v>
      </c>
      <c r="D1" s="25"/>
      <c r="E1" s="25"/>
      <c r="F1" s="25"/>
      <c r="G1" s="3"/>
      <c r="H1" s="3"/>
      <c r="I1" s="3"/>
      <c r="J1" s="3"/>
      <c r="K1" s="14"/>
      <c r="L1" s="3"/>
      <c r="M1" s="3"/>
      <c r="N1" s="3"/>
      <c r="O1" s="3"/>
      <c r="P1" s="3"/>
      <c r="Q1" s="3"/>
      <c r="R1" s="3"/>
      <c r="S1" s="3"/>
      <c r="T1" s="3"/>
      <c r="U1" s="14"/>
      <c r="V1" s="3"/>
      <c r="W1" s="3"/>
      <c r="X1" s="3"/>
    </row>
    <row r="2" spans="1:30" ht="13.8" thickBot="1" x14ac:dyDescent="0.3">
      <c r="A2" s="3"/>
      <c r="B2" s="3"/>
      <c r="C2" s="24"/>
      <c r="D2" s="3"/>
      <c r="E2" s="3"/>
      <c r="F2" s="3"/>
      <c r="G2" s="3"/>
      <c r="H2" s="3"/>
      <c r="I2" s="3"/>
      <c r="J2" s="3"/>
      <c r="K2" s="14"/>
      <c r="L2" s="3"/>
      <c r="M2" s="3"/>
      <c r="N2" s="3"/>
      <c r="O2" s="3"/>
      <c r="P2" s="3"/>
      <c r="Q2" s="3"/>
      <c r="R2" s="3"/>
      <c r="S2" s="3"/>
      <c r="T2" s="3"/>
      <c r="U2" s="14"/>
      <c r="V2" s="3"/>
      <c r="W2" s="3"/>
      <c r="X2" s="3"/>
    </row>
    <row r="3" spans="1:30" ht="60.75" customHeight="1" thickBot="1" x14ac:dyDescent="0.3">
      <c r="A3" s="3"/>
      <c r="B3" s="68" t="s">
        <v>9</v>
      </c>
      <c r="C3" s="69"/>
      <c r="D3" s="70"/>
      <c r="E3" s="68" t="s">
        <v>10</v>
      </c>
      <c r="F3" s="69"/>
      <c r="G3" s="70"/>
      <c r="H3" s="68" t="s">
        <v>11</v>
      </c>
      <c r="I3" s="69"/>
      <c r="J3" s="70"/>
      <c r="K3" s="68" t="s">
        <v>12</v>
      </c>
      <c r="L3" s="69"/>
      <c r="M3" s="70"/>
      <c r="N3" s="19"/>
      <c r="O3" s="68" t="s">
        <v>4</v>
      </c>
      <c r="P3" s="69"/>
      <c r="Q3" s="70"/>
      <c r="R3" s="68" t="s">
        <v>3</v>
      </c>
      <c r="S3" s="69"/>
      <c r="T3" s="70"/>
      <c r="U3" s="68" t="s">
        <v>5</v>
      </c>
      <c r="V3" s="69"/>
      <c r="W3" s="70"/>
      <c r="X3" s="68" t="s">
        <v>6</v>
      </c>
      <c r="Y3" s="69"/>
      <c r="Z3" s="70"/>
      <c r="AA3" s="19"/>
      <c r="AB3" s="65" t="s">
        <v>7</v>
      </c>
      <c r="AC3" s="66"/>
      <c r="AD3" s="67"/>
    </row>
    <row r="4" spans="1:30" x14ac:dyDescent="0.25">
      <c r="A4" s="26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19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19"/>
      <c r="AB4" s="34" t="s">
        <v>0</v>
      </c>
      <c r="AC4" s="35" t="s">
        <v>1</v>
      </c>
      <c r="AD4" s="36" t="s">
        <v>2</v>
      </c>
    </row>
    <row r="5" spans="1:30" x14ac:dyDescent="0.25">
      <c r="A5" s="27">
        <v>43191</v>
      </c>
      <c r="B5" s="7">
        <f>'[3]Production Summary'!U96</f>
        <v>0</v>
      </c>
      <c r="C5" s="8">
        <f>B5/1000000</f>
        <v>0</v>
      </c>
      <c r="D5" s="10">
        <f>C5*3.07</f>
        <v>0</v>
      </c>
      <c r="E5" s="7">
        <f>'[3]Production Summary'!O96</f>
        <v>0</v>
      </c>
      <c r="F5" s="8">
        <f>E5/1000000</f>
        <v>0</v>
      </c>
      <c r="G5" s="10">
        <f>F5*3.07</f>
        <v>0</v>
      </c>
      <c r="H5" s="7">
        <f>'[3]Production Summary'!$Q96</f>
        <v>5050000</v>
      </c>
      <c r="I5" s="8">
        <f t="shared" ref="I5:I34" si="0">H5/1000000</f>
        <v>5.05</v>
      </c>
      <c r="J5" s="10">
        <f>I5*3.07</f>
        <v>15.503499999999999</v>
      </c>
      <c r="K5" s="7">
        <f>'[3]Production Summary'!T96</f>
        <v>546645</v>
      </c>
      <c r="L5" s="8">
        <f>K5/1000000</f>
        <v>0.54664500000000005</v>
      </c>
      <c r="M5" s="10">
        <f>L5*3.07</f>
        <v>1.6782001500000001</v>
      </c>
      <c r="N5" s="21"/>
      <c r="O5" s="7">
        <f>'[3]Production Summary'!AL96</f>
        <v>12118344</v>
      </c>
      <c r="P5" s="8">
        <f>O5/1000000</f>
        <v>12.118344</v>
      </c>
      <c r="Q5" s="10">
        <f>P5*3.07</f>
        <v>37.20331608</v>
      </c>
      <c r="R5" s="7">
        <f>'[3]Production Summary'!AE96</f>
        <v>6182918</v>
      </c>
      <c r="S5" s="8">
        <f>R5/1000000</f>
        <v>6.1829179999999999</v>
      </c>
      <c r="T5" s="10">
        <f>S5*3.07</f>
        <v>18.98155826</v>
      </c>
      <c r="U5" s="7">
        <f>'[3]Production Summary'!AF96</f>
        <v>6186918</v>
      </c>
      <c r="V5" s="8">
        <f>U5/1000000</f>
        <v>6.1869180000000004</v>
      </c>
      <c r="W5" s="10">
        <f>V5*3.07</f>
        <v>18.99383826</v>
      </c>
      <c r="X5" s="7">
        <f>'[3]Production Summary'!AJ96</f>
        <v>191000</v>
      </c>
      <c r="Y5" s="8">
        <f>X5/1000000</f>
        <v>0.191</v>
      </c>
      <c r="Z5" s="10">
        <f>Y5*3.07</f>
        <v>0.58636999999999995</v>
      </c>
      <c r="AA5" s="15"/>
      <c r="AB5" s="7">
        <f>B5+O5</f>
        <v>12118344</v>
      </c>
      <c r="AC5" s="8">
        <f>C5+P5</f>
        <v>12.118344</v>
      </c>
      <c r="AD5" s="8">
        <f>D5+Q5</f>
        <v>37.20331608</v>
      </c>
    </row>
    <row r="6" spans="1:30" x14ac:dyDescent="0.25">
      <c r="A6" s="27">
        <v>43192</v>
      </c>
      <c r="B6" s="7">
        <f>'[3]Production Summary'!U97</f>
        <v>4689999.9999999413</v>
      </c>
      <c r="C6" s="8">
        <f t="shared" ref="C6:C34" si="1">B6/1000000</f>
        <v>4.6899999999999409</v>
      </c>
      <c r="D6" s="10">
        <f t="shared" ref="D6:D34" si="2">C6*3.07</f>
        <v>14.398299999999818</v>
      </c>
      <c r="E6" s="7">
        <f>'[3]Production Summary'!O97</f>
        <v>0</v>
      </c>
      <c r="F6" s="8">
        <f t="shared" ref="F6:F34" si="3">E6/1000000</f>
        <v>0</v>
      </c>
      <c r="G6" s="10">
        <f t="shared" ref="G6:G34" si="4">F6*3.07</f>
        <v>0</v>
      </c>
      <c r="H6" s="7">
        <f>'[3]Production Summary'!$Q97</f>
        <v>5280000</v>
      </c>
      <c r="I6" s="8">
        <f t="shared" si="0"/>
        <v>5.28</v>
      </c>
      <c r="J6" s="10">
        <f t="shared" ref="J6:J34" si="5">I6*3.07</f>
        <v>16.209599999999998</v>
      </c>
      <c r="K6" s="7">
        <f>'[3]Production Summary'!T97</f>
        <v>498186</v>
      </c>
      <c r="L6" s="8">
        <f t="shared" ref="L6:L34" si="6">K6/1000000</f>
        <v>0.49818600000000002</v>
      </c>
      <c r="M6" s="10">
        <f t="shared" ref="M6:M34" si="7">L6*3.07</f>
        <v>1.5294310200000001</v>
      </c>
      <c r="N6" s="21"/>
      <c r="O6" s="7">
        <f>'[3]Production Summary'!AL97</f>
        <v>9753141</v>
      </c>
      <c r="P6" s="8">
        <f t="shared" ref="P6:P34" si="8">O6/1000000</f>
        <v>9.7531409999999994</v>
      </c>
      <c r="Q6" s="10">
        <f t="shared" ref="Q6:Q34" si="9">P6*3.07</f>
        <v>29.942142869999998</v>
      </c>
      <c r="R6" s="7">
        <f>'[3]Production Summary'!AE97</f>
        <v>4925258</v>
      </c>
      <c r="S6" s="8">
        <f t="shared" ref="S6:S34" si="10">R6/1000000</f>
        <v>4.9252580000000004</v>
      </c>
      <c r="T6" s="10">
        <f t="shared" ref="T6:T34" si="11">S6*3.07</f>
        <v>15.12054206</v>
      </c>
      <c r="U6" s="7">
        <f>'[3]Production Summary'!AF97</f>
        <v>4921759</v>
      </c>
      <c r="V6" s="8">
        <f t="shared" ref="V6:V34" si="12">U6/1000000</f>
        <v>4.9217589999999998</v>
      </c>
      <c r="W6" s="10">
        <f t="shared" ref="W6:W34" si="13">V6*3.07</f>
        <v>15.109800129999998</v>
      </c>
      <c r="X6" s="7">
        <f>'[3]Production Summary'!AJ97</f>
        <v>198000</v>
      </c>
      <c r="Y6" s="8">
        <f t="shared" ref="Y6:Y34" si="14">X6/1000000</f>
        <v>0.19800000000000001</v>
      </c>
      <c r="Z6" s="10">
        <f t="shared" ref="Z6:Z34" si="15">Y6*3.07</f>
        <v>0.60785999999999996</v>
      </c>
      <c r="AA6" s="15"/>
      <c r="AB6" s="7">
        <f t="shared" ref="AB6:AD35" si="16">B6+O6</f>
        <v>14443140.99999994</v>
      </c>
      <c r="AC6" s="8">
        <f t="shared" si="16"/>
        <v>14.44314099999994</v>
      </c>
      <c r="AD6" s="8">
        <f t="shared" si="16"/>
        <v>44.340442869999819</v>
      </c>
    </row>
    <row r="7" spans="1:30" x14ac:dyDescent="0.25">
      <c r="A7" s="27">
        <v>43193</v>
      </c>
      <c r="B7" s="7">
        <f>'[3]Production Summary'!U98</f>
        <v>7580000.000000041</v>
      </c>
      <c r="C7" s="8">
        <f t="shared" si="1"/>
        <v>7.5800000000000409</v>
      </c>
      <c r="D7" s="10">
        <f t="shared" si="2"/>
        <v>23.270600000000126</v>
      </c>
      <c r="E7" s="7">
        <f>'[3]Production Summary'!O98</f>
        <v>0</v>
      </c>
      <c r="F7" s="8">
        <f t="shared" si="3"/>
        <v>0</v>
      </c>
      <c r="G7" s="10">
        <f t="shared" si="4"/>
        <v>0</v>
      </c>
      <c r="H7" s="7">
        <f>'[3]Production Summary'!$Q98</f>
        <v>5830000</v>
      </c>
      <c r="I7" s="8">
        <f t="shared" si="0"/>
        <v>5.83</v>
      </c>
      <c r="J7" s="10">
        <f t="shared" si="5"/>
        <v>17.898099999999999</v>
      </c>
      <c r="K7" s="7">
        <f>'[3]Production Summary'!T98</f>
        <v>532236</v>
      </c>
      <c r="L7" s="8">
        <f t="shared" si="6"/>
        <v>0.53223600000000004</v>
      </c>
      <c r="M7" s="10">
        <f t="shared" si="7"/>
        <v>1.6339645200000001</v>
      </c>
      <c r="N7" s="21"/>
      <c r="O7" s="7">
        <f>'[3]Production Summary'!AL98</f>
        <v>8975073</v>
      </c>
      <c r="P7" s="8">
        <f t="shared" si="8"/>
        <v>8.9750730000000001</v>
      </c>
      <c r="Q7" s="10">
        <f t="shared" si="9"/>
        <v>27.55347411</v>
      </c>
      <c r="R7" s="7">
        <f>'[3]Production Summary'!AE98</f>
        <v>4506039</v>
      </c>
      <c r="S7" s="8">
        <f t="shared" si="10"/>
        <v>4.5060390000000003</v>
      </c>
      <c r="T7" s="10">
        <f t="shared" si="11"/>
        <v>13.83353973</v>
      </c>
      <c r="U7" s="7">
        <f>'[3]Production Summary'!AF98</f>
        <v>4500040</v>
      </c>
      <c r="V7" s="8">
        <f t="shared" si="12"/>
        <v>4.5000400000000003</v>
      </c>
      <c r="W7" s="10">
        <f t="shared" si="13"/>
        <v>13.815122799999999</v>
      </c>
      <c r="X7" s="7">
        <f>'[3]Production Summary'!AJ98</f>
        <v>190000</v>
      </c>
      <c r="Y7" s="8">
        <f t="shared" si="14"/>
        <v>0.19</v>
      </c>
      <c r="Z7" s="10">
        <f t="shared" si="15"/>
        <v>0.58329999999999993</v>
      </c>
      <c r="AA7" s="15"/>
      <c r="AB7" s="7">
        <f t="shared" si="16"/>
        <v>16555073.000000041</v>
      </c>
      <c r="AC7" s="8">
        <f t="shared" si="16"/>
        <v>16.555073000000043</v>
      </c>
      <c r="AD7" s="8">
        <f t="shared" si="16"/>
        <v>50.824074110000126</v>
      </c>
    </row>
    <row r="8" spans="1:30" x14ac:dyDescent="0.25">
      <c r="A8" s="27">
        <v>43194</v>
      </c>
      <c r="B8" s="7">
        <f>'[3]Production Summary'!U99</f>
        <v>7279999.999999973</v>
      </c>
      <c r="C8" s="8">
        <f t="shared" si="1"/>
        <v>7.2799999999999727</v>
      </c>
      <c r="D8" s="10">
        <f t="shared" si="2"/>
        <v>22.349599999999914</v>
      </c>
      <c r="E8" s="7">
        <f>'[3]Production Summary'!O99</f>
        <v>0</v>
      </c>
      <c r="F8" s="8">
        <f t="shared" si="3"/>
        <v>0</v>
      </c>
      <c r="G8" s="10">
        <f t="shared" si="4"/>
        <v>0</v>
      </c>
      <c r="H8" s="7">
        <f>'[3]Production Summary'!$Q99</f>
        <v>6470000</v>
      </c>
      <c r="I8" s="8">
        <f t="shared" si="0"/>
        <v>6.47</v>
      </c>
      <c r="J8" s="10">
        <f t="shared" si="5"/>
        <v>19.8629</v>
      </c>
      <c r="K8" s="7">
        <f>'[3]Production Summary'!T99</f>
        <v>542892</v>
      </c>
      <c r="L8" s="8">
        <f t="shared" si="6"/>
        <v>0.54289200000000004</v>
      </c>
      <c r="M8" s="10">
        <f t="shared" si="7"/>
        <v>1.6666784400000001</v>
      </c>
      <c r="N8" s="21"/>
      <c r="O8" s="7">
        <f>'[3]Production Summary'!AL99</f>
        <v>8916046</v>
      </c>
      <c r="P8" s="8">
        <f t="shared" si="8"/>
        <v>8.9160459999999997</v>
      </c>
      <c r="Q8" s="10">
        <f t="shared" si="9"/>
        <v>27.372261219999999</v>
      </c>
      <c r="R8" s="7">
        <f>'[3]Production Summary'!AE99</f>
        <v>4489040</v>
      </c>
      <c r="S8" s="8">
        <f t="shared" ref="S8:S16" si="17">R8/1000000</f>
        <v>4.4890400000000001</v>
      </c>
      <c r="T8" s="10">
        <f t="shared" ref="T8:T16" si="18">S8*3.07</f>
        <v>13.781352800000001</v>
      </c>
      <c r="U8" s="7">
        <f>'[3]Production Summary'!AF99</f>
        <v>4499040</v>
      </c>
      <c r="V8" s="8">
        <f t="shared" si="12"/>
        <v>4.4990399999999999</v>
      </c>
      <c r="W8" s="10">
        <f t="shared" si="13"/>
        <v>13.812052799999998</v>
      </c>
      <c r="X8" s="7">
        <f>'[3]Production Summary'!AJ99</f>
        <v>181000</v>
      </c>
      <c r="Y8" s="8">
        <f t="shared" si="14"/>
        <v>0.18099999999999999</v>
      </c>
      <c r="Z8" s="10">
        <f t="shared" si="15"/>
        <v>0.55567</v>
      </c>
      <c r="AA8" s="15"/>
      <c r="AB8" s="7">
        <f t="shared" si="16"/>
        <v>16196045.999999974</v>
      </c>
      <c r="AC8" s="8">
        <f t="shared" si="16"/>
        <v>16.196045999999974</v>
      </c>
      <c r="AD8" s="8">
        <f>D8+Q8</f>
        <v>49.721861219999909</v>
      </c>
    </row>
    <row r="9" spans="1:30" x14ac:dyDescent="0.25">
      <c r="A9" s="27">
        <v>43195</v>
      </c>
      <c r="B9" s="7">
        <f>'[3]Production Summary'!U100</f>
        <v>6490000.0000000093</v>
      </c>
      <c r="C9" s="8">
        <f t="shared" si="1"/>
        <v>6.4900000000000091</v>
      </c>
      <c r="D9" s="10">
        <f t="shared" si="2"/>
        <v>19.924300000000027</v>
      </c>
      <c r="E9" s="7">
        <f>'[3]Production Summary'!O100</f>
        <v>0</v>
      </c>
      <c r="F9" s="8">
        <f t="shared" si="3"/>
        <v>0</v>
      </c>
      <c r="G9" s="10">
        <f t="shared" si="4"/>
        <v>0</v>
      </c>
      <c r="H9" s="7">
        <f>'[3]Production Summary'!$Q100</f>
        <v>7050000</v>
      </c>
      <c r="I9" s="8">
        <f t="shared" si="0"/>
        <v>7.05</v>
      </c>
      <c r="J9" s="10">
        <f t="shared" si="5"/>
        <v>21.6435</v>
      </c>
      <c r="K9" s="7">
        <f>'[3]Production Summary'!T100</f>
        <v>578450</v>
      </c>
      <c r="L9" s="8">
        <f t="shared" si="6"/>
        <v>0.57845000000000002</v>
      </c>
      <c r="M9" s="10">
        <f t="shared" si="7"/>
        <v>1.7758415000000001</v>
      </c>
      <c r="N9" s="21"/>
      <c r="O9" s="7">
        <f>'[3]Production Summary'!AL100</f>
        <v>7573620</v>
      </c>
      <c r="P9" s="8">
        <f t="shared" ref="P9:P13" si="19">O9/1000000</f>
        <v>7.57362</v>
      </c>
      <c r="Q9" s="10">
        <f t="shared" ref="Q9:Q13" si="20">P9*3.07</f>
        <v>23.251013399999998</v>
      </c>
      <c r="R9" s="7">
        <f>'[3]Production Summary'!AE100</f>
        <v>3878070</v>
      </c>
      <c r="S9" s="8">
        <f t="shared" si="17"/>
        <v>3.8780700000000001</v>
      </c>
      <c r="T9" s="10">
        <f t="shared" si="18"/>
        <v>11.905674899999999</v>
      </c>
      <c r="U9" s="7">
        <f>'[3]Production Summary'!AF100</f>
        <v>3881069</v>
      </c>
      <c r="V9" s="8">
        <f t="shared" si="12"/>
        <v>3.8810690000000001</v>
      </c>
      <c r="W9" s="10">
        <f t="shared" si="13"/>
        <v>11.914881830000001</v>
      </c>
      <c r="X9" s="7">
        <f>'[3]Production Summary'!AJ100</f>
        <v>196000</v>
      </c>
      <c r="Y9" s="8">
        <f t="shared" si="14"/>
        <v>0.19600000000000001</v>
      </c>
      <c r="Z9" s="10">
        <f t="shared" si="15"/>
        <v>0.60172000000000003</v>
      </c>
      <c r="AA9" s="15"/>
      <c r="AB9" s="7">
        <f t="shared" si="16"/>
        <v>14063620.000000009</v>
      </c>
      <c r="AC9" s="8">
        <f t="shared" si="16"/>
        <v>14.063620000000009</v>
      </c>
      <c r="AD9" s="8">
        <f t="shared" si="16"/>
        <v>43.175313400000022</v>
      </c>
    </row>
    <row r="10" spans="1:30" x14ac:dyDescent="0.25">
      <c r="A10" s="27">
        <v>43196</v>
      </c>
      <c r="B10" s="7">
        <f>'[3]Production Summary'!U101</f>
        <v>7139999.999999986</v>
      </c>
      <c r="C10" s="8">
        <f t="shared" si="1"/>
        <v>7.1399999999999864</v>
      </c>
      <c r="D10" s="10">
        <f t="shared" si="2"/>
        <v>21.919799999999956</v>
      </c>
      <c r="E10" s="7">
        <f>'[3]Production Summary'!O101</f>
        <v>0</v>
      </c>
      <c r="F10" s="8">
        <f t="shared" si="3"/>
        <v>0</v>
      </c>
      <c r="G10" s="10">
        <f t="shared" si="4"/>
        <v>0</v>
      </c>
      <c r="H10" s="7">
        <f>'[3]Production Summary'!$Q101</f>
        <v>6950000</v>
      </c>
      <c r="I10" s="8">
        <f t="shared" si="0"/>
        <v>6.95</v>
      </c>
      <c r="J10" s="10">
        <f t="shared" si="5"/>
        <v>21.336500000000001</v>
      </c>
      <c r="K10" s="7">
        <f>'[3]Production Summary'!T101</f>
        <v>751855</v>
      </c>
      <c r="L10" s="8">
        <f t="shared" si="6"/>
        <v>0.75185500000000005</v>
      </c>
      <c r="M10" s="10">
        <f t="shared" si="7"/>
        <v>2.30819485</v>
      </c>
      <c r="N10" s="21"/>
      <c r="O10" s="7">
        <f>'[3]Production Summary'!AL101</f>
        <v>6311713</v>
      </c>
      <c r="P10" s="8">
        <f t="shared" si="19"/>
        <v>6.3117130000000001</v>
      </c>
      <c r="Q10" s="10">
        <f t="shared" si="20"/>
        <v>19.376958909999999</v>
      </c>
      <c r="R10" s="7">
        <f>'[3]Production Summary'!AE101</f>
        <v>3387046</v>
      </c>
      <c r="S10" s="8">
        <f t="shared" si="17"/>
        <v>3.3870459999999998</v>
      </c>
      <c r="T10" s="10">
        <f t="shared" si="18"/>
        <v>10.39823122</v>
      </c>
      <c r="U10" s="7">
        <f>'[3]Production Summary'!AF101</f>
        <v>3391046</v>
      </c>
      <c r="V10" s="8">
        <f t="shared" si="12"/>
        <v>3.3910459999999998</v>
      </c>
      <c r="W10" s="10">
        <f t="shared" si="13"/>
        <v>10.410511219999998</v>
      </c>
      <c r="X10" s="7">
        <f>'[3]Production Summary'!AJ101</f>
        <v>167000</v>
      </c>
      <c r="Y10" s="8">
        <f t="shared" si="14"/>
        <v>0.16700000000000001</v>
      </c>
      <c r="Z10" s="10">
        <f t="shared" si="15"/>
        <v>0.51268999999999998</v>
      </c>
      <c r="AA10" s="15"/>
      <c r="AB10" s="7">
        <f t="shared" si="16"/>
        <v>13451712.999999985</v>
      </c>
      <c r="AC10" s="8">
        <f t="shared" si="16"/>
        <v>13.451712999999987</v>
      </c>
      <c r="AD10" s="8">
        <f t="shared" si="16"/>
        <v>41.296758909999951</v>
      </c>
    </row>
    <row r="11" spans="1:30" x14ac:dyDescent="0.25">
      <c r="A11" s="27">
        <v>43197</v>
      </c>
      <c r="B11" s="7">
        <f>'[3]Production Summary'!U102</f>
        <v>7160000.000000082</v>
      </c>
      <c r="C11" s="8">
        <f t="shared" si="1"/>
        <v>7.1600000000000819</v>
      </c>
      <c r="D11" s="10">
        <f t="shared" si="2"/>
        <v>21.98120000000025</v>
      </c>
      <c r="E11" s="7">
        <f>'[3]Production Summary'!O102</f>
        <v>0</v>
      </c>
      <c r="F11" s="8">
        <f t="shared" si="3"/>
        <v>0</v>
      </c>
      <c r="G11" s="10">
        <f t="shared" si="4"/>
        <v>0</v>
      </c>
      <c r="H11" s="7">
        <f>'[3]Production Summary'!$Q102</f>
        <v>7830000</v>
      </c>
      <c r="I11" s="8">
        <f t="shared" si="0"/>
        <v>7.83</v>
      </c>
      <c r="J11" s="10">
        <f t="shared" si="5"/>
        <v>24.0381</v>
      </c>
      <c r="K11" s="7">
        <f>'[3]Production Summary'!T102</f>
        <v>951530</v>
      </c>
      <c r="L11" s="8">
        <f t="shared" ref="L11:L12" si="21">K11/1000000</f>
        <v>0.95152999999999999</v>
      </c>
      <c r="M11" s="10">
        <f t="shared" ref="M11:M12" si="22">L11*3.07</f>
        <v>2.9211970999999997</v>
      </c>
      <c r="N11" s="21"/>
      <c r="O11" s="7">
        <f>'[3]Production Summary'!AL102</f>
        <v>6182724</v>
      </c>
      <c r="P11" s="8">
        <f t="shared" si="19"/>
        <v>6.1827240000000003</v>
      </c>
      <c r="Q11" s="10">
        <f t="shared" si="20"/>
        <v>18.980962680000001</v>
      </c>
      <c r="R11" s="7">
        <f>'[3]Production Summary'!AE102</f>
        <v>3045030</v>
      </c>
      <c r="S11" s="8">
        <f t="shared" si="17"/>
        <v>3.0450300000000001</v>
      </c>
      <c r="T11" s="10">
        <f t="shared" si="18"/>
        <v>9.3482421000000002</v>
      </c>
      <c r="U11" s="7">
        <f>'[3]Production Summary'!AF102</f>
        <v>3473051</v>
      </c>
      <c r="V11" s="8">
        <f t="shared" si="12"/>
        <v>3.4730509999999999</v>
      </c>
      <c r="W11" s="10">
        <f t="shared" si="13"/>
        <v>10.66226657</v>
      </c>
      <c r="X11" s="7">
        <f>'[3]Production Summary'!AJ102</f>
        <v>153000</v>
      </c>
      <c r="Y11" s="8">
        <f t="shared" si="14"/>
        <v>0.153</v>
      </c>
      <c r="Z11" s="10">
        <f t="shared" si="15"/>
        <v>0.46970999999999996</v>
      </c>
      <c r="AA11" s="15"/>
      <c r="AB11" s="7">
        <f t="shared" si="16"/>
        <v>13342724.000000082</v>
      </c>
      <c r="AC11" s="8">
        <f t="shared" si="16"/>
        <v>13.342724000000082</v>
      </c>
      <c r="AD11" s="8">
        <f t="shared" si="16"/>
        <v>40.962162680000247</v>
      </c>
    </row>
    <row r="12" spans="1:30" x14ac:dyDescent="0.25">
      <c r="A12" s="27">
        <v>43198</v>
      </c>
      <c r="B12" s="7">
        <f>'[3]Production Summary'!U103</f>
        <v>6250000</v>
      </c>
      <c r="C12" s="8">
        <f t="shared" si="1"/>
        <v>6.25</v>
      </c>
      <c r="D12" s="10">
        <f t="shared" si="2"/>
        <v>19.1875</v>
      </c>
      <c r="E12" s="7">
        <f>'[3]Production Summary'!O103</f>
        <v>0</v>
      </c>
      <c r="F12" s="8">
        <f t="shared" si="3"/>
        <v>0</v>
      </c>
      <c r="G12" s="10">
        <f t="shared" si="4"/>
        <v>0</v>
      </c>
      <c r="H12" s="7">
        <f>'[3]Production Summary'!$Q103</f>
        <v>5860000</v>
      </c>
      <c r="I12" s="8">
        <f t="shared" si="0"/>
        <v>5.86</v>
      </c>
      <c r="J12" s="10">
        <f t="shared" si="5"/>
        <v>17.990200000000002</v>
      </c>
      <c r="K12" s="7">
        <f>'[3]Production Summary'!T103</f>
        <v>544018</v>
      </c>
      <c r="L12" s="8">
        <f t="shared" si="21"/>
        <v>0.544018</v>
      </c>
      <c r="M12" s="10">
        <f t="shared" si="22"/>
        <v>1.6701352599999999</v>
      </c>
      <c r="N12" s="21"/>
      <c r="O12" s="7">
        <f>'[3]Production Summary'!AL103</f>
        <v>6973665</v>
      </c>
      <c r="P12" s="8">
        <f t="shared" si="19"/>
        <v>6.9736649999999996</v>
      </c>
      <c r="Q12" s="10">
        <f t="shared" si="20"/>
        <v>21.409151549999997</v>
      </c>
      <c r="R12" s="7">
        <f>'[3]Production Summary'!AE103</f>
        <v>2883023</v>
      </c>
      <c r="S12" s="8">
        <f t="shared" si="17"/>
        <v>2.8830230000000001</v>
      </c>
      <c r="T12" s="10">
        <f t="shared" si="18"/>
        <v>8.850880609999999</v>
      </c>
      <c r="U12" s="7">
        <f>'[3]Production Summary'!AF103</f>
        <v>3486051</v>
      </c>
      <c r="V12" s="8">
        <f t="shared" si="12"/>
        <v>3.4860509999999998</v>
      </c>
      <c r="W12" s="10">
        <f t="shared" si="13"/>
        <v>10.702176569999999</v>
      </c>
      <c r="X12" s="7">
        <f>'[3]Production Summary'!AJ103</f>
        <v>176000</v>
      </c>
      <c r="Y12" s="8">
        <f t="shared" si="14"/>
        <v>0.17599999999999999</v>
      </c>
      <c r="Z12" s="10">
        <f t="shared" si="15"/>
        <v>0.54031999999999991</v>
      </c>
      <c r="AA12" s="15"/>
      <c r="AB12" s="7">
        <f t="shared" si="16"/>
        <v>13223665</v>
      </c>
      <c r="AC12" s="8">
        <f t="shared" si="16"/>
        <v>13.223665</v>
      </c>
      <c r="AD12" s="8">
        <f t="shared" si="16"/>
        <v>40.596651549999997</v>
      </c>
    </row>
    <row r="13" spans="1:30" x14ac:dyDescent="0.25">
      <c r="A13" s="27">
        <v>43199</v>
      </c>
      <c r="B13" s="7">
        <f>'[3]Production Summary'!U104</f>
        <v>6359999.9999999003</v>
      </c>
      <c r="C13" s="8">
        <f t="shared" si="1"/>
        <v>6.3599999999999</v>
      </c>
      <c r="D13" s="10">
        <f t="shared" si="2"/>
        <v>19.525199999999693</v>
      </c>
      <c r="E13" s="7">
        <f>'[3]Production Summary'!O104</f>
        <v>0</v>
      </c>
      <c r="F13" s="8">
        <f t="shared" si="3"/>
        <v>0</v>
      </c>
      <c r="G13" s="10">
        <f t="shared" si="4"/>
        <v>0</v>
      </c>
      <c r="H13" s="7">
        <f>'[3]Production Summary'!$Q104</f>
        <v>6400000</v>
      </c>
      <c r="I13" s="8">
        <f t="shared" si="0"/>
        <v>6.4</v>
      </c>
      <c r="J13" s="10">
        <f t="shared" si="5"/>
        <v>19.648</v>
      </c>
      <c r="K13" s="7">
        <f>'[3]Production Summary'!T104</f>
        <v>854555</v>
      </c>
      <c r="L13" s="8">
        <f t="shared" si="6"/>
        <v>0.85455499999999995</v>
      </c>
      <c r="M13" s="10">
        <f t="shared" si="7"/>
        <v>2.6234838499999995</v>
      </c>
      <c r="N13" s="21"/>
      <c r="O13" s="7">
        <f>'[3]Production Summary'!AL104</f>
        <v>5353782</v>
      </c>
      <c r="P13" s="8">
        <f t="shared" si="19"/>
        <v>5.3537819999999998</v>
      </c>
      <c r="Q13" s="10">
        <f t="shared" si="20"/>
        <v>16.43611074</v>
      </c>
      <c r="R13" s="7">
        <f>'[3]Production Summary'!AE104</f>
        <v>2381000</v>
      </c>
      <c r="S13" s="8">
        <f t="shared" si="17"/>
        <v>2.3809999999999998</v>
      </c>
      <c r="T13" s="10">
        <f t="shared" si="18"/>
        <v>7.3096699999999988</v>
      </c>
      <c r="U13" s="7">
        <f>'[3]Production Summary'!AF104</f>
        <v>3000029</v>
      </c>
      <c r="V13" s="8">
        <f t="shared" si="12"/>
        <v>3.0000290000000001</v>
      </c>
      <c r="W13" s="10">
        <f t="shared" si="13"/>
        <v>9.2100890299999989</v>
      </c>
      <c r="X13" s="7">
        <f>'[3]Production Summary'!AJ104</f>
        <v>177000</v>
      </c>
      <c r="Y13" s="8">
        <f t="shared" si="14"/>
        <v>0.17699999999999999</v>
      </c>
      <c r="Z13" s="10">
        <f t="shared" si="15"/>
        <v>0.54338999999999993</v>
      </c>
      <c r="AA13" s="15"/>
      <c r="AB13" s="7">
        <f t="shared" si="16"/>
        <v>11713781.999999899</v>
      </c>
      <c r="AC13" s="8">
        <f t="shared" si="16"/>
        <v>11.713781999999899</v>
      </c>
      <c r="AD13" s="8">
        <f t="shared" si="16"/>
        <v>35.961310739999689</v>
      </c>
    </row>
    <row r="14" spans="1:30" x14ac:dyDescent="0.25">
      <c r="A14" s="27">
        <v>43200</v>
      </c>
      <c r="B14" s="7">
        <f>'[3]Production Summary'!U105</f>
        <v>7070000.0000000503</v>
      </c>
      <c r="C14" s="8">
        <f t="shared" si="1"/>
        <v>7.07000000000005</v>
      </c>
      <c r="D14" s="10">
        <f t="shared" si="2"/>
        <v>21.704900000000151</v>
      </c>
      <c r="E14" s="7">
        <f>'[3]Production Summary'!O105</f>
        <v>0</v>
      </c>
      <c r="F14" s="8">
        <f t="shared" si="3"/>
        <v>0</v>
      </c>
      <c r="G14" s="10">
        <f t="shared" si="4"/>
        <v>0</v>
      </c>
      <c r="H14" s="7">
        <f>'[3]Production Summary'!$Q105</f>
        <v>7480000</v>
      </c>
      <c r="I14" s="8">
        <f t="shared" si="0"/>
        <v>7.48</v>
      </c>
      <c r="J14" s="10">
        <f t="shared" si="5"/>
        <v>22.9636</v>
      </c>
      <c r="K14" s="7">
        <f>'[3]Production Summary'!T105</f>
        <v>1008025</v>
      </c>
      <c r="L14" s="8">
        <f t="shared" si="6"/>
        <v>1.0080249999999999</v>
      </c>
      <c r="M14" s="10">
        <f t="shared" si="7"/>
        <v>3.0946367499999998</v>
      </c>
      <c r="N14" s="21"/>
      <c r="O14" s="7">
        <f>'[3]Production Summary'!AL105</f>
        <v>5811749</v>
      </c>
      <c r="P14" s="8">
        <f t="shared" si="8"/>
        <v>5.8117489999999998</v>
      </c>
      <c r="Q14" s="10">
        <f t="shared" si="9"/>
        <v>17.842069429999999</v>
      </c>
      <c r="R14" s="7">
        <f>'[3]Production Summary'!AE105</f>
        <v>2391000</v>
      </c>
      <c r="S14" s="8">
        <f t="shared" si="17"/>
        <v>2.391</v>
      </c>
      <c r="T14" s="10">
        <f t="shared" si="18"/>
        <v>7.3403700000000001</v>
      </c>
      <c r="U14" s="7">
        <f>'[3]Production Summary'!AF105</f>
        <v>2701029</v>
      </c>
      <c r="V14" s="8">
        <f t="shared" si="12"/>
        <v>2.7010290000000001</v>
      </c>
      <c r="W14" s="10">
        <f t="shared" si="13"/>
        <v>8.2921590300000005</v>
      </c>
      <c r="X14" s="7">
        <f>'[3]Production Summary'!AJ105</f>
        <v>176000</v>
      </c>
      <c r="Y14" s="8">
        <f t="shared" si="14"/>
        <v>0.17599999999999999</v>
      </c>
      <c r="Z14" s="10">
        <f t="shared" si="15"/>
        <v>0.54031999999999991</v>
      </c>
      <c r="AA14" s="15"/>
      <c r="AB14" s="7">
        <f t="shared" si="16"/>
        <v>12881749.00000005</v>
      </c>
      <c r="AC14" s="8">
        <f t="shared" si="16"/>
        <v>12.881749000000049</v>
      </c>
      <c r="AD14" s="8">
        <f t="shared" si="16"/>
        <v>39.546969430000146</v>
      </c>
    </row>
    <row r="15" spans="1:30" x14ac:dyDescent="0.25">
      <c r="A15" s="27">
        <v>43201</v>
      </c>
      <c r="B15" s="7">
        <f>'[3]Production Summary'!U106</f>
        <v>7690000.0000000549</v>
      </c>
      <c r="C15" s="8">
        <f t="shared" si="1"/>
        <v>7.6900000000000546</v>
      </c>
      <c r="D15" s="10">
        <f t="shared" si="2"/>
        <v>23.608300000000167</v>
      </c>
      <c r="E15" s="7">
        <f>'[3]Production Summary'!O106</f>
        <v>0</v>
      </c>
      <c r="F15" s="8">
        <f t="shared" si="3"/>
        <v>0</v>
      </c>
      <c r="G15" s="10">
        <f t="shared" si="4"/>
        <v>0</v>
      </c>
      <c r="H15" s="7">
        <f>'[3]Production Summary'!$Q106</f>
        <v>8310000</v>
      </c>
      <c r="I15" s="8">
        <f t="shared" si="0"/>
        <v>8.31</v>
      </c>
      <c r="J15" s="10">
        <f t="shared" si="5"/>
        <v>25.511700000000001</v>
      </c>
      <c r="K15" s="7">
        <f>'[3]Production Summary'!T106</f>
        <v>900050</v>
      </c>
      <c r="L15" s="8">
        <f t="shared" si="6"/>
        <v>0.90005000000000002</v>
      </c>
      <c r="M15" s="10">
        <f t="shared" si="7"/>
        <v>2.7631535</v>
      </c>
      <c r="N15" s="21"/>
      <c r="O15" s="7">
        <f>'[3]Production Summary'!AL106</f>
        <v>5643763</v>
      </c>
      <c r="P15" s="8">
        <f t="shared" si="8"/>
        <v>5.6437629999999999</v>
      </c>
      <c r="Q15" s="10">
        <f t="shared" si="9"/>
        <v>17.326352409999998</v>
      </c>
      <c r="R15" s="7">
        <f>'[3]Production Summary'!AE106</f>
        <v>2391000</v>
      </c>
      <c r="S15" s="8">
        <f t="shared" si="17"/>
        <v>2.391</v>
      </c>
      <c r="T15" s="10">
        <f t="shared" si="18"/>
        <v>7.3403700000000001</v>
      </c>
      <c r="U15" s="7">
        <f>'[3]Production Summary'!AF106</f>
        <v>2999029</v>
      </c>
      <c r="V15" s="8">
        <f t="shared" si="12"/>
        <v>2.9990290000000002</v>
      </c>
      <c r="W15" s="10">
        <f t="shared" si="13"/>
        <v>9.2070190299999997</v>
      </c>
      <c r="X15" s="7">
        <f>'[3]Production Summary'!AJ106</f>
        <v>148000</v>
      </c>
      <c r="Y15" s="8">
        <f t="shared" si="14"/>
        <v>0.14799999999999999</v>
      </c>
      <c r="Z15" s="10">
        <f t="shared" si="15"/>
        <v>0.45435999999999993</v>
      </c>
      <c r="AA15" s="15"/>
      <c r="AB15" s="7">
        <f t="shared" si="16"/>
        <v>13333763.000000056</v>
      </c>
      <c r="AC15" s="8">
        <f t="shared" si="16"/>
        <v>13.333763000000054</v>
      </c>
      <c r="AD15" s="8">
        <f t="shared" si="16"/>
        <v>40.934652410000169</v>
      </c>
    </row>
    <row r="16" spans="1:30" x14ac:dyDescent="0.25">
      <c r="A16" s="27">
        <v>43202</v>
      </c>
      <c r="B16" s="7">
        <f>'[3]Production Summary'!U107</f>
        <v>8049999.9999999544</v>
      </c>
      <c r="C16" s="8">
        <f t="shared" si="1"/>
        <v>8.0499999999999545</v>
      </c>
      <c r="D16" s="10">
        <f t="shared" si="2"/>
        <v>24.713499999999858</v>
      </c>
      <c r="E16" s="7">
        <f>'[3]Production Summary'!O107</f>
        <v>0</v>
      </c>
      <c r="F16" s="8">
        <f t="shared" si="3"/>
        <v>0</v>
      </c>
      <c r="G16" s="10">
        <f t="shared" si="4"/>
        <v>0</v>
      </c>
      <c r="H16" s="7">
        <f>'[3]Production Summary'!$Q107</f>
        <v>8700000</v>
      </c>
      <c r="I16" s="8">
        <f t="shared" si="0"/>
        <v>8.6999999999999993</v>
      </c>
      <c r="J16" s="10">
        <f t="shared" si="5"/>
        <v>26.708999999999996</v>
      </c>
      <c r="K16" s="7">
        <f>'[3]Production Summary'!T107</f>
        <v>924357</v>
      </c>
      <c r="L16" s="8">
        <f t="shared" si="6"/>
        <v>0.92435699999999998</v>
      </c>
      <c r="M16" s="10">
        <f t="shared" si="7"/>
        <v>2.8377759899999999</v>
      </c>
      <c r="N16" s="21"/>
      <c r="O16" s="7">
        <f>'[3]Production Summary'!AL107</f>
        <v>6063743</v>
      </c>
      <c r="P16" s="8">
        <f t="shared" si="8"/>
        <v>6.0637429999999997</v>
      </c>
      <c r="Q16" s="10">
        <f t="shared" si="9"/>
        <v>18.615691009999999</v>
      </c>
      <c r="R16" s="7">
        <f>'[3]Production Summary'!AE107</f>
        <v>2389000</v>
      </c>
      <c r="S16" s="8">
        <f t="shared" si="17"/>
        <v>2.3889999999999998</v>
      </c>
      <c r="T16" s="10">
        <f t="shared" si="18"/>
        <v>7.3342299999999989</v>
      </c>
      <c r="U16" s="7">
        <f>'[3]Production Summary'!AF107</f>
        <v>3000029</v>
      </c>
      <c r="V16" s="8">
        <f t="shared" si="12"/>
        <v>3.0000290000000001</v>
      </c>
      <c r="W16" s="10">
        <f t="shared" si="13"/>
        <v>9.2100890299999989</v>
      </c>
      <c r="X16" s="7">
        <f>'[3]Production Summary'!AJ107</f>
        <v>0</v>
      </c>
      <c r="Y16" s="8">
        <f t="shared" si="14"/>
        <v>0</v>
      </c>
      <c r="Z16" s="10">
        <f t="shared" si="15"/>
        <v>0</v>
      </c>
      <c r="AA16" s="15"/>
      <c r="AB16" s="7">
        <f t="shared" si="16"/>
        <v>14113742.999999955</v>
      </c>
      <c r="AC16" s="8">
        <f t="shared" si="16"/>
        <v>14.113742999999953</v>
      </c>
      <c r="AD16" s="8">
        <f t="shared" si="16"/>
        <v>43.32919100999986</v>
      </c>
    </row>
    <row r="17" spans="1:30" x14ac:dyDescent="0.25">
      <c r="A17" s="27">
        <v>43203</v>
      </c>
      <c r="B17" s="7">
        <f>'[3]Production Summary'!U108</f>
        <v>7189999.9999999413</v>
      </c>
      <c r="C17" s="8">
        <f t="shared" si="1"/>
        <v>7.1899999999999409</v>
      </c>
      <c r="D17" s="10">
        <f t="shared" si="2"/>
        <v>22.073299999999819</v>
      </c>
      <c r="E17" s="7">
        <f>'[3]Production Summary'!O108</f>
        <v>0</v>
      </c>
      <c r="F17" s="8">
        <f t="shared" si="3"/>
        <v>0</v>
      </c>
      <c r="G17" s="10">
        <f t="shared" si="4"/>
        <v>0</v>
      </c>
      <c r="H17" s="7">
        <f>'[3]Production Summary'!$Q108</f>
        <v>7360000</v>
      </c>
      <c r="I17" s="8">
        <f t="shared" si="0"/>
        <v>7.36</v>
      </c>
      <c r="J17" s="10">
        <f t="shared" si="5"/>
        <v>22.595199999999998</v>
      </c>
      <c r="K17" s="7">
        <f>'[3]Production Summary'!T108</f>
        <v>979018</v>
      </c>
      <c r="L17" s="8">
        <f t="shared" si="6"/>
        <v>0.97901800000000005</v>
      </c>
      <c r="M17" s="10">
        <f t="shared" si="7"/>
        <v>3.0055852600000001</v>
      </c>
      <c r="N17" s="21"/>
      <c r="O17" s="7">
        <f>'[3]Production Summary'!AL108</f>
        <v>5946752</v>
      </c>
      <c r="P17" s="8">
        <f t="shared" si="8"/>
        <v>5.946752</v>
      </c>
      <c r="Q17" s="10">
        <f t="shared" si="9"/>
        <v>18.256528639999999</v>
      </c>
      <c r="R17" s="7">
        <f>'[3]Production Summary'!AE108</f>
        <v>2403001</v>
      </c>
      <c r="S17" s="8">
        <f t="shared" si="10"/>
        <v>2.4030010000000002</v>
      </c>
      <c r="T17" s="10">
        <f t="shared" si="11"/>
        <v>7.3772130699999998</v>
      </c>
      <c r="U17" s="7">
        <f>'[3]Production Summary'!AF108</f>
        <v>3001029</v>
      </c>
      <c r="V17" s="8">
        <f t="shared" si="12"/>
        <v>3.0010289999999999</v>
      </c>
      <c r="W17" s="10">
        <f t="shared" si="13"/>
        <v>9.2131590299999999</v>
      </c>
      <c r="X17" s="7">
        <f>'[3]Production Summary'!AJ108</f>
        <v>0</v>
      </c>
      <c r="Y17" s="8">
        <f t="shared" si="14"/>
        <v>0</v>
      </c>
      <c r="Z17" s="10">
        <f t="shared" si="15"/>
        <v>0</v>
      </c>
      <c r="AA17" s="15"/>
      <c r="AB17" s="7">
        <f t="shared" si="16"/>
        <v>13136751.99999994</v>
      </c>
      <c r="AC17" s="8">
        <f t="shared" si="16"/>
        <v>13.136751999999941</v>
      </c>
      <c r="AD17" s="8">
        <f t="shared" si="16"/>
        <v>40.329828639999818</v>
      </c>
    </row>
    <row r="18" spans="1:30" x14ac:dyDescent="0.25">
      <c r="A18" s="27">
        <v>43204</v>
      </c>
      <c r="B18" s="7">
        <f>'[3]Production Summary'!U109</f>
        <v>7260000.0000001043</v>
      </c>
      <c r="C18" s="8">
        <f t="shared" si="1"/>
        <v>7.2600000000001046</v>
      </c>
      <c r="D18" s="10">
        <f t="shared" si="2"/>
        <v>22.28820000000032</v>
      </c>
      <c r="E18" s="7">
        <f>'[3]Production Summary'!O109</f>
        <v>0</v>
      </c>
      <c r="F18" s="8">
        <f t="shared" si="3"/>
        <v>0</v>
      </c>
      <c r="G18" s="10">
        <f t="shared" si="4"/>
        <v>0</v>
      </c>
      <c r="H18" s="7">
        <f>'[3]Production Summary'!$Q109</f>
        <v>8450000</v>
      </c>
      <c r="I18" s="8">
        <f t="shared" si="0"/>
        <v>8.4499999999999993</v>
      </c>
      <c r="J18" s="10">
        <f t="shared" si="5"/>
        <v>25.941499999999998</v>
      </c>
      <c r="K18" s="7">
        <f>'[3]Production Summary'!T109</f>
        <v>1151183</v>
      </c>
      <c r="L18" s="8">
        <f t="shared" si="6"/>
        <v>1.1511830000000001</v>
      </c>
      <c r="M18" s="10">
        <f t="shared" si="7"/>
        <v>3.5341318099999999</v>
      </c>
      <c r="N18" s="21"/>
      <c r="O18" s="7">
        <f>'[3]Production Summary'!AL109</f>
        <v>5814749</v>
      </c>
      <c r="P18" s="8">
        <f t="shared" si="8"/>
        <v>5.8147489999999999</v>
      </c>
      <c r="Q18" s="10">
        <f t="shared" si="9"/>
        <v>17.851279429999998</v>
      </c>
      <c r="R18" s="7">
        <f>'[3]Production Summary'!AE109</f>
        <v>2399001</v>
      </c>
      <c r="S18" s="8">
        <f t="shared" si="10"/>
        <v>2.3990010000000002</v>
      </c>
      <c r="T18" s="10">
        <f t="shared" si="11"/>
        <v>7.3649330700000002</v>
      </c>
      <c r="U18" s="7">
        <f>'[3]Production Summary'!AF109</f>
        <v>3000028</v>
      </c>
      <c r="V18" s="8">
        <f t="shared" si="12"/>
        <v>3.0000279999999999</v>
      </c>
      <c r="W18" s="10">
        <f t="shared" si="13"/>
        <v>9.2100859599999989</v>
      </c>
      <c r="X18" s="7">
        <f>'[3]Production Summary'!AJ109</f>
        <v>177000</v>
      </c>
      <c r="Y18" s="8">
        <f t="shared" si="14"/>
        <v>0.17699999999999999</v>
      </c>
      <c r="Z18" s="10">
        <f t="shared" si="15"/>
        <v>0.54338999999999993</v>
      </c>
      <c r="AA18" s="15"/>
      <c r="AB18" s="7">
        <f t="shared" si="16"/>
        <v>13074749.000000104</v>
      </c>
      <c r="AC18" s="8">
        <f t="shared" si="16"/>
        <v>13.074749000000104</v>
      </c>
      <c r="AD18" s="8">
        <f t="shared" si="16"/>
        <v>40.139479430000321</v>
      </c>
    </row>
    <row r="19" spans="1:30" x14ac:dyDescent="0.25">
      <c r="A19" s="27">
        <v>43205</v>
      </c>
      <c r="B19" s="7">
        <f>'[3]Production Summary'!U110</f>
        <v>6750000</v>
      </c>
      <c r="C19" s="8">
        <f t="shared" si="1"/>
        <v>6.75</v>
      </c>
      <c r="D19" s="10">
        <f t="shared" si="2"/>
        <v>20.7225</v>
      </c>
      <c r="E19" s="7">
        <f>'[3]Production Summary'!O110</f>
        <v>0</v>
      </c>
      <c r="F19" s="8">
        <f t="shared" si="3"/>
        <v>0</v>
      </c>
      <c r="G19" s="10">
        <f t="shared" si="4"/>
        <v>0</v>
      </c>
      <c r="H19" s="7">
        <f>'[3]Production Summary'!$Q110</f>
        <v>6510000</v>
      </c>
      <c r="I19" s="8">
        <f t="shared" si="0"/>
        <v>6.51</v>
      </c>
      <c r="J19" s="10">
        <f t="shared" si="5"/>
        <v>19.985699999999998</v>
      </c>
      <c r="K19" s="7">
        <f>'[3]Production Summary'!T110</f>
        <v>832740</v>
      </c>
      <c r="L19" s="8">
        <f t="shared" si="6"/>
        <v>0.83274000000000004</v>
      </c>
      <c r="M19" s="10">
        <f t="shared" si="7"/>
        <v>2.5565118</v>
      </c>
      <c r="N19" s="21"/>
      <c r="O19" s="7">
        <f>'[3]Production Summary'!AL110</f>
        <v>5831749</v>
      </c>
      <c r="P19" s="8">
        <f t="shared" si="8"/>
        <v>5.8317490000000003</v>
      </c>
      <c r="Q19" s="10">
        <f t="shared" si="9"/>
        <v>17.903469430000001</v>
      </c>
      <c r="R19" s="7">
        <f>'[3]Production Summary'!AE110</f>
        <v>2390000</v>
      </c>
      <c r="S19" s="8">
        <f t="shared" si="10"/>
        <v>2.39</v>
      </c>
      <c r="T19" s="10">
        <f t="shared" si="11"/>
        <v>7.3372999999999999</v>
      </c>
      <c r="U19" s="7">
        <f>'[3]Production Summary'!AF110</f>
        <v>2999028</v>
      </c>
      <c r="V19" s="8">
        <f t="shared" si="12"/>
        <v>2.999028</v>
      </c>
      <c r="W19" s="10">
        <f t="shared" si="13"/>
        <v>9.2070159599999997</v>
      </c>
      <c r="X19" s="7">
        <f>'[3]Production Summary'!AJ110</f>
        <v>158000</v>
      </c>
      <c r="Y19" s="8">
        <f t="shared" si="14"/>
        <v>0.158</v>
      </c>
      <c r="Z19" s="10">
        <f t="shared" si="15"/>
        <v>0.48505999999999999</v>
      </c>
      <c r="AA19" s="15"/>
      <c r="AB19" s="7">
        <f t="shared" si="16"/>
        <v>12581749</v>
      </c>
      <c r="AC19" s="8">
        <f t="shared" si="16"/>
        <v>12.581749</v>
      </c>
      <c r="AD19" s="8">
        <f>D19+Q19</f>
        <v>38.625969429999998</v>
      </c>
    </row>
    <row r="20" spans="1:30" x14ac:dyDescent="0.25">
      <c r="A20" s="27">
        <v>43206</v>
      </c>
      <c r="B20" s="7">
        <f>'[3]Production Summary'!U111</f>
        <v>5729999.9999999041</v>
      </c>
      <c r="C20" s="8">
        <f t="shared" si="1"/>
        <v>5.7299999999999045</v>
      </c>
      <c r="D20" s="10">
        <f t="shared" si="2"/>
        <v>17.591099999999706</v>
      </c>
      <c r="E20" s="7">
        <f>'[3]Production Summary'!O111</f>
        <v>0</v>
      </c>
      <c r="F20" s="8">
        <f t="shared" si="3"/>
        <v>0</v>
      </c>
      <c r="G20" s="10">
        <f t="shared" si="4"/>
        <v>0</v>
      </c>
      <c r="H20" s="7">
        <f>'[3]Production Summary'!$Q111</f>
        <v>5300000</v>
      </c>
      <c r="I20" s="8">
        <f t="shared" si="0"/>
        <v>5.3</v>
      </c>
      <c r="J20" s="10">
        <f t="shared" si="5"/>
        <v>16.270999999999997</v>
      </c>
      <c r="K20" s="7">
        <f>'[3]Production Summary'!T111</f>
        <v>498045</v>
      </c>
      <c r="L20" s="8">
        <f t="shared" si="6"/>
        <v>0.49804500000000002</v>
      </c>
      <c r="M20" s="10">
        <f t="shared" si="7"/>
        <v>1.5289981500000001</v>
      </c>
      <c r="N20" s="21"/>
      <c r="O20" s="7">
        <f>'[3]Production Summary'!AL111</f>
        <v>6142738</v>
      </c>
      <c r="P20" s="8">
        <f t="shared" si="8"/>
        <v>6.1427379999999996</v>
      </c>
      <c r="Q20" s="10">
        <f t="shared" si="9"/>
        <v>18.858205659999999</v>
      </c>
      <c r="R20" s="7">
        <f>'[3]Production Summary'!AE111</f>
        <v>2404000</v>
      </c>
      <c r="S20" s="8">
        <f t="shared" si="10"/>
        <v>2.4039999999999999</v>
      </c>
      <c r="T20" s="10">
        <f t="shared" si="11"/>
        <v>7.3802799999999991</v>
      </c>
      <c r="U20" s="7">
        <f>'[3]Production Summary'!AF111</f>
        <v>3000029</v>
      </c>
      <c r="V20" s="8">
        <f t="shared" si="12"/>
        <v>3.0000290000000001</v>
      </c>
      <c r="W20" s="10">
        <f t="shared" si="13"/>
        <v>9.2100890299999989</v>
      </c>
      <c r="X20" s="7">
        <f>'[3]Production Summary'!AJ111</f>
        <v>0</v>
      </c>
      <c r="Y20" s="8">
        <f t="shared" si="14"/>
        <v>0</v>
      </c>
      <c r="Z20" s="10">
        <f t="shared" si="15"/>
        <v>0</v>
      </c>
      <c r="AA20" s="15"/>
      <c r="AB20" s="7">
        <f t="shared" si="16"/>
        <v>11872737.999999903</v>
      </c>
      <c r="AC20" s="8">
        <f t="shared" si="16"/>
        <v>11.872737999999904</v>
      </c>
      <c r="AD20" s="8">
        <f t="shared" si="16"/>
        <v>36.449305659999709</v>
      </c>
    </row>
    <row r="21" spans="1:30" x14ac:dyDescent="0.25">
      <c r="A21" s="27">
        <v>43207</v>
      </c>
      <c r="B21" s="7">
        <f>'[3]Production Summary'!U112</f>
        <v>6250000</v>
      </c>
      <c r="C21" s="8">
        <f t="shared" si="1"/>
        <v>6.25</v>
      </c>
      <c r="D21" s="10">
        <f t="shared" si="2"/>
        <v>19.1875</v>
      </c>
      <c r="E21" s="7">
        <f>'[3]Production Summary'!O112</f>
        <v>0</v>
      </c>
      <c r="F21" s="8">
        <f t="shared" si="3"/>
        <v>0</v>
      </c>
      <c r="G21" s="10">
        <f t="shared" si="4"/>
        <v>0</v>
      </c>
      <c r="H21" s="7">
        <f>'[3]Production Summary'!$Q112</f>
        <v>6420000</v>
      </c>
      <c r="I21" s="8">
        <f t="shared" si="0"/>
        <v>6.42</v>
      </c>
      <c r="J21" s="10">
        <f t="shared" si="5"/>
        <v>19.709399999999999</v>
      </c>
      <c r="K21" s="7">
        <f>'[3]Production Summary'!T112</f>
        <v>714630</v>
      </c>
      <c r="L21" s="8">
        <f t="shared" si="6"/>
        <v>0.71462999999999999</v>
      </c>
      <c r="M21" s="10">
        <f t="shared" si="7"/>
        <v>2.1939140999999998</v>
      </c>
      <c r="N21" s="21"/>
      <c r="O21" s="7">
        <f>'[3]Production Summary'!AL112</f>
        <v>5826749</v>
      </c>
      <c r="P21" s="8">
        <f t="shared" si="8"/>
        <v>5.8267490000000004</v>
      </c>
      <c r="Q21" s="10">
        <f t="shared" si="9"/>
        <v>17.88811943</v>
      </c>
      <c r="R21" s="7">
        <f>'[3]Production Summary'!AE112</f>
        <v>2366999</v>
      </c>
      <c r="S21" s="8">
        <f t="shared" si="10"/>
        <v>2.3669989999999999</v>
      </c>
      <c r="T21" s="10">
        <f t="shared" si="11"/>
        <v>7.2666869299999988</v>
      </c>
      <c r="U21" s="7">
        <f>'[3]Production Summary'!AF112</f>
        <v>3001029</v>
      </c>
      <c r="V21" s="8">
        <f t="shared" si="12"/>
        <v>3.0010289999999999</v>
      </c>
      <c r="W21" s="10">
        <f t="shared" si="13"/>
        <v>9.2131590299999999</v>
      </c>
      <c r="X21" s="7">
        <f>'[3]Production Summary'!AJ112</f>
        <v>158000</v>
      </c>
      <c r="Y21" s="8">
        <f t="shared" si="14"/>
        <v>0.158</v>
      </c>
      <c r="Z21" s="10">
        <f t="shared" si="15"/>
        <v>0.48505999999999999</v>
      </c>
      <c r="AA21" s="15"/>
      <c r="AB21" s="7">
        <f t="shared" si="16"/>
        <v>12076749</v>
      </c>
      <c r="AC21" s="8">
        <f t="shared" si="16"/>
        <v>12.076749</v>
      </c>
      <c r="AD21" s="8">
        <f t="shared" si="16"/>
        <v>37.075619430000003</v>
      </c>
    </row>
    <row r="22" spans="1:30" x14ac:dyDescent="0.25">
      <c r="A22" s="27">
        <v>43208</v>
      </c>
      <c r="B22" s="7">
        <f>'[3]Production Summary'!U113</f>
        <v>6200000.0000000456</v>
      </c>
      <c r="C22" s="8">
        <f t="shared" si="1"/>
        <v>6.2000000000000455</v>
      </c>
      <c r="D22" s="10">
        <f t="shared" si="2"/>
        <v>19.034000000000137</v>
      </c>
      <c r="E22" s="7">
        <f>'[3]Production Summary'!O113</f>
        <v>0</v>
      </c>
      <c r="F22" s="8">
        <f t="shared" si="3"/>
        <v>0</v>
      </c>
      <c r="G22" s="10">
        <f t="shared" si="4"/>
        <v>0</v>
      </c>
      <c r="H22" s="7">
        <f>'[3]Production Summary'!$Q113</f>
        <v>6640000</v>
      </c>
      <c r="I22" s="8">
        <f t="shared" si="0"/>
        <v>6.64</v>
      </c>
      <c r="J22" s="10">
        <f t="shared" si="5"/>
        <v>20.384799999999998</v>
      </c>
      <c r="K22" s="7">
        <f>'[3]Production Summary'!T113</f>
        <v>1045889</v>
      </c>
      <c r="L22" s="8">
        <f t="shared" si="6"/>
        <v>1.0458890000000001</v>
      </c>
      <c r="M22" s="10">
        <f t="shared" si="7"/>
        <v>3.2108792300000002</v>
      </c>
      <c r="N22" s="21"/>
      <c r="O22" s="7">
        <f>'[3]Production Summary'!AL113</f>
        <v>5915743</v>
      </c>
      <c r="P22" s="8">
        <f t="shared" si="8"/>
        <v>5.915743</v>
      </c>
      <c r="Q22" s="10">
        <f t="shared" si="9"/>
        <v>18.161331009999998</v>
      </c>
      <c r="R22" s="7">
        <f>'[3]Production Summary'!AE113</f>
        <v>2367999</v>
      </c>
      <c r="S22" s="8">
        <f t="shared" si="10"/>
        <v>2.3679990000000002</v>
      </c>
      <c r="T22" s="10">
        <f t="shared" si="11"/>
        <v>7.2697569299999998</v>
      </c>
      <c r="U22" s="7">
        <f>'[3]Production Summary'!AF113</f>
        <v>2999028</v>
      </c>
      <c r="V22" s="8">
        <f t="shared" si="12"/>
        <v>2.999028</v>
      </c>
      <c r="W22" s="10">
        <f t="shared" si="13"/>
        <v>9.2070159599999997</v>
      </c>
      <c r="X22" s="7">
        <f>'[3]Production Summary'!AJ113</f>
        <v>158000</v>
      </c>
      <c r="Y22" s="8">
        <f t="shared" si="14"/>
        <v>0.158</v>
      </c>
      <c r="Z22" s="10">
        <f t="shared" si="15"/>
        <v>0.48505999999999999</v>
      </c>
      <c r="AA22" s="15"/>
      <c r="AB22" s="7">
        <f t="shared" si="16"/>
        <v>12115743.000000045</v>
      </c>
      <c r="AC22" s="8">
        <f t="shared" si="16"/>
        <v>12.115743000000045</v>
      </c>
      <c r="AD22" s="8">
        <f t="shared" si="16"/>
        <v>37.195331010000132</v>
      </c>
    </row>
    <row r="23" spans="1:30" x14ac:dyDescent="0.25">
      <c r="A23" s="27">
        <v>43209</v>
      </c>
      <c r="B23" s="7">
        <f>'[3]Production Summary'!U114</f>
        <v>6870000.0000000047</v>
      </c>
      <c r="C23" s="8">
        <f t="shared" si="1"/>
        <v>6.8700000000000045</v>
      </c>
      <c r="D23" s="10">
        <f t="shared" si="2"/>
        <v>21.090900000000012</v>
      </c>
      <c r="E23" s="7">
        <f>'[3]Production Summary'!O114</f>
        <v>0</v>
      </c>
      <c r="F23" s="8">
        <f t="shared" si="3"/>
        <v>0</v>
      </c>
      <c r="G23" s="10">
        <f t="shared" si="4"/>
        <v>0</v>
      </c>
      <c r="H23" s="7">
        <f>'[3]Production Summary'!$Q114</f>
        <v>6880000</v>
      </c>
      <c r="I23" s="8">
        <f t="shared" si="0"/>
        <v>6.88</v>
      </c>
      <c r="J23" s="10">
        <f t="shared" si="5"/>
        <v>21.121599999999997</v>
      </c>
      <c r="K23" s="7">
        <f>'[3]Production Summary'!T114</f>
        <v>0</v>
      </c>
      <c r="L23" s="8">
        <f t="shared" si="6"/>
        <v>0</v>
      </c>
      <c r="M23" s="10">
        <f t="shared" si="7"/>
        <v>0</v>
      </c>
      <c r="N23" s="21"/>
      <c r="O23" s="7">
        <f>'[3]Production Summary'!AL114</f>
        <v>5932741</v>
      </c>
      <c r="P23" s="8">
        <f t="shared" si="8"/>
        <v>5.932741</v>
      </c>
      <c r="Q23" s="10">
        <f t="shared" si="9"/>
        <v>18.213514870000001</v>
      </c>
      <c r="R23" s="7">
        <f>'[3]Production Summary'!AE114</f>
        <v>2383999</v>
      </c>
      <c r="S23" s="8">
        <f t="shared" si="10"/>
        <v>2.3839990000000002</v>
      </c>
      <c r="T23" s="10">
        <f t="shared" si="11"/>
        <v>7.3188769300000001</v>
      </c>
      <c r="U23" s="7">
        <f>'[3]Production Summary'!AF114</f>
        <v>2986028</v>
      </c>
      <c r="V23" s="8">
        <f t="shared" si="12"/>
        <v>2.9860280000000001</v>
      </c>
      <c r="W23" s="10">
        <f t="shared" si="13"/>
        <v>9.1671059600000007</v>
      </c>
      <c r="X23" s="7">
        <f>'[3]Production Summary'!AJ114</f>
        <v>158000</v>
      </c>
      <c r="Y23" s="8">
        <f t="shared" si="14"/>
        <v>0.158</v>
      </c>
      <c r="Z23" s="10">
        <f t="shared" si="15"/>
        <v>0.48505999999999999</v>
      </c>
      <c r="AA23" s="15"/>
      <c r="AB23" s="7">
        <f t="shared" si="16"/>
        <v>12802741.000000004</v>
      </c>
      <c r="AC23" s="8">
        <f t="shared" si="16"/>
        <v>12.802741000000005</v>
      </c>
      <c r="AD23" s="8">
        <f t="shared" si="16"/>
        <v>39.304414870000016</v>
      </c>
    </row>
    <row r="24" spans="1:30" x14ac:dyDescent="0.25">
      <c r="A24" s="27">
        <v>43210</v>
      </c>
      <c r="B24" s="7">
        <f>'[3]Production Summary'!U115</f>
        <v>6559999.9999999451</v>
      </c>
      <c r="C24" s="8">
        <f t="shared" si="1"/>
        <v>6.5599999999999454</v>
      </c>
      <c r="D24" s="10">
        <f t="shared" si="2"/>
        <v>20.139199999999832</v>
      </c>
      <c r="E24" s="7">
        <f>'[3]Production Summary'!O115</f>
        <v>0</v>
      </c>
      <c r="F24" s="8">
        <f t="shared" si="3"/>
        <v>0</v>
      </c>
      <c r="G24" s="10">
        <f t="shared" si="4"/>
        <v>0</v>
      </c>
      <c r="H24" s="7">
        <f>'[3]Production Summary'!$Q115</f>
        <v>7010000</v>
      </c>
      <c r="I24" s="8">
        <f t="shared" si="0"/>
        <v>7.01</v>
      </c>
      <c r="J24" s="10">
        <f t="shared" si="5"/>
        <v>21.520699999999998</v>
      </c>
      <c r="K24" s="7">
        <f>'[3]Production Summary'!T115</f>
        <v>0</v>
      </c>
      <c r="L24" s="8">
        <f t="shared" si="6"/>
        <v>0</v>
      </c>
      <c r="M24" s="10">
        <f t="shared" si="7"/>
        <v>0</v>
      </c>
      <c r="N24" s="21"/>
      <c r="O24" s="7">
        <f>'[3]Production Summary'!AL115</f>
        <v>6161736</v>
      </c>
      <c r="P24" s="8">
        <f t="shared" si="8"/>
        <v>6.1617360000000003</v>
      </c>
      <c r="Q24" s="10">
        <f t="shared" si="9"/>
        <v>18.916529520000001</v>
      </c>
      <c r="R24" s="7">
        <f>'[3]Production Summary'!AE115</f>
        <v>2393000</v>
      </c>
      <c r="S24" s="8">
        <f t="shared" si="10"/>
        <v>2.3929999999999998</v>
      </c>
      <c r="T24" s="10">
        <f t="shared" si="11"/>
        <v>7.3465099999999985</v>
      </c>
      <c r="U24" s="7">
        <f>'[3]Production Summary'!AF115</f>
        <v>3001028</v>
      </c>
      <c r="V24" s="8">
        <f t="shared" si="12"/>
        <v>3.0010279999999998</v>
      </c>
      <c r="W24" s="10">
        <f t="shared" si="13"/>
        <v>9.2131559599999981</v>
      </c>
      <c r="X24" s="7">
        <f>'[3]Production Summary'!AJ115</f>
        <v>0</v>
      </c>
      <c r="Y24" s="8">
        <f t="shared" si="14"/>
        <v>0</v>
      </c>
      <c r="Z24" s="10">
        <f t="shared" si="15"/>
        <v>0</v>
      </c>
      <c r="AA24" s="15"/>
      <c r="AB24" s="7">
        <f t="shared" si="16"/>
        <v>12721735.999999944</v>
      </c>
      <c r="AC24" s="8">
        <f t="shared" si="16"/>
        <v>12.721735999999947</v>
      </c>
      <c r="AD24" s="8">
        <f>D24+Q24</f>
        <v>39.055729519999829</v>
      </c>
    </row>
    <row r="25" spans="1:30" x14ac:dyDescent="0.25">
      <c r="A25" s="27">
        <v>43211</v>
      </c>
      <c r="B25" s="7">
        <f>'[3]Production Summary'!U116</f>
        <v>6590000.0000000317</v>
      </c>
      <c r="C25" s="8">
        <f t="shared" si="1"/>
        <v>6.5900000000000318</v>
      </c>
      <c r="D25" s="10">
        <f t="shared" si="2"/>
        <v>20.231300000000097</v>
      </c>
      <c r="E25" s="7">
        <f>'[3]Production Summary'!O116</f>
        <v>0</v>
      </c>
      <c r="F25" s="8">
        <f t="shared" si="3"/>
        <v>0</v>
      </c>
      <c r="G25" s="10">
        <f t="shared" si="4"/>
        <v>0</v>
      </c>
      <c r="H25" s="7">
        <f>'[3]Production Summary'!$Q116</f>
        <v>7180000</v>
      </c>
      <c r="I25" s="8">
        <f t="shared" si="0"/>
        <v>7.18</v>
      </c>
      <c r="J25" s="10">
        <f t="shared" si="5"/>
        <v>22.042599999999997</v>
      </c>
      <c r="K25" s="7">
        <f>'[3]Production Summary'!T116</f>
        <v>929893</v>
      </c>
      <c r="L25" s="8">
        <f t="shared" si="6"/>
        <v>0.92989299999999997</v>
      </c>
      <c r="M25" s="10">
        <f t="shared" si="7"/>
        <v>2.85477151</v>
      </c>
      <c r="N25" s="21"/>
      <c r="O25" s="7">
        <f>'[3]Production Summary'!AL116</f>
        <v>5934741</v>
      </c>
      <c r="P25" s="8">
        <f t="shared" si="8"/>
        <v>5.9347409999999998</v>
      </c>
      <c r="Q25" s="10">
        <f t="shared" si="9"/>
        <v>18.219654869999999</v>
      </c>
      <c r="R25" s="7">
        <f>'[3]Production Summary'!AE116</f>
        <v>2393000</v>
      </c>
      <c r="S25" s="8">
        <f t="shared" si="10"/>
        <v>2.3929999999999998</v>
      </c>
      <c r="T25" s="10">
        <f t="shared" si="11"/>
        <v>7.3465099999999985</v>
      </c>
      <c r="U25" s="7">
        <f>'[3]Production Summary'!AF116</f>
        <v>3000028</v>
      </c>
      <c r="V25" s="8">
        <f t="shared" si="12"/>
        <v>3.0000279999999999</v>
      </c>
      <c r="W25" s="10">
        <f t="shared" si="13"/>
        <v>9.2100859599999989</v>
      </c>
      <c r="X25" s="7">
        <f>'[3]Production Summary'!AJ116</f>
        <v>158000</v>
      </c>
      <c r="Y25" s="8">
        <f t="shared" si="14"/>
        <v>0.158</v>
      </c>
      <c r="Z25" s="10">
        <f t="shared" si="15"/>
        <v>0.48505999999999999</v>
      </c>
      <c r="AA25" s="15"/>
      <c r="AB25" s="7">
        <f t="shared" si="16"/>
        <v>12524741.000000032</v>
      </c>
      <c r="AC25" s="8">
        <f t="shared" si="16"/>
        <v>12.524741000000031</v>
      </c>
      <c r="AD25" s="8">
        <f t="shared" si="16"/>
        <v>38.450954870000096</v>
      </c>
    </row>
    <row r="26" spans="1:30" x14ac:dyDescent="0.25">
      <c r="A26" s="27">
        <v>43212</v>
      </c>
      <c r="B26" s="7">
        <f>'[3]Production Summary'!U117</f>
        <v>6639999.999999986</v>
      </c>
      <c r="C26" s="8">
        <f t="shared" si="1"/>
        <v>6.6399999999999864</v>
      </c>
      <c r="D26" s="10">
        <f t="shared" si="2"/>
        <v>20.384799999999956</v>
      </c>
      <c r="E26" s="7">
        <f>'[3]Production Summary'!O117</f>
        <v>0</v>
      </c>
      <c r="F26" s="8">
        <f t="shared" si="3"/>
        <v>0</v>
      </c>
      <c r="G26" s="10">
        <f t="shared" si="4"/>
        <v>0</v>
      </c>
      <c r="H26" s="7">
        <f>'[3]Production Summary'!$Q117</f>
        <v>7490000</v>
      </c>
      <c r="I26" s="8">
        <f t="shared" si="0"/>
        <v>7.49</v>
      </c>
      <c r="J26" s="10">
        <f t="shared" si="5"/>
        <v>22.994299999999999</v>
      </c>
      <c r="K26" s="7">
        <f>'[3]Production Summary'!T117</f>
        <v>916304</v>
      </c>
      <c r="L26" s="8">
        <f t="shared" si="6"/>
        <v>0.91630400000000001</v>
      </c>
      <c r="M26" s="10">
        <f t="shared" si="7"/>
        <v>2.8130532799999997</v>
      </c>
      <c r="N26" s="21"/>
      <c r="O26" s="7">
        <f>'[3]Production Summary'!AL117</f>
        <v>5953740</v>
      </c>
      <c r="P26" s="8">
        <f t="shared" si="8"/>
        <v>5.9537399999999998</v>
      </c>
      <c r="Q26" s="10">
        <f t="shared" si="9"/>
        <v>18.277981799999999</v>
      </c>
      <c r="R26" s="7">
        <f>'[3]Production Summary'!AE117</f>
        <v>2387000</v>
      </c>
      <c r="S26" s="8">
        <f t="shared" si="10"/>
        <v>2.387</v>
      </c>
      <c r="T26" s="10">
        <f t="shared" si="11"/>
        <v>7.3280899999999995</v>
      </c>
      <c r="U26" s="7">
        <f>'[3]Production Summary'!AF117</f>
        <v>2999028</v>
      </c>
      <c r="V26" s="8">
        <f t="shared" si="12"/>
        <v>2.999028</v>
      </c>
      <c r="W26" s="10">
        <f t="shared" si="13"/>
        <v>9.2070159599999997</v>
      </c>
      <c r="X26" s="7">
        <f>'[3]Production Summary'!AJ117</f>
        <v>153000</v>
      </c>
      <c r="Y26" s="8">
        <f t="shared" si="14"/>
        <v>0.153</v>
      </c>
      <c r="Z26" s="10">
        <f t="shared" si="15"/>
        <v>0.46970999999999996</v>
      </c>
      <c r="AA26" s="15"/>
      <c r="AB26" s="7">
        <f t="shared" si="16"/>
        <v>12593739.999999985</v>
      </c>
      <c r="AC26" s="8">
        <f t="shared" si="16"/>
        <v>12.593739999999986</v>
      </c>
      <c r="AD26" s="8">
        <f t="shared" si="16"/>
        <v>38.662781799999955</v>
      </c>
    </row>
    <row r="27" spans="1:30" x14ac:dyDescent="0.25">
      <c r="A27" s="27">
        <v>43213</v>
      </c>
      <c r="B27" s="7">
        <f>'[3]Production Summary'!U118</f>
        <v>7070000.0000000503</v>
      </c>
      <c r="C27" s="8">
        <f t="shared" si="1"/>
        <v>7.07000000000005</v>
      </c>
      <c r="D27" s="10">
        <f t="shared" si="2"/>
        <v>21.704900000000151</v>
      </c>
      <c r="E27" s="7">
        <f>'[3]Production Summary'!O118</f>
        <v>0</v>
      </c>
      <c r="F27" s="8">
        <f t="shared" si="3"/>
        <v>0</v>
      </c>
      <c r="G27" s="10">
        <f t="shared" si="4"/>
        <v>0</v>
      </c>
      <c r="H27" s="7">
        <f>'[3]Production Summary'!$Q118</f>
        <v>8010000</v>
      </c>
      <c r="I27" s="8">
        <f t="shared" si="0"/>
        <v>8.01</v>
      </c>
      <c r="J27" s="10">
        <f t="shared" si="5"/>
        <v>24.590699999999998</v>
      </c>
      <c r="K27" s="7">
        <f>'[3]Production Summary'!T118</f>
        <v>0</v>
      </c>
      <c r="L27" s="8">
        <f t="shared" si="6"/>
        <v>0</v>
      </c>
      <c r="M27" s="10">
        <f t="shared" si="7"/>
        <v>0</v>
      </c>
      <c r="N27" s="21"/>
      <c r="O27" s="7">
        <f>'[3]Production Summary'!AL118</f>
        <v>5923742</v>
      </c>
      <c r="P27" s="8">
        <f t="shared" si="8"/>
        <v>5.9237419999999998</v>
      </c>
      <c r="Q27" s="10">
        <f t="shared" si="9"/>
        <v>18.185887939999997</v>
      </c>
      <c r="R27" s="7">
        <f>'[3]Production Summary'!AE118</f>
        <v>2397000</v>
      </c>
      <c r="S27" s="8">
        <f t="shared" si="10"/>
        <v>2.3969999999999998</v>
      </c>
      <c r="T27" s="10">
        <f t="shared" si="11"/>
        <v>7.3587899999999991</v>
      </c>
      <c r="U27" s="7">
        <f>'[3]Production Summary'!AF118</f>
        <v>3000028</v>
      </c>
      <c r="V27" s="8">
        <f t="shared" si="12"/>
        <v>3.0000279999999999</v>
      </c>
      <c r="W27" s="10">
        <f t="shared" si="13"/>
        <v>9.2100859599999989</v>
      </c>
      <c r="X27" s="7">
        <f>'[3]Production Summary'!AJ118</f>
        <v>153000</v>
      </c>
      <c r="Y27" s="8">
        <f t="shared" si="14"/>
        <v>0.153</v>
      </c>
      <c r="Z27" s="10">
        <f t="shared" si="15"/>
        <v>0.46970999999999996</v>
      </c>
      <c r="AA27" s="15"/>
      <c r="AB27" s="7">
        <f t="shared" si="16"/>
        <v>12993742.00000005</v>
      </c>
      <c r="AC27" s="8">
        <f t="shared" si="16"/>
        <v>12.993742000000051</v>
      </c>
      <c r="AD27" s="8">
        <f t="shared" si="16"/>
        <v>39.890787940000152</v>
      </c>
    </row>
    <row r="28" spans="1:30" x14ac:dyDescent="0.25">
      <c r="A28" s="27">
        <v>43214</v>
      </c>
      <c r="B28" s="7">
        <f>'[3]Production Summary'!U119</f>
        <v>7549999.9999999544</v>
      </c>
      <c r="C28" s="8">
        <f t="shared" si="1"/>
        <v>7.5499999999999545</v>
      </c>
      <c r="D28" s="10">
        <f t="shared" si="2"/>
        <v>23.178499999999858</v>
      </c>
      <c r="E28" s="7">
        <f>'[3]Production Summary'!O119</f>
        <v>0</v>
      </c>
      <c r="F28" s="8">
        <f t="shared" si="3"/>
        <v>0</v>
      </c>
      <c r="G28" s="10">
        <f t="shared" si="4"/>
        <v>0</v>
      </c>
      <c r="H28" s="7">
        <f>'[3]Production Summary'!$Q119</f>
        <v>8490000</v>
      </c>
      <c r="I28" s="8">
        <f t="shared" si="0"/>
        <v>8.49</v>
      </c>
      <c r="J28" s="10">
        <f t="shared" si="5"/>
        <v>26.064299999999999</v>
      </c>
      <c r="K28" s="7">
        <f>'[3]Production Summary'!T119</f>
        <v>0</v>
      </c>
      <c r="L28" s="8">
        <f t="shared" si="6"/>
        <v>0</v>
      </c>
      <c r="M28" s="10">
        <f t="shared" si="7"/>
        <v>0</v>
      </c>
      <c r="N28" s="21"/>
      <c r="O28" s="7">
        <f>'[3]Production Summary'!AL119</f>
        <v>6113740</v>
      </c>
      <c r="P28" s="8">
        <f t="shared" si="8"/>
        <v>6.11374</v>
      </c>
      <c r="Q28" s="10">
        <f t="shared" si="9"/>
        <v>18.769181799999998</v>
      </c>
      <c r="R28" s="7">
        <f>'[3]Production Summary'!AE119</f>
        <v>2383999</v>
      </c>
      <c r="S28" s="8">
        <f t="shared" si="10"/>
        <v>2.3839990000000002</v>
      </c>
      <c r="T28" s="10">
        <f t="shared" si="11"/>
        <v>7.3188769300000001</v>
      </c>
      <c r="U28" s="7">
        <f>'[3]Production Summary'!AF119</f>
        <v>3000028</v>
      </c>
      <c r="V28" s="8">
        <f t="shared" si="12"/>
        <v>3.0000279999999999</v>
      </c>
      <c r="W28" s="10">
        <f t="shared" si="13"/>
        <v>9.2100859599999989</v>
      </c>
      <c r="X28" s="7">
        <f>'[3]Production Summary'!AJ119</f>
        <v>0</v>
      </c>
      <c r="Y28" s="8">
        <f t="shared" si="14"/>
        <v>0</v>
      </c>
      <c r="Z28" s="10">
        <f t="shared" si="15"/>
        <v>0</v>
      </c>
      <c r="AA28" s="15"/>
      <c r="AB28" s="7">
        <f t="shared" si="16"/>
        <v>13663739.999999955</v>
      </c>
      <c r="AC28" s="8">
        <f t="shared" si="16"/>
        <v>13.663739999999954</v>
      </c>
      <c r="AD28" s="8">
        <f t="shared" si="16"/>
        <v>41.947681799999856</v>
      </c>
    </row>
    <row r="29" spans="1:30" x14ac:dyDescent="0.25">
      <c r="A29" s="27">
        <v>43215</v>
      </c>
      <c r="B29" s="7">
        <f>'[3]Production Summary'!U120</f>
        <v>8040000.0000000773</v>
      </c>
      <c r="C29" s="8">
        <f t="shared" si="1"/>
        <v>8.0400000000000773</v>
      </c>
      <c r="D29" s="10">
        <f t="shared" si="2"/>
        <v>24.682800000000235</v>
      </c>
      <c r="E29" s="7">
        <f>'[3]Production Summary'!O120</f>
        <v>0</v>
      </c>
      <c r="F29" s="8">
        <f t="shared" si="3"/>
        <v>0</v>
      </c>
      <c r="G29" s="10">
        <f t="shared" si="4"/>
        <v>0</v>
      </c>
      <c r="H29" s="7">
        <f>'[3]Production Summary'!$Q120</f>
        <v>8050000</v>
      </c>
      <c r="I29" s="8">
        <f t="shared" si="0"/>
        <v>8.0500000000000007</v>
      </c>
      <c r="J29" s="10">
        <f t="shared" si="5"/>
        <v>24.7135</v>
      </c>
      <c r="K29" s="7">
        <f>'[3]Production Summary'!T120</f>
        <v>0</v>
      </c>
      <c r="L29" s="8">
        <f t="shared" si="6"/>
        <v>0</v>
      </c>
      <c r="M29" s="10">
        <f t="shared" si="7"/>
        <v>0</v>
      </c>
      <c r="N29" s="21"/>
      <c r="O29" s="7">
        <f>'[3]Production Summary'!AL120</f>
        <v>5911743</v>
      </c>
      <c r="P29" s="8">
        <f t="shared" si="8"/>
        <v>5.9117430000000004</v>
      </c>
      <c r="Q29" s="10">
        <f t="shared" si="9"/>
        <v>18.149051010000001</v>
      </c>
      <c r="R29" s="7">
        <f>'[3]Production Summary'!AE120</f>
        <v>2395000</v>
      </c>
      <c r="S29" s="8">
        <f t="shared" si="10"/>
        <v>2.395</v>
      </c>
      <c r="T29" s="10">
        <f t="shared" si="11"/>
        <v>7.3526499999999997</v>
      </c>
      <c r="U29" s="7">
        <f>'[3]Production Summary'!AF120</f>
        <v>3001029</v>
      </c>
      <c r="V29" s="8">
        <f t="shared" si="12"/>
        <v>3.0010289999999999</v>
      </c>
      <c r="W29" s="10">
        <f t="shared" si="13"/>
        <v>9.2131590299999999</v>
      </c>
      <c r="X29" s="7">
        <f>'[3]Production Summary'!AJ120</f>
        <v>152000</v>
      </c>
      <c r="Y29" s="8">
        <f t="shared" si="14"/>
        <v>0.152</v>
      </c>
      <c r="Z29" s="10">
        <f t="shared" si="15"/>
        <v>0.46663999999999994</v>
      </c>
      <c r="AA29" s="15"/>
      <c r="AB29" s="7">
        <f t="shared" si="16"/>
        <v>13951743.000000078</v>
      </c>
      <c r="AC29" s="8">
        <f t="shared" si="16"/>
        <v>13.951743000000079</v>
      </c>
      <c r="AD29" s="8">
        <f t="shared" si="16"/>
        <v>42.831851010000236</v>
      </c>
    </row>
    <row r="30" spans="1:30" x14ac:dyDescent="0.25">
      <c r="A30" s="27">
        <v>43216</v>
      </c>
      <c r="B30" s="7">
        <f>'[3]Production Summary'!U121</f>
        <v>8339999.999999918</v>
      </c>
      <c r="C30" s="8">
        <f t="shared" si="1"/>
        <v>8.3399999999999181</v>
      </c>
      <c r="D30" s="10">
        <f t="shared" si="2"/>
        <v>25.603799999999747</v>
      </c>
      <c r="E30" s="7">
        <f>'[3]Production Summary'!O121</f>
        <v>0</v>
      </c>
      <c r="F30" s="8">
        <f t="shared" si="3"/>
        <v>0</v>
      </c>
      <c r="G30" s="10">
        <f t="shared" si="4"/>
        <v>0</v>
      </c>
      <c r="H30" s="7">
        <f>'[3]Production Summary'!$Q121</f>
        <v>9170000</v>
      </c>
      <c r="I30" s="8">
        <f t="shared" si="0"/>
        <v>9.17</v>
      </c>
      <c r="J30" s="10">
        <f t="shared" si="5"/>
        <v>28.151899999999998</v>
      </c>
      <c r="K30" s="7">
        <f>'[3]Production Summary'!T121</f>
        <v>1339658</v>
      </c>
      <c r="L30" s="8">
        <f t="shared" si="6"/>
        <v>1.339658</v>
      </c>
      <c r="M30" s="10">
        <f t="shared" si="7"/>
        <v>4.1127500599999998</v>
      </c>
      <c r="N30" s="21"/>
      <c r="O30" s="7">
        <f>'[3]Production Summary'!AL121</f>
        <v>5944741</v>
      </c>
      <c r="P30" s="8">
        <f t="shared" si="8"/>
        <v>5.9447409999999996</v>
      </c>
      <c r="Q30" s="10">
        <f t="shared" si="9"/>
        <v>18.250354869999999</v>
      </c>
      <c r="R30" s="7">
        <f>'[3]Production Summary'!AE121</f>
        <v>2397001</v>
      </c>
      <c r="S30" s="8">
        <f t="shared" si="10"/>
        <v>2.3970009999999999</v>
      </c>
      <c r="T30" s="10">
        <f t="shared" si="11"/>
        <v>7.358793069999999</v>
      </c>
      <c r="U30" s="7">
        <f>'[3]Production Summary'!AF121</f>
        <v>2988028</v>
      </c>
      <c r="V30" s="8">
        <f t="shared" si="12"/>
        <v>2.9880279999999999</v>
      </c>
      <c r="W30" s="10">
        <f t="shared" si="13"/>
        <v>9.1732459599999991</v>
      </c>
      <c r="X30" s="7">
        <f>'[3]Production Summary'!AJ121</f>
        <v>152000</v>
      </c>
      <c r="Y30" s="8">
        <f t="shared" si="14"/>
        <v>0.152</v>
      </c>
      <c r="Z30" s="10">
        <f t="shared" si="15"/>
        <v>0.46663999999999994</v>
      </c>
      <c r="AA30" s="15"/>
      <c r="AB30" s="7">
        <f t="shared" si="16"/>
        <v>14284740.999999918</v>
      </c>
      <c r="AC30" s="8">
        <f t="shared" si="16"/>
        <v>14.284740999999919</v>
      </c>
      <c r="AD30" s="8">
        <f>D30+Q30</f>
        <v>43.854154869999746</v>
      </c>
    </row>
    <row r="31" spans="1:30" x14ac:dyDescent="0.25">
      <c r="A31" s="27">
        <v>43217</v>
      </c>
      <c r="B31" s="7">
        <f>'[3]Production Summary'!U122</f>
        <v>7129999.9999999953</v>
      </c>
      <c r="C31" s="8">
        <f t="shared" si="1"/>
        <v>7.1299999999999955</v>
      </c>
      <c r="D31" s="10">
        <f t="shared" si="2"/>
        <v>21.889099999999985</v>
      </c>
      <c r="E31" s="7">
        <f>'[3]Production Summary'!O122</f>
        <v>0</v>
      </c>
      <c r="F31" s="8">
        <f t="shared" si="3"/>
        <v>0</v>
      </c>
      <c r="G31" s="10">
        <f t="shared" si="4"/>
        <v>0</v>
      </c>
      <c r="H31" s="7">
        <f>'[3]Production Summary'!$Q122</f>
        <v>7050000</v>
      </c>
      <c r="I31" s="8">
        <f t="shared" si="0"/>
        <v>7.05</v>
      </c>
      <c r="J31" s="10">
        <f t="shared" si="5"/>
        <v>21.6435</v>
      </c>
      <c r="K31" s="7">
        <f>'[3]Production Summary'!T122</f>
        <v>803055</v>
      </c>
      <c r="L31" s="8">
        <f t="shared" si="6"/>
        <v>0.80305499999999996</v>
      </c>
      <c r="M31" s="10">
        <f t="shared" si="7"/>
        <v>2.4653788499999996</v>
      </c>
      <c r="N31" s="21"/>
      <c r="O31" s="7">
        <f>'[3]Production Summary'!AL122</f>
        <v>5991737</v>
      </c>
      <c r="P31" s="8">
        <f t="shared" si="8"/>
        <v>5.9917369999999996</v>
      </c>
      <c r="Q31" s="10">
        <f t="shared" si="9"/>
        <v>18.394632589999997</v>
      </c>
      <c r="R31" s="7">
        <f>'[3]Production Summary'!AE122</f>
        <v>2392000</v>
      </c>
      <c r="S31" s="8">
        <f t="shared" si="10"/>
        <v>2.3919999999999999</v>
      </c>
      <c r="T31" s="10">
        <f t="shared" si="11"/>
        <v>7.3434399999999993</v>
      </c>
      <c r="U31" s="7">
        <f>'[3]Production Summary'!AF122</f>
        <v>3000029</v>
      </c>
      <c r="V31" s="8">
        <f t="shared" si="12"/>
        <v>3.0000290000000001</v>
      </c>
      <c r="W31" s="10">
        <f t="shared" si="13"/>
        <v>9.2100890299999989</v>
      </c>
      <c r="X31" s="7">
        <f>'[3]Production Summary'!AJ122</f>
        <v>153000</v>
      </c>
      <c r="Y31" s="8">
        <f t="shared" si="14"/>
        <v>0.153</v>
      </c>
      <c r="Z31" s="10">
        <f t="shared" si="15"/>
        <v>0.46970999999999996</v>
      </c>
      <c r="AA31" s="15"/>
      <c r="AB31" s="7">
        <f t="shared" si="16"/>
        <v>13121736.999999996</v>
      </c>
      <c r="AC31" s="8">
        <f t="shared" si="16"/>
        <v>13.121736999999996</v>
      </c>
      <c r="AD31" s="8">
        <f t="shared" si="16"/>
        <v>40.283732589999985</v>
      </c>
    </row>
    <row r="32" spans="1:30" x14ac:dyDescent="0.25">
      <c r="A32" s="27">
        <v>43218</v>
      </c>
      <c r="B32" s="7">
        <f>'[3]Production Summary'!U123</f>
        <v>7300000.000000068</v>
      </c>
      <c r="C32" s="8">
        <f t="shared" si="1"/>
        <v>7.3000000000000682</v>
      </c>
      <c r="D32" s="10">
        <f t="shared" si="2"/>
        <v>22.411000000000207</v>
      </c>
      <c r="E32" s="7">
        <f>'[3]Production Summary'!O123</f>
        <v>0</v>
      </c>
      <c r="F32" s="8">
        <f t="shared" si="3"/>
        <v>0</v>
      </c>
      <c r="G32" s="10">
        <f t="shared" si="4"/>
        <v>0</v>
      </c>
      <c r="H32" s="7">
        <f>'[3]Production Summary'!$Q123</f>
        <v>7980000</v>
      </c>
      <c r="I32" s="8">
        <f t="shared" si="0"/>
        <v>7.98</v>
      </c>
      <c r="J32" s="10">
        <f t="shared" si="5"/>
        <v>24.4986</v>
      </c>
      <c r="K32" s="7">
        <f>'[3]Production Summary'!T123</f>
        <v>2642</v>
      </c>
      <c r="L32" s="8">
        <f t="shared" si="6"/>
        <v>2.6419999999999998E-3</v>
      </c>
      <c r="M32" s="10">
        <f t="shared" si="7"/>
        <v>8.1109399999999988E-3</v>
      </c>
      <c r="N32" s="21"/>
      <c r="O32" s="7">
        <f>'[3]Production Summary'!AL123</f>
        <v>6640702</v>
      </c>
      <c r="P32" s="8">
        <f t="shared" si="8"/>
        <v>6.6407020000000001</v>
      </c>
      <c r="Q32" s="10">
        <f t="shared" si="9"/>
        <v>20.386955139999998</v>
      </c>
      <c r="R32" s="7">
        <f>'[3]Production Summary'!AE123</f>
        <v>2392000</v>
      </c>
      <c r="S32" s="8">
        <f t="shared" si="10"/>
        <v>2.3919999999999999</v>
      </c>
      <c r="T32" s="10">
        <f t="shared" si="11"/>
        <v>7.3434399999999993</v>
      </c>
      <c r="U32" s="7">
        <f>'[3]Production Summary'!AF123</f>
        <v>3000029</v>
      </c>
      <c r="V32" s="8">
        <f t="shared" si="12"/>
        <v>3.0000290000000001</v>
      </c>
      <c r="W32" s="10">
        <f t="shared" si="13"/>
        <v>9.2100890299999989</v>
      </c>
      <c r="X32" s="7">
        <f>'[3]Production Summary'!AJ123</f>
        <v>0</v>
      </c>
      <c r="Y32" s="8">
        <f t="shared" si="14"/>
        <v>0</v>
      </c>
      <c r="Z32" s="10">
        <f t="shared" si="15"/>
        <v>0</v>
      </c>
      <c r="AA32" s="15"/>
      <c r="AB32" s="7">
        <f t="shared" si="16"/>
        <v>13940702.000000067</v>
      </c>
      <c r="AC32" s="8">
        <f t="shared" si="16"/>
        <v>13.940702000000069</v>
      </c>
      <c r="AD32" s="8">
        <f t="shared" si="16"/>
        <v>42.797955140000205</v>
      </c>
    </row>
    <row r="33" spans="1:32" x14ac:dyDescent="0.25">
      <c r="A33" s="27">
        <v>43219</v>
      </c>
      <c r="B33" s="7">
        <f>'[3]Production Summary'!U124</f>
        <v>7139999.999999986</v>
      </c>
      <c r="C33" s="8">
        <f t="shared" si="1"/>
        <v>7.1399999999999864</v>
      </c>
      <c r="D33" s="10">
        <f t="shared" si="2"/>
        <v>21.919799999999956</v>
      </c>
      <c r="E33" s="7">
        <f>'[3]Production Summary'!O124</f>
        <v>0</v>
      </c>
      <c r="F33" s="8">
        <f t="shared" si="3"/>
        <v>0</v>
      </c>
      <c r="G33" s="10">
        <f t="shared" si="4"/>
        <v>0</v>
      </c>
      <c r="H33" s="7">
        <f>'[3]Production Summary'!$Q124</f>
        <v>7150000</v>
      </c>
      <c r="I33" s="8">
        <f t="shared" si="0"/>
        <v>7.15</v>
      </c>
      <c r="J33" s="10">
        <f t="shared" si="5"/>
        <v>21.950500000000002</v>
      </c>
      <c r="K33" s="7">
        <f>'[3]Production Summary'!T124</f>
        <v>0</v>
      </c>
      <c r="L33" s="8">
        <f t="shared" si="6"/>
        <v>0</v>
      </c>
      <c r="M33" s="10">
        <f t="shared" si="7"/>
        <v>0</v>
      </c>
      <c r="N33" s="21"/>
      <c r="O33" s="7">
        <f>'[3]Production Summary'!AL124</f>
        <v>7622619</v>
      </c>
      <c r="P33" s="8">
        <f t="shared" si="8"/>
        <v>7.6226190000000003</v>
      </c>
      <c r="Q33" s="10">
        <f t="shared" si="9"/>
        <v>23.40144033</v>
      </c>
      <c r="R33" s="7">
        <f>'[3]Production Summary'!AE124</f>
        <v>4085069</v>
      </c>
      <c r="S33" s="8">
        <f t="shared" si="10"/>
        <v>4.0850689999999998</v>
      </c>
      <c r="T33" s="10">
        <f t="shared" si="11"/>
        <v>12.541161829999998</v>
      </c>
      <c r="U33" s="7">
        <f>'[3]Production Summary'!AF124</f>
        <v>3000029</v>
      </c>
      <c r="V33" s="8">
        <f t="shared" si="12"/>
        <v>3.0000290000000001</v>
      </c>
      <c r="W33" s="10">
        <f t="shared" si="13"/>
        <v>9.2100890299999989</v>
      </c>
      <c r="X33" s="7">
        <f>'[3]Production Summary'!AJ124</f>
        <v>153000</v>
      </c>
      <c r="Y33" s="8">
        <f t="shared" si="14"/>
        <v>0.153</v>
      </c>
      <c r="Z33" s="10">
        <f t="shared" si="15"/>
        <v>0.46970999999999996</v>
      </c>
      <c r="AA33" s="15"/>
      <c r="AB33" s="7">
        <f t="shared" si="16"/>
        <v>14762618.999999985</v>
      </c>
      <c r="AC33" s="8">
        <f t="shared" si="16"/>
        <v>14.762618999999987</v>
      </c>
      <c r="AD33" s="8">
        <f t="shared" si="16"/>
        <v>45.321240329999952</v>
      </c>
    </row>
    <row r="34" spans="1:32" ht="13.8" thickBot="1" x14ac:dyDescent="0.3">
      <c r="A34" s="27">
        <v>43220</v>
      </c>
      <c r="B34" s="7">
        <f>'[3]Production Summary'!U125</f>
        <v>7620000.0000000047</v>
      </c>
      <c r="C34" s="8">
        <f t="shared" si="1"/>
        <v>7.6200000000000045</v>
      </c>
      <c r="D34" s="10">
        <f t="shared" si="2"/>
        <v>23.393400000000014</v>
      </c>
      <c r="E34" s="7">
        <f>'[3]Production Summary'!O125</f>
        <v>0</v>
      </c>
      <c r="F34" s="8">
        <f t="shared" si="3"/>
        <v>0</v>
      </c>
      <c r="G34" s="10">
        <f t="shared" si="4"/>
        <v>0</v>
      </c>
      <c r="H34" s="7">
        <f>'[3]Production Summary'!$Q125</f>
        <v>7860000</v>
      </c>
      <c r="I34" s="8">
        <f t="shared" si="0"/>
        <v>7.86</v>
      </c>
      <c r="J34" s="10">
        <f t="shared" si="5"/>
        <v>24.130199999999999</v>
      </c>
      <c r="K34" s="7">
        <f>'[3]Production Summary'!T125</f>
        <v>999304</v>
      </c>
      <c r="L34" s="8">
        <f t="shared" si="6"/>
        <v>0.99930399999999997</v>
      </c>
      <c r="M34" s="10">
        <f t="shared" si="7"/>
        <v>3.0678632799999996</v>
      </c>
      <c r="N34" s="21"/>
      <c r="O34" s="7">
        <f>'[3]Production Summary'!AL125</f>
        <v>7814607</v>
      </c>
      <c r="P34" s="8">
        <f t="shared" si="8"/>
        <v>7.8146069999999996</v>
      </c>
      <c r="Q34" s="10">
        <f t="shared" si="9"/>
        <v>23.990843489999996</v>
      </c>
      <c r="R34" s="7">
        <f>'[3]Production Summary'!AE125</f>
        <v>4085069</v>
      </c>
      <c r="S34" s="8">
        <f t="shared" si="10"/>
        <v>4.0850689999999998</v>
      </c>
      <c r="T34" s="10">
        <f t="shared" si="11"/>
        <v>12.541161829999998</v>
      </c>
      <c r="U34" s="7">
        <f>'[3]Production Summary'!AF125</f>
        <v>3000029</v>
      </c>
      <c r="V34" s="8">
        <f t="shared" si="12"/>
        <v>3.0000290000000001</v>
      </c>
      <c r="W34" s="10">
        <f t="shared" si="13"/>
        <v>9.2100890299999989</v>
      </c>
      <c r="X34" s="7">
        <f>'[3]Production Summary'!AJ125</f>
        <v>196000</v>
      </c>
      <c r="Y34" s="8">
        <f t="shared" si="14"/>
        <v>0.19600000000000001</v>
      </c>
      <c r="Z34" s="10">
        <f t="shared" si="15"/>
        <v>0.60172000000000003</v>
      </c>
      <c r="AA34" s="15"/>
      <c r="AB34" s="7">
        <f t="shared" si="16"/>
        <v>15434607.000000004</v>
      </c>
      <c r="AC34" s="8">
        <f t="shared" si="16"/>
        <v>15.434607000000003</v>
      </c>
      <c r="AD34" s="8">
        <f t="shared" si="16"/>
        <v>47.38424349000001</v>
      </c>
    </row>
    <row r="35" spans="1:32" ht="13.8" thickBot="1" x14ac:dyDescent="0.3">
      <c r="A35" s="3"/>
      <c r="B35" s="37"/>
      <c r="C35" s="38">
        <f>SUM(C5:C34)</f>
        <v>201.99</v>
      </c>
      <c r="D35" s="38">
        <f>SUM(D5:D34)</f>
        <v>620.10930000000008</v>
      </c>
      <c r="E35" s="37"/>
      <c r="F35" s="38">
        <f>SUM(F5:F34)</f>
        <v>0</v>
      </c>
      <c r="G35" s="38">
        <f>SUM(G5:G34)</f>
        <v>0</v>
      </c>
      <c r="H35" s="38"/>
      <c r="I35" s="38">
        <f>SUM(I5:I34)</f>
        <v>214.21000000000004</v>
      </c>
      <c r="J35" s="38">
        <f>SUM(J5:J34)</f>
        <v>657.62469999999996</v>
      </c>
      <c r="K35" s="37"/>
      <c r="L35" s="38">
        <f>SUM(L5:L34)</f>
        <v>18.845160000000003</v>
      </c>
      <c r="M35" s="38">
        <f>SUM(M5:M34)</f>
        <v>57.854641200000003</v>
      </c>
      <c r="N35" s="14"/>
      <c r="O35" s="38"/>
      <c r="P35" s="38">
        <f>SUM(P5:P34)</f>
        <v>201.10243200000005</v>
      </c>
      <c r="Q35" s="38">
        <f>SUM(Q5:Q34)</f>
        <v>617.38446624000005</v>
      </c>
      <c r="R35" s="38"/>
      <c r="S35" s="38">
        <f>SUM(S5:S34)</f>
        <v>89.26356100000001</v>
      </c>
      <c r="T35" s="38">
        <f>SUM(T5:T34)</f>
        <v>274.03913226999998</v>
      </c>
      <c r="U35" s="38"/>
      <c r="V35" s="38">
        <f>SUM(V5:V34)</f>
        <v>100.014602</v>
      </c>
      <c r="W35" s="38">
        <f>SUM(W5:W34)</f>
        <v>307.04482813999994</v>
      </c>
      <c r="X35" s="38"/>
      <c r="Y35" s="38">
        <f>SUM(Y5:Y34)</f>
        <v>4.032</v>
      </c>
      <c r="Z35" s="38">
        <f>SUM(Z5:Z34)</f>
        <v>12.378239999999996</v>
      </c>
      <c r="AA35" s="14"/>
      <c r="AB35" s="37">
        <f t="shared" si="16"/>
        <v>0</v>
      </c>
      <c r="AC35" s="38">
        <f t="shared" si="16"/>
        <v>403.09243200000003</v>
      </c>
      <c r="AD35" s="38">
        <f t="shared" si="16"/>
        <v>1237.4937662400002</v>
      </c>
      <c r="AF35" s="18"/>
    </row>
    <row r="36" spans="1:32" x14ac:dyDescent="0.25">
      <c r="C36" s="18"/>
      <c r="E36" s="3"/>
      <c r="F36" s="3"/>
      <c r="G36" s="3"/>
      <c r="H36" s="3"/>
      <c r="I36" s="3"/>
      <c r="J36" s="15"/>
      <c r="K36" s="14"/>
      <c r="L36" s="3"/>
      <c r="M36" s="3"/>
      <c r="N36" s="3"/>
      <c r="O36" s="3"/>
      <c r="P36" s="3"/>
      <c r="Q36" s="3"/>
      <c r="R36" s="3"/>
      <c r="S36" s="3"/>
      <c r="T36" s="3"/>
      <c r="U36" s="14"/>
      <c r="AB36" s="23"/>
      <c r="AC36" s="29"/>
      <c r="AD36" s="23"/>
    </row>
  </sheetData>
  <mergeCells count="9">
    <mergeCell ref="R3:T3"/>
    <mergeCell ref="U3:W3"/>
    <mergeCell ref="AB3:AD3"/>
    <mergeCell ref="B3:D3"/>
    <mergeCell ref="E3:G3"/>
    <mergeCell ref="H3:J3"/>
    <mergeCell ref="O3:Q3"/>
    <mergeCell ref="K3:M3"/>
    <mergeCell ref="X3:Z3"/>
  </mergeCells>
  <phoneticPr fontId="1" type="noConversion"/>
  <pageMargins left="0.34" right="0.43" top="1" bottom="1" header="0.5" footer="0.5"/>
  <pageSetup paperSize="5" scale="54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AD39"/>
  <sheetViews>
    <sheetView tabSelected="1" workbookViewId="0">
      <pane xSplit="1" ySplit="4" topLeftCell="B26" activePane="bottomRight" state="frozen"/>
      <selection activeCell="W33" sqref="W33:W35"/>
      <selection pane="topRight" activeCell="W33" sqref="W33:W35"/>
      <selection pane="bottomLeft" activeCell="W33" sqref="W33:W35"/>
      <selection pane="bottomRight" activeCell="I29" sqref="I29"/>
    </sheetView>
  </sheetViews>
  <sheetFormatPr defaultRowHeight="13.2" x14ac:dyDescent="0.25"/>
  <cols>
    <col min="2" max="2" width="11.33203125" customWidth="1"/>
    <col min="5" max="5" width="11.33203125" customWidth="1"/>
    <col min="8" max="8" width="12.44140625" customWidth="1"/>
    <col min="11" max="11" width="10.33203125" customWidth="1"/>
    <col min="12" max="12" width="11" customWidth="1"/>
    <col min="15" max="15" width="11.6640625" customWidth="1"/>
    <col min="18" max="18" width="11.33203125" customWidth="1"/>
    <col min="22" max="22" width="10.33203125" customWidth="1"/>
    <col min="24" max="24" width="11.6640625" bestFit="1" customWidth="1"/>
    <col min="28" max="28" width="13.33203125" customWidth="1"/>
  </cols>
  <sheetData>
    <row r="1" spans="1:30" x14ac:dyDescent="0.25">
      <c r="A1" s="41"/>
      <c r="B1" s="39"/>
      <c r="C1" s="54" t="s">
        <v>23</v>
      </c>
      <c r="D1" s="25"/>
      <c r="E1" s="25"/>
      <c r="F1" s="25"/>
      <c r="G1" s="3"/>
      <c r="H1" s="3"/>
      <c r="I1" s="3"/>
      <c r="K1" s="14"/>
      <c r="L1" s="3"/>
      <c r="M1" s="3"/>
      <c r="N1" s="3"/>
      <c r="O1" s="3"/>
      <c r="P1" s="3"/>
      <c r="Q1" s="3"/>
      <c r="R1" s="3"/>
      <c r="S1" s="3"/>
      <c r="T1" s="3"/>
      <c r="U1" s="14"/>
      <c r="V1" s="3"/>
      <c r="W1" s="3"/>
      <c r="X1" s="3"/>
    </row>
    <row r="2" spans="1:30" ht="13.8" thickBot="1" x14ac:dyDescent="0.3">
      <c r="A2" s="3"/>
      <c r="B2" s="3"/>
      <c r="C2" s="24"/>
      <c r="D2" s="3"/>
      <c r="E2" s="3"/>
      <c r="F2" s="3"/>
      <c r="G2" s="3"/>
      <c r="H2" s="3"/>
      <c r="I2" s="3"/>
      <c r="J2" s="3"/>
      <c r="K2" s="14"/>
      <c r="L2" s="3"/>
      <c r="M2" s="3"/>
      <c r="N2" s="3"/>
      <c r="O2" s="3"/>
      <c r="P2" s="3"/>
      <c r="Q2" s="3"/>
      <c r="R2" s="3"/>
      <c r="S2" s="3"/>
      <c r="T2" s="3"/>
      <c r="U2" s="14"/>
      <c r="V2" s="3"/>
      <c r="W2" s="3"/>
      <c r="X2" s="3"/>
    </row>
    <row r="3" spans="1:30" ht="60.75" customHeight="1" thickBot="1" x14ac:dyDescent="0.3">
      <c r="A3" s="3"/>
      <c r="B3" s="68" t="s">
        <v>9</v>
      </c>
      <c r="C3" s="69"/>
      <c r="D3" s="70"/>
      <c r="E3" s="68" t="s">
        <v>10</v>
      </c>
      <c r="F3" s="69"/>
      <c r="G3" s="70"/>
      <c r="H3" s="68" t="s">
        <v>11</v>
      </c>
      <c r="I3" s="69"/>
      <c r="J3" s="70"/>
      <c r="K3" s="68" t="s">
        <v>12</v>
      </c>
      <c r="L3" s="69"/>
      <c r="M3" s="73"/>
      <c r="N3" s="62"/>
      <c r="O3" s="72" t="s">
        <v>4</v>
      </c>
      <c r="P3" s="69"/>
      <c r="Q3" s="70"/>
      <c r="R3" s="68" t="s">
        <v>3</v>
      </c>
      <c r="S3" s="69"/>
      <c r="T3" s="70"/>
      <c r="U3" s="68" t="s">
        <v>5</v>
      </c>
      <c r="V3" s="69"/>
      <c r="W3" s="70"/>
      <c r="X3" s="68" t="s">
        <v>6</v>
      </c>
      <c r="Y3" s="69"/>
      <c r="Z3" s="70"/>
      <c r="AA3" s="19"/>
      <c r="AB3" s="65" t="s">
        <v>7</v>
      </c>
      <c r="AC3" s="66"/>
      <c r="AD3" s="67"/>
    </row>
    <row r="4" spans="1:30" x14ac:dyDescent="0.25">
      <c r="A4" s="26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58" t="s">
        <v>2</v>
      </c>
      <c r="N4" s="62"/>
      <c r="O4" s="59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19"/>
      <c r="AB4" s="4" t="s">
        <v>0</v>
      </c>
      <c r="AC4" s="5" t="s">
        <v>1</v>
      </c>
      <c r="AD4" s="6" t="s">
        <v>2</v>
      </c>
    </row>
    <row r="5" spans="1:30" x14ac:dyDescent="0.25">
      <c r="A5" s="27">
        <v>43221</v>
      </c>
      <c r="B5" s="7">
        <f>'[3]Production Summary'!$U126</f>
        <v>8459999.9999999218</v>
      </c>
      <c r="C5" s="8">
        <f t="shared" ref="C5" si="0">B5/1000000</f>
        <v>8.4599999999999209</v>
      </c>
      <c r="D5" s="10">
        <f>C5*3.07</f>
        <v>25.972199999999756</v>
      </c>
      <c r="E5" s="7">
        <f>'[3]Production Summary'!O126</f>
        <v>0</v>
      </c>
      <c r="F5" s="8">
        <f>E5/1000000</f>
        <v>0</v>
      </c>
      <c r="G5" s="10">
        <f>F5*3.07</f>
        <v>0</v>
      </c>
      <c r="H5" s="7">
        <f>'[3]Production Summary'!Q126</f>
        <v>8510000</v>
      </c>
      <c r="I5" s="8">
        <f>H5/1000000</f>
        <v>8.51</v>
      </c>
      <c r="J5" s="10">
        <f>I5*3.07</f>
        <v>26.125699999999998</v>
      </c>
      <c r="K5" s="7">
        <f>'[3]Production Summary'!T126</f>
        <v>1170883</v>
      </c>
      <c r="L5" s="8">
        <f>K5/1000000</f>
        <v>1.1708829999999999</v>
      </c>
      <c r="M5" s="10">
        <f>L5*3.07</f>
        <v>3.5946108099999994</v>
      </c>
      <c r="N5" s="63"/>
      <c r="O5" s="60">
        <f>'[3]Production Summary'!AL126</f>
        <v>8584900</v>
      </c>
      <c r="P5" s="8">
        <f>O5/1000000</f>
        <v>8.5848999999999993</v>
      </c>
      <c r="Q5" s="10">
        <f>P5*3.07</f>
        <v>26.355642999999997</v>
      </c>
      <c r="R5" s="7">
        <f>'[3]Production Summary'!AE126</f>
        <v>5090996</v>
      </c>
      <c r="S5" s="8">
        <f>R5/1000000</f>
        <v>5.0909959999999996</v>
      </c>
      <c r="T5" s="10">
        <f>S5*3.07</f>
        <v>15.629357719999998</v>
      </c>
      <c r="U5" s="7">
        <f>'[3]Production Summary'!AF126</f>
        <v>2981027</v>
      </c>
      <c r="V5" s="8">
        <f>U5/1000000</f>
        <v>2.9810270000000001</v>
      </c>
      <c r="W5" s="10">
        <f>V5*3.07</f>
        <v>9.1517528899999991</v>
      </c>
      <c r="X5" s="7">
        <f>'[3]Production Summary'!AJ126</f>
        <v>152000</v>
      </c>
      <c r="Y5" s="8">
        <f>X5/1000000</f>
        <v>0.152</v>
      </c>
      <c r="Z5" s="10">
        <f>Y5*3.07</f>
        <v>0.46663999999999994</v>
      </c>
      <c r="AA5" s="15"/>
      <c r="AB5" s="7">
        <f>B5+O5</f>
        <v>17044899.999999922</v>
      </c>
      <c r="AC5" s="8">
        <f>C5+P5</f>
        <v>17.04489999999992</v>
      </c>
      <c r="AD5" s="8">
        <f>D5+Q5</f>
        <v>52.327842999999753</v>
      </c>
    </row>
    <row r="6" spans="1:30" x14ac:dyDescent="0.25">
      <c r="A6" s="27">
        <v>43222</v>
      </c>
      <c r="B6" s="7">
        <f>'[3]Production Summary'!$U127</f>
        <v>7920000.0000000726</v>
      </c>
      <c r="C6" s="8">
        <f t="shared" ref="C6:C35" si="1">B6/1000000</f>
        <v>7.9200000000000728</v>
      </c>
      <c r="D6" s="10">
        <f t="shared" ref="D6:D35" si="2">C6*3.07</f>
        <v>24.314400000000223</v>
      </c>
      <c r="E6" s="7">
        <f>'[3]Production Summary'!O127</f>
        <v>0</v>
      </c>
      <c r="F6" s="8">
        <f t="shared" ref="F6:F35" si="3">E6/1000000</f>
        <v>0</v>
      </c>
      <c r="G6" s="10">
        <f t="shared" ref="G6:G35" si="4">F6*3.07</f>
        <v>0</v>
      </c>
      <c r="H6" s="7">
        <f>'[3]Production Summary'!Q127</f>
        <v>6910000</v>
      </c>
      <c r="I6" s="8">
        <f t="shared" ref="I6:I35" si="5">H6/1000000</f>
        <v>6.91</v>
      </c>
      <c r="J6" s="10">
        <f t="shared" ref="J6:J35" si="6">I6*3.07</f>
        <v>21.213699999999999</v>
      </c>
      <c r="K6" s="7">
        <f>'[3]Production Summary'!T127</f>
        <v>661464</v>
      </c>
      <c r="L6" s="8">
        <f t="shared" ref="L6:L21" si="7">K6/1000000</f>
        <v>0.66146400000000005</v>
      </c>
      <c r="M6" s="10">
        <f t="shared" ref="M6:M34" si="8">L6*3.07</f>
        <v>2.0306944800000002</v>
      </c>
      <c r="N6" s="63"/>
      <c r="O6" s="60">
        <f>'[3]Production Summary'!AL127</f>
        <v>8995005</v>
      </c>
      <c r="P6" s="8">
        <f t="shared" ref="P6:P35" si="9">O6/1000000</f>
        <v>8.9950050000000008</v>
      </c>
      <c r="Q6" s="10">
        <f t="shared" ref="Q6:Q35" si="10">P6*3.07</f>
        <v>27.614665350000003</v>
      </c>
      <c r="R6" s="7">
        <f>'[3]Production Summary'!AE127</f>
        <v>5229986</v>
      </c>
      <c r="S6" s="8">
        <f t="shared" ref="S6:S35" si="11">R6/1000000</f>
        <v>5.2299860000000002</v>
      </c>
      <c r="T6" s="10">
        <f t="shared" ref="T6:T35" si="12">S6*3.07</f>
        <v>16.056057020000001</v>
      </c>
      <c r="U6" s="7">
        <f>'[3]Production Summary'!AF127</f>
        <v>3000029</v>
      </c>
      <c r="V6" s="8">
        <f t="shared" ref="V6:V35" si="13">U6/1000000</f>
        <v>3.0000290000000001</v>
      </c>
      <c r="W6" s="10">
        <f t="shared" ref="W6:W35" si="14">V6*3.07</f>
        <v>9.2100890299999989</v>
      </c>
      <c r="X6" s="7">
        <f>'[3]Production Summary'!AJ127</f>
        <v>0</v>
      </c>
      <c r="Y6" s="8">
        <f t="shared" ref="Y6:Y35" si="15">X6/1000000</f>
        <v>0</v>
      </c>
      <c r="Z6" s="10">
        <f t="shared" ref="Z6:Z35" si="16">Y6*3.07</f>
        <v>0</v>
      </c>
      <c r="AA6" s="15"/>
      <c r="AB6" s="7">
        <f t="shared" ref="AB6:AB35" si="17">B6+O6</f>
        <v>16915005.000000075</v>
      </c>
      <c r="AC6" s="8">
        <f t="shared" ref="AC6:AC35" si="18">C6+P6</f>
        <v>16.915005000000072</v>
      </c>
      <c r="AD6" s="8">
        <f t="shared" ref="AD6:AD35" si="19">D6+Q6</f>
        <v>51.929065350000229</v>
      </c>
    </row>
    <row r="7" spans="1:30" x14ac:dyDescent="0.25">
      <c r="A7" s="27">
        <v>43223</v>
      </c>
      <c r="B7" s="7">
        <f>'[3]Production Summary'!$U128</f>
        <v>6879999.9999999953</v>
      </c>
      <c r="C7" s="8">
        <f t="shared" si="1"/>
        <v>6.8799999999999955</v>
      </c>
      <c r="D7" s="10">
        <f t="shared" si="2"/>
        <v>21.121599999999987</v>
      </c>
      <c r="E7" s="7">
        <f>'[3]Production Summary'!O128</f>
        <v>0</v>
      </c>
      <c r="F7" s="8">
        <f t="shared" si="3"/>
        <v>0</v>
      </c>
      <c r="G7" s="10">
        <f t="shared" si="4"/>
        <v>0</v>
      </c>
      <c r="H7" s="7">
        <f>'[3]Production Summary'!Q128</f>
        <v>6100000</v>
      </c>
      <c r="I7" s="8">
        <f t="shared" si="5"/>
        <v>6.1</v>
      </c>
      <c r="J7" s="10">
        <f t="shared" si="6"/>
        <v>18.726999999999997</v>
      </c>
      <c r="K7" s="7">
        <f>'[3]Production Summary'!T128</f>
        <v>0</v>
      </c>
      <c r="L7" s="8">
        <f t="shared" si="7"/>
        <v>0</v>
      </c>
      <c r="M7" s="10">
        <f t="shared" si="8"/>
        <v>0</v>
      </c>
      <c r="N7" s="63"/>
      <c r="O7" s="60">
        <f>'[3]Production Summary'!AL128</f>
        <v>8019676</v>
      </c>
      <c r="P7" s="8">
        <f t="shared" si="9"/>
        <v>8.0196760000000005</v>
      </c>
      <c r="Q7" s="10">
        <f t="shared" si="10"/>
        <v>24.62040532</v>
      </c>
      <c r="R7" s="7">
        <f>'[3]Production Summary'!AE128</f>
        <v>4449044</v>
      </c>
      <c r="S7" s="8">
        <f t="shared" si="11"/>
        <v>4.4490439999999998</v>
      </c>
      <c r="T7" s="10">
        <f t="shared" si="12"/>
        <v>13.658565079999999</v>
      </c>
      <c r="U7" s="7">
        <f>'[3]Production Summary'!AF128</f>
        <v>3000029</v>
      </c>
      <c r="V7" s="8">
        <f t="shared" si="13"/>
        <v>3.0000290000000001</v>
      </c>
      <c r="W7" s="10">
        <f t="shared" si="14"/>
        <v>9.2100890299999989</v>
      </c>
      <c r="X7" s="7">
        <f>'[3]Production Summary'!AJ128</f>
        <v>162000</v>
      </c>
      <c r="Y7" s="8">
        <f t="shared" si="15"/>
        <v>0.16200000000000001</v>
      </c>
      <c r="Z7" s="10">
        <f t="shared" si="16"/>
        <v>0.49734</v>
      </c>
      <c r="AA7" s="15"/>
      <c r="AB7" s="7">
        <f t="shared" si="17"/>
        <v>14899675.999999996</v>
      </c>
      <c r="AC7" s="8">
        <f t="shared" si="18"/>
        <v>14.899675999999996</v>
      </c>
      <c r="AD7" s="8">
        <f t="shared" si="19"/>
        <v>45.74200531999999</v>
      </c>
    </row>
    <row r="8" spans="1:30" x14ac:dyDescent="0.25">
      <c r="A8" s="27">
        <v>43224</v>
      </c>
      <c r="B8" s="7">
        <f>'[3]Production Summary'!$U129</f>
        <v>7049999.9999999544</v>
      </c>
      <c r="C8" s="8">
        <f t="shared" si="1"/>
        <v>7.0499999999999545</v>
      </c>
      <c r="D8" s="10">
        <f t="shared" si="2"/>
        <v>21.643499999999861</v>
      </c>
      <c r="E8" s="7">
        <f>'[3]Production Summary'!O129</f>
        <v>0</v>
      </c>
      <c r="F8" s="8">
        <f t="shared" si="3"/>
        <v>0</v>
      </c>
      <c r="G8" s="10">
        <f t="shared" si="4"/>
        <v>0</v>
      </c>
      <c r="H8" s="7">
        <f>'[3]Production Summary'!Q129</f>
        <v>6070000</v>
      </c>
      <c r="I8" s="8">
        <f t="shared" si="5"/>
        <v>6.07</v>
      </c>
      <c r="J8" s="10">
        <f t="shared" si="6"/>
        <v>18.634899999999998</v>
      </c>
      <c r="K8" s="7">
        <f>'[3]Production Summary'!T129</f>
        <v>0</v>
      </c>
      <c r="L8" s="8">
        <f t="shared" si="7"/>
        <v>0</v>
      </c>
      <c r="M8" s="10">
        <f t="shared" si="8"/>
        <v>0</v>
      </c>
      <c r="N8" s="63"/>
      <c r="O8" s="60">
        <f>'[3]Production Summary'!AL129</f>
        <v>7955654</v>
      </c>
      <c r="P8" s="8">
        <f t="shared" si="9"/>
        <v>7.955654</v>
      </c>
      <c r="Q8" s="10">
        <f t="shared" si="10"/>
        <v>24.423857779999999</v>
      </c>
      <c r="R8" s="7">
        <f>'[3]Production Summary'!AE129</f>
        <v>4387048</v>
      </c>
      <c r="S8" s="8">
        <f t="shared" si="11"/>
        <v>4.3870480000000001</v>
      </c>
      <c r="T8" s="10">
        <f t="shared" si="12"/>
        <v>13.46823736</v>
      </c>
      <c r="U8" s="7">
        <f>'[3]Production Summary'!AF129</f>
        <v>3000029</v>
      </c>
      <c r="V8" s="8">
        <f t="shared" si="13"/>
        <v>3.0000290000000001</v>
      </c>
      <c r="W8" s="10">
        <f t="shared" si="14"/>
        <v>9.2100890299999989</v>
      </c>
      <c r="X8" s="7">
        <f>'[3]Production Summary'!AJ129</f>
        <v>170000</v>
      </c>
      <c r="Y8" s="8">
        <f t="shared" si="15"/>
        <v>0.17</v>
      </c>
      <c r="Z8" s="10">
        <f t="shared" si="16"/>
        <v>0.52190000000000003</v>
      </c>
      <c r="AA8" s="15"/>
      <c r="AB8" s="7">
        <f t="shared" si="17"/>
        <v>15005653.999999955</v>
      </c>
      <c r="AC8" s="8">
        <f t="shared" si="18"/>
        <v>15.005653999999954</v>
      </c>
      <c r="AD8" s="8">
        <f t="shared" si="19"/>
        <v>46.06735777999986</v>
      </c>
    </row>
    <row r="9" spans="1:30" x14ac:dyDescent="0.25">
      <c r="A9" s="27">
        <v>43225</v>
      </c>
      <c r="B9" s="7">
        <f>'[3]Production Summary'!$U130</f>
        <v>7019999.9999999814</v>
      </c>
      <c r="C9" s="8">
        <f t="shared" si="1"/>
        <v>7.0199999999999818</v>
      </c>
      <c r="D9" s="10">
        <f t="shared" si="2"/>
        <v>21.551399999999944</v>
      </c>
      <c r="E9" s="7">
        <f>'[3]Production Summary'!O130</f>
        <v>0</v>
      </c>
      <c r="F9" s="8">
        <f t="shared" si="3"/>
        <v>0</v>
      </c>
      <c r="G9" s="10">
        <f t="shared" si="4"/>
        <v>0</v>
      </c>
      <c r="H9" s="7">
        <f>'[3]Production Summary'!Q130</f>
        <v>6410000</v>
      </c>
      <c r="I9" s="8">
        <f t="shared" si="5"/>
        <v>6.41</v>
      </c>
      <c r="J9" s="10">
        <f t="shared" si="6"/>
        <v>19.678699999999999</v>
      </c>
      <c r="K9" s="7">
        <f>'[3]Production Summary'!T130</f>
        <v>815000</v>
      </c>
      <c r="L9" s="8">
        <f t="shared" si="7"/>
        <v>0.81499999999999995</v>
      </c>
      <c r="M9" s="10">
        <f t="shared" si="8"/>
        <v>2.5020499999999997</v>
      </c>
      <c r="N9" s="63"/>
      <c r="O9" s="60">
        <f>'[3]Production Summary'!AL130</f>
        <v>8947069</v>
      </c>
      <c r="P9" s="8">
        <f t="shared" si="9"/>
        <v>8.9470690000000008</v>
      </c>
      <c r="Q9" s="10">
        <f t="shared" si="10"/>
        <v>27.46750183</v>
      </c>
      <c r="R9" s="7">
        <f>'[3]Production Summary'!AE130</f>
        <v>5388975</v>
      </c>
      <c r="S9" s="8">
        <f t="shared" si="11"/>
        <v>5.3889750000000003</v>
      </c>
      <c r="T9" s="10">
        <f t="shared" si="12"/>
        <v>16.544153250000001</v>
      </c>
      <c r="U9" s="7">
        <f>'[3]Production Summary'!AF130</f>
        <v>3000029</v>
      </c>
      <c r="V9" s="8">
        <f t="shared" si="13"/>
        <v>3.0000290000000001</v>
      </c>
      <c r="W9" s="10">
        <f t="shared" si="14"/>
        <v>9.2100890299999989</v>
      </c>
      <c r="X9" s="7">
        <f>'[3]Production Summary'!AJ130</f>
        <v>208000</v>
      </c>
      <c r="Y9" s="8">
        <f t="shared" si="15"/>
        <v>0.20799999999999999</v>
      </c>
      <c r="Z9" s="10">
        <f t="shared" si="16"/>
        <v>0.63855999999999991</v>
      </c>
      <c r="AA9" s="15"/>
      <c r="AB9" s="7">
        <f t="shared" si="17"/>
        <v>15967068.999999981</v>
      </c>
      <c r="AC9" s="8">
        <f t="shared" si="18"/>
        <v>15.967068999999983</v>
      </c>
      <c r="AD9" s="8">
        <f t="shared" si="19"/>
        <v>49.018901829999947</v>
      </c>
    </row>
    <row r="10" spans="1:30" x14ac:dyDescent="0.25">
      <c r="A10" s="27">
        <v>43226</v>
      </c>
      <c r="B10" s="7">
        <f>'[3]Production Summary'!$U131</f>
        <v>6580000.000000041</v>
      </c>
      <c r="C10" s="8">
        <f t="shared" si="1"/>
        <v>6.5800000000000409</v>
      </c>
      <c r="D10" s="10">
        <f t="shared" si="2"/>
        <v>20.200600000000126</v>
      </c>
      <c r="E10" s="7">
        <f>'[3]Production Summary'!O131</f>
        <v>0</v>
      </c>
      <c r="F10" s="8">
        <f t="shared" si="3"/>
        <v>0</v>
      </c>
      <c r="G10" s="10">
        <f t="shared" si="4"/>
        <v>0</v>
      </c>
      <c r="H10" s="7">
        <f>'[3]Production Summary'!Q131</f>
        <v>6010000</v>
      </c>
      <c r="I10" s="8">
        <f t="shared" si="5"/>
        <v>6.01</v>
      </c>
      <c r="J10" s="10">
        <f t="shared" si="6"/>
        <v>18.450699999999998</v>
      </c>
      <c r="K10" s="7">
        <f>'[3]Production Summary'!T131</f>
        <v>712757</v>
      </c>
      <c r="L10" s="8">
        <f t="shared" si="7"/>
        <v>0.71275699999999997</v>
      </c>
      <c r="M10" s="10">
        <f t="shared" si="8"/>
        <v>2.1881639899999996</v>
      </c>
      <c r="N10" s="63"/>
      <c r="O10" s="60">
        <f>'[3]Production Summary'!AL131</f>
        <v>9011041</v>
      </c>
      <c r="P10" s="8">
        <f t="shared" si="9"/>
        <v>9.0110410000000005</v>
      </c>
      <c r="Q10" s="10">
        <f t="shared" si="10"/>
        <v>27.663895870000001</v>
      </c>
      <c r="R10" s="7">
        <f>'[3]Production Summary'!AE131</f>
        <v>5379975</v>
      </c>
      <c r="S10" s="8">
        <f t="shared" si="11"/>
        <v>5.379975</v>
      </c>
      <c r="T10" s="10">
        <f t="shared" si="12"/>
        <v>16.516523249999999</v>
      </c>
      <c r="U10" s="7">
        <f>'[3]Production Summary'!AF131</f>
        <v>2999029</v>
      </c>
      <c r="V10" s="8">
        <f t="shared" si="13"/>
        <v>2.9990290000000002</v>
      </c>
      <c r="W10" s="10">
        <f t="shared" si="14"/>
        <v>9.2070190299999997</v>
      </c>
      <c r="X10" s="7">
        <f>'[3]Production Summary'!AJ131</f>
        <v>74000</v>
      </c>
      <c r="Y10" s="8">
        <f t="shared" si="15"/>
        <v>7.3999999999999996E-2</v>
      </c>
      <c r="Z10" s="10">
        <f t="shared" si="16"/>
        <v>0.22717999999999997</v>
      </c>
      <c r="AA10" s="15"/>
      <c r="AB10" s="7">
        <f t="shared" si="17"/>
        <v>15591041.000000041</v>
      </c>
      <c r="AC10" s="8">
        <f t="shared" si="18"/>
        <v>15.591041000000041</v>
      </c>
      <c r="AD10" s="8">
        <f t="shared" si="19"/>
        <v>47.864495870000127</v>
      </c>
    </row>
    <row r="11" spans="1:30" x14ac:dyDescent="0.25">
      <c r="A11" s="27">
        <v>43227</v>
      </c>
      <c r="B11" s="7">
        <f>'[3]Production Summary'!$U132</f>
        <v>7310000.0000000587</v>
      </c>
      <c r="C11" s="8">
        <f t="shared" si="1"/>
        <v>7.3100000000000591</v>
      </c>
      <c r="D11" s="10">
        <f t="shared" si="2"/>
        <v>22.441700000000182</v>
      </c>
      <c r="E11" s="7">
        <f>'[3]Production Summary'!O132</f>
        <v>0</v>
      </c>
      <c r="F11" s="8">
        <f t="shared" si="3"/>
        <v>0</v>
      </c>
      <c r="G11" s="10">
        <f t="shared" si="4"/>
        <v>0</v>
      </c>
      <c r="H11" s="7">
        <f>'[3]Production Summary'!Q132</f>
        <v>5990000</v>
      </c>
      <c r="I11" s="8">
        <f t="shared" si="5"/>
        <v>5.99</v>
      </c>
      <c r="J11" s="10">
        <f t="shared" si="6"/>
        <v>18.389299999999999</v>
      </c>
      <c r="K11" s="7">
        <f>'[3]Production Summary'!T132</f>
        <v>0</v>
      </c>
      <c r="L11" s="8">
        <f t="shared" si="7"/>
        <v>0</v>
      </c>
      <c r="M11" s="10">
        <f t="shared" si="8"/>
        <v>0</v>
      </c>
      <c r="N11" s="63"/>
      <c r="O11" s="60">
        <f>'[3]Production Summary'!AL132</f>
        <v>8983061</v>
      </c>
      <c r="P11" s="8">
        <f t="shared" si="9"/>
        <v>8.9830609999999993</v>
      </c>
      <c r="Q11" s="10">
        <f t="shared" si="10"/>
        <v>27.577997269999997</v>
      </c>
      <c r="R11" s="7">
        <f>'[3]Production Summary'!AE132</f>
        <v>5862940</v>
      </c>
      <c r="S11" s="8">
        <f t="shared" si="11"/>
        <v>5.86294</v>
      </c>
      <c r="T11" s="10">
        <f t="shared" si="12"/>
        <v>17.999225799999998</v>
      </c>
      <c r="U11" s="7">
        <f>'[3]Production Summary'!AF132</f>
        <v>3001029</v>
      </c>
      <c r="V11" s="8">
        <f t="shared" si="13"/>
        <v>3.0010289999999999</v>
      </c>
      <c r="W11" s="10">
        <f t="shared" si="14"/>
        <v>9.2131590299999999</v>
      </c>
      <c r="X11" s="7">
        <f>'[3]Production Summary'!AJ132</f>
        <v>152000</v>
      </c>
      <c r="Y11" s="8">
        <f t="shared" si="15"/>
        <v>0.152</v>
      </c>
      <c r="Z11" s="10">
        <f t="shared" si="16"/>
        <v>0.46663999999999994</v>
      </c>
      <c r="AA11" s="15"/>
      <c r="AB11" s="7">
        <f t="shared" si="17"/>
        <v>16293061.00000006</v>
      </c>
      <c r="AC11" s="8">
        <f t="shared" si="18"/>
        <v>16.293061000000058</v>
      </c>
      <c r="AD11" s="8">
        <f t="shared" si="19"/>
        <v>50.019697270000179</v>
      </c>
    </row>
    <row r="12" spans="1:30" x14ac:dyDescent="0.25">
      <c r="A12" s="27">
        <v>43228</v>
      </c>
      <c r="B12" s="7">
        <f>'[3]Production Summary'!$U133</f>
        <v>6829999.9999999274</v>
      </c>
      <c r="C12" s="8">
        <f t="shared" si="1"/>
        <v>6.8299999999999272</v>
      </c>
      <c r="D12" s="10">
        <f t="shared" si="2"/>
        <v>20.968099999999776</v>
      </c>
      <c r="E12" s="7">
        <f>'[3]Production Summary'!O133</f>
        <v>0</v>
      </c>
      <c r="F12" s="8">
        <f t="shared" si="3"/>
        <v>0</v>
      </c>
      <c r="G12" s="10">
        <f t="shared" si="4"/>
        <v>0</v>
      </c>
      <c r="H12" s="7">
        <f>'[3]Production Summary'!Q133</f>
        <v>7080000</v>
      </c>
      <c r="I12" s="8">
        <f t="shared" si="5"/>
        <v>7.08</v>
      </c>
      <c r="J12" s="10">
        <f t="shared" si="6"/>
        <v>21.735599999999998</v>
      </c>
      <c r="K12" s="7">
        <f>'[3]Production Summary'!T133</f>
        <v>0</v>
      </c>
      <c r="L12" s="8">
        <f t="shared" si="7"/>
        <v>0</v>
      </c>
      <c r="M12" s="10">
        <f t="shared" si="8"/>
        <v>0</v>
      </c>
      <c r="N12" s="63"/>
      <c r="O12" s="60">
        <f>'[3]Production Summary'!AL133</f>
        <v>10832747</v>
      </c>
      <c r="P12" s="8">
        <f t="shared" si="9"/>
        <v>10.832746999999999</v>
      </c>
      <c r="Q12" s="10">
        <f t="shared" si="10"/>
        <v>33.25653329</v>
      </c>
      <c r="R12" s="7">
        <f>'[3]Production Summary'!AE133</f>
        <v>4123902</v>
      </c>
      <c r="S12" s="8">
        <f t="shared" si="11"/>
        <v>4.1239020000000002</v>
      </c>
      <c r="T12" s="10">
        <f t="shared" si="12"/>
        <v>12.66037914</v>
      </c>
      <c r="U12" s="7">
        <f>'[3]Production Summary'!AF133</f>
        <v>3000028</v>
      </c>
      <c r="V12" s="8">
        <f t="shared" si="13"/>
        <v>3.0000279999999999</v>
      </c>
      <c r="W12" s="10">
        <f t="shared" si="14"/>
        <v>9.2100859599999989</v>
      </c>
      <c r="X12" s="7">
        <f>'[3]Production Summary'!AJ133</f>
        <v>0</v>
      </c>
      <c r="Y12" s="8">
        <f t="shared" si="15"/>
        <v>0</v>
      </c>
      <c r="Z12" s="10">
        <f t="shared" si="16"/>
        <v>0</v>
      </c>
      <c r="AA12" s="15"/>
      <c r="AB12" s="7">
        <f t="shared" si="17"/>
        <v>17662746.999999925</v>
      </c>
      <c r="AC12" s="8">
        <f t="shared" si="18"/>
        <v>17.662746999999925</v>
      </c>
      <c r="AD12" s="8">
        <f t="shared" si="19"/>
        <v>54.224633289999773</v>
      </c>
    </row>
    <row r="13" spans="1:30" x14ac:dyDescent="0.25">
      <c r="A13" s="27">
        <v>43229</v>
      </c>
      <c r="B13" s="7">
        <f>'[3]Production Summary'!$U134</f>
        <v>5240000.0000000093</v>
      </c>
      <c r="C13" s="8">
        <f t="shared" si="1"/>
        <v>5.2400000000000091</v>
      </c>
      <c r="D13" s="10">
        <f t="shared" si="2"/>
        <v>16.086800000000029</v>
      </c>
      <c r="E13" s="7">
        <f>'[3]Production Summary'!O134</f>
        <v>0</v>
      </c>
      <c r="F13" s="8">
        <f t="shared" si="3"/>
        <v>0</v>
      </c>
      <c r="G13" s="10">
        <f t="shared" si="4"/>
        <v>0</v>
      </c>
      <c r="H13" s="7">
        <f>'[3]Production Summary'!Q134</f>
        <v>6160000</v>
      </c>
      <c r="I13" s="8">
        <f t="shared" si="5"/>
        <v>6.16</v>
      </c>
      <c r="J13" s="10">
        <f t="shared" si="6"/>
        <v>18.911200000000001</v>
      </c>
      <c r="K13" s="7">
        <f>'[3]Production Summary'!T134</f>
        <v>3147</v>
      </c>
      <c r="L13" s="8">
        <f t="shared" si="7"/>
        <v>3.1470000000000001E-3</v>
      </c>
      <c r="M13" s="10">
        <f t="shared" si="8"/>
        <v>9.6612899999999995E-3</v>
      </c>
      <c r="N13" s="63"/>
      <c r="O13" s="60">
        <f>'[3]Production Summary'!AL134</f>
        <v>10224563</v>
      </c>
      <c r="P13" s="8">
        <f t="shared" si="9"/>
        <v>10.224563</v>
      </c>
      <c r="Q13" s="10">
        <f t="shared" si="10"/>
        <v>31.389408409999998</v>
      </c>
      <c r="R13" s="7">
        <f>'[3]Production Summary'!AE134</f>
        <v>7286837</v>
      </c>
      <c r="S13" s="8">
        <f t="shared" si="11"/>
        <v>7.2868370000000002</v>
      </c>
      <c r="T13" s="10">
        <f t="shared" si="12"/>
        <v>22.370589589999998</v>
      </c>
      <c r="U13" s="7">
        <f>'[3]Production Summary'!AF134</f>
        <v>3000029</v>
      </c>
      <c r="V13" s="8">
        <f t="shared" si="13"/>
        <v>3.0000290000000001</v>
      </c>
      <c r="W13" s="10">
        <f t="shared" si="14"/>
        <v>9.2100890299999989</v>
      </c>
      <c r="X13" s="7">
        <f>'[3]Production Summary'!AJ134</f>
        <v>152000</v>
      </c>
      <c r="Y13" s="8">
        <f t="shared" si="15"/>
        <v>0.152</v>
      </c>
      <c r="Z13" s="10">
        <f t="shared" si="16"/>
        <v>0.46663999999999994</v>
      </c>
      <c r="AA13" s="15"/>
      <c r="AB13" s="7">
        <f t="shared" si="17"/>
        <v>15464563.000000009</v>
      </c>
      <c r="AC13" s="8">
        <f t="shared" si="18"/>
        <v>15.464563000000009</v>
      </c>
      <c r="AD13" s="8">
        <f t="shared" si="19"/>
        <v>47.476208410000027</v>
      </c>
    </row>
    <row r="14" spans="1:30" x14ac:dyDescent="0.25">
      <c r="A14" s="27">
        <v>43230</v>
      </c>
      <c r="B14" s="7">
        <f>'[3]Production Summary'!$U135</f>
        <v>6300000.000000068</v>
      </c>
      <c r="C14" s="8">
        <f t="shared" si="1"/>
        <v>6.3000000000000682</v>
      </c>
      <c r="D14" s="10">
        <f t="shared" si="2"/>
        <v>19.341000000000207</v>
      </c>
      <c r="E14" s="7">
        <f>'[3]Production Summary'!O135</f>
        <v>0</v>
      </c>
      <c r="F14" s="8">
        <f t="shared" si="3"/>
        <v>0</v>
      </c>
      <c r="G14" s="10">
        <f t="shared" si="4"/>
        <v>0</v>
      </c>
      <c r="H14" s="7">
        <f>'[3]Production Summary'!Q135</f>
        <v>6000000</v>
      </c>
      <c r="I14" s="8">
        <f t="shared" si="5"/>
        <v>6</v>
      </c>
      <c r="J14" s="10">
        <f t="shared" si="6"/>
        <v>18.419999999999998</v>
      </c>
      <c r="K14" s="7">
        <f>'[3]Production Summary'!T135</f>
        <v>686736</v>
      </c>
      <c r="L14" s="8">
        <f t="shared" si="7"/>
        <v>0.68673600000000001</v>
      </c>
      <c r="M14" s="10">
        <f t="shared" si="8"/>
        <v>2.10827952</v>
      </c>
      <c r="N14" s="63"/>
      <c r="O14" s="60">
        <f>'[3]Production Summary'!AL135</f>
        <v>7913630</v>
      </c>
      <c r="P14" s="8">
        <f t="shared" si="9"/>
        <v>7.9136300000000004</v>
      </c>
      <c r="Q14" s="10">
        <f t="shared" si="10"/>
        <v>24.294844099999999</v>
      </c>
      <c r="R14" s="7">
        <f>'[3]Production Summary'!AE135</f>
        <v>6333907</v>
      </c>
      <c r="S14" s="8">
        <f t="shared" si="11"/>
        <v>6.333907</v>
      </c>
      <c r="T14" s="10">
        <f t="shared" si="12"/>
        <v>19.445094489999999</v>
      </c>
      <c r="U14" s="7">
        <f>'[3]Production Summary'!AF135</f>
        <v>1117993</v>
      </c>
      <c r="V14" s="8">
        <f t="shared" si="13"/>
        <v>1.117993</v>
      </c>
      <c r="W14" s="10">
        <f t="shared" si="14"/>
        <v>3.4322385099999999</v>
      </c>
      <c r="X14" s="7">
        <f>'[3]Production Summary'!AJ135</f>
        <v>153000</v>
      </c>
      <c r="Y14" s="8">
        <f t="shared" si="15"/>
        <v>0.153</v>
      </c>
      <c r="Z14" s="10">
        <f t="shared" si="16"/>
        <v>0.46970999999999996</v>
      </c>
      <c r="AA14" s="15"/>
      <c r="AB14" s="7">
        <f t="shared" si="17"/>
        <v>14213630.000000067</v>
      </c>
      <c r="AC14" s="8">
        <f t="shared" si="18"/>
        <v>14.213630000000069</v>
      </c>
      <c r="AD14" s="8">
        <f t="shared" si="19"/>
        <v>43.635844100000206</v>
      </c>
    </row>
    <row r="15" spans="1:30" x14ac:dyDescent="0.25">
      <c r="A15" s="27">
        <v>43231</v>
      </c>
      <c r="B15" s="7">
        <f>'[3]Production Summary'!$U136</f>
        <v>6239999.9999998957</v>
      </c>
      <c r="C15" s="8">
        <f t="shared" si="1"/>
        <v>6.2399999999998954</v>
      </c>
      <c r="D15" s="10">
        <f t="shared" si="2"/>
        <v>19.156799999999677</v>
      </c>
      <c r="E15" s="7">
        <f>'[3]Production Summary'!O136</f>
        <v>0</v>
      </c>
      <c r="F15" s="8">
        <f t="shared" si="3"/>
        <v>0</v>
      </c>
      <c r="G15" s="10">
        <f t="shared" si="4"/>
        <v>0</v>
      </c>
      <c r="H15" s="7">
        <f>'[3]Production Summary'!Q136</f>
        <v>6580000</v>
      </c>
      <c r="I15" s="8">
        <f t="shared" si="5"/>
        <v>6.58</v>
      </c>
      <c r="J15" s="10">
        <f t="shared" si="6"/>
        <v>20.200599999999998</v>
      </c>
      <c r="K15" s="7">
        <f>'[3]Production Summary'!T136</f>
        <v>799440</v>
      </c>
      <c r="L15" s="8">
        <f t="shared" si="7"/>
        <v>0.79944000000000004</v>
      </c>
      <c r="M15" s="10">
        <f t="shared" si="8"/>
        <v>2.4542807999999998</v>
      </c>
      <c r="N15" s="63"/>
      <c r="O15" s="60">
        <f>'[3]Production Summary'!AL136</f>
        <v>6056733</v>
      </c>
      <c r="P15" s="8">
        <f t="shared" si="9"/>
        <v>6.0567330000000004</v>
      </c>
      <c r="Q15" s="10">
        <f t="shared" si="10"/>
        <v>18.594170309999999</v>
      </c>
      <c r="R15" s="7">
        <f>'[3]Production Summary'!AE136</f>
        <v>5384975</v>
      </c>
      <c r="S15" s="8">
        <f t="shared" si="11"/>
        <v>5.3849749999999998</v>
      </c>
      <c r="T15" s="10">
        <f t="shared" si="12"/>
        <v>16.53187325</v>
      </c>
      <c r="U15" s="7">
        <f>'[3]Production Summary'!AF136</f>
        <v>0</v>
      </c>
      <c r="V15" s="8">
        <f t="shared" si="13"/>
        <v>0</v>
      </c>
      <c r="W15" s="10">
        <f t="shared" si="14"/>
        <v>0</v>
      </c>
      <c r="X15" s="7">
        <f>'[3]Production Summary'!AJ136</f>
        <v>152000</v>
      </c>
      <c r="Y15" s="8">
        <f t="shared" si="15"/>
        <v>0.152</v>
      </c>
      <c r="Z15" s="10">
        <f t="shared" si="16"/>
        <v>0.46663999999999994</v>
      </c>
      <c r="AA15" s="15"/>
      <c r="AB15" s="7">
        <f t="shared" si="17"/>
        <v>12296732.999999896</v>
      </c>
      <c r="AC15" s="8">
        <f t="shared" si="18"/>
        <v>12.296732999999897</v>
      </c>
      <c r="AD15" s="8">
        <f t="shared" si="19"/>
        <v>37.750970309999673</v>
      </c>
    </row>
    <row r="16" spans="1:30" x14ac:dyDescent="0.25">
      <c r="A16" s="27">
        <v>43232</v>
      </c>
      <c r="B16" s="7">
        <f>'[3]Production Summary'!$U137</f>
        <v>7780000.0000000866</v>
      </c>
      <c r="C16" s="8">
        <f t="shared" si="1"/>
        <v>7.7800000000000864</v>
      </c>
      <c r="D16" s="10">
        <f t="shared" si="2"/>
        <v>23.884600000000265</v>
      </c>
      <c r="E16" s="7">
        <f>'[3]Production Summary'!O137</f>
        <v>0</v>
      </c>
      <c r="F16" s="8">
        <f t="shared" si="3"/>
        <v>0</v>
      </c>
      <c r="G16" s="10">
        <f t="shared" si="4"/>
        <v>0</v>
      </c>
      <c r="H16" s="7">
        <f>'[3]Production Summary'!Q137</f>
        <v>8040000</v>
      </c>
      <c r="I16" s="8">
        <f t="shared" si="5"/>
        <v>8.0399999999999991</v>
      </c>
      <c r="J16" s="10">
        <f t="shared" si="6"/>
        <v>24.682799999999997</v>
      </c>
      <c r="K16" s="7">
        <f>'[3]Production Summary'!T137</f>
        <v>0</v>
      </c>
      <c r="L16" s="8">
        <f t="shared" si="7"/>
        <v>0</v>
      </c>
      <c r="M16" s="10">
        <f t="shared" si="8"/>
        <v>0</v>
      </c>
      <c r="N16" s="63"/>
      <c r="O16" s="60">
        <f>'[3]Production Summary'!AL137</f>
        <v>6296715</v>
      </c>
      <c r="P16" s="8">
        <f t="shared" si="9"/>
        <v>6.2967149999999998</v>
      </c>
      <c r="Q16" s="10">
        <f t="shared" si="10"/>
        <v>19.330915049999998</v>
      </c>
      <c r="R16" s="7">
        <f>'[3]Production Summary'!AE137</f>
        <v>5694953</v>
      </c>
      <c r="S16" s="8">
        <f t="shared" si="11"/>
        <v>5.6949529999999999</v>
      </c>
      <c r="T16" s="10">
        <f t="shared" si="12"/>
        <v>17.483505709999999</v>
      </c>
      <c r="U16" s="7">
        <f>'[3]Production Summary'!AF137</f>
        <v>0</v>
      </c>
      <c r="V16" s="8">
        <f t="shared" si="13"/>
        <v>0</v>
      </c>
      <c r="W16" s="10">
        <f t="shared" si="14"/>
        <v>0</v>
      </c>
      <c r="X16" s="7">
        <f>'[3]Production Summary'!AJ137</f>
        <v>154000</v>
      </c>
      <c r="Y16" s="8">
        <f t="shared" si="15"/>
        <v>0.154</v>
      </c>
      <c r="Z16" s="10">
        <f t="shared" si="16"/>
        <v>0.47277999999999998</v>
      </c>
      <c r="AA16" s="15"/>
      <c r="AB16" s="7">
        <f t="shared" si="17"/>
        <v>14076715.000000086</v>
      </c>
      <c r="AC16" s="8">
        <f t="shared" si="18"/>
        <v>14.076715000000085</v>
      </c>
      <c r="AD16" s="8">
        <f t="shared" si="19"/>
        <v>43.215515050000263</v>
      </c>
    </row>
    <row r="17" spans="1:30" x14ac:dyDescent="0.25">
      <c r="A17" s="27">
        <v>43233</v>
      </c>
      <c r="B17" s="7">
        <f>'[3]Production Summary'!$U138</f>
        <v>8299999.9999999544</v>
      </c>
      <c r="C17" s="8">
        <f t="shared" si="1"/>
        <v>8.2999999999999545</v>
      </c>
      <c r="D17" s="10">
        <f t="shared" si="2"/>
        <v>25.48099999999986</v>
      </c>
      <c r="E17" s="7">
        <f>'[3]Production Summary'!O138</f>
        <v>0</v>
      </c>
      <c r="F17" s="8">
        <f t="shared" si="3"/>
        <v>0</v>
      </c>
      <c r="G17" s="10">
        <f t="shared" si="4"/>
        <v>0</v>
      </c>
      <c r="H17" s="7">
        <f>'[3]Production Summary'!Q138</f>
        <v>9350000</v>
      </c>
      <c r="I17" s="8">
        <f t="shared" si="5"/>
        <v>9.35</v>
      </c>
      <c r="J17" s="10">
        <f t="shared" si="6"/>
        <v>28.704499999999996</v>
      </c>
      <c r="K17" s="7">
        <f>'[3]Production Summary'!T138</f>
        <v>3408</v>
      </c>
      <c r="L17" s="8">
        <f t="shared" si="7"/>
        <v>3.408E-3</v>
      </c>
      <c r="M17" s="10">
        <f t="shared" si="8"/>
        <v>1.0462559999999999E-2</v>
      </c>
      <c r="N17" s="63"/>
      <c r="O17" s="60">
        <f>'[3]Production Summary'!AL138</f>
        <v>7754610</v>
      </c>
      <c r="P17" s="8">
        <f t="shared" si="9"/>
        <v>7.7546099999999996</v>
      </c>
      <c r="Q17" s="10">
        <f t="shared" si="10"/>
        <v>23.806652699999997</v>
      </c>
      <c r="R17" s="7">
        <f>'[3]Production Summary'!AE138</f>
        <v>7140848</v>
      </c>
      <c r="S17" s="8">
        <f t="shared" si="11"/>
        <v>7.1408480000000001</v>
      </c>
      <c r="T17" s="10">
        <f t="shared" si="12"/>
        <v>21.922403360000001</v>
      </c>
      <c r="U17" s="7">
        <f>'[3]Production Summary'!AF138</f>
        <v>0</v>
      </c>
      <c r="V17" s="8">
        <f t="shared" si="13"/>
        <v>0</v>
      </c>
      <c r="W17" s="10">
        <f t="shared" si="14"/>
        <v>0</v>
      </c>
      <c r="X17" s="7">
        <f>'[3]Production Summary'!AJ138</f>
        <v>152000</v>
      </c>
      <c r="Y17" s="8">
        <f t="shared" si="15"/>
        <v>0.152</v>
      </c>
      <c r="Z17" s="10">
        <f t="shared" si="16"/>
        <v>0.46663999999999994</v>
      </c>
      <c r="AA17" s="15"/>
      <c r="AB17" s="7">
        <f t="shared" si="17"/>
        <v>16054609.999999955</v>
      </c>
      <c r="AC17" s="8">
        <f t="shared" si="18"/>
        <v>16.054609999999954</v>
      </c>
      <c r="AD17" s="8">
        <f t="shared" si="19"/>
        <v>49.287652699999853</v>
      </c>
    </row>
    <row r="18" spans="1:30" x14ac:dyDescent="0.25">
      <c r="A18" s="27">
        <v>43234</v>
      </c>
      <c r="B18" s="7">
        <f>'[3]Production Summary'!$U139</f>
        <v>8560000.0000000596</v>
      </c>
      <c r="C18" s="8">
        <f t="shared" si="1"/>
        <v>8.5600000000000591</v>
      </c>
      <c r="D18" s="10">
        <f t="shared" si="2"/>
        <v>26.279200000000181</v>
      </c>
      <c r="E18" s="7">
        <f>'[3]Production Summary'!O139</f>
        <v>0</v>
      </c>
      <c r="F18" s="8">
        <f t="shared" si="3"/>
        <v>0</v>
      </c>
      <c r="G18" s="10">
        <f t="shared" si="4"/>
        <v>0</v>
      </c>
      <c r="H18" s="7">
        <f>'[3]Production Summary'!Q139</f>
        <v>9410000</v>
      </c>
      <c r="I18" s="8">
        <f t="shared" si="5"/>
        <v>9.41</v>
      </c>
      <c r="J18" s="10">
        <f t="shared" si="6"/>
        <v>28.8887</v>
      </c>
      <c r="K18" s="7">
        <f>'[3]Production Summary'!T139</f>
        <v>1112153</v>
      </c>
      <c r="L18" s="8">
        <f t="shared" si="7"/>
        <v>1.1121529999999999</v>
      </c>
      <c r="M18" s="10">
        <f t="shared" si="8"/>
        <v>3.4143097099999995</v>
      </c>
      <c r="N18" s="63"/>
      <c r="O18" s="60">
        <f>'[3]Production Summary'!AL139</f>
        <v>7583622</v>
      </c>
      <c r="P18" s="8">
        <f t="shared" si="9"/>
        <v>7.5836220000000001</v>
      </c>
      <c r="Q18" s="10">
        <f t="shared" si="10"/>
        <v>23.281719539999997</v>
      </c>
      <c r="R18" s="7">
        <f>'[3]Production Summary'!AE139</f>
        <v>6959757</v>
      </c>
      <c r="S18" s="8">
        <f t="shared" si="11"/>
        <v>6.9597569999999997</v>
      </c>
      <c r="T18" s="10">
        <f t="shared" si="12"/>
        <v>21.366453989999997</v>
      </c>
      <c r="U18" s="7">
        <f>'[3]Production Summary'!AF139</f>
        <v>0</v>
      </c>
      <c r="V18" s="8">
        <f t="shared" si="13"/>
        <v>0</v>
      </c>
      <c r="W18" s="10">
        <f t="shared" si="14"/>
        <v>0</v>
      </c>
      <c r="X18" s="7">
        <f>'[3]Production Summary'!AJ139</f>
        <v>152000</v>
      </c>
      <c r="Y18" s="8">
        <f t="shared" si="15"/>
        <v>0.152</v>
      </c>
      <c r="Z18" s="10">
        <f t="shared" si="16"/>
        <v>0.46663999999999994</v>
      </c>
      <c r="AA18" s="15"/>
      <c r="AB18" s="7">
        <f t="shared" si="17"/>
        <v>16143622.00000006</v>
      </c>
      <c r="AC18" s="8">
        <f t="shared" si="18"/>
        <v>16.143622000000057</v>
      </c>
      <c r="AD18" s="8">
        <f t="shared" si="19"/>
        <v>49.560919540000178</v>
      </c>
    </row>
    <row r="19" spans="1:30" x14ac:dyDescent="0.25">
      <c r="A19" s="27">
        <v>43235</v>
      </c>
      <c r="B19" s="7">
        <f>'[3]Production Summary'!$U140</f>
        <v>8179999.9999999497</v>
      </c>
      <c r="C19" s="8">
        <f t="shared" si="1"/>
        <v>8.17999999999995</v>
      </c>
      <c r="D19" s="10">
        <f t="shared" si="2"/>
        <v>25.112599999999844</v>
      </c>
      <c r="E19" s="7">
        <f>'[3]Production Summary'!O140</f>
        <v>0</v>
      </c>
      <c r="F19" s="8">
        <f t="shared" si="3"/>
        <v>0</v>
      </c>
      <c r="G19" s="10">
        <f t="shared" si="4"/>
        <v>0</v>
      </c>
      <c r="H19" s="7">
        <f>'[3]Production Summary'!Q140</f>
        <v>8490000</v>
      </c>
      <c r="I19" s="8">
        <f t="shared" si="5"/>
        <v>8.49</v>
      </c>
      <c r="J19" s="10">
        <f t="shared" si="6"/>
        <v>26.064299999999999</v>
      </c>
      <c r="K19" s="7">
        <f>'[3]Production Summary'!T140</f>
        <v>1020044</v>
      </c>
      <c r="L19" s="8">
        <f t="shared" si="7"/>
        <v>1.020044</v>
      </c>
      <c r="M19" s="10">
        <f t="shared" si="8"/>
        <v>3.1315350799999995</v>
      </c>
      <c r="N19" s="63"/>
      <c r="O19" s="60">
        <f>'[3]Production Summary'!AL140</f>
        <v>7210652</v>
      </c>
      <c r="P19" s="8">
        <f t="shared" si="9"/>
        <v>7.2106519999999996</v>
      </c>
      <c r="Q19" s="10">
        <f t="shared" si="10"/>
        <v>22.136701639999998</v>
      </c>
      <c r="R19" s="7">
        <f>'[3]Production Summary'!AE140</f>
        <v>6616704</v>
      </c>
      <c r="S19" s="8">
        <f t="shared" si="11"/>
        <v>6.6167040000000004</v>
      </c>
      <c r="T19" s="10">
        <f t="shared" si="12"/>
        <v>20.313281280000002</v>
      </c>
      <c r="U19" s="7">
        <f>'[3]Production Summary'!AF140</f>
        <v>0</v>
      </c>
      <c r="V19" s="8">
        <f t="shared" si="13"/>
        <v>0</v>
      </c>
      <c r="W19" s="10">
        <f t="shared" si="14"/>
        <v>0</v>
      </c>
      <c r="X19" s="7">
        <f>'[3]Production Summary'!AJ140</f>
        <v>107000</v>
      </c>
      <c r="Y19" s="8">
        <f t="shared" si="15"/>
        <v>0.107</v>
      </c>
      <c r="Z19" s="10">
        <f t="shared" si="16"/>
        <v>0.32848999999999995</v>
      </c>
      <c r="AA19" s="15"/>
      <c r="AB19" s="7">
        <f t="shared" si="17"/>
        <v>15390651.99999995</v>
      </c>
      <c r="AC19" s="8">
        <f t="shared" si="18"/>
        <v>15.39065199999995</v>
      </c>
      <c r="AD19" s="8">
        <f t="shared" si="19"/>
        <v>47.249301639999842</v>
      </c>
    </row>
    <row r="20" spans="1:30" x14ac:dyDescent="0.25">
      <c r="A20" s="27">
        <v>43236</v>
      </c>
      <c r="B20" s="7">
        <f>'[3]Production Summary'!$U141</f>
        <v>8250000</v>
      </c>
      <c r="C20" s="8">
        <f t="shared" si="1"/>
        <v>8.25</v>
      </c>
      <c r="D20" s="10">
        <f t="shared" si="2"/>
        <v>25.327499999999997</v>
      </c>
      <c r="E20" s="7">
        <f>'[3]Production Summary'!O141</f>
        <v>0</v>
      </c>
      <c r="F20" s="8">
        <f t="shared" si="3"/>
        <v>0</v>
      </c>
      <c r="G20" s="10">
        <f t="shared" si="4"/>
        <v>0</v>
      </c>
      <c r="H20" s="7">
        <f>'[3]Production Summary'!Q141</f>
        <v>8390000</v>
      </c>
      <c r="I20" s="8">
        <f t="shared" si="5"/>
        <v>8.39</v>
      </c>
      <c r="J20" s="10">
        <f t="shared" si="6"/>
        <v>25.757300000000001</v>
      </c>
      <c r="K20" s="7">
        <f>'[3]Production Summary'!T141</f>
        <v>0</v>
      </c>
      <c r="L20" s="8">
        <f t="shared" si="7"/>
        <v>0</v>
      </c>
      <c r="M20" s="10">
        <f t="shared" si="8"/>
        <v>0</v>
      </c>
      <c r="N20" s="63"/>
      <c r="O20" s="60">
        <f>'[3]Production Summary'!AL141</f>
        <v>6425703</v>
      </c>
      <c r="P20" s="8">
        <f t="shared" si="9"/>
        <v>6.4257030000000004</v>
      </c>
      <c r="Q20" s="10">
        <f t="shared" si="10"/>
        <v>19.726908210000001</v>
      </c>
      <c r="R20" s="7">
        <f>'[3]Production Summary'!AE141</f>
        <v>5947752</v>
      </c>
      <c r="S20" s="8">
        <f t="shared" si="11"/>
        <v>5.9477520000000004</v>
      </c>
      <c r="T20" s="10">
        <f t="shared" si="12"/>
        <v>18.25959864</v>
      </c>
      <c r="U20" s="7">
        <f>'[3]Production Summary'!AF141</f>
        <v>0</v>
      </c>
      <c r="V20" s="8">
        <f t="shared" si="13"/>
        <v>0</v>
      </c>
      <c r="W20" s="10">
        <f t="shared" si="14"/>
        <v>0</v>
      </c>
      <c r="X20" s="7">
        <f>'[3]Production Summary'!AJ141</f>
        <v>199000</v>
      </c>
      <c r="Y20" s="8">
        <f t="shared" si="15"/>
        <v>0.19900000000000001</v>
      </c>
      <c r="Z20" s="10">
        <f t="shared" si="16"/>
        <v>0.61092999999999997</v>
      </c>
      <c r="AA20" s="15"/>
      <c r="AB20" s="7">
        <f t="shared" si="17"/>
        <v>14675703</v>
      </c>
      <c r="AC20" s="8">
        <f t="shared" si="18"/>
        <v>14.675703</v>
      </c>
      <c r="AD20" s="8">
        <f t="shared" si="19"/>
        <v>45.054408209999998</v>
      </c>
    </row>
    <row r="21" spans="1:30" x14ac:dyDescent="0.25">
      <c r="A21" s="27">
        <v>43237</v>
      </c>
      <c r="B21" s="7">
        <f>'[3]Production Summary'!$U142</f>
        <v>9580000.000000041</v>
      </c>
      <c r="C21" s="8">
        <f t="shared" si="1"/>
        <v>9.5800000000000409</v>
      </c>
      <c r="D21" s="10">
        <f t="shared" si="2"/>
        <v>29.410600000000123</v>
      </c>
      <c r="E21" s="7">
        <f>'[3]Production Summary'!O142</f>
        <v>0</v>
      </c>
      <c r="F21" s="8">
        <f t="shared" si="3"/>
        <v>0</v>
      </c>
      <c r="G21" s="10">
        <f t="shared" si="4"/>
        <v>0</v>
      </c>
      <c r="H21" s="7">
        <f>'[3]Production Summary'!Q142</f>
        <v>10290000</v>
      </c>
      <c r="I21" s="8">
        <f t="shared" si="5"/>
        <v>10.29</v>
      </c>
      <c r="J21" s="10">
        <f t="shared" si="6"/>
        <v>31.590299999999996</v>
      </c>
      <c r="K21" s="7">
        <f>'[3]Production Summary'!T142</f>
        <v>0</v>
      </c>
      <c r="L21" s="8">
        <f t="shared" si="7"/>
        <v>0</v>
      </c>
      <c r="M21" s="10">
        <f t="shared" si="8"/>
        <v>0</v>
      </c>
      <c r="N21" s="63"/>
      <c r="O21" s="60">
        <f>'[3]Production Summary'!AL142</f>
        <v>5431760</v>
      </c>
      <c r="P21" s="8">
        <f t="shared" si="9"/>
        <v>5.4317599999999997</v>
      </c>
      <c r="Q21" s="10">
        <f t="shared" si="10"/>
        <v>16.675503199999998</v>
      </c>
      <c r="R21" s="7">
        <f>'[3]Production Summary'!AE142</f>
        <v>5133811</v>
      </c>
      <c r="S21" s="8">
        <f t="shared" si="11"/>
        <v>5.1338109999999997</v>
      </c>
      <c r="T21" s="10">
        <f t="shared" si="12"/>
        <v>15.760799769999998</v>
      </c>
      <c r="U21" s="7">
        <f>'[3]Production Summary'!AF142</f>
        <v>0</v>
      </c>
      <c r="V21" s="8">
        <f t="shared" si="13"/>
        <v>0</v>
      </c>
      <c r="W21" s="10">
        <f t="shared" si="14"/>
        <v>0</v>
      </c>
      <c r="X21" s="7">
        <f>'[3]Production Summary'!AJ142</f>
        <v>430998</v>
      </c>
      <c r="Y21" s="8">
        <f t="shared" si="15"/>
        <v>0.43099799999999999</v>
      </c>
      <c r="Z21" s="10">
        <f t="shared" si="16"/>
        <v>1.32316386</v>
      </c>
      <c r="AA21" s="15"/>
      <c r="AB21" s="7">
        <f t="shared" si="17"/>
        <v>15011760.000000041</v>
      </c>
      <c r="AC21" s="8">
        <f t="shared" si="18"/>
        <v>15.011760000000042</v>
      </c>
      <c r="AD21" s="8">
        <f t="shared" si="19"/>
        <v>46.086103200000125</v>
      </c>
    </row>
    <row r="22" spans="1:30" x14ac:dyDescent="0.25">
      <c r="A22" s="27">
        <v>43238</v>
      </c>
      <c r="B22" s="7">
        <f>'[3]Production Summary'!$U143</f>
        <v>11909999.999999968</v>
      </c>
      <c r="C22" s="8">
        <f t="shared" si="1"/>
        <v>11.909999999999968</v>
      </c>
      <c r="D22" s="10">
        <f t="shared" si="2"/>
        <v>36.563699999999898</v>
      </c>
      <c r="E22" s="7">
        <f>'[3]Production Summary'!O143</f>
        <v>4000000</v>
      </c>
      <c r="F22" s="8">
        <f t="shared" si="3"/>
        <v>4</v>
      </c>
      <c r="G22" s="10">
        <f t="shared" si="4"/>
        <v>12.28</v>
      </c>
      <c r="H22" s="7">
        <f>'[3]Production Summary'!Q143</f>
        <v>10150000</v>
      </c>
      <c r="I22" s="8">
        <f t="shared" si="5"/>
        <v>10.15</v>
      </c>
      <c r="J22" s="10">
        <f t="shared" si="6"/>
        <v>31.160499999999999</v>
      </c>
      <c r="K22" s="7">
        <f>'[3]Production Summary'!T143</f>
        <v>0</v>
      </c>
      <c r="L22" s="8">
        <f t="shared" ref="L22:M35" si="20">K22/1000000</f>
        <v>0</v>
      </c>
      <c r="M22" s="10">
        <f t="shared" si="8"/>
        <v>0</v>
      </c>
      <c r="N22" s="63"/>
      <c r="O22" s="60">
        <f>'[3]Production Summary'!AL143</f>
        <v>2087028</v>
      </c>
      <c r="P22" s="8">
        <f t="shared" si="9"/>
        <v>2.0870280000000001</v>
      </c>
      <c r="Q22" s="10">
        <f t="shared" si="10"/>
        <v>6.40717596</v>
      </c>
      <c r="R22" s="7">
        <f>'[3]Production Summary'!AE143</f>
        <v>1636021</v>
      </c>
      <c r="S22" s="8">
        <f t="shared" si="11"/>
        <v>1.6360209999999999</v>
      </c>
      <c r="T22" s="10">
        <f t="shared" si="12"/>
        <v>5.02258447</v>
      </c>
      <c r="U22" s="7">
        <f>'[3]Production Summary'!AF143</f>
        <v>0</v>
      </c>
      <c r="V22" s="8">
        <f t="shared" si="13"/>
        <v>0</v>
      </c>
      <c r="W22" s="10">
        <f t="shared" si="14"/>
        <v>0</v>
      </c>
      <c r="X22" s="7">
        <f>'[3]Production Summary'!AJ143</f>
        <v>44000</v>
      </c>
      <c r="Y22" s="8">
        <f t="shared" si="15"/>
        <v>4.3999999999999997E-2</v>
      </c>
      <c r="Z22" s="10">
        <f t="shared" si="16"/>
        <v>0.13507999999999998</v>
      </c>
      <c r="AA22" s="15"/>
      <c r="AB22" s="7">
        <f t="shared" si="17"/>
        <v>13997027.999999968</v>
      </c>
      <c r="AC22" s="8">
        <f t="shared" si="18"/>
        <v>13.997027999999968</v>
      </c>
      <c r="AD22" s="8">
        <f t="shared" si="19"/>
        <v>42.970875959999901</v>
      </c>
    </row>
    <row r="23" spans="1:30" x14ac:dyDescent="0.25">
      <c r="A23" s="27">
        <v>43239</v>
      </c>
      <c r="B23" s="7">
        <f>'[3]Production Summary'!$U144</f>
        <v>14289999.999999963</v>
      </c>
      <c r="C23" s="8">
        <f t="shared" si="1"/>
        <v>14.289999999999964</v>
      </c>
      <c r="D23" s="10">
        <f t="shared" si="2"/>
        <v>43.870299999999887</v>
      </c>
      <c r="E23" s="7">
        <f>'[3]Production Summary'!O144</f>
        <v>5000000</v>
      </c>
      <c r="F23" s="8">
        <f t="shared" si="3"/>
        <v>5</v>
      </c>
      <c r="G23" s="10">
        <f t="shared" si="4"/>
        <v>15.35</v>
      </c>
      <c r="H23" s="7">
        <f>'[3]Production Summary'!Q144</f>
        <v>10710000</v>
      </c>
      <c r="I23" s="8">
        <f t="shared" si="5"/>
        <v>10.71</v>
      </c>
      <c r="J23" s="10">
        <f t="shared" si="6"/>
        <v>32.8797</v>
      </c>
      <c r="K23" s="7">
        <f>'[3]Production Summary'!T144</f>
        <v>0</v>
      </c>
      <c r="L23" s="8">
        <f t="shared" si="20"/>
        <v>0</v>
      </c>
      <c r="M23" s="10">
        <f t="shared" si="8"/>
        <v>0</v>
      </c>
      <c r="N23" s="63"/>
      <c r="O23" s="60">
        <f>'[3]Production Summary'!AL144</f>
        <v>0</v>
      </c>
      <c r="P23" s="8">
        <f t="shared" si="9"/>
        <v>0</v>
      </c>
      <c r="Q23" s="10">
        <f t="shared" si="10"/>
        <v>0</v>
      </c>
      <c r="R23" s="7">
        <f>'[3]Production Summary'!AE144</f>
        <v>5000</v>
      </c>
      <c r="S23" s="8">
        <f t="shared" si="11"/>
        <v>5.0000000000000001E-3</v>
      </c>
      <c r="T23" s="10">
        <f t="shared" si="12"/>
        <v>1.5349999999999999E-2</v>
      </c>
      <c r="U23" s="7">
        <f>'[3]Production Summary'!AF144</f>
        <v>0</v>
      </c>
      <c r="V23" s="8">
        <f t="shared" si="13"/>
        <v>0</v>
      </c>
      <c r="W23" s="10">
        <f t="shared" si="14"/>
        <v>0</v>
      </c>
      <c r="X23" s="7">
        <f>'[3]Production Summary'!AJ144</f>
        <v>0</v>
      </c>
      <c r="Y23" s="8">
        <f t="shared" si="15"/>
        <v>0</v>
      </c>
      <c r="Z23" s="10">
        <f t="shared" si="16"/>
        <v>0</v>
      </c>
      <c r="AA23" s="15"/>
      <c r="AB23" s="7">
        <f t="shared" si="17"/>
        <v>14289999.999999963</v>
      </c>
      <c r="AC23" s="8">
        <f t="shared" si="18"/>
        <v>14.289999999999964</v>
      </c>
      <c r="AD23" s="8">
        <f t="shared" si="19"/>
        <v>43.870299999999887</v>
      </c>
    </row>
    <row r="24" spans="1:30" x14ac:dyDescent="0.25">
      <c r="A24" s="27">
        <v>43240</v>
      </c>
      <c r="B24" s="7">
        <f>'[3]Production Summary'!$U145</f>
        <v>17170000.000000075</v>
      </c>
      <c r="C24" s="8">
        <f t="shared" si="1"/>
        <v>17.170000000000073</v>
      </c>
      <c r="D24" s="10">
        <f t="shared" si="2"/>
        <v>52.71190000000022</v>
      </c>
      <c r="E24" s="7">
        <f>'[3]Production Summary'!O145</f>
        <v>6000000</v>
      </c>
      <c r="F24" s="8">
        <f t="shared" si="3"/>
        <v>6</v>
      </c>
      <c r="G24" s="10">
        <f t="shared" si="4"/>
        <v>18.419999999999998</v>
      </c>
      <c r="H24" s="7">
        <f>'[3]Production Summary'!Q145</f>
        <v>12930000</v>
      </c>
      <c r="I24" s="8">
        <f t="shared" si="5"/>
        <v>12.93</v>
      </c>
      <c r="J24" s="10">
        <f t="shared" si="6"/>
        <v>39.695099999999996</v>
      </c>
      <c r="K24" s="7">
        <f>'[3]Production Summary'!T145</f>
        <v>2040683</v>
      </c>
      <c r="L24" s="8">
        <f t="shared" si="20"/>
        <v>2.040683</v>
      </c>
      <c r="M24" s="10">
        <f t="shared" si="8"/>
        <v>6.2648968099999998</v>
      </c>
      <c r="N24" s="63"/>
      <c r="O24" s="60">
        <f>'[3]Production Summary'!AL145</f>
        <v>0</v>
      </c>
      <c r="P24" s="8">
        <f t="shared" si="9"/>
        <v>0</v>
      </c>
      <c r="Q24" s="10">
        <f t="shared" si="10"/>
        <v>0</v>
      </c>
      <c r="R24" s="7">
        <f>'[3]Production Summary'!AE145</f>
        <v>0</v>
      </c>
      <c r="S24" s="8">
        <f t="shared" si="11"/>
        <v>0</v>
      </c>
      <c r="T24" s="10">
        <f t="shared" si="12"/>
        <v>0</v>
      </c>
      <c r="U24" s="7">
        <f>'[3]Production Summary'!AF145</f>
        <v>0</v>
      </c>
      <c r="V24" s="8">
        <f t="shared" si="13"/>
        <v>0</v>
      </c>
      <c r="W24" s="10">
        <f t="shared" si="14"/>
        <v>0</v>
      </c>
      <c r="X24" s="7">
        <f>'[3]Production Summary'!AJ145</f>
        <v>0</v>
      </c>
      <c r="Y24" s="8">
        <f t="shared" si="15"/>
        <v>0</v>
      </c>
      <c r="Z24" s="10">
        <f t="shared" si="16"/>
        <v>0</v>
      </c>
      <c r="AA24" s="15"/>
      <c r="AB24" s="7">
        <f t="shared" si="17"/>
        <v>17170000.000000075</v>
      </c>
      <c r="AC24" s="8">
        <f t="shared" si="18"/>
        <v>17.170000000000073</v>
      </c>
      <c r="AD24" s="8">
        <f t="shared" si="19"/>
        <v>52.71190000000022</v>
      </c>
    </row>
    <row r="25" spans="1:30" x14ac:dyDescent="0.25">
      <c r="A25" s="27">
        <v>43241</v>
      </c>
      <c r="B25" s="7">
        <f>'[3]Production Summary'!$U146</f>
        <v>19299999.999999955</v>
      </c>
      <c r="C25" s="8">
        <f t="shared" si="1"/>
        <v>19.299999999999955</v>
      </c>
      <c r="D25" s="10">
        <f t="shared" si="2"/>
        <v>59.250999999999856</v>
      </c>
      <c r="E25" s="7">
        <f>'[3]Production Summary'!O146</f>
        <v>7000000</v>
      </c>
      <c r="F25" s="8">
        <f t="shared" si="3"/>
        <v>7</v>
      </c>
      <c r="G25" s="10">
        <f t="shared" si="4"/>
        <v>21.49</v>
      </c>
      <c r="H25" s="7">
        <f>'[3]Production Summary'!Q146</f>
        <v>14470000</v>
      </c>
      <c r="I25" s="8">
        <f t="shared" si="5"/>
        <v>14.47</v>
      </c>
      <c r="J25" s="10">
        <f t="shared" si="6"/>
        <v>44.422899999999998</v>
      </c>
      <c r="K25" s="7">
        <f>'[3]Production Summary'!T146</f>
        <v>0</v>
      </c>
      <c r="L25" s="8">
        <f t="shared" si="20"/>
        <v>0</v>
      </c>
      <c r="M25" s="10">
        <f t="shared" si="8"/>
        <v>0</v>
      </c>
      <c r="N25" s="63"/>
      <c r="O25" s="60">
        <f>'[3]Production Summary'!AL146</f>
        <v>0</v>
      </c>
      <c r="P25" s="8">
        <f t="shared" si="9"/>
        <v>0</v>
      </c>
      <c r="Q25" s="10">
        <f t="shared" si="10"/>
        <v>0</v>
      </c>
      <c r="R25" s="7">
        <f>'[3]Production Summary'!AE146</f>
        <v>0</v>
      </c>
      <c r="S25" s="8">
        <f t="shared" si="11"/>
        <v>0</v>
      </c>
      <c r="T25" s="10">
        <f t="shared" si="12"/>
        <v>0</v>
      </c>
      <c r="U25" s="7">
        <f>'[3]Production Summary'!AF146</f>
        <v>0</v>
      </c>
      <c r="V25" s="8">
        <f t="shared" si="13"/>
        <v>0</v>
      </c>
      <c r="W25" s="10">
        <f t="shared" si="14"/>
        <v>0</v>
      </c>
      <c r="X25" s="7">
        <f>'[3]Production Summary'!AJ146</f>
        <v>0</v>
      </c>
      <c r="Y25" s="8">
        <f t="shared" si="15"/>
        <v>0</v>
      </c>
      <c r="Z25" s="10">
        <f t="shared" si="16"/>
        <v>0</v>
      </c>
      <c r="AA25" s="15"/>
      <c r="AB25" s="7">
        <f t="shared" si="17"/>
        <v>19299999.999999955</v>
      </c>
      <c r="AC25" s="8">
        <f t="shared" si="18"/>
        <v>19.299999999999955</v>
      </c>
      <c r="AD25" s="8">
        <f t="shared" si="19"/>
        <v>59.250999999999856</v>
      </c>
    </row>
    <row r="26" spans="1:30" x14ac:dyDescent="0.25">
      <c r="A26" s="27">
        <v>43242</v>
      </c>
      <c r="B26" s="7">
        <f>'[3]Production Summary'!$U147</f>
        <v>15360000.000000013</v>
      </c>
      <c r="C26" s="8">
        <f t="shared" si="1"/>
        <v>15.360000000000014</v>
      </c>
      <c r="D26" s="10">
        <f t="shared" si="2"/>
        <v>47.155200000000036</v>
      </c>
      <c r="E26" s="7">
        <f>'[3]Production Summary'!O147</f>
        <v>6000000</v>
      </c>
      <c r="F26" s="8">
        <f t="shared" si="3"/>
        <v>6</v>
      </c>
      <c r="G26" s="10">
        <f t="shared" si="4"/>
        <v>18.419999999999998</v>
      </c>
      <c r="H26" s="7">
        <f>'[3]Production Summary'!Q147</f>
        <v>11190000</v>
      </c>
      <c r="I26" s="8">
        <f t="shared" si="5"/>
        <v>11.19</v>
      </c>
      <c r="J26" s="10">
        <f t="shared" si="6"/>
        <v>34.353299999999997</v>
      </c>
      <c r="K26" s="7">
        <f>'[3]Production Summary'!T147</f>
        <v>3251</v>
      </c>
      <c r="L26" s="8">
        <f t="shared" si="20"/>
        <v>3.251E-3</v>
      </c>
      <c r="M26" s="10">
        <f t="shared" si="8"/>
        <v>9.9805699999999994E-3</v>
      </c>
      <c r="N26" s="63"/>
      <c r="O26" s="60">
        <f>'[3]Production Summary'!AL147</f>
        <v>0</v>
      </c>
      <c r="P26" s="8">
        <f t="shared" si="9"/>
        <v>0</v>
      </c>
      <c r="Q26" s="10">
        <f t="shared" si="10"/>
        <v>0</v>
      </c>
      <c r="R26" s="7">
        <f>'[3]Production Summary'!AE147</f>
        <v>0</v>
      </c>
      <c r="S26" s="8">
        <f t="shared" si="11"/>
        <v>0</v>
      </c>
      <c r="T26" s="10">
        <f t="shared" si="12"/>
        <v>0</v>
      </c>
      <c r="U26" s="7">
        <f>'[3]Production Summary'!AF147</f>
        <v>0</v>
      </c>
      <c r="V26" s="8">
        <f t="shared" si="13"/>
        <v>0</v>
      </c>
      <c r="W26" s="10">
        <f t="shared" si="14"/>
        <v>0</v>
      </c>
      <c r="X26" s="7">
        <f>'[3]Production Summary'!AJ147</f>
        <v>0</v>
      </c>
      <c r="Y26" s="8">
        <f t="shared" si="15"/>
        <v>0</v>
      </c>
      <c r="Z26" s="10">
        <f t="shared" si="16"/>
        <v>0</v>
      </c>
      <c r="AA26" s="15"/>
      <c r="AB26" s="7">
        <f t="shared" si="17"/>
        <v>15360000.000000013</v>
      </c>
      <c r="AC26" s="8">
        <f t="shared" si="18"/>
        <v>15.360000000000014</v>
      </c>
      <c r="AD26" s="8">
        <f t="shared" si="19"/>
        <v>47.155200000000036</v>
      </c>
    </row>
    <row r="27" spans="1:30" x14ac:dyDescent="0.25">
      <c r="A27" s="27">
        <v>43243</v>
      </c>
      <c r="B27" s="7">
        <f>'[3]Production Summary'!$U148</f>
        <v>14960000.000000037</v>
      </c>
      <c r="C27" s="8">
        <f t="shared" si="1"/>
        <v>14.960000000000036</v>
      </c>
      <c r="D27" s="10">
        <f t="shared" si="2"/>
        <v>45.927200000000113</v>
      </c>
      <c r="E27" s="7">
        <f>'[3]Production Summary'!O148</f>
        <v>5000000</v>
      </c>
      <c r="F27" s="8">
        <f t="shared" si="3"/>
        <v>5</v>
      </c>
      <c r="G27" s="10">
        <f t="shared" si="4"/>
        <v>15.35</v>
      </c>
      <c r="H27" s="7">
        <f>'[3]Production Summary'!Q148</f>
        <v>10970000</v>
      </c>
      <c r="I27" s="8">
        <f t="shared" si="5"/>
        <v>10.97</v>
      </c>
      <c r="J27" s="10">
        <f t="shared" si="6"/>
        <v>33.677900000000001</v>
      </c>
      <c r="K27" s="7">
        <f>'[3]Production Summary'!T148</f>
        <v>0</v>
      </c>
      <c r="L27" s="8">
        <f t="shared" si="20"/>
        <v>0</v>
      </c>
      <c r="M27" s="10">
        <f t="shared" si="8"/>
        <v>0</v>
      </c>
      <c r="N27" s="63"/>
      <c r="O27" s="60">
        <f>'[3]Production Summary'!AL148</f>
        <v>0</v>
      </c>
      <c r="P27" s="8">
        <f t="shared" si="9"/>
        <v>0</v>
      </c>
      <c r="Q27" s="10">
        <f t="shared" si="10"/>
        <v>0</v>
      </c>
      <c r="R27" s="7">
        <f>'[3]Production Summary'!AE148</f>
        <v>0</v>
      </c>
      <c r="S27" s="8">
        <f t="shared" si="11"/>
        <v>0</v>
      </c>
      <c r="T27" s="10">
        <f t="shared" si="12"/>
        <v>0</v>
      </c>
      <c r="U27" s="7">
        <f>'[3]Production Summary'!AF148</f>
        <v>0</v>
      </c>
      <c r="V27" s="8">
        <f t="shared" si="13"/>
        <v>0</v>
      </c>
      <c r="W27" s="10">
        <f t="shared" si="14"/>
        <v>0</v>
      </c>
      <c r="X27" s="7">
        <f>'[3]Production Summary'!AJ148</f>
        <v>0</v>
      </c>
      <c r="Y27" s="8">
        <f t="shared" si="15"/>
        <v>0</v>
      </c>
      <c r="Z27" s="10">
        <f t="shared" si="16"/>
        <v>0</v>
      </c>
      <c r="AA27" s="15"/>
      <c r="AB27" s="7">
        <f t="shared" si="17"/>
        <v>14960000.000000037</v>
      </c>
      <c r="AC27" s="8">
        <f t="shared" si="18"/>
        <v>14.960000000000036</v>
      </c>
      <c r="AD27" s="8">
        <f t="shared" si="19"/>
        <v>45.927200000000113</v>
      </c>
    </row>
    <row r="28" spans="1:30" x14ac:dyDescent="0.25">
      <c r="A28" s="27">
        <v>43244</v>
      </c>
      <c r="B28" s="7">
        <f>'[3]Production Summary'!$U149</f>
        <v>18759999.999999877</v>
      </c>
      <c r="C28" s="8">
        <f t="shared" si="1"/>
        <v>18.759999999999877</v>
      </c>
      <c r="D28" s="10">
        <f t="shared" si="2"/>
        <v>57.593199999999619</v>
      </c>
      <c r="E28" s="7">
        <f>'[3]Production Summary'!O149</f>
        <v>6000000</v>
      </c>
      <c r="F28" s="8">
        <f t="shared" si="3"/>
        <v>6</v>
      </c>
      <c r="G28" s="10">
        <f t="shared" si="4"/>
        <v>18.419999999999998</v>
      </c>
      <c r="H28" s="7">
        <f>'[3]Production Summary'!Q149</f>
        <v>14430000</v>
      </c>
      <c r="I28" s="8">
        <f t="shared" si="5"/>
        <v>14.43</v>
      </c>
      <c r="J28" s="10">
        <f t="shared" si="6"/>
        <v>44.300099999999993</v>
      </c>
      <c r="K28" s="7">
        <f>'[3]Production Summary'!T149</f>
        <v>2259709</v>
      </c>
      <c r="L28" s="8">
        <f t="shared" si="20"/>
        <v>2.259709</v>
      </c>
      <c r="M28" s="10">
        <f t="shared" si="8"/>
        <v>6.9373066299999993</v>
      </c>
      <c r="N28" s="63"/>
      <c r="O28" s="60">
        <f>'[3]Production Summary'!AL149</f>
        <v>0</v>
      </c>
      <c r="P28" s="8">
        <f t="shared" si="9"/>
        <v>0</v>
      </c>
      <c r="Q28" s="10">
        <f t="shared" si="10"/>
        <v>0</v>
      </c>
      <c r="R28" s="7">
        <f>'[3]Production Summary'!AE149</f>
        <v>58000</v>
      </c>
      <c r="S28" s="8">
        <f t="shared" si="11"/>
        <v>5.8000000000000003E-2</v>
      </c>
      <c r="T28" s="10">
        <f t="shared" si="12"/>
        <v>0.17806</v>
      </c>
      <c r="U28" s="7">
        <f>'[3]Production Summary'!AF149</f>
        <v>0</v>
      </c>
      <c r="V28" s="8">
        <f t="shared" si="13"/>
        <v>0</v>
      </c>
      <c r="W28" s="10">
        <f t="shared" si="14"/>
        <v>0</v>
      </c>
      <c r="X28" s="7">
        <f>'[3]Production Summary'!AJ149</f>
        <v>0</v>
      </c>
      <c r="Y28" s="8">
        <f t="shared" si="15"/>
        <v>0</v>
      </c>
      <c r="Z28" s="10">
        <f t="shared" si="16"/>
        <v>0</v>
      </c>
      <c r="AA28" s="15"/>
      <c r="AB28" s="7">
        <f t="shared" si="17"/>
        <v>18759999.999999877</v>
      </c>
      <c r="AC28" s="8">
        <f t="shared" si="18"/>
        <v>18.759999999999877</v>
      </c>
      <c r="AD28" s="8">
        <f t="shared" si="19"/>
        <v>57.593199999999619</v>
      </c>
    </row>
    <row r="29" spans="1:30" x14ac:dyDescent="0.25">
      <c r="A29" s="27">
        <v>43245</v>
      </c>
      <c r="B29" s="7">
        <f>'[3]Production Summary'!$U150</f>
        <v>21230000.000000019</v>
      </c>
      <c r="C29" s="8">
        <f t="shared" si="1"/>
        <v>21.230000000000018</v>
      </c>
      <c r="D29" s="10">
        <f t="shared" si="2"/>
        <v>65.176100000000048</v>
      </c>
      <c r="E29" s="7">
        <f>'[3]Production Summary'!O150</f>
        <v>7000000</v>
      </c>
      <c r="F29" s="8">
        <f t="shared" si="3"/>
        <v>7</v>
      </c>
      <c r="G29" s="10">
        <f t="shared" si="4"/>
        <v>21.49</v>
      </c>
      <c r="H29" s="7">
        <f>'[3]Production Summary'!Q150</f>
        <v>16770000</v>
      </c>
      <c r="I29" s="8">
        <f t="shared" si="5"/>
        <v>16.77</v>
      </c>
      <c r="J29" s="10">
        <f t="shared" si="6"/>
        <v>51.483899999999998</v>
      </c>
      <c r="K29" s="7">
        <f>'[3]Production Summary'!T150</f>
        <v>2625172</v>
      </c>
      <c r="L29" s="8">
        <f t="shared" si="20"/>
        <v>2.6251720000000001</v>
      </c>
      <c r="M29" s="10">
        <f t="shared" si="8"/>
        <v>8.0592780400000006</v>
      </c>
      <c r="N29" s="63"/>
      <c r="O29" s="60">
        <f>'[3]Production Summary'!AL150</f>
        <v>0</v>
      </c>
      <c r="P29" s="8">
        <f t="shared" si="9"/>
        <v>0</v>
      </c>
      <c r="Q29" s="10">
        <f t="shared" si="10"/>
        <v>0</v>
      </c>
      <c r="R29" s="7">
        <f>'[3]Production Summary'!AE150</f>
        <v>1914034</v>
      </c>
      <c r="S29" s="8">
        <f t="shared" si="11"/>
        <v>1.914034</v>
      </c>
      <c r="T29" s="10">
        <f t="shared" si="12"/>
        <v>5.87608438</v>
      </c>
      <c r="U29" s="7">
        <f>'[3]Production Summary'!AF150</f>
        <v>0</v>
      </c>
      <c r="V29" s="8">
        <f t="shared" si="13"/>
        <v>0</v>
      </c>
      <c r="W29" s="10">
        <f t="shared" si="14"/>
        <v>0</v>
      </c>
      <c r="X29" s="7">
        <f>'[3]Production Summary'!AJ150</f>
        <v>0</v>
      </c>
      <c r="Y29" s="8">
        <f t="shared" si="15"/>
        <v>0</v>
      </c>
      <c r="Z29" s="10">
        <f t="shared" si="16"/>
        <v>0</v>
      </c>
      <c r="AA29" s="15"/>
      <c r="AB29" s="7">
        <f t="shared" si="17"/>
        <v>21230000.000000019</v>
      </c>
      <c r="AC29" s="8">
        <f t="shared" si="18"/>
        <v>21.230000000000018</v>
      </c>
      <c r="AD29" s="8">
        <f t="shared" si="19"/>
        <v>65.176100000000048</v>
      </c>
    </row>
    <row r="30" spans="1:30" x14ac:dyDescent="0.25">
      <c r="A30" s="27">
        <v>43246</v>
      </c>
      <c r="B30" s="7">
        <f>'[3]Production Summary'!$U151</f>
        <v>20820000.000000164</v>
      </c>
      <c r="C30" s="8">
        <f t="shared" si="1"/>
        <v>20.820000000000164</v>
      </c>
      <c r="D30" s="10">
        <f t="shared" si="2"/>
        <v>63.917400000000498</v>
      </c>
      <c r="E30" s="7">
        <f>'[3]Production Summary'!O151</f>
        <v>7000000</v>
      </c>
      <c r="F30" s="8">
        <f t="shared" si="3"/>
        <v>7</v>
      </c>
      <c r="G30" s="10">
        <f t="shared" si="4"/>
        <v>21.49</v>
      </c>
      <c r="H30" s="7">
        <f>'[3]Production Summary'!Q151</f>
        <v>15910000</v>
      </c>
      <c r="I30" s="8">
        <f t="shared" si="5"/>
        <v>15.91</v>
      </c>
      <c r="J30" s="10">
        <f t="shared" si="6"/>
        <v>48.843699999999998</v>
      </c>
      <c r="K30" s="7">
        <f>'[3]Production Summary'!T151</f>
        <v>0</v>
      </c>
      <c r="L30" s="8">
        <f t="shared" si="20"/>
        <v>0</v>
      </c>
      <c r="M30" s="10">
        <f t="shared" si="8"/>
        <v>0</v>
      </c>
      <c r="N30" s="63"/>
      <c r="O30" s="60">
        <f>'[3]Production Summary'!AL151</f>
        <v>1614021</v>
      </c>
      <c r="P30" s="8">
        <f t="shared" si="9"/>
        <v>1.6140209999999999</v>
      </c>
      <c r="Q30" s="10">
        <f t="shared" si="10"/>
        <v>4.9550444699999998</v>
      </c>
      <c r="R30" s="7">
        <f>'[3]Production Summary'!AE151</f>
        <v>3064961</v>
      </c>
      <c r="S30" s="8">
        <f t="shared" si="11"/>
        <v>3.0649609999999998</v>
      </c>
      <c r="T30" s="10">
        <f t="shared" si="12"/>
        <v>9.4094302699999997</v>
      </c>
      <c r="U30" s="7">
        <f>'[3]Production Summary'!AF151</f>
        <v>0</v>
      </c>
      <c r="V30" s="8">
        <f t="shared" si="13"/>
        <v>0</v>
      </c>
      <c r="W30" s="10">
        <f t="shared" si="14"/>
        <v>0</v>
      </c>
      <c r="X30" s="7">
        <f>'[3]Production Summary'!AJ151</f>
        <v>27000</v>
      </c>
      <c r="Y30" s="8">
        <f t="shared" si="15"/>
        <v>2.7E-2</v>
      </c>
      <c r="Z30" s="10">
        <f t="shared" si="16"/>
        <v>8.2889999999999991E-2</v>
      </c>
      <c r="AA30" s="15"/>
      <c r="AB30" s="7">
        <f t="shared" si="17"/>
        <v>22434021.000000164</v>
      </c>
      <c r="AC30" s="8">
        <f t="shared" si="18"/>
        <v>22.434021000000165</v>
      </c>
      <c r="AD30" s="8">
        <f t="shared" si="19"/>
        <v>68.872444470000502</v>
      </c>
    </row>
    <row r="31" spans="1:30" x14ac:dyDescent="0.25">
      <c r="A31" s="27">
        <v>43247</v>
      </c>
      <c r="B31" s="7">
        <f>'[3]Production Summary'!$U152</f>
        <v>20059999.999999944</v>
      </c>
      <c r="C31" s="8">
        <f t="shared" si="1"/>
        <v>20.059999999999945</v>
      </c>
      <c r="D31" s="10">
        <f t="shared" si="2"/>
        <v>61.584199999999832</v>
      </c>
      <c r="E31" s="7">
        <f>'[3]Production Summary'!O152</f>
        <v>7000000</v>
      </c>
      <c r="F31" s="8">
        <f t="shared" si="3"/>
        <v>7</v>
      </c>
      <c r="G31" s="10">
        <f t="shared" si="4"/>
        <v>21.49</v>
      </c>
      <c r="H31" s="7">
        <f>'[3]Production Summary'!Q152</f>
        <v>15940000</v>
      </c>
      <c r="I31" s="8">
        <f t="shared" si="5"/>
        <v>15.94</v>
      </c>
      <c r="J31" s="10">
        <f t="shared" si="6"/>
        <v>48.935799999999993</v>
      </c>
      <c r="K31" s="7">
        <f>'[3]Production Summary'!T152</f>
        <v>0</v>
      </c>
      <c r="L31" s="8">
        <f t="shared" si="20"/>
        <v>0</v>
      </c>
      <c r="M31" s="10">
        <f t="shared" si="8"/>
        <v>0</v>
      </c>
      <c r="N31" s="63"/>
      <c r="O31" s="60">
        <f>'[3]Production Summary'!AL152</f>
        <v>2356007</v>
      </c>
      <c r="P31" s="8">
        <f t="shared" si="9"/>
        <v>2.356007</v>
      </c>
      <c r="Q31" s="10">
        <f t="shared" si="10"/>
        <v>7.2329414899999991</v>
      </c>
      <c r="R31" s="7">
        <f>'[3]Production Summary'!AE152</f>
        <v>2989966</v>
      </c>
      <c r="S31" s="8">
        <f t="shared" si="11"/>
        <v>2.9899659999999999</v>
      </c>
      <c r="T31" s="10">
        <f t="shared" si="12"/>
        <v>9.1791956199999998</v>
      </c>
      <c r="U31" s="7">
        <f>'[3]Production Summary'!AF152</f>
        <v>0</v>
      </c>
      <c r="V31" s="8">
        <f t="shared" si="13"/>
        <v>0</v>
      </c>
      <c r="W31" s="10">
        <f t="shared" si="14"/>
        <v>0</v>
      </c>
      <c r="X31" s="7">
        <f>'[3]Production Summary'!AJ152</f>
        <v>63000</v>
      </c>
      <c r="Y31" s="8">
        <f t="shared" si="15"/>
        <v>6.3E-2</v>
      </c>
      <c r="Z31" s="10">
        <f t="shared" si="16"/>
        <v>0.19341</v>
      </c>
      <c r="AA31" s="15"/>
      <c r="AB31" s="7">
        <f t="shared" si="17"/>
        <v>22416006.999999944</v>
      </c>
      <c r="AC31" s="8">
        <f t="shared" si="18"/>
        <v>22.416006999999944</v>
      </c>
      <c r="AD31" s="8">
        <f t="shared" si="19"/>
        <v>68.817141489999827</v>
      </c>
    </row>
    <row r="32" spans="1:30" x14ac:dyDescent="0.25">
      <c r="A32" s="27">
        <v>43248</v>
      </c>
      <c r="B32" s="7">
        <f>'[3]Production Summary'!$U153</f>
        <v>23119999.999999892</v>
      </c>
      <c r="C32" s="8">
        <f t="shared" si="1"/>
        <v>23.119999999999891</v>
      </c>
      <c r="D32" s="10">
        <f t="shared" si="2"/>
        <v>70.978399999999667</v>
      </c>
      <c r="E32" s="7">
        <f>'[3]Production Summary'!O153</f>
        <v>7000000</v>
      </c>
      <c r="F32" s="8">
        <f t="shared" si="3"/>
        <v>7</v>
      </c>
      <c r="G32" s="10">
        <f t="shared" si="4"/>
        <v>21.49</v>
      </c>
      <c r="H32" s="7">
        <f>'[3]Production Summary'!Q153</f>
        <v>17090000</v>
      </c>
      <c r="I32" s="8">
        <f t="shared" si="5"/>
        <v>17.09</v>
      </c>
      <c r="J32" s="10">
        <f t="shared" si="6"/>
        <v>52.466299999999997</v>
      </c>
      <c r="K32" s="7">
        <f>'[3]Production Summary'!T153</f>
        <v>2363695</v>
      </c>
      <c r="L32" s="8">
        <f t="shared" si="20"/>
        <v>2.3636949999999999</v>
      </c>
      <c r="M32" s="10">
        <f t="shared" si="8"/>
        <v>7.2565436499999993</v>
      </c>
      <c r="N32" s="63"/>
      <c r="O32" s="60">
        <f>'[3]Production Summary'!AL153</f>
        <v>244872</v>
      </c>
      <c r="P32" s="8">
        <f t="shared" si="9"/>
        <v>0.24487200000000001</v>
      </c>
      <c r="Q32" s="10">
        <f t="shared" si="10"/>
        <v>0.75175703999999999</v>
      </c>
      <c r="R32" s="7">
        <f>'[3]Production Summary'!AE153</f>
        <v>4252875</v>
      </c>
      <c r="S32" s="8">
        <f t="shared" si="11"/>
        <v>4.2528750000000004</v>
      </c>
      <c r="T32" s="10">
        <f t="shared" si="12"/>
        <v>13.05632625</v>
      </c>
      <c r="U32" s="7">
        <f>'[3]Production Summary'!AF153</f>
        <v>0</v>
      </c>
      <c r="V32" s="8">
        <f t="shared" si="13"/>
        <v>0</v>
      </c>
      <c r="W32" s="10">
        <f t="shared" si="14"/>
        <v>0</v>
      </c>
      <c r="X32" s="7">
        <f>'[3]Production Summary'!AJ153</f>
        <v>185000</v>
      </c>
      <c r="Y32" s="8">
        <f t="shared" si="15"/>
        <v>0.185</v>
      </c>
      <c r="Z32" s="10">
        <f t="shared" si="16"/>
        <v>0.56794999999999995</v>
      </c>
      <c r="AA32" s="15"/>
      <c r="AB32" s="7">
        <f t="shared" si="17"/>
        <v>23364871.999999892</v>
      </c>
      <c r="AC32" s="8">
        <f t="shared" si="18"/>
        <v>23.364871999999892</v>
      </c>
      <c r="AD32" s="8">
        <f t="shared" si="19"/>
        <v>71.730157039999668</v>
      </c>
    </row>
    <row r="33" spans="1:30" x14ac:dyDescent="0.25">
      <c r="A33" s="27">
        <v>43249</v>
      </c>
      <c r="B33" s="7">
        <f>'[3]Production Summary'!$U154</f>
        <v>17750000</v>
      </c>
      <c r="C33" s="8">
        <f t="shared" si="1"/>
        <v>17.75</v>
      </c>
      <c r="D33" s="10">
        <f t="shared" si="2"/>
        <v>54.4925</v>
      </c>
      <c r="E33" s="7">
        <f>'[3]Production Summary'!O154</f>
        <v>7000000</v>
      </c>
      <c r="F33" s="8">
        <f t="shared" si="3"/>
        <v>7</v>
      </c>
      <c r="G33" s="10">
        <f t="shared" si="4"/>
        <v>21.49</v>
      </c>
      <c r="H33" s="7">
        <f>'[3]Production Summary'!Q154</f>
        <v>13810000</v>
      </c>
      <c r="I33" s="8">
        <f t="shared" si="5"/>
        <v>13.81</v>
      </c>
      <c r="J33" s="10">
        <f t="shared" si="6"/>
        <v>42.396700000000003</v>
      </c>
      <c r="K33" s="7">
        <f>'[3]Production Summary'!T154</f>
        <v>2203072</v>
      </c>
      <c r="L33" s="8">
        <f t="shared" si="20"/>
        <v>2.2030720000000001</v>
      </c>
      <c r="M33" s="10">
        <f t="shared" si="8"/>
        <v>6.7634310400000004</v>
      </c>
      <c r="N33" s="63"/>
      <c r="O33" s="60">
        <f>'[3]Production Summary'!AL154</f>
        <v>6870674</v>
      </c>
      <c r="P33" s="8">
        <f t="shared" si="9"/>
        <v>6.8706740000000002</v>
      </c>
      <c r="Q33" s="10">
        <f t="shared" si="10"/>
        <v>21.092969180000001</v>
      </c>
      <c r="R33" s="7">
        <f>'[3]Production Summary'!AE154</f>
        <v>6725695</v>
      </c>
      <c r="S33" s="8">
        <f t="shared" si="11"/>
        <v>6.725695</v>
      </c>
      <c r="T33" s="10">
        <f t="shared" si="12"/>
        <v>20.647883649999997</v>
      </c>
      <c r="U33" s="7">
        <f>'[3]Production Summary'!AF154</f>
        <v>0</v>
      </c>
      <c r="V33" s="8">
        <f t="shared" si="13"/>
        <v>0</v>
      </c>
      <c r="W33" s="10">
        <f t="shared" si="14"/>
        <v>0</v>
      </c>
      <c r="X33" s="7">
        <f>'[3]Production Summary'!AJ154</f>
        <v>152000</v>
      </c>
      <c r="Y33" s="8">
        <f t="shared" si="15"/>
        <v>0.152</v>
      </c>
      <c r="Z33" s="10">
        <f t="shared" si="16"/>
        <v>0.46663999999999994</v>
      </c>
      <c r="AA33" s="15"/>
      <c r="AB33" s="7">
        <f t="shared" si="17"/>
        <v>24620674</v>
      </c>
      <c r="AC33" s="8">
        <f t="shared" si="18"/>
        <v>24.620674000000001</v>
      </c>
      <c r="AD33" s="8">
        <f t="shared" si="19"/>
        <v>75.585469180000004</v>
      </c>
    </row>
    <row r="34" spans="1:30" x14ac:dyDescent="0.25">
      <c r="A34" s="27">
        <v>43250</v>
      </c>
      <c r="B34" s="7">
        <f>'[3]Production Summary'!$U155</f>
        <v>11220000.000000028</v>
      </c>
      <c r="C34" s="8">
        <f t="shared" si="1"/>
        <v>11.220000000000027</v>
      </c>
      <c r="D34" s="10">
        <f t="shared" si="2"/>
        <v>34.445400000000085</v>
      </c>
      <c r="E34" s="7">
        <f>'[3]Production Summary'!O155</f>
        <v>3000000</v>
      </c>
      <c r="F34" s="8">
        <f t="shared" si="3"/>
        <v>3</v>
      </c>
      <c r="G34" s="10">
        <f t="shared" si="4"/>
        <v>9.2099999999999991</v>
      </c>
      <c r="H34" s="7">
        <f>'[3]Production Summary'!Q155</f>
        <v>8360000</v>
      </c>
      <c r="I34" s="8">
        <f t="shared" si="5"/>
        <v>8.36</v>
      </c>
      <c r="J34" s="10">
        <f t="shared" si="6"/>
        <v>25.665199999999999</v>
      </c>
      <c r="K34" s="7">
        <f>'[3]Production Summary'!T155</f>
        <v>1058675</v>
      </c>
      <c r="L34" s="8">
        <f t="shared" si="20"/>
        <v>1.058675</v>
      </c>
      <c r="M34" s="10">
        <f t="shared" si="8"/>
        <v>3.2501322500000001</v>
      </c>
      <c r="N34" s="63"/>
      <c r="O34" s="60">
        <f>'[3]Production Summary'!AL155</f>
        <v>8277777</v>
      </c>
      <c r="P34" s="8">
        <f t="shared" si="9"/>
        <v>8.2777770000000004</v>
      </c>
      <c r="Q34" s="10">
        <f t="shared" si="10"/>
        <v>25.41277539</v>
      </c>
      <c r="R34" s="7">
        <f>'[3]Production Summary'!AE155</f>
        <v>7722624</v>
      </c>
      <c r="S34" s="8">
        <f t="shared" si="11"/>
        <v>7.7226239999999997</v>
      </c>
      <c r="T34" s="10">
        <f t="shared" si="12"/>
        <v>23.708455679999997</v>
      </c>
      <c r="U34" s="7">
        <f>'[3]Production Summary'!AF155</f>
        <v>0</v>
      </c>
      <c r="V34" s="8">
        <f t="shared" si="13"/>
        <v>0</v>
      </c>
      <c r="W34" s="10">
        <f t="shared" si="14"/>
        <v>0</v>
      </c>
      <c r="X34" s="7">
        <f>'[3]Production Summary'!AJ155</f>
        <v>154000</v>
      </c>
      <c r="Y34" s="8">
        <f t="shared" si="15"/>
        <v>0.154</v>
      </c>
      <c r="Z34" s="10">
        <f t="shared" si="16"/>
        <v>0.47277999999999998</v>
      </c>
      <c r="AA34" s="15"/>
      <c r="AB34" s="7">
        <f t="shared" si="17"/>
        <v>19497777.00000003</v>
      </c>
      <c r="AC34" s="8">
        <f t="shared" si="18"/>
        <v>19.497777000000028</v>
      </c>
      <c r="AD34" s="8">
        <f t="shared" si="19"/>
        <v>59.858175390000085</v>
      </c>
    </row>
    <row r="35" spans="1:30" ht="13.8" thickBot="1" x14ac:dyDescent="0.3">
      <c r="A35" s="27">
        <v>43251</v>
      </c>
      <c r="B35" s="7">
        <f>'[3]Production Summary'!$U156</f>
        <v>8039999.9999999637</v>
      </c>
      <c r="C35" s="8">
        <f t="shared" si="1"/>
        <v>8.0399999999999636</v>
      </c>
      <c r="D35" s="10">
        <f t="shared" si="2"/>
        <v>24.682799999999887</v>
      </c>
      <c r="E35" s="7">
        <f>'[3]Production Summary'!O156</f>
        <v>0</v>
      </c>
      <c r="F35" s="8">
        <f t="shared" si="3"/>
        <v>0</v>
      </c>
      <c r="G35" s="10">
        <f t="shared" si="4"/>
        <v>0</v>
      </c>
      <c r="H35" s="7">
        <f>'[3]Production Summary'!Q156</f>
        <v>8940000</v>
      </c>
      <c r="I35" s="8">
        <f t="shared" si="5"/>
        <v>8.94</v>
      </c>
      <c r="J35" s="10">
        <f t="shared" si="6"/>
        <v>27.445799999999998</v>
      </c>
      <c r="K35" s="7">
        <f>'[3]Production Summary'!T156</f>
        <v>904240</v>
      </c>
      <c r="L35" s="8">
        <f t="shared" si="20"/>
        <v>0.90424000000000004</v>
      </c>
      <c r="M35" s="8">
        <f t="shared" si="20"/>
        <v>9.0424E-7</v>
      </c>
      <c r="N35" s="63"/>
      <c r="O35" s="60">
        <f>'[3]Production Summary'!AL156</f>
        <v>6196723</v>
      </c>
      <c r="P35" s="8">
        <f t="shared" si="9"/>
        <v>6.1967230000000004</v>
      </c>
      <c r="Q35" s="10">
        <f t="shared" si="10"/>
        <v>19.023939609999999</v>
      </c>
      <c r="R35" s="7">
        <f>'[3]Production Summary'!AE156</f>
        <v>5701770</v>
      </c>
      <c r="S35" s="8">
        <f t="shared" si="11"/>
        <v>5.7017699999999998</v>
      </c>
      <c r="T35" s="10">
        <f t="shared" si="12"/>
        <v>17.504433899999999</v>
      </c>
      <c r="U35" s="7">
        <f>'[3]Production Summary'!AF156</f>
        <v>0</v>
      </c>
      <c r="V35" s="8">
        <f t="shared" si="13"/>
        <v>0</v>
      </c>
      <c r="W35" s="10">
        <f t="shared" si="14"/>
        <v>0</v>
      </c>
      <c r="X35" s="7">
        <f>'[3]Production Summary'!AJ156</f>
        <v>152000</v>
      </c>
      <c r="Y35" s="8">
        <f t="shared" si="15"/>
        <v>0.152</v>
      </c>
      <c r="Z35" s="10">
        <f t="shared" si="16"/>
        <v>0.46663999999999994</v>
      </c>
      <c r="AA35" s="15"/>
      <c r="AB35" s="7">
        <f t="shared" si="17"/>
        <v>14236722.999999963</v>
      </c>
      <c r="AC35" s="8">
        <f t="shared" si="18"/>
        <v>14.236722999999964</v>
      </c>
      <c r="AD35" s="8">
        <f t="shared" si="19"/>
        <v>43.706739609999886</v>
      </c>
    </row>
    <row r="36" spans="1:30" s="18" customFormat="1" ht="13.8" thickBot="1" x14ac:dyDescent="0.3">
      <c r="A36" s="15"/>
      <c r="B36" s="37"/>
      <c r="C36" s="38">
        <f>SUM(C5:C35)</f>
        <v>360.46999999999991</v>
      </c>
      <c r="D36" s="38">
        <f t="shared" ref="D36" si="21">C36*3.07</f>
        <v>1106.6428999999996</v>
      </c>
      <c r="E36" s="37"/>
      <c r="F36" s="38">
        <f>SUM(F5:F35)</f>
        <v>77</v>
      </c>
      <c r="G36" s="38">
        <f t="shared" ref="G36" si="22">F36*3.07</f>
        <v>236.39</v>
      </c>
      <c r="H36" s="37"/>
      <c r="I36" s="38">
        <f>SUM(I5:I35)</f>
        <v>307.45999999999998</v>
      </c>
      <c r="J36" s="38">
        <f t="shared" ref="J36" si="23">I36*3.07</f>
        <v>943.90219999999988</v>
      </c>
      <c r="K36" s="37"/>
      <c r="L36" s="38">
        <f>SUM(L5:L35)</f>
        <v>20.443529000000002</v>
      </c>
      <c r="M36" s="38">
        <f t="shared" ref="M36" si="24">L36*3.07</f>
        <v>62.761634030000003</v>
      </c>
      <c r="N36" s="64"/>
      <c r="O36" s="61"/>
      <c r="P36" s="38">
        <f>SUM(P5:P35)</f>
        <v>163.87424300000001</v>
      </c>
      <c r="Q36" s="38">
        <f t="shared" ref="Q36" si="25">P36*3.07</f>
        <v>503.09392601000002</v>
      </c>
      <c r="R36" s="37"/>
      <c r="S36" s="38">
        <f>SUM(S5:S35)</f>
        <v>130.48335599999999</v>
      </c>
      <c r="T36" s="38">
        <f t="shared" ref="T36" si="26">S36*3.07</f>
        <v>400.58390291999996</v>
      </c>
      <c r="U36" s="37"/>
      <c r="V36" s="38">
        <f>SUM(V5:V35)</f>
        <v>28.099250999999999</v>
      </c>
      <c r="W36" s="38">
        <f>V36*3.07</f>
        <v>86.264700569999988</v>
      </c>
      <c r="X36" s="37"/>
      <c r="Y36" s="38">
        <f>SUM(Y5:Y35)</f>
        <v>3.3469979999999997</v>
      </c>
      <c r="Z36" s="38">
        <f>Y36*3.07</f>
        <v>10.275283859999998</v>
      </c>
      <c r="AA36" s="14"/>
      <c r="AB36" s="37"/>
      <c r="AC36" s="38">
        <f>SUM(AC5:AC35)</f>
        <v>524.34424299999989</v>
      </c>
      <c r="AD36" s="38">
        <f>AC36*3.07</f>
        <v>1609.7368260099995</v>
      </c>
    </row>
    <row r="37" spans="1:30" x14ac:dyDescent="0.25">
      <c r="C37" s="18"/>
      <c r="E37" s="3"/>
      <c r="F37" s="3"/>
      <c r="G37" s="3"/>
      <c r="H37" s="3"/>
      <c r="I37" s="3"/>
      <c r="J37" s="15"/>
      <c r="K37" s="14"/>
      <c r="L37" s="3"/>
      <c r="M37" s="14"/>
      <c r="N37" s="14"/>
      <c r="O37" s="14"/>
      <c r="P37" s="3"/>
      <c r="Q37" s="3"/>
      <c r="R37" s="3"/>
      <c r="S37" s="3"/>
      <c r="T37" s="3"/>
      <c r="U37" s="14"/>
      <c r="W37" s="29"/>
    </row>
    <row r="38" spans="1:30" x14ac:dyDescent="0.25">
      <c r="F38" s="18"/>
      <c r="M38" s="20"/>
      <c r="N38" s="20"/>
      <c r="O38" s="20"/>
    </row>
    <row r="39" spans="1:30" x14ac:dyDescent="0.25">
      <c r="M39" s="20"/>
      <c r="N39" s="20"/>
      <c r="O39" s="20"/>
    </row>
  </sheetData>
  <mergeCells count="9">
    <mergeCell ref="AB3:AD3"/>
    <mergeCell ref="R3:T3"/>
    <mergeCell ref="U3:W3"/>
    <mergeCell ref="X3:Z3"/>
    <mergeCell ref="B3:D3"/>
    <mergeCell ref="E3:G3"/>
    <mergeCell ref="H3:J3"/>
    <mergeCell ref="O3:Q3"/>
    <mergeCell ref="K3:M3"/>
  </mergeCells>
  <phoneticPr fontId="1" type="noConversion"/>
  <pageMargins left="0.75" right="0.75" top="1" bottom="1" header="0.5" footer="0.5"/>
  <pageSetup paperSize="5" scale="60" orientation="landscape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A1:AD43"/>
  <sheetViews>
    <sheetView workbookViewId="0">
      <pane xSplit="1" ySplit="4" topLeftCell="B5" activePane="bottomRight" state="frozen"/>
      <selection activeCell="W33" sqref="W33:W35"/>
      <selection pane="topRight" activeCell="W33" sqref="W33:W35"/>
      <selection pane="bottomLeft" activeCell="W33" sqref="W33:W35"/>
      <selection pane="bottomRight" activeCell="X5" sqref="X5"/>
    </sheetView>
  </sheetViews>
  <sheetFormatPr defaultRowHeight="13.2" x14ac:dyDescent="0.25"/>
  <cols>
    <col min="2" max="2" width="11.33203125" customWidth="1"/>
    <col min="5" max="5" width="12.88671875" customWidth="1"/>
    <col min="7" max="7" width="11.33203125" customWidth="1"/>
    <col min="8" max="8" width="11.88671875" customWidth="1"/>
    <col min="11" max="11" width="9.88671875" customWidth="1"/>
    <col min="12" max="12" width="11" customWidth="1"/>
    <col min="14" max="14" width="9.33203125" style="20"/>
    <col min="15" max="15" width="11.5546875" customWidth="1"/>
    <col min="18" max="18" width="10.33203125" customWidth="1"/>
    <col min="19" max="21" width="9.33203125" customWidth="1"/>
    <col min="22" max="22" width="11.33203125" customWidth="1"/>
    <col min="23" max="23" width="9.33203125" customWidth="1"/>
    <col min="28" max="28" width="12.33203125" customWidth="1"/>
  </cols>
  <sheetData>
    <row r="1" spans="1:30" x14ac:dyDescent="0.25">
      <c r="A1" s="41"/>
      <c r="B1" s="39"/>
      <c r="C1" s="54" t="s">
        <v>23</v>
      </c>
      <c r="D1" s="25"/>
      <c r="E1" s="25"/>
      <c r="F1" s="25"/>
      <c r="G1" s="3"/>
      <c r="H1" s="3"/>
      <c r="I1" s="3"/>
      <c r="J1" s="3"/>
      <c r="K1" s="14"/>
      <c r="L1" s="3"/>
      <c r="M1" s="3"/>
      <c r="N1" s="14"/>
      <c r="O1" s="3"/>
      <c r="P1" s="3"/>
      <c r="Q1" s="3"/>
      <c r="R1" s="3"/>
      <c r="S1" s="3"/>
      <c r="T1" s="3"/>
      <c r="U1" s="14"/>
      <c r="V1" s="3"/>
      <c r="W1" s="3"/>
      <c r="X1" s="3"/>
    </row>
    <row r="2" spans="1:30" ht="13.8" thickBot="1" x14ac:dyDescent="0.3">
      <c r="A2" s="3"/>
      <c r="B2" s="3"/>
      <c r="C2" s="24"/>
      <c r="D2" s="3"/>
      <c r="E2" s="3"/>
      <c r="F2" s="3"/>
      <c r="G2" s="3"/>
      <c r="H2" s="3"/>
      <c r="I2" s="3"/>
      <c r="J2" s="3"/>
      <c r="K2" s="14"/>
      <c r="L2" s="3"/>
      <c r="M2" s="3"/>
      <c r="N2" s="14"/>
      <c r="O2" s="3"/>
      <c r="P2" s="3"/>
      <c r="Q2" s="3"/>
      <c r="R2" s="3"/>
      <c r="S2" s="3"/>
      <c r="T2" s="3"/>
      <c r="U2" s="14"/>
      <c r="V2" s="3"/>
      <c r="W2" s="3"/>
      <c r="X2" s="3"/>
    </row>
    <row r="3" spans="1:30" ht="60.75" customHeight="1" thickBot="1" x14ac:dyDescent="0.3">
      <c r="A3" s="3"/>
      <c r="B3" s="68" t="s">
        <v>9</v>
      </c>
      <c r="C3" s="69"/>
      <c r="D3" s="70"/>
      <c r="E3" s="68" t="s">
        <v>10</v>
      </c>
      <c r="F3" s="69"/>
      <c r="G3" s="70"/>
      <c r="H3" s="68" t="s">
        <v>11</v>
      </c>
      <c r="I3" s="69"/>
      <c r="J3" s="70"/>
      <c r="K3" s="68" t="s">
        <v>12</v>
      </c>
      <c r="L3" s="69"/>
      <c r="M3" s="70"/>
      <c r="N3" s="19"/>
      <c r="O3" s="68" t="s">
        <v>4</v>
      </c>
      <c r="P3" s="69"/>
      <c r="Q3" s="70"/>
      <c r="R3" s="68" t="s">
        <v>3</v>
      </c>
      <c r="S3" s="69"/>
      <c r="T3" s="70"/>
      <c r="U3" s="68" t="s">
        <v>13</v>
      </c>
      <c r="V3" s="69"/>
      <c r="W3" s="70"/>
      <c r="X3" s="68" t="s">
        <v>6</v>
      </c>
      <c r="Y3" s="69"/>
      <c r="Z3" s="70"/>
      <c r="AA3" s="19"/>
      <c r="AB3" s="65" t="s">
        <v>7</v>
      </c>
      <c r="AC3" s="66"/>
      <c r="AD3" s="67"/>
    </row>
    <row r="4" spans="1:30" x14ac:dyDescent="0.25">
      <c r="A4" s="26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19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19"/>
      <c r="AB4" s="4" t="s">
        <v>0</v>
      </c>
      <c r="AC4" s="5" t="s">
        <v>1</v>
      </c>
      <c r="AD4" s="6" t="s">
        <v>2</v>
      </c>
    </row>
    <row r="5" spans="1:30" x14ac:dyDescent="0.25">
      <c r="A5" s="27">
        <v>43252</v>
      </c>
      <c r="B5" s="7" t="str">
        <f>'[3]Production Summary'!$U157</f>
        <v/>
      </c>
      <c r="C5" s="8" t="e">
        <f>B5/1000000</f>
        <v>#VALUE!</v>
      </c>
      <c r="D5" s="10" t="e">
        <f>C5*3.07</f>
        <v>#VALUE!</v>
      </c>
      <c r="E5" s="7" t="str">
        <f>'[3]Production Summary'!$O157</f>
        <v/>
      </c>
      <c r="F5" s="8" t="e">
        <f>E5/1000000</f>
        <v>#VALUE!</v>
      </c>
      <c r="G5" s="10" t="e">
        <f>F5*3.07</f>
        <v>#VALUE!</v>
      </c>
      <c r="H5" s="7" t="str">
        <f>'[3]Production Summary'!$Q157</f>
        <v/>
      </c>
      <c r="I5" s="8" t="e">
        <f>H5/1000000</f>
        <v>#VALUE!</v>
      </c>
      <c r="J5" s="10" t="e">
        <f>I5*3.07</f>
        <v>#VALUE!</v>
      </c>
      <c r="K5" s="7" t="str">
        <f>'[3]Production Summary'!$T157</f>
        <v/>
      </c>
      <c r="L5" s="8" t="e">
        <f>K5/1000000</f>
        <v>#VALUE!</v>
      </c>
      <c r="M5" s="10" t="e">
        <f>L5*3.07</f>
        <v>#VALUE!</v>
      </c>
      <c r="N5" s="57"/>
      <c r="O5" s="7" t="str">
        <f>'[3]Production Summary'!$AL157</f>
        <v/>
      </c>
      <c r="P5" s="8" t="e">
        <f>O5/1000000</f>
        <v>#VALUE!</v>
      </c>
      <c r="Q5" s="10" t="e">
        <f>P5*3.07</f>
        <v>#VALUE!</v>
      </c>
      <c r="R5" s="7" t="str">
        <f>'[3]Production Summary'!$AI157</f>
        <v/>
      </c>
      <c r="S5" s="8" t="e">
        <f>R5/1000000</f>
        <v>#VALUE!</v>
      </c>
      <c r="T5" s="10" t="e">
        <f>S5*3.07</f>
        <v>#VALUE!</v>
      </c>
      <c r="U5" s="7" t="str">
        <f>'[3]Production Summary'!$AF157</f>
        <v/>
      </c>
      <c r="V5" s="8" t="e">
        <f>U5/1000000</f>
        <v>#VALUE!</v>
      </c>
      <c r="W5" s="10" t="e">
        <f>V5*3.07</f>
        <v>#VALUE!</v>
      </c>
      <c r="X5" s="7" t="str">
        <f>'[3]Production Summary'!$AJ157</f>
        <v/>
      </c>
      <c r="Y5" s="8" t="e">
        <f>X5/1000000</f>
        <v>#VALUE!</v>
      </c>
      <c r="Z5" s="10" t="e">
        <f>Y5*3.07</f>
        <v>#VALUE!</v>
      </c>
      <c r="AA5" s="15"/>
      <c r="AB5" s="7" t="e">
        <f>B5+O5</f>
        <v>#VALUE!</v>
      </c>
      <c r="AC5" s="8" t="e">
        <f>AB5/1000000</f>
        <v>#VALUE!</v>
      </c>
      <c r="AD5" s="10" t="e">
        <f>AC5*3.07</f>
        <v>#VALUE!</v>
      </c>
    </row>
    <row r="6" spans="1:30" x14ac:dyDescent="0.25">
      <c r="A6" s="27">
        <v>43253</v>
      </c>
      <c r="B6" s="7" t="str">
        <f>'[3]Production Summary'!$U158</f>
        <v/>
      </c>
      <c r="C6" s="8" t="e">
        <f t="shared" ref="C6:C34" si="0">B6/1000000</f>
        <v>#VALUE!</v>
      </c>
      <c r="D6" s="10" t="e">
        <f t="shared" ref="D6:D34" si="1">C6*3.07</f>
        <v>#VALUE!</v>
      </c>
      <c r="E6" s="7" t="str">
        <f>'[3]Production Summary'!$O158</f>
        <v/>
      </c>
      <c r="F6" s="8" t="e">
        <f t="shared" ref="F6:F34" si="2">E6/1000000</f>
        <v>#VALUE!</v>
      </c>
      <c r="G6" s="10" t="e">
        <f t="shared" ref="G6:G34" si="3">F6*3.07</f>
        <v>#VALUE!</v>
      </c>
      <c r="H6" s="7" t="str">
        <f>'[3]Production Summary'!$Q158</f>
        <v/>
      </c>
      <c r="I6" s="8" t="e">
        <f t="shared" ref="I6:I34" si="4">H6/1000000</f>
        <v>#VALUE!</v>
      </c>
      <c r="J6" s="10" t="e">
        <f t="shared" ref="J6:J34" si="5">I6*3.07</f>
        <v>#VALUE!</v>
      </c>
      <c r="K6" s="7" t="str">
        <f>'[3]Production Summary'!$T158</f>
        <v/>
      </c>
      <c r="L6" s="8" t="e">
        <f t="shared" ref="L6:L34" si="6">K6/1000000</f>
        <v>#VALUE!</v>
      </c>
      <c r="M6" s="10" t="e">
        <f t="shared" ref="M6:M34" si="7">L6*3.07</f>
        <v>#VALUE!</v>
      </c>
      <c r="N6" s="57"/>
      <c r="O6" s="7" t="str">
        <f>'[3]Production Summary'!$AL158</f>
        <v/>
      </c>
      <c r="P6" s="8" t="e">
        <f t="shared" ref="P6:P34" si="8">O6/1000000</f>
        <v>#VALUE!</v>
      </c>
      <c r="Q6" s="10" t="e">
        <f t="shared" ref="Q6:Q34" si="9">P6*3.07</f>
        <v>#VALUE!</v>
      </c>
      <c r="R6" s="7" t="str">
        <f>'[3]Production Summary'!$AI158</f>
        <v/>
      </c>
      <c r="S6" s="8" t="e">
        <f t="shared" ref="S6:S34" si="10">R6/1000000</f>
        <v>#VALUE!</v>
      </c>
      <c r="T6" s="10" t="e">
        <f t="shared" ref="T6:T34" si="11">S6*3.07</f>
        <v>#VALUE!</v>
      </c>
      <c r="U6" s="7" t="str">
        <f>'[3]Production Summary'!$AF158</f>
        <v/>
      </c>
      <c r="V6" s="8" t="e">
        <f t="shared" ref="V6:V34" si="12">U6/1000000</f>
        <v>#VALUE!</v>
      </c>
      <c r="W6" s="10" t="e">
        <f t="shared" ref="W6:W34" si="13">V6*3.07</f>
        <v>#VALUE!</v>
      </c>
      <c r="X6" s="7" t="str">
        <f>'[3]Production Summary'!$AJ158</f>
        <v/>
      </c>
      <c r="Y6" s="8" t="e">
        <f t="shared" ref="Y6:Y34" si="14">X6/1000000</f>
        <v>#VALUE!</v>
      </c>
      <c r="Z6" s="10" t="e">
        <f t="shared" ref="Z6:Z34" si="15">Y6*3.07</f>
        <v>#VALUE!</v>
      </c>
      <c r="AA6" s="15"/>
      <c r="AB6" s="7" t="e">
        <f t="shared" ref="AB6:AB34" si="16">B6+O6</f>
        <v>#VALUE!</v>
      </c>
      <c r="AC6" s="8" t="e">
        <f t="shared" ref="AC6:AC34" si="17">AB6/1000000</f>
        <v>#VALUE!</v>
      </c>
      <c r="AD6" s="10" t="e">
        <f t="shared" ref="AD6:AD35" si="18">AC6*3.07</f>
        <v>#VALUE!</v>
      </c>
    </row>
    <row r="7" spans="1:30" x14ac:dyDescent="0.25">
      <c r="A7" s="27">
        <v>43254</v>
      </c>
      <c r="B7" s="7" t="str">
        <f>'[3]Production Summary'!$U159</f>
        <v/>
      </c>
      <c r="C7" s="8" t="e">
        <f t="shared" si="0"/>
        <v>#VALUE!</v>
      </c>
      <c r="D7" s="10" t="e">
        <f t="shared" si="1"/>
        <v>#VALUE!</v>
      </c>
      <c r="E7" s="7" t="str">
        <f>'[3]Production Summary'!$O159</f>
        <v/>
      </c>
      <c r="F7" s="8" t="e">
        <f t="shared" si="2"/>
        <v>#VALUE!</v>
      </c>
      <c r="G7" s="10" t="e">
        <f t="shared" si="3"/>
        <v>#VALUE!</v>
      </c>
      <c r="H7" s="7" t="str">
        <f>'[3]Production Summary'!$Q159</f>
        <v/>
      </c>
      <c r="I7" s="8" t="e">
        <f t="shared" si="4"/>
        <v>#VALUE!</v>
      </c>
      <c r="J7" s="10" t="e">
        <f t="shared" si="5"/>
        <v>#VALUE!</v>
      </c>
      <c r="K7" s="7" t="str">
        <f>'[3]Production Summary'!$T159</f>
        <v/>
      </c>
      <c r="L7" s="8" t="e">
        <f t="shared" si="6"/>
        <v>#VALUE!</v>
      </c>
      <c r="M7" s="10" t="e">
        <f t="shared" si="7"/>
        <v>#VALUE!</v>
      </c>
      <c r="N7" s="57"/>
      <c r="O7" s="7" t="str">
        <f>'[3]Production Summary'!$AL159</f>
        <v/>
      </c>
      <c r="P7" s="8" t="e">
        <f t="shared" si="8"/>
        <v>#VALUE!</v>
      </c>
      <c r="Q7" s="10" t="e">
        <f t="shared" si="9"/>
        <v>#VALUE!</v>
      </c>
      <c r="R7" s="7" t="str">
        <f>'[3]Production Summary'!$AI159</f>
        <v/>
      </c>
      <c r="S7" s="8" t="e">
        <f t="shared" si="10"/>
        <v>#VALUE!</v>
      </c>
      <c r="T7" s="10" t="e">
        <f t="shared" si="11"/>
        <v>#VALUE!</v>
      </c>
      <c r="U7" s="7" t="str">
        <f>'[3]Production Summary'!$AF159</f>
        <v/>
      </c>
      <c r="V7" s="8" t="e">
        <f t="shared" si="12"/>
        <v>#VALUE!</v>
      </c>
      <c r="W7" s="10" t="e">
        <f t="shared" si="13"/>
        <v>#VALUE!</v>
      </c>
      <c r="X7" s="7" t="str">
        <f>'[3]Production Summary'!$AJ159</f>
        <v/>
      </c>
      <c r="Y7" s="8" t="e">
        <f t="shared" si="14"/>
        <v>#VALUE!</v>
      </c>
      <c r="Z7" s="10" t="e">
        <f t="shared" si="15"/>
        <v>#VALUE!</v>
      </c>
      <c r="AA7" s="15"/>
      <c r="AB7" s="7" t="e">
        <f t="shared" si="16"/>
        <v>#VALUE!</v>
      </c>
      <c r="AC7" s="8" t="e">
        <f t="shared" si="17"/>
        <v>#VALUE!</v>
      </c>
      <c r="AD7" s="10" t="e">
        <f t="shared" si="18"/>
        <v>#VALUE!</v>
      </c>
    </row>
    <row r="8" spans="1:30" x14ac:dyDescent="0.25">
      <c r="A8" s="27">
        <v>43255</v>
      </c>
      <c r="B8" s="7" t="str">
        <f>'[3]Production Summary'!$U160</f>
        <v/>
      </c>
      <c r="C8" s="8" t="e">
        <f t="shared" si="0"/>
        <v>#VALUE!</v>
      </c>
      <c r="D8" s="10" t="e">
        <f t="shared" si="1"/>
        <v>#VALUE!</v>
      </c>
      <c r="E8" s="7" t="str">
        <f>'[3]Production Summary'!$O160</f>
        <v/>
      </c>
      <c r="F8" s="8" t="e">
        <f t="shared" si="2"/>
        <v>#VALUE!</v>
      </c>
      <c r="G8" s="10" t="e">
        <f t="shared" si="3"/>
        <v>#VALUE!</v>
      </c>
      <c r="H8" s="7" t="str">
        <f>'[3]Production Summary'!$Q160</f>
        <v/>
      </c>
      <c r="I8" s="8" t="e">
        <f t="shared" si="4"/>
        <v>#VALUE!</v>
      </c>
      <c r="J8" s="10" t="e">
        <f t="shared" si="5"/>
        <v>#VALUE!</v>
      </c>
      <c r="K8" s="7" t="str">
        <f>'[3]Production Summary'!$T160</f>
        <v/>
      </c>
      <c r="L8" s="8" t="e">
        <f t="shared" si="6"/>
        <v>#VALUE!</v>
      </c>
      <c r="M8" s="10" t="e">
        <f t="shared" si="7"/>
        <v>#VALUE!</v>
      </c>
      <c r="N8" s="57"/>
      <c r="O8" s="7" t="str">
        <f>'[3]Production Summary'!$AL160</f>
        <v/>
      </c>
      <c r="P8" s="8" t="e">
        <f t="shared" si="8"/>
        <v>#VALUE!</v>
      </c>
      <c r="Q8" s="10" t="e">
        <f t="shared" si="9"/>
        <v>#VALUE!</v>
      </c>
      <c r="R8" s="7" t="str">
        <f>'[3]Production Summary'!$AI160</f>
        <v/>
      </c>
      <c r="S8" s="8" t="e">
        <f t="shared" si="10"/>
        <v>#VALUE!</v>
      </c>
      <c r="T8" s="10" t="e">
        <f t="shared" si="11"/>
        <v>#VALUE!</v>
      </c>
      <c r="U8" s="7" t="str">
        <f>'[3]Production Summary'!$AF160</f>
        <v/>
      </c>
      <c r="V8" s="8" t="e">
        <f t="shared" si="12"/>
        <v>#VALUE!</v>
      </c>
      <c r="W8" s="10" t="e">
        <f t="shared" si="13"/>
        <v>#VALUE!</v>
      </c>
      <c r="X8" s="7" t="str">
        <f>'[3]Production Summary'!$AJ160</f>
        <v/>
      </c>
      <c r="Y8" s="8" t="e">
        <f t="shared" si="14"/>
        <v>#VALUE!</v>
      </c>
      <c r="Z8" s="10" t="e">
        <f t="shared" si="15"/>
        <v>#VALUE!</v>
      </c>
      <c r="AA8" s="15"/>
      <c r="AB8" s="7" t="e">
        <f t="shared" si="16"/>
        <v>#VALUE!</v>
      </c>
      <c r="AC8" s="8" t="e">
        <f t="shared" si="17"/>
        <v>#VALUE!</v>
      </c>
      <c r="AD8" s="10" t="e">
        <f t="shared" si="18"/>
        <v>#VALUE!</v>
      </c>
    </row>
    <row r="9" spans="1:30" x14ac:dyDescent="0.25">
      <c r="A9" s="27">
        <v>43256</v>
      </c>
      <c r="B9" s="7" t="str">
        <f>'[3]Production Summary'!$U161</f>
        <v/>
      </c>
      <c r="C9" s="8" t="e">
        <f t="shared" si="0"/>
        <v>#VALUE!</v>
      </c>
      <c r="D9" s="10" t="e">
        <f t="shared" si="1"/>
        <v>#VALUE!</v>
      </c>
      <c r="E9" s="7" t="str">
        <f>'[3]Production Summary'!$O161</f>
        <v/>
      </c>
      <c r="F9" s="8" t="e">
        <f t="shared" si="2"/>
        <v>#VALUE!</v>
      </c>
      <c r="G9" s="10" t="e">
        <f t="shared" si="3"/>
        <v>#VALUE!</v>
      </c>
      <c r="H9" s="7" t="str">
        <f>'[3]Production Summary'!$Q161</f>
        <v/>
      </c>
      <c r="I9" s="8" t="e">
        <f t="shared" si="4"/>
        <v>#VALUE!</v>
      </c>
      <c r="J9" s="10" t="e">
        <f t="shared" si="5"/>
        <v>#VALUE!</v>
      </c>
      <c r="K9" s="7" t="str">
        <f>'[3]Production Summary'!$T161</f>
        <v/>
      </c>
      <c r="L9" s="8" t="e">
        <f t="shared" si="6"/>
        <v>#VALUE!</v>
      </c>
      <c r="M9" s="10" t="e">
        <f t="shared" si="7"/>
        <v>#VALUE!</v>
      </c>
      <c r="N9" s="57"/>
      <c r="O9" s="7" t="str">
        <f>'[3]Production Summary'!$AL161</f>
        <v/>
      </c>
      <c r="P9" s="8" t="e">
        <f t="shared" si="8"/>
        <v>#VALUE!</v>
      </c>
      <c r="Q9" s="10" t="e">
        <f t="shared" si="9"/>
        <v>#VALUE!</v>
      </c>
      <c r="R9" s="7" t="str">
        <f>'[3]Production Summary'!$AI161</f>
        <v/>
      </c>
      <c r="S9" s="8" t="e">
        <f t="shared" si="10"/>
        <v>#VALUE!</v>
      </c>
      <c r="T9" s="10" t="e">
        <f t="shared" si="11"/>
        <v>#VALUE!</v>
      </c>
      <c r="U9" s="7" t="str">
        <f>'[3]Production Summary'!$AF161</f>
        <v/>
      </c>
      <c r="V9" s="8" t="e">
        <f t="shared" si="12"/>
        <v>#VALUE!</v>
      </c>
      <c r="W9" s="10" t="e">
        <f t="shared" si="13"/>
        <v>#VALUE!</v>
      </c>
      <c r="X9" s="7" t="str">
        <f>'[3]Production Summary'!$AJ161</f>
        <v/>
      </c>
      <c r="Y9" s="8" t="e">
        <f t="shared" si="14"/>
        <v>#VALUE!</v>
      </c>
      <c r="Z9" s="10" t="e">
        <f t="shared" si="15"/>
        <v>#VALUE!</v>
      </c>
      <c r="AA9" s="15"/>
      <c r="AB9" s="7" t="e">
        <f t="shared" si="16"/>
        <v>#VALUE!</v>
      </c>
      <c r="AC9" s="8" t="e">
        <f t="shared" si="17"/>
        <v>#VALUE!</v>
      </c>
      <c r="AD9" s="10" t="e">
        <f t="shared" si="18"/>
        <v>#VALUE!</v>
      </c>
    </row>
    <row r="10" spans="1:30" x14ac:dyDescent="0.25">
      <c r="A10" s="27">
        <v>43257</v>
      </c>
      <c r="B10" s="7" t="str">
        <f>'[3]Production Summary'!$U162</f>
        <v/>
      </c>
      <c r="C10" s="8" t="e">
        <f t="shared" si="0"/>
        <v>#VALUE!</v>
      </c>
      <c r="D10" s="10" t="e">
        <f t="shared" si="1"/>
        <v>#VALUE!</v>
      </c>
      <c r="E10" s="7" t="str">
        <f>'[3]Production Summary'!$O162</f>
        <v/>
      </c>
      <c r="F10" s="8" t="e">
        <f t="shared" si="2"/>
        <v>#VALUE!</v>
      </c>
      <c r="G10" s="10" t="e">
        <f t="shared" si="3"/>
        <v>#VALUE!</v>
      </c>
      <c r="H10" s="7" t="str">
        <f>'[3]Production Summary'!$Q162</f>
        <v/>
      </c>
      <c r="I10" s="8" t="e">
        <f t="shared" si="4"/>
        <v>#VALUE!</v>
      </c>
      <c r="J10" s="10" t="e">
        <f t="shared" si="5"/>
        <v>#VALUE!</v>
      </c>
      <c r="K10" s="7" t="str">
        <f>'[3]Production Summary'!$T162</f>
        <v/>
      </c>
      <c r="L10" s="8" t="e">
        <f t="shared" si="6"/>
        <v>#VALUE!</v>
      </c>
      <c r="M10" s="10" t="e">
        <f t="shared" si="7"/>
        <v>#VALUE!</v>
      </c>
      <c r="N10" s="57"/>
      <c r="O10" s="7" t="str">
        <f>'[3]Production Summary'!$AL162</f>
        <v/>
      </c>
      <c r="P10" s="8" t="e">
        <f t="shared" si="8"/>
        <v>#VALUE!</v>
      </c>
      <c r="Q10" s="10" t="e">
        <f t="shared" si="9"/>
        <v>#VALUE!</v>
      </c>
      <c r="R10" s="7" t="str">
        <f>'[3]Production Summary'!$AI162</f>
        <v/>
      </c>
      <c r="S10" s="8" t="e">
        <f t="shared" si="10"/>
        <v>#VALUE!</v>
      </c>
      <c r="T10" s="10" t="e">
        <f t="shared" si="11"/>
        <v>#VALUE!</v>
      </c>
      <c r="U10" s="7" t="str">
        <f>'[3]Production Summary'!$AF162</f>
        <v/>
      </c>
      <c r="V10" s="8" t="e">
        <f t="shared" si="12"/>
        <v>#VALUE!</v>
      </c>
      <c r="W10" s="10" t="e">
        <f t="shared" si="13"/>
        <v>#VALUE!</v>
      </c>
      <c r="X10" s="7" t="str">
        <f>'[3]Production Summary'!$AJ162</f>
        <v/>
      </c>
      <c r="Y10" s="8" t="e">
        <f t="shared" si="14"/>
        <v>#VALUE!</v>
      </c>
      <c r="Z10" s="10" t="e">
        <f t="shared" si="15"/>
        <v>#VALUE!</v>
      </c>
      <c r="AA10" s="15"/>
      <c r="AB10" s="7" t="e">
        <f t="shared" si="16"/>
        <v>#VALUE!</v>
      </c>
      <c r="AC10" s="8" t="e">
        <f t="shared" si="17"/>
        <v>#VALUE!</v>
      </c>
      <c r="AD10" s="10" t="e">
        <f t="shared" si="18"/>
        <v>#VALUE!</v>
      </c>
    </row>
    <row r="11" spans="1:30" x14ac:dyDescent="0.25">
      <c r="A11" s="27">
        <v>43258</v>
      </c>
      <c r="B11" s="7" t="str">
        <f>'[3]Production Summary'!$U163</f>
        <v/>
      </c>
      <c r="C11" s="8" t="e">
        <f t="shared" si="0"/>
        <v>#VALUE!</v>
      </c>
      <c r="D11" s="10" t="e">
        <f t="shared" si="1"/>
        <v>#VALUE!</v>
      </c>
      <c r="E11" s="7" t="str">
        <f>'[3]Production Summary'!$O163</f>
        <v/>
      </c>
      <c r="F11" s="8" t="e">
        <f t="shared" si="2"/>
        <v>#VALUE!</v>
      </c>
      <c r="G11" s="10" t="e">
        <f t="shared" si="3"/>
        <v>#VALUE!</v>
      </c>
      <c r="H11" s="7" t="str">
        <f>'[3]Production Summary'!$Q163</f>
        <v/>
      </c>
      <c r="I11" s="8" t="e">
        <f t="shared" si="4"/>
        <v>#VALUE!</v>
      </c>
      <c r="J11" s="10" t="e">
        <f t="shared" si="5"/>
        <v>#VALUE!</v>
      </c>
      <c r="K11" s="7" t="str">
        <f>'[3]Production Summary'!$T163</f>
        <v/>
      </c>
      <c r="L11" s="8" t="e">
        <f t="shared" si="6"/>
        <v>#VALUE!</v>
      </c>
      <c r="M11" s="10" t="e">
        <f t="shared" si="7"/>
        <v>#VALUE!</v>
      </c>
      <c r="N11" s="57"/>
      <c r="O11" s="7" t="str">
        <f>'[3]Production Summary'!$AL163</f>
        <v/>
      </c>
      <c r="P11" s="8" t="e">
        <f t="shared" si="8"/>
        <v>#VALUE!</v>
      </c>
      <c r="Q11" s="10" t="e">
        <f t="shared" si="9"/>
        <v>#VALUE!</v>
      </c>
      <c r="R11" s="7" t="str">
        <f>'[3]Production Summary'!$AI163</f>
        <v/>
      </c>
      <c r="S11" s="8" t="e">
        <f t="shared" si="10"/>
        <v>#VALUE!</v>
      </c>
      <c r="T11" s="10" t="e">
        <f t="shared" si="11"/>
        <v>#VALUE!</v>
      </c>
      <c r="U11" s="7" t="str">
        <f>'[3]Production Summary'!$AF163</f>
        <v/>
      </c>
      <c r="V11" s="8" t="e">
        <f t="shared" si="12"/>
        <v>#VALUE!</v>
      </c>
      <c r="W11" s="10" t="e">
        <f t="shared" si="13"/>
        <v>#VALUE!</v>
      </c>
      <c r="X11" s="7" t="str">
        <f>'[3]Production Summary'!$AJ163</f>
        <v/>
      </c>
      <c r="Y11" s="8" t="e">
        <f t="shared" si="14"/>
        <v>#VALUE!</v>
      </c>
      <c r="Z11" s="10" t="e">
        <f t="shared" si="15"/>
        <v>#VALUE!</v>
      </c>
      <c r="AA11" s="15"/>
      <c r="AB11" s="7" t="e">
        <f t="shared" si="16"/>
        <v>#VALUE!</v>
      </c>
      <c r="AC11" s="8" t="e">
        <f t="shared" si="17"/>
        <v>#VALUE!</v>
      </c>
      <c r="AD11" s="10" t="e">
        <f t="shared" si="18"/>
        <v>#VALUE!</v>
      </c>
    </row>
    <row r="12" spans="1:30" x14ac:dyDescent="0.25">
      <c r="A12" s="27">
        <v>43259</v>
      </c>
      <c r="B12" s="7" t="str">
        <f>'[3]Production Summary'!$U164</f>
        <v/>
      </c>
      <c r="C12" s="8" t="e">
        <f t="shared" si="0"/>
        <v>#VALUE!</v>
      </c>
      <c r="D12" s="10" t="e">
        <f t="shared" si="1"/>
        <v>#VALUE!</v>
      </c>
      <c r="E12" s="7" t="str">
        <f>'[3]Production Summary'!$O164</f>
        <v/>
      </c>
      <c r="F12" s="8" t="e">
        <f t="shared" si="2"/>
        <v>#VALUE!</v>
      </c>
      <c r="G12" s="10" t="e">
        <f t="shared" si="3"/>
        <v>#VALUE!</v>
      </c>
      <c r="H12" s="7" t="str">
        <f>'[3]Production Summary'!$Q164</f>
        <v/>
      </c>
      <c r="I12" s="8" t="e">
        <f t="shared" si="4"/>
        <v>#VALUE!</v>
      </c>
      <c r="J12" s="10" t="e">
        <f t="shared" si="5"/>
        <v>#VALUE!</v>
      </c>
      <c r="K12" s="7" t="str">
        <f>'[3]Production Summary'!$T164</f>
        <v/>
      </c>
      <c r="L12" s="8" t="e">
        <f t="shared" si="6"/>
        <v>#VALUE!</v>
      </c>
      <c r="M12" s="10" t="e">
        <f t="shared" si="7"/>
        <v>#VALUE!</v>
      </c>
      <c r="N12" s="57"/>
      <c r="O12" s="7" t="str">
        <f>'[3]Production Summary'!$AL164</f>
        <v/>
      </c>
      <c r="P12" s="8" t="e">
        <f t="shared" si="8"/>
        <v>#VALUE!</v>
      </c>
      <c r="Q12" s="10" t="e">
        <f t="shared" si="9"/>
        <v>#VALUE!</v>
      </c>
      <c r="R12" s="7" t="str">
        <f>'[3]Production Summary'!$AI164</f>
        <v/>
      </c>
      <c r="S12" s="8" t="e">
        <f t="shared" si="10"/>
        <v>#VALUE!</v>
      </c>
      <c r="T12" s="10" t="e">
        <f t="shared" si="11"/>
        <v>#VALUE!</v>
      </c>
      <c r="U12" s="7" t="str">
        <f>'[3]Production Summary'!$AF164</f>
        <v/>
      </c>
      <c r="V12" s="8" t="e">
        <f t="shared" si="12"/>
        <v>#VALUE!</v>
      </c>
      <c r="W12" s="10" t="e">
        <f t="shared" si="13"/>
        <v>#VALUE!</v>
      </c>
      <c r="X12" s="7" t="str">
        <f>'[3]Production Summary'!$AJ164</f>
        <v/>
      </c>
      <c r="Y12" s="8" t="e">
        <f t="shared" si="14"/>
        <v>#VALUE!</v>
      </c>
      <c r="Z12" s="10" t="e">
        <f t="shared" si="15"/>
        <v>#VALUE!</v>
      </c>
      <c r="AA12" s="15"/>
      <c r="AB12" s="7" t="e">
        <f t="shared" si="16"/>
        <v>#VALUE!</v>
      </c>
      <c r="AC12" s="8" t="e">
        <f t="shared" si="17"/>
        <v>#VALUE!</v>
      </c>
      <c r="AD12" s="10" t="e">
        <f t="shared" si="18"/>
        <v>#VALUE!</v>
      </c>
    </row>
    <row r="13" spans="1:30" x14ac:dyDescent="0.25">
      <c r="A13" s="27">
        <v>43260</v>
      </c>
      <c r="B13" s="7" t="str">
        <f>'[3]Production Summary'!$U165</f>
        <v/>
      </c>
      <c r="C13" s="8" t="e">
        <f t="shared" si="0"/>
        <v>#VALUE!</v>
      </c>
      <c r="D13" s="10" t="e">
        <f t="shared" si="1"/>
        <v>#VALUE!</v>
      </c>
      <c r="E13" s="7" t="str">
        <f>'[3]Production Summary'!$O165</f>
        <v/>
      </c>
      <c r="F13" s="8" t="e">
        <f t="shared" si="2"/>
        <v>#VALUE!</v>
      </c>
      <c r="G13" s="10" t="e">
        <f t="shared" si="3"/>
        <v>#VALUE!</v>
      </c>
      <c r="H13" s="7" t="str">
        <f>'[3]Production Summary'!$Q165</f>
        <v/>
      </c>
      <c r="I13" s="8" t="e">
        <f t="shared" si="4"/>
        <v>#VALUE!</v>
      </c>
      <c r="J13" s="10" t="e">
        <f t="shared" si="5"/>
        <v>#VALUE!</v>
      </c>
      <c r="K13" s="7" t="str">
        <f>'[3]Production Summary'!$T165</f>
        <v/>
      </c>
      <c r="L13" s="8" t="e">
        <f t="shared" si="6"/>
        <v>#VALUE!</v>
      </c>
      <c r="M13" s="10" t="e">
        <f t="shared" si="7"/>
        <v>#VALUE!</v>
      </c>
      <c r="N13" s="57"/>
      <c r="O13" s="7" t="str">
        <f>'[3]Production Summary'!$AL165</f>
        <v/>
      </c>
      <c r="P13" s="8" t="e">
        <f t="shared" si="8"/>
        <v>#VALUE!</v>
      </c>
      <c r="Q13" s="10" t="e">
        <f t="shared" si="9"/>
        <v>#VALUE!</v>
      </c>
      <c r="R13" s="7" t="str">
        <f>'[3]Production Summary'!$AI165</f>
        <v/>
      </c>
      <c r="S13" s="8" t="e">
        <f t="shared" si="10"/>
        <v>#VALUE!</v>
      </c>
      <c r="T13" s="10" t="e">
        <f t="shared" si="11"/>
        <v>#VALUE!</v>
      </c>
      <c r="U13" s="7" t="str">
        <f>'[3]Production Summary'!$AF165</f>
        <v/>
      </c>
      <c r="V13" s="8" t="e">
        <f t="shared" si="12"/>
        <v>#VALUE!</v>
      </c>
      <c r="W13" s="10" t="e">
        <f t="shared" si="13"/>
        <v>#VALUE!</v>
      </c>
      <c r="X13" s="7" t="str">
        <f>'[3]Production Summary'!$AJ165</f>
        <v/>
      </c>
      <c r="Y13" s="8" t="e">
        <f t="shared" si="14"/>
        <v>#VALUE!</v>
      </c>
      <c r="Z13" s="10" t="e">
        <f t="shared" si="15"/>
        <v>#VALUE!</v>
      </c>
      <c r="AA13" s="15"/>
      <c r="AB13" s="7" t="e">
        <f t="shared" si="16"/>
        <v>#VALUE!</v>
      </c>
      <c r="AC13" s="8" t="e">
        <f t="shared" si="17"/>
        <v>#VALUE!</v>
      </c>
      <c r="AD13" s="10" t="e">
        <f t="shared" si="18"/>
        <v>#VALUE!</v>
      </c>
    </row>
    <row r="14" spans="1:30" x14ac:dyDescent="0.25">
      <c r="A14" s="27">
        <v>43261</v>
      </c>
      <c r="B14" s="7" t="str">
        <f>'[3]Production Summary'!$U166</f>
        <v/>
      </c>
      <c r="C14" s="8" t="e">
        <f t="shared" si="0"/>
        <v>#VALUE!</v>
      </c>
      <c r="D14" s="10" t="e">
        <f t="shared" si="1"/>
        <v>#VALUE!</v>
      </c>
      <c r="E14" s="7" t="str">
        <f>'[3]Production Summary'!$O166</f>
        <v/>
      </c>
      <c r="F14" s="8" t="e">
        <f t="shared" si="2"/>
        <v>#VALUE!</v>
      </c>
      <c r="G14" s="10" t="e">
        <f t="shared" si="3"/>
        <v>#VALUE!</v>
      </c>
      <c r="H14" s="7" t="str">
        <f>'[3]Production Summary'!$Q166</f>
        <v/>
      </c>
      <c r="I14" s="8" t="e">
        <f t="shared" si="4"/>
        <v>#VALUE!</v>
      </c>
      <c r="J14" s="10" t="e">
        <f t="shared" si="5"/>
        <v>#VALUE!</v>
      </c>
      <c r="K14" s="7" t="str">
        <f>'[3]Production Summary'!$T166</f>
        <v/>
      </c>
      <c r="L14" s="8" t="e">
        <f t="shared" si="6"/>
        <v>#VALUE!</v>
      </c>
      <c r="M14" s="10" t="e">
        <f t="shared" si="7"/>
        <v>#VALUE!</v>
      </c>
      <c r="N14" s="57"/>
      <c r="O14" s="7" t="str">
        <f>'[3]Production Summary'!$AL166</f>
        <v/>
      </c>
      <c r="P14" s="8" t="e">
        <f t="shared" si="8"/>
        <v>#VALUE!</v>
      </c>
      <c r="Q14" s="10" t="e">
        <f t="shared" si="9"/>
        <v>#VALUE!</v>
      </c>
      <c r="R14" s="7" t="str">
        <f>'[3]Production Summary'!$AI166</f>
        <v/>
      </c>
      <c r="S14" s="8" t="e">
        <f t="shared" si="10"/>
        <v>#VALUE!</v>
      </c>
      <c r="T14" s="10" t="e">
        <f t="shared" si="11"/>
        <v>#VALUE!</v>
      </c>
      <c r="U14" s="7" t="str">
        <f>'[3]Production Summary'!$AF166</f>
        <v/>
      </c>
      <c r="V14" s="8" t="e">
        <f t="shared" si="12"/>
        <v>#VALUE!</v>
      </c>
      <c r="W14" s="10" t="e">
        <f t="shared" si="13"/>
        <v>#VALUE!</v>
      </c>
      <c r="X14" s="7" t="str">
        <f>'[3]Production Summary'!$AJ166</f>
        <v/>
      </c>
      <c r="Y14" s="8" t="e">
        <f t="shared" si="14"/>
        <v>#VALUE!</v>
      </c>
      <c r="Z14" s="10" t="e">
        <f t="shared" si="15"/>
        <v>#VALUE!</v>
      </c>
      <c r="AA14" s="15"/>
      <c r="AB14" s="7" t="e">
        <f t="shared" si="16"/>
        <v>#VALUE!</v>
      </c>
      <c r="AC14" s="8" t="e">
        <f t="shared" si="17"/>
        <v>#VALUE!</v>
      </c>
      <c r="AD14" s="10" t="e">
        <f t="shared" si="18"/>
        <v>#VALUE!</v>
      </c>
    </row>
    <row r="15" spans="1:30" x14ac:dyDescent="0.25">
      <c r="A15" s="27">
        <v>43262</v>
      </c>
      <c r="B15" s="7" t="str">
        <f>'[3]Production Summary'!$U167</f>
        <v/>
      </c>
      <c r="C15" s="8" t="e">
        <f t="shared" si="0"/>
        <v>#VALUE!</v>
      </c>
      <c r="D15" s="10" t="e">
        <f t="shared" si="1"/>
        <v>#VALUE!</v>
      </c>
      <c r="E15" s="7" t="str">
        <f>'[3]Production Summary'!$O167</f>
        <v/>
      </c>
      <c r="F15" s="8" t="e">
        <f t="shared" si="2"/>
        <v>#VALUE!</v>
      </c>
      <c r="G15" s="10" t="e">
        <f t="shared" si="3"/>
        <v>#VALUE!</v>
      </c>
      <c r="H15" s="7" t="str">
        <f>'[3]Production Summary'!$Q167</f>
        <v/>
      </c>
      <c r="I15" s="8" t="e">
        <f t="shared" si="4"/>
        <v>#VALUE!</v>
      </c>
      <c r="J15" s="10" t="e">
        <f t="shared" si="5"/>
        <v>#VALUE!</v>
      </c>
      <c r="K15" s="7" t="str">
        <f>'[3]Production Summary'!$T167</f>
        <v/>
      </c>
      <c r="L15" s="8" t="e">
        <f t="shared" si="6"/>
        <v>#VALUE!</v>
      </c>
      <c r="M15" s="10" t="e">
        <f t="shared" si="7"/>
        <v>#VALUE!</v>
      </c>
      <c r="N15" s="57"/>
      <c r="O15" s="7" t="str">
        <f>'[3]Production Summary'!$AL167</f>
        <v/>
      </c>
      <c r="P15" s="8" t="e">
        <f t="shared" si="8"/>
        <v>#VALUE!</v>
      </c>
      <c r="Q15" s="10" t="e">
        <f t="shared" si="9"/>
        <v>#VALUE!</v>
      </c>
      <c r="R15" s="7" t="str">
        <f>'[3]Production Summary'!$AI167</f>
        <v/>
      </c>
      <c r="S15" s="8" t="e">
        <f t="shared" si="10"/>
        <v>#VALUE!</v>
      </c>
      <c r="T15" s="10" t="e">
        <f t="shared" si="11"/>
        <v>#VALUE!</v>
      </c>
      <c r="U15" s="7" t="str">
        <f>'[3]Production Summary'!$AF167</f>
        <v/>
      </c>
      <c r="V15" s="8" t="e">
        <f t="shared" si="12"/>
        <v>#VALUE!</v>
      </c>
      <c r="W15" s="10" t="e">
        <f t="shared" si="13"/>
        <v>#VALUE!</v>
      </c>
      <c r="X15" s="7" t="str">
        <f>'[3]Production Summary'!$AJ167</f>
        <v/>
      </c>
      <c r="Y15" s="8" t="e">
        <f t="shared" si="14"/>
        <v>#VALUE!</v>
      </c>
      <c r="Z15" s="10" t="e">
        <f t="shared" si="15"/>
        <v>#VALUE!</v>
      </c>
      <c r="AA15" s="15"/>
      <c r="AB15" s="7" t="e">
        <f t="shared" si="16"/>
        <v>#VALUE!</v>
      </c>
      <c r="AC15" s="8" t="e">
        <f t="shared" si="17"/>
        <v>#VALUE!</v>
      </c>
      <c r="AD15" s="10" t="e">
        <f t="shared" si="18"/>
        <v>#VALUE!</v>
      </c>
    </row>
    <row r="16" spans="1:30" x14ac:dyDescent="0.25">
      <c r="A16" s="27">
        <v>43263</v>
      </c>
      <c r="B16" s="7" t="str">
        <f>'[3]Production Summary'!$U168</f>
        <v/>
      </c>
      <c r="C16" s="8" t="e">
        <f t="shared" si="0"/>
        <v>#VALUE!</v>
      </c>
      <c r="D16" s="10" t="e">
        <f t="shared" si="1"/>
        <v>#VALUE!</v>
      </c>
      <c r="E16" s="7" t="str">
        <f>'[3]Production Summary'!$O168</f>
        <v/>
      </c>
      <c r="F16" s="8" t="e">
        <f t="shared" si="2"/>
        <v>#VALUE!</v>
      </c>
      <c r="G16" s="10" t="e">
        <f t="shared" si="3"/>
        <v>#VALUE!</v>
      </c>
      <c r="H16" s="7" t="str">
        <f>'[3]Production Summary'!$Q168</f>
        <v/>
      </c>
      <c r="I16" s="8" t="e">
        <f t="shared" si="4"/>
        <v>#VALUE!</v>
      </c>
      <c r="J16" s="10" t="e">
        <f t="shared" si="5"/>
        <v>#VALUE!</v>
      </c>
      <c r="K16" s="7" t="str">
        <f>'[3]Production Summary'!$T168</f>
        <v/>
      </c>
      <c r="L16" s="8" t="e">
        <f t="shared" si="6"/>
        <v>#VALUE!</v>
      </c>
      <c r="M16" s="10" t="e">
        <f t="shared" si="7"/>
        <v>#VALUE!</v>
      </c>
      <c r="N16" s="57"/>
      <c r="O16" s="7" t="str">
        <f>'[3]Production Summary'!$AL168</f>
        <v/>
      </c>
      <c r="P16" s="8" t="e">
        <f t="shared" si="8"/>
        <v>#VALUE!</v>
      </c>
      <c r="Q16" s="10" t="e">
        <f t="shared" si="9"/>
        <v>#VALUE!</v>
      </c>
      <c r="R16" s="7" t="str">
        <f>'[3]Production Summary'!$AI168</f>
        <v/>
      </c>
      <c r="S16" s="8" t="e">
        <f t="shared" si="10"/>
        <v>#VALUE!</v>
      </c>
      <c r="T16" s="10" t="e">
        <f t="shared" si="11"/>
        <v>#VALUE!</v>
      </c>
      <c r="U16" s="7" t="str">
        <f>'[3]Production Summary'!$AF168</f>
        <v/>
      </c>
      <c r="V16" s="8" t="e">
        <f t="shared" si="12"/>
        <v>#VALUE!</v>
      </c>
      <c r="W16" s="10" t="e">
        <f t="shared" si="13"/>
        <v>#VALUE!</v>
      </c>
      <c r="X16" s="7" t="str">
        <f>'[3]Production Summary'!$AJ168</f>
        <v/>
      </c>
      <c r="Y16" s="8" t="e">
        <f t="shared" si="14"/>
        <v>#VALUE!</v>
      </c>
      <c r="Z16" s="10" t="e">
        <f t="shared" si="15"/>
        <v>#VALUE!</v>
      </c>
      <c r="AA16" s="15"/>
      <c r="AB16" s="7" t="e">
        <f t="shared" si="16"/>
        <v>#VALUE!</v>
      </c>
      <c r="AC16" s="8" t="e">
        <f t="shared" si="17"/>
        <v>#VALUE!</v>
      </c>
      <c r="AD16" s="10" t="e">
        <f t="shared" si="18"/>
        <v>#VALUE!</v>
      </c>
    </row>
    <row r="17" spans="1:30" x14ac:dyDescent="0.25">
      <c r="A17" s="27">
        <v>43264</v>
      </c>
      <c r="B17" s="7" t="str">
        <f>'[3]Production Summary'!$U169</f>
        <v/>
      </c>
      <c r="C17" s="8" t="e">
        <f t="shared" si="0"/>
        <v>#VALUE!</v>
      </c>
      <c r="D17" s="10" t="e">
        <f t="shared" si="1"/>
        <v>#VALUE!</v>
      </c>
      <c r="E17" s="7" t="str">
        <f>'[3]Production Summary'!$O169</f>
        <v/>
      </c>
      <c r="F17" s="8" t="e">
        <f t="shared" si="2"/>
        <v>#VALUE!</v>
      </c>
      <c r="G17" s="10" t="e">
        <f t="shared" si="3"/>
        <v>#VALUE!</v>
      </c>
      <c r="H17" s="7" t="str">
        <f>'[3]Production Summary'!$Q169</f>
        <v/>
      </c>
      <c r="I17" s="8" t="e">
        <f t="shared" si="4"/>
        <v>#VALUE!</v>
      </c>
      <c r="J17" s="10" t="e">
        <f t="shared" si="5"/>
        <v>#VALUE!</v>
      </c>
      <c r="K17" s="7" t="str">
        <f>'[3]Production Summary'!$T169</f>
        <v/>
      </c>
      <c r="L17" s="8" t="e">
        <f t="shared" si="6"/>
        <v>#VALUE!</v>
      </c>
      <c r="M17" s="10" t="e">
        <f t="shared" si="7"/>
        <v>#VALUE!</v>
      </c>
      <c r="N17" s="57"/>
      <c r="O17" s="7" t="str">
        <f>'[3]Production Summary'!$AL169</f>
        <v/>
      </c>
      <c r="P17" s="8" t="e">
        <f t="shared" si="8"/>
        <v>#VALUE!</v>
      </c>
      <c r="Q17" s="10" t="e">
        <f t="shared" si="9"/>
        <v>#VALUE!</v>
      </c>
      <c r="R17" s="7" t="str">
        <f>'[3]Production Summary'!$AI169</f>
        <v/>
      </c>
      <c r="S17" s="8" t="e">
        <f t="shared" si="10"/>
        <v>#VALUE!</v>
      </c>
      <c r="T17" s="10" t="e">
        <f t="shared" si="11"/>
        <v>#VALUE!</v>
      </c>
      <c r="U17" s="7" t="str">
        <f>'[3]Production Summary'!$AF169</f>
        <v/>
      </c>
      <c r="V17" s="8" t="e">
        <f t="shared" si="12"/>
        <v>#VALUE!</v>
      </c>
      <c r="W17" s="10" t="e">
        <f t="shared" si="13"/>
        <v>#VALUE!</v>
      </c>
      <c r="X17" s="7" t="str">
        <f>'[3]Production Summary'!$AJ169</f>
        <v/>
      </c>
      <c r="Y17" s="8" t="e">
        <f t="shared" si="14"/>
        <v>#VALUE!</v>
      </c>
      <c r="Z17" s="10" t="e">
        <f t="shared" si="15"/>
        <v>#VALUE!</v>
      </c>
      <c r="AA17" s="15"/>
      <c r="AB17" s="7" t="e">
        <f t="shared" si="16"/>
        <v>#VALUE!</v>
      </c>
      <c r="AC17" s="8" t="e">
        <f t="shared" si="17"/>
        <v>#VALUE!</v>
      </c>
      <c r="AD17" s="10" t="e">
        <f t="shared" si="18"/>
        <v>#VALUE!</v>
      </c>
    </row>
    <row r="18" spans="1:30" x14ac:dyDescent="0.25">
      <c r="A18" s="27">
        <v>43265</v>
      </c>
      <c r="B18" s="7" t="str">
        <f>'[3]Production Summary'!$U170</f>
        <v/>
      </c>
      <c r="C18" s="8" t="e">
        <f t="shared" si="0"/>
        <v>#VALUE!</v>
      </c>
      <c r="D18" s="10" t="e">
        <f t="shared" si="1"/>
        <v>#VALUE!</v>
      </c>
      <c r="E18" s="7" t="str">
        <f>'[3]Production Summary'!$O170</f>
        <v/>
      </c>
      <c r="F18" s="8" t="e">
        <f t="shared" si="2"/>
        <v>#VALUE!</v>
      </c>
      <c r="G18" s="10" t="e">
        <f t="shared" si="3"/>
        <v>#VALUE!</v>
      </c>
      <c r="H18" s="7" t="str">
        <f>'[3]Production Summary'!$Q170</f>
        <v/>
      </c>
      <c r="I18" s="8" t="e">
        <f t="shared" si="4"/>
        <v>#VALUE!</v>
      </c>
      <c r="J18" s="10" t="e">
        <f t="shared" si="5"/>
        <v>#VALUE!</v>
      </c>
      <c r="K18" s="7" t="str">
        <f>'[3]Production Summary'!$T170</f>
        <v/>
      </c>
      <c r="L18" s="8" t="e">
        <f t="shared" si="6"/>
        <v>#VALUE!</v>
      </c>
      <c r="M18" s="10" t="e">
        <f t="shared" si="7"/>
        <v>#VALUE!</v>
      </c>
      <c r="N18" s="57"/>
      <c r="O18" s="7" t="str">
        <f>'[3]Production Summary'!$AL170</f>
        <v/>
      </c>
      <c r="P18" s="8" t="e">
        <f t="shared" si="8"/>
        <v>#VALUE!</v>
      </c>
      <c r="Q18" s="10" t="e">
        <f t="shared" si="9"/>
        <v>#VALUE!</v>
      </c>
      <c r="R18" s="7" t="str">
        <f>'[3]Production Summary'!$AI170</f>
        <v/>
      </c>
      <c r="S18" s="8" t="e">
        <f t="shared" si="10"/>
        <v>#VALUE!</v>
      </c>
      <c r="T18" s="10" t="e">
        <f t="shared" si="11"/>
        <v>#VALUE!</v>
      </c>
      <c r="U18" s="7" t="str">
        <f>'[3]Production Summary'!$AF170</f>
        <v/>
      </c>
      <c r="V18" s="8" t="e">
        <f t="shared" si="12"/>
        <v>#VALUE!</v>
      </c>
      <c r="W18" s="10" t="e">
        <f t="shared" si="13"/>
        <v>#VALUE!</v>
      </c>
      <c r="X18" s="7" t="str">
        <f>'[3]Production Summary'!$AJ170</f>
        <v/>
      </c>
      <c r="Y18" s="8" t="e">
        <f t="shared" si="14"/>
        <v>#VALUE!</v>
      </c>
      <c r="Z18" s="10" t="e">
        <f t="shared" si="15"/>
        <v>#VALUE!</v>
      </c>
      <c r="AA18" s="15"/>
      <c r="AB18" s="7" t="e">
        <f t="shared" si="16"/>
        <v>#VALUE!</v>
      </c>
      <c r="AC18" s="8" t="e">
        <f t="shared" si="17"/>
        <v>#VALUE!</v>
      </c>
      <c r="AD18" s="10" t="e">
        <f t="shared" si="18"/>
        <v>#VALUE!</v>
      </c>
    </row>
    <row r="19" spans="1:30" x14ac:dyDescent="0.25">
      <c r="A19" s="27">
        <v>43266</v>
      </c>
      <c r="B19" s="7" t="str">
        <f>'[3]Production Summary'!$U171</f>
        <v/>
      </c>
      <c r="C19" s="8" t="e">
        <f t="shared" si="0"/>
        <v>#VALUE!</v>
      </c>
      <c r="D19" s="10" t="e">
        <f t="shared" si="1"/>
        <v>#VALUE!</v>
      </c>
      <c r="E19" s="7" t="str">
        <f>'[3]Production Summary'!$O171</f>
        <v/>
      </c>
      <c r="F19" s="8" t="e">
        <f t="shared" si="2"/>
        <v>#VALUE!</v>
      </c>
      <c r="G19" s="10" t="e">
        <f t="shared" si="3"/>
        <v>#VALUE!</v>
      </c>
      <c r="H19" s="7" t="str">
        <f>'[3]Production Summary'!$Q171</f>
        <v/>
      </c>
      <c r="I19" s="8" t="e">
        <f t="shared" si="4"/>
        <v>#VALUE!</v>
      </c>
      <c r="J19" s="10" t="e">
        <f t="shared" si="5"/>
        <v>#VALUE!</v>
      </c>
      <c r="K19" s="7" t="str">
        <f>'[3]Production Summary'!$T171</f>
        <v/>
      </c>
      <c r="L19" s="8" t="e">
        <f t="shared" si="6"/>
        <v>#VALUE!</v>
      </c>
      <c r="M19" s="10" t="e">
        <f t="shared" si="7"/>
        <v>#VALUE!</v>
      </c>
      <c r="N19" s="57"/>
      <c r="O19" s="7" t="str">
        <f>'[3]Production Summary'!$AL171</f>
        <v/>
      </c>
      <c r="P19" s="8" t="e">
        <f t="shared" si="8"/>
        <v>#VALUE!</v>
      </c>
      <c r="Q19" s="10" t="e">
        <f t="shared" si="9"/>
        <v>#VALUE!</v>
      </c>
      <c r="R19" s="7" t="str">
        <f>'[3]Production Summary'!$AI171</f>
        <v/>
      </c>
      <c r="S19" s="8" t="e">
        <f t="shared" si="10"/>
        <v>#VALUE!</v>
      </c>
      <c r="T19" s="10" t="e">
        <f t="shared" si="11"/>
        <v>#VALUE!</v>
      </c>
      <c r="U19" s="7" t="str">
        <f>'[3]Production Summary'!$AF171</f>
        <v/>
      </c>
      <c r="V19" s="8" t="e">
        <f t="shared" si="12"/>
        <v>#VALUE!</v>
      </c>
      <c r="W19" s="10" t="e">
        <f t="shared" si="13"/>
        <v>#VALUE!</v>
      </c>
      <c r="X19" s="7" t="str">
        <f>'[3]Production Summary'!$AJ171</f>
        <v/>
      </c>
      <c r="Y19" s="8" t="e">
        <f t="shared" si="14"/>
        <v>#VALUE!</v>
      </c>
      <c r="Z19" s="10" t="e">
        <f t="shared" si="15"/>
        <v>#VALUE!</v>
      </c>
      <c r="AA19" s="15"/>
      <c r="AB19" s="7" t="e">
        <f t="shared" si="16"/>
        <v>#VALUE!</v>
      </c>
      <c r="AC19" s="8" t="e">
        <f t="shared" si="17"/>
        <v>#VALUE!</v>
      </c>
      <c r="AD19" s="10" t="e">
        <f t="shared" si="18"/>
        <v>#VALUE!</v>
      </c>
    </row>
    <row r="20" spans="1:30" x14ac:dyDescent="0.25">
      <c r="A20" s="27">
        <v>43267</v>
      </c>
      <c r="B20" s="7" t="str">
        <f>'[3]Production Summary'!$U172</f>
        <v/>
      </c>
      <c r="C20" s="8" t="e">
        <f t="shared" si="0"/>
        <v>#VALUE!</v>
      </c>
      <c r="D20" s="10" t="e">
        <f t="shared" si="1"/>
        <v>#VALUE!</v>
      </c>
      <c r="E20" s="7" t="str">
        <f>'[3]Production Summary'!$O172</f>
        <v/>
      </c>
      <c r="F20" s="8" t="e">
        <f t="shared" si="2"/>
        <v>#VALUE!</v>
      </c>
      <c r="G20" s="10" t="e">
        <f t="shared" si="3"/>
        <v>#VALUE!</v>
      </c>
      <c r="H20" s="7" t="str">
        <f>'[3]Production Summary'!$Q172</f>
        <v/>
      </c>
      <c r="I20" s="8" t="e">
        <f t="shared" si="4"/>
        <v>#VALUE!</v>
      </c>
      <c r="J20" s="10" t="e">
        <f t="shared" si="5"/>
        <v>#VALUE!</v>
      </c>
      <c r="K20" s="7" t="str">
        <f>'[3]Production Summary'!$T172</f>
        <v/>
      </c>
      <c r="L20" s="8" t="e">
        <f t="shared" si="6"/>
        <v>#VALUE!</v>
      </c>
      <c r="M20" s="10" t="e">
        <f t="shared" si="7"/>
        <v>#VALUE!</v>
      </c>
      <c r="N20" s="57"/>
      <c r="O20" s="7" t="str">
        <f>'[3]Production Summary'!$AL172</f>
        <v/>
      </c>
      <c r="P20" s="8" t="e">
        <f t="shared" si="8"/>
        <v>#VALUE!</v>
      </c>
      <c r="Q20" s="10" t="e">
        <f t="shared" si="9"/>
        <v>#VALUE!</v>
      </c>
      <c r="R20" s="7" t="str">
        <f>'[3]Production Summary'!$AI172</f>
        <v/>
      </c>
      <c r="S20" s="8" t="e">
        <f t="shared" si="10"/>
        <v>#VALUE!</v>
      </c>
      <c r="T20" s="10" t="e">
        <f t="shared" si="11"/>
        <v>#VALUE!</v>
      </c>
      <c r="U20" s="7" t="str">
        <f>'[3]Production Summary'!$AF172</f>
        <v/>
      </c>
      <c r="V20" s="8" t="e">
        <f t="shared" si="12"/>
        <v>#VALUE!</v>
      </c>
      <c r="W20" s="10" t="e">
        <f t="shared" si="13"/>
        <v>#VALUE!</v>
      </c>
      <c r="X20" s="7" t="str">
        <f>'[3]Production Summary'!$AJ172</f>
        <v/>
      </c>
      <c r="Y20" s="8" t="e">
        <f t="shared" si="14"/>
        <v>#VALUE!</v>
      </c>
      <c r="Z20" s="10" t="e">
        <f t="shared" si="15"/>
        <v>#VALUE!</v>
      </c>
      <c r="AA20" s="15"/>
      <c r="AB20" s="7" t="e">
        <f t="shared" si="16"/>
        <v>#VALUE!</v>
      </c>
      <c r="AC20" s="8" t="e">
        <f t="shared" si="17"/>
        <v>#VALUE!</v>
      </c>
      <c r="AD20" s="10" t="e">
        <f t="shared" si="18"/>
        <v>#VALUE!</v>
      </c>
    </row>
    <row r="21" spans="1:30" x14ac:dyDescent="0.25">
      <c r="A21" s="27">
        <v>43268</v>
      </c>
      <c r="B21" s="7" t="str">
        <f>'[3]Production Summary'!$U173</f>
        <v/>
      </c>
      <c r="C21" s="8" t="e">
        <f t="shared" si="0"/>
        <v>#VALUE!</v>
      </c>
      <c r="D21" s="10" t="e">
        <f t="shared" si="1"/>
        <v>#VALUE!</v>
      </c>
      <c r="E21" s="7" t="str">
        <f>'[3]Production Summary'!$O173</f>
        <v/>
      </c>
      <c r="F21" s="8" t="e">
        <f t="shared" si="2"/>
        <v>#VALUE!</v>
      </c>
      <c r="G21" s="10" t="e">
        <f t="shared" si="3"/>
        <v>#VALUE!</v>
      </c>
      <c r="H21" s="7" t="str">
        <f>'[3]Production Summary'!$Q173</f>
        <v/>
      </c>
      <c r="I21" s="8" t="e">
        <f t="shared" si="4"/>
        <v>#VALUE!</v>
      </c>
      <c r="J21" s="10" t="e">
        <f t="shared" si="5"/>
        <v>#VALUE!</v>
      </c>
      <c r="K21" s="7" t="str">
        <f>'[3]Production Summary'!$T173</f>
        <v/>
      </c>
      <c r="L21" s="8" t="e">
        <f t="shared" si="6"/>
        <v>#VALUE!</v>
      </c>
      <c r="M21" s="10" t="e">
        <f t="shared" si="7"/>
        <v>#VALUE!</v>
      </c>
      <c r="N21" s="57"/>
      <c r="O21" s="7" t="str">
        <f>'[3]Production Summary'!$AL173</f>
        <v/>
      </c>
      <c r="P21" s="8" t="e">
        <f t="shared" si="8"/>
        <v>#VALUE!</v>
      </c>
      <c r="Q21" s="10" t="e">
        <f t="shared" si="9"/>
        <v>#VALUE!</v>
      </c>
      <c r="R21" s="7" t="str">
        <f>'[3]Production Summary'!$AI173</f>
        <v/>
      </c>
      <c r="S21" s="8" t="e">
        <f t="shared" si="10"/>
        <v>#VALUE!</v>
      </c>
      <c r="T21" s="10" t="e">
        <f t="shared" si="11"/>
        <v>#VALUE!</v>
      </c>
      <c r="U21" s="7" t="str">
        <f>'[3]Production Summary'!$AF173</f>
        <v/>
      </c>
      <c r="V21" s="8" t="e">
        <f t="shared" si="12"/>
        <v>#VALUE!</v>
      </c>
      <c r="W21" s="10" t="e">
        <f t="shared" si="13"/>
        <v>#VALUE!</v>
      </c>
      <c r="X21" s="7" t="str">
        <f>'[3]Production Summary'!$AJ173</f>
        <v/>
      </c>
      <c r="Y21" s="8" t="e">
        <f t="shared" si="14"/>
        <v>#VALUE!</v>
      </c>
      <c r="Z21" s="10" t="e">
        <f t="shared" si="15"/>
        <v>#VALUE!</v>
      </c>
      <c r="AA21" s="15"/>
      <c r="AB21" s="7" t="e">
        <f t="shared" si="16"/>
        <v>#VALUE!</v>
      </c>
      <c r="AC21" s="8" t="e">
        <f t="shared" si="17"/>
        <v>#VALUE!</v>
      </c>
      <c r="AD21" s="10" t="e">
        <f t="shared" si="18"/>
        <v>#VALUE!</v>
      </c>
    </row>
    <row r="22" spans="1:30" x14ac:dyDescent="0.25">
      <c r="A22" s="27">
        <v>43269</v>
      </c>
      <c r="B22" s="7" t="str">
        <f>'[3]Production Summary'!$U174</f>
        <v/>
      </c>
      <c r="C22" s="8" t="e">
        <f t="shared" si="0"/>
        <v>#VALUE!</v>
      </c>
      <c r="D22" s="10" t="e">
        <f t="shared" si="1"/>
        <v>#VALUE!</v>
      </c>
      <c r="E22" s="7" t="str">
        <f>'[3]Production Summary'!$O174</f>
        <v/>
      </c>
      <c r="F22" s="8" t="e">
        <f t="shared" si="2"/>
        <v>#VALUE!</v>
      </c>
      <c r="G22" s="10" t="e">
        <f t="shared" si="3"/>
        <v>#VALUE!</v>
      </c>
      <c r="H22" s="7" t="str">
        <f>'[3]Production Summary'!$Q174</f>
        <v/>
      </c>
      <c r="I22" s="8" t="e">
        <f t="shared" si="4"/>
        <v>#VALUE!</v>
      </c>
      <c r="J22" s="10" t="e">
        <f t="shared" si="5"/>
        <v>#VALUE!</v>
      </c>
      <c r="K22" s="7" t="str">
        <f>'[3]Production Summary'!$T174</f>
        <v/>
      </c>
      <c r="L22" s="8" t="e">
        <f t="shared" si="6"/>
        <v>#VALUE!</v>
      </c>
      <c r="M22" s="10" t="e">
        <f t="shared" si="7"/>
        <v>#VALUE!</v>
      </c>
      <c r="N22" s="57"/>
      <c r="O22" s="7" t="str">
        <f>'[3]Production Summary'!$AL174</f>
        <v/>
      </c>
      <c r="P22" s="8" t="e">
        <f t="shared" si="8"/>
        <v>#VALUE!</v>
      </c>
      <c r="Q22" s="10" t="e">
        <f t="shared" si="9"/>
        <v>#VALUE!</v>
      </c>
      <c r="R22" s="7" t="str">
        <f>'[3]Production Summary'!$AI174</f>
        <v/>
      </c>
      <c r="S22" s="8" t="e">
        <f t="shared" si="10"/>
        <v>#VALUE!</v>
      </c>
      <c r="T22" s="10" t="e">
        <f t="shared" si="11"/>
        <v>#VALUE!</v>
      </c>
      <c r="U22" s="7" t="str">
        <f>'[3]Production Summary'!$AF174</f>
        <v/>
      </c>
      <c r="V22" s="8" t="e">
        <f t="shared" si="12"/>
        <v>#VALUE!</v>
      </c>
      <c r="W22" s="10" t="e">
        <f t="shared" si="13"/>
        <v>#VALUE!</v>
      </c>
      <c r="X22" s="7" t="str">
        <f>'[3]Production Summary'!$AJ174</f>
        <v/>
      </c>
      <c r="Y22" s="8" t="e">
        <f t="shared" si="14"/>
        <v>#VALUE!</v>
      </c>
      <c r="Z22" s="10" t="e">
        <f t="shared" si="15"/>
        <v>#VALUE!</v>
      </c>
      <c r="AA22" s="15"/>
      <c r="AB22" s="7" t="e">
        <f t="shared" si="16"/>
        <v>#VALUE!</v>
      </c>
      <c r="AC22" s="8" t="e">
        <f t="shared" si="17"/>
        <v>#VALUE!</v>
      </c>
      <c r="AD22" s="10" t="e">
        <f t="shared" si="18"/>
        <v>#VALUE!</v>
      </c>
    </row>
    <row r="23" spans="1:30" x14ac:dyDescent="0.25">
      <c r="A23" s="27">
        <v>43270</v>
      </c>
      <c r="B23" s="7" t="str">
        <f>'[3]Production Summary'!$U175</f>
        <v/>
      </c>
      <c r="C23" s="8" t="e">
        <f t="shared" si="0"/>
        <v>#VALUE!</v>
      </c>
      <c r="D23" s="10" t="e">
        <f t="shared" si="1"/>
        <v>#VALUE!</v>
      </c>
      <c r="E23" s="7" t="str">
        <f>'[3]Production Summary'!$O175</f>
        <v/>
      </c>
      <c r="F23" s="8" t="e">
        <f t="shared" si="2"/>
        <v>#VALUE!</v>
      </c>
      <c r="G23" s="10" t="e">
        <f t="shared" si="3"/>
        <v>#VALUE!</v>
      </c>
      <c r="H23" s="7" t="str">
        <f>'[3]Production Summary'!$Q175</f>
        <v/>
      </c>
      <c r="I23" s="8" t="e">
        <f t="shared" si="4"/>
        <v>#VALUE!</v>
      </c>
      <c r="J23" s="10" t="e">
        <f t="shared" si="5"/>
        <v>#VALUE!</v>
      </c>
      <c r="K23" s="7" t="str">
        <f>'[3]Production Summary'!$T175</f>
        <v/>
      </c>
      <c r="L23" s="8" t="e">
        <f t="shared" si="6"/>
        <v>#VALUE!</v>
      </c>
      <c r="M23" s="10" t="e">
        <f t="shared" si="7"/>
        <v>#VALUE!</v>
      </c>
      <c r="N23" s="57"/>
      <c r="O23" s="7" t="str">
        <f>'[3]Production Summary'!$AL175</f>
        <v/>
      </c>
      <c r="P23" s="8" t="e">
        <f t="shared" si="8"/>
        <v>#VALUE!</v>
      </c>
      <c r="Q23" s="10" t="e">
        <f t="shared" si="9"/>
        <v>#VALUE!</v>
      </c>
      <c r="R23" s="7" t="str">
        <f>'[3]Production Summary'!$AI175</f>
        <v/>
      </c>
      <c r="S23" s="8" t="e">
        <f t="shared" si="10"/>
        <v>#VALUE!</v>
      </c>
      <c r="T23" s="10" t="e">
        <f t="shared" si="11"/>
        <v>#VALUE!</v>
      </c>
      <c r="U23" s="7" t="str">
        <f>'[3]Production Summary'!$AF175</f>
        <v/>
      </c>
      <c r="V23" s="8" t="e">
        <f t="shared" si="12"/>
        <v>#VALUE!</v>
      </c>
      <c r="W23" s="10" t="e">
        <f t="shared" si="13"/>
        <v>#VALUE!</v>
      </c>
      <c r="X23" s="7" t="str">
        <f>'[3]Production Summary'!$AJ175</f>
        <v/>
      </c>
      <c r="Y23" s="8" t="e">
        <f t="shared" si="14"/>
        <v>#VALUE!</v>
      </c>
      <c r="Z23" s="10" t="e">
        <f t="shared" si="15"/>
        <v>#VALUE!</v>
      </c>
      <c r="AA23" s="15"/>
      <c r="AB23" s="7" t="e">
        <f t="shared" si="16"/>
        <v>#VALUE!</v>
      </c>
      <c r="AC23" s="8" t="e">
        <f t="shared" si="17"/>
        <v>#VALUE!</v>
      </c>
      <c r="AD23" s="10" t="e">
        <f t="shared" si="18"/>
        <v>#VALUE!</v>
      </c>
    </row>
    <row r="24" spans="1:30" x14ac:dyDescent="0.25">
      <c r="A24" s="27">
        <v>43271</v>
      </c>
      <c r="B24" s="7" t="str">
        <f>'[3]Production Summary'!$U176</f>
        <v/>
      </c>
      <c r="C24" s="8" t="e">
        <f t="shared" si="0"/>
        <v>#VALUE!</v>
      </c>
      <c r="D24" s="10" t="e">
        <f t="shared" si="1"/>
        <v>#VALUE!</v>
      </c>
      <c r="E24" s="7" t="str">
        <f>'[3]Production Summary'!$O176</f>
        <v/>
      </c>
      <c r="F24" s="8" t="e">
        <f t="shared" si="2"/>
        <v>#VALUE!</v>
      </c>
      <c r="G24" s="10" t="e">
        <f t="shared" si="3"/>
        <v>#VALUE!</v>
      </c>
      <c r="H24" s="7" t="str">
        <f>'[3]Production Summary'!$Q176</f>
        <v/>
      </c>
      <c r="I24" s="8" t="e">
        <f t="shared" si="4"/>
        <v>#VALUE!</v>
      </c>
      <c r="J24" s="10" t="e">
        <f t="shared" si="5"/>
        <v>#VALUE!</v>
      </c>
      <c r="K24" s="7" t="str">
        <f>'[3]Production Summary'!$T176</f>
        <v/>
      </c>
      <c r="L24" s="8" t="e">
        <f t="shared" si="6"/>
        <v>#VALUE!</v>
      </c>
      <c r="M24" s="10" t="e">
        <f t="shared" si="7"/>
        <v>#VALUE!</v>
      </c>
      <c r="N24" s="57"/>
      <c r="O24" s="7" t="str">
        <f>'[3]Production Summary'!$AL176</f>
        <v/>
      </c>
      <c r="P24" s="8" t="e">
        <f t="shared" si="8"/>
        <v>#VALUE!</v>
      </c>
      <c r="Q24" s="10" t="e">
        <f t="shared" si="9"/>
        <v>#VALUE!</v>
      </c>
      <c r="R24" s="7" t="str">
        <f>'[3]Production Summary'!$AI176</f>
        <v/>
      </c>
      <c r="S24" s="8" t="e">
        <f t="shared" si="10"/>
        <v>#VALUE!</v>
      </c>
      <c r="T24" s="10" t="e">
        <f t="shared" si="11"/>
        <v>#VALUE!</v>
      </c>
      <c r="U24" s="7" t="str">
        <f>'[3]Production Summary'!$AF176</f>
        <v/>
      </c>
      <c r="V24" s="8" t="e">
        <f t="shared" si="12"/>
        <v>#VALUE!</v>
      </c>
      <c r="W24" s="10" t="e">
        <f t="shared" si="13"/>
        <v>#VALUE!</v>
      </c>
      <c r="X24" s="7" t="str">
        <f>'[3]Production Summary'!$AJ176</f>
        <v/>
      </c>
      <c r="Y24" s="8" t="e">
        <f t="shared" si="14"/>
        <v>#VALUE!</v>
      </c>
      <c r="Z24" s="10" t="e">
        <f t="shared" si="15"/>
        <v>#VALUE!</v>
      </c>
      <c r="AA24" s="15"/>
      <c r="AB24" s="7" t="e">
        <f t="shared" si="16"/>
        <v>#VALUE!</v>
      </c>
      <c r="AC24" s="8" t="e">
        <f t="shared" si="17"/>
        <v>#VALUE!</v>
      </c>
      <c r="AD24" s="10" t="e">
        <f t="shared" si="18"/>
        <v>#VALUE!</v>
      </c>
    </row>
    <row r="25" spans="1:30" x14ac:dyDescent="0.25">
      <c r="A25" s="27">
        <v>43272</v>
      </c>
      <c r="B25" s="7" t="str">
        <f>'[3]Production Summary'!$U177</f>
        <v/>
      </c>
      <c r="C25" s="8" t="e">
        <f t="shared" si="0"/>
        <v>#VALUE!</v>
      </c>
      <c r="D25" s="10" t="e">
        <f t="shared" si="1"/>
        <v>#VALUE!</v>
      </c>
      <c r="E25" s="7" t="str">
        <f>'[3]Production Summary'!$O177</f>
        <v/>
      </c>
      <c r="F25" s="8" t="e">
        <f t="shared" si="2"/>
        <v>#VALUE!</v>
      </c>
      <c r="G25" s="10" t="e">
        <f t="shared" si="3"/>
        <v>#VALUE!</v>
      </c>
      <c r="H25" s="7" t="str">
        <f>'[3]Production Summary'!$Q177</f>
        <v/>
      </c>
      <c r="I25" s="8" t="e">
        <f t="shared" si="4"/>
        <v>#VALUE!</v>
      </c>
      <c r="J25" s="10" t="e">
        <f t="shared" si="5"/>
        <v>#VALUE!</v>
      </c>
      <c r="K25" s="7" t="str">
        <f>'[3]Production Summary'!$T177</f>
        <v/>
      </c>
      <c r="L25" s="8" t="e">
        <f t="shared" si="6"/>
        <v>#VALUE!</v>
      </c>
      <c r="M25" s="10" t="e">
        <f t="shared" si="7"/>
        <v>#VALUE!</v>
      </c>
      <c r="N25" s="57"/>
      <c r="O25" s="7" t="str">
        <f>'[3]Production Summary'!$AL177</f>
        <v/>
      </c>
      <c r="P25" s="8" t="e">
        <f t="shared" si="8"/>
        <v>#VALUE!</v>
      </c>
      <c r="Q25" s="10" t="e">
        <f t="shared" si="9"/>
        <v>#VALUE!</v>
      </c>
      <c r="R25" s="7" t="str">
        <f>'[3]Production Summary'!$AI177</f>
        <v/>
      </c>
      <c r="S25" s="8" t="e">
        <f t="shared" si="10"/>
        <v>#VALUE!</v>
      </c>
      <c r="T25" s="10" t="e">
        <f t="shared" si="11"/>
        <v>#VALUE!</v>
      </c>
      <c r="U25" s="7" t="str">
        <f>'[3]Production Summary'!$AF177</f>
        <v/>
      </c>
      <c r="V25" s="8" t="e">
        <f t="shared" si="12"/>
        <v>#VALUE!</v>
      </c>
      <c r="W25" s="10" t="e">
        <f t="shared" si="13"/>
        <v>#VALUE!</v>
      </c>
      <c r="X25" s="7" t="str">
        <f>'[3]Production Summary'!$AJ177</f>
        <v/>
      </c>
      <c r="Y25" s="8" t="e">
        <f t="shared" si="14"/>
        <v>#VALUE!</v>
      </c>
      <c r="Z25" s="10" t="e">
        <f t="shared" si="15"/>
        <v>#VALUE!</v>
      </c>
      <c r="AA25" s="15"/>
      <c r="AB25" s="7" t="e">
        <f t="shared" si="16"/>
        <v>#VALUE!</v>
      </c>
      <c r="AC25" s="8" t="e">
        <f t="shared" si="17"/>
        <v>#VALUE!</v>
      </c>
      <c r="AD25" s="10" t="e">
        <f t="shared" si="18"/>
        <v>#VALUE!</v>
      </c>
    </row>
    <row r="26" spans="1:30" x14ac:dyDescent="0.25">
      <c r="A26" s="27">
        <v>43273</v>
      </c>
      <c r="B26" s="7" t="str">
        <f>'[3]Production Summary'!$U178</f>
        <v/>
      </c>
      <c r="C26" s="8" t="e">
        <f t="shared" si="0"/>
        <v>#VALUE!</v>
      </c>
      <c r="D26" s="10" t="e">
        <f t="shared" si="1"/>
        <v>#VALUE!</v>
      </c>
      <c r="E26" s="7" t="str">
        <f>'[3]Production Summary'!$O178</f>
        <v/>
      </c>
      <c r="F26" s="8" t="e">
        <f t="shared" si="2"/>
        <v>#VALUE!</v>
      </c>
      <c r="G26" s="10" t="e">
        <f t="shared" si="3"/>
        <v>#VALUE!</v>
      </c>
      <c r="H26" s="7" t="str">
        <f>'[3]Production Summary'!$Q178</f>
        <v/>
      </c>
      <c r="I26" s="8" t="e">
        <f t="shared" si="4"/>
        <v>#VALUE!</v>
      </c>
      <c r="J26" s="10" t="e">
        <f t="shared" si="5"/>
        <v>#VALUE!</v>
      </c>
      <c r="K26" s="7" t="str">
        <f>'[3]Production Summary'!$T178</f>
        <v/>
      </c>
      <c r="L26" s="8" t="e">
        <f t="shared" si="6"/>
        <v>#VALUE!</v>
      </c>
      <c r="M26" s="10" t="e">
        <f t="shared" si="7"/>
        <v>#VALUE!</v>
      </c>
      <c r="N26" s="57"/>
      <c r="O26" s="7" t="str">
        <f>'[3]Production Summary'!$AL178</f>
        <v/>
      </c>
      <c r="P26" s="8" t="e">
        <f t="shared" si="8"/>
        <v>#VALUE!</v>
      </c>
      <c r="Q26" s="10" t="e">
        <f t="shared" si="9"/>
        <v>#VALUE!</v>
      </c>
      <c r="R26" s="7" t="str">
        <f>'[3]Production Summary'!$AI178</f>
        <v/>
      </c>
      <c r="S26" s="8" t="e">
        <f t="shared" si="10"/>
        <v>#VALUE!</v>
      </c>
      <c r="T26" s="10" t="e">
        <f t="shared" si="11"/>
        <v>#VALUE!</v>
      </c>
      <c r="U26" s="7" t="str">
        <f>'[3]Production Summary'!$AF178</f>
        <v/>
      </c>
      <c r="V26" s="8" t="e">
        <f t="shared" si="12"/>
        <v>#VALUE!</v>
      </c>
      <c r="W26" s="10" t="e">
        <f t="shared" si="13"/>
        <v>#VALUE!</v>
      </c>
      <c r="X26" s="7" t="str">
        <f>'[3]Production Summary'!$AJ178</f>
        <v/>
      </c>
      <c r="Y26" s="8" t="e">
        <f t="shared" si="14"/>
        <v>#VALUE!</v>
      </c>
      <c r="Z26" s="10" t="e">
        <f t="shared" si="15"/>
        <v>#VALUE!</v>
      </c>
      <c r="AA26" s="15"/>
      <c r="AB26" s="7" t="e">
        <f t="shared" si="16"/>
        <v>#VALUE!</v>
      </c>
      <c r="AC26" s="8" t="e">
        <f t="shared" si="17"/>
        <v>#VALUE!</v>
      </c>
      <c r="AD26" s="10" t="e">
        <f t="shared" si="18"/>
        <v>#VALUE!</v>
      </c>
    </row>
    <row r="27" spans="1:30" x14ac:dyDescent="0.25">
      <c r="A27" s="27">
        <v>43274</v>
      </c>
      <c r="B27" s="7" t="str">
        <f>'[3]Production Summary'!$U179</f>
        <v/>
      </c>
      <c r="C27" s="8" t="e">
        <f t="shared" si="0"/>
        <v>#VALUE!</v>
      </c>
      <c r="D27" s="10" t="e">
        <f t="shared" si="1"/>
        <v>#VALUE!</v>
      </c>
      <c r="E27" s="7" t="str">
        <f>'[3]Production Summary'!$O179</f>
        <v/>
      </c>
      <c r="F27" s="8" t="e">
        <f t="shared" si="2"/>
        <v>#VALUE!</v>
      </c>
      <c r="G27" s="10" t="e">
        <f t="shared" si="3"/>
        <v>#VALUE!</v>
      </c>
      <c r="H27" s="7" t="str">
        <f>'[3]Production Summary'!$Q179</f>
        <v/>
      </c>
      <c r="I27" s="8" t="e">
        <f t="shared" si="4"/>
        <v>#VALUE!</v>
      </c>
      <c r="J27" s="10" t="e">
        <f t="shared" si="5"/>
        <v>#VALUE!</v>
      </c>
      <c r="K27" s="7" t="str">
        <f>'[3]Production Summary'!$T179</f>
        <v/>
      </c>
      <c r="L27" s="8" t="e">
        <f t="shared" si="6"/>
        <v>#VALUE!</v>
      </c>
      <c r="M27" s="10" t="e">
        <f t="shared" si="7"/>
        <v>#VALUE!</v>
      </c>
      <c r="N27" s="57"/>
      <c r="O27" s="7" t="str">
        <f>'[3]Production Summary'!$AL179</f>
        <v/>
      </c>
      <c r="P27" s="8" t="e">
        <f t="shared" si="8"/>
        <v>#VALUE!</v>
      </c>
      <c r="Q27" s="10" t="e">
        <f t="shared" si="9"/>
        <v>#VALUE!</v>
      </c>
      <c r="R27" s="7" t="str">
        <f>'[3]Production Summary'!$AI179</f>
        <v/>
      </c>
      <c r="S27" s="8" t="e">
        <f t="shared" si="10"/>
        <v>#VALUE!</v>
      </c>
      <c r="T27" s="10" t="e">
        <f t="shared" si="11"/>
        <v>#VALUE!</v>
      </c>
      <c r="U27" s="7" t="str">
        <f>'[3]Production Summary'!$AF179</f>
        <v/>
      </c>
      <c r="V27" s="8" t="e">
        <f t="shared" si="12"/>
        <v>#VALUE!</v>
      </c>
      <c r="W27" s="10" t="e">
        <f t="shared" si="13"/>
        <v>#VALUE!</v>
      </c>
      <c r="X27" s="7" t="str">
        <f>'[3]Production Summary'!$AJ179</f>
        <v/>
      </c>
      <c r="Y27" s="8" t="e">
        <f t="shared" si="14"/>
        <v>#VALUE!</v>
      </c>
      <c r="Z27" s="10" t="e">
        <f t="shared" si="15"/>
        <v>#VALUE!</v>
      </c>
      <c r="AA27" s="15"/>
      <c r="AB27" s="7" t="e">
        <f t="shared" si="16"/>
        <v>#VALUE!</v>
      </c>
      <c r="AC27" s="8" t="e">
        <f t="shared" si="17"/>
        <v>#VALUE!</v>
      </c>
      <c r="AD27" s="10" t="e">
        <f t="shared" si="18"/>
        <v>#VALUE!</v>
      </c>
    </row>
    <row r="28" spans="1:30" x14ac:dyDescent="0.25">
      <c r="A28" s="27">
        <v>43275</v>
      </c>
      <c r="B28" s="7" t="str">
        <f>'[3]Production Summary'!$U180</f>
        <v/>
      </c>
      <c r="C28" s="8" t="e">
        <f t="shared" si="0"/>
        <v>#VALUE!</v>
      </c>
      <c r="D28" s="10" t="e">
        <f t="shared" si="1"/>
        <v>#VALUE!</v>
      </c>
      <c r="E28" s="7" t="str">
        <f>'[3]Production Summary'!$O180</f>
        <v/>
      </c>
      <c r="F28" s="8" t="e">
        <f t="shared" si="2"/>
        <v>#VALUE!</v>
      </c>
      <c r="G28" s="10" t="e">
        <f t="shared" si="3"/>
        <v>#VALUE!</v>
      </c>
      <c r="H28" s="7" t="str">
        <f>'[3]Production Summary'!$Q180</f>
        <v/>
      </c>
      <c r="I28" s="8" t="e">
        <f t="shared" si="4"/>
        <v>#VALUE!</v>
      </c>
      <c r="J28" s="10" t="e">
        <f t="shared" si="5"/>
        <v>#VALUE!</v>
      </c>
      <c r="K28" s="7" t="str">
        <f>'[3]Production Summary'!$T180</f>
        <v/>
      </c>
      <c r="L28" s="8" t="e">
        <f t="shared" si="6"/>
        <v>#VALUE!</v>
      </c>
      <c r="M28" s="10" t="e">
        <f t="shared" si="7"/>
        <v>#VALUE!</v>
      </c>
      <c r="N28" s="57"/>
      <c r="O28" s="7" t="str">
        <f>'[3]Production Summary'!$AL180</f>
        <v/>
      </c>
      <c r="P28" s="8" t="e">
        <f t="shared" si="8"/>
        <v>#VALUE!</v>
      </c>
      <c r="Q28" s="10" t="e">
        <f t="shared" si="9"/>
        <v>#VALUE!</v>
      </c>
      <c r="R28" s="7" t="str">
        <f>'[3]Production Summary'!$AI180</f>
        <v/>
      </c>
      <c r="S28" s="8" t="e">
        <f t="shared" si="10"/>
        <v>#VALUE!</v>
      </c>
      <c r="T28" s="10" t="e">
        <f t="shared" si="11"/>
        <v>#VALUE!</v>
      </c>
      <c r="U28" s="7" t="str">
        <f>'[3]Production Summary'!$AF180</f>
        <v/>
      </c>
      <c r="V28" s="8" t="e">
        <f t="shared" si="12"/>
        <v>#VALUE!</v>
      </c>
      <c r="W28" s="10" t="e">
        <f t="shared" si="13"/>
        <v>#VALUE!</v>
      </c>
      <c r="X28" s="7" t="str">
        <f>'[3]Production Summary'!$AJ180</f>
        <v/>
      </c>
      <c r="Y28" s="8" t="e">
        <f t="shared" si="14"/>
        <v>#VALUE!</v>
      </c>
      <c r="Z28" s="10" t="e">
        <f t="shared" si="15"/>
        <v>#VALUE!</v>
      </c>
      <c r="AA28" s="15"/>
      <c r="AB28" s="7" t="e">
        <f t="shared" si="16"/>
        <v>#VALUE!</v>
      </c>
      <c r="AC28" s="8" t="e">
        <f t="shared" si="17"/>
        <v>#VALUE!</v>
      </c>
      <c r="AD28" s="10" t="e">
        <f t="shared" si="18"/>
        <v>#VALUE!</v>
      </c>
    </row>
    <row r="29" spans="1:30" x14ac:dyDescent="0.25">
      <c r="A29" s="27">
        <v>43276</v>
      </c>
      <c r="B29" s="7" t="str">
        <f>'[3]Production Summary'!$U181</f>
        <v/>
      </c>
      <c r="C29" s="8" t="e">
        <f t="shared" si="0"/>
        <v>#VALUE!</v>
      </c>
      <c r="D29" s="10" t="e">
        <f t="shared" si="1"/>
        <v>#VALUE!</v>
      </c>
      <c r="E29" s="7" t="str">
        <f>'[3]Production Summary'!$O181</f>
        <v/>
      </c>
      <c r="F29" s="8" t="e">
        <f t="shared" si="2"/>
        <v>#VALUE!</v>
      </c>
      <c r="G29" s="10" t="e">
        <f t="shared" si="3"/>
        <v>#VALUE!</v>
      </c>
      <c r="H29" s="7" t="str">
        <f>'[3]Production Summary'!$Q181</f>
        <v/>
      </c>
      <c r="I29" s="8" t="e">
        <f t="shared" si="4"/>
        <v>#VALUE!</v>
      </c>
      <c r="J29" s="10" t="e">
        <f t="shared" si="5"/>
        <v>#VALUE!</v>
      </c>
      <c r="K29" s="7" t="str">
        <f>'[3]Production Summary'!$T181</f>
        <v/>
      </c>
      <c r="L29" s="8" t="e">
        <f t="shared" si="6"/>
        <v>#VALUE!</v>
      </c>
      <c r="M29" s="10" t="e">
        <f t="shared" si="7"/>
        <v>#VALUE!</v>
      </c>
      <c r="N29" s="57"/>
      <c r="O29" s="7" t="str">
        <f>'[3]Production Summary'!$AL181</f>
        <v/>
      </c>
      <c r="P29" s="8" t="e">
        <f t="shared" si="8"/>
        <v>#VALUE!</v>
      </c>
      <c r="Q29" s="10" t="e">
        <f t="shared" si="9"/>
        <v>#VALUE!</v>
      </c>
      <c r="R29" s="7" t="str">
        <f>'[3]Production Summary'!$AI181</f>
        <v/>
      </c>
      <c r="S29" s="8" t="e">
        <f t="shared" si="10"/>
        <v>#VALUE!</v>
      </c>
      <c r="T29" s="10" t="e">
        <f t="shared" si="11"/>
        <v>#VALUE!</v>
      </c>
      <c r="U29" s="7" t="str">
        <f>'[3]Production Summary'!$AF181</f>
        <v/>
      </c>
      <c r="V29" s="8" t="e">
        <f t="shared" si="12"/>
        <v>#VALUE!</v>
      </c>
      <c r="W29" s="10" t="e">
        <f t="shared" si="13"/>
        <v>#VALUE!</v>
      </c>
      <c r="X29" s="7" t="str">
        <f>'[3]Production Summary'!$AJ181</f>
        <v/>
      </c>
      <c r="Y29" s="8" t="e">
        <f t="shared" si="14"/>
        <v>#VALUE!</v>
      </c>
      <c r="Z29" s="10" t="e">
        <f t="shared" si="15"/>
        <v>#VALUE!</v>
      </c>
      <c r="AA29" s="15"/>
      <c r="AB29" s="7" t="e">
        <f t="shared" si="16"/>
        <v>#VALUE!</v>
      </c>
      <c r="AC29" s="8" t="e">
        <f t="shared" si="17"/>
        <v>#VALUE!</v>
      </c>
      <c r="AD29" s="10" t="e">
        <f t="shared" si="18"/>
        <v>#VALUE!</v>
      </c>
    </row>
    <row r="30" spans="1:30" x14ac:dyDescent="0.25">
      <c r="A30" s="27">
        <v>43277</v>
      </c>
      <c r="B30" s="7" t="str">
        <f>'[3]Production Summary'!$U182</f>
        <v/>
      </c>
      <c r="C30" s="8" t="e">
        <f t="shared" si="0"/>
        <v>#VALUE!</v>
      </c>
      <c r="D30" s="10" t="e">
        <f t="shared" si="1"/>
        <v>#VALUE!</v>
      </c>
      <c r="E30" s="7" t="str">
        <f>'[3]Production Summary'!$O182</f>
        <v/>
      </c>
      <c r="F30" s="8" t="e">
        <f t="shared" si="2"/>
        <v>#VALUE!</v>
      </c>
      <c r="G30" s="10" t="e">
        <f t="shared" si="3"/>
        <v>#VALUE!</v>
      </c>
      <c r="H30" s="7" t="str">
        <f>'[3]Production Summary'!$Q182</f>
        <v/>
      </c>
      <c r="I30" s="8" t="e">
        <f t="shared" si="4"/>
        <v>#VALUE!</v>
      </c>
      <c r="J30" s="10" t="e">
        <f t="shared" si="5"/>
        <v>#VALUE!</v>
      </c>
      <c r="K30" s="7" t="str">
        <f>'[3]Production Summary'!$T182</f>
        <v/>
      </c>
      <c r="L30" s="8" t="e">
        <f t="shared" si="6"/>
        <v>#VALUE!</v>
      </c>
      <c r="M30" s="10" t="e">
        <f t="shared" si="7"/>
        <v>#VALUE!</v>
      </c>
      <c r="N30" s="57"/>
      <c r="O30" s="7" t="str">
        <f>'[3]Production Summary'!$AL182</f>
        <v/>
      </c>
      <c r="P30" s="8" t="e">
        <f t="shared" si="8"/>
        <v>#VALUE!</v>
      </c>
      <c r="Q30" s="10" t="e">
        <f t="shared" si="9"/>
        <v>#VALUE!</v>
      </c>
      <c r="R30" s="7" t="str">
        <f>'[3]Production Summary'!$AI182</f>
        <v/>
      </c>
      <c r="S30" s="8" t="e">
        <f t="shared" si="10"/>
        <v>#VALUE!</v>
      </c>
      <c r="T30" s="10" t="e">
        <f t="shared" si="11"/>
        <v>#VALUE!</v>
      </c>
      <c r="U30" s="7" t="str">
        <f>'[3]Production Summary'!$AF182</f>
        <v/>
      </c>
      <c r="V30" s="8" t="e">
        <f t="shared" si="12"/>
        <v>#VALUE!</v>
      </c>
      <c r="W30" s="10" t="e">
        <f t="shared" si="13"/>
        <v>#VALUE!</v>
      </c>
      <c r="X30" s="7" t="str">
        <f>'[3]Production Summary'!$AJ182</f>
        <v/>
      </c>
      <c r="Y30" s="8" t="e">
        <f t="shared" si="14"/>
        <v>#VALUE!</v>
      </c>
      <c r="Z30" s="10" t="e">
        <f t="shared" si="15"/>
        <v>#VALUE!</v>
      </c>
      <c r="AA30" s="15"/>
      <c r="AB30" s="7" t="e">
        <f t="shared" si="16"/>
        <v>#VALUE!</v>
      </c>
      <c r="AC30" s="8" t="e">
        <f t="shared" si="17"/>
        <v>#VALUE!</v>
      </c>
      <c r="AD30" s="10" t="e">
        <f t="shared" si="18"/>
        <v>#VALUE!</v>
      </c>
    </row>
    <row r="31" spans="1:30" x14ac:dyDescent="0.25">
      <c r="A31" s="27">
        <v>43278</v>
      </c>
      <c r="B31" s="7" t="str">
        <f>'[3]Production Summary'!$U183</f>
        <v/>
      </c>
      <c r="C31" s="8" t="e">
        <f t="shared" si="0"/>
        <v>#VALUE!</v>
      </c>
      <c r="D31" s="10" t="e">
        <f t="shared" si="1"/>
        <v>#VALUE!</v>
      </c>
      <c r="E31" s="7" t="str">
        <f>'[3]Production Summary'!$O183</f>
        <v/>
      </c>
      <c r="F31" s="8" t="e">
        <f t="shared" si="2"/>
        <v>#VALUE!</v>
      </c>
      <c r="G31" s="10" t="e">
        <f t="shared" si="3"/>
        <v>#VALUE!</v>
      </c>
      <c r="H31" s="7" t="str">
        <f>'[3]Production Summary'!$Q183</f>
        <v/>
      </c>
      <c r="I31" s="8" t="e">
        <f t="shared" si="4"/>
        <v>#VALUE!</v>
      </c>
      <c r="J31" s="10" t="e">
        <f t="shared" si="5"/>
        <v>#VALUE!</v>
      </c>
      <c r="K31" s="7" t="str">
        <f>'[3]Production Summary'!$T183</f>
        <v/>
      </c>
      <c r="L31" s="8" t="e">
        <f t="shared" si="6"/>
        <v>#VALUE!</v>
      </c>
      <c r="M31" s="10" t="e">
        <f t="shared" si="7"/>
        <v>#VALUE!</v>
      </c>
      <c r="N31" s="57"/>
      <c r="O31" s="7" t="str">
        <f>'[3]Production Summary'!$AL183</f>
        <v/>
      </c>
      <c r="P31" s="8" t="e">
        <f t="shared" si="8"/>
        <v>#VALUE!</v>
      </c>
      <c r="Q31" s="10" t="e">
        <f t="shared" si="9"/>
        <v>#VALUE!</v>
      </c>
      <c r="R31" s="7" t="str">
        <f>'[3]Production Summary'!$AI183</f>
        <v/>
      </c>
      <c r="S31" s="8" t="e">
        <f t="shared" si="10"/>
        <v>#VALUE!</v>
      </c>
      <c r="T31" s="10" t="e">
        <f t="shared" si="11"/>
        <v>#VALUE!</v>
      </c>
      <c r="U31" s="7" t="str">
        <f>'[3]Production Summary'!$AF183</f>
        <v/>
      </c>
      <c r="V31" s="8" t="e">
        <f t="shared" si="12"/>
        <v>#VALUE!</v>
      </c>
      <c r="W31" s="10" t="e">
        <f t="shared" si="13"/>
        <v>#VALUE!</v>
      </c>
      <c r="X31" s="7" t="str">
        <f>'[3]Production Summary'!$AJ183</f>
        <v/>
      </c>
      <c r="Y31" s="8" t="e">
        <f t="shared" si="14"/>
        <v>#VALUE!</v>
      </c>
      <c r="Z31" s="10" t="e">
        <f t="shared" si="15"/>
        <v>#VALUE!</v>
      </c>
      <c r="AA31" s="15"/>
      <c r="AB31" s="7" t="e">
        <f t="shared" si="16"/>
        <v>#VALUE!</v>
      </c>
      <c r="AC31" s="8" t="e">
        <f t="shared" si="17"/>
        <v>#VALUE!</v>
      </c>
      <c r="AD31" s="10" t="e">
        <f t="shared" si="18"/>
        <v>#VALUE!</v>
      </c>
    </row>
    <row r="32" spans="1:30" x14ac:dyDescent="0.25">
      <c r="A32" s="27">
        <v>43279</v>
      </c>
      <c r="B32" s="7" t="str">
        <f>'[3]Production Summary'!$U184</f>
        <v/>
      </c>
      <c r="C32" s="8" t="e">
        <f t="shared" si="0"/>
        <v>#VALUE!</v>
      </c>
      <c r="D32" s="10" t="e">
        <f t="shared" si="1"/>
        <v>#VALUE!</v>
      </c>
      <c r="E32" s="7" t="str">
        <f>'[3]Production Summary'!$O184</f>
        <v/>
      </c>
      <c r="F32" s="8" t="e">
        <f t="shared" si="2"/>
        <v>#VALUE!</v>
      </c>
      <c r="G32" s="10" t="e">
        <f t="shared" si="3"/>
        <v>#VALUE!</v>
      </c>
      <c r="H32" s="7" t="str">
        <f>'[3]Production Summary'!$Q184</f>
        <v/>
      </c>
      <c r="I32" s="8" t="e">
        <f t="shared" si="4"/>
        <v>#VALUE!</v>
      </c>
      <c r="J32" s="10" t="e">
        <f t="shared" si="5"/>
        <v>#VALUE!</v>
      </c>
      <c r="K32" s="7" t="str">
        <f>'[3]Production Summary'!$T184</f>
        <v/>
      </c>
      <c r="L32" s="8" t="e">
        <f t="shared" si="6"/>
        <v>#VALUE!</v>
      </c>
      <c r="M32" s="10" t="e">
        <f t="shared" si="7"/>
        <v>#VALUE!</v>
      </c>
      <c r="N32" s="57"/>
      <c r="O32" s="7" t="str">
        <f>'[3]Production Summary'!$AL184</f>
        <v/>
      </c>
      <c r="P32" s="8" t="e">
        <f t="shared" si="8"/>
        <v>#VALUE!</v>
      </c>
      <c r="Q32" s="10" t="e">
        <f t="shared" si="9"/>
        <v>#VALUE!</v>
      </c>
      <c r="R32" s="7" t="str">
        <f>'[3]Production Summary'!$AI184</f>
        <v/>
      </c>
      <c r="S32" s="8" t="e">
        <f t="shared" si="10"/>
        <v>#VALUE!</v>
      </c>
      <c r="T32" s="10" t="e">
        <f t="shared" si="11"/>
        <v>#VALUE!</v>
      </c>
      <c r="U32" s="7" t="str">
        <f>'[3]Production Summary'!$AF184</f>
        <v/>
      </c>
      <c r="V32" s="8" t="e">
        <f t="shared" si="12"/>
        <v>#VALUE!</v>
      </c>
      <c r="W32" s="10" t="e">
        <f t="shared" si="13"/>
        <v>#VALUE!</v>
      </c>
      <c r="X32" s="7" t="str">
        <f>'[3]Production Summary'!$AJ184</f>
        <v/>
      </c>
      <c r="Y32" s="8" t="e">
        <f t="shared" si="14"/>
        <v>#VALUE!</v>
      </c>
      <c r="Z32" s="10" t="e">
        <f t="shared" si="15"/>
        <v>#VALUE!</v>
      </c>
      <c r="AA32" s="15"/>
      <c r="AB32" s="7" t="e">
        <f t="shared" si="16"/>
        <v>#VALUE!</v>
      </c>
      <c r="AC32" s="8" t="e">
        <f t="shared" si="17"/>
        <v>#VALUE!</v>
      </c>
      <c r="AD32" s="10" t="e">
        <f t="shared" si="18"/>
        <v>#VALUE!</v>
      </c>
    </row>
    <row r="33" spans="1:30" x14ac:dyDescent="0.25">
      <c r="A33" s="27">
        <v>43280</v>
      </c>
      <c r="B33" s="7" t="str">
        <f>'[3]Production Summary'!$U185</f>
        <v/>
      </c>
      <c r="C33" s="8" t="e">
        <f t="shared" si="0"/>
        <v>#VALUE!</v>
      </c>
      <c r="D33" s="10" t="e">
        <f t="shared" si="1"/>
        <v>#VALUE!</v>
      </c>
      <c r="E33" s="7" t="str">
        <f>'[3]Production Summary'!$O185</f>
        <v/>
      </c>
      <c r="F33" s="8" t="e">
        <f t="shared" si="2"/>
        <v>#VALUE!</v>
      </c>
      <c r="G33" s="10" t="e">
        <f t="shared" si="3"/>
        <v>#VALUE!</v>
      </c>
      <c r="H33" s="7" t="str">
        <f>'[3]Production Summary'!$Q185</f>
        <v/>
      </c>
      <c r="I33" s="8" t="e">
        <f t="shared" si="4"/>
        <v>#VALUE!</v>
      </c>
      <c r="J33" s="10" t="e">
        <f t="shared" si="5"/>
        <v>#VALUE!</v>
      </c>
      <c r="K33" s="7" t="str">
        <f>'[3]Production Summary'!$T185</f>
        <v/>
      </c>
      <c r="L33" s="8" t="e">
        <f t="shared" si="6"/>
        <v>#VALUE!</v>
      </c>
      <c r="M33" s="10" t="e">
        <f t="shared" si="7"/>
        <v>#VALUE!</v>
      </c>
      <c r="N33" s="57"/>
      <c r="O33" s="7" t="str">
        <f>'[3]Production Summary'!$AL185</f>
        <v/>
      </c>
      <c r="P33" s="8" t="e">
        <f t="shared" si="8"/>
        <v>#VALUE!</v>
      </c>
      <c r="Q33" s="10" t="e">
        <f t="shared" si="9"/>
        <v>#VALUE!</v>
      </c>
      <c r="R33" s="7" t="str">
        <f>'[3]Production Summary'!$AI185</f>
        <v/>
      </c>
      <c r="S33" s="8" t="e">
        <f t="shared" si="10"/>
        <v>#VALUE!</v>
      </c>
      <c r="T33" s="10" t="e">
        <f t="shared" si="11"/>
        <v>#VALUE!</v>
      </c>
      <c r="U33" s="7" t="str">
        <f>'[3]Production Summary'!$AF185</f>
        <v/>
      </c>
      <c r="V33" s="8" t="e">
        <f t="shared" si="12"/>
        <v>#VALUE!</v>
      </c>
      <c r="W33" s="10" t="e">
        <f t="shared" si="13"/>
        <v>#VALUE!</v>
      </c>
      <c r="X33" s="7" t="str">
        <f>'[3]Production Summary'!$AJ185</f>
        <v/>
      </c>
      <c r="Y33" s="8" t="e">
        <f t="shared" si="14"/>
        <v>#VALUE!</v>
      </c>
      <c r="Z33" s="10" t="e">
        <f t="shared" si="15"/>
        <v>#VALUE!</v>
      </c>
      <c r="AA33" s="15"/>
      <c r="AB33" s="7" t="e">
        <f t="shared" si="16"/>
        <v>#VALUE!</v>
      </c>
      <c r="AC33" s="8" t="e">
        <f t="shared" si="17"/>
        <v>#VALUE!</v>
      </c>
      <c r="AD33" s="10" t="e">
        <f t="shared" si="18"/>
        <v>#VALUE!</v>
      </c>
    </row>
    <row r="34" spans="1:30" ht="13.8" thickBot="1" x14ac:dyDescent="0.3">
      <c r="A34" s="27">
        <v>43281</v>
      </c>
      <c r="B34" s="7" t="str">
        <f>'[3]Production Summary'!$U186</f>
        <v/>
      </c>
      <c r="C34" s="8" t="e">
        <f t="shared" si="0"/>
        <v>#VALUE!</v>
      </c>
      <c r="D34" s="10" t="e">
        <f t="shared" si="1"/>
        <v>#VALUE!</v>
      </c>
      <c r="E34" s="7" t="str">
        <f>'[3]Production Summary'!$O186</f>
        <v/>
      </c>
      <c r="F34" s="8" t="e">
        <f t="shared" si="2"/>
        <v>#VALUE!</v>
      </c>
      <c r="G34" s="10" t="e">
        <f t="shared" si="3"/>
        <v>#VALUE!</v>
      </c>
      <c r="H34" s="7" t="str">
        <f>'[3]Production Summary'!$Q186</f>
        <v/>
      </c>
      <c r="I34" s="8" t="e">
        <f t="shared" si="4"/>
        <v>#VALUE!</v>
      </c>
      <c r="J34" s="10" t="e">
        <f t="shared" si="5"/>
        <v>#VALUE!</v>
      </c>
      <c r="K34" s="7" t="str">
        <f>'[3]Production Summary'!$T186</f>
        <v/>
      </c>
      <c r="L34" s="8" t="e">
        <f t="shared" si="6"/>
        <v>#VALUE!</v>
      </c>
      <c r="M34" s="10" t="e">
        <f t="shared" si="7"/>
        <v>#VALUE!</v>
      </c>
      <c r="N34" s="57"/>
      <c r="O34" s="7" t="str">
        <f>'[3]Production Summary'!$AL186</f>
        <v/>
      </c>
      <c r="P34" s="8" t="e">
        <f t="shared" si="8"/>
        <v>#VALUE!</v>
      </c>
      <c r="Q34" s="10" t="e">
        <f t="shared" si="9"/>
        <v>#VALUE!</v>
      </c>
      <c r="R34" s="7" t="str">
        <f>'[3]Production Summary'!$AI186</f>
        <v/>
      </c>
      <c r="S34" s="8" t="e">
        <f t="shared" si="10"/>
        <v>#VALUE!</v>
      </c>
      <c r="T34" s="10" t="e">
        <f t="shared" si="11"/>
        <v>#VALUE!</v>
      </c>
      <c r="U34" s="7" t="str">
        <f>'[3]Production Summary'!$AF186</f>
        <v/>
      </c>
      <c r="V34" s="8" t="e">
        <f t="shared" si="12"/>
        <v>#VALUE!</v>
      </c>
      <c r="W34" s="10" t="e">
        <f t="shared" si="13"/>
        <v>#VALUE!</v>
      </c>
      <c r="X34" s="7" t="str">
        <f>'[3]Production Summary'!$AJ186</f>
        <v/>
      </c>
      <c r="Y34" s="8" t="e">
        <f t="shared" si="14"/>
        <v>#VALUE!</v>
      </c>
      <c r="Z34" s="10" t="e">
        <f t="shared" si="15"/>
        <v>#VALUE!</v>
      </c>
      <c r="AA34" s="15"/>
      <c r="AB34" s="7" t="e">
        <f t="shared" si="16"/>
        <v>#VALUE!</v>
      </c>
      <c r="AC34" s="8" t="e">
        <f t="shared" si="17"/>
        <v>#VALUE!</v>
      </c>
      <c r="AD34" s="10" t="e">
        <f t="shared" si="18"/>
        <v>#VALUE!</v>
      </c>
    </row>
    <row r="35" spans="1:30" ht="13.8" thickBot="1" x14ac:dyDescent="0.3">
      <c r="A35" s="3"/>
      <c r="B35" s="37"/>
      <c r="C35" s="38" t="e">
        <f>SUM(C5:C34)</f>
        <v>#VALUE!</v>
      </c>
      <c r="D35" s="38" t="e">
        <f t="shared" ref="D35" si="19">C35*3.07</f>
        <v>#VALUE!</v>
      </c>
      <c r="E35" s="37"/>
      <c r="F35" s="38" t="e">
        <f>SUM(F5:F34)</f>
        <v>#VALUE!</v>
      </c>
      <c r="G35" s="38" t="e">
        <f t="shared" ref="G35" si="20">F35*3.07</f>
        <v>#VALUE!</v>
      </c>
      <c r="H35" s="37"/>
      <c r="I35" s="38" t="e">
        <f>SUM(I5:I34)</f>
        <v>#VALUE!</v>
      </c>
      <c r="J35" s="38" t="e">
        <f t="shared" ref="J35" si="21">I35*3.07</f>
        <v>#VALUE!</v>
      </c>
      <c r="K35" s="37"/>
      <c r="L35" s="38" t="e">
        <f>SUM(L5:L34)</f>
        <v>#VALUE!</v>
      </c>
      <c r="M35" s="38" t="e">
        <f t="shared" ref="M35" si="22">L35*3.07</f>
        <v>#VALUE!</v>
      </c>
      <c r="N35" s="14"/>
      <c r="O35" s="37"/>
      <c r="P35" s="38" t="e">
        <f>SUM(P5:P34)</f>
        <v>#VALUE!</v>
      </c>
      <c r="Q35" s="38" t="e">
        <f t="shared" ref="Q35" si="23">P35*3.07</f>
        <v>#VALUE!</v>
      </c>
      <c r="R35" s="37"/>
      <c r="S35" s="38" t="e">
        <f>SUM(S5:S34)</f>
        <v>#VALUE!</v>
      </c>
      <c r="T35" s="38" t="e">
        <f t="shared" ref="T35" si="24">S35*3.07</f>
        <v>#VALUE!</v>
      </c>
      <c r="U35" s="37"/>
      <c r="V35" s="38" t="e">
        <f>SUM(V5:V34)</f>
        <v>#VALUE!</v>
      </c>
      <c r="W35" s="38" t="e">
        <f t="shared" ref="W35" si="25">V35*3.07</f>
        <v>#VALUE!</v>
      </c>
      <c r="X35" s="37"/>
      <c r="Y35" s="38" t="e">
        <f>SUM(Y5:Y34)</f>
        <v>#VALUE!</v>
      </c>
      <c r="Z35" s="38" t="e">
        <f t="shared" ref="Z35" si="26">Y35*3.07</f>
        <v>#VALUE!</v>
      </c>
      <c r="AA35" s="14"/>
      <c r="AB35" s="37"/>
      <c r="AC35" s="38" t="e">
        <f>SUM(AC5:AC34)</f>
        <v>#VALUE!</v>
      </c>
      <c r="AD35" s="38" t="e">
        <f t="shared" si="18"/>
        <v>#VALUE!</v>
      </c>
    </row>
    <row r="36" spans="1:30" x14ac:dyDescent="0.25">
      <c r="C36" s="18"/>
      <c r="E36" s="3"/>
      <c r="F36" s="3"/>
      <c r="G36" s="3"/>
      <c r="H36" s="3"/>
      <c r="I36" s="3"/>
      <c r="J36" s="3"/>
      <c r="K36" s="14"/>
      <c r="L36" s="3"/>
      <c r="M36" s="3"/>
      <c r="N36" s="14"/>
      <c r="O36" s="3"/>
      <c r="P36" s="3"/>
      <c r="Q36" s="3"/>
      <c r="R36" s="3"/>
      <c r="S36" s="3"/>
      <c r="T36" s="3"/>
      <c r="U36" s="14"/>
      <c r="AB36" s="14"/>
    </row>
    <row r="42" spans="1:30" x14ac:dyDescent="0.25">
      <c r="G42" s="18"/>
    </row>
    <row r="43" spans="1:30" x14ac:dyDescent="0.25">
      <c r="T43" s="18"/>
    </row>
  </sheetData>
  <mergeCells count="9">
    <mergeCell ref="AB3:AD3"/>
    <mergeCell ref="R3:T3"/>
    <mergeCell ref="U3:W3"/>
    <mergeCell ref="X3:Z3"/>
    <mergeCell ref="B3:D3"/>
    <mergeCell ref="E3:G3"/>
    <mergeCell ref="H3:J3"/>
    <mergeCell ref="O3:Q3"/>
    <mergeCell ref="K3:M3"/>
  </mergeCells>
  <phoneticPr fontId="1" type="noConversion"/>
  <pageMargins left="0.75" right="0.75" top="1" bottom="1" header="0.5" footer="0.5"/>
  <pageSetup scale="37" orientation="landscape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1:AE38"/>
  <sheetViews>
    <sheetView workbookViewId="0">
      <pane xSplit="1" ySplit="4" topLeftCell="B5" activePane="bottomRight" state="frozen"/>
      <selection activeCell="J30" sqref="J30:J32"/>
      <selection pane="topRight" activeCell="J30" sqref="J30:J32"/>
      <selection pane="bottomLeft" activeCell="J30" sqref="J30:J32"/>
      <selection pane="bottomRight" activeCell="J57" sqref="J57"/>
    </sheetView>
  </sheetViews>
  <sheetFormatPr defaultRowHeight="13.2" x14ac:dyDescent="0.25"/>
  <cols>
    <col min="2" max="2" width="11.33203125" customWidth="1"/>
    <col min="5" max="5" width="11.33203125" customWidth="1"/>
    <col min="8" max="8" width="13.5546875" customWidth="1"/>
    <col min="9" max="9" width="9.6640625" customWidth="1"/>
    <col min="10" max="10" width="11.5546875" customWidth="1"/>
    <col min="11" max="11" width="13.33203125" bestFit="1" customWidth="1"/>
    <col min="12" max="12" width="11.33203125" customWidth="1"/>
    <col min="14" max="14" width="4.33203125" customWidth="1"/>
    <col min="15" max="15" width="11.33203125" customWidth="1"/>
    <col min="18" max="18" width="11.33203125" customWidth="1"/>
    <col min="21" max="21" width="10.6640625" bestFit="1" customWidth="1"/>
    <col min="22" max="22" width="10.5546875" customWidth="1"/>
    <col min="24" max="24" width="12.5546875" customWidth="1"/>
    <col min="27" max="27" width="4.33203125" customWidth="1"/>
    <col min="28" max="28" width="12.33203125" customWidth="1"/>
  </cols>
  <sheetData>
    <row r="1" spans="1:30" s="3" customFormat="1" x14ac:dyDescent="0.25">
      <c r="A1" s="41"/>
      <c r="B1" s="39"/>
      <c r="C1" s="54" t="s">
        <v>23</v>
      </c>
      <c r="D1" s="25"/>
      <c r="E1" s="25"/>
      <c r="F1" s="25"/>
      <c r="K1" s="14"/>
      <c r="U1" s="14"/>
    </row>
    <row r="2" spans="1:30" s="3" customFormat="1" ht="13.8" thickBot="1" x14ac:dyDescent="0.3">
      <c r="C2" s="24"/>
      <c r="K2" s="14"/>
      <c r="U2" s="14"/>
    </row>
    <row r="3" spans="1:30" s="3" customFormat="1" ht="60.75" customHeight="1" x14ac:dyDescent="0.25">
      <c r="B3" s="68" t="s">
        <v>9</v>
      </c>
      <c r="C3" s="69"/>
      <c r="D3" s="70"/>
      <c r="E3" s="68" t="s">
        <v>10</v>
      </c>
      <c r="F3" s="69"/>
      <c r="G3" s="70"/>
      <c r="H3" s="68" t="s">
        <v>11</v>
      </c>
      <c r="I3" s="69"/>
      <c r="J3" s="70"/>
      <c r="K3" s="68" t="s">
        <v>12</v>
      </c>
      <c r="L3" s="69"/>
      <c r="M3" s="70"/>
      <c r="N3" s="19"/>
      <c r="O3" s="68" t="s">
        <v>4</v>
      </c>
      <c r="P3" s="69"/>
      <c r="Q3" s="70"/>
      <c r="R3" s="68" t="s">
        <v>3</v>
      </c>
      <c r="S3" s="69"/>
      <c r="T3" s="70"/>
      <c r="U3" s="68" t="s">
        <v>13</v>
      </c>
      <c r="V3" s="69"/>
      <c r="W3" s="70"/>
      <c r="X3" s="68" t="s">
        <v>6</v>
      </c>
      <c r="Y3" s="69"/>
      <c r="Z3" s="70"/>
      <c r="AA3" s="19"/>
      <c r="AB3" s="68" t="s">
        <v>7</v>
      </c>
      <c r="AC3" s="69"/>
      <c r="AD3" s="70"/>
    </row>
    <row r="4" spans="1:30" x14ac:dyDescent="0.25">
      <c r="A4" s="26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19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19"/>
      <c r="AB4" s="34" t="s">
        <v>0</v>
      </c>
      <c r="AC4" s="35" t="s">
        <v>1</v>
      </c>
      <c r="AD4" s="36" t="s">
        <v>2</v>
      </c>
    </row>
    <row r="5" spans="1:30" x14ac:dyDescent="0.25">
      <c r="A5" s="27">
        <v>43282</v>
      </c>
      <c r="B5" s="7" t="str">
        <f>'[3]Production Summary'!$U187</f>
        <v/>
      </c>
      <c r="C5" s="8" t="e">
        <f>B5/1000000</f>
        <v>#VALUE!</v>
      </c>
      <c r="D5" s="10" t="e">
        <f>C5*3.07</f>
        <v>#VALUE!</v>
      </c>
      <c r="E5" s="7" t="str">
        <f>'[3]Production Summary'!$O187</f>
        <v/>
      </c>
      <c r="F5" s="8" t="e">
        <f>E5/1000000</f>
        <v>#VALUE!</v>
      </c>
      <c r="G5" s="10" t="e">
        <f>F5*3.07</f>
        <v>#VALUE!</v>
      </c>
      <c r="H5" s="7" t="str">
        <f>'[3]Production Summary'!$Q187</f>
        <v/>
      </c>
      <c r="I5" s="8" t="e">
        <f>H5/1000000</f>
        <v>#VALUE!</v>
      </c>
      <c r="J5" s="10" t="e">
        <f>I5*3.07</f>
        <v>#VALUE!</v>
      </c>
      <c r="K5" s="7" t="str">
        <f>'[3]Production Summary'!$T187</f>
        <v/>
      </c>
      <c r="L5" s="8" t="e">
        <f>K5/1000000</f>
        <v>#VALUE!</v>
      </c>
      <c r="M5" s="10" t="e">
        <f>L5*3.07</f>
        <v>#VALUE!</v>
      </c>
      <c r="N5" s="57"/>
      <c r="O5" s="7" t="str">
        <f>'[3]Production Summary'!$AL187</f>
        <v/>
      </c>
      <c r="P5" s="8" t="e">
        <f>O5/1000000</f>
        <v>#VALUE!</v>
      </c>
      <c r="Q5" s="10" t="e">
        <f>P5*3.07</f>
        <v>#VALUE!</v>
      </c>
      <c r="R5" s="7" t="str">
        <f>'[3]Production Summary'!$AI187</f>
        <v/>
      </c>
      <c r="S5" s="8" t="e">
        <f>R5/1000000</f>
        <v>#VALUE!</v>
      </c>
      <c r="T5" s="10" t="e">
        <f>S5*3.07</f>
        <v>#VALUE!</v>
      </c>
      <c r="U5" s="7" t="str">
        <f>'[3]Production Summary'!$AF187</f>
        <v/>
      </c>
      <c r="V5" s="8" t="e">
        <f>U5/1000000</f>
        <v>#VALUE!</v>
      </c>
      <c r="W5" s="10" t="e">
        <f>V5*3.07</f>
        <v>#VALUE!</v>
      </c>
      <c r="X5" s="7" t="str">
        <f>'[3]Production Summary'!$AJ187</f>
        <v/>
      </c>
      <c r="Y5" s="8" t="e">
        <f>X5/1000000</f>
        <v>#VALUE!</v>
      </c>
      <c r="Z5" s="10" t="e">
        <f>Y5*3.07</f>
        <v>#VALUE!</v>
      </c>
      <c r="AA5" s="15"/>
      <c r="AB5" s="7" t="e">
        <f>B5+O5</f>
        <v>#VALUE!</v>
      </c>
      <c r="AC5" s="8" t="e">
        <f>AB5/1000000</f>
        <v>#VALUE!</v>
      </c>
      <c r="AD5" s="10" t="e">
        <f>AC5*3.07</f>
        <v>#VALUE!</v>
      </c>
    </row>
    <row r="6" spans="1:30" x14ac:dyDescent="0.25">
      <c r="A6" s="27">
        <v>43283</v>
      </c>
      <c r="B6" s="7" t="str">
        <f>'[3]Production Summary'!$U188</f>
        <v/>
      </c>
      <c r="C6" s="8" t="e">
        <f t="shared" ref="C6:C35" si="0">B6/1000000</f>
        <v>#VALUE!</v>
      </c>
      <c r="D6" s="10" t="e">
        <f t="shared" ref="D6:D35" si="1">C6*3.07</f>
        <v>#VALUE!</v>
      </c>
      <c r="E6" s="7" t="str">
        <f>'[3]Production Summary'!$O188</f>
        <v/>
      </c>
      <c r="F6" s="8" t="e">
        <f t="shared" ref="F6:F35" si="2">E6/1000000</f>
        <v>#VALUE!</v>
      </c>
      <c r="G6" s="10" t="e">
        <f t="shared" ref="G6:G35" si="3">F6*3.07</f>
        <v>#VALUE!</v>
      </c>
      <c r="H6" s="7" t="str">
        <f>'[3]Production Summary'!$Q188</f>
        <v/>
      </c>
      <c r="I6" s="8" t="e">
        <f t="shared" ref="I6:I35" si="4">H6/1000000</f>
        <v>#VALUE!</v>
      </c>
      <c r="J6" s="10" t="e">
        <f t="shared" ref="J6:J35" si="5">I6*3.07</f>
        <v>#VALUE!</v>
      </c>
      <c r="K6" s="7" t="str">
        <f>'[3]Production Summary'!$T188</f>
        <v/>
      </c>
      <c r="L6" s="8" t="e">
        <f t="shared" ref="L6:L35" si="6">K6/1000000</f>
        <v>#VALUE!</v>
      </c>
      <c r="M6" s="10" t="e">
        <f t="shared" ref="M6:M35" si="7">L6*3.07</f>
        <v>#VALUE!</v>
      </c>
      <c r="N6" s="57"/>
      <c r="O6" s="7" t="str">
        <f>'[3]Production Summary'!$AL188</f>
        <v/>
      </c>
      <c r="P6" s="8" t="e">
        <f t="shared" ref="P6:P35" si="8">O6/1000000</f>
        <v>#VALUE!</v>
      </c>
      <c r="Q6" s="10" t="e">
        <f t="shared" ref="Q6:Q35" si="9">P6*3.07</f>
        <v>#VALUE!</v>
      </c>
      <c r="R6" s="7" t="str">
        <f>'[3]Production Summary'!$AI188</f>
        <v/>
      </c>
      <c r="S6" s="8" t="e">
        <f t="shared" ref="S6:S35" si="10">R6/1000000</f>
        <v>#VALUE!</v>
      </c>
      <c r="T6" s="10" t="e">
        <f t="shared" ref="T6:T35" si="11">S6*3.07</f>
        <v>#VALUE!</v>
      </c>
      <c r="U6" s="7" t="str">
        <f>'[3]Production Summary'!$AF188</f>
        <v/>
      </c>
      <c r="V6" s="8" t="e">
        <f t="shared" ref="V6:V35" si="12">U6/1000000</f>
        <v>#VALUE!</v>
      </c>
      <c r="W6" s="10" t="e">
        <f t="shared" ref="W6:W35" si="13">V6*3.07</f>
        <v>#VALUE!</v>
      </c>
      <c r="X6" s="7" t="str">
        <f>'[3]Production Summary'!$AJ188</f>
        <v/>
      </c>
      <c r="Y6" s="8" t="e">
        <f t="shared" ref="Y6:Y35" si="14">X6/1000000</f>
        <v>#VALUE!</v>
      </c>
      <c r="Z6" s="10" t="e">
        <f t="shared" ref="Z6:Z35" si="15">Y6*3.07</f>
        <v>#VALUE!</v>
      </c>
      <c r="AA6" s="15"/>
      <c r="AB6" s="7" t="e">
        <f t="shared" ref="AB6:AB35" si="16">B6+O6</f>
        <v>#VALUE!</v>
      </c>
      <c r="AC6" s="8" t="e">
        <f t="shared" ref="AC6:AC35" si="17">AB6/1000000</f>
        <v>#VALUE!</v>
      </c>
      <c r="AD6" s="10" t="e">
        <f t="shared" ref="AD6:AD35" si="18">AC6*3.07</f>
        <v>#VALUE!</v>
      </c>
    </row>
    <row r="7" spans="1:30" x14ac:dyDescent="0.25">
      <c r="A7" s="27">
        <v>43284</v>
      </c>
      <c r="B7" s="7" t="str">
        <f>'[3]Production Summary'!$U189</f>
        <v/>
      </c>
      <c r="C7" s="8" t="e">
        <f t="shared" si="0"/>
        <v>#VALUE!</v>
      </c>
      <c r="D7" s="10" t="e">
        <f t="shared" si="1"/>
        <v>#VALUE!</v>
      </c>
      <c r="E7" s="7" t="str">
        <f>'[3]Production Summary'!$O189</f>
        <v/>
      </c>
      <c r="F7" s="8" t="e">
        <f t="shared" si="2"/>
        <v>#VALUE!</v>
      </c>
      <c r="G7" s="10" t="e">
        <f t="shared" si="3"/>
        <v>#VALUE!</v>
      </c>
      <c r="H7" s="7" t="str">
        <f>'[3]Production Summary'!$Q189</f>
        <v/>
      </c>
      <c r="I7" s="8" t="e">
        <f t="shared" si="4"/>
        <v>#VALUE!</v>
      </c>
      <c r="J7" s="10" t="e">
        <f t="shared" si="5"/>
        <v>#VALUE!</v>
      </c>
      <c r="K7" s="7" t="str">
        <f>'[3]Production Summary'!$T189</f>
        <v/>
      </c>
      <c r="L7" s="8" t="e">
        <f t="shared" si="6"/>
        <v>#VALUE!</v>
      </c>
      <c r="M7" s="10" t="e">
        <f t="shared" si="7"/>
        <v>#VALUE!</v>
      </c>
      <c r="N7" s="57"/>
      <c r="O7" s="7" t="str">
        <f>'[3]Production Summary'!$AL189</f>
        <v/>
      </c>
      <c r="P7" s="8" t="e">
        <f t="shared" si="8"/>
        <v>#VALUE!</v>
      </c>
      <c r="Q7" s="10" t="e">
        <f t="shared" si="9"/>
        <v>#VALUE!</v>
      </c>
      <c r="R7" s="7" t="str">
        <f>'[3]Production Summary'!$AI189</f>
        <v/>
      </c>
      <c r="S7" s="8" t="e">
        <f t="shared" si="10"/>
        <v>#VALUE!</v>
      </c>
      <c r="T7" s="10" t="e">
        <f t="shared" si="11"/>
        <v>#VALUE!</v>
      </c>
      <c r="U7" s="7" t="str">
        <f>'[3]Production Summary'!$AF189</f>
        <v/>
      </c>
      <c r="V7" s="8" t="e">
        <f t="shared" si="12"/>
        <v>#VALUE!</v>
      </c>
      <c r="W7" s="10" t="e">
        <f t="shared" si="13"/>
        <v>#VALUE!</v>
      </c>
      <c r="X7" s="7" t="str">
        <f>'[3]Production Summary'!$AJ189</f>
        <v/>
      </c>
      <c r="Y7" s="8" t="e">
        <f t="shared" si="14"/>
        <v>#VALUE!</v>
      </c>
      <c r="Z7" s="10" t="e">
        <f t="shared" si="15"/>
        <v>#VALUE!</v>
      </c>
      <c r="AA7" s="15"/>
      <c r="AB7" s="7" t="e">
        <f t="shared" si="16"/>
        <v>#VALUE!</v>
      </c>
      <c r="AC7" s="8" t="e">
        <f t="shared" si="17"/>
        <v>#VALUE!</v>
      </c>
      <c r="AD7" s="10" t="e">
        <f t="shared" si="18"/>
        <v>#VALUE!</v>
      </c>
    </row>
    <row r="8" spans="1:30" x14ac:dyDescent="0.25">
      <c r="A8" s="27">
        <v>43285</v>
      </c>
      <c r="B8" s="7" t="str">
        <f>'[3]Production Summary'!$U190</f>
        <v/>
      </c>
      <c r="C8" s="8" t="e">
        <f t="shared" si="0"/>
        <v>#VALUE!</v>
      </c>
      <c r="D8" s="10" t="e">
        <f t="shared" si="1"/>
        <v>#VALUE!</v>
      </c>
      <c r="E8" s="7" t="str">
        <f>'[3]Production Summary'!$O190</f>
        <v/>
      </c>
      <c r="F8" s="8" t="e">
        <f t="shared" si="2"/>
        <v>#VALUE!</v>
      </c>
      <c r="G8" s="10" t="e">
        <f t="shared" si="3"/>
        <v>#VALUE!</v>
      </c>
      <c r="H8" s="7" t="str">
        <f>'[3]Production Summary'!$Q190</f>
        <v/>
      </c>
      <c r="I8" s="8" t="e">
        <f t="shared" si="4"/>
        <v>#VALUE!</v>
      </c>
      <c r="J8" s="10" t="e">
        <f t="shared" si="5"/>
        <v>#VALUE!</v>
      </c>
      <c r="K8" s="7" t="str">
        <f>'[3]Production Summary'!$T190</f>
        <v/>
      </c>
      <c r="L8" s="8" t="e">
        <f t="shared" si="6"/>
        <v>#VALUE!</v>
      </c>
      <c r="M8" s="10" t="e">
        <f t="shared" si="7"/>
        <v>#VALUE!</v>
      </c>
      <c r="N8" s="57"/>
      <c r="O8" s="7" t="str">
        <f>'[3]Production Summary'!$AL190</f>
        <v/>
      </c>
      <c r="P8" s="8" t="e">
        <f t="shared" si="8"/>
        <v>#VALUE!</v>
      </c>
      <c r="Q8" s="10" t="e">
        <f t="shared" si="9"/>
        <v>#VALUE!</v>
      </c>
      <c r="R8" s="7" t="str">
        <f>'[3]Production Summary'!$AI190</f>
        <v/>
      </c>
      <c r="S8" s="8" t="e">
        <f t="shared" si="10"/>
        <v>#VALUE!</v>
      </c>
      <c r="T8" s="10" t="e">
        <f t="shared" si="11"/>
        <v>#VALUE!</v>
      </c>
      <c r="U8" s="7" t="str">
        <f>'[3]Production Summary'!$AF190</f>
        <v/>
      </c>
      <c r="V8" s="8" t="e">
        <f t="shared" si="12"/>
        <v>#VALUE!</v>
      </c>
      <c r="W8" s="10" t="e">
        <f t="shared" si="13"/>
        <v>#VALUE!</v>
      </c>
      <c r="X8" s="7" t="str">
        <f>'[3]Production Summary'!$AJ190</f>
        <v/>
      </c>
      <c r="Y8" s="8" t="e">
        <f t="shared" si="14"/>
        <v>#VALUE!</v>
      </c>
      <c r="Z8" s="10" t="e">
        <f t="shared" si="15"/>
        <v>#VALUE!</v>
      </c>
      <c r="AA8" s="15"/>
      <c r="AB8" s="7" t="e">
        <f t="shared" si="16"/>
        <v>#VALUE!</v>
      </c>
      <c r="AC8" s="8" t="e">
        <f t="shared" si="17"/>
        <v>#VALUE!</v>
      </c>
      <c r="AD8" s="10" t="e">
        <f t="shared" si="18"/>
        <v>#VALUE!</v>
      </c>
    </row>
    <row r="9" spans="1:30" x14ac:dyDescent="0.25">
      <c r="A9" s="27">
        <v>43286</v>
      </c>
      <c r="B9" s="7" t="str">
        <f>'[3]Production Summary'!$U191</f>
        <v/>
      </c>
      <c r="C9" s="8" t="e">
        <f t="shared" si="0"/>
        <v>#VALUE!</v>
      </c>
      <c r="D9" s="10" t="e">
        <f t="shared" si="1"/>
        <v>#VALUE!</v>
      </c>
      <c r="E9" s="7" t="str">
        <f>'[3]Production Summary'!$O191</f>
        <v/>
      </c>
      <c r="F9" s="8" t="e">
        <f t="shared" si="2"/>
        <v>#VALUE!</v>
      </c>
      <c r="G9" s="10" t="e">
        <f t="shared" si="3"/>
        <v>#VALUE!</v>
      </c>
      <c r="H9" s="7" t="str">
        <f>'[3]Production Summary'!$Q191</f>
        <v/>
      </c>
      <c r="I9" s="8" t="e">
        <f t="shared" si="4"/>
        <v>#VALUE!</v>
      </c>
      <c r="J9" s="10" t="e">
        <f t="shared" si="5"/>
        <v>#VALUE!</v>
      </c>
      <c r="K9" s="7" t="str">
        <f>'[3]Production Summary'!$T191</f>
        <v/>
      </c>
      <c r="L9" s="8" t="e">
        <f t="shared" si="6"/>
        <v>#VALUE!</v>
      </c>
      <c r="M9" s="10" t="e">
        <f t="shared" si="7"/>
        <v>#VALUE!</v>
      </c>
      <c r="N9" s="57"/>
      <c r="O9" s="7" t="str">
        <f>'[3]Production Summary'!$AL191</f>
        <v/>
      </c>
      <c r="P9" s="8" t="e">
        <f t="shared" si="8"/>
        <v>#VALUE!</v>
      </c>
      <c r="Q9" s="10" t="e">
        <f t="shared" si="9"/>
        <v>#VALUE!</v>
      </c>
      <c r="R9" s="7" t="str">
        <f>'[3]Production Summary'!$AI191</f>
        <v/>
      </c>
      <c r="S9" s="8" t="e">
        <f t="shared" si="10"/>
        <v>#VALUE!</v>
      </c>
      <c r="T9" s="10" t="e">
        <f t="shared" si="11"/>
        <v>#VALUE!</v>
      </c>
      <c r="U9" s="7" t="str">
        <f>'[3]Production Summary'!$AF191</f>
        <v/>
      </c>
      <c r="V9" s="8" t="e">
        <f t="shared" si="12"/>
        <v>#VALUE!</v>
      </c>
      <c r="W9" s="10" t="e">
        <f t="shared" si="13"/>
        <v>#VALUE!</v>
      </c>
      <c r="X9" s="7" t="str">
        <f>'[3]Production Summary'!$AJ191</f>
        <v/>
      </c>
      <c r="Y9" s="8" t="e">
        <f t="shared" si="14"/>
        <v>#VALUE!</v>
      </c>
      <c r="Z9" s="10" t="e">
        <f t="shared" si="15"/>
        <v>#VALUE!</v>
      </c>
      <c r="AA9" s="15"/>
      <c r="AB9" s="7" t="e">
        <f t="shared" si="16"/>
        <v>#VALUE!</v>
      </c>
      <c r="AC9" s="8" t="e">
        <f t="shared" si="17"/>
        <v>#VALUE!</v>
      </c>
      <c r="AD9" s="10" t="e">
        <f t="shared" si="18"/>
        <v>#VALUE!</v>
      </c>
    </row>
    <row r="10" spans="1:30" x14ac:dyDescent="0.25">
      <c r="A10" s="27">
        <v>43287</v>
      </c>
      <c r="B10" s="7" t="str">
        <f>'[3]Production Summary'!$U192</f>
        <v/>
      </c>
      <c r="C10" s="8" t="e">
        <f t="shared" si="0"/>
        <v>#VALUE!</v>
      </c>
      <c r="D10" s="10" t="e">
        <f t="shared" si="1"/>
        <v>#VALUE!</v>
      </c>
      <c r="E10" s="7" t="str">
        <f>'[3]Production Summary'!$O192</f>
        <v/>
      </c>
      <c r="F10" s="8" t="e">
        <f t="shared" si="2"/>
        <v>#VALUE!</v>
      </c>
      <c r="G10" s="10" t="e">
        <f t="shared" si="3"/>
        <v>#VALUE!</v>
      </c>
      <c r="H10" s="7" t="str">
        <f>'[3]Production Summary'!$Q192</f>
        <v/>
      </c>
      <c r="I10" s="8" t="e">
        <f t="shared" si="4"/>
        <v>#VALUE!</v>
      </c>
      <c r="J10" s="10" t="e">
        <f t="shared" si="5"/>
        <v>#VALUE!</v>
      </c>
      <c r="K10" s="7" t="str">
        <f>'[3]Production Summary'!$T192</f>
        <v/>
      </c>
      <c r="L10" s="8" t="e">
        <f t="shared" si="6"/>
        <v>#VALUE!</v>
      </c>
      <c r="M10" s="10" t="e">
        <f t="shared" si="7"/>
        <v>#VALUE!</v>
      </c>
      <c r="N10" s="57"/>
      <c r="O10" s="7" t="str">
        <f>'[3]Production Summary'!$AL192</f>
        <v/>
      </c>
      <c r="P10" s="8" t="e">
        <f t="shared" si="8"/>
        <v>#VALUE!</v>
      </c>
      <c r="Q10" s="10" t="e">
        <f t="shared" si="9"/>
        <v>#VALUE!</v>
      </c>
      <c r="R10" s="7" t="str">
        <f>'[3]Production Summary'!$AI192</f>
        <v/>
      </c>
      <c r="S10" s="8" t="e">
        <f t="shared" si="10"/>
        <v>#VALUE!</v>
      </c>
      <c r="T10" s="10" t="e">
        <f t="shared" si="11"/>
        <v>#VALUE!</v>
      </c>
      <c r="U10" s="7" t="str">
        <f>'[3]Production Summary'!$AF192</f>
        <v/>
      </c>
      <c r="V10" s="8" t="e">
        <f t="shared" si="12"/>
        <v>#VALUE!</v>
      </c>
      <c r="W10" s="10" t="e">
        <f t="shared" si="13"/>
        <v>#VALUE!</v>
      </c>
      <c r="X10" s="7" t="str">
        <f>'[3]Production Summary'!$AJ192</f>
        <v/>
      </c>
      <c r="Y10" s="8" t="e">
        <f t="shared" si="14"/>
        <v>#VALUE!</v>
      </c>
      <c r="Z10" s="10" t="e">
        <f t="shared" si="15"/>
        <v>#VALUE!</v>
      </c>
      <c r="AA10" s="15"/>
      <c r="AB10" s="7" t="e">
        <f t="shared" si="16"/>
        <v>#VALUE!</v>
      </c>
      <c r="AC10" s="8" t="e">
        <f t="shared" si="17"/>
        <v>#VALUE!</v>
      </c>
      <c r="AD10" s="10" t="e">
        <f t="shared" si="18"/>
        <v>#VALUE!</v>
      </c>
    </row>
    <row r="11" spans="1:30" x14ac:dyDescent="0.25">
      <c r="A11" s="27">
        <v>43288</v>
      </c>
      <c r="B11" s="7" t="str">
        <f>'[3]Production Summary'!$U193</f>
        <v/>
      </c>
      <c r="C11" s="8" t="e">
        <f t="shared" si="0"/>
        <v>#VALUE!</v>
      </c>
      <c r="D11" s="10" t="e">
        <f t="shared" si="1"/>
        <v>#VALUE!</v>
      </c>
      <c r="E11" s="7" t="str">
        <f>'[3]Production Summary'!$O193</f>
        <v/>
      </c>
      <c r="F11" s="8" t="e">
        <f t="shared" si="2"/>
        <v>#VALUE!</v>
      </c>
      <c r="G11" s="10" t="e">
        <f t="shared" si="3"/>
        <v>#VALUE!</v>
      </c>
      <c r="H11" s="7" t="str">
        <f>'[3]Production Summary'!$Q193</f>
        <v/>
      </c>
      <c r="I11" s="8" t="e">
        <f t="shared" si="4"/>
        <v>#VALUE!</v>
      </c>
      <c r="J11" s="10" t="e">
        <f t="shared" si="5"/>
        <v>#VALUE!</v>
      </c>
      <c r="K11" s="7" t="str">
        <f>'[3]Production Summary'!$T193</f>
        <v/>
      </c>
      <c r="L11" s="8" t="e">
        <f t="shared" si="6"/>
        <v>#VALUE!</v>
      </c>
      <c r="M11" s="10" t="e">
        <f t="shared" si="7"/>
        <v>#VALUE!</v>
      </c>
      <c r="N11" s="57"/>
      <c r="O11" s="7" t="str">
        <f>'[3]Production Summary'!$AL193</f>
        <v/>
      </c>
      <c r="P11" s="8" t="e">
        <f t="shared" si="8"/>
        <v>#VALUE!</v>
      </c>
      <c r="Q11" s="10" t="e">
        <f t="shared" si="9"/>
        <v>#VALUE!</v>
      </c>
      <c r="R11" s="7" t="str">
        <f>'[3]Production Summary'!$AI193</f>
        <v/>
      </c>
      <c r="S11" s="8" t="e">
        <f t="shared" si="10"/>
        <v>#VALUE!</v>
      </c>
      <c r="T11" s="10" t="e">
        <f t="shared" si="11"/>
        <v>#VALUE!</v>
      </c>
      <c r="U11" s="7" t="str">
        <f>'[3]Production Summary'!$AF193</f>
        <v/>
      </c>
      <c r="V11" s="8" t="e">
        <f t="shared" si="12"/>
        <v>#VALUE!</v>
      </c>
      <c r="W11" s="10" t="e">
        <f t="shared" si="13"/>
        <v>#VALUE!</v>
      </c>
      <c r="X11" s="7" t="str">
        <f>'[3]Production Summary'!$AJ193</f>
        <v/>
      </c>
      <c r="Y11" s="8" t="e">
        <f t="shared" si="14"/>
        <v>#VALUE!</v>
      </c>
      <c r="Z11" s="10" t="e">
        <f t="shared" si="15"/>
        <v>#VALUE!</v>
      </c>
      <c r="AA11" s="15"/>
      <c r="AB11" s="7" t="e">
        <f t="shared" si="16"/>
        <v>#VALUE!</v>
      </c>
      <c r="AC11" s="8" t="e">
        <f t="shared" si="17"/>
        <v>#VALUE!</v>
      </c>
      <c r="AD11" s="10" t="e">
        <f t="shared" si="18"/>
        <v>#VALUE!</v>
      </c>
    </row>
    <row r="12" spans="1:30" x14ac:dyDescent="0.25">
      <c r="A12" s="27">
        <v>43289</v>
      </c>
      <c r="B12" s="7" t="str">
        <f>'[3]Production Summary'!$U194</f>
        <v/>
      </c>
      <c r="C12" s="8" t="e">
        <f t="shared" si="0"/>
        <v>#VALUE!</v>
      </c>
      <c r="D12" s="10" t="e">
        <f t="shared" si="1"/>
        <v>#VALUE!</v>
      </c>
      <c r="E12" s="7" t="str">
        <f>'[3]Production Summary'!$O194</f>
        <v/>
      </c>
      <c r="F12" s="8" t="e">
        <f t="shared" si="2"/>
        <v>#VALUE!</v>
      </c>
      <c r="G12" s="10" t="e">
        <f t="shared" si="3"/>
        <v>#VALUE!</v>
      </c>
      <c r="H12" s="7" t="str">
        <f>'[3]Production Summary'!$Q194</f>
        <v/>
      </c>
      <c r="I12" s="8" t="e">
        <f t="shared" si="4"/>
        <v>#VALUE!</v>
      </c>
      <c r="J12" s="10" t="e">
        <f t="shared" si="5"/>
        <v>#VALUE!</v>
      </c>
      <c r="K12" s="7" t="str">
        <f>'[3]Production Summary'!$T194</f>
        <v/>
      </c>
      <c r="L12" s="8" t="e">
        <f t="shared" si="6"/>
        <v>#VALUE!</v>
      </c>
      <c r="M12" s="10" t="e">
        <f t="shared" si="7"/>
        <v>#VALUE!</v>
      </c>
      <c r="N12" s="57"/>
      <c r="O12" s="7" t="str">
        <f>'[3]Production Summary'!$AL194</f>
        <v/>
      </c>
      <c r="P12" s="8" t="e">
        <f t="shared" si="8"/>
        <v>#VALUE!</v>
      </c>
      <c r="Q12" s="10" t="e">
        <f t="shared" si="9"/>
        <v>#VALUE!</v>
      </c>
      <c r="R12" s="7" t="str">
        <f>'[3]Production Summary'!$AI194</f>
        <v/>
      </c>
      <c r="S12" s="8" t="e">
        <f t="shared" si="10"/>
        <v>#VALUE!</v>
      </c>
      <c r="T12" s="10" t="e">
        <f t="shared" si="11"/>
        <v>#VALUE!</v>
      </c>
      <c r="U12" s="7" t="str">
        <f>'[3]Production Summary'!$AF194</f>
        <v/>
      </c>
      <c r="V12" s="8" t="e">
        <f t="shared" si="12"/>
        <v>#VALUE!</v>
      </c>
      <c r="W12" s="10" t="e">
        <f t="shared" si="13"/>
        <v>#VALUE!</v>
      </c>
      <c r="X12" s="7" t="str">
        <f>'[3]Production Summary'!$AJ194</f>
        <v/>
      </c>
      <c r="Y12" s="8" t="e">
        <f t="shared" si="14"/>
        <v>#VALUE!</v>
      </c>
      <c r="Z12" s="10" t="e">
        <f t="shared" si="15"/>
        <v>#VALUE!</v>
      </c>
      <c r="AA12" s="15"/>
      <c r="AB12" s="7" t="e">
        <f t="shared" si="16"/>
        <v>#VALUE!</v>
      </c>
      <c r="AC12" s="8" t="e">
        <f t="shared" si="17"/>
        <v>#VALUE!</v>
      </c>
      <c r="AD12" s="10" t="e">
        <f t="shared" si="18"/>
        <v>#VALUE!</v>
      </c>
    </row>
    <row r="13" spans="1:30" x14ac:dyDescent="0.25">
      <c r="A13" s="27">
        <v>43290</v>
      </c>
      <c r="B13" s="7" t="str">
        <f>'[3]Production Summary'!$U195</f>
        <v/>
      </c>
      <c r="C13" s="8" t="e">
        <f t="shared" si="0"/>
        <v>#VALUE!</v>
      </c>
      <c r="D13" s="10" t="e">
        <f t="shared" si="1"/>
        <v>#VALUE!</v>
      </c>
      <c r="E13" s="7" t="str">
        <f>'[3]Production Summary'!$O195</f>
        <v/>
      </c>
      <c r="F13" s="8" t="e">
        <f t="shared" si="2"/>
        <v>#VALUE!</v>
      </c>
      <c r="G13" s="10" t="e">
        <f t="shared" si="3"/>
        <v>#VALUE!</v>
      </c>
      <c r="H13" s="7" t="str">
        <f>'[3]Production Summary'!$Q195</f>
        <v/>
      </c>
      <c r="I13" s="8" t="e">
        <f t="shared" si="4"/>
        <v>#VALUE!</v>
      </c>
      <c r="J13" s="10" t="e">
        <f t="shared" si="5"/>
        <v>#VALUE!</v>
      </c>
      <c r="K13" s="7" t="str">
        <f>'[3]Production Summary'!$T195</f>
        <v/>
      </c>
      <c r="L13" s="8" t="e">
        <f t="shared" si="6"/>
        <v>#VALUE!</v>
      </c>
      <c r="M13" s="10" t="e">
        <f t="shared" si="7"/>
        <v>#VALUE!</v>
      </c>
      <c r="N13" s="57"/>
      <c r="O13" s="7" t="str">
        <f>'[3]Production Summary'!$AL195</f>
        <v/>
      </c>
      <c r="P13" s="8" t="e">
        <f t="shared" si="8"/>
        <v>#VALUE!</v>
      </c>
      <c r="Q13" s="10" t="e">
        <f t="shared" si="9"/>
        <v>#VALUE!</v>
      </c>
      <c r="R13" s="7" t="str">
        <f>'[3]Production Summary'!$AI195</f>
        <v/>
      </c>
      <c r="S13" s="8" t="e">
        <f t="shared" si="10"/>
        <v>#VALUE!</v>
      </c>
      <c r="T13" s="10" t="e">
        <f t="shared" si="11"/>
        <v>#VALUE!</v>
      </c>
      <c r="U13" s="7" t="str">
        <f>'[3]Production Summary'!$AF195</f>
        <v/>
      </c>
      <c r="V13" s="8" t="e">
        <f t="shared" si="12"/>
        <v>#VALUE!</v>
      </c>
      <c r="W13" s="10" t="e">
        <f t="shared" si="13"/>
        <v>#VALUE!</v>
      </c>
      <c r="X13" s="7" t="str">
        <f>'[3]Production Summary'!$AJ195</f>
        <v/>
      </c>
      <c r="Y13" s="8" t="e">
        <f t="shared" si="14"/>
        <v>#VALUE!</v>
      </c>
      <c r="Z13" s="10" t="e">
        <f t="shared" si="15"/>
        <v>#VALUE!</v>
      </c>
      <c r="AA13" s="15"/>
      <c r="AB13" s="7" t="e">
        <f t="shared" si="16"/>
        <v>#VALUE!</v>
      </c>
      <c r="AC13" s="8" t="e">
        <f t="shared" si="17"/>
        <v>#VALUE!</v>
      </c>
      <c r="AD13" s="10" t="e">
        <f t="shared" si="18"/>
        <v>#VALUE!</v>
      </c>
    </row>
    <row r="14" spans="1:30" x14ac:dyDescent="0.25">
      <c r="A14" s="27">
        <v>43291</v>
      </c>
      <c r="B14" s="7" t="str">
        <f>'[3]Production Summary'!$U196</f>
        <v/>
      </c>
      <c r="C14" s="8" t="e">
        <f t="shared" si="0"/>
        <v>#VALUE!</v>
      </c>
      <c r="D14" s="10" t="e">
        <f t="shared" si="1"/>
        <v>#VALUE!</v>
      </c>
      <c r="E14" s="7" t="str">
        <f>'[3]Production Summary'!$O196</f>
        <v/>
      </c>
      <c r="F14" s="8" t="e">
        <f t="shared" si="2"/>
        <v>#VALUE!</v>
      </c>
      <c r="G14" s="10" t="e">
        <f t="shared" si="3"/>
        <v>#VALUE!</v>
      </c>
      <c r="H14" s="7" t="str">
        <f>'[3]Production Summary'!$Q196</f>
        <v/>
      </c>
      <c r="I14" s="8" t="e">
        <f t="shared" si="4"/>
        <v>#VALUE!</v>
      </c>
      <c r="J14" s="10" t="e">
        <f t="shared" si="5"/>
        <v>#VALUE!</v>
      </c>
      <c r="K14" s="7" t="str">
        <f>'[3]Production Summary'!$T196</f>
        <v/>
      </c>
      <c r="L14" s="8" t="e">
        <f t="shared" si="6"/>
        <v>#VALUE!</v>
      </c>
      <c r="M14" s="10" t="e">
        <f t="shared" si="7"/>
        <v>#VALUE!</v>
      </c>
      <c r="N14" s="57"/>
      <c r="O14" s="7" t="str">
        <f>'[3]Production Summary'!$AL196</f>
        <v/>
      </c>
      <c r="P14" s="8" t="e">
        <f t="shared" si="8"/>
        <v>#VALUE!</v>
      </c>
      <c r="Q14" s="10" t="e">
        <f t="shared" si="9"/>
        <v>#VALUE!</v>
      </c>
      <c r="R14" s="7" t="str">
        <f>'[3]Production Summary'!$AI196</f>
        <v/>
      </c>
      <c r="S14" s="8" t="e">
        <f t="shared" si="10"/>
        <v>#VALUE!</v>
      </c>
      <c r="T14" s="10" t="e">
        <f t="shared" si="11"/>
        <v>#VALUE!</v>
      </c>
      <c r="U14" s="7" t="str">
        <f>'[3]Production Summary'!$AF196</f>
        <v/>
      </c>
      <c r="V14" s="8" t="e">
        <f t="shared" si="12"/>
        <v>#VALUE!</v>
      </c>
      <c r="W14" s="10" t="e">
        <f t="shared" si="13"/>
        <v>#VALUE!</v>
      </c>
      <c r="X14" s="7" t="str">
        <f>'[3]Production Summary'!$AJ196</f>
        <v/>
      </c>
      <c r="Y14" s="8" t="e">
        <f t="shared" si="14"/>
        <v>#VALUE!</v>
      </c>
      <c r="Z14" s="10" t="e">
        <f t="shared" si="15"/>
        <v>#VALUE!</v>
      </c>
      <c r="AA14" s="15"/>
      <c r="AB14" s="7" t="e">
        <f t="shared" si="16"/>
        <v>#VALUE!</v>
      </c>
      <c r="AC14" s="8" t="e">
        <f t="shared" si="17"/>
        <v>#VALUE!</v>
      </c>
      <c r="AD14" s="10" t="e">
        <f t="shared" si="18"/>
        <v>#VALUE!</v>
      </c>
    </row>
    <row r="15" spans="1:30" x14ac:dyDescent="0.25">
      <c r="A15" s="27">
        <v>43292</v>
      </c>
      <c r="B15" s="7" t="str">
        <f>'[3]Production Summary'!$U197</f>
        <v/>
      </c>
      <c r="C15" s="8" t="e">
        <f t="shared" si="0"/>
        <v>#VALUE!</v>
      </c>
      <c r="D15" s="10" t="e">
        <f t="shared" si="1"/>
        <v>#VALUE!</v>
      </c>
      <c r="E15" s="7" t="str">
        <f>'[3]Production Summary'!$O197</f>
        <v/>
      </c>
      <c r="F15" s="8" t="e">
        <f t="shared" si="2"/>
        <v>#VALUE!</v>
      </c>
      <c r="G15" s="10" t="e">
        <f t="shared" si="3"/>
        <v>#VALUE!</v>
      </c>
      <c r="H15" s="7" t="str">
        <f>'[3]Production Summary'!$Q197</f>
        <v/>
      </c>
      <c r="I15" s="8" t="e">
        <f t="shared" si="4"/>
        <v>#VALUE!</v>
      </c>
      <c r="J15" s="10" t="e">
        <f t="shared" si="5"/>
        <v>#VALUE!</v>
      </c>
      <c r="K15" s="7" t="str">
        <f>'[3]Production Summary'!$T197</f>
        <v/>
      </c>
      <c r="L15" s="8" t="e">
        <f t="shared" si="6"/>
        <v>#VALUE!</v>
      </c>
      <c r="M15" s="10" t="e">
        <f t="shared" si="7"/>
        <v>#VALUE!</v>
      </c>
      <c r="N15" s="57"/>
      <c r="O15" s="7" t="str">
        <f>'[3]Production Summary'!$AL197</f>
        <v/>
      </c>
      <c r="P15" s="8" t="e">
        <f t="shared" si="8"/>
        <v>#VALUE!</v>
      </c>
      <c r="Q15" s="10" t="e">
        <f t="shared" si="9"/>
        <v>#VALUE!</v>
      </c>
      <c r="R15" s="7" t="str">
        <f>'[3]Production Summary'!$AI197</f>
        <v/>
      </c>
      <c r="S15" s="8" t="e">
        <f t="shared" si="10"/>
        <v>#VALUE!</v>
      </c>
      <c r="T15" s="10" t="e">
        <f t="shared" si="11"/>
        <v>#VALUE!</v>
      </c>
      <c r="U15" s="7" t="str">
        <f>'[3]Production Summary'!$AF197</f>
        <v/>
      </c>
      <c r="V15" s="8" t="e">
        <f t="shared" si="12"/>
        <v>#VALUE!</v>
      </c>
      <c r="W15" s="10" t="e">
        <f t="shared" si="13"/>
        <v>#VALUE!</v>
      </c>
      <c r="X15" s="7" t="str">
        <f>'[3]Production Summary'!$AJ197</f>
        <v/>
      </c>
      <c r="Y15" s="8" t="e">
        <f t="shared" si="14"/>
        <v>#VALUE!</v>
      </c>
      <c r="Z15" s="10" t="e">
        <f t="shared" si="15"/>
        <v>#VALUE!</v>
      </c>
      <c r="AA15" s="15"/>
      <c r="AB15" s="7" t="e">
        <f t="shared" si="16"/>
        <v>#VALUE!</v>
      </c>
      <c r="AC15" s="8" t="e">
        <f t="shared" si="17"/>
        <v>#VALUE!</v>
      </c>
      <c r="AD15" s="10" t="e">
        <f t="shared" si="18"/>
        <v>#VALUE!</v>
      </c>
    </row>
    <row r="16" spans="1:30" x14ac:dyDescent="0.25">
      <c r="A16" s="27">
        <v>43293</v>
      </c>
      <c r="B16" s="7" t="str">
        <f>'[3]Production Summary'!$U198</f>
        <v/>
      </c>
      <c r="C16" s="8" t="e">
        <f t="shared" si="0"/>
        <v>#VALUE!</v>
      </c>
      <c r="D16" s="10" t="e">
        <f t="shared" si="1"/>
        <v>#VALUE!</v>
      </c>
      <c r="E16" s="7" t="str">
        <f>'[3]Production Summary'!$O198</f>
        <v/>
      </c>
      <c r="F16" s="8" t="e">
        <f t="shared" si="2"/>
        <v>#VALUE!</v>
      </c>
      <c r="G16" s="10" t="e">
        <f t="shared" si="3"/>
        <v>#VALUE!</v>
      </c>
      <c r="H16" s="7" t="str">
        <f>'[3]Production Summary'!$Q198</f>
        <v/>
      </c>
      <c r="I16" s="8" t="e">
        <f t="shared" si="4"/>
        <v>#VALUE!</v>
      </c>
      <c r="J16" s="10" t="e">
        <f t="shared" si="5"/>
        <v>#VALUE!</v>
      </c>
      <c r="K16" s="7" t="str">
        <f>'[3]Production Summary'!$T198</f>
        <v/>
      </c>
      <c r="L16" s="8" t="e">
        <f t="shared" si="6"/>
        <v>#VALUE!</v>
      </c>
      <c r="M16" s="10" t="e">
        <f t="shared" si="7"/>
        <v>#VALUE!</v>
      </c>
      <c r="N16" s="57"/>
      <c r="O16" s="7" t="str">
        <f>'[3]Production Summary'!$AL198</f>
        <v/>
      </c>
      <c r="P16" s="8" t="e">
        <f t="shared" si="8"/>
        <v>#VALUE!</v>
      </c>
      <c r="Q16" s="10" t="e">
        <f t="shared" si="9"/>
        <v>#VALUE!</v>
      </c>
      <c r="R16" s="7" t="str">
        <f>'[3]Production Summary'!$AI198</f>
        <v/>
      </c>
      <c r="S16" s="8" t="e">
        <f t="shared" si="10"/>
        <v>#VALUE!</v>
      </c>
      <c r="T16" s="10" t="e">
        <f t="shared" si="11"/>
        <v>#VALUE!</v>
      </c>
      <c r="U16" s="7" t="str">
        <f>'[3]Production Summary'!$AF198</f>
        <v/>
      </c>
      <c r="V16" s="8" t="e">
        <f t="shared" si="12"/>
        <v>#VALUE!</v>
      </c>
      <c r="W16" s="10" t="e">
        <f t="shared" si="13"/>
        <v>#VALUE!</v>
      </c>
      <c r="X16" s="7" t="str">
        <f>'[3]Production Summary'!$AJ198</f>
        <v/>
      </c>
      <c r="Y16" s="8" t="e">
        <f t="shared" si="14"/>
        <v>#VALUE!</v>
      </c>
      <c r="Z16" s="10" t="e">
        <f t="shared" si="15"/>
        <v>#VALUE!</v>
      </c>
      <c r="AA16" s="15"/>
      <c r="AB16" s="7" t="e">
        <f t="shared" si="16"/>
        <v>#VALUE!</v>
      </c>
      <c r="AC16" s="8" t="e">
        <f t="shared" si="17"/>
        <v>#VALUE!</v>
      </c>
      <c r="AD16" s="10" t="e">
        <f t="shared" si="18"/>
        <v>#VALUE!</v>
      </c>
    </row>
    <row r="17" spans="1:31" x14ac:dyDescent="0.25">
      <c r="A17" s="27">
        <v>43294</v>
      </c>
      <c r="B17" s="7" t="str">
        <f>'[3]Production Summary'!$U199</f>
        <v/>
      </c>
      <c r="C17" s="8" t="e">
        <f t="shared" si="0"/>
        <v>#VALUE!</v>
      </c>
      <c r="D17" s="10" t="e">
        <f t="shared" si="1"/>
        <v>#VALUE!</v>
      </c>
      <c r="E17" s="7" t="str">
        <f>'[3]Production Summary'!$O199</f>
        <v/>
      </c>
      <c r="F17" s="8" t="e">
        <f t="shared" si="2"/>
        <v>#VALUE!</v>
      </c>
      <c r="G17" s="10" t="e">
        <f t="shared" si="3"/>
        <v>#VALUE!</v>
      </c>
      <c r="H17" s="7" t="str">
        <f>'[3]Production Summary'!$Q199</f>
        <v/>
      </c>
      <c r="I17" s="8" t="e">
        <f t="shared" si="4"/>
        <v>#VALUE!</v>
      </c>
      <c r="J17" s="10" t="e">
        <f t="shared" si="5"/>
        <v>#VALUE!</v>
      </c>
      <c r="K17" s="7" t="str">
        <f>'[3]Production Summary'!$T199</f>
        <v/>
      </c>
      <c r="L17" s="8" t="e">
        <f t="shared" si="6"/>
        <v>#VALUE!</v>
      </c>
      <c r="M17" s="10" t="e">
        <f t="shared" si="7"/>
        <v>#VALUE!</v>
      </c>
      <c r="N17" s="57"/>
      <c r="O17" s="7" t="str">
        <f>'[3]Production Summary'!$AL199</f>
        <v/>
      </c>
      <c r="P17" s="8" t="e">
        <f t="shared" si="8"/>
        <v>#VALUE!</v>
      </c>
      <c r="Q17" s="10" t="e">
        <f t="shared" si="9"/>
        <v>#VALUE!</v>
      </c>
      <c r="R17" s="7" t="str">
        <f>'[3]Production Summary'!$AI199</f>
        <v/>
      </c>
      <c r="S17" s="8" t="e">
        <f t="shared" si="10"/>
        <v>#VALUE!</v>
      </c>
      <c r="T17" s="10" t="e">
        <f t="shared" si="11"/>
        <v>#VALUE!</v>
      </c>
      <c r="U17" s="7" t="str">
        <f>'[3]Production Summary'!$AF199</f>
        <v/>
      </c>
      <c r="V17" s="8" t="e">
        <f t="shared" si="12"/>
        <v>#VALUE!</v>
      </c>
      <c r="W17" s="10" t="e">
        <f t="shared" si="13"/>
        <v>#VALUE!</v>
      </c>
      <c r="X17" s="7" t="str">
        <f>'[3]Production Summary'!$AJ199</f>
        <v/>
      </c>
      <c r="Y17" s="8" t="e">
        <f t="shared" si="14"/>
        <v>#VALUE!</v>
      </c>
      <c r="Z17" s="10" t="e">
        <f t="shared" si="15"/>
        <v>#VALUE!</v>
      </c>
      <c r="AA17" s="15"/>
      <c r="AB17" s="7" t="e">
        <f t="shared" si="16"/>
        <v>#VALUE!</v>
      </c>
      <c r="AC17" s="8" t="e">
        <f t="shared" si="17"/>
        <v>#VALUE!</v>
      </c>
      <c r="AD17" s="10" t="e">
        <f t="shared" si="18"/>
        <v>#VALUE!</v>
      </c>
    </row>
    <row r="18" spans="1:31" x14ac:dyDescent="0.25">
      <c r="A18" s="27">
        <v>43295</v>
      </c>
      <c r="B18" s="7" t="str">
        <f>'[3]Production Summary'!$U200</f>
        <v/>
      </c>
      <c r="C18" s="8" t="e">
        <f t="shared" si="0"/>
        <v>#VALUE!</v>
      </c>
      <c r="D18" s="10" t="e">
        <f t="shared" si="1"/>
        <v>#VALUE!</v>
      </c>
      <c r="E18" s="7" t="str">
        <f>'[3]Production Summary'!$O200</f>
        <v/>
      </c>
      <c r="F18" s="8" t="e">
        <f t="shared" si="2"/>
        <v>#VALUE!</v>
      </c>
      <c r="G18" s="10" t="e">
        <f t="shared" si="3"/>
        <v>#VALUE!</v>
      </c>
      <c r="H18" s="7" t="str">
        <f>'[3]Production Summary'!$Q200</f>
        <v/>
      </c>
      <c r="I18" s="8" t="e">
        <f t="shared" si="4"/>
        <v>#VALUE!</v>
      </c>
      <c r="J18" s="10" t="e">
        <f t="shared" si="5"/>
        <v>#VALUE!</v>
      </c>
      <c r="K18" s="7" t="str">
        <f>'[3]Production Summary'!$T200</f>
        <v/>
      </c>
      <c r="L18" s="8" t="e">
        <f t="shared" si="6"/>
        <v>#VALUE!</v>
      </c>
      <c r="M18" s="10" t="e">
        <f t="shared" si="7"/>
        <v>#VALUE!</v>
      </c>
      <c r="N18" s="57"/>
      <c r="O18" s="7" t="str">
        <f>'[3]Production Summary'!$AL200</f>
        <v/>
      </c>
      <c r="P18" s="8" t="e">
        <f t="shared" si="8"/>
        <v>#VALUE!</v>
      </c>
      <c r="Q18" s="10" t="e">
        <f t="shared" si="9"/>
        <v>#VALUE!</v>
      </c>
      <c r="R18" s="7" t="str">
        <f>'[3]Production Summary'!$AI200</f>
        <v/>
      </c>
      <c r="S18" s="8" t="e">
        <f t="shared" si="10"/>
        <v>#VALUE!</v>
      </c>
      <c r="T18" s="10" t="e">
        <f t="shared" si="11"/>
        <v>#VALUE!</v>
      </c>
      <c r="U18" s="7" t="str">
        <f>'[3]Production Summary'!$AF200</f>
        <v/>
      </c>
      <c r="V18" s="8" t="e">
        <f t="shared" si="12"/>
        <v>#VALUE!</v>
      </c>
      <c r="W18" s="10" t="e">
        <f t="shared" si="13"/>
        <v>#VALUE!</v>
      </c>
      <c r="X18" s="7" t="str">
        <f>'[3]Production Summary'!$AJ200</f>
        <v/>
      </c>
      <c r="Y18" s="8" t="e">
        <f t="shared" si="14"/>
        <v>#VALUE!</v>
      </c>
      <c r="Z18" s="10" t="e">
        <f t="shared" si="15"/>
        <v>#VALUE!</v>
      </c>
      <c r="AA18" s="15"/>
      <c r="AB18" s="7" t="e">
        <f t="shared" si="16"/>
        <v>#VALUE!</v>
      </c>
      <c r="AC18" s="8" t="e">
        <f t="shared" si="17"/>
        <v>#VALUE!</v>
      </c>
      <c r="AD18" s="10" t="e">
        <f t="shared" si="18"/>
        <v>#VALUE!</v>
      </c>
    </row>
    <row r="19" spans="1:31" x14ac:dyDescent="0.25">
      <c r="A19" s="27">
        <v>43296</v>
      </c>
      <c r="B19" s="7" t="str">
        <f>'[3]Production Summary'!$U201</f>
        <v/>
      </c>
      <c r="C19" s="8" t="e">
        <f t="shared" si="0"/>
        <v>#VALUE!</v>
      </c>
      <c r="D19" s="10" t="e">
        <f t="shared" si="1"/>
        <v>#VALUE!</v>
      </c>
      <c r="E19" s="7" t="str">
        <f>'[3]Production Summary'!$O201</f>
        <v/>
      </c>
      <c r="F19" s="8" t="e">
        <f t="shared" si="2"/>
        <v>#VALUE!</v>
      </c>
      <c r="G19" s="10" t="e">
        <f t="shared" si="3"/>
        <v>#VALUE!</v>
      </c>
      <c r="H19" s="7" t="str">
        <f>'[3]Production Summary'!$Q201</f>
        <v/>
      </c>
      <c r="I19" s="8" t="e">
        <f t="shared" si="4"/>
        <v>#VALUE!</v>
      </c>
      <c r="J19" s="10" t="e">
        <f t="shared" si="5"/>
        <v>#VALUE!</v>
      </c>
      <c r="K19" s="7" t="str">
        <f>'[3]Production Summary'!$T201</f>
        <v/>
      </c>
      <c r="L19" s="8" t="e">
        <f t="shared" si="6"/>
        <v>#VALUE!</v>
      </c>
      <c r="M19" s="10" t="e">
        <f t="shared" si="7"/>
        <v>#VALUE!</v>
      </c>
      <c r="N19" s="57"/>
      <c r="O19" s="7" t="str">
        <f>'[3]Production Summary'!$AL201</f>
        <v/>
      </c>
      <c r="P19" s="8" t="e">
        <f t="shared" si="8"/>
        <v>#VALUE!</v>
      </c>
      <c r="Q19" s="10" t="e">
        <f t="shared" si="9"/>
        <v>#VALUE!</v>
      </c>
      <c r="R19" s="7" t="str">
        <f>'[3]Production Summary'!$AI201</f>
        <v/>
      </c>
      <c r="S19" s="8" t="e">
        <f t="shared" si="10"/>
        <v>#VALUE!</v>
      </c>
      <c r="T19" s="10" t="e">
        <f t="shared" si="11"/>
        <v>#VALUE!</v>
      </c>
      <c r="U19" s="7" t="str">
        <f>'[3]Production Summary'!$AF201</f>
        <v/>
      </c>
      <c r="V19" s="8" t="e">
        <f t="shared" si="12"/>
        <v>#VALUE!</v>
      </c>
      <c r="W19" s="10" t="e">
        <f t="shared" si="13"/>
        <v>#VALUE!</v>
      </c>
      <c r="X19" s="7" t="str">
        <f>'[3]Production Summary'!$AJ201</f>
        <v/>
      </c>
      <c r="Y19" s="8" t="e">
        <f t="shared" si="14"/>
        <v>#VALUE!</v>
      </c>
      <c r="Z19" s="10" t="e">
        <f t="shared" si="15"/>
        <v>#VALUE!</v>
      </c>
      <c r="AA19" s="15"/>
      <c r="AB19" s="7" t="e">
        <f t="shared" si="16"/>
        <v>#VALUE!</v>
      </c>
      <c r="AC19" s="8" t="e">
        <f t="shared" si="17"/>
        <v>#VALUE!</v>
      </c>
      <c r="AD19" s="10" t="e">
        <f t="shared" si="18"/>
        <v>#VALUE!</v>
      </c>
    </row>
    <row r="20" spans="1:31" x14ac:dyDescent="0.25">
      <c r="A20" s="27">
        <v>43297</v>
      </c>
      <c r="B20" s="7" t="str">
        <f>'[3]Production Summary'!$U202</f>
        <v/>
      </c>
      <c r="C20" s="8" t="e">
        <f t="shared" si="0"/>
        <v>#VALUE!</v>
      </c>
      <c r="D20" s="10" t="e">
        <f t="shared" si="1"/>
        <v>#VALUE!</v>
      </c>
      <c r="E20" s="7" t="str">
        <f>'[3]Production Summary'!$O202</f>
        <v/>
      </c>
      <c r="F20" s="8" t="e">
        <f t="shared" si="2"/>
        <v>#VALUE!</v>
      </c>
      <c r="G20" s="10" t="e">
        <f t="shared" si="3"/>
        <v>#VALUE!</v>
      </c>
      <c r="H20" s="7" t="str">
        <f>'[3]Production Summary'!$Q202</f>
        <v/>
      </c>
      <c r="I20" s="8" t="e">
        <f t="shared" si="4"/>
        <v>#VALUE!</v>
      </c>
      <c r="J20" s="10" t="e">
        <f t="shared" si="5"/>
        <v>#VALUE!</v>
      </c>
      <c r="K20" s="7" t="str">
        <f>'[3]Production Summary'!$T202</f>
        <v/>
      </c>
      <c r="L20" s="8" t="e">
        <f t="shared" si="6"/>
        <v>#VALUE!</v>
      </c>
      <c r="M20" s="10" t="e">
        <f t="shared" si="7"/>
        <v>#VALUE!</v>
      </c>
      <c r="N20" s="57"/>
      <c r="O20" s="7" t="str">
        <f>'[3]Production Summary'!$AL202</f>
        <v/>
      </c>
      <c r="P20" s="8" t="e">
        <f t="shared" si="8"/>
        <v>#VALUE!</v>
      </c>
      <c r="Q20" s="10" t="e">
        <f t="shared" si="9"/>
        <v>#VALUE!</v>
      </c>
      <c r="R20" s="7" t="str">
        <f>'[3]Production Summary'!$AI202</f>
        <v/>
      </c>
      <c r="S20" s="8" t="e">
        <f t="shared" si="10"/>
        <v>#VALUE!</v>
      </c>
      <c r="T20" s="10" t="e">
        <f t="shared" si="11"/>
        <v>#VALUE!</v>
      </c>
      <c r="U20" s="7" t="str">
        <f>'[3]Production Summary'!$AF202</f>
        <v/>
      </c>
      <c r="V20" s="8" t="e">
        <f t="shared" si="12"/>
        <v>#VALUE!</v>
      </c>
      <c r="W20" s="10" t="e">
        <f t="shared" si="13"/>
        <v>#VALUE!</v>
      </c>
      <c r="X20" s="7" t="str">
        <f>'[3]Production Summary'!$AJ202</f>
        <v/>
      </c>
      <c r="Y20" s="8" t="e">
        <f t="shared" si="14"/>
        <v>#VALUE!</v>
      </c>
      <c r="Z20" s="10" t="e">
        <f t="shared" si="15"/>
        <v>#VALUE!</v>
      </c>
      <c r="AA20" s="15"/>
      <c r="AB20" s="7" t="e">
        <f t="shared" si="16"/>
        <v>#VALUE!</v>
      </c>
      <c r="AC20" s="8" t="e">
        <f t="shared" si="17"/>
        <v>#VALUE!</v>
      </c>
      <c r="AD20" s="10" t="e">
        <f t="shared" si="18"/>
        <v>#VALUE!</v>
      </c>
    </row>
    <row r="21" spans="1:31" x14ac:dyDescent="0.25">
      <c r="A21" s="27">
        <v>43298</v>
      </c>
      <c r="B21" s="7" t="str">
        <f>'[3]Production Summary'!$U203</f>
        <v/>
      </c>
      <c r="C21" s="8" t="e">
        <f t="shared" si="0"/>
        <v>#VALUE!</v>
      </c>
      <c r="D21" s="10" t="e">
        <f t="shared" si="1"/>
        <v>#VALUE!</v>
      </c>
      <c r="E21" s="7" t="str">
        <f>'[3]Production Summary'!$O203</f>
        <v/>
      </c>
      <c r="F21" s="8" t="e">
        <f t="shared" si="2"/>
        <v>#VALUE!</v>
      </c>
      <c r="G21" s="10" t="e">
        <f t="shared" si="3"/>
        <v>#VALUE!</v>
      </c>
      <c r="H21" s="7" t="str">
        <f>'[3]Production Summary'!$Q203</f>
        <v/>
      </c>
      <c r="I21" s="8" t="e">
        <f t="shared" si="4"/>
        <v>#VALUE!</v>
      </c>
      <c r="J21" s="10" t="e">
        <f t="shared" si="5"/>
        <v>#VALUE!</v>
      </c>
      <c r="K21" s="7" t="str">
        <f>'[3]Production Summary'!$T203</f>
        <v/>
      </c>
      <c r="L21" s="8" t="e">
        <f t="shared" si="6"/>
        <v>#VALUE!</v>
      </c>
      <c r="M21" s="10" t="e">
        <f t="shared" si="7"/>
        <v>#VALUE!</v>
      </c>
      <c r="N21" s="57"/>
      <c r="O21" s="7" t="str">
        <f>'[3]Production Summary'!$AL203</f>
        <v/>
      </c>
      <c r="P21" s="8" t="e">
        <f t="shared" si="8"/>
        <v>#VALUE!</v>
      </c>
      <c r="Q21" s="10" t="e">
        <f t="shared" si="9"/>
        <v>#VALUE!</v>
      </c>
      <c r="R21" s="7" t="str">
        <f>'[3]Production Summary'!$AI203</f>
        <v/>
      </c>
      <c r="S21" s="8" t="e">
        <f t="shared" si="10"/>
        <v>#VALUE!</v>
      </c>
      <c r="T21" s="10" t="e">
        <f t="shared" si="11"/>
        <v>#VALUE!</v>
      </c>
      <c r="U21" s="7" t="str">
        <f>'[3]Production Summary'!$AF203</f>
        <v/>
      </c>
      <c r="V21" s="8" t="e">
        <f t="shared" si="12"/>
        <v>#VALUE!</v>
      </c>
      <c r="W21" s="10" t="e">
        <f t="shared" si="13"/>
        <v>#VALUE!</v>
      </c>
      <c r="X21" s="7" t="str">
        <f>'[3]Production Summary'!$AJ203</f>
        <v/>
      </c>
      <c r="Y21" s="8" t="e">
        <f t="shared" si="14"/>
        <v>#VALUE!</v>
      </c>
      <c r="Z21" s="10" t="e">
        <f t="shared" si="15"/>
        <v>#VALUE!</v>
      </c>
      <c r="AA21" s="15"/>
      <c r="AB21" s="7" t="e">
        <f t="shared" si="16"/>
        <v>#VALUE!</v>
      </c>
      <c r="AC21" s="8" t="e">
        <f t="shared" si="17"/>
        <v>#VALUE!</v>
      </c>
      <c r="AD21" s="10" t="e">
        <f t="shared" si="18"/>
        <v>#VALUE!</v>
      </c>
    </row>
    <row r="22" spans="1:31" x14ac:dyDescent="0.25">
      <c r="A22" s="27">
        <v>43299</v>
      </c>
      <c r="B22" s="7" t="str">
        <f>'[3]Production Summary'!$U204</f>
        <v/>
      </c>
      <c r="C22" s="8" t="e">
        <f t="shared" si="0"/>
        <v>#VALUE!</v>
      </c>
      <c r="D22" s="10" t="e">
        <f t="shared" si="1"/>
        <v>#VALUE!</v>
      </c>
      <c r="E22" s="7" t="str">
        <f>'[3]Production Summary'!$O204</f>
        <v/>
      </c>
      <c r="F22" s="8" t="e">
        <f t="shared" si="2"/>
        <v>#VALUE!</v>
      </c>
      <c r="G22" s="10" t="e">
        <f t="shared" si="3"/>
        <v>#VALUE!</v>
      </c>
      <c r="H22" s="7" t="str">
        <f>'[3]Production Summary'!$Q204</f>
        <v/>
      </c>
      <c r="I22" s="8" t="e">
        <f t="shared" si="4"/>
        <v>#VALUE!</v>
      </c>
      <c r="J22" s="10" t="e">
        <f t="shared" si="5"/>
        <v>#VALUE!</v>
      </c>
      <c r="K22" s="7" t="str">
        <f>'[3]Production Summary'!$T204</f>
        <v/>
      </c>
      <c r="L22" s="8" t="e">
        <f t="shared" si="6"/>
        <v>#VALUE!</v>
      </c>
      <c r="M22" s="10" t="e">
        <f t="shared" si="7"/>
        <v>#VALUE!</v>
      </c>
      <c r="N22" s="57"/>
      <c r="O22" s="7" t="str">
        <f>'[3]Production Summary'!$AL204</f>
        <v/>
      </c>
      <c r="P22" s="8" t="e">
        <f t="shared" si="8"/>
        <v>#VALUE!</v>
      </c>
      <c r="Q22" s="10" t="e">
        <f t="shared" si="9"/>
        <v>#VALUE!</v>
      </c>
      <c r="R22" s="7" t="str">
        <f>'[3]Production Summary'!$AI204</f>
        <v/>
      </c>
      <c r="S22" s="8" t="e">
        <f t="shared" si="10"/>
        <v>#VALUE!</v>
      </c>
      <c r="T22" s="10" t="e">
        <f t="shared" si="11"/>
        <v>#VALUE!</v>
      </c>
      <c r="U22" s="7" t="str">
        <f>'[3]Production Summary'!$AF204</f>
        <v/>
      </c>
      <c r="V22" s="8" t="e">
        <f t="shared" si="12"/>
        <v>#VALUE!</v>
      </c>
      <c r="W22" s="10" t="e">
        <f t="shared" si="13"/>
        <v>#VALUE!</v>
      </c>
      <c r="X22" s="7" t="str">
        <f>'[3]Production Summary'!$AJ204</f>
        <v/>
      </c>
      <c r="Y22" s="8" t="e">
        <f t="shared" si="14"/>
        <v>#VALUE!</v>
      </c>
      <c r="Z22" s="10" t="e">
        <f t="shared" si="15"/>
        <v>#VALUE!</v>
      </c>
      <c r="AA22" s="15"/>
      <c r="AB22" s="7" t="e">
        <f t="shared" si="16"/>
        <v>#VALUE!</v>
      </c>
      <c r="AC22" s="8" t="e">
        <f t="shared" si="17"/>
        <v>#VALUE!</v>
      </c>
      <c r="AD22" s="10" t="e">
        <f t="shared" si="18"/>
        <v>#VALUE!</v>
      </c>
      <c r="AE22" s="18"/>
    </row>
    <row r="23" spans="1:31" x14ac:dyDescent="0.25">
      <c r="A23" s="27">
        <v>43300</v>
      </c>
      <c r="B23" s="7" t="str">
        <f>'[3]Production Summary'!$U205</f>
        <v/>
      </c>
      <c r="C23" s="8" t="e">
        <f t="shared" si="0"/>
        <v>#VALUE!</v>
      </c>
      <c r="D23" s="10" t="e">
        <f t="shared" si="1"/>
        <v>#VALUE!</v>
      </c>
      <c r="E23" s="7" t="str">
        <f>'[3]Production Summary'!$O205</f>
        <v/>
      </c>
      <c r="F23" s="8" t="e">
        <f t="shared" si="2"/>
        <v>#VALUE!</v>
      </c>
      <c r="G23" s="10" t="e">
        <f t="shared" si="3"/>
        <v>#VALUE!</v>
      </c>
      <c r="H23" s="7" t="str">
        <f>'[3]Production Summary'!$Q205</f>
        <v/>
      </c>
      <c r="I23" s="8" t="e">
        <f t="shared" si="4"/>
        <v>#VALUE!</v>
      </c>
      <c r="J23" s="10" t="e">
        <f t="shared" si="5"/>
        <v>#VALUE!</v>
      </c>
      <c r="K23" s="7" t="str">
        <f>'[3]Production Summary'!$T205</f>
        <v/>
      </c>
      <c r="L23" s="8" t="e">
        <f t="shared" si="6"/>
        <v>#VALUE!</v>
      </c>
      <c r="M23" s="10" t="e">
        <f t="shared" si="7"/>
        <v>#VALUE!</v>
      </c>
      <c r="N23" s="57"/>
      <c r="O23" s="7" t="str">
        <f>'[3]Production Summary'!$AL205</f>
        <v/>
      </c>
      <c r="P23" s="8" t="e">
        <f t="shared" si="8"/>
        <v>#VALUE!</v>
      </c>
      <c r="Q23" s="10" t="e">
        <f t="shared" si="9"/>
        <v>#VALUE!</v>
      </c>
      <c r="R23" s="7" t="str">
        <f>'[3]Production Summary'!$AI205</f>
        <v/>
      </c>
      <c r="S23" s="8" t="e">
        <f t="shared" si="10"/>
        <v>#VALUE!</v>
      </c>
      <c r="T23" s="10" t="e">
        <f t="shared" si="11"/>
        <v>#VALUE!</v>
      </c>
      <c r="U23" s="7" t="str">
        <f>'[3]Production Summary'!$AF205</f>
        <v/>
      </c>
      <c r="V23" s="8" t="e">
        <f t="shared" si="12"/>
        <v>#VALUE!</v>
      </c>
      <c r="W23" s="10" t="e">
        <f t="shared" si="13"/>
        <v>#VALUE!</v>
      </c>
      <c r="X23" s="7" t="str">
        <f>'[3]Production Summary'!$AJ205</f>
        <v/>
      </c>
      <c r="Y23" s="8" t="e">
        <f t="shared" si="14"/>
        <v>#VALUE!</v>
      </c>
      <c r="Z23" s="10" t="e">
        <f t="shared" si="15"/>
        <v>#VALUE!</v>
      </c>
      <c r="AA23" s="15"/>
      <c r="AB23" s="7" t="e">
        <f t="shared" si="16"/>
        <v>#VALUE!</v>
      </c>
      <c r="AC23" s="8" t="e">
        <f t="shared" si="17"/>
        <v>#VALUE!</v>
      </c>
      <c r="AD23" s="10" t="e">
        <f t="shared" si="18"/>
        <v>#VALUE!</v>
      </c>
    </row>
    <row r="24" spans="1:31" x14ac:dyDescent="0.25">
      <c r="A24" s="27">
        <v>43301</v>
      </c>
      <c r="B24" s="7" t="str">
        <f>'[3]Production Summary'!$U206</f>
        <v/>
      </c>
      <c r="C24" s="8" t="e">
        <f t="shared" si="0"/>
        <v>#VALUE!</v>
      </c>
      <c r="D24" s="10" t="e">
        <f t="shared" si="1"/>
        <v>#VALUE!</v>
      </c>
      <c r="E24" s="7" t="str">
        <f>'[3]Production Summary'!$O206</f>
        <v/>
      </c>
      <c r="F24" s="8" t="e">
        <f t="shared" si="2"/>
        <v>#VALUE!</v>
      </c>
      <c r="G24" s="10" t="e">
        <f t="shared" si="3"/>
        <v>#VALUE!</v>
      </c>
      <c r="H24" s="7" t="str">
        <f>'[3]Production Summary'!$Q206</f>
        <v/>
      </c>
      <c r="I24" s="8" t="e">
        <f t="shared" si="4"/>
        <v>#VALUE!</v>
      </c>
      <c r="J24" s="10" t="e">
        <f t="shared" si="5"/>
        <v>#VALUE!</v>
      </c>
      <c r="K24" s="7" t="str">
        <f>'[3]Production Summary'!$T206</f>
        <v/>
      </c>
      <c r="L24" s="8" t="e">
        <f t="shared" si="6"/>
        <v>#VALUE!</v>
      </c>
      <c r="M24" s="10" t="e">
        <f t="shared" si="7"/>
        <v>#VALUE!</v>
      </c>
      <c r="N24" s="57"/>
      <c r="O24" s="7" t="str">
        <f>'[3]Production Summary'!$AL206</f>
        <v/>
      </c>
      <c r="P24" s="8" t="e">
        <f t="shared" si="8"/>
        <v>#VALUE!</v>
      </c>
      <c r="Q24" s="10" t="e">
        <f t="shared" si="9"/>
        <v>#VALUE!</v>
      </c>
      <c r="R24" s="7" t="str">
        <f>'[3]Production Summary'!$AI206</f>
        <v/>
      </c>
      <c r="S24" s="8" t="e">
        <f t="shared" si="10"/>
        <v>#VALUE!</v>
      </c>
      <c r="T24" s="10" t="e">
        <f t="shared" si="11"/>
        <v>#VALUE!</v>
      </c>
      <c r="U24" s="7" t="str">
        <f>'[3]Production Summary'!$AF206</f>
        <v/>
      </c>
      <c r="V24" s="8" t="e">
        <f t="shared" si="12"/>
        <v>#VALUE!</v>
      </c>
      <c r="W24" s="10" t="e">
        <f t="shared" si="13"/>
        <v>#VALUE!</v>
      </c>
      <c r="X24" s="7" t="str">
        <f>'[3]Production Summary'!$AJ206</f>
        <v/>
      </c>
      <c r="Y24" s="8" t="e">
        <f t="shared" si="14"/>
        <v>#VALUE!</v>
      </c>
      <c r="Z24" s="10" t="e">
        <f t="shared" si="15"/>
        <v>#VALUE!</v>
      </c>
      <c r="AA24" s="15"/>
      <c r="AB24" s="7" t="e">
        <f t="shared" si="16"/>
        <v>#VALUE!</v>
      </c>
      <c r="AC24" s="8" t="e">
        <f t="shared" si="17"/>
        <v>#VALUE!</v>
      </c>
      <c r="AD24" s="10" t="e">
        <f t="shared" si="18"/>
        <v>#VALUE!</v>
      </c>
    </row>
    <row r="25" spans="1:31" x14ac:dyDescent="0.25">
      <c r="A25" s="27">
        <v>43302</v>
      </c>
      <c r="B25" s="7" t="str">
        <f>'[3]Production Summary'!$U207</f>
        <v/>
      </c>
      <c r="C25" s="8" t="e">
        <f t="shared" si="0"/>
        <v>#VALUE!</v>
      </c>
      <c r="D25" s="10" t="e">
        <f t="shared" si="1"/>
        <v>#VALUE!</v>
      </c>
      <c r="E25" s="7" t="str">
        <f>'[3]Production Summary'!$O207</f>
        <v/>
      </c>
      <c r="F25" s="8" t="e">
        <f t="shared" si="2"/>
        <v>#VALUE!</v>
      </c>
      <c r="G25" s="10" t="e">
        <f t="shared" si="3"/>
        <v>#VALUE!</v>
      </c>
      <c r="H25" s="7" t="str">
        <f>'[3]Production Summary'!$Q207</f>
        <v/>
      </c>
      <c r="I25" s="8" t="e">
        <f t="shared" si="4"/>
        <v>#VALUE!</v>
      </c>
      <c r="J25" s="10" t="e">
        <f t="shared" si="5"/>
        <v>#VALUE!</v>
      </c>
      <c r="K25" s="7" t="str">
        <f>'[3]Production Summary'!$T207</f>
        <v/>
      </c>
      <c r="L25" s="8" t="e">
        <f t="shared" si="6"/>
        <v>#VALUE!</v>
      </c>
      <c r="M25" s="10" t="e">
        <f t="shared" si="7"/>
        <v>#VALUE!</v>
      </c>
      <c r="N25" s="57"/>
      <c r="O25" s="7" t="str">
        <f>'[3]Production Summary'!$AL207</f>
        <v/>
      </c>
      <c r="P25" s="8" t="e">
        <f t="shared" si="8"/>
        <v>#VALUE!</v>
      </c>
      <c r="Q25" s="10" t="e">
        <f t="shared" si="9"/>
        <v>#VALUE!</v>
      </c>
      <c r="R25" s="7" t="str">
        <f>'[3]Production Summary'!$AI207</f>
        <v/>
      </c>
      <c r="S25" s="8" t="e">
        <f t="shared" si="10"/>
        <v>#VALUE!</v>
      </c>
      <c r="T25" s="10" t="e">
        <f t="shared" si="11"/>
        <v>#VALUE!</v>
      </c>
      <c r="U25" s="7" t="str">
        <f>'[3]Production Summary'!$AF207</f>
        <v/>
      </c>
      <c r="V25" s="8" t="e">
        <f t="shared" si="12"/>
        <v>#VALUE!</v>
      </c>
      <c r="W25" s="10" t="e">
        <f t="shared" si="13"/>
        <v>#VALUE!</v>
      </c>
      <c r="X25" s="7" t="str">
        <f>'[3]Production Summary'!$AJ207</f>
        <v/>
      </c>
      <c r="Y25" s="8" t="e">
        <f t="shared" si="14"/>
        <v>#VALUE!</v>
      </c>
      <c r="Z25" s="10" t="e">
        <f t="shared" si="15"/>
        <v>#VALUE!</v>
      </c>
      <c r="AA25" s="15"/>
      <c r="AB25" s="7" t="e">
        <f t="shared" si="16"/>
        <v>#VALUE!</v>
      </c>
      <c r="AC25" s="8" t="e">
        <f t="shared" si="17"/>
        <v>#VALUE!</v>
      </c>
      <c r="AD25" s="10" t="e">
        <f t="shared" si="18"/>
        <v>#VALUE!</v>
      </c>
    </row>
    <row r="26" spans="1:31" x14ac:dyDescent="0.25">
      <c r="A26" s="27">
        <v>43303</v>
      </c>
      <c r="B26" s="7" t="str">
        <f>'[3]Production Summary'!$U208</f>
        <v/>
      </c>
      <c r="C26" s="8" t="e">
        <f t="shared" si="0"/>
        <v>#VALUE!</v>
      </c>
      <c r="D26" s="10" t="e">
        <f t="shared" si="1"/>
        <v>#VALUE!</v>
      </c>
      <c r="E26" s="7" t="str">
        <f>'[3]Production Summary'!$O208</f>
        <v/>
      </c>
      <c r="F26" s="8" t="e">
        <f t="shared" si="2"/>
        <v>#VALUE!</v>
      </c>
      <c r="G26" s="10" t="e">
        <f t="shared" si="3"/>
        <v>#VALUE!</v>
      </c>
      <c r="H26" s="7" t="str">
        <f>'[3]Production Summary'!$Q208</f>
        <v/>
      </c>
      <c r="I26" s="8" t="e">
        <f t="shared" si="4"/>
        <v>#VALUE!</v>
      </c>
      <c r="J26" s="10" t="e">
        <f t="shared" si="5"/>
        <v>#VALUE!</v>
      </c>
      <c r="K26" s="7" t="str">
        <f>'[3]Production Summary'!$T208</f>
        <v/>
      </c>
      <c r="L26" s="8" t="e">
        <f t="shared" si="6"/>
        <v>#VALUE!</v>
      </c>
      <c r="M26" s="10" t="e">
        <f t="shared" si="7"/>
        <v>#VALUE!</v>
      </c>
      <c r="N26" s="57"/>
      <c r="O26" s="7" t="str">
        <f>'[3]Production Summary'!$AL208</f>
        <v/>
      </c>
      <c r="P26" s="8" t="e">
        <f t="shared" si="8"/>
        <v>#VALUE!</v>
      </c>
      <c r="Q26" s="10" t="e">
        <f t="shared" si="9"/>
        <v>#VALUE!</v>
      </c>
      <c r="R26" s="7" t="str">
        <f>'[3]Production Summary'!$AI208</f>
        <v/>
      </c>
      <c r="S26" s="8" t="e">
        <f t="shared" si="10"/>
        <v>#VALUE!</v>
      </c>
      <c r="T26" s="10" t="e">
        <f t="shared" si="11"/>
        <v>#VALUE!</v>
      </c>
      <c r="U26" s="7" t="str">
        <f>'[3]Production Summary'!$AF208</f>
        <v/>
      </c>
      <c r="V26" s="8" t="e">
        <f t="shared" si="12"/>
        <v>#VALUE!</v>
      </c>
      <c r="W26" s="10" t="e">
        <f t="shared" si="13"/>
        <v>#VALUE!</v>
      </c>
      <c r="X26" s="7" t="str">
        <f>'[3]Production Summary'!$AJ208</f>
        <v/>
      </c>
      <c r="Y26" s="8" t="e">
        <f t="shared" si="14"/>
        <v>#VALUE!</v>
      </c>
      <c r="Z26" s="10" t="e">
        <f t="shared" si="15"/>
        <v>#VALUE!</v>
      </c>
      <c r="AA26" s="15"/>
      <c r="AB26" s="7" t="e">
        <f t="shared" si="16"/>
        <v>#VALUE!</v>
      </c>
      <c r="AC26" s="8" t="e">
        <f t="shared" si="17"/>
        <v>#VALUE!</v>
      </c>
      <c r="AD26" s="10" t="e">
        <f t="shared" si="18"/>
        <v>#VALUE!</v>
      </c>
    </row>
    <row r="27" spans="1:31" x14ac:dyDescent="0.25">
      <c r="A27" s="27">
        <v>43304</v>
      </c>
      <c r="B27" s="7" t="str">
        <f>'[3]Production Summary'!$U209</f>
        <v/>
      </c>
      <c r="C27" s="8" t="e">
        <f t="shared" si="0"/>
        <v>#VALUE!</v>
      </c>
      <c r="D27" s="10" t="e">
        <f t="shared" si="1"/>
        <v>#VALUE!</v>
      </c>
      <c r="E27" s="7" t="str">
        <f>'[3]Production Summary'!$O209</f>
        <v/>
      </c>
      <c r="F27" s="8" t="e">
        <f t="shared" si="2"/>
        <v>#VALUE!</v>
      </c>
      <c r="G27" s="10" t="e">
        <f t="shared" si="3"/>
        <v>#VALUE!</v>
      </c>
      <c r="H27" s="7" t="str">
        <f>'[3]Production Summary'!$Q209</f>
        <v/>
      </c>
      <c r="I27" s="8" t="e">
        <f t="shared" si="4"/>
        <v>#VALUE!</v>
      </c>
      <c r="J27" s="10" t="e">
        <f t="shared" si="5"/>
        <v>#VALUE!</v>
      </c>
      <c r="K27" s="7" t="str">
        <f>'[3]Production Summary'!$T209</f>
        <v/>
      </c>
      <c r="L27" s="8" t="e">
        <f t="shared" si="6"/>
        <v>#VALUE!</v>
      </c>
      <c r="M27" s="10" t="e">
        <f t="shared" si="7"/>
        <v>#VALUE!</v>
      </c>
      <c r="N27" s="57"/>
      <c r="O27" s="7" t="str">
        <f>'[3]Production Summary'!$AL209</f>
        <v/>
      </c>
      <c r="P27" s="8" t="e">
        <f t="shared" si="8"/>
        <v>#VALUE!</v>
      </c>
      <c r="Q27" s="10" t="e">
        <f t="shared" si="9"/>
        <v>#VALUE!</v>
      </c>
      <c r="R27" s="7" t="str">
        <f>'[3]Production Summary'!$AI209</f>
        <v/>
      </c>
      <c r="S27" s="8" t="e">
        <f t="shared" si="10"/>
        <v>#VALUE!</v>
      </c>
      <c r="T27" s="10" t="e">
        <f t="shared" si="11"/>
        <v>#VALUE!</v>
      </c>
      <c r="U27" s="7" t="str">
        <f>'[3]Production Summary'!$AF209</f>
        <v/>
      </c>
      <c r="V27" s="8" t="e">
        <f t="shared" si="12"/>
        <v>#VALUE!</v>
      </c>
      <c r="W27" s="10" t="e">
        <f t="shared" si="13"/>
        <v>#VALUE!</v>
      </c>
      <c r="X27" s="7" t="str">
        <f>'[3]Production Summary'!$AJ209</f>
        <v/>
      </c>
      <c r="Y27" s="8" t="e">
        <f t="shared" si="14"/>
        <v>#VALUE!</v>
      </c>
      <c r="Z27" s="10" t="e">
        <f t="shared" si="15"/>
        <v>#VALUE!</v>
      </c>
      <c r="AA27" s="15"/>
      <c r="AB27" s="7" t="e">
        <f t="shared" si="16"/>
        <v>#VALUE!</v>
      </c>
      <c r="AC27" s="8" t="e">
        <f t="shared" si="17"/>
        <v>#VALUE!</v>
      </c>
      <c r="AD27" s="10" t="e">
        <f t="shared" si="18"/>
        <v>#VALUE!</v>
      </c>
    </row>
    <row r="28" spans="1:31" x14ac:dyDescent="0.25">
      <c r="A28" s="27">
        <v>43305</v>
      </c>
      <c r="B28" s="7" t="str">
        <f>'[3]Production Summary'!$U210</f>
        <v/>
      </c>
      <c r="C28" s="8" t="e">
        <f t="shared" si="0"/>
        <v>#VALUE!</v>
      </c>
      <c r="D28" s="10" t="e">
        <f t="shared" si="1"/>
        <v>#VALUE!</v>
      </c>
      <c r="E28" s="7" t="str">
        <f>'[3]Production Summary'!$O210</f>
        <v/>
      </c>
      <c r="F28" s="8" t="e">
        <f t="shared" si="2"/>
        <v>#VALUE!</v>
      </c>
      <c r="G28" s="10" t="e">
        <f t="shared" si="3"/>
        <v>#VALUE!</v>
      </c>
      <c r="H28" s="7" t="str">
        <f>'[3]Production Summary'!$Q210</f>
        <v/>
      </c>
      <c r="I28" s="8" t="e">
        <f t="shared" si="4"/>
        <v>#VALUE!</v>
      </c>
      <c r="J28" s="10" t="e">
        <f t="shared" si="5"/>
        <v>#VALUE!</v>
      </c>
      <c r="K28" s="7" t="str">
        <f>'[3]Production Summary'!$T210</f>
        <v/>
      </c>
      <c r="L28" s="8" t="e">
        <f t="shared" si="6"/>
        <v>#VALUE!</v>
      </c>
      <c r="M28" s="10" t="e">
        <f t="shared" si="7"/>
        <v>#VALUE!</v>
      </c>
      <c r="N28" s="57"/>
      <c r="O28" s="7" t="str">
        <f>'[3]Production Summary'!$AL210</f>
        <v/>
      </c>
      <c r="P28" s="8" t="e">
        <f t="shared" si="8"/>
        <v>#VALUE!</v>
      </c>
      <c r="Q28" s="10" t="e">
        <f t="shared" si="9"/>
        <v>#VALUE!</v>
      </c>
      <c r="R28" s="7" t="str">
        <f>'[3]Production Summary'!$AI210</f>
        <v/>
      </c>
      <c r="S28" s="8" t="e">
        <f t="shared" si="10"/>
        <v>#VALUE!</v>
      </c>
      <c r="T28" s="10" t="e">
        <f t="shared" si="11"/>
        <v>#VALUE!</v>
      </c>
      <c r="U28" s="7" t="str">
        <f>'[3]Production Summary'!$AF210</f>
        <v/>
      </c>
      <c r="V28" s="8" t="e">
        <f t="shared" si="12"/>
        <v>#VALUE!</v>
      </c>
      <c r="W28" s="10" t="e">
        <f t="shared" si="13"/>
        <v>#VALUE!</v>
      </c>
      <c r="X28" s="7" t="str">
        <f>'[3]Production Summary'!$AJ210</f>
        <v/>
      </c>
      <c r="Y28" s="8" t="e">
        <f t="shared" si="14"/>
        <v>#VALUE!</v>
      </c>
      <c r="Z28" s="10" t="e">
        <f t="shared" si="15"/>
        <v>#VALUE!</v>
      </c>
      <c r="AA28" s="15"/>
      <c r="AB28" s="7" t="e">
        <f t="shared" si="16"/>
        <v>#VALUE!</v>
      </c>
      <c r="AC28" s="8" t="e">
        <f t="shared" si="17"/>
        <v>#VALUE!</v>
      </c>
      <c r="AD28" s="10" t="e">
        <f t="shared" si="18"/>
        <v>#VALUE!</v>
      </c>
    </row>
    <row r="29" spans="1:31" x14ac:dyDescent="0.25">
      <c r="A29" s="27">
        <v>43306</v>
      </c>
      <c r="B29" s="7" t="str">
        <f>'[3]Production Summary'!$U211</f>
        <v/>
      </c>
      <c r="C29" s="8" t="e">
        <f t="shared" si="0"/>
        <v>#VALUE!</v>
      </c>
      <c r="D29" s="10" t="e">
        <f t="shared" si="1"/>
        <v>#VALUE!</v>
      </c>
      <c r="E29" s="7" t="str">
        <f>'[3]Production Summary'!$O211</f>
        <v/>
      </c>
      <c r="F29" s="8" t="e">
        <f t="shared" si="2"/>
        <v>#VALUE!</v>
      </c>
      <c r="G29" s="10" t="e">
        <f t="shared" si="3"/>
        <v>#VALUE!</v>
      </c>
      <c r="H29" s="7" t="str">
        <f>'[3]Production Summary'!$Q211</f>
        <v/>
      </c>
      <c r="I29" s="8" t="e">
        <f t="shared" si="4"/>
        <v>#VALUE!</v>
      </c>
      <c r="J29" s="10" t="e">
        <f t="shared" si="5"/>
        <v>#VALUE!</v>
      </c>
      <c r="K29" s="7" t="str">
        <f>'[3]Production Summary'!$T211</f>
        <v/>
      </c>
      <c r="L29" s="8" t="e">
        <f t="shared" si="6"/>
        <v>#VALUE!</v>
      </c>
      <c r="M29" s="10" t="e">
        <f t="shared" si="7"/>
        <v>#VALUE!</v>
      </c>
      <c r="N29" s="57"/>
      <c r="O29" s="7" t="str">
        <f>'[3]Production Summary'!$AL211</f>
        <v/>
      </c>
      <c r="P29" s="8" t="e">
        <f t="shared" si="8"/>
        <v>#VALUE!</v>
      </c>
      <c r="Q29" s="10" t="e">
        <f t="shared" si="9"/>
        <v>#VALUE!</v>
      </c>
      <c r="R29" s="7" t="str">
        <f>'[3]Production Summary'!$AI211</f>
        <v/>
      </c>
      <c r="S29" s="8" t="e">
        <f t="shared" si="10"/>
        <v>#VALUE!</v>
      </c>
      <c r="T29" s="10" t="e">
        <f t="shared" si="11"/>
        <v>#VALUE!</v>
      </c>
      <c r="U29" s="7" t="str">
        <f>'[3]Production Summary'!$AF211</f>
        <v/>
      </c>
      <c r="V29" s="8" t="e">
        <f t="shared" si="12"/>
        <v>#VALUE!</v>
      </c>
      <c r="W29" s="10" t="e">
        <f t="shared" si="13"/>
        <v>#VALUE!</v>
      </c>
      <c r="X29" s="7" t="str">
        <f>'[3]Production Summary'!$AJ211</f>
        <v/>
      </c>
      <c r="Y29" s="8" t="e">
        <f t="shared" si="14"/>
        <v>#VALUE!</v>
      </c>
      <c r="Z29" s="10" t="e">
        <f t="shared" si="15"/>
        <v>#VALUE!</v>
      </c>
      <c r="AA29" s="15"/>
      <c r="AB29" s="7" t="e">
        <f t="shared" si="16"/>
        <v>#VALUE!</v>
      </c>
      <c r="AC29" s="8" t="e">
        <f t="shared" si="17"/>
        <v>#VALUE!</v>
      </c>
      <c r="AD29" s="10" t="e">
        <f t="shared" si="18"/>
        <v>#VALUE!</v>
      </c>
    </row>
    <row r="30" spans="1:31" x14ac:dyDescent="0.25">
      <c r="A30" s="27">
        <v>43307</v>
      </c>
      <c r="B30" s="7" t="str">
        <f>'[3]Production Summary'!$U212</f>
        <v/>
      </c>
      <c r="C30" s="8" t="e">
        <f t="shared" si="0"/>
        <v>#VALUE!</v>
      </c>
      <c r="D30" s="10" t="e">
        <f t="shared" si="1"/>
        <v>#VALUE!</v>
      </c>
      <c r="E30" s="7" t="str">
        <f>'[3]Production Summary'!$O212</f>
        <v/>
      </c>
      <c r="F30" s="8" t="e">
        <f t="shared" si="2"/>
        <v>#VALUE!</v>
      </c>
      <c r="G30" s="10" t="e">
        <f t="shared" si="3"/>
        <v>#VALUE!</v>
      </c>
      <c r="H30" s="7" t="str">
        <f>'[3]Production Summary'!$Q212</f>
        <v/>
      </c>
      <c r="I30" s="8" t="e">
        <f t="shared" si="4"/>
        <v>#VALUE!</v>
      </c>
      <c r="J30" s="10" t="e">
        <f t="shared" si="5"/>
        <v>#VALUE!</v>
      </c>
      <c r="K30" s="7" t="str">
        <f>'[3]Production Summary'!$T212</f>
        <v/>
      </c>
      <c r="L30" s="8" t="e">
        <f t="shared" si="6"/>
        <v>#VALUE!</v>
      </c>
      <c r="M30" s="10" t="e">
        <f t="shared" si="7"/>
        <v>#VALUE!</v>
      </c>
      <c r="N30" s="57"/>
      <c r="O30" s="7" t="str">
        <f>'[3]Production Summary'!$AL212</f>
        <v/>
      </c>
      <c r="P30" s="8" t="e">
        <f t="shared" si="8"/>
        <v>#VALUE!</v>
      </c>
      <c r="Q30" s="10" t="e">
        <f t="shared" si="9"/>
        <v>#VALUE!</v>
      </c>
      <c r="R30" s="7" t="str">
        <f>'[3]Production Summary'!$AI212</f>
        <v/>
      </c>
      <c r="S30" s="8" t="e">
        <f t="shared" si="10"/>
        <v>#VALUE!</v>
      </c>
      <c r="T30" s="10" t="e">
        <f t="shared" si="11"/>
        <v>#VALUE!</v>
      </c>
      <c r="U30" s="7" t="str">
        <f>'[3]Production Summary'!$AF212</f>
        <v/>
      </c>
      <c r="V30" s="8" t="e">
        <f t="shared" si="12"/>
        <v>#VALUE!</v>
      </c>
      <c r="W30" s="10" t="e">
        <f t="shared" si="13"/>
        <v>#VALUE!</v>
      </c>
      <c r="X30" s="7" t="str">
        <f>'[3]Production Summary'!$AJ212</f>
        <v/>
      </c>
      <c r="Y30" s="8" t="e">
        <f t="shared" si="14"/>
        <v>#VALUE!</v>
      </c>
      <c r="Z30" s="10" t="e">
        <f t="shared" si="15"/>
        <v>#VALUE!</v>
      </c>
      <c r="AA30" s="15"/>
      <c r="AB30" s="7" t="e">
        <f t="shared" si="16"/>
        <v>#VALUE!</v>
      </c>
      <c r="AC30" s="8" t="e">
        <f t="shared" si="17"/>
        <v>#VALUE!</v>
      </c>
      <c r="AD30" s="10" t="e">
        <f t="shared" si="18"/>
        <v>#VALUE!</v>
      </c>
    </row>
    <row r="31" spans="1:31" x14ac:dyDescent="0.25">
      <c r="A31" s="27">
        <v>43308</v>
      </c>
      <c r="B31" s="7" t="str">
        <f>'[3]Production Summary'!$U213</f>
        <v/>
      </c>
      <c r="C31" s="8" t="e">
        <f t="shared" si="0"/>
        <v>#VALUE!</v>
      </c>
      <c r="D31" s="10" t="e">
        <f t="shared" si="1"/>
        <v>#VALUE!</v>
      </c>
      <c r="E31" s="7" t="str">
        <f>'[3]Production Summary'!$O213</f>
        <v/>
      </c>
      <c r="F31" s="8" t="e">
        <f t="shared" si="2"/>
        <v>#VALUE!</v>
      </c>
      <c r="G31" s="10" t="e">
        <f t="shared" si="3"/>
        <v>#VALUE!</v>
      </c>
      <c r="H31" s="7" t="str">
        <f>'[3]Production Summary'!$Q213</f>
        <v/>
      </c>
      <c r="I31" s="8" t="e">
        <f t="shared" si="4"/>
        <v>#VALUE!</v>
      </c>
      <c r="J31" s="10" t="e">
        <f t="shared" si="5"/>
        <v>#VALUE!</v>
      </c>
      <c r="K31" s="7" t="str">
        <f>'[3]Production Summary'!$T213</f>
        <v/>
      </c>
      <c r="L31" s="8" t="e">
        <f t="shared" si="6"/>
        <v>#VALUE!</v>
      </c>
      <c r="M31" s="10" t="e">
        <f t="shared" si="7"/>
        <v>#VALUE!</v>
      </c>
      <c r="N31" s="57"/>
      <c r="O31" s="7" t="str">
        <f>'[3]Production Summary'!$AL213</f>
        <v/>
      </c>
      <c r="P31" s="8" t="e">
        <f t="shared" si="8"/>
        <v>#VALUE!</v>
      </c>
      <c r="Q31" s="10" t="e">
        <f t="shared" si="9"/>
        <v>#VALUE!</v>
      </c>
      <c r="R31" s="7" t="str">
        <f>'[3]Production Summary'!$AI213</f>
        <v/>
      </c>
      <c r="S31" s="8" t="e">
        <f t="shared" si="10"/>
        <v>#VALUE!</v>
      </c>
      <c r="T31" s="10" t="e">
        <f t="shared" si="11"/>
        <v>#VALUE!</v>
      </c>
      <c r="U31" s="7" t="str">
        <f>'[3]Production Summary'!$AF213</f>
        <v/>
      </c>
      <c r="V31" s="8" t="e">
        <f t="shared" si="12"/>
        <v>#VALUE!</v>
      </c>
      <c r="W31" s="10" t="e">
        <f t="shared" si="13"/>
        <v>#VALUE!</v>
      </c>
      <c r="X31" s="7" t="str">
        <f>'[3]Production Summary'!$AJ213</f>
        <v/>
      </c>
      <c r="Y31" s="8" t="e">
        <f t="shared" si="14"/>
        <v>#VALUE!</v>
      </c>
      <c r="Z31" s="10" t="e">
        <f t="shared" si="15"/>
        <v>#VALUE!</v>
      </c>
      <c r="AA31" s="15"/>
      <c r="AB31" s="7" t="e">
        <f t="shared" si="16"/>
        <v>#VALUE!</v>
      </c>
      <c r="AC31" s="8" t="e">
        <f t="shared" si="17"/>
        <v>#VALUE!</v>
      </c>
      <c r="AD31" s="10" t="e">
        <f t="shared" si="18"/>
        <v>#VALUE!</v>
      </c>
    </row>
    <row r="32" spans="1:31" x14ac:dyDescent="0.25">
      <c r="A32" s="27">
        <v>43309</v>
      </c>
      <c r="B32" s="7" t="str">
        <f>'[3]Production Summary'!$U214</f>
        <v/>
      </c>
      <c r="C32" s="8" t="e">
        <f t="shared" si="0"/>
        <v>#VALUE!</v>
      </c>
      <c r="D32" s="10" t="e">
        <f t="shared" si="1"/>
        <v>#VALUE!</v>
      </c>
      <c r="E32" s="7" t="str">
        <f>'[3]Production Summary'!$O214</f>
        <v/>
      </c>
      <c r="F32" s="8" t="e">
        <f t="shared" si="2"/>
        <v>#VALUE!</v>
      </c>
      <c r="G32" s="10" t="e">
        <f t="shared" si="3"/>
        <v>#VALUE!</v>
      </c>
      <c r="H32" s="7" t="str">
        <f>'[3]Production Summary'!$Q214</f>
        <v/>
      </c>
      <c r="I32" s="8" t="e">
        <f t="shared" si="4"/>
        <v>#VALUE!</v>
      </c>
      <c r="J32" s="10" t="e">
        <f t="shared" si="5"/>
        <v>#VALUE!</v>
      </c>
      <c r="K32" s="7" t="str">
        <f>'[3]Production Summary'!$T214</f>
        <v/>
      </c>
      <c r="L32" s="8" t="e">
        <f t="shared" si="6"/>
        <v>#VALUE!</v>
      </c>
      <c r="M32" s="10" t="e">
        <f t="shared" si="7"/>
        <v>#VALUE!</v>
      </c>
      <c r="N32" s="57"/>
      <c r="O32" s="7" t="str">
        <f>'[3]Production Summary'!$AL214</f>
        <v/>
      </c>
      <c r="P32" s="8" t="e">
        <f t="shared" si="8"/>
        <v>#VALUE!</v>
      </c>
      <c r="Q32" s="10" t="e">
        <f t="shared" si="9"/>
        <v>#VALUE!</v>
      </c>
      <c r="R32" s="7" t="str">
        <f>'[3]Production Summary'!$AI214</f>
        <v/>
      </c>
      <c r="S32" s="8" t="e">
        <f t="shared" si="10"/>
        <v>#VALUE!</v>
      </c>
      <c r="T32" s="10" t="e">
        <f t="shared" si="11"/>
        <v>#VALUE!</v>
      </c>
      <c r="U32" s="7" t="str">
        <f>'[3]Production Summary'!$AF214</f>
        <v/>
      </c>
      <c r="V32" s="8" t="e">
        <f t="shared" si="12"/>
        <v>#VALUE!</v>
      </c>
      <c r="W32" s="10" t="e">
        <f t="shared" si="13"/>
        <v>#VALUE!</v>
      </c>
      <c r="X32" s="7" t="str">
        <f>'[3]Production Summary'!$AJ214</f>
        <v/>
      </c>
      <c r="Y32" s="8" t="e">
        <f t="shared" si="14"/>
        <v>#VALUE!</v>
      </c>
      <c r="Z32" s="10" t="e">
        <f t="shared" si="15"/>
        <v>#VALUE!</v>
      </c>
      <c r="AA32" s="15"/>
      <c r="AB32" s="7" t="e">
        <f t="shared" si="16"/>
        <v>#VALUE!</v>
      </c>
      <c r="AC32" s="8" t="e">
        <f t="shared" si="17"/>
        <v>#VALUE!</v>
      </c>
      <c r="AD32" s="10" t="e">
        <f t="shared" si="18"/>
        <v>#VALUE!</v>
      </c>
    </row>
    <row r="33" spans="1:30" x14ac:dyDescent="0.25">
      <c r="A33" s="27">
        <v>43310</v>
      </c>
      <c r="B33" s="7" t="str">
        <f>'[3]Production Summary'!$U215</f>
        <v/>
      </c>
      <c r="C33" s="8" t="e">
        <f t="shared" si="0"/>
        <v>#VALUE!</v>
      </c>
      <c r="D33" s="10" t="e">
        <f t="shared" si="1"/>
        <v>#VALUE!</v>
      </c>
      <c r="E33" s="7" t="str">
        <f>'[3]Production Summary'!$O215</f>
        <v/>
      </c>
      <c r="F33" s="8" t="e">
        <f t="shared" si="2"/>
        <v>#VALUE!</v>
      </c>
      <c r="G33" s="10" t="e">
        <f t="shared" si="3"/>
        <v>#VALUE!</v>
      </c>
      <c r="H33" s="7" t="str">
        <f>'[3]Production Summary'!$Q215</f>
        <v/>
      </c>
      <c r="I33" s="8" t="e">
        <f t="shared" si="4"/>
        <v>#VALUE!</v>
      </c>
      <c r="J33" s="10" t="e">
        <f t="shared" si="5"/>
        <v>#VALUE!</v>
      </c>
      <c r="K33" s="7" t="str">
        <f>'[3]Production Summary'!$T215</f>
        <v/>
      </c>
      <c r="L33" s="8" t="e">
        <f t="shared" si="6"/>
        <v>#VALUE!</v>
      </c>
      <c r="M33" s="10" t="e">
        <f t="shared" si="7"/>
        <v>#VALUE!</v>
      </c>
      <c r="N33" s="57"/>
      <c r="O33" s="7" t="str">
        <f>'[3]Production Summary'!$AL215</f>
        <v/>
      </c>
      <c r="P33" s="8" t="e">
        <f t="shared" si="8"/>
        <v>#VALUE!</v>
      </c>
      <c r="Q33" s="10" t="e">
        <f t="shared" si="9"/>
        <v>#VALUE!</v>
      </c>
      <c r="R33" s="7" t="str">
        <f>'[3]Production Summary'!$AI215</f>
        <v/>
      </c>
      <c r="S33" s="8" t="e">
        <f t="shared" si="10"/>
        <v>#VALUE!</v>
      </c>
      <c r="T33" s="10" t="e">
        <f t="shared" si="11"/>
        <v>#VALUE!</v>
      </c>
      <c r="U33" s="7" t="str">
        <f>'[3]Production Summary'!$AF215</f>
        <v/>
      </c>
      <c r="V33" s="8" t="e">
        <f t="shared" si="12"/>
        <v>#VALUE!</v>
      </c>
      <c r="W33" s="10" t="e">
        <f t="shared" si="13"/>
        <v>#VALUE!</v>
      </c>
      <c r="X33" s="7" t="str">
        <f>'[3]Production Summary'!$AJ215</f>
        <v/>
      </c>
      <c r="Y33" s="8" t="e">
        <f t="shared" si="14"/>
        <v>#VALUE!</v>
      </c>
      <c r="Z33" s="10" t="e">
        <f t="shared" si="15"/>
        <v>#VALUE!</v>
      </c>
      <c r="AA33" s="15"/>
      <c r="AB33" s="7" t="e">
        <f t="shared" si="16"/>
        <v>#VALUE!</v>
      </c>
      <c r="AC33" s="8" t="e">
        <f t="shared" si="17"/>
        <v>#VALUE!</v>
      </c>
      <c r="AD33" s="10" t="e">
        <f t="shared" si="18"/>
        <v>#VALUE!</v>
      </c>
    </row>
    <row r="34" spans="1:30" x14ac:dyDescent="0.25">
      <c r="A34" s="27">
        <v>43311</v>
      </c>
      <c r="B34" s="7" t="str">
        <f>'[3]Production Summary'!$U216</f>
        <v/>
      </c>
      <c r="C34" s="8" t="e">
        <f t="shared" si="0"/>
        <v>#VALUE!</v>
      </c>
      <c r="D34" s="10" t="e">
        <f t="shared" si="1"/>
        <v>#VALUE!</v>
      </c>
      <c r="E34" s="7" t="str">
        <f>'[3]Production Summary'!$O216</f>
        <v/>
      </c>
      <c r="F34" s="8" t="e">
        <f t="shared" si="2"/>
        <v>#VALUE!</v>
      </c>
      <c r="G34" s="10" t="e">
        <f t="shared" si="3"/>
        <v>#VALUE!</v>
      </c>
      <c r="H34" s="7" t="str">
        <f>'[3]Production Summary'!$Q216</f>
        <v/>
      </c>
      <c r="I34" s="8" t="e">
        <f t="shared" si="4"/>
        <v>#VALUE!</v>
      </c>
      <c r="J34" s="10" t="e">
        <f t="shared" si="5"/>
        <v>#VALUE!</v>
      </c>
      <c r="K34" s="7" t="str">
        <f>'[3]Production Summary'!$T216</f>
        <v/>
      </c>
      <c r="L34" s="8" t="e">
        <f t="shared" si="6"/>
        <v>#VALUE!</v>
      </c>
      <c r="M34" s="10" t="e">
        <f t="shared" si="7"/>
        <v>#VALUE!</v>
      </c>
      <c r="N34" s="57"/>
      <c r="O34" s="7" t="str">
        <f>'[3]Production Summary'!$AL216</f>
        <v/>
      </c>
      <c r="P34" s="8" t="e">
        <f t="shared" si="8"/>
        <v>#VALUE!</v>
      </c>
      <c r="Q34" s="10" t="e">
        <f t="shared" si="9"/>
        <v>#VALUE!</v>
      </c>
      <c r="R34" s="7" t="str">
        <f>'[3]Production Summary'!$AI216</f>
        <v/>
      </c>
      <c r="S34" s="8" t="e">
        <f t="shared" si="10"/>
        <v>#VALUE!</v>
      </c>
      <c r="T34" s="10" t="e">
        <f t="shared" si="11"/>
        <v>#VALUE!</v>
      </c>
      <c r="U34" s="7" t="str">
        <f>'[3]Production Summary'!$AF216</f>
        <v/>
      </c>
      <c r="V34" s="8" t="e">
        <f t="shared" si="12"/>
        <v>#VALUE!</v>
      </c>
      <c r="W34" s="10" t="e">
        <f t="shared" si="13"/>
        <v>#VALUE!</v>
      </c>
      <c r="X34" s="7" t="str">
        <f>'[3]Production Summary'!$AJ216</f>
        <v/>
      </c>
      <c r="Y34" s="8" t="e">
        <f t="shared" si="14"/>
        <v>#VALUE!</v>
      </c>
      <c r="Z34" s="10" t="e">
        <f t="shared" si="15"/>
        <v>#VALUE!</v>
      </c>
      <c r="AA34" s="15"/>
      <c r="AB34" s="7" t="e">
        <f t="shared" si="16"/>
        <v>#VALUE!</v>
      </c>
      <c r="AC34" s="8" t="e">
        <f t="shared" si="17"/>
        <v>#VALUE!</v>
      </c>
      <c r="AD34" s="10" t="e">
        <f t="shared" si="18"/>
        <v>#VALUE!</v>
      </c>
    </row>
    <row r="35" spans="1:30" ht="13.8" thickBot="1" x14ac:dyDescent="0.3">
      <c r="A35" s="27">
        <v>43312</v>
      </c>
      <c r="B35" s="7" t="str">
        <f>'[3]Production Summary'!$U217</f>
        <v/>
      </c>
      <c r="C35" s="8" t="e">
        <f t="shared" si="0"/>
        <v>#VALUE!</v>
      </c>
      <c r="D35" s="10" t="e">
        <f t="shared" si="1"/>
        <v>#VALUE!</v>
      </c>
      <c r="E35" s="7" t="str">
        <f>'[3]Production Summary'!$O217</f>
        <v/>
      </c>
      <c r="F35" s="8" t="e">
        <f t="shared" si="2"/>
        <v>#VALUE!</v>
      </c>
      <c r="G35" s="10" t="e">
        <f t="shared" si="3"/>
        <v>#VALUE!</v>
      </c>
      <c r="H35" s="7" t="str">
        <f>'[3]Production Summary'!$Q217</f>
        <v/>
      </c>
      <c r="I35" s="8" t="e">
        <f t="shared" si="4"/>
        <v>#VALUE!</v>
      </c>
      <c r="J35" s="10" t="e">
        <f t="shared" si="5"/>
        <v>#VALUE!</v>
      </c>
      <c r="K35" s="7" t="str">
        <f>'[3]Production Summary'!$T217</f>
        <v/>
      </c>
      <c r="L35" s="8" t="e">
        <f t="shared" si="6"/>
        <v>#VALUE!</v>
      </c>
      <c r="M35" s="10" t="e">
        <f t="shared" si="7"/>
        <v>#VALUE!</v>
      </c>
      <c r="N35" s="57"/>
      <c r="O35" s="7" t="str">
        <f>'[3]Production Summary'!$AL217</f>
        <v/>
      </c>
      <c r="P35" s="8" t="e">
        <f t="shared" si="8"/>
        <v>#VALUE!</v>
      </c>
      <c r="Q35" s="10" t="e">
        <f t="shared" si="9"/>
        <v>#VALUE!</v>
      </c>
      <c r="R35" s="7" t="str">
        <f>'[3]Production Summary'!$AI217</f>
        <v/>
      </c>
      <c r="S35" s="8" t="e">
        <f t="shared" si="10"/>
        <v>#VALUE!</v>
      </c>
      <c r="T35" s="10" t="e">
        <f t="shared" si="11"/>
        <v>#VALUE!</v>
      </c>
      <c r="U35" s="7" t="str">
        <f>'[3]Production Summary'!$AF217</f>
        <v/>
      </c>
      <c r="V35" s="8" t="e">
        <f t="shared" si="12"/>
        <v>#VALUE!</v>
      </c>
      <c r="W35" s="10" t="e">
        <f t="shared" si="13"/>
        <v>#VALUE!</v>
      </c>
      <c r="X35" s="7" t="str">
        <f>'[3]Production Summary'!$AJ217</f>
        <v/>
      </c>
      <c r="Y35" s="8" t="e">
        <f t="shared" si="14"/>
        <v>#VALUE!</v>
      </c>
      <c r="Z35" s="10" t="e">
        <f t="shared" si="15"/>
        <v>#VALUE!</v>
      </c>
      <c r="AA35" s="15"/>
      <c r="AB35" s="7" t="e">
        <f t="shared" si="16"/>
        <v>#VALUE!</v>
      </c>
      <c r="AC35" s="8" t="e">
        <f t="shared" si="17"/>
        <v>#VALUE!</v>
      </c>
      <c r="AD35" s="10" t="e">
        <f t="shared" si="18"/>
        <v>#VALUE!</v>
      </c>
    </row>
    <row r="36" spans="1:30" ht="13.8" thickBot="1" x14ac:dyDescent="0.3">
      <c r="A36" s="14"/>
      <c r="B36" s="37"/>
      <c r="C36" s="38" t="e">
        <f>SUM(C5:C35)</f>
        <v>#VALUE!</v>
      </c>
      <c r="D36" s="38" t="e">
        <f t="shared" ref="D36" si="19">C36*3.07</f>
        <v>#VALUE!</v>
      </c>
      <c r="E36" s="37"/>
      <c r="F36" s="38" t="e">
        <f>SUM(F5:F35)</f>
        <v>#VALUE!</v>
      </c>
      <c r="G36" s="38" t="e">
        <f t="shared" ref="G36" si="20">F36*3.07</f>
        <v>#VALUE!</v>
      </c>
      <c r="H36" s="37"/>
      <c r="I36" s="38" t="e">
        <f>SUM(I5:I35)</f>
        <v>#VALUE!</v>
      </c>
      <c r="J36" s="38" t="e">
        <f t="shared" ref="J36" si="21">I36*3.07</f>
        <v>#VALUE!</v>
      </c>
      <c r="K36" s="37"/>
      <c r="L36" s="38" t="e">
        <f>SUM(L5:L35)</f>
        <v>#VALUE!</v>
      </c>
      <c r="M36" s="38" t="e">
        <f t="shared" ref="M36" si="22">L36*3.07</f>
        <v>#VALUE!</v>
      </c>
      <c r="N36" s="14"/>
      <c r="O36" s="37"/>
      <c r="P36" s="38" t="e">
        <f>SUM(P5:P35)</f>
        <v>#VALUE!</v>
      </c>
      <c r="Q36" s="38" t="e">
        <f t="shared" ref="Q36" si="23">P36*3.07</f>
        <v>#VALUE!</v>
      </c>
      <c r="R36" s="37"/>
      <c r="S36" s="38" t="e">
        <f>SUM(S5:S35)</f>
        <v>#VALUE!</v>
      </c>
      <c r="T36" s="38" t="e">
        <f t="shared" ref="T36" si="24">S36*3.07</f>
        <v>#VALUE!</v>
      </c>
      <c r="U36" s="37"/>
      <c r="V36" s="38" t="e">
        <f>SUM(V5:V35)</f>
        <v>#VALUE!</v>
      </c>
      <c r="W36" s="38" t="e">
        <f t="shared" ref="W36" si="25">V36*3.07</f>
        <v>#VALUE!</v>
      </c>
      <c r="X36" s="37"/>
      <c r="Y36" s="38" t="e">
        <f>SUM(Y5:Y35)</f>
        <v>#VALUE!</v>
      </c>
      <c r="Z36" s="38" t="e">
        <f t="shared" ref="Z36" si="26">Y36*3.07</f>
        <v>#VALUE!</v>
      </c>
      <c r="AA36" s="14"/>
      <c r="AB36" s="37"/>
      <c r="AC36" s="38" t="e">
        <f>SUM(AC5:AC35)</f>
        <v>#VALUE!</v>
      </c>
      <c r="AD36" s="38" t="e">
        <f>AC36*3.07</f>
        <v>#VALUE!</v>
      </c>
    </row>
    <row r="37" spans="1:30" x14ac:dyDescent="0.25">
      <c r="C37" s="18"/>
      <c r="E37" s="3"/>
      <c r="F37" s="3"/>
      <c r="G37" s="3"/>
      <c r="H37" s="3"/>
      <c r="I37" s="3"/>
      <c r="J37" s="3"/>
      <c r="K37" s="14"/>
      <c r="L37" s="3"/>
      <c r="M37" s="3"/>
      <c r="O37" s="3"/>
      <c r="P37" s="3"/>
      <c r="Q37" s="3"/>
      <c r="R37" s="3"/>
      <c r="S37" s="3"/>
      <c r="T37" s="3"/>
      <c r="U37" s="14"/>
    </row>
    <row r="38" spans="1:30" x14ac:dyDescent="0.25">
      <c r="J38" s="18"/>
    </row>
  </sheetData>
  <mergeCells count="9">
    <mergeCell ref="U3:W3"/>
    <mergeCell ref="X3:Z3"/>
    <mergeCell ref="AB3:AD3"/>
    <mergeCell ref="B3:D3"/>
    <mergeCell ref="E3:G3"/>
    <mergeCell ref="H3:J3"/>
    <mergeCell ref="K3:M3"/>
    <mergeCell ref="O3:Q3"/>
    <mergeCell ref="R3:T3"/>
  </mergeCells>
  <pageMargins left="0.75" right="0.75" top="1" bottom="1" header="0.5" footer="0.5"/>
  <pageSetup paperSize="5" scale="50" orientation="landscape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AF40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C2" sqref="C2"/>
    </sheetView>
  </sheetViews>
  <sheetFormatPr defaultRowHeight="13.2" x14ac:dyDescent="0.25"/>
  <cols>
    <col min="2" max="2" width="14.33203125" bestFit="1" customWidth="1"/>
    <col min="5" max="5" width="12.6640625" customWidth="1"/>
    <col min="8" max="8" width="11" customWidth="1"/>
    <col min="11" max="11" width="11" customWidth="1"/>
    <col min="12" max="12" width="10.6640625" customWidth="1"/>
    <col min="15" max="15" width="11.33203125" customWidth="1"/>
    <col min="18" max="18" width="10.5546875" customWidth="1"/>
    <col min="21" max="21" width="10.6640625" bestFit="1" customWidth="1"/>
    <col min="22" max="22" width="10.5546875" customWidth="1"/>
    <col min="24" max="24" width="10.109375" bestFit="1" customWidth="1"/>
    <col min="28" max="28" width="10.6640625" customWidth="1"/>
    <col min="32" max="32" width="9.33203125" style="20" customWidth="1"/>
    <col min="33" max="33" width="8.5546875" customWidth="1"/>
  </cols>
  <sheetData>
    <row r="1" spans="1:32" s="3" customFormat="1" x14ac:dyDescent="0.25">
      <c r="A1" s="41"/>
      <c r="B1" s="39"/>
      <c r="C1" s="25"/>
      <c r="D1" s="25"/>
      <c r="E1" s="25"/>
      <c r="F1" s="25"/>
      <c r="U1" s="14"/>
      <c r="AF1" s="14"/>
    </row>
    <row r="2" spans="1:32" s="3" customFormat="1" ht="13.8" thickBot="1" x14ac:dyDescent="0.3">
      <c r="C2" s="54" t="s">
        <v>23</v>
      </c>
      <c r="K2" s="14"/>
      <c r="U2" s="14"/>
      <c r="AF2" s="14"/>
    </row>
    <row r="3" spans="1:32" s="3" customFormat="1" ht="60.75" customHeight="1" thickBot="1" x14ac:dyDescent="0.3">
      <c r="B3" s="68" t="s">
        <v>9</v>
      </c>
      <c r="C3" s="69"/>
      <c r="D3" s="70"/>
      <c r="E3" s="68" t="s">
        <v>10</v>
      </c>
      <c r="F3" s="69"/>
      <c r="G3" s="70"/>
      <c r="H3" s="68" t="s">
        <v>11</v>
      </c>
      <c r="I3" s="69"/>
      <c r="J3" s="70"/>
      <c r="K3" s="68" t="s">
        <v>12</v>
      </c>
      <c r="L3" s="69"/>
      <c r="M3" s="70"/>
      <c r="N3" s="19"/>
      <c r="O3" s="71" t="s">
        <v>4</v>
      </c>
      <c r="P3" s="69"/>
      <c r="Q3" s="70"/>
      <c r="R3" s="68" t="s">
        <v>3</v>
      </c>
      <c r="S3" s="69"/>
      <c r="T3" s="70"/>
      <c r="U3" s="68" t="s">
        <v>14</v>
      </c>
      <c r="V3" s="69"/>
      <c r="W3" s="70"/>
      <c r="X3" s="68" t="s">
        <v>6</v>
      </c>
      <c r="Y3" s="69"/>
      <c r="Z3" s="70"/>
      <c r="AA3" s="19"/>
      <c r="AB3" s="65" t="s">
        <v>7</v>
      </c>
      <c r="AC3" s="66"/>
      <c r="AD3" s="67"/>
      <c r="AF3" s="55"/>
    </row>
    <row r="4" spans="1:32" x14ac:dyDescent="0.25">
      <c r="A4" s="26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19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19"/>
      <c r="AB4" s="30" t="s">
        <v>0</v>
      </c>
      <c r="AC4" s="31" t="s">
        <v>1</v>
      </c>
      <c r="AD4" s="32" t="s">
        <v>2</v>
      </c>
      <c r="AF4" s="19"/>
    </row>
    <row r="5" spans="1:32" x14ac:dyDescent="0.25">
      <c r="A5" s="27">
        <v>43313</v>
      </c>
      <c r="B5" s="7" t="str">
        <f>'[3]Production Summary'!$U218</f>
        <v/>
      </c>
      <c r="C5" s="8" t="e">
        <f>B5/1000000</f>
        <v>#VALUE!</v>
      </c>
      <c r="D5" s="10" t="e">
        <f>C5*3.07</f>
        <v>#VALUE!</v>
      </c>
      <c r="E5" s="7" t="str">
        <f>'[3]Production Summary'!$O218</f>
        <v/>
      </c>
      <c r="F5" s="8" t="e">
        <f>E5/1000000</f>
        <v>#VALUE!</v>
      </c>
      <c r="G5" s="10" t="e">
        <f>F5*3.07</f>
        <v>#VALUE!</v>
      </c>
      <c r="H5" s="7" t="str">
        <f>'[3]Production Summary'!$Q218</f>
        <v/>
      </c>
      <c r="I5" s="8" t="e">
        <f>H5/1000000</f>
        <v>#VALUE!</v>
      </c>
      <c r="J5" s="10" t="e">
        <f>I5*3.07</f>
        <v>#VALUE!</v>
      </c>
      <c r="K5" s="7" t="str">
        <f>'[3]Production Summary'!$T218</f>
        <v/>
      </c>
      <c r="L5" s="8" t="e">
        <f>K5/1000000</f>
        <v>#VALUE!</v>
      </c>
      <c r="M5" s="10" t="e">
        <f>L5*3.07</f>
        <v>#VALUE!</v>
      </c>
      <c r="N5" s="57"/>
      <c r="O5" s="7" t="str">
        <f>'[3]Production Summary'!$AL218</f>
        <v/>
      </c>
      <c r="P5" s="8" t="e">
        <f>O5/1000000</f>
        <v>#VALUE!</v>
      </c>
      <c r="Q5" s="10" t="e">
        <f>P5*3.07</f>
        <v>#VALUE!</v>
      </c>
      <c r="R5" s="7" t="str">
        <f>'[3]Production Summary'!$AI218</f>
        <v/>
      </c>
      <c r="S5" s="8" t="e">
        <f>R5/1000000</f>
        <v>#VALUE!</v>
      </c>
      <c r="T5" s="10" t="e">
        <f>S5*3.07</f>
        <v>#VALUE!</v>
      </c>
      <c r="U5" s="7" t="str">
        <f>'[3]Production Summary'!$AF218</f>
        <v/>
      </c>
      <c r="V5" s="8" t="e">
        <f>U5/1000000</f>
        <v>#VALUE!</v>
      </c>
      <c r="W5" s="10" t="e">
        <f>V5*3.07</f>
        <v>#VALUE!</v>
      </c>
      <c r="X5" s="7" t="str">
        <f>'[3]Production Summary'!$AJ218</f>
        <v/>
      </c>
      <c r="Y5" s="8" t="e">
        <f>X5/1000000</f>
        <v>#VALUE!</v>
      </c>
      <c r="Z5" s="10" t="e">
        <f>Y5*3.07</f>
        <v>#VALUE!</v>
      </c>
      <c r="AA5" s="15"/>
      <c r="AB5" s="7" t="e">
        <f>B5+O5</f>
        <v>#VALUE!</v>
      </c>
      <c r="AC5" s="8" t="e">
        <f>AB5/1000000</f>
        <v>#VALUE!</v>
      </c>
      <c r="AD5" s="10" t="e">
        <f>AC5*3.07</f>
        <v>#VALUE!</v>
      </c>
      <c r="AF5" s="15"/>
    </row>
    <row r="6" spans="1:32" x14ac:dyDescent="0.25">
      <c r="A6" s="27">
        <v>43314</v>
      </c>
      <c r="B6" s="7" t="str">
        <f>'[3]Production Summary'!$U219</f>
        <v/>
      </c>
      <c r="C6" s="8" t="e">
        <f t="shared" ref="C6:C35" si="0">B6/1000000</f>
        <v>#VALUE!</v>
      </c>
      <c r="D6" s="10" t="e">
        <f t="shared" ref="D6:D35" si="1">C6*3.07</f>
        <v>#VALUE!</v>
      </c>
      <c r="E6" s="7" t="str">
        <f>'[3]Production Summary'!$O219</f>
        <v/>
      </c>
      <c r="F6" s="8" t="e">
        <f t="shared" ref="F6:F35" si="2">E6/1000000</f>
        <v>#VALUE!</v>
      </c>
      <c r="G6" s="10" t="e">
        <f t="shared" ref="G6:G35" si="3">F6*3.07</f>
        <v>#VALUE!</v>
      </c>
      <c r="H6" s="7" t="str">
        <f>'[3]Production Summary'!$Q219</f>
        <v/>
      </c>
      <c r="I6" s="8" t="e">
        <f t="shared" ref="I6:I35" si="4">H6/1000000</f>
        <v>#VALUE!</v>
      </c>
      <c r="J6" s="10" t="e">
        <f t="shared" ref="J6:J35" si="5">I6*3.07</f>
        <v>#VALUE!</v>
      </c>
      <c r="K6" s="7" t="str">
        <f>'[3]Production Summary'!$T219</f>
        <v/>
      </c>
      <c r="L6" s="8" t="e">
        <f t="shared" ref="L6:L35" si="6">K6/1000000</f>
        <v>#VALUE!</v>
      </c>
      <c r="M6" s="10" t="e">
        <f t="shared" ref="M6:M35" si="7">L6*3.07</f>
        <v>#VALUE!</v>
      </c>
      <c r="N6" s="57"/>
      <c r="O6" s="7" t="str">
        <f>'[3]Production Summary'!$AL219</f>
        <v/>
      </c>
      <c r="P6" s="8" t="e">
        <f t="shared" ref="P6:P35" si="8">O6/1000000</f>
        <v>#VALUE!</v>
      </c>
      <c r="Q6" s="10" t="e">
        <f t="shared" ref="Q6:Q35" si="9">P6*3.07</f>
        <v>#VALUE!</v>
      </c>
      <c r="R6" s="7" t="str">
        <f>'[3]Production Summary'!$AI219</f>
        <v/>
      </c>
      <c r="S6" s="8" t="e">
        <f t="shared" ref="S6:S35" si="10">R6/1000000</f>
        <v>#VALUE!</v>
      </c>
      <c r="T6" s="10" t="e">
        <f t="shared" ref="T6:T35" si="11">S6*3.07</f>
        <v>#VALUE!</v>
      </c>
      <c r="U6" s="7" t="str">
        <f>'[3]Production Summary'!$AF219</f>
        <v/>
      </c>
      <c r="V6" s="8" t="e">
        <f t="shared" ref="V6:V35" si="12">U6/1000000</f>
        <v>#VALUE!</v>
      </c>
      <c r="W6" s="10" t="e">
        <f t="shared" ref="W6:W35" si="13">V6*3.07</f>
        <v>#VALUE!</v>
      </c>
      <c r="X6" s="7" t="str">
        <f>'[3]Production Summary'!$AJ219</f>
        <v/>
      </c>
      <c r="Y6" s="8" t="e">
        <f t="shared" ref="Y6:Y35" si="14">X6/1000000</f>
        <v>#VALUE!</v>
      </c>
      <c r="Z6" s="10" t="e">
        <f t="shared" ref="Z6:Z35" si="15">Y6*3.07</f>
        <v>#VALUE!</v>
      </c>
      <c r="AA6" s="15"/>
      <c r="AB6" s="7" t="e">
        <f t="shared" ref="AB6:AB35" si="16">B6+O6</f>
        <v>#VALUE!</v>
      </c>
      <c r="AC6" s="8" t="e">
        <f t="shared" ref="AC6:AC35" si="17">AB6/1000000</f>
        <v>#VALUE!</v>
      </c>
      <c r="AD6" s="10" t="e">
        <f t="shared" ref="AD6:AD35" si="18">AC6*3.07</f>
        <v>#VALUE!</v>
      </c>
      <c r="AF6" s="15"/>
    </row>
    <row r="7" spans="1:32" x14ac:dyDescent="0.25">
      <c r="A7" s="27">
        <v>43315</v>
      </c>
      <c r="B7" s="7" t="str">
        <f>'[3]Production Summary'!$U220</f>
        <v/>
      </c>
      <c r="C7" s="8" t="e">
        <f t="shared" si="0"/>
        <v>#VALUE!</v>
      </c>
      <c r="D7" s="10" t="e">
        <f t="shared" si="1"/>
        <v>#VALUE!</v>
      </c>
      <c r="E7" s="7" t="str">
        <f>'[3]Production Summary'!$O220</f>
        <v/>
      </c>
      <c r="F7" s="8" t="e">
        <f t="shared" si="2"/>
        <v>#VALUE!</v>
      </c>
      <c r="G7" s="10" t="e">
        <f t="shared" si="3"/>
        <v>#VALUE!</v>
      </c>
      <c r="H7" s="7" t="str">
        <f>'[3]Production Summary'!$Q220</f>
        <v/>
      </c>
      <c r="I7" s="8" t="e">
        <f t="shared" si="4"/>
        <v>#VALUE!</v>
      </c>
      <c r="J7" s="10" t="e">
        <f t="shared" si="5"/>
        <v>#VALUE!</v>
      </c>
      <c r="K7" s="7" t="str">
        <f>'[3]Production Summary'!$T220</f>
        <v/>
      </c>
      <c r="L7" s="8" t="e">
        <f t="shared" si="6"/>
        <v>#VALUE!</v>
      </c>
      <c r="M7" s="10" t="e">
        <f t="shared" si="7"/>
        <v>#VALUE!</v>
      </c>
      <c r="N7" s="57"/>
      <c r="O7" s="7" t="str">
        <f>'[3]Production Summary'!$AL220</f>
        <v/>
      </c>
      <c r="P7" s="8" t="e">
        <f t="shared" si="8"/>
        <v>#VALUE!</v>
      </c>
      <c r="Q7" s="10" t="e">
        <f t="shared" si="9"/>
        <v>#VALUE!</v>
      </c>
      <c r="R7" s="7" t="str">
        <f>'[3]Production Summary'!$AI220</f>
        <v/>
      </c>
      <c r="S7" s="8" t="e">
        <f t="shared" si="10"/>
        <v>#VALUE!</v>
      </c>
      <c r="T7" s="10" t="e">
        <f t="shared" si="11"/>
        <v>#VALUE!</v>
      </c>
      <c r="U7" s="7" t="str">
        <f>'[3]Production Summary'!$AF220</f>
        <v/>
      </c>
      <c r="V7" s="8" t="e">
        <f t="shared" si="12"/>
        <v>#VALUE!</v>
      </c>
      <c r="W7" s="10" t="e">
        <f t="shared" si="13"/>
        <v>#VALUE!</v>
      </c>
      <c r="X7" s="7" t="str">
        <f>'[3]Production Summary'!$AJ220</f>
        <v/>
      </c>
      <c r="Y7" s="8" t="e">
        <f t="shared" si="14"/>
        <v>#VALUE!</v>
      </c>
      <c r="Z7" s="10" t="e">
        <f t="shared" si="15"/>
        <v>#VALUE!</v>
      </c>
      <c r="AA7" s="15"/>
      <c r="AB7" s="7" t="e">
        <f t="shared" si="16"/>
        <v>#VALUE!</v>
      </c>
      <c r="AC7" s="8" t="e">
        <f t="shared" si="17"/>
        <v>#VALUE!</v>
      </c>
      <c r="AD7" s="10" t="e">
        <f t="shared" si="18"/>
        <v>#VALUE!</v>
      </c>
      <c r="AF7" s="15"/>
    </row>
    <row r="8" spans="1:32" x14ac:dyDescent="0.25">
      <c r="A8" s="27">
        <v>43316</v>
      </c>
      <c r="B8" s="7" t="str">
        <f>'[3]Production Summary'!$U221</f>
        <v/>
      </c>
      <c r="C8" s="8" t="e">
        <f t="shared" si="0"/>
        <v>#VALUE!</v>
      </c>
      <c r="D8" s="10" t="e">
        <f t="shared" si="1"/>
        <v>#VALUE!</v>
      </c>
      <c r="E8" s="7" t="str">
        <f>'[3]Production Summary'!$O221</f>
        <v/>
      </c>
      <c r="F8" s="8" t="e">
        <f t="shared" si="2"/>
        <v>#VALUE!</v>
      </c>
      <c r="G8" s="10" t="e">
        <f t="shared" si="3"/>
        <v>#VALUE!</v>
      </c>
      <c r="H8" s="7" t="str">
        <f>'[3]Production Summary'!$Q221</f>
        <v/>
      </c>
      <c r="I8" s="8" t="e">
        <f t="shared" si="4"/>
        <v>#VALUE!</v>
      </c>
      <c r="J8" s="10" t="e">
        <f t="shared" si="5"/>
        <v>#VALUE!</v>
      </c>
      <c r="K8" s="7" t="str">
        <f>'[3]Production Summary'!$T221</f>
        <v/>
      </c>
      <c r="L8" s="8" t="e">
        <f t="shared" si="6"/>
        <v>#VALUE!</v>
      </c>
      <c r="M8" s="10" t="e">
        <f t="shared" si="7"/>
        <v>#VALUE!</v>
      </c>
      <c r="N8" s="57"/>
      <c r="O8" s="7" t="str">
        <f>'[3]Production Summary'!$AL221</f>
        <v/>
      </c>
      <c r="P8" s="8" t="e">
        <f t="shared" si="8"/>
        <v>#VALUE!</v>
      </c>
      <c r="Q8" s="10" t="e">
        <f t="shared" si="9"/>
        <v>#VALUE!</v>
      </c>
      <c r="R8" s="7" t="str">
        <f>'[3]Production Summary'!$AI221</f>
        <v/>
      </c>
      <c r="S8" s="8" t="e">
        <f t="shared" si="10"/>
        <v>#VALUE!</v>
      </c>
      <c r="T8" s="10" t="e">
        <f t="shared" si="11"/>
        <v>#VALUE!</v>
      </c>
      <c r="U8" s="7" t="str">
        <f>'[3]Production Summary'!$AF221</f>
        <v/>
      </c>
      <c r="V8" s="8" t="e">
        <f t="shared" si="12"/>
        <v>#VALUE!</v>
      </c>
      <c r="W8" s="10" t="e">
        <f t="shared" si="13"/>
        <v>#VALUE!</v>
      </c>
      <c r="X8" s="7" t="str">
        <f>'[3]Production Summary'!$AJ221</f>
        <v/>
      </c>
      <c r="Y8" s="8" t="e">
        <f t="shared" si="14"/>
        <v>#VALUE!</v>
      </c>
      <c r="Z8" s="10" t="e">
        <f t="shared" si="15"/>
        <v>#VALUE!</v>
      </c>
      <c r="AA8" s="15"/>
      <c r="AB8" s="7" t="e">
        <f t="shared" si="16"/>
        <v>#VALUE!</v>
      </c>
      <c r="AC8" s="8" t="e">
        <f t="shared" si="17"/>
        <v>#VALUE!</v>
      </c>
      <c r="AD8" s="10" t="e">
        <f t="shared" si="18"/>
        <v>#VALUE!</v>
      </c>
      <c r="AF8" s="15"/>
    </row>
    <row r="9" spans="1:32" x14ac:dyDescent="0.25">
      <c r="A9" s="27">
        <v>43317</v>
      </c>
      <c r="B9" s="7" t="str">
        <f>'[3]Production Summary'!$U222</f>
        <v/>
      </c>
      <c r="C9" s="8" t="e">
        <f t="shared" si="0"/>
        <v>#VALUE!</v>
      </c>
      <c r="D9" s="10" t="e">
        <f t="shared" si="1"/>
        <v>#VALUE!</v>
      </c>
      <c r="E9" s="7" t="str">
        <f>'[3]Production Summary'!$O222</f>
        <v/>
      </c>
      <c r="F9" s="8" t="e">
        <f t="shared" si="2"/>
        <v>#VALUE!</v>
      </c>
      <c r="G9" s="10" t="e">
        <f t="shared" si="3"/>
        <v>#VALUE!</v>
      </c>
      <c r="H9" s="7" t="str">
        <f>'[3]Production Summary'!$Q222</f>
        <v/>
      </c>
      <c r="I9" s="8" t="e">
        <f t="shared" si="4"/>
        <v>#VALUE!</v>
      </c>
      <c r="J9" s="10" t="e">
        <f t="shared" si="5"/>
        <v>#VALUE!</v>
      </c>
      <c r="K9" s="7" t="str">
        <f>'[3]Production Summary'!$T222</f>
        <v/>
      </c>
      <c r="L9" s="8" t="e">
        <f t="shared" si="6"/>
        <v>#VALUE!</v>
      </c>
      <c r="M9" s="10" t="e">
        <f t="shared" si="7"/>
        <v>#VALUE!</v>
      </c>
      <c r="N9" s="57"/>
      <c r="O9" s="7" t="str">
        <f>'[3]Production Summary'!$AL222</f>
        <v/>
      </c>
      <c r="P9" s="8" t="e">
        <f t="shared" si="8"/>
        <v>#VALUE!</v>
      </c>
      <c r="Q9" s="10" t="e">
        <f t="shared" si="9"/>
        <v>#VALUE!</v>
      </c>
      <c r="R9" s="7" t="str">
        <f>'[3]Production Summary'!$AI222</f>
        <v/>
      </c>
      <c r="S9" s="8" t="e">
        <f t="shared" si="10"/>
        <v>#VALUE!</v>
      </c>
      <c r="T9" s="10" t="e">
        <f t="shared" si="11"/>
        <v>#VALUE!</v>
      </c>
      <c r="U9" s="7" t="str">
        <f>'[3]Production Summary'!$AF222</f>
        <v/>
      </c>
      <c r="V9" s="8" t="e">
        <f t="shared" si="12"/>
        <v>#VALUE!</v>
      </c>
      <c r="W9" s="10" t="e">
        <f t="shared" si="13"/>
        <v>#VALUE!</v>
      </c>
      <c r="X9" s="7" t="str">
        <f>'[3]Production Summary'!$AJ222</f>
        <v/>
      </c>
      <c r="Y9" s="8" t="e">
        <f t="shared" si="14"/>
        <v>#VALUE!</v>
      </c>
      <c r="Z9" s="10" t="e">
        <f t="shared" si="15"/>
        <v>#VALUE!</v>
      </c>
      <c r="AA9" s="15"/>
      <c r="AB9" s="7" t="e">
        <f t="shared" si="16"/>
        <v>#VALUE!</v>
      </c>
      <c r="AC9" s="8" t="e">
        <f t="shared" si="17"/>
        <v>#VALUE!</v>
      </c>
      <c r="AD9" s="10" t="e">
        <f t="shared" si="18"/>
        <v>#VALUE!</v>
      </c>
      <c r="AF9" s="15"/>
    </row>
    <row r="10" spans="1:32" x14ac:dyDescent="0.25">
      <c r="A10" s="27">
        <v>43318</v>
      </c>
      <c r="B10" s="7" t="str">
        <f>'[3]Production Summary'!$U223</f>
        <v/>
      </c>
      <c r="C10" s="8" t="e">
        <f t="shared" si="0"/>
        <v>#VALUE!</v>
      </c>
      <c r="D10" s="10" t="e">
        <f t="shared" si="1"/>
        <v>#VALUE!</v>
      </c>
      <c r="E10" s="7" t="str">
        <f>'[3]Production Summary'!$O223</f>
        <v/>
      </c>
      <c r="F10" s="8" t="e">
        <f t="shared" si="2"/>
        <v>#VALUE!</v>
      </c>
      <c r="G10" s="10" t="e">
        <f t="shared" si="3"/>
        <v>#VALUE!</v>
      </c>
      <c r="H10" s="7" t="str">
        <f>'[3]Production Summary'!$Q223</f>
        <v/>
      </c>
      <c r="I10" s="8" t="e">
        <f t="shared" si="4"/>
        <v>#VALUE!</v>
      </c>
      <c r="J10" s="10" t="e">
        <f t="shared" si="5"/>
        <v>#VALUE!</v>
      </c>
      <c r="K10" s="7" t="str">
        <f>'[3]Production Summary'!$T223</f>
        <v/>
      </c>
      <c r="L10" s="8" t="e">
        <f t="shared" si="6"/>
        <v>#VALUE!</v>
      </c>
      <c r="M10" s="10" t="e">
        <f t="shared" si="7"/>
        <v>#VALUE!</v>
      </c>
      <c r="N10" s="57"/>
      <c r="O10" s="7" t="str">
        <f>'[3]Production Summary'!$AL223</f>
        <v/>
      </c>
      <c r="P10" s="8" t="e">
        <f t="shared" si="8"/>
        <v>#VALUE!</v>
      </c>
      <c r="Q10" s="10" t="e">
        <f t="shared" si="9"/>
        <v>#VALUE!</v>
      </c>
      <c r="R10" s="7" t="str">
        <f>'[3]Production Summary'!$AI223</f>
        <v/>
      </c>
      <c r="S10" s="8" t="e">
        <f t="shared" si="10"/>
        <v>#VALUE!</v>
      </c>
      <c r="T10" s="10" t="e">
        <f t="shared" si="11"/>
        <v>#VALUE!</v>
      </c>
      <c r="U10" s="7" t="str">
        <f>'[3]Production Summary'!$AF223</f>
        <v/>
      </c>
      <c r="V10" s="8" t="e">
        <f t="shared" si="12"/>
        <v>#VALUE!</v>
      </c>
      <c r="W10" s="10" t="e">
        <f t="shared" si="13"/>
        <v>#VALUE!</v>
      </c>
      <c r="X10" s="7" t="str">
        <f>'[3]Production Summary'!$AJ223</f>
        <v/>
      </c>
      <c r="Y10" s="8" t="e">
        <f t="shared" si="14"/>
        <v>#VALUE!</v>
      </c>
      <c r="Z10" s="10" t="e">
        <f t="shared" si="15"/>
        <v>#VALUE!</v>
      </c>
      <c r="AA10" s="15"/>
      <c r="AB10" s="7" t="e">
        <f t="shared" si="16"/>
        <v>#VALUE!</v>
      </c>
      <c r="AC10" s="8" t="e">
        <f t="shared" si="17"/>
        <v>#VALUE!</v>
      </c>
      <c r="AD10" s="10" t="e">
        <f t="shared" si="18"/>
        <v>#VALUE!</v>
      </c>
      <c r="AF10" s="15"/>
    </row>
    <row r="11" spans="1:32" x14ac:dyDescent="0.25">
      <c r="A11" s="27">
        <v>43319</v>
      </c>
      <c r="B11" s="7" t="str">
        <f>'[3]Production Summary'!$U224</f>
        <v/>
      </c>
      <c r="C11" s="8" t="e">
        <f t="shared" si="0"/>
        <v>#VALUE!</v>
      </c>
      <c r="D11" s="10" t="e">
        <f t="shared" si="1"/>
        <v>#VALUE!</v>
      </c>
      <c r="E11" s="7" t="str">
        <f>'[3]Production Summary'!$O224</f>
        <v/>
      </c>
      <c r="F11" s="8" t="e">
        <f t="shared" si="2"/>
        <v>#VALUE!</v>
      </c>
      <c r="G11" s="10" t="e">
        <f t="shared" si="3"/>
        <v>#VALUE!</v>
      </c>
      <c r="H11" s="7" t="str">
        <f>'[3]Production Summary'!$Q224</f>
        <v/>
      </c>
      <c r="I11" s="8" t="e">
        <f t="shared" si="4"/>
        <v>#VALUE!</v>
      </c>
      <c r="J11" s="10" t="e">
        <f t="shared" si="5"/>
        <v>#VALUE!</v>
      </c>
      <c r="K11" s="7" t="str">
        <f>'[3]Production Summary'!$T224</f>
        <v/>
      </c>
      <c r="L11" s="8" t="e">
        <f t="shared" si="6"/>
        <v>#VALUE!</v>
      </c>
      <c r="M11" s="10" t="e">
        <f t="shared" si="7"/>
        <v>#VALUE!</v>
      </c>
      <c r="N11" s="57"/>
      <c r="O11" s="7" t="str">
        <f>'[3]Production Summary'!$AL224</f>
        <v/>
      </c>
      <c r="P11" s="8" t="e">
        <f t="shared" si="8"/>
        <v>#VALUE!</v>
      </c>
      <c r="Q11" s="10" t="e">
        <f t="shared" si="9"/>
        <v>#VALUE!</v>
      </c>
      <c r="R11" s="7" t="str">
        <f>'[3]Production Summary'!$AI224</f>
        <v/>
      </c>
      <c r="S11" s="8" t="e">
        <f t="shared" si="10"/>
        <v>#VALUE!</v>
      </c>
      <c r="T11" s="10" t="e">
        <f t="shared" si="11"/>
        <v>#VALUE!</v>
      </c>
      <c r="U11" s="7" t="str">
        <f>'[3]Production Summary'!$AF224</f>
        <v/>
      </c>
      <c r="V11" s="8" t="e">
        <f t="shared" si="12"/>
        <v>#VALUE!</v>
      </c>
      <c r="W11" s="10" t="e">
        <f t="shared" si="13"/>
        <v>#VALUE!</v>
      </c>
      <c r="X11" s="7" t="str">
        <f>'[3]Production Summary'!$AJ224</f>
        <v/>
      </c>
      <c r="Y11" s="8" t="e">
        <f t="shared" si="14"/>
        <v>#VALUE!</v>
      </c>
      <c r="Z11" s="10" t="e">
        <f t="shared" si="15"/>
        <v>#VALUE!</v>
      </c>
      <c r="AA11" s="15"/>
      <c r="AB11" s="7" t="e">
        <f t="shared" si="16"/>
        <v>#VALUE!</v>
      </c>
      <c r="AC11" s="8" t="e">
        <f t="shared" si="17"/>
        <v>#VALUE!</v>
      </c>
      <c r="AD11" s="10" t="e">
        <f t="shared" si="18"/>
        <v>#VALUE!</v>
      </c>
      <c r="AF11" s="15"/>
    </row>
    <row r="12" spans="1:32" x14ac:dyDescent="0.25">
      <c r="A12" s="27">
        <v>43320</v>
      </c>
      <c r="B12" s="7" t="str">
        <f>'[3]Production Summary'!$U225</f>
        <v/>
      </c>
      <c r="C12" s="8" t="e">
        <f t="shared" si="0"/>
        <v>#VALUE!</v>
      </c>
      <c r="D12" s="10" t="e">
        <f t="shared" si="1"/>
        <v>#VALUE!</v>
      </c>
      <c r="E12" s="7" t="str">
        <f>'[3]Production Summary'!$O225</f>
        <v/>
      </c>
      <c r="F12" s="8" t="e">
        <f t="shared" si="2"/>
        <v>#VALUE!</v>
      </c>
      <c r="G12" s="10" t="e">
        <f t="shared" si="3"/>
        <v>#VALUE!</v>
      </c>
      <c r="H12" s="7" t="str">
        <f>'[3]Production Summary'!$Q225</f>
        <v/>
      </c>
      <c r="I12" s="8" t="e">
        <f t="shared" si="4"/>
        <v>#VALUE!</v>
      </c>
      <c r="J12" s="10" t="e">
        <f t="shared" si="5"/>
        <v>#VALUE!</v>
      </c>
      <c r="K12" s="7" t="str">
        <f>'[3]Production Summary'!$T225</f>
        <v/>
      </c>
      <c r="L12" s="8" t="e">
        <f t="shared" si="6"/>
        <v>#VALUE!</v>
      </c>
      <c r="M12" s="10" t="e">
        <f t="shared" si="7"/>
        <v>#VALUE!</v>
      </c>
      <c r="N12" s="57"/>
      <c r="O12" s="7" t="str">
        <f>'[3]Production Summary'!$AL225</f>
        <v/>
      </c>
      <c r="P12" s="8" t="e">
        <f t="shared" si="8"/>
        <v>#VALUE!</v>
      </c>
      <c r="Q12" s="10" t="e">
        <f t="shared" si="9"/>
        <v>#VALUE!</v>
      </c>
      <c r="R12" s="7" t="str">
        <f>'[3]Production Summary'!$AI225</f>
        <v/>
      </c>
      <c r="S12" s="8" t="e">
        <f t="shared" si="10"/>
        <v>#VALUE!</v>
      </c>
      <c r="T12" s="10" t="e">
        <f t="shared" si="11"/>
        <v>#VALUE!</v>
      </c>
      <c r="U12" s="7" t="str">
        <f>'[3]Production Summary'!$AF225</f>
        <v/>
      </c>
      <c r="V12" s="8" t="e">
        <f t="shared" si="12"/>
        <v>#VALUE!</v>
      </c>
      <c r="W12" s="10" t="e">
        <f t="shared" si="13"/>
        <v>#VALUE!</v>
      </c>
      <c r="X12" s="7" t="str">
        <f>'[3]Production Summary'!$AJ225</f>
        <v/>
      </c>
      <c r="Y12" s="8" t="e">
        <f t="shared" si="14"/>
        <v>#VALUE!</v>
      </c>
      <c r="Z12" s="10" t="e">
        <f t="shared" si="15"/>
        <v>#VALUE!</v>
      </c>
      <c r="AA12" s="15"/>
      <c r="AB12" s="7" t="e">
        <f t="shared" si="16"/>
        <v>#VALUE!</v>
      </c>
      <c r="AC12" s="8" t="e">
        <f t="shared" si="17"/>
        <v>#VALUE!</v>
      </c>
      <c r="AD12" s="10" t="e">
        <f t="shared" si="18"/>
        <v>#VALUE!</v>
      </c>
      <c r="AF12" s="15"/>
    </row>
    <row r="13" spans="1:32" x14ac:dyDescent="0.25">
      <c r="A13" s="27">
        <v>43321</v>
      </c>
      <c r="B13" s="7" t="str">
        <f>'[3]Production Summary'!$U226</f>
        <v/>
      </c>
      <c r="C13" s="8" t="e">
        <f t="shared" si="0"/>
        <v>#VALUE!</v>
      </c>
      <c r="D13" s="10" t="e">
        <f t="shared" si="1"/>
        <v>#VALUE!</v>
      </c>
      <c r="E13" s="7" t="str">
        <f>'[3]Production Summary'!$O226</f>
        <v/>
      </c>
      <c r="F13" s="8" t="e">
        <f t="shared" si="2"/>
        <v>#VALUE!</v>
      </c>
      <c r="G13" s="10" t="e">
        <f t="shared" si="3"/>
        <v>#VALUE!</v>
      </c>
      <c r="H13" s="7" t="str">
        <f>'[3]Production Summary'!$Q226</f>
        <v/>
      </c>
      <c r="I13" s="8" t="e">
        <f t="shared" si="4"/>
        <v>#VALUE!</v>
      </c>
      <c r="J13" s="10" t="e">
        <f t="shared" si="5"/>
        <v>#VALUE!</v>
      </c>
      <c r="K13" s="7" t="str">
        <f>'[3]Production Summary'!$T226</f>
        <v/>
      </c>
      <c r="L13" s="8" t="e">
        <f t="shared" si="6"/>
        <v>#VALUE!</v>
      </c>
      <c r="M13" s="10" t="e">
        <f t="shared" si="7"/>
        <v>#VALUE!</v>
      </c>
      <c r="N13" s="57"/>
      <c r="O13" s="7" t="str">
        <f>'[3]Production Summary'!$AL226</f>
        <v/>
      </c>
      <c r="P13" s="8" t="e">
        <f t="shared" si="8"/>
        <v>#VALUE!</v>
      </c>
      <c r="Q13" s="10" t="e">
        <f t="shared" si="9"/>
        <v>#VALUE!</v>
      </c>
      <c r="R13" s="7" t="str">
        <f>'[3]Production Summary'!$AI226</f>
        <v/>
      </c>
      <c r="S13" s="8" t="e">
        <f t="shared" si="10"/>
        <v>#VALUE!</v>
      </c>
      <c r="T13" s="10" t="e">
        <f t="shared" si="11"/>
        <v>#VALUE!</v>
      </c>
      <c r="U13" s="7" t="str">
        <f>'[3]Production Summary'!$AF226</f>
        <v/>
      </c>
      <c r="V13" s="8" t="e">
        <f t="shared" si="12"/>
        <v>#VALUE!</v>
      </c>
      <c r="W13" s="10" t="e">
        <f t="shared" si="13"/>
        <v>#VALUE!</v>
      </c>
      <c r="X13" s="7" t="str">
        <f>'[3]Production Summary'!$AJ226</f>
        <v/>
      </c>
      <c r="Y13" s="8" t="e">
        <f t="shared" si="14"/>
        <v>#VALUE!</v>
      </c>
      <c r="Z13" s="10" t="e">
        <f t="shared" si="15"/>
        <v>#VALUE!</v>
      </c>
      <c r="AA13" s="15"/>
      <c r="AB13" s="7" t="e">
        <f t="shared" si="16"/>
        <v>#VALUE!</v>
      </c>
      <c r="AC13" s="8" t="e">
        <f t="shared" si="17"/>
        <v>#VALUE!</v>
      </c>
      <c r="AD13" s="10" t="e">
        <f t="shared" si="18"/>
        <v>#VALUE!</v>
      </c>
      <c r="AF13" s="15"/>
    </row>
    <row r="14" spans="1:32" x14ac:dyDescent="0.25">
      <c r="A14" s="27">
        <v>43322</v>
      </c>
      <c r="B14" s="7" t="str">
        <f>'[3]Production Summary'!$U227</f>
        <v/>
      </c>
      <c r="C14" s="8" t="e">
        <f t="shared" si="0"/>
        <v>#VALUE!</v>
      </c>
      <c r="D14" s="10" t="e">
        <f t="shared" si="1"/>
        <v>#VALUE!</v>
      </c>
      <c r="E14" s="7" t="str">
        <f>'[3]Production Summary'!$O227</f>
        <v/>
      </c>
      <c r="F14" s="8" t="e">
        <f t="shared" si="2"/>
        <v>#VALUE!</v>
      </c>
      <c r="G14" s="10" t="e">
        <f t="shared" si="3"/>
        <v>#VALUE!</v>
      </c>
      <c r="H14" s="7" t="str">
        <f>'[3]Production Summary'!$Q227</f>
        <v/>
      </c>
      <c r="I14" s="8" t="e">
        <f t="shared" si="4"/>
        <v>#VALUE!</v>
      </c>
      <c r="J14" s="10" t="e">
        <f t="shared" si="5"/>
        <v>#VALUE!</v>
      </c>
      <c r="K14" s="7" t="str">
        <f>'[3]Production Summary'!$T227</f>
        <v/>
      </c>
      <c r="L14" s="8" t="e">
        <f t="shared" si="6"/>
        <v>#VALUE!</v>
      </c>
      <c r="M14" s="10" t="e">
        <f t="shared" si="7"/>
        <v>#VALUE!</v>
      </c>
      <c r="N14" s="57"/>
      <c r="O14" s="7" t="str">
        <f>'[3]Production Summary'!$AL227</f>
        <v/>
      </c>
      <c r="P14" s="8" t="e">
        <f t="shared" si="8"/>
        <v>#VALUE!</v>
      </c>
      <c r="Q14" s="10" t="e">
        <f t="shared" si="9"/>
        <v>#VALUE!</v>
      </c>
      <c r="R14" s="7" t="str">
        <f>'[3]Production Summary'!$AI227</f>
        <v/>
      </c>
      <c r="S14" s="8" t="e">
        <f t="shared" si="10"/>
        <v>#VALUE!</v>
      </c>
      <c r="T14" s="10" t="e">
        <f t="shared" si="11"/>
        <v>#VALUE!</v>
      </c>
      <c r="U14" s="7" t="str">
        <f>'[3]Production Summary'!$AF227</f>
        <v/>
      </c>
      <c r="V14" s="8" t="e">
        <f t="shared" si="12"/>
        <v>#VALUE!</v>
      </c>
      <c r="W14" s="10" t="e">
        <f t="shared" si="13"/>
        <v>#VALUE!</v>
      </c>
      <c r="X14" s="7" t="str">
        <f>'[3]Production Summary'!$AJ227</f>
        <v/>
      </c>
      <c r="Y14" s="8" t="e">
        <f t="shared" si="14"/>
        <v>#VALUE!</v>
      </c>
      <c r="Z14" s="10" t="e">
        <f t="shared" si="15"/>
        <v>#VALUE!</v>
      </c>
      <c r="AA14" s="15"/>
      <c r="AB14" s="7" t="e">
        <f t="shared" si="16"/>
        <v>#VALUE!</v>
      </c>
      <c r="AC14" s="8" t="e">
        <f t="shared" si="17"/>
        <v>#VALUE!</v>
      </c>
      <c r="AD14" s="10" t="e">
        <f t="shared" si="18"/>
        <v>#VALUE!</v>
      </c>
      <c r="AF14" s="15"/>
    </row>
    <row r="15" spans="1:32" x14ac:dyDescent="0.25">
      <c r="A15" s="27">
        <v>43323</v>
      </c>
      <c r="B15" s="7" t="str">
        <f>'[3]Production Summary'!$U228</f>
        <v/>
      </c>
      <c r="C15" s="8" t="e">
        <f t="shared" si="0"/>
        <v>#VALUE!</v>
      </c>
      <c r="D15" s="10" t="e">
        <f t="shared" si="1"/>
        <v>#VALUE!</v>
      </c>
      <c r="E15" s="7" t="str">
        <f>'[3]Production Summary'!$O228</f>
        <v/>
      </c>
      <c r="F15" s="8" t="e">
        <f t="shared" si="2"/>
        <v>#VALUE!</v>
      </c>
      <c r="G15" s="10" t="e">
        <f t="shared" si="3"/>
        <v>#VALUE!</v>
      </c>
      <c r="H15" s="7" t="str">
        <f>'[3]Production Summary'!$Q228</f>
        <v/>
      </c>
      <c r="I15" s="8" t="e">
        <f t="shared" si="4"/>
        <v>#VALUE!</v>
      </c>
      <c r="J15" s="10" t="e">
        <f t="shared" si="5"/>
        <v>#VALUE!</v>
      </c>
      <c r="K15" s="7" t="str">
        <f>'[3]Production Summary'!$T228</f>
        <v/>
      </c>
      <c r="L15" s="8" t="e">
        <f t="shared" si="6"/>
        <v>#VALUE!</v>
      </c>
      <c r="M15" s="10" t="e">
        <f t="shared" si="7"/>
        <v>#VALUE!</v>
      </c>
      <c r="N15" s="57"/>
      <c r="O15" s="7" t="str">
        <f>'[3]Production Summary'!$AL228</f>
        <v/>
      </c>
      <c r="P15" s="8" t="e">
        <f t="shared" si="8"/>
        <v>#VALUE!</v>
      </c>
      <c r="Q15" s="10" t="e">
        <f t="shared" si="9"/>
        <v>#VALUE!</v>
      </c>
      <c r="R15" s="7" t="str">
        <f>'[3]Production Summary'!$AI228</f>
        <v/>
      </c>
      <c r="S15" s="8" t="e">
        <f t="shared" si="10"/>
        <v>#VALUE!</v>
      </c>
      <c r="T15" s="10" t="e">
        <f t="shared" si="11"/>
        <v>#VALUE!</v>
      </c>
      <c r="U15" s="7" t="str">
        <f>'[3]Production Summary'!$AF228</f>
        <v/>
      </c>
      <c r="V15" s="8" t="e">
        <f t="shared" si="12"/>
        <v>#VALUE!</v>
      </c>
      <c r="W15" s="10" t="e">
        <f t="shared" si="13"/>
        <v>#VALUE!</v>
      </c>
      <c r="X15" s="7" t="str">
        <f>'[3]Production Summary'!$AJ228</f>
        <v/>
      </c>
      <c r="Y15" s="8" t="e">
        <f t="shared" si="14"/>
        <v>#VALUE!</v>
      </c>
      <c r="Z15" s="10" t="e">
        <f t="shared" si="15"/>
        <v>#VALUE!</v>
      </c>
      <c r="AA15" s="15"/>
      <c r="AB15" s="7" t="e">
        <f t="shared" si="16"/>
        <v>#VALUE!</v>
      </c>
      <c r="AC15" s="8" t="e">
        <f t="shared" si="17"/>
        <v>#VALUE!</v>
      </c>
      <c r="AD15" s="10" t="e">
        <f t="shared" si="18"/>
        <v>#VALUE!</v>
      </c>
      <c r="AF15" s="15"/>
    </row>
    <row r="16" spans="1:32" x14ac:dyDescent="0.25">
      <c r="A16" s="27">
        <v>43324</v>
      </c>
      <c r="B16" s="7" t="str">
        <f>'[3]Production Summary'!$U229</f>
        <v/>
      </c>
      <c r="C16" s="8" t="e">
        <f t="shared" si="0"/>
        <v>#VALUE!</v>
      </c>
      <c r="D16" s="10" t="e">
        <f t="shared" si="1"/>
        <v>#VALUE!</v>
      </c>
      <c r="E16" s="7" t="str">
        <f>'[3]Production Summary'!$O229</f>
        <v/>
      </c>
      <c r="F16" s="8" t="e">
        <f t="shared" si="2"/>
        <v>#VALUE!</v>
      </c>
      <c r="G16" s="10" t="e">
        <f t="shared" si="3"/>
        <v>#VALUE!</v>
      </c>
      <c r="H16" s="7" t="str">
        <f>'[3]Production Summary'!$Q229</f>
        <v/>
      </c>
      <c r="I16" s="8" t="e">
        <f t="shared" si="4"/>
        <v>#VALUE!</v>
      </c>
      <c r="J16" s="10" t="e">
        <f t="shared" si="5"/>
        <v>#VALUE!</v>
      </c>
      <c r="K16" s="7" t="str">
        <f>'[3]Production Summary'!$T229</f>
        <v/>
      </c>
      <c r="L16" s="8" t="e">
        <f t="shared" si="6"/>
        <v>#VALUE!</v>
      </c>
      <c r="M16" s="10" t="e">
        <f t="shared" si="7"/>
        <v>#VALUE!</v>
      </c>
      <c r="N16" s="57"/>
      <c r="O16" s="7" t="str">
        <f>'[3]Production Summary'!$AL229</f>
        <v/>
      </c>
      <c r="P16" s="8" t="e">
        <f t="shared" si="8"/>
        <v>#VALUE!</v>
      </c>
      <c r="Q16" s="10" t="e">
        <f t="shared" si="9"/>
        <v>#VALUE!</v>
      </c>
      <c r="R16" s="7" t="str">
        <f>'[3]Production Summary'!$AI229</f>
        <v/>
      </c>
      <c r="S16" s="8" t="e">
        <f t="shared" si="10"/>
        <v>#VALUE!</v>
      </c>
      <c r="T16" s="10" t="e">
        <f t="shared" si="11"/>
        <v>#VALUE!</v>
      </c>
      <c r="U16" s="7" t="str">
        <f>'[3]Production Summary'!$AF229</f>
        <v/>
      </c>
      <c r="V16" s="8" t="e">
        <f t="shared" si="12"/>
        <v>#VALUE!</v>
      </c>
      <c r="W16" s="10" t="e">
        <f t="shared" si="13"/>
        <v>#VALUE!</v>
      </c>
      <c r="X16" s="7" t="str">
        <f>'[3]Production Summary'!$AJ229</f>
        <v/>
      </c>
      <c r="Y16" s="8" t="e">
        <f t="shared" si="14"/>
        <v>#VALUE!</v>
      </c>
      <c r="Z16" s="10" t="e">
        <f t="shared" si="15"/>
        <v>#VALUE!</v>
      </c>
      <c r="AA16" s="15"/>
      <c r="AB16" s="7" t="e">
        <f t="shared" si="16"/>
        <v>#VALUE!</v>
      </c>
      <c r="AC16" s="8" t="e">
        <f t="shared" si="17"/>
        <v>#VALUE!</v>
      </c>
      <c r="AD16" s="10" t="e">
        <f t="shared" si="18"/>
        <v>#VALUE!</v>
      </c>
      <c r="AF16" s="15"/>
    </row>
    <row r="17" spans="1:32" x14ac:dyDescent="0.25">
      <c r="A17" s="27">
        <v>43325</v>
      </c>
      <c r="B17" s="7" t="str">
        <f>'[3]Production Summary'!$U230</f>
        <v/>
      </c>
      <c r="C17" s="8" t="e">
        <f t="shared" si="0"/>
        <v>#VALUE!</v>
      </c>
      <c r="D17" s="10" t="e">
        <f t="shared" si="1"/>
        <v>#VALUE!</v>
      </c>
      <c r="E17" s="7" t="str">
        <f>'[3]Production Summary'!$O230</f>
        <v/>
      </c>
      <c r="F17" s="8" t="e">
        <f t="shared" si="2"/>
        <v>#VALUE!</v>
      </c>
      <c r="G17" s="10" t="e">
        <f t="shared" si="3"/>
        <v>#VALUE!</v>
      </c>
      <c r="H17" s="7" t="str">
        <f>'[3]Production Summary'!$Q230</f>
        <v/>
      </c>
      <c r="I17" s="8" t="e">
        <f t="shared" si="4"/>
        <v>#VALUE!</v>
      </c>
      <c r="J17" s="10" t="e">
        <f t="shared" si="5"/>
        <v>#VALUE!</v>
      </c>
      <c r="K17" s="7" t="str">
        <f>'[3]Production Summary'!$T230</f>
        <v/>
      </c>
      <c r="L17" s="8" t="e">
        <f t="shared" si="6"/>
        <v>#VALUE!</v>
      </c>
      <c r="M17" s="10" t="e">
        <f t="shared" si="7"/>
        <v>#VALUE!</v>
      </c>
      <c r="N17" s="57"/>
      <c r="O17" s="7" t="str">
        <f>'[3]Production Summary'!$AL230</f>
        <v/>
      </c>
      <c r="P17" s="8" t="e">
        <f t="shared" si="8"/>
        <v>#VALUE!</v>
      </c>
      <c r="Q17" s="10" t="e">
        <f t="shared" si="9"/>
        <v>#VALUE!</v>
      </c>
      <c r="R17" s="7" t="str">
        <f>'[3]Production Summary'!$AI230</f>
        <v/>
      </c>
      <c r="S17" s="8" t="e">
        <f t="shared" si="10"/>
        <v>#VALUE!</v>
      </c>
      <c r="T17" s="10" t="e">
        <f t="shared" si="11"/>
        <v>#VALUE!</v>
      </c>
      <c r="U17" s="7" t="str">
        <f>'[3]Production Summary'!$AF230</f>
        <v/>
      </c>
      <c r="V17" s="8" t="e">
        <f t="shared" si="12"/>
        <v>#VALUE!</v>
      </c>
      <c r="W17" s="10" t="e">
        <f t="shared" si="13"/>
        <v>#VALUE!</v>
      </c>
      <c r="X17" s="7" t="str">
        <f>'[3]Production Summary'!$AJ230</f>
        <v/>
      </c>
      <c r="Y17" s="8" t="e">
        <f t="shared" si="14"/>
        <v>#VALUE!</v>
      </c>
      <c r="Z17" s="10" t="e">
        <f t="shared" si="15"/>
        <v>#VALUE!</v>
      </c>
      <c r="AA17" s="15"/>
      <c r="AB17" s="7" t="e">
        <f t="shared" si="16"/>
        <v>#VALUE!</v>
      </c>
      <c r="AC17" s="8" t="e">
        <f t="shared" si="17"/>
        <v>#VALUE!</v>
      </c>
      <c r="AD17" s="10" t="e">
        <f t="shared" si="18"/>
        <v>#VALUE!</v>
      </c>
      <c r="AF17" s="15"/>
    </row>
    <row r="18" spans="1:32" x14ac:dyDescent="0.25">
      <c r="A18" s="27">
        <v>43326</v>
      </c>
      <c r="B18" s="7" t="str">
        <f>'[3]Production Summary'!$U231</f>
        <v/>
      </c>
      <c r="C18" s="8" t="e">
        <f t="shared" si="0"/>
        <v>#VALUE!</v>
      </c>
      <c r="D18" s="10" t="e">
        <f t="shared" si="1"/>
        <v>#VALUE!</v>
      </c>
      <c r="E18" s="7" t="str">
        <f>'[3]Production Summary'!$O231</f>
        <v/>
      </c>
      <c r="F18" s="8" t="e">
        <f t="shared" si="2"/>
        <v>#VALUE!</v>
      </c>
      <c r="G18" s="10" t="e">
        <f t="shared" si="3"/>
        <v>#VALUE!</v>
      </c>
      <c r="H18" s="7" t="str">
        <f>'[3]Production Summary'!$Q231</f>
        <v/>
      </c>
      <c r="I18" s="8" t="e">
        <f t="shared" si="4"/>
        <v>#VALUE!</v>
      </c>
      <c r="J18" s="10" t="e">
        <f t="shared" si="5"/>
        <v>#VALUE!</v>
      </c>
      <c r="K18" s="7" t="str">
        <f>'[3]Production Summary'!$T231</f>
        <v/>
      </c>
      <c r="L18" s="8" t="e">
        <f t="shared" si="6"/>
        <v>#VALUE!</v>
      </c>
      <c r="M18" s="10" t="e">
        <f t="shared" si="7"/>
        <v>#VALUE!</v>
      </c>
      <c r="N18" s="57"/>
      <c r="O18" s="7" t="str">
        <f>'[3]Production Summary'!$AL231</f>
        <v/>
      </c>
      <c r="P18" s="8" t="e">
        <f t="shared" si="8"/>
        <v>#VALUE!</v>
      </c>
      <c r="Q18" s="10" t="e">
        <f t="shared" si="9"/>
        <v>#VALUE!</v>
      </c>
      <c r="R18" s="7" t="str">
        <f>'[3]Production Summary'!$AI231</f>
        <v/>
      </c>
      <c r="S18" s="8" t="e">
        <f t="shared" si="10"/>
        <v>#VALUE!</v>
      </c>
      <c r="T18" s="10" t="e">
        <f t="shared" si="11"/>
        <v>#VALUE!</v>
      </c>
      <c r="U18" s="7" t="str">
        <f>'[3]Production Summary'!$AF231</f>
        <v/>
      </c>
      <c r="V18" s="8" t="e">
        <f t="shared" si="12"/>
        <v>#VALUE!</v>
      </c>
      <c r="W18" s="10" t="e">
        <f t="shared" si="13"/>
        <v>#VALUE!</v>
      </c>
      <c r="X18" s="7" t="str">
        <f>'[3]Production Summary'!$AJ231</f>
        <v/>
      </c>
      <c r="Y18" s="8" t="e">
        <f t="shared" si="14"/>
        <v>#VALUE!</v>
      </c>
      <c r="Z18" s="10" t="e">
        <f t="shared" si="15"/>
        <v>#VALUE!</v>
      </c>
      <c r="AA18" s="15"/>
      <c r="AB18" s="7" t="e">
        <f t="shared" si="16"/>
        <v>#VALUE!</v>
      </c>
      <c r="AC18" s="8" t="e">
        <f t="shared" si="17"/>
        <v>#VALUE!</v>
      </c>
      <c r="AD18" s="10" t="e">
        <f t="shared" si="18"/>
        <v>#VALUE!</v>
      </c>
      <c r="AF18" s="15"/>
    </row>
    <row r="19" spans="1:32" x14ac:dyDescent="0.25">
      <c r="A19" s="27">
        <v>43327</v>
      </c>
      <c r="B19" s="7" t="str">
        <f>'[3]Production Summary'!$U232</f>
        <v/>
      </c>
      <c r="C19" s="8" t="e">
        <f t="shared" si="0"/>
        <v>#VALUE!</v>
      </c>
      <c r="D19" s="10" t="e">
        <f t="shared" si="1"/>
        <v>#VALUE!</v>
      </c>
      <c r="E19" s="7" t="str">
        <f>'[3]Production Summary'!$O232</f>
        <v/>
      </c>
      <c r="F19" s="8" t="e">
        <f t="shared" si="2"/>
        <v>#VALUE!</v>
      </c>
      <c r="G19" s="10" t="e">
        <f t="shared" si="3"/>
        <v>#VALUE!</v>
      </c>
      <c r="H19" s="7" t="str">
        <f>'[3]Production Summary'!$Q232</f>
        <v/>
      </c>
      <c r="I19" s="8" t="e">
        <f t="shared" si="4"/>
        <v>#VALUE!</v>
      </c>
      <c r="J19" s="10" t="e">
        <f t="shared" si="5"/>
        <v>#VALUE!</v>
      </c>
      <c r="K19" s="7" t="str">
        <f>'[3]Production Summary'!$T232</f>
        <v/>
      </c>
      <c r="L19" s="8" t="e">
        <f t="shared" si="6"/>
        <v>#VALUE!</v>
      </c>
      <c r="M19" s="10" t="e">
        <f t="shared" si="7"/>
        <v>#VALUE!</v>
      </c>
      <c r="N19" s="57"/>
      <c r="O19" s="7" t="str">
        <f>'[3]Production Summary'!$AL232</f>
        <v/>
      </c>
      <c r="P19" s="8" t="e">
        <f t="shared" si="8"/>
        <v>#VALUE!</v>
      </c>
      <c r="Q19" s="10" t="e">
        <f t="shared" si="9"/>
        <v>#VALUE!</v>
      </c>
      <c r="R19" s="7" t="str">
        <f>'[3]Production Summary'!$AI232</f>
        <v/>
      </c>
      <c r="S19" s="8" t="e">
        <f t="shared" si="10"/>
        <v>#VALUE!</v>
      </c>
      <c r="T19" s="10" t="e">
        <f t="shared" si="11"/>
        <v>#VALUE!</v>
      </c>
      <c r="U19" s="7" t="str">
        <f>'[3]Production Summary'!$AF232</f>
        <v/>
      </c>
      <c r="V19" s="8" t="e">
        <f t="shared" si="12"/>
        <v>#VALUE!</v>
      </c>
      <c r="W19" s="10" t="e">
        <f t="shared" si="13"/>
        <v>#VALUE!</v>
      </c>
      <c r="X19" s="7" t="str">
        <f>'[3]Production Summary'!$AJ232</f>
        <v/>
      </c>
      <c r="Y19" s="8" t="e">
        <f t="shared" si="14"/>
        <v>#VALUE!</v>
      </c>
      <c r="Z19" s="10" t="e">
        <f t="shared" si="15"/>
        <v>#VALUE!</v>
      </c>
      <c r="AA19" s="15"/>
      <c r="AB19" s="7" t="e">
        <f t="shared" si="16"/>
        <v>#VALUE!</v>
      </c>
      <c r="AC19" s="8" t="e">
        <f t="shared" si="17"/>
        <v>#VALUE!</v>
      </c>
      <c r="AD19" s="10" t="e">
        <f t="shared" si="18"/>
        <v>#VALUE!</v>
      </c>
      <c r="AF19" s="15"/>
    </row>
    <row r="20" spans="1:32" x14ac:dyDescent="0.25">
      <c r="A20" s="27">
        <v>43328</v>
      </c>
      <c r="B20" s="7" t="str">
        <f>'[3]Production Summary'!$U233</f>
        <v/>
      </c>
      <c r="C20" s="8" t="e">
        <f t="shared" si="0"/>
        <v>#VALUE!</v>
      </c>
      <c r="D20" s="10" t="e">
        <f t="shared" si="1"/>
        <v>#VALUE!</v>
      </c>
      <c r="E20" s="7" t="str">
        <f>'[3]Production Summary'!$O233</f>
        <v/>
      </c>
      <c r="F20" s="8" t="e">
        <f t="shared" si="2"/>
        <v>#VALUE!</v>
      </c>
      <c r="G20" s="10" t="e">
        <f t="shared" si="3"/>
        <v>#VALUE!</v>
      </c>
      <c r="H20" s="7" t="str">
        <f>'[3]Production Summary'!$Q233</f>
        <v/>
      </c>
      <c r="I20" s="8" t="e">
        <f t="shared" si="4"/>
        <v>#VALUE!</v>
      </c>
      <c r="J20" s="10" t="e">
        <f t="shared" si="5"/>
        <v>#VALUE!</v>
      </c>
      <c r="K20" s="7" t="str">
        <f>'[3]Production Summary'!$T233</f>
        <v/>
      </c>
      <c r="L20" s="8" t="e">
        <f t="shared" si="6"/>
        <v>#VALUE!</v>
      </c>
      <c r="M20" s="10" t="e">
        <f t="shared" si="7"/>
        <v>#VALUE!</v>
      </c>
      <c r="N20" s="57"/>
      <c r="O20" s="7" t="str">
        <f>'[3]Production Summary'!$AL233</f>
        <v/>
      </c>
      <c r="P20" s="8" t="e">
        <f t="shared" si="8"/>
        <v>#VALUE!</v>
      </c>
      <c r="Q20" s="10" t="e">
        <f t="shared" si="9"/>
        <v>#VALUE!</v>
      </c>
      <c r="R20" s="7" t="str">
        <f>'[3]Production Summary'!$AI233</f>
        <v/>
      </c>
      <c r="S20" s="8" t="e">
        <f t="shared" si="10"/>
        <v>#VALUE!</v>
      </c>
      <c r="T20" s="10" t="e">
        <f t="shared" si="11"/>
        <v>#VALUE!</v>
      </c>
      <c r="U20" s="7" t="str">
        <f>'[3]Production Summary'!$AF233</f>
        <v/>
      </c>
      <c r="V20" s="8" t="e">
        <f t="shared" si="12"/>
        <v>#VALUE!</v>
      </c>
      <c r="W20" s="10" t="e">
        <f t="shared" si="13"/>
        <v>#VALUE!</v>
      </c>
      <c r="X20" s="7" t="str">
        <f>'[3]Production Summary'!$AJ233</f>
        <v/>
      </c>
      <c r="Y20" s="8" t="e">
        <f t="shared" si="14"/>
        <v>#VALUE!</v>
      </c>
      <c r="Z20" s="10" t="e">
        <f t="shared" si="15"/>
        <v>#VALUE!</v>
      </c>
      <c r="AA20" s="15"/>
      <c r="AB20" s="7" t="e">
        <f t="shared" si="16"/>
        <v>#VALUE!</v>
      </c>
      <c r="AC20" s="8" t="e">
        <f t="shared" si="17"/>
        <v>#VALUE!</v>
      </c>
      <c r="AD20" s="10" t="e">
        <f t="shared" si="18"/>
        <v>#VALUE!</v>
      </c>
      <c r="AF20" s="15"/>
    </row>
    <row r="21" spans="1:32" x14ac:dyDescent="0.25">
      <c r="A21" s="27">
        <v>43329</v>
      </c>
      <c r="B21" s="7" t="str">
        <f>'[3]Production Summary'!$U234</f>
        <v/>
      </c>
      <c r="C21" s="8" t="e">
        <f t="shared" si="0"/>
        <v>#VALUE!</v>
      </c>
      <c r="D21" s="10" t="e">
        <f t="shared" si="1"/>
        <v>#VALUE!</v>
      </c>
      <c r="E21" s="7" t="str">
        <f>'[3]Production Summary'!$O234</f>
        <v/>
      </c>
      <c r="F21" s="8" t="e">
        <f t="shared" si="2"/>
        <v>#VALUE!</v>
      </c>
      <c r="G21" s="10" t="e">
        <f t="shared" si="3"/>
        <v>#VALUE!</v>
      </c>
      <c r="H21" s="7" t="str">
        <f>'[3]Production Summary'!$Q234</f>
        <v/>
      </c>
      <c r="I21" s="8" t="e">
        <f t="shared" si="4"/>
        <v>#VALUE!</v>
      </c>
      <c r="J21" s="10" t="e">
        <f t="shared" si="5"/>
        <v>#VALUE!</v>
      </c>
      <c r="K21" s="7" t="str">
        <f>'[3]Production Summary'!$T234</f>
        <v/>
      </c>
      <c r="L21" s="8" t="e">
        <f t="shared" si="6"/>
        <v>#VALUE!</v>
      </c>
      <c r="M21" s="10" t="e">
        <f t="shared" si="7"/>
        <v>#VALUE!</v>
      </c>
      <c r="N21" s="57"/>
      <c r="O21" s="7" t="str">
        <f>'[3]Production Summary'!$AL234</f>
        <v/>
      </c>
      <c r="P21" s="8" t="e">
        <f t="shared" si="8"/>
        <v>#VALUE!</v>
      </c>
      <c r="Q21" s="10" t="e">
        <f t="shared" si="9"/>
        <v>#VALUE!</v>
      </c>
      <c r="R21" s="7" t="str">
        <f>'[3]Production Summary'!$AI234</f>
        <v/>
      </c>
      <c r="S21" s="8" t="e">
        <f t="shared" si="10"/>
        <v>#VALUE!</v>
      </c>
      <c r="T21" s="10" t="e">
        <f t="shared" si="11"/>
        <v>#VALUE!</v>
      </c>
      <c r="U21" s="7" t="str">
        <f>'[3]Production Summary'!$AF234</f>
        <v/>
      </c>
      <c r="V21" s="8" t="e">
        <f t="shared" si="12"/>
        <v>#VALUE!</v>
      </c>
      <c r="W21" s="10" t="e">
        <f t="shared" si="13"/>
        <v>#VALUE!</v>
      </c>
      <c r="X21" s="7" t="str">
        <f>'[3]Production Summary'!$AJ234</f>
        <v/>
      </c>
      <c r="Y21" s="8" t="e">
        <f t="shared" si="14"/>
        <v>#VALUE!</v>
      </c>
      <c r="Z21" s="10" t="e">
        <f t="shared" si="15"/>
        <v>#VALUE!</v>
      </c>
      <c r="AA21" s="15"/>
      <c r="AB21" s="7" t="e">
        <f t="shared" si="16"/>
        <v>#VALUE!</v>
      </c>
      <c r="AC21" s="8" t="e">
        <f t="shared" si="17"/>
        <v>#VALUE!</v>
      </c>
      <c r="AD21" s="10" t="e">
        <f t="shared" si="18"/>
        <v>#VALUE!</v>
      </c>
      <c r="AF21" s="15"/>
    </row>
    <row r="22" spans="1:32" x14ac:dyDescent="0.25">
      <c r="A22" s="27">
        <v>43330</v>
      </c>
      <c r="B22" s="7" t="str">
        <f>'[3]Production Summary'!$U235</f>
        <v/>
      </c>
      <c r="C22" s="8" t="e">
        <f t="shared" si="0"/>
        <v>#VALUE!</v>
      </c>
      <c r="D22" s="10" t="e">
        <f t="shared" si="1"/>
        <v>#VALUE!</v>
      </c>
      <c r="E22" s="7" t="str">
        <f>'[3]Production Summary'!$O235</f>
        <v/>
      </c>
      <c r="F22" s="8" t="e">
        <f t="shared" si="2"/>
        <v>#VALUE!</v>
      </c>
      <c r="G22" s="10" t="e">
        <f t="shared" si="3"/>
        <v>#VALUE!</v>
      </c>
      <c r="H22" s="7" t="str">
        <f>'[3]Production Summary'!$Q235</f>
        <v/>
      </c>
      <c r="I22" s="8" t="e">
        <f t="shared" si="4"/>
        <v>#VALUE!</v>
      </c>
      <c r="J22" s="10" t="e">
        <f t="shared" si="5"/>
        <v>#VALUE!</v>
      </c>
      <c r="K22" s="7" t="str">
        <f>'[3]Production Summary'!$T235</f>
        <v/>
      </c>
      <c r="L22" s="8" t="e">
        <f t="shared" si="6"/>
        <v>#VALUE!</v>
      </c>
      <c r="M22" s="10" t="e">
        <f t="shared" si="7"/>
        <v>#VALUE!</v>
      </c>
      <c r="N22" s="57"/>
      <c r="O22" s="7" t="str">
        <f>'[3]Production Summary'!$AL235</f>
        <v/>
      </c>
      <c r="P22" s="8" t="e">
        <f t="shared" si="8"/>
        <v>#VALUE!</v>
      </c>
      <c r="Q22" s="10" t="e">
        <f t="shared" si="9"/>
        <v>#VALUE!</v>
      </c>
      <c r="R22" s="7" t="str">
        <f>'[3]Production Summary'!$AI235</f>
        <v/>
      </c>
      <c r="S22" s="8" t="e">
        <f t="shared" si="10"/>
        <v>#VALUE!</v>
      </c>
      <c r="T22" s="10" t="e">
        <f t="shared" si="11"/>
        <v>#VALUE!</v>
      </c>
      <c r="U22" s="7" t="str">
        <f>'[3]Production Summary'!$AF235</f>
        <v/>
      </c>
      <c r="V22" s="8" t="e">
        <f t="shared" si="12"/>
        <v>#VALUE!</v>
      </c>
      <c r="W22" s="10" t="e">
        <f t="shared" si="13"/>
        <v>#VALUE!</v>
      </c>
      <c r="X22" s="7" t="str">
        <f>'[3]Production Summary'!$AJ235</f>
        <v/>
      </c>
      <c r="Y22" s="8" t="e">
        <f t="shared" si="14"/>
        <v>#VALUE!</v>
      </c>
      <c r="Z22" s="10" t="e">
        <f t="shared" si="15"/>
        <v>#VALUE!</v>
      </c>
      <c r="AA22" s="15"/>
      <c r="AB22" s="7" t="e">
        <f t="shared" si="16"/>
        <v>#VALUE!</v>
      </c>
      <c r="AC22" s="8" t="e">
        <f t="shared" si="17"/>
        <v>#VALUE!</v>
      </c>
      <c r="AD22" s="10" t="e">
        <f t="shared" si="18"/>
        <v>#VALUE!</v>
      </c>
      <c r="AF22" s="15"/>
    </row>
    <row r="23" spans="1:32" x14ac:dyDescent="0.25">
      <c r="A23" s="27">
        <v>43331</v>
      </c>
      <c r="B23" s="7" t="str">
        <f>'[3]Production Summary'!$U236</f>
        <v/>
      </c>
      <c r="C23" s="8" t="e">
        <f t="shared" si="0"/>
        <v>#VALUE!</v>
      </c>
      <c r="D23" s="10" t="e">
        <f t="shared" si="1"/>
        <v>#VALUE!</v>
      </c>
      <c r="E23" s="7" t="str">
        <f>'[3]Production Summary'!$O236</f>
        <v/>
      </c>
      <c r="F23" s="8" t="e">
        <f t="shared" si="2"/>
        <v>#VALUE!</v>
      </c>
      <c r="G23" s="10" t="e">
        <f t="shared" si="3"/>
        <v>#VALUE!</v>
      </c>
      <c r="H23" s="7" t="str">
        <f>'[3]Production Summary'!$Q236</f>
        <v/>
      </c>
      <c r="I23" s="8" t="e">
        <f t="shared" si="4"/>
        <v>#VALUE!</v>
      </c>
      <c r="J23" s="10" t="e">
        <f t="shared" si="5"/>
        <v>#VALUE!</v>
      </c>
      <c r="K23" s="7" t="str">
        <f>'[3]Production Summary'!$T236</f>
        <v/>
      </c>
      <c r="L23" s="8" t="e">
        <f t="shared" si="6"/>
        <v>#VALUE!</v>
      </c>
      <c r="M23" s="10" t="e">
        <f t="shared" si="7"/>
        <v>#VALUE!</v>
      </c>
      <c r="N23" s="57"/>
      <c r="O23" s="7" t="str">
        <f>'[3]Production Summary'!$AL236</f>
        <v/>
      </c>
      <c r="P23" s="8" t="e">
        <f t="shared" si="8"/>
        <v>#VALUE!</v>
      </c>
      <c r="Q23" s="10" t="e">
        <f t="shared" si="9"/>
        <v>#VALUE!</v>
      </c>
      <c r="R23" s="7" t="str">
        <f>'[3]Production Summary'!$AI236</f>
        <v/>
      </c>
      <c r="S23" s="8" t="e">
        <f t="shared" si="10"/>
        <v>#VALUE!</v>
      </c>
      <c r="T23" s="10" t="e">
        <f t="shared" si="11"/>
        <v>#VALUE!</v>
      </c>
      <c r="U23" s="7" t="str">
        <f>'[3]Production Summary'!$AF236</f>
        <v/>
      </c>
      <c r="V23" s="8" t="e">
        <f t="shared" si="12"/>
        <v>#VALUE!</v>
      </c>
      <c r="W23" s="10" t="e">
        <f t="shared" si="13"/>
        <v>#VALUE!</v>
      </c>
      <c r="X23" s="7" t="str">
        <f>'[3]Production Summary'!$AJ236</f>
        <v/>
      </c>
      <c r="Y23" s="8" t="e">
        <f t="shared" si="14"/>
        <v>#VALUE!</v>
      </c>
      <c r="Z23" s="10" t="e">
        <f t="shared" si="15"/>
        <v>#VALUE!</v>
      </c>
      <c r="AA23" s="15"/>
      <c r="AB23" s="7" t="e">
        <f t="shared" si="16"/>
        <v>#VALUE!</v>
      </c>
      <c r="AC23" s="8" t="e">
        <f t="shared" si="17"/>
        <v>#VALUE!</v>
      </c>
      <c r="AD23" s="10" t="e">
        <f t="shared" si="18"/>
        <v>#VALUE!</v>
      </c>
      <c r="AF23" s="15"/>
    </row>
    <row r="24" spans="1:32" x14ac:dyDescent="0.25">
      <c r="A24" s="27">
        <v>43332</v>
      </c>
      <c r="B24" s="7" t="str">
        <f>'[3]Production Summary'!$U237</f>
        <v/>
      </c>
      <c r="C24" s="8" t="e">
        <f t="shared" si="0"/>
        <v>#VALUE!</v>
      </c>
      <c r="D24" s="10" t="e">
        <f t="shared" si="1"/>
        <v>#VALUE!</v>
      </c>
      <c r="E24" s="7" t="str">
        <f>'[3]Production Summary'!$O237</f>
        <v/>
      </c>
      <c r="F24" s="8" t="e">
        <f t="shared" si="2"/>
        <v>#VALUE!</v>
      </c>
      <c r="G24" s="10" t="e">
        <f t="shared" si="3"/>
        <v>#VALUE!</v>
      </c>
      <c r="H24" s="7" t="str">
        <f>'[3]Production Summary'!$Q237</f>
        <v/>
      </c>
      <c r="I24" s="8" t="e">
        <f t="shared" si="4"/>
        <v>#VALUE!</v>
      </c>
      <c r="J24" s="10" t="e">
        <f t="shared" si="5"/>
        <v>#VALUE!</v>
      </c>
      <c r="K24" s="7" t="str">
        <f>'[3]Production Summary'!$T237</f>
        <v/>
      </c>
      <c r="L24" s="8" t="e">
        <f t="shared" si="6"/>
        <v>#VALUE!</v>
      </c>
      <c r="M24" s="10" t="e">
        <f t="shared" si="7"/>
        <v>#VALUE!</v>
      </c>
      <c r="N24" s="57"/>
      <c r="O24" s="7" t="str">
        <f>'[3]Production Summary'!$AL237</f>
        <v/>
      </c>
      <c r="P24" s="8" t="e">
        <f t="shared" si="8"/>
        <v>#VALUE!</v>
      </c>
      <c r="Q24" s="10" t="e">
        <f t="shared" si="9"/>
        <v>#VALUE!</v>
      </c>
      <c r="R24" s="7" t="str">
        <f>'[3]Production Summary'!$AI237</f>
        <v/>
      </c>
      <c r="S24" s="8" t="e">
        <f t="shared" si="10"/>
        <v>#VALUE!</v>
      </c>
      <c r="T24" s="10" t="e">
        <f t="shared" si="11"/>
        <v>#VALUE!</v>
      </c>
      <c r="U24" s="7" t="str">
        <f>'[3]Production Summary'!$AF237</f>
        <v/>
      </c>
      <c r="V24" s="8" t="e">
        <f t="shared" si="12"/>
        <v>#VALUE!</v>
      </c>
      <c r="W24" s="10" t="e">
        <f t="shared" si="13"/>
        <v>#VALUE!</v>
      </c>
      <c r="X24" s="7" t="str">
        <f>'[3]Production Summary'!$AJ237</f>
        <v/>
      </c>
      <c r="Y24" s="8" t="e">
        <f t="shared" si="14"/>
        <v>#VALUE!</v>
      </c>
      <c r="Z24" s="10" t="e">
        <f t="shared" si="15"/>
        <v>#VALUE!</v>
      </c>
      <c r="AA24" s="15"/>
      <c r="AB24" s="7" t="e">
        <f t="shared" si="16"/>
        <v>#VALUE!</v>
      </c>
      <c r="AC24" s="8" t="e">
        <f t="shared" si="17"/>
        <v>#VALUE!</v>
      </c>
      <c r="AD24" s="10" t="e">
        <f t="shared" si="18"/>
        <v>#VALUE!</v>
      </c>
      <c r="AF24" s="15"/>
    </row>
    <row r="25" spans="1:32" x14ac:dyDescent="0.25">
      <c r="A25" s="27">
        <v>43333</v>
      </c>
      <c r="B25" s="7" t="str">
        <f>'[3]Production Summary'!$U238</f>
        <v/>
      </c>
      <c r="C25" s="8" t="e">
        <f t="shared" si="0"/>
        <v>#VALUE!</v>
      </c>
      <c r="D25" s="10" t="e">
        <f t="shared" si="1"/>
        <v>#VALUE!</v>
      </c>
      <c r="E25" s="7" t="str">
        <f>'[3]Production Summary'!$O238</f>
        <v/>
      </c>
      <c r="F25" s="8" t="e">
        <f t="shared" si="2"/>
        <v>#VALUE!</v>
      </c>
      <c r="G25" s="10" t="e">
        <f t="shared" si="3"/>
        <v>#VALUE!</v>
      </c>
      <c r="H25" s="7" t="str">
        <f>'[3]Production Summary'!$Q238</f>
        <v/>
      </c>
      <c r="I25" s="8" t="e">
        <f t="shared" si="4"/>
        <v>#VALUE!</v>
      </c>
      <c r="J25" s="10" t="e">
        <f t="shared" si="5"/>
        <v>#VALUE!</v>
      </c>
      <c r="K25" s="7" t="str">
        <f>'[3]Production Summary'!$T238</f>
        <v/>
      </c>
      <c r="L25" s="8" t="e">
        <f t="shared" si="6"/>
        <v>#VALUE!</v>
      </c>
      <c r="M25" s="10" t="e">
        <f t="shared" si="7"/>
        <v>#VALUE!</v>
      </c>
      <c r="N25" s="57"/>
      <c r="O25" s="7" t="str">
        <f>'[3]Production Summary'!$AL238</f>
        <v/>
      </c>
      <c r="P25" s="8" t="e">
        <f t="shared" si="8"/>
        <v>#VALUE!</v>
      </c>
      <c r="Q25" s="10" t="e">
        <f t="shared" si="9"/>
        <v>#VALUE!</v>
      </c>
      <c r="R25" s="7" t="str">
        <f>'[3]Production Summary'!$AI238</f>
        <v/>
      </c>
      <c r="S25" s="8" t="e">
        <f t="shared" si="10"/>
        <v>#VALUE!</v>
      </c>
      <c r="T25" s="10" t="e">
        <f t="shared" si="11"/>
        <v>#VALUE!</v>
      </c>
      <c r="U25" s="7" t="str">
        <f>'[3]Production Summary'!$AF238</f>
        <v/>
      </c>
      <c r="V25" s="8" t="e">
        <f t="shared" si="12"/>
        <v>#VALUE!</v>
      </c>
      <c r="W25" s="10" t="e">
        <f t="shared" si="13"/>
        <v>#VALUE!</v>
      </c>
      <c r="X25" s="7" t="str">
        <f>'[3]Production Summary'!$AJ238</f>
        <v/>
      </c>
      <c r="Y25" s="8" t="e">
        <f t="shared" si="14"/>
        <v>#VALUE!</v>
      </c>
      <c r="Z25" s="10" t="e">
        <f t="shared" si="15"/>
        <v>#VALUE!</v>
      </c>
      <c r="AA25" s="15"/>
      <c r="AB25" s="7" t="e">
        <f t="shared" si="16"/>
        <v>#VALUE!</v>
      </c>
      <c r="AC25" s="8" t="e">
        <f t="shared" si="17"/>
        <v>#VALUE!</v>
      </c>
      <c r="AD25" s="10" t="e">
        <f t="shared" si="18"/>
        <v>#VALUE!</v>
      </c>
      <c r="AF25" s="15"/>
    </row>
    <row r="26" spans="1:32" x14ac:dyDescent="0.25">
      <c r="A26" s="27">
        <v>43334</v>
      </c>
      <c r="B26" s="7" t="str">
        <f>'[3]Production Summary'!$U239</f>
        <v/>
      </c>
      <c r="C26" s="8" t="e">
        <f t="shared" si="0"/>
        <v>#VALUE!</v>
      </c>
      <c r="D26" s="10" t="e">
        <f t="shared" si="1"/>
        <v>#VALUE!</v>
      </c>
      <c r="E26" s="7" t="str">
        <f>'[3]Production Summary'!$O239</f>
        <v/>
      </c>
      <c r="F26" s="8" t="e">
        <f t="shared" si="2"/>
        <v>#VALUE!</v>
      </c>
      <c r="G26" s="10" t="e">
        <f t="shared" si="3"/>
        <v>#VALUE!</v>
      </c>
      <c r="H26" s="7" t="str">
        <f>'[3]Production Summary'!$Q239</f>
        <v/>
      </c>
      <c r="I26" s="8" t="e">
        <f t="shared" si="4"/>
        <v>#VALUE!</v>
      </c>
      <c r="J26" s="10" t="e">
        <f t="shared" si="5"/>
        <v>#VALUE!</v>
      </c>
      <c r="K26" s="7" t="str">
        <f>'[3]Production Summary'!$T239</f>
        <v/>
      </c>
      <c r="L26" s="8" t="e">
        <f t="shared" si="6"/>
        <v>#VALUE!</v>
      </c>
      <c r="M26" s="10" t="e">
        <f t="shared" si="7"/>
        <v>#VALUE!</v>
      </c>
      <c r="N26" s="57"/>
      <c r="O26" s="7" t="str">
        <f>'[3]Production Summary'!$AL239</f>
        <v/>
      </c>
      <c r="P26" s="8" t="e">
        <f t="shared" si="8"/>
        <v>#VALUE!</v>
      </c>
      <c r="Q26" s="10" t="e">
        <f t="shared" si="9"/>
        <v>#VALUE!</v>
      </c>
      <c r="R26" s="7" t="str">
        <f>'[3]Production Summary'!$AI239</f>
        <v/>
      </c>
      <c r="S26" s="8" t="e">
        <f t="shared" si="10"/>
        <v>#VALUE!</v>
      </c>
      <c r="T26" s="10" t="e">
        <f t="shared" si="11"/>
        <v>#VALUE!</v>
      </c>
      <c r="U26" s="7" t="str">
        <f>'[3]Production Summary'!$AF239</f>
        <v/>
      </c>
      <c r="V26" s="8" t="e">
        <f t="shared" si="12"/>
        <v>#VALUE!</v>
      </c>
      <c r="W26" s="10" t="e">
        <f t="shared" si="13"/>
        <v>#VALUE!</v>
      </c>
      <c r="X26" s="7" t="str">
        <f>'[3]Production Summary'!$AJ239</f>
        <v/>
      </c>
      <c r="Y26" s="8" t="e">
        <f t="shared" si="14"/>
        <v>#VALUE!</v>
      </c>
      <c r="Z26" s="10" t="e">
        <f t="shared" si="15"/>
        <v>#VALUE!</v>
      </c>
      <c r="AA26" s="15"/>
      <c r="AB26" s="7" t="e">
        <f t="shared" si="16"/>
        <v>#VALUE!</v>
      </c>
      <c r="AC26" s="8" t="e">
        <f t="shared" si="17"/>
        <v>#VALUE!</v>
      </c>
      <c r="AD26" s="10" t="e">
        <f t="shared" si="18"/>
        <v>#VALUE!</v>
      </c>
      <c r="AF26" s="15"/>
    </row>
    <row r="27" spans="1:32" x14ac:dyDescent="0.25">
      <c r="A27" s="27">
        <v>43335</v>
      </c>
      <c r="B27" s="7" t="str">
        <f>'[3]Production Summary'!$U240</f>
        <v/>
      </c>
      <c r="C27" s="8" t="e">
        <f t="shared" si="0"/>
        <v>#VALUE!</v>
      </c>
      <c r="D27" s="10" t="e">
        <f t="shared" si="1"/>
        <v>#VALUE!</v>
      </c>
      <c r="E27" s="7" t="str">
        <f>'[3]Production Summary'!$O240</f>
        <v/>
      </c>
      <c r="F27" s="8" t="e">
        <f t="shared" si="2"/>
        <v>#VALUE!</v>
      </c>
      <c r="G27" s="10" t="e">
        <f t="shared" si="3"/>
        <v>#VALUE!</v>
      </c>
      <c r="H27" s="7" t="str">
        <f>'[3]Production Summary'!$Q240</f>
        <v/>
      </c>
      <c r="I27" s="8" t="e">
        <f t="shared" si="4"/>
        <v>#VALUE!</v>
      </c>
      <c r="J27" s="10" t="e">
        <f t="shared" si="5"/>
        <v>#VALUE!</v>
      </c>
      <c r="K27" s="7" t="str">
        <f>'[3]Production Summary'!$T240</f>
        <v/>
      </c>
      <c r="L27" s="8" t="e">
        <f t="shared" si="6"/>
        <v>#VALUE!</v>
      </c>
      <c r="M27" s="10" t="e">
        <f t="shared" si="7"/>
        <v>#VALUE!</v>
      </c>
      <c r="N27" s="57"/>
      <c r="O27" s="7" t="str">
        <f>'[3]Production Summary'!$AL240</f>
        <v/>
      </c>
      <c r="P27" s="8" t="e">
        <f t="shared" si="8"/>
        <v>#VALUE!</v>
      </c>
      <c r="Q27" s="10" t="e">
        <f t="shared" si="9"/>
        <v>#VALUE!</v>
      </c>
      <c r="R27" s="7" t="str">
        <f>'[3]Production Summary'!$AI240</f>
        <v/>
      </c>
      <c r="S27" s="8" t="e">
        <f t="shared" si="10"/>
        <v>#VALUE!</v>
      </c>
      <c r="T27" s="10" t="e">
        <f t="shared" si="11"/>
        <v>#VALUE!</v>
      </c>
      <c r="U27" s="7" t="str">
        <f>'[3]Production Summary'!$AF240</f>
        <v/>
      </c>
      <c r="V27" s="8" t="e">
        <f t="shared" si="12"/>
        <v>#VALUE!</v>
      </c>
      <c r="W27" s="10" t="e">
        <f t="shared" si="13"/>
        <v>#VALUE!</v>
      </c>
      <c r="X27" s="7" t="str">
        <f>'[3]Production Summary'!$AJ240</f>
        <v/>
      </c>
      <c r="Y27" s="8" t="e">
        <f t="shared" si="14"/>
        <v>#VALUE!</v>
      </c>
      <c r="Z27" s="10" t="e">
        <f t="shared" si="15"/>
        <v>#VALUE!</v>
      </c>
      <c r="AA27" s="15"/>
      <c r="AB27" s="7" t="e">
        <f t="shared" si="16"/>
        <v>#VALUE!</v>
      </c>
      <c r="AC27" s="8" t="e">
        <f t="shared" si="17"/>
        <v>#VALUE!</v>
      </c>
      <c r="AD27" s="10" t="e">
        <f t="shared" si="18"/>
        <v>#VALUE!</v>
      </c>
      <c r="AF27" s="15"/>
    </row>
    <row r="28" spans="1:32" x14ac:dyDescent="0.25">
      <c r="A28" s="27">
        <v>43336</v>
      </c>
      <c r="B28" s="7" t="str">
        <f>'[3]Production Summary'!$U241</f>
        <v/>
      </c>
      <c r="C28" s="8" t="e">
        <f t="shared" si="0"/>
        <v>#VALUE!</v>
      </c>
      <c r="D28" s="10" t="e">
        <f t="shared" si="1"/>
        <v>#VALUE!</v>
      </c>
      <c r="E28" s="7" t="str">
        <f>'[3]Production Summary'!$O241</f>
        <v/>
      </c>
      <c r="F28" s="8" t="e">
        <f t="shared" si="2"/>
        <v>#VALUE!</v>
      </c>
      <c r="G28" s="10" t="e">
        <f t="shared" si="3"/>
        <v>#VALUE!</v>
      </c>
      <c r="H28" s="7" t="str">
        <f>'[3]Production Summary'!$Q241</f>
        <v/>
      </c>
      <c r="I28" s="8" t="e">
        <f t="shared" si="4"/>
        <v>#VALUE!</v>
      </c>
      <c r="J28" s="10" t="e">
        <f t="shared" si="5"/>
        <v>#VALUE!</v>
      </c>
      <c r="K28" s="7" t="str">
        <f>'[3]Production Summary'!$T241</f>
        <v/>
      </c>
      <c r="L28" s="8" t="e">
        <f t="shared" si="6"/>
        <v>#VALUE!</v>
      </c>
      <c r="M28" s="10" t="e">
        <f t="shared" si="7"/>
        <v>#VALUE!</v>
      </c>
      <c r="N28" s="57"/>
      <c r="O28" s="7" t="str">
        <f>'[3]Production Summary'!$AL241</f>
        <v/>
      </c>
      <c r="P28" s="8" t="e">
        <f t="shared" si="8"/>
        <v>#VALUE!</v>
      </c>
      <c r="Q28" s="10" t="e">
        <f t="shared" si="9"/>
        <v>#VALUE!</v>
      </c>
      <c r="R28" s="7" t="str">
        <f>'[3]Production Summary'!$AI241</f>
        <v/>
      </c>
      <c r="S28" s="8" t="e">
        <f t="shared" si="10"/>
        <v>#VALUE!</v>
      </c>
      <c r="T28" s="10" t="e">
        <f t="shared" si="11"/>
        <v>#VALUE!</v>
      </c>
      <c r="U28" s="7" t="str">
        <f>'[3]Production Summary'!$AF241</f>
        <v/>
      </c>
      <c r="V28" s="8" t="e">
        <f t="shared" si="12"/>
        <v>#VALUE!</v>
      </c>
      <c r="W28" s="10" t="e">
        <f t="shared" si="13"/>
        <v>#VALUE!</v>
      </c>
      <c r="X28" s="7" t="str">
        <f>'[3]Production Summary'!$AJ241</f>
        <v/>
      </c>
      <c r="Y28" s="8" t="e">
        <f t="shared" si="14"/>
        <v>#VALUE!</v>
      </c>
      <c r="Z28" s="10" t="e">
        <f t="shared" si="15"/>
        <v>#VALUE!</v>
      </c>
      <c r="AA28" s="15"/>
      <c r="AB28" s="7" t="e">
        <f t="shared" si="16"/>
        <v>#VALUE!</v>
      </c>
      <c r="AC28" s="8" t="e">
        <f t="shared" si="17"/>
        <v>#VALUE!</v>
      </c>
      <c r="AD28" s="10" t="e">
        <f t="shared" si="18"/>
        <v>#VALUE!</v>
      </c>
      <c r="AF28" s="15"/>
    </row>
    <row r="29" spans="1:32" x14ac:dyDescent="0.25">
      <c r="A29" s="27">
        <v>43337</v>
      </c>
      <c r="B29" s="7" t="str">
        <f>'[3]Production Summary'!$U242</f>
        <v/>
      </c>
      <c r="C29" s="8" t="e">
        <f t="shared" si="0"/>
        <v>#VALUE!</v>
      </c>
      <c r="D29" s="10" t="e">
        <f t="shared" si="1"/>
        <v>#VALUE!</v>
      </c>
      <c r="E29" s="7" t="str">
        <f>'[3]Production Summary'!$O242</f>
        <v/>
      </c>
      <c r="F29" s="8" t="e">
        <f t="shared" si="2"/>
        <v>#VALUE!</v>
      </c>
      <c r="G29" s="10" t="e">
        <f t="shared" si="3"/>
        <v>#VALUE!</v>
      </c>
      <c r="H29" s="7" t="str">
        <f>'[3]Production Summary'!$Q242</f>
        <v/>
      </c>
      <c r="I29" s="8" t="e">
        <f t="shared" si="4"/>
        <v>#VALUE!</v>
      </c>
      <c r="J29" s="10" t="e">
        <f t="shared" si="5"/>
        <v>#VALUE!</v>
      </c>
      <c r="K29" s="7" t="str">
        <f>'[3]Production Summary'!$T242</f>
        <v/>
      </c>
      <c r="L29" s="8" t="e">
        <f t="shared" si="6"/>
        <v>#VALUE!</v>
      </c>
      <c r="M29" s="10" t="e">
        <f t="shared" si="7"/>
        <v>#VALUE!</v>
      </c>
      <c r="N29" s="57"/>
      <c r="O29" s="7" t="str">
        <f>'[3]Production Summary'!$AL242</f>
        <v/>
      </c>
      <c r="P29" s="8" t="e">
        <f t="shared" si="8"/>
        <v>#VALUE!</v>
      </c>
      <c r="Q29" s="10" t="e">
        <f t="shared" si="9"/>
        <v>#VALUE!</v>
      </c>
      <c r="R29" s="7" t="str">
        <f>'[3]Production Summary'!$AI242</f>
        <v/>
      </c>
      <c r="S29" s="8" t="e">
        <f t="shared" si="10"/>
        <v>#VALUE!</v>
      </c>
      <c r="T29" s="10" t="e">
        <f t="shared" si="11"/>
        <v>#VALUE!</v>
      </c>
      <c r="U29" s="7" t="str">
        <f>'[3]Production Summary'!$AF242</f>
        <v/>
      </c>
      <c r="V29" s="8" t="e">
        <f t="shared" si="12"/>
        <v>#VALUE!</v>
      </c>
      <c r="W29" s="10" t="e">
        <f t="shared" si="13"/>
        <v>#VALUE!</v>
      </c>
      <c r="X29" s="7" t="str">
        <f>'[3]Production Summary'!$AJ242</f>
        <v/>
      </c>
      <c r="Y29" s="8" t="e">
        <f t="shared" si="14"/>
        <v>#VALUE!</v>
      </c>
      <c r="Z29" s="10" t="e">
        <f t="shared" si="15"/>
        <v>#VALUE!</v>
      </c>
      <c r="AA29" s="15"/>
      <c r="AB29" s="7" t="e">
        <f t="shared" si="16"/>
        <v>#VALUE!</v>
      </c>
      <c r="AC29" s="8" t="e">
        <f t="shared" si="17"/>
        <v>#VALUE!</v>
      </c>
      <c r="AD29" s="10" t="e">
        <f t="shared" si="18"/>
        <v>#VALUE!</v>
      </c>
      <c r="AF29" s="15"/>
    </row>
    <row r="30" spans="1:32" x14ac:dyDescent="0.25">
      <c r="A30" s="27">
        <v>43338</v>
      </c>
      <c r="B30" s="7" t="str">
        <f>'[3]Production Summary'!$U243</f>
        <v/>
      </c>
      <c r="C30" s="8" t="e">
        <f t="shared" si="0"/>
        <v>#VALUE!</v>
      </c>
      <c r="D30" s="10" t="e">
        <f t="shared" si="1"/>
        <v>#VALUE!</v>
      </c>
      <c r="E30" s="7" t="str">
        <f>'[3]Production Summary'!$O243</f>
        <v/>
      </c>
      <c r="F30" s="8" t="e">
        <f t="shared" si="2"/>
        <v>#VALUE!</v>
      </c>
      <c r="G30" s="10" t="e">
        <f t="shared" si="3"/>
        <v>#VALUE!</v>
      </c>
      <c r="H30" s="7" t="str">
        <f>'[3]Production Summary'!$Q243</f>
        <v/>
      </c>
      <c r="I30" s="8" t="e">
        <f t="shared" si="4"/>
        <v>#VALUE!</v>
      </c>
      <c r="J30" s="10" t="e">
        <f t="shared" si="5"/>
        <v>#VALUE!</v>
      </c>
      <c r="K30" s="7" t="str">
        <f>'[3]Production Summary'!$T243</f>
        <v/>
      </c>
      <c r="L30" s="8" t="e">
        <f t="shared" si="6"/>
        <v>#VALUE!</v>
      </c>
      <c r="M30" s="10" t="e">
        <f t="shared" si="7"/>
        <v>#VALUE!</v>
      </c>
      <c r="N30" s="57"/>
      <c r="O30" s="7" t="str">
        <f>'[3]Production Summary'!$AL243</f>
        <v/>
      </c>
      <c r="P30" s="8" t="e">
        <f t="shared" si="8"/>
        <v>#VALUE!</v>
      </c>
      <c r="Q30" s="10" t="e">
        <f t="shared" si="9"/>
        <v>#VALUE!</v>
      </c>
      <c r="R30" s="7" t="str">
        <f>'[3]Production Summary'!$AI243</f>
        <v/>
      </c>
      <c r="S30" s="8" t="e">
        <f t="shared" si="10"/>
        <v>#VALUE!</v>
      </c>
      <c r="T30" s="10" t="e">
        <f t="shared" si="11"/>
        <v>#VALUE!</v>
      </c>
      <c r="U30" s="7" t="str">
        <f>'[3]Production Summary'!$AF243</f>
        <v/>
      </c>
      <c r="V30" s="8" t="e">
        <f t="shared" si="12"/>
        <v>#VALUE!</v>
      </c>
      <c r="W30" s="10" t="e">
        <f t="shared" si="13"/>
        <v>#VALUE!</v>
      </c>
      <c r="X30" s="7" t="str">
        <f>'[3]Production Summary'!$AJ243</f>
        <v/>
      </c>
      <c r="Y30" s="8" t="e">
        <f t="shared" si="14"/>
        <v>#VALUE!</v>
      </c>
      <c r="Z30" s="10" t="e">
        <f t="shared" si="15"/>
        <v>#VALUE!</v>
      </c>
      <c r="AA30" s="15"/>
      <c r="AB30" s="7" t="e">
        <f t="shared" si="16"/>
        <v>#VALUE!</v>
      </c>
      <c r="AC30" s="8" t="e">
        <f t="shared" si="17"/>
        <v>#VALUE!</v>
      </c>
      <c r="AD30" s="10" t="e">
        <f t="shared" si="18"/>
        <v>#VALUE!</v>
      </c>
      <c r="AF30" s="15"/>
    </row>
    <row r="31" spans="1:32" x14ac:dyDescent="0.25">
      <c r="A31" s="27">
        <v>43339</v>
      </c>
      <c r="B31" s="7" t="str">
        <f>'[3]Production Summary'!$U244</f>
        <v/>
      </c>
      <c r="C31" s="8" t="e">
        <f t="shared" si="0"/>
        <v>#VALUE!</v>
      </c>
      <c r="D31" s="10" t="e">
        <f t="shared" si="1"/>
        <v>#VALUE!</v>
      </c>
      <c r="E31" s="7" t="str">
        <f>'[3]Production Summary'!$O244</f>
        <v/>
      </c>
      <c r="F31" s="8" t="e">
        <f t="shared" si="2"/>
        <v>#VALUE!</v>
      </c>
      <c r="G31" s="10" t="e">
        <f t="shared" si="3"/>
        <v>#VALUE!</v>
      </c>
      <c r="H31" s="7" t="str">
        <f>'[3]Production Summary'!$Q244</f>
        <v/>
      </c>
      <c r="I31" s="8" t="e">
        <f t="shared" si="4"/>
        <v>#VALUE!</v>
      </c>
      <c r="J31" s="10" t="e">
        <f t="shared" si="5"/>
        <v>#VALUE!</v>
      </c>
      <c r="K31" s="7" t="str">
        <f>'[3]Production Summary'!$T244</f>
        <v/>
      </c>
      <c r="L31" s="8" t="e">
        <f t="shared" si="6"/>
        <v>#VALUE!</v>
      </c>
      <c r="M31" s="10" t="e">
        <f t="shared" si="7"/>
        <v>#VALUE!</v>
      </c>
      <c r="N31" s="57"/>
      <c r="O31" s="7" t="str">
        <f>'[3]Production Summary'!$AL244</f>
        <v/>
      </c>
      <c r="P31" s="8" t="e">
        <f t="shared" si="8"/>
        <v>#VALUE!</v>
      </c>
      <c r="Q31" s="10" t="e">
        <f t="shared" si="9"/>
        <v>#VALUE!</v>
      </c>
      <c r="R31" s="7" t="str">
        <f>'[3]Production Summary'!$AI244</f>
        <v/>
      </c>
      <c r="S31" s="8" t="e">
        <f t="shared" si="10"/>
        <v>#VALUE!</v>
      </c>
      <c r="T31" s="10" t="e">
        <f t="shared" si="11"/>
        <v>#VALUE!</v>
      </c>
      <c r="U31" s="7" t="str">
        <f>'[3]Production Summary'!$AF244</f>
        <v/>
      </c>
      <c r="V31" s="8" t="e">
        <f t="shared" si="12"/>
        <v>#VALUE!</v>
      </c>
      <c r="W31" s="10" t="e">
        <f t="shared" si="13"/>
        <v>#VALUE!</v>
      </c>
      <c r="X31" s="7" t="str">
        <f>'[3]Production Summary'!$AJ244</f>
        <v/>
      </c>
      <c r="Y31" s="8" t="e">
        <f t="shared" si="14"/>
        <v>#VALUE!</v>
      </c>
      <c r="Z31" s="10" t="e">
        <f t="shared" si="15"/>
        <v>#VALUE!</v>
      </c>
      <c r="AA31" s="15"/>
      <c r="AB31" s="7" t="e">
        <f t="shared" si="16"/>
        <v>#VALUE!</v>
      </c>
      <c r="AC31" s="8" t="e">
        <f t="shared" si="17"/>
        <v>#VALUE!</v>
      </c>
      <c r="AD31" s="10" t="e">
        <f t="shared" si="18"/>
        <v>#VALUE!</v>
      </c>
      <c r="AF31" s="15"/>
    </row>
    <row r="32" spans="1:32" x14ac:dyDescent="0.25">
      <c r="A32" s="27">
        <v>43340</v>
      </c>
      <c r="B32" s="7" t="str">
        <f>'[3]Production Summary'!$U245</f>
        <v/>
      </c>
      <c r="C32" s="8" t="e">
        <f t="shared" si="0"/>
        <v>#VALUE!</v>
      </c>
      <c r="D32" s="10" t="e">
        <f t="shared" si="1"/>
        <v>#VALUE!</v>
      </c>
      <c r="E32" s="7" t="str">
        <f>'[3]Production Summary'!$O245</f>
        <v/>
      </c>
      <c r="F32" s="8" t="e">
        <f t="shared" si="2"/>
        <v>#VALUE!</v>
      </c>
      <c r="G32" s="10" t="e">
        <f t="shared" si="3"/>
        <v>#VALUE!</v>
      </c>
      <c r="H32" s="7" t="str">
        <f>'[3]Production Summary'!$Q245</f>
        <v/>
      </c>
      <c r="I32" s="8" t="e">
        <f t="shared" si="4"/>
        <v>#VALUE!</v>
      </c>
      <c r="J32" s="10" t="e">
        <f t="shared" si="5"/>
        <v>#VALUE!</v>
      </c>
      <c r="K32" s="7" t="str">
        <f>'[3]Production Summary'!$T245</f>
        <v/>
      </c>
      <c r="L32" s="8" t="e">
        <f t="shared" si="6"/>
        <v>#VALUE!</v>
      </c>
      <c r="M32" s="10" t="e">
        <f t="shared" si="7"/>
        <v>#VALUE!</v>
      </c>
      <c r="N32" s="57"/>
      <c r="O32" s="7" t="str">
        <f>'[3]Production Summary'!$AL245</f>
        <v/>
      </c>
      <c r="P32" s="8" t="e">
        <f t="shared" si="8"/>
        <v>#VALUE!</v>
      </c>
      <c r="Q32" s="10" t="e">
        <f t="shared" si="9"/>
        <v>#VALUE!</v>
      </c>
      <c r="R32" s="7" t="str">
        <f>'[3]Production Summary'!$AI245</f>
        <v/>
      </c>
      <c r="S32" s="8" t="e">
        <f t="shared" si="10"/>
        <v>#VALUE!</v>
      </c>
      <c r="T32" s="10" t="e">
        <f t="shared" si="11"/>
        <v>#VALUE!</v>
      </c>
      <c r="U32" s="7" t="str">
        <f>'[3]Production Summary'!$AF245</f>
        <v/>
      </c>
      <c r="V32" s="8" t="e">
        <f t="shared" si="12"/>
        <v>#VALUE!</v>
      </c>
      <c r="W32" s="10" t="e">
        <f t="shared" si="13"/>
        <v>#VALUE!</v>
      </c>
      <c r="X32" s="7" t="str">
        <f>'[3]Production Summary'!$AJ245</f>
        <v/>
      </c>
      <c r="Y32" s="8" t="e">
        <f t="shared" si="14"/>
        <v>#VALUE!</v>
      </c>
      <c r="Z32" s="10" t="e">
        <f t="shared" si="15"/>
        <v>#VALUE!</v>
      </c>
      <c r="AA32" s="15"/>
      <c r="AB32" s="7" t="e">
        <f t="shared" si="16"/>
        <v>#VALUE!</v>
      </c>
      <c r="AC32" s="8" t="e">
        <f t="shared" si="17"/>
        <v>#VALUE!</v>
      </c>
      <c r="AD32" s="10" t="e">
        <f t="shared" si="18"/>
        <v>#VALUE!</v>
      </c>
      <c r="AF32" s="15"/>
    </row>
    <row r="33" spans="1:32" x14ac:dyDescent="0.25">
      <c r="A33" s="27">
        <v>43341</v>
      </c>
      <c r="B33" s="7" t="str">
        <f>'[3]Production Summary'!$U246</f>
        <v/>
      </c>
      <c r="C33" s="8" t="e">
        <f t="shared" si="0"/>
        <v>#VALUE!</v>
      </c>
      <c r="D33" s="10" t="e">
        <f t="shared" si="1"/>
        <v>#VALUE!</v>
      </c>
      <c r="E33" s="7" t="str">
        <f>'[3]Production Summary'!$O246</f>
        <v/>
      </c>
      <c r="F33" s="8" t="e">
        <f t="shared" si="2"/>
        <v>#VALUE!</v>
      </c>
      <c r="G33" s="10" t="e">
        <f t="shared" si="3"/>
        <v>#VALUE!</v>
      </c>
      <c r="H33" s="7" t="str">
        <f>'[3]Production Summary'!$Q246</f>
        <v/>
      </c>
      <c r="I33" s="8" t="e">
        <f t="shared" si="4"/>
        <v>#VALUE!</v>
      </c>
      <c r="J33" s="10" t="e">
        <f t="shared" si="5"/>
        <v>#VALUE!</v>
      </c>
      <c r="K33" s="7" t="str">
        <f>'[3]Production Summary'!$T246</f>
        <v/>
      </c>
      <c r="L33" s="8" t="e">
        <f t="shared" si="6"/>
        <v>#VALUE!</v>
      </c>
      <c r="M33" s="10" t="e">
        <f t="shared" si="7"/>
        <v>#VALUE!</v>
      </c>
      <c r="N33" s="57"/>
      <c r="O33" s="7" t="str">
        <f>'[3]Production Summary'!$AL246</f>
        <v/>
      </c>
      <c r="P33" s="8" t="e">
        <f t="shared" si="8"/>
        <v>#VALUE!</v>
      </c>
      <c r="Q33" s="10" t="e">
        <f t="shared" si="9"/>
        <v>#VALUE!</v>
      </c>
      <c r="R33" s="7" t="str">
        <f>'[3]Production Summary'!$AI246</f>
        <v/>
      </c>
      <c r="S33" s="8" t="e">
        <f t="shared" si="10"/>
        <v>#VALUE!</v>
      </c>
      <c r="T33" s="10" t="e">
        <f t="shared" si="11"/>
        <v>#VALUE!</v>
      </c>
      <c r="U33" s="7" t="str">
        <f>'[3]Production Summary'!$AF246</f>
        <v/>
      </c>
      <c r="V33" s="8" t="e">
        <f t="shared" si="12"/>
        <v>#VALUE!</v>
      </c>
      <c r="W33" s="10" t="e">
        <f t="shared" si="13"/>
        <v>#VALUE!</v>
      </c>
      <c r="X33" s="7" t="str">
        <f>'[3]Production Summary'!$AJ246</f>
        <v/>
      </c>
      <c r="Y33" s="8" t="e">
        <f t="shared" si="14"/>
        <v>#VALUE!</v>
      </c>
      <c r="Z33" s="10" t="e">
        <f t="shared" si="15"/>
        <v>#VALUE!</v>
      </c>
      <c r="AA33" s="15"/>
      <c r="AB33" s="7" t="e">
        <f t="shared" si="16"/>
        <v>#VALUE!</v>
      </c>
      <c r="AC33" s="8" t="e">
        <f t="shared" si="17"/>
        <v>#VALUE!</v>
      </c>
      <c r="AD33" s="10" t="e">
        <f t="shared" si="18"/>
        <v>#VALUE!</v>
      </c>
      <c r="AF33" s="15"/>
    </row>
    <row r="34" spans="1:32" x14ac:dyDescent="0.25">
      <c r="A34" s="27">
        <v>43342</v>
      </c>
      <c r="B34" s="7" t="str">
        <f>'[3]Production Summary'!$U247</f>
        <v/>
      </c>
      <c r="C34" s="8" t="e">
        <f t="shared" si="0"/>
        <v>#VALUE!</v>
      </c>
      <c r="D34" s="10" t="e">
        <f t="shared" si="1"/>
        <v>#VALUE!</v>
      </c>
      <c r="E34" s="7" t="str">
        <f>'[3]Production Summary'!$O247</f>
        <v/>
      </c>
      <c r="F34" s="8" t="e">
        <f t="shared" si="2"/>
        <v>#VALUE!</v>
      </c>
      <c r="G34" s="10" t="e">
        <f t="shared" si="3"/>
        <v>#VALUE!</v>
      </c>
      <c r="H34" s="7" t="str">
        <f>'[3]Production Summary'!$Q247</f>
        <v/>
      </c>
      <c r="I34" s="8" t="e">
        <f t="shared" si="4"/>
        <v>#VALUE!</v>
      </c>
      <c r="J34" s="10" t="e">
        <f t="shared" si="5"/>
        <v>#VALUE!</v>
      </c>
      <c r="K34" s="7" t="str">
        <f>'[3]Production Summary'!$T247</f>
        <v/>
      </c>
      <c r="L34" s="8" t="e">
        <f t="shared" si="6"/>
        <v>#VALUE!</v>
      </c>
      <c r="M34" s="10" t="e">
        <f t="shared" si="7"/>
        <v>#VALUE!</v>
      </c>
      <c r="N34" s="57"/>
      <c r="O34" s="7" t="str">
        <f>'[3]Production Summary'!$AL247</f>
        <v/>
      </c>
      <c r="P34" s="8" t="e">
        <f t="shared" si="8"/>
        <v>#VALUE!</v>
      </c>
      <c r="Q34" s="10" t="e">
        <f t="shared" si="9"/>
        <v>#VALUE!</v>
      </c>
      <c r="R34" s="7" t="str">
        <f>'[3]Production Summary'!$AI247</f>
        <v/>
      </c>
      <c r="S34" s="8" t="e">
        <f t="shared" si="10"/>
        <v>#VALUE!</v>
      </c>
      <c r="T34" s="10" t="e">
        <f t="shared" si="11"/>
        <v>#VALUE!</v>
      </c>
      <c r="U34" s="7" t="str">
        <f>'[3]Production Summary'!$AF247</f>
        <v/>
      </c>
      <c r="V34" s="8" t="e">
        <f t="shared" si="12"/>
        <v>#VALUE!</v>
      </c>
      <c r="W34" s="10" t="e">
        <f t="shared" si="13"/>
        <v>#VALUE!</v>
      </c>
      <c r="X34" s="7" t="str">
        <f>'[3]Production Summary'!$AJ247</f>
        <v/>
      </c>
      <c r="Y34" s="8" t="e">
        <f t="shared" si="14"/>
        <v>#VALUE!</v>
      </c>
      <c r="Z34" s="10" t="e">
        <f t="shared" si="15"/>
        <v>#VALUE!</v>
      </c>
      <c r="AA34" s="15"/>
      <c r="AB34" s="7" t="e">
        <f t="shared" si="16"/>
        <v>#VALUE!</v>
      </c>
      <c r="AC34" s="8" t="e">
        <f t="shared" si="17"/>
        <v>#VALUE!</v>
      </c>
      <c r="AD34" s="10" t="e">
        <f t="shared" si="18"/>
        <v>#VALUE!</v>
      </c>
      <c r="AF34" s="15"/>
    </row>
    <row r="35" spans="1:32" ht="13.8" thickBot="1" x14ac:dyDescent="0.3">
      <c r="A35" s="27">
        <v>43343</v>
      </c>
      <c r="B35" s="7" t="str">
        <f>'[3]Production Summary'!$U248</f>
        <v/>
      </c>
      <c r="C35" s="8" t="e">
        <f t="shared" si="0"/>
        <v>#VALUE!</v>
      </c>
      <c r="D35" s="10" t="e">
        <f t="shared" si="1"/>
        <v>#VALUE!</v>
      </c>
      <c r="E35" s="7" t="str">
        <f>'[3]Production Summary'!$O248</f>
        <v/>
      </c>
      <c r="F35" s="8" t="e">
        <f t="shared" si="2"/>
        <v>#VALUE!</v>
      </c>
      <c r="G35" s="10" t="e">
        <f t="shared" si="3"/>
        <v>#VALUE!</v>
      </c>
      <c r="H35" s="7" t="str">
        <f>'[3]Production Summary'!$Q248</f>
        <v/>
      </c>
      <c r="I35" s="8" t="e">
        <f t="shared" si="4"/>
        <v>#VALUE!</v>
      </c>
      <c r="J35" s="10" t="e">
        <f t="shared" si="5"/>
        <v>#VALUE!</v>
      </c>
      <c r="K35" s="7" t="str">
        <f>'[3]Production Summary'!$T248</f>
        <v/>
      </c>
      <c r="L35" s="8" t="e">
        <f t="shared" si="6"/>
        <v>#VALUE!</v>
      </c>
      <c r="M35" s="10" t="e">
        <f t="shared" si="7"/>
        <v>#VALUE!</v>
      </c>
      <c r="N35" s="57"/>
      <c r="O35" s="7" t="str">
        <f>'[3]Production Summary'!$AL248</f>
        <v/>
      </c>
      <c r="P35" s="8" t="e">
        <f t="shared" si="8"/>
        <v>#VALUE!</v>
      </c>
      <c r="Q35" s="10" t="e">
        <f t="shared" si="9"/>
        <v>#VALUE!</v>
      </c>
      <c r="R35" s="7" t="str">
        <f>'[3]Production Summary'!$AI248</f>
        <v/>
      </c>
      <c r="S35" s="8" t="e">
        <f t="shared" si="10"/>
        <v>#VALUE!</v>
      </c>
      <c r="T35" s="10" t="e">
        <f t="shared" si="11"/>
        <v>#VALUE!</v>
      </c>
      <c r="U35" s="7" t="str">
        <f>'[3]Production Summary'!$AF248</f>
        <v/>
      </c>
      <c r="V35" s="8" t="e">
        <f t="shared" si="12"/>
        <v>#VALUE!</v>
      </c>
      <c r="W35" s="10" t="e">
        <f t="shared" si="13"/>
        <v>#VALUE!</v>
      </c>
      <c r="X35" s="7" t="str">
        <f>'[3]Production Summary'!$AJ248</f>
        <v/>
      </c>
      <c r="Y35" s="8" t="e">
        <f t="shared" si="14"/>
        <v>#VALUE!</v>
      </c>
      <c r="Z35" s="10" t="e">
        <f t="shared" si="15"/>
        <v>#VALUE!</v>
      </c>
      <c r="AA35" s="15"/>
      <c r="AB35" s="7" t="e">
        <f t="shared" si="16"/>
        <v>#VALUE!</v>
      </c>
      <c r="AC35" s="8" t="e">
        <f t="shared" si="17"/>
        <v>#VALUE!</v>
      </c>
      <c r="AD35" s="10" t="e">
        <f t="shared" si="18"/>
        <v>#VALUE!</v>
      </c>
      <c r="AF35" s="15"/>
    </row>
    <row r="36" spans="1:32" ht="13.8" thickBot="1" x14ac:dyDescent="0.3">
      <c r="A36" s="14"/>
      <c r="B36" s="37"/>
      <c r="C36" s="38" t="e">
        <f>SUM(C5:C35)</f>
        <v>#VALUE!</v>
      </c>
      <c r="D36" s="38" t="e">
        <f t="shared" ref="D36" si="19">C36*3.07</f>
        <v>#VALUE!</v>
      </c>
      <c r="E36" s="37"/>
      <c r="F36" s="38" t="e">
        <f>SUM(F5:F35)</f>
        <v>#VALUE!</v>
      </c>
      <c r="G36" s="38" t="e">
        <f t="shared" ref="G36" si="20">F36*3.07</f>
        <v>#VALUE!</v>
      </c>
      <c r="H36" s="37"/>
      <c r="I36" s="38" t="e">
        <f>SUM(I5:I35)</f>
        <v>#VALUE!</v>
      </c>
      <c r="J36" s="38" t="e">
        <f t="shared" ref="J36" si="21">I36*3.07</f>
        <v>#VALUE!</v>
      </c>
      <c r="K36" s="37"/>
      <c r="L36" s="38" t="e">
        <f>SUM(L5:L35)</f>
        <v>#VALUE!</v>
      </c>
      <c r="M36" s="38" t="e">
        <f t="shared" ref="M36" si="22">L36*3.07</f>
        <v>#VALUE!</v>
      </c>
      <c r="N36" s="14"/>
      <c r="O36" s="37"/>
      <c r="P36" s="38" t="e">
        <f>SUM(P5:P35)</f>
        <v>#VALUE!</v>
      </c>
      <c r="Q36" s="38" t="e">
        <f t="shared" ref="Q36" si="23">P36*3.07</f>
        <v>#VALUE!</v>
      </c>
      <c r="R36" s="37"/>
      <c r="S36" s="38" t="e">
        <f>SUM(S5:S35)</f>
        <v>#VALUE!</v>
      </c>
      <c r="T36" s="38" t="e">
        <f t="shared" ref="T36" si="24">S36*3.07</f>
        <v>#VALUE!</v>
      </c>
      <c r="U36" s="37"/>
      <c r="V36" s="38" t="e">
        <f>SUM(V5:V35)</f>
        <v>#VALUE!</v>
      </c>
      <c r="W36" s="38" t="e">
        <f t="shared" ref="W36" si="25">V36*3.07</f>
        <v>#VALUE!</v>
      </c>
      <c r="X36" s="37"/>
      <c r="Y36" s="38" t="e">
        <f>SUM(Y5:Y35)</f>
        <v>#VALUE!</v>
      </c>
      <c r="Z36" s="38" t="e">
        <f t="shared" ref="Z36" si="26">Y36*3.07</f>
        <v>#VALUE!</v>
      </c>
      <c r="AA36" s="14"/>
      <c r="AB36" s="37"/>
      <c r="AC36" s="38" t="e">
        <f>SUM(AC5:AC35)</f>
        <v>#VALUE!</v>
      </c>
      <c r="AD36" s="38" t="e">
        <f>AC36*3.07</f>
        <v>#VALUE!</v>
      </c>
      <c r="AF36" s="16"/>
    </row>
    <row r="37" spans="1:32" x14ac:dyDescent="0.25">
      <c r="C37" s="18"/>
      <c r="E37" s="3"/>
      <c r="F37" s="3"/>
      <c r="G37" s="3"/>
      <c r="H37" s="3"/>
      <c r="I37" s="3"/>
      <c r="J37" s="3"/>
      <c r="K37" s="14"/>
      <c r="L37" s="3"/>
      <c r="M37" s="3"/>
      <c r="O37" s="3"/>
      <c r="P37" s="3"/>
      <c r="Q37" s="3"/>
      <c r="R37" s="3"/>
      <c r="S37" s="3"/>
      <c r="T37" s="3"/>
      <c r="U37" s="14"/>
    </row>
    <row r="38" spans="1:32" x14ac:dyDescent="0.25">
      <c r="G38" s="15"/>
    </row>
    <row r="40" spans="1:32" x14ac:dyDescent="0.25">
      <c r="G40" s="15"/>
    </row>
  </sheetData>
  <mergeCells count="9">
    <mergeCell ref="AB3:AD3"/>
    <mergeCell ref="R3:T3"/>
    <mergeCell ref="U3:W3"/>
    <mergeCell ref="X3:Z3"/>
    <mergeCell ref="B3:D3"/>
    <mergeCell ref="E3:G3"/>
    <mergeCell ref="H3:J3"/>
    <mergeCell ref="O3:Q3"/>
    <mergeCell ref="K3:M3"/>
  </mergeCells>
  <phoneticPr fontId="1" type="noConversion"/>
  <pageMargins left="0.75" right="0.75" top="1" bottom="1" header="0.5" footer="0.5"/>
  <pageSetup scale="37" orientation="landscape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A1:AD40"/>
  <sheetViews>
    <sheetView workbookViewId="0">
      <pane xSplit="1" ySplit="4" topLeftCell="B5" activePane="bottomRight" state="frozen"/>
      <selection activeCell="T39" sqref="T39"/>
      <selection pane="topRight" activeCell="T39" sqref="T39"/>
      <selection pane="bottomLeft" activeCell="T39" sqref="T39"/>
      <selection pane="bottomRight" activeCell="B5" sqref="B5:AD5"/>
    </sheetView>
  </sheetViews>
  <sheetFormatPr defaultRowHeight="13.2" x14ac:dyDescent="0.25"/>
  <cols>
    <col min="2" max="2" width="12.5546875" customWidth="1"/>
    <col min="5" max="5" width="11.33203125" customWidth="1"/>
    <col min="8" max="8" width="11.33203125" customWidth="1"/>
    <col min="11" max="11" width="11.6640625" customWidth="1"/>
    <col min="12" max="13" width="10.33203125" customWidth="1"/>
    <col min="15" max="15" width="10.109375" bestFit="1" customWidth="1"/>
    <col min="18" max="18" width="11.33203125" customWidth="1"/>
    <col min="21" max="21" width="10.109375" bestFit="1" customWidth="1"/>
    <col min="28" max="28" width="11.33203125" customWidth="1"/>
  </cols>
  <sheetData>
    <row r="1" spans="1:30" x14ac:dyDescent="0.25">
      <c r="A1" s="41"/>
      <c r="B1" s="39"/>
      <c r="C1" s="54" t="s">
        <v>23</v>
      </c>
      <c r="D1" s="25"/>
      <c r="E1" s="25"/>
      <c r="F1" s="25"/>
      <c r="G1" s="3"/>
      <c r="H1" s="3"/>
      <c r="I1" s="3"/>
      <c r="J1" s="3"/>
      <c r="K1" s="14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spans="1:30" ht="13.8" thickBot="1" x14ac:dyDescent="0.3">
      <c r="A2" s="3"/>
      <c r="B2" s="3"/>
      <c r="C2" s="24"/>
      <c r="D2" s="3"/>
      <c r="E2" s="3"/>
      <c r="F2" s="3"/>
      <c r="G2" s="3"/>
      <c r="H2" s="3"/>
      <c r="I2" s="3"/>
      <c r="J2" s="3"/>
      <c r="K2" s="14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30" ht="60.75" customHeight="1" thickBot="1" x14ac:dyDescent="0.3">
      <c r="A3" s="3"/>
      <c r="B3" s="68" t="s">
        <v>9</v>
      </c>
      <c r="C3" s="69"/>
      <c r="D3" s="70"/>
      <c r="E3" s="68" t="s">
        <v>10</v>
      </c>
      <c r="F3" s="69"/>
      <c r="G3" s="70"/>
      <c r="H3" s="68" t="s">
        <v>11</v>
      </c>
      <c r="I3" s="69"/>
      <c r="J3" s="70"/>
      <c r="K3" s="68" t="s">
        <v>12</v>
      </c>
      <c r="L3" s="69"/>
      <c r="M3" s="70"/>
      <c r="N3" s="19"/>
      <c r="O3" s="71" t="s">
        <v>4</v>
      </c>
      <c r="P3" s="69"/>
      <c r="Q3" s="70"/>
      <c r="R3" s="68" t="s">
        <v>18</v>
      </c>
      <c r="S3" s="69"/>
      <c r="T3" s="70"/>
      <c r="U3" s="68" t="s">
        <v>14</v>
      </c>
      <c r="V3" s="69"/>
      <c r="W3" s="70"/>
      <c r="X3" s="68" t="s">
        <v>6</v>
      </c>
      <c r="Y3" s="69"/>
      <c r="Z3" s="70"/>
      <c r="AA3" s="19"/>
      <c r="AB3" s="65" t="s">
        <v>7</v>
      </c>
      <c r="AC3" s="66"/>
      <c r="AD3" s="67"/>
    </row>
    <row r="4" spans="1:30" x14ac:dyDescent="0.25">
      <c r="A4" s="26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19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19"/>
      <c r="AB4" s="30" t="s">
        <v>0</v>
      </c>
      <c r="AC4" s="31" t="s">
        <v>1</v>
      </c>
      <c r="AD4" s="32" t="s">
        <v>2</v>
      </c>
    </row>
    <row r="5" spans="1:30" x14ac:dyDescent="0.25">
      <c r="A5" s="27">
        <v>43344</v>
      </c>
      <c r="B5" s="7" t="str">
        <f>'[3]Production Summary'!$U249</f>
        <v/>
      </c>
      <c r="C5" s="8" t="e">
        <f>B5/1000000</f>
        <v>#VALUE!</v>
      </c>
      <c r="D5" s="10" t="e">
        <f>C5*3.07</f>
        <v>#VALUE!</v>
      </c>
      <c r="E5" s="7" t="str">
        <f>'[3]Production Summary'!$O249</f>
        <v/>
      </c>
      <c r="F5" s="8" t="e">
        <f>E5/1000000</f>
        <v>#VALUE!</v>
      </c>
      <c r="G5" s="10" t="e">
        <f>F5*3.07</f>
        <v>#VALUE!</v>
      </c>
      <c r="H5" s="7" t="str">
        <f>'[3]Production Summary'!$Q249</f>
        <v/>
      </c>
      <c r="I5" s="8" t="e">
        <f>H5/1000000</f>
        <v>#VALUE!</v>
      </c>
      <c r="J5" s="10" t="e">
        <f>I5*3.07</f>
        <v>#VALUE!</v>
      </c>
      <c r="K5" s="7" t="str">
        <f>'[3]Production Summary'!$T249</f>
        <v/>
      </c>
      <c r="L5" s="8" t="e">
        <f>K5/1000000</f>
        <v>#VALUE!</v>
      </c>
      <c r="M5" s="10" t="e">
        <f>L5*3.07</f>
        <v>#VALUE!</v>
      </c>
      <c r="N5" s="57"/>
      <c r="O5" s="7" t="str">
        <f>'[3]Production Summary'!$AL249</f>
        <v/>
      </c>
      <c r="P5" s="8" t="e">
        <f>O5/1000000</f>
        <v>#VALUE!</v>
      </c>
      <c r="Q5" s="10" t="e">
        <f>P5*3.07</f>
        <v>#VALUE!</v>
      </c>
      <c r="R5" s="7" t="str">
        <f>'[3]Production Summary'!$AI249</f>
        <v/>
      </c>
      <c r="S5" s="8" t="e">
        <f>R5/1000000</f>
        <v>#VALUE!</v>
      </c>
      <c r="T5" s="10" t="e">
        <f>S5*3.07</f>
        <v>#VALUE!</v>
      </c>
      <c r="U5" s="7" t="str">
        <f>'[3]Production Summary'!$AF249</f>
        <v/>
      </c>
      <c r="V5" s="8" t="e">
        <f>U5/1000000</f>
        <v>#VALUE!</v>
      </c>
      <c r="W5" s="10" t="e">
        <f>V5*3.07</f>
        <v>#VALUE!</v>
      </c>
      <c r="X5" s="7" t="str">
        <f>'[3]Production Summary'!$AJ249</f>
        <v/>
      </c>
      <c r="Y5" s="8" t="e">
        <f>X5/1000000</f>
        <v>#VALUE!</v>
      </c>
      <c r="Z5" s="10" t="e">
        <f>Y5*3.07</f>
        <v>#VALUE!</v>
      </c>
      <c r="AA5" s="15"/>
      <c r="AB5" s="7" t="e">
        <f>B5+O5</f>
        <v>#VALUE!</v>
      </c>
      <c r="AC5" s="8" t="e">
        <f>AB5/1000000</f>
        <v>#VALUE!</v>
      </c>
      <c r="AD5" s="10" t="e">
        <f>AC5*3.07</f>
        <v>#VALUE!</v>
      </c>
    </row>
    <row r="6" spans="1:30" x14ac:dyDescent="0.25">
      <c r="A6" s="27">
        <v>43345</v>
      </c>
      <c r="B6" s="7" t="str">
        <f>'[3]Production Summary'!$U250</f>
        <v/>
      </c>
      <c r="C6" s="8" t="e">
        <f t="shared" ref="C6:C34" si="0">B6/1000000</f>
        <v>#VALUE!</v>
      </c>
      <c r="D6" s="10" t="e">
        <f t="shared" ref="D6:D34" si="1">C6*3.07</f>
        <v>#VALUE!</v>
      </c>
      <c r="E6" s="7" t="str">
        <f>'[3]Production Summary'!$O250</f>
        <v/>
      </c>
      <c r="F6" s="8" t="e">
        <f t="shared" ref="F6:F34" si="2">E6/1000000</f>
        <v>#VALUE!</v>
      </c>
      <c r="G6" s="10" t="e">
        <f t="shared" ref="G6:G34" si="3">F6*3.07</f>
        <v>#VALUE!</v>
      </c>
      <c r="H6" s="7" t="str">
        <f>'[3]Production Summary'!$Q250</f>
        <v/>
      </c>
      <c r="I6" s="8" t="e">
        <f t="shared" ref="I6:I34" si="4">H6/1000000</f>
        <v>#VALUE!</v>
      </c>
      <c r="J6" s="10" t="e">
        <f t="shared" ref="J6:J34" si="5">I6*3.07</f>
        <v>#VALUE!</v>
      </c>
      <c r="K6" s="7" t="str">
        <f>'[3]Production Summary'!$T250</f>
        <v/>
      </c>
      <c r="L6" s="8" t="e">
        <f t="shared" ref="L6:L34" si="6">K6/1000000</f>
        <v>#VALUE!</v>
      </c>
      <c r="M6" s="10" t="e">
        <f t="shared" ref="M6:M34" si="7">L6*3.07</f>
        <v>#VALUE!</v>
      </c>
      <c r="N6" s="57"/>
      <c r="O6" s="7" t="str">
        <f>'[3]Production Summary'!$AL250</f>
        <v/>
      </c>
      <c r="P6" s="8" t="e">
        <f t="shared" ref="P6:P34" si="8">O6/1000000</f>
        <v>#VALUE!</v>
      </c>
      <c r="Q6" s="10" t="e">
        <f t="shared" ref="Q6:Q34" si="9">P6*3.07</f>
        <v>#VALUE!</v>
      </c>
      <c r="R6" s="7" t="str">
        <f>'[3]Production Summary'!$AI250</f>
        <v/>
      </c>
      <c r="S6" s="8" t="e">
        <f t="shared" ref="S6:S34" si="10">R6/1000000</f>
        <v>#VALUE!</v>
      </c>
      <c r="T6" s="10" t="e">
        <f t="shared" ref="T6:T34" si="11">S6*3.07</f>
        <v>#VALUE!</v>
      </c>
      <c r="U6" s="7" t="str">
        <f>'[3]Production Summary'!$AF250</f>
        <v/>
      </c>
      <c r="V6" s="8" t="e">
        <f t="shared" ref="V6:V34" si="12">U6/1000000</f>
        <v>#VALUE!</v>
      </c>
      <c r="W6" s="10" t="e">
        <f t="shared" ref="W6:W34" si="13">V6*3.07</f>
        <v>#VALUE!</v>
      </c>
      <c r="X6" s="7" t="str">
        <f>'[3]Production Summary'!$AJ250</f>
        <v/>
      </c>
      <c r="Y6" s="8" t="e">
        <f t="shared" ref="Y6:Y34" si="14">X6/1000000</f>
        <v>#VALUE!</v>
      </c>
      <c r="Z6" s="10" t="e">
        <f t="shared" ref="Z6:Z34" si="15">Y6*3.07</f>
        <v>#VALUE!</v>
      </c>
      <c r="AA6" s="15"/>
      <c r="AB6" s="7" t="e">
        <f t="shared" ref="AB6:AB34" si="16">B6+O6</f>
        <v>#VALUE!</v>
      </c>
      <c r="AC6" s="8" t="e">
        <f t="shared" ref="AC6:AC34" si="17">AB6/1000000</f>
        <v>#VALUE!</v>
      </c>
      <c r="AD6" s="10" t="e">
        <f t="shared" ref="AD6:AD34" si="18">AC6*3.07</f>
        <v>#VALUE!</v>
      </c>
    </row>
    <row r="7" spans="1:30" x14ac:dyDescent="0.25">
      <c r="A7" s="27">
        <v>43346</v>
      </c>
      <c r="B7" s="7" t="str">
        <f>'[3]Production Summary'!$U251</f>
        <v/>
      </c>
      <c r="C7" s="8" t="e">
        <f t="shared" si="0"/>
        <v>#VALUE!</v>
      </c>
      <c r="D7" s="10" t="e">
        <f t="shared" si="1"/>
        <v>#VALUE!</v>
      </c>
      <c r="E7" s="7" t="str">
        <f>'[3]Production Summary'!$O251</f>
        <v/>
      </c>
      <c r="F7" s="8" t="e">
        <f t="shared" si="2"/>
        <v>#VALUE!</v>
      </c>
      <c r="G7" s="10" t="e">
        <f t="shared" si="3"/>
        <v>#VALUE!</v>
      </c>
      <c r="H7" s="7" t="str">
        <f>'[3]Production Summary'!$Q251</f>
        <v/>
      </c>
      <c r="I7" s="8" t="e">
        <f t="shared" si="4"/>
        <v>#VALUE!</v>
      </c>
      <c r="J7" s="10" t="e">
        <f t="shared" si="5"/>
        <v>#VALUE!</v>
      </c>
      <c r="K7" s="7" t="str">
        <f>'[3]Production Summary'!$T251</f>
        <v/>
      </c>
      <c r="L7" s="8" t="e">
        <f t="shared" si="6"/>
        <v>#VALUE!</v>
      </c>
      <c r="M7" s="10" t="e">
        <f t="shared" si="7"/>
        <v>#VALUE!</v>
      </c>
      <c r="N7" s="57"/>
      <c r="O7" s="7" t="str">
        <f>'[3]Production Summary'!$AL251</f>
        <v/>
      </c>
      <c r="P7" s="8" t="e">
        <f t="shared" si="8"/>
        <v>#VALUE!</v>
      </c>
      <c r="Q7" s="10" t="e">
        <f t="shared" si="9"/>
        <v>#VALUE!</v>
      </c>
      <c r="R7" s="7" t="str">
        <f>'[3]Production Summary'!$AI251</f>
        <v/>
      </c>
      <c r="S7" s="8" t="e">
        <f t="shared" si="10"/>
        <v>#VALUE!</v>
      </c>
      <c r="T7" s="10" t="e">
        <f t="shared" si="11"/>
        <v>#VALUE!</v>
      </c>
      <c r="U7" s="7" t="str">
        <f>'[3]Production Summary'!$AF251</f>
        <v/>
      </c>
      <c r="V7" s="8" t="e">
        <f t="shared" si="12"/>
        <v>#VALUE!</v>
      </c>
      <c r="W7" s="10" t="e">
        <f t="shared" si="13"/>
        <v>#VALUE!</v>
      </c>
      <c r="X7" s="7" t="str">
        <f>'[3]Production Summary'!$AJ251</f>
        <v/>
      </c>
      <c r="Y7" s="8" t="e">
        <f t="shared" si="14"/>
        <v>#VALUE!</v>
      </c>
      <c r="Z7" s="10" t="e">
        <f t="shared" si="15"/>
        <v>#VALUE!</v>
      </c>
      <c r="AA7" s="15"/>
      <c r="AB7" s="7" t="e">
        <f t="shared" si="16"/>
        <v>#VALUE!</v>
      </c>
      <c r="AC7" s="8" t="e">
        <f t="shared" si="17"/>
        <v>#VALUE!</v>
      </c>
      <c r="AD7" s="10" t="e">
        <f t="shared" si="18"/>
        <v>#VALUE!</v>
      </c>
    </row>
    <row r="8" spans="1:30" x14ac:dyDescent="0.25">
      <c r="A8" s="27">
        <v>43347</v>
      </c>
      <c r="B8" s="7" t="str">
        <f>'[3]Production Summary'!$U252</f>
        <v/>
      </c>
      <c r="C8" s="8" t="e">
        <f t="shared" si="0"/>
        <v>#VALUE!</v>
      </c>
      <c r="D8" s="10" t="e">
        <f t="shared" si="1"/>
        <v>#VALUE!</v>
      </c>
      <c r="E8" s="7" t="str">
        <f>'[3]Production Summary'!$O252</f>
        <v/>
      </c>
      <c r="F8" s="8" t="e">
        <f t="shared" si="2"/>
        <v>#VALUE!</v>
      </c>
      <c r="G8" s="10" t="e">
        <f t="shared" si="3"/>
        <v>#VALUE!</v>
      </c>
      <c r="H8" s="7" t="str">
        <f>'[3]Production Summary'!$Q252</f>
        <v/>
      </c>
      <c r="I8" s="8" t="e">
        <f t="shared" si="4"/>
        <v>#VALUE!</v>
      </c>
      <c r="J8" s="10" t="e">
        <f t="shared" si="5"/>
        <v>#VALUE!</v>
      </c>
      <c r="K8" s="7" t="str">
        <f>'[3]Production Summary'!$T252</f>
        <v/>
      </c>
      <c r="L8" s="8" t="e">
        <f t="shared" si="6"/>
        <v>#VALUE!</v>
      </c>
      <c r="M8" s="10" t="e">
        <f t="shared" si="7"/>
        <v>#VALUE!</v>
      </c>
      <c r="N8" s="57"/>
      <c r="O8" s="7" t="str">
        <f>'[3]Production Summary'!$AL252</f>
        <v/>
      </c>
      <c r="P8" s="8" t="e">
        <f t="shared" si="8"/>
        <v>#VALUE!</v>
      </c>
      <c r="Q8" s="10" t="e">
        <f t="shared" si="9"/>
        <v>#VALUE!</v>
      </c>
      <c r="R8" s="7" t="str">
        <f>'[3]Production Summary'!$AI252</f>
        <v/>
      </c>
      <c r="S8" s="8" t="e">
        <f t="shared" si="10"/>
        <v>#VALUE!</v>
      </c>
      <c r="T8" s="10" t="e">
        <f t="shared" si="11"/>
        <v>#VALUE!</v>
      </c>
      <c r="U8" s="7" t="str">
        <f>'[3]Production Summary'!$AF252</f>
        <v/>
      </c>
      <c r="V8" s="8" t="e">
        <f t="shared" si="12"/>
        <v>#VALUE!</v>
      </c>
      <c r="W8" s="10" t="e">
        <f t="shared" si="13"/>
        <v>#VALUE!</v>
      </c>
      <c r="X8" s="7" t="str">
        <f>'[3]Production Summary'!$AJ252</f>
        <v/>
      </c>
      <c r="Y8" s="8" t="e">
        <f t="shared" si="14"/>
        <v>#VALUE!</v>
      </c>
      <c r="Z8" s="10" t="e">
        <f t="shared" si="15"/>
        <v>#VALUE!</v>
      </c>
      <c r="AA8" s="15"/>
      <c r="AB8" s="7" t="e">
        <f t="shared" si="16"/>
        <v>#VALUE!</v>
      </c>
      <c r="AC8" s="8" t="e">
        <f t="shared" si="17"/>
        <v>#VALUE!</v>
      </c>
      <c r="AD8" s="10" t="e">
        <f t="shared" si="18"/>
        <v>#VALUE!</v>
      </c>
    </row>
    <row r="9" spans="1:30" x14ac:dyDescent="0.25">
      <c r="A9" s="27">
        <v>43348</v>
      </c>
      <c r="B9" s="7" t="str">
        <f>'[3]Production Summary'!$U253</f>
        <v/>
      </c>
      <c r="C9" s="8" t="e">
        <f t="shared" si="0"/>
        <v>#VALUE!</v>
      </c>
      <c r="D9" s="10" t="e">
        <f t="shared" si="1"/>
        <v>#VALUE!</v>
      </c>
      <c r="E9" s="7" t="str">
        <f>'[3]Production Summary'!$O253</f>
        <v/>
      </c>
      <c r="F9" s="8" t="e">
        <f t="shared" si="2"/>
        <v>#VALUE!</v>
      </c>
      <c r="G9" s="10" t="e">
        <f t="shared" si="3"/>
        <v>#VALUE!</v>
      </c>
      <c r="H9" s="7" t="str">
        <f>'[3]Production Summary'!$Q253</f>
        <v/>
      </c>
      <c r="I9" s="8" t="e">
        <f t="shared" si="4"/>
        <v>#VALUE!</v>
      </c>
      <c r="J9" s="10" t="e">
        <f t="shared" si="5"/>
        <v>#VALUE!</v>
      </c>
      <c r="K9" s="7" t="str">
        <f>'[3]Production Summary'!$T253</f>
        <v/>
      </c>
      <c r="L9" s="8" t="e">
        <f t="shared" si="6"/>
        <v>#VALUE!</v>
      </c>
      <c r="M9" s="10" t="e">
        <f t="shared" si="7"/>
        <v>#VALUE!</v>
      </c>
      <c r="N9" s="57"/>
      <c r="O9" s="7" t="str">
        <f>'[3]Production Summary'!$AL253</f>
        <v/>
      </c>
      <c r="P9" s="8" t="e">
        <f t="shared" si="8"/>
        <v>#VALUE!</v>
      </c>
      <c r="Q9" s="10" t="e">
        <f t="shared" si="9"/>
        <v>#VALUE!</v>
      </c>
      <c r="R9" s="7" t="str">
        <f>'[3]Production Summary'!$AI253</f>
        <v/>
      </c>
      <c r="S9" s="8" t="e">
        <f t="shared" si="10"/>
        <v>#VALUE!</v>
      </c>
      <c r="T9" s="10" t="e">
        <f t="shared" si="11"/>
        <v>#VALUE!</v>
      </c>
      <c r="U9" s="7" t="str">
        <f>'[3]Production Summary'!$AF253</f>
        <v/>
      </c>
      <c r="V9" s="8" t="e">
        <f t="shared" si="12"/>
        <v>#VALUE!</v>
      </c>
      <c r="W9" s="10" t="e">
        <f t="shared" si="13"/>
        <v>#VALUE!</v>
      </c>
      <c r="X9" s="7" t="str">
        <f>'[3]Production Summary'!$AJ253</f>
        <v/>
      </c>
      <c r="Y9" s="8" t="e">
        <f t="shared" si="14"/>
        <v>#VALUE!</v>
      </c>
      <c r="Z9" s="10" t="e">
        <f t="shared" si="15"/>
        <v>#VALUE!</v>
      </c>
      <c r="AA9" s="15"/>
      <c r="AB9" s="7" t="e">
        <f t="shared" si="16"/>
        <v>#VALUE!</v>
      </c>
      <c r="AC9" s="8" t="e">
        <f t="shared" si="17"/>
        <v>#VALUE!</v>
      </c>
      <c r="AD9" s="10" t="e">
        <f t="shared" si="18"/>
        <v>#VALUE!</v>
      </c>
    </row>
    <row r="10" spans="1:30" x14ac:dyDescent="0.25">
      <c r="A10" s="27">
        <v>43349</v>
      </c>
      <c r="B10" s="7" t="str">
        <f>'[3]Production Summary'!$U254</f>
        <v/>
      </c>
      <c r="C10" s="8" t="e">
        <f t="shared" si="0"/>
        <v>#VALUE!</v>
      </c>
      <c r="D10" s="10" t="e">
        <f t="shared" si="1"/>
        <v>#VALUE!</v>
      </c>
      <c r="E10" s="7" t="str">
        <f>'[3]Production Summary'!$O254</f>
        <v/>
      </c>
      <c r="F10" s="8" t="e">
        <f t="shared" si="2"/>
        <v>#VALUE!</v>
      </c>
      <c r="G10" s="10" t="e">
        <f t="shared" si="3"/>
        <v>#VALUE!</v>
      </c>
      <c r="H10" s="7" t="str">
        <f>'[3]Production Summary'!$Q254</f>
        <v/>
      </c>
      <c r="I10" s="8" t="e">
        <f t="shared" si="4"/>
        <v>#VALUE!</v>
      </c>
      <c r="J10" s="10" t="e">
        <f t="shared" si="5"/>
        <v>#VALUE!</v>
      </c>
      <c r="K10" s="7" t="str">
        <f>'[3]Production Summary'!$T254</f>
        <v/>
      </c>
      <c r="L10" s="8" t="e">
        <f t="shared" si="6"/>
        <v>#VALUE!</v>
      </c>
      <c r="M10" s="10" t="e">
        <f t="shared" si="7"/>
        <v>#VALUE!</v>
      </c>
      <c r="N10" s="57"/>
      <c r="O10" s="7" t="str">
        <f>'[3]Production Summary'!$AL254</f>
        <v/>
      </c>
      <c r="P10" s="8" t="e">
        <f t="shared" si="8"/>
        <v>#VALUE!</v>
      </c>
      <c r="Q10" s="10" t="e">
        <f t="shared" si="9"/>
        <v>#VALUE!</v>
      </c>
      <c r="R10" s="7" t="str">
        <f>'[3]Production Summary'!$AI254</f>
        <v/>
      </c>
      <c r="S10" s="8" t="e">
        <f t="shared" si="10"/>
        <v>#VALUE!</v>
      </c>
      <c r="T10" s="10" t="e">
        <f t="shared" si="11"/>
        <v>#VALUE!</v>
      </c>
      <c r="U10" s="7" t="str">
        <f>'[3]Production Summary'!$AF254</f>
        <v/>
      </c>
      <c r="V10" s="8" t="e">
        <f t="shared" si="12"/>
        <v>#VALUE!</v>
      </c>
      <c r="W10" s="10" t="e">
        <f t="shared" si="13"/>
        <v>#VALUE!</v>
      </c>
      <c r="X10" s="7" t="str">
        <f>'[3]Production Summary'!$AJ254</f>
        <v/>
      </c>
      <c r="Y10" s="8" t="e">
        <f t="shared" si="14"/>
        <v>#VALUE!</v>
      </c>
      <c r="Z10" s="10" t="e">
        <f t="shared" si="15"/>
        <v>#VALUE!</v>
      </c>
      <c r="AA10" s="15"/>
      <c r="AB10" s="7" t="e">
        <f t="shared" si="16"/>
        <v>#VALUE!</v>
      </c>
      <c r="AC10" s="8" t="e">
        <f t="shared" si="17"/>
        <v>#VALUE!</v>
      </c>
      <c r="AD10" s="10" t="e">
        <f t="shared" si="18"/>
        <v>#VALUE!</v>
      </c>
    </row>
    <row r="11" spans="1:30" x14ac:dyDescent="0.25">
      <c r="A11" s="27">
        <v>43350</v>
      </c>
      <c r="B11" s="7" t="str">
        <f>'[3]Production Summary'!$U255</f>
        <v/>
      </c>
      <c r="C11" s="8" t="e">
        <f t="shared" si="0"/>
        <v>#VALUE!</v>
      </c>
      <c r="D11" s="10" t="e">
        <f t="shared" si="1"/>
        <v>#VALUE!</v>
      </c>
      <c r="E11" s="7" t="str">
        <f>'[3]Production Summary'!$O255</f>
        <v/>
      </c>
      <c r="F11" s="8" t="e">
        <f t="shared" si="2"/>
        <v>#VALUE!</v>
      </c>
      <c r="G11" s="10" t="e">
        <f t="shared" si="3"/>
        <v>#VALUE!</v>
      </c>
      <c r="H11" s="7" t="str">
        <f>'[3]Production Summary'!$Q255</f>
        <v/>
      </c>
      <c r="I11" s="8" t="e">
        <f t="shared" si="4"/>
        <v>#VALUE!</v>
      </c>
      <c r="J11" s="10" t="e">
        <f t="shared" si="5"/>
        <v>#VALUE!</v>
      </c>
      <c r="K11" s="7" t="str">
        <f>'[3]Production Summary'!$T255</f>
        <v/>
      </c>
      <c r="L11" s="8" t="e">
        <f t="shared" si="6"/>
        <v>#VALUE!</v>
      </c>
      <c r="M11" s="10" t="e">
        <f t="shared" si="7"/>
        <v>#VALUE!</v>
      </c>
      <c r="N11" s="57"/>
      <c r="O11" s="7" t="str">
        <f>'[3]Production Summary'!$AL255</f>
        <v/>
      </c>
      <c r="P11" s="8" t="e">
        <f t="shared" si="8"/>
        <v>#VALUE!</v>
      </c>
      <c r="Q11" s="10" t="e">
        <f t="shared" si="9"/>
        <v>#VALUE!</v>
      </c>
      <c r="R11" s="7" t="str">
        <f>'[3]Production Summary'!$AI255</f>
        <v/>
      </c>
      <c r="S11" s="8" t="e">
        <f t="shared" si="10"/>
        <v>#VALUE!</v>
      </c>
      <c r="T11" s="10" t="e">
        <f t="shared" si="11"/>
        <v>#VALUE!</v>
      </c>
      <c r="U11" s="7" t="str">
        <f>'[3]Production Summary'!$AF255</f>
        <v/>
      </c>
      <c r="V11" s="8" t="e">
        <f t="shared" si="12"/>
        <v>#VALUE!</v>
      </c>
      <c r="W11" s="10" t="e">
        <f t="shared" si="13"/>
        <v>#VALUE!</v>
      </c>
      <c r="X11" s="7" t="str">
        <f>'[3]Production Summary'!$AJ255</f>
        <v/>
      </c>
      <c r="Y11" s="8" t="e">
        <f t="shared" si="14"/>
        <v>#VALUE!</v>
      </c>
      <c r="Z11" s="10" t="e">
        <f t="shared" si="15"/>
        <v>#VALUE!</v>
      </c>
      <c r="AA11" s="15"/>
      <c r="AB11" s="7" t="e">
        <f t="shared" si="16"/>
        <v>#VALUE!</v>
      </c>
      <c r="AC11" s="8" t="e">
        <f t="shared" si="17"/>
        <v>#VALUE!</v>
      </c>
      <c r="AD11" s="10" t="e">
        <f t="shared" si="18"/>
        <v>#VALUE!</v>
      </c>
    </row>
    <row r="12" spans="1:30" x14ac:dyDescent="0.25">
      <c r="A12" s="27">
        <v>43351</v>
      </c>
      <c r="B12" s="7" t="str">
        <f>'[3]Production Summary'!$U256</f>
        <v/>
      </c>
      <c r="C12" s="8" t="e">
        <f t="shared" si="0"/>
        <v>#VALUE!</v>
      </c>
      <c r="D12" s="10" t="e">
        <f t="shared" si="1"/>
        <v>#VALUE!</v>
      </c>
      <c r="E12" s="7" t="str">
        <f>'[3]Production Summary'!$O256</f>
        <v/>
      </c>
      <c r="F12" s="8" t="e">
        <f t="shared" si="2"/>
        <v>#VALUE!</v>
      </c>
      <c r="G12" s="10" t="e">
        <f t="shared" si="3"/>
        <v>#VALUE!</v>
      </c>
      <c r="H12" s="7" t="str">
        <f>'[3]Production Summary'!$Q256</f>
        <v/>
      </c>
      <c r="I12" s="8" t="e">
        <f t="shared" si="4"/>
        <v>#VALUE!</v>
      </c>
      <c r="J12" s="10" t="e">
        <f t="shared" si="5"/>
        <v>#VALUE!</v>
      </c>
      <c r="K12" s="7" t="str">
        <f>'[3]Production Summary'!$T256</f>
        <v/>
      </c>
      <c r="L12" s="8" t="e">
        <f t="shared" si="6"/>
        <v>#VALUE!</v>
      </c>
      <c r="M12" s="10" t="e">
        <f t="shared" si="7"/>
        <v>#VALUE!</v>
      </c>
      <c r="N12" s="57"/>
      <c r="O12" s="7" t="str">
        <f>'[3]Production Summary'!$AL256</f>
        <v/>
      </c>
      <c r="P12" s="8" t="e">
        <f t="shared" si="8"/>
        <v>#VALUE!</v>
      </c>
      <c r="Q12" s="10" t="e">
        <f t="shared" si="9"/>
        <v>#VALUE!</v>
      </c>
      <c r="R12" s="7" t="str">
        <f>'[3]Production Summary'!$AI256</f>
        <v/>
      </c>
      <c r="S12" s="8" t="e">
        <f t="shared" si="10"/>
        <v>#VALUE!</v>
      </c>
      <c r="T12" s="10" t="e">
        <f t="shared" si="11"/>
        <v>#VALUE!</v>
      </c>
      <c r="U12" s="7" t="str">
        <f>'[3]Production Summary'!$AF256</f>
        <v/>
      </c>
      <c r="V12" s="8" t="e">
        <f t="shared" si="12"/>
        <v>#VALUE!</v>
      </c>
      <c r="W12" s="10" t="e">
        <f t="shared" si="13"/>
        <v>#VALUE!</v>
      </c>
      <c r="X12" s="7" t="str">
        <f>'[3]Production Summary'!$AJ256</f>
        <v/>
      </c>
      <c r="Y12" s="8" t="e">
        <f t="shared" si="14"/>
        <v>#VALUE!</v>
      </c>
      <c r="Z12" s="10" t="e">
        <f t="shared" si="15"/>
        <v>#VALUE!</v>
      </c>
      <c r="AA12" s="15"/>
      <c r="AB12" s="7" t="e">
        <f t="shared" si="16"/>
        <v>#VALUE!</v>
      </c>
      <c r="AC12" s="8" t="e">
        <f t="shared" si="17"/>
        <v>#VALUE!</v>
      </c>
      <c r="AD12" s="10" t="e">
        <f t="shared" si="18"/>
        <v>#VALUE!</v>
      </c>
    </row>
    <row r="13" spans="1:30" x14ac:dyDescent="0.25">
      <c r="A13" s="27">
        <v>43352</v>
      </c>
      <c r="B13" s="7" t="str">
        <f>'[3]Production Summary'!$U257</f>
        <v/>
      </c>
      <c r="C13" s="8" t="e">
        <f t="shared" si="0"/>
        <v>#VALUE!</v>
      </c>
      <c r="D13" s="10" t="e">
        <f t="shared" si="1"/>
        <v>#VALUE!</v>
      </c>
      <c r="E13" s="7" t="str">
        <f>'[3]Production Summary'!$O257</f>
        <v/>
      </c>
      <c r="F13" s="8" t="e">
        <f t="shared" si="2"/>
        <v>#VALUE!</v>
      </c>
      <c r="G13" s="10" t="e">
        <f t="shared" si="3"/>
        <v>#VALUE!</v>
      </c>
      <c r="H13" s="7" t="str">
        <f>'[3]Production Summary'!$Q257</f>
        <v/>
      </c>
      <c r="I13" s="8" t="e">
        <f t="shared" si="4"/>
        <v>#VALUE!</v>
      </c>
      <c r="J13" s="10" t="e">
        <f t="shared" si="5"/>
        <v>#VALUE!</v>
      </c>
      <c r="K13" s="7" t="str">
        <f>'[3]Production Summary'!$T257</f>
        <v/>
      </c>
      <c r="L13" s="8" t="e">
        <f t="shared" si="6"/>
        <v>#VALUE!</v>
      </c>
      <c r="M13" s="10" t="e">
        <f t="shared" si="7"/>
        <v>#VALUE!</v>
      </c>
      <c r="N13" s="57"/>
      <c r="O13" s="7" t="str">
        <f>'[3]Production Summary'!$AL257</f>
        <v/>
      </c>
      <c r="P13" s="8" t="e">
        <f t="shared" si="8"/>
        <v>#VALUE!</v>
      </c>
      <c r="Q13" s="10" t="e">
        <f t="shared" si="9"/>
        <v>#VALUE!</v>
      </c>
      <c r="R13" s="7" t="str">
        <f>'[3]Production Summary'!$AI257</f>
        <v/>
      </c>
      <c r="S13" s="8" t="e">
        <f t="shared" si="10"/>
        <v>#VALUE!</v>
      </c>
      <c r="T13" s="10" t="e">
        <f t="shared" si="11"/>
        <v>#VALUE!</v>
      </c>
      <c r="U13" s="7" t="str">
        <f>'[3]Production Summary'!$AF257</f>
        <v/>
      </c>
      <c r="V13" s="8" t="e">
        <f t="shared" si="12"/>
        <v>#VALUE!</v>
      </c>
      <c r="W13" s="10" t="e">
        <f t="shared" si="13"/>
        <v>#VALUE!</v>
      </c>
      <c r="X13" s="7" t="str">
        <f>'[3]Production Summary'!$AJ257</f>
        <v/>
      </c>
      <c r="Y13" s="8" t="e">
        <f t="shared" si="14"/>
        <v>#VALUE!</v>
      </c>
      <c r="Z13" s="10" t="e">
        <f t="shared" si="15"/>
        <v>#VALUE!</v>
      </c>
      <c r="AA13" s="15"/>
      <c r="AB13" s="7" t="e">
        <f t="shared" si="16"/>
        <v>#VALUE!</v>
      </c>
      <c r="AC13" s="8" t="e">
        <f t="shared" si="17"/>
        <v>#VALUE!</v>
      </c>
      <c r="AD13" s="10" t="e">
        <f t="shared" si="18"/>
        <v>#VALUE!</v>
      </c>
    </row>
    <row r="14" spans="1:30" x14ac:dyDescent="0.25">
      <c r="A14" s="27">
        <v>43353</v>
      </c>
      <c r="B14" s="7" t="str">
        <f>'[3]Production Summary'!$U258</f>
        <v/>
      </c>
      <c r="C14" s="8" t="e">
        <f t="shared" si="0"/>
        <v>#VALUE!</v>
      </c>
      <c r="D14" s="10" t="e">
        <f t="shared" si="1"/>
        <v>#VALUE!</v>
      </c>
      <c r="E14" s="7" t="str">
        <f>'[3]Production Summary'!$O258</f>
        <v/>
      </c>
      <c r="F14" s="8" t="e">
        <f t="shared" si="2"/>
        <v>#VALUE!</v>
      </c>
      <c r="G14" s="10" t="e">
        <f t="shared" si="3"/>
        <v>#VALUE!</v>
      </c>
      <c r="H14" s="7" t="str">
        <f>'[3]Production Summary'!$Q258</f>
        <v/>
      </c>
      <c r="I14" s="8" t="e">
        <f t="shared" si="4"/>
        <v>#VALUE!</v>
      </c>
      <c r="J14" s="10" t="e">
        <f t="shared" si="5"/>
        <v>#VALUE!</v>
      </c>
      <c r="K14" s="7" t="str">
        <f>'[3]Production Summary'!$T258</f>
        <v/>
      </c>
      <c r="L14" s="8" t="e">
        <f t="shared" si="6"/>
        <v>#VALUE!</v>
      </c>
      <c r="M14" s="10" t="e">
        <f t="shared" si="7"/>
        <v>#VALUE!</v>
      </c>
      <c r="N14" s="57"/>
      <c r="O14" s="7" t="str">
        <f>'[3]Production Summary'!$AL258</f>
        <v/>
      </c>
      <c r="P14" s="8" t="e">
        <f t="shared" si="8"/>
        <v>#VALUE!</v>
      </c>
      <c r="Q14" s="10" t="e">
        <f t="shared" si="9"/>
        <v>#VALUE!</v>
      </c>
      <c r="R14" s="7" t="str">
        <f>'[3]Production Summary'!$AI258</f>
        <v/>
      </c>
      <c r="S14" s="8" t="e">
        <f t="shared" si="10"/>
        <v>#VALUE!</v>
      </c>
      <c r="T14" s="10" t="e">
        <f t="shared" si="11"/>
        <v>#VALUE!</v>
      </c>
      <c r="U14" s="7" t="str">
        <f>'[3]Production Summary'!$AF258</f>
        <v/>
      </c>
      <c r="V14" s="8" t="e">
        <f t="shared" si="12"/>
        <v>#VALUE!</v>
      </c>
      <c r="W14" s="10" t="e">
        <f t="shared" si="13"/>
        <v>#VALUE!</v>
      </c>
      <c r="X14" s="7" t="str">
        <f>'[3]Production Summary'!$AJ258</f>
        <v/>
      </c>
      <c r="Y14" s="8" t="e">
        <f t="shared" si="14"/>
        <v>#VALUE!</v>
      </c>
      <c r="Z14" s="10" t="e">
        <f t="shared" si="15"/>
        <v>#VALUE!</v>
      </c>
      <c r="AA14" s="15"/>
      <c r="AB14" s="7" t="e">
        <f t="shared" si="16"/>
        <v>#VALUE!</v>
      </c>
      <c r="AC14" s="8" t="e">
        <f t="shared" si="17"/>
        <v>#VALUE!</v>
      </c>
      <c r="AD14" s="10" t="e">
        <f t="shared" si="18"/>
        <v>#VALUE!</v>
      </c>
    </row>
    <row r="15" spans="1:30" x14ac:dyDescent="0.25">
      <c r="A15" s="27">
        <v>43354</v>
      </c>
      <c r="B15" s="7" t="str">
        <f>'[3]Production Summary'!$U259</f>
        <v/>
      </c>
      <c r="C15" s="8" t="e">
        <f t="shared" si="0"/>
        <v>#VALUE!</v>
      </c>
      <c r="D15" s="10" t="e">
        <f t="shared" si="1"/>
        <v>#VALUE!</v>
      </c>
      <c r="E15" s="7" t="str">
        <f>'[3]Production Summary'!$O259</f>
        <v/>
      </c>
      <c r="F15" s="8" t="e">
        <f t="shared" si="2"/>
        <v>#VALUE!</v>
      </c>
      <c r="G15" s="10" t="e">
        <f t="shared" si="3"/>
        <v>#VALUE!</v>
      </c>
      <c r="H15" s="7" t="str">
        <f>'[3]Production Summary'!$Q259</f>
        <v/>
      </c>
      <c r="I15" s="8" t="e">
        <f t="shared" si="4"/>
        <v>#VALUE!</v>
      </c>
      <c r="J15" s="10" t="e">
        <f t="shared" si="5"/>
        <v>#VALUE!</v>
      </c>
      <c r="K15" s="7" t="str">
        <f>'[3]Production Summary'!$T259</f>
        <v/>
      </c>
      <c r="L15" s="8" t="e">
        <f t="shared" si="6"/>
        <v>#VALUE!</v>
      </c>
      <c r="M15" s="10" t="e">
        <f t="shared" si="7"/>
        <v>#VALUE!</v>
      </c>
      <c r="N15" s="57"/>
      <c r="O15" s="7" t="str">
        <f>'[3]Production Summary'!$AL259</f>
        <v/>
      </c>
      <c r="P15" s="8" t="e">
        <f t="shared" si="8"/>
        <v>#VALUE!</v>
      </c>
      <c r="Q15" s="10" t="e">
        <f t="shared" si="9"/>
        <v>#VALUE!</v>
      </c>
      <c r="R15" s="7" t="str">
        <f>'[3]Production Summary'!$AI259</f>
        <v/>
      </c>
      <c r="S15" s="8" t="e">
        <f t="shared" si="10"/>
        <v>#VALUE!</v>
      </c>
      <c r="T15" s="10" t="e">
        <f t="shared" si="11"/>
        <v>#VALUE!</v>
      </c>
      <c r="U15" s="7" t="str">
        <f>'[3]Production Summary'!$AF259</f>
        <v/>
      </c>
      <c r="V15" s="8" t="e">
        <f t="shared" si="12"/>
        <v>#VALUE!</v>
      </c>
      <c r="W15" s="10" t="e">
        <f t="shared" si="13"/>
        <v>#VALUE!</v>
      </c>
      <c r="X15" s="7" t="str">
        <f>'[3]Production Summary'!$AJ259</f>
        <v/>
      </c>
      <c r="Y15" s="8" t="e">
        <f t="shared" si="14"/>
        <v>#VALUE!</v>
      </c>
      <c r="Z15" s="10" t="e">
        <f t="shared" si="15"/>
        <v>#VALUE!</v>
      </c>
      <c r="AA15" s="15"/>
      <c r="AB15" s="7" t="e">
        <f t="shared" si="16"/>
        <v>#VALUE!</v>
      </c>
      <c r="AC15" s="8" t="e">
        <f t="shared" si="17"/>
        <v>#VALUE!</v>
      </c>
      <c r="AD15" s="10" t="e">
        <f t="shared" si="18"/>
        <v>#VALUE!</v>
      </c>
    </row>
    <row r="16" spans="1:30" x14ac:dyDescent="0.25">
      <c r="A16" s="27">
        <v>43355</v>
      </c>
      <c r="B16" s="7" t="str">
        <f>'[3]Production Summary'!$U260</f>
        <v/>
      </c>
      <c r="C16" s="8" t="e">
        <f t="shared" si="0"/>
        <v>#VALUE!</v>
      </c>
      <c r="D16" s="10" t="e">
        <f t="shared" si="1"/>
        <v>#VALUE!</v>
      </c>
      <c r="E16" s="7" t="str">
        <f>'[3]Production Summary'!$O260</f>
        <v/>
      </c>
      <c r="F16" s="8" t="e">
        <f t="shared" si="2"/>
        <v>#VALUE!</v>
      </c>
      <c r="G16" s="10" t="e">
        <f t="shared" si="3"/>
        <v>#VALUE!</v>
      </c>
      <c r="H16" s="7" t="str">
        <f>'[3]Production Summary'!$Q260</f>
        <v/>
      </c>
      <c r="I16" s="8" t="e">
        <f t="shared" si="4"/>
        <v>#VALUE!</v>
      </c>
      <c r="J16" s="10" t="e">
        <f t="shared" si="5"/>
        <v>#VALUE!</v>
      </c>
      <c r="K16" s="7" t="str">
        <f>'[3]Production Summary'!$T260</f>
        <v/>
      </c>
      <c r="L16" s="8" t="e">
        <f t="shared" si="6"/>
        <v>#VALUE!</v>
      </c>
      <c r="M16" s="10" t="e">
        <f t="shared" si="7"/>
        <v>#VALUE!</v>
      </c>
      <c r="N16" s="57"/>
      <c r="O16" s="7" t="str">
        <f>'[3]Production Summary'!$AL260</f>
        <v/>
      </c>
      <c r="P16" s="8" t="e">
        <f t="shared" si="8"/>
        <v>#VALUE!</v>
      </c>
      <c r="Q16" s="10" t="e">
        <f t="shared" si="9"/>
        <v>#VALUE!</v>
      </c>
      <c r="R16" s="7" t="str">
        <f>'[3]Production Summary'!$AI260</f>
        <v/>
      </c>
      <c r="S16" s="8" t="e">
        <f t="shared" si="10"/>
        <v>#VALUE!</v>
      </c>
      <c r="T16" s="10" t="e">
        <f t="shared" si="11"/>
        <v>#VALUE!</v>
      </c>
      <c r="U16" s="7" t="str">
        <f>'[3]Production Summary'!$AF260</f>
        <v/>
      </c>
      <c r="V16" s="8" t="e">
        <f t="shared" si="12"/>
        <v>#VALUE!</v>
      </c>
      <c r="W16" s="10" t="e">
        <f t="shared" si="13"/>
        <v>#VALUE!</v>
      </c>
      <c r="X16" s="7" t="str">
        <f>'[3]Production Summary'!$AJ260</f>
        <v/>
      </c>
      <c r="Y16" s="8" t="e">
        <f t="shared" si="14"/>
        <v>#VALUE!</v>
      </c>
      <c r="Z16" s="10" t="e">
        <f t="shared" si="15"/>
        <v>#VALUE!</v>
      </c>
      <c r="AA16" s="15"/>
      <c r="AB16" s="7" t="e">
        <f t="shared" si="16"/>
        <v>#VALUE!</v>
      </c>
      <c r="AC16" s="8" t="e">
        <f t="shared" si="17"/>
        <v>#VALUE!</v>
      </c>
      <c r="AD16" s="10" t="e">
        <f t="shared" si="18"/>
        <v>#VALUE!</v>
      </c>
    </row>
    <row r="17" spans="1:30" x14ac:dyDescent="0.25">
      <c r="A17" s="27">
        <v>43356</v>
      </c>
      <c r="B17" s="7" t="str">
        <f>'[3]Production Summary'!$U261</f>
        <v/>
      </c>
      <c r="C17" s="8" t="e">
        <f t="shared" si="0"/>
        <v>#VALUE!</v>
      </c>
      <c r="D17" s="10" t="e">
        <f t="shared" si="1"/>
        <v>#VALUE!</v>
      </c>
      <c r="E17" s="7" t="str">
        <f>'[3]Production Summary'!$O261</f>
        <v/>
      </c>
      <c r="F17" s="8" t="e">
        <f t="shared" si="2"/>
        <v>#VALUE!</v>
      </c>
      <c r="G17" s="10" t="e">
        <f t="shared" si="3"/>
        <v>#VALUE!</v>
      </c>
      <c r="H17" s="7" t="str">
        <f>'[3]Production Summary'!$Q261</f>
        <v/>
      </c>
      <c r="I17" s="8" t="e">
        <f t="shared" si="4"/>
        <v>#VALUE!</v>
      </c>
      <c r="J17" s="10" t="e">
        <f t="shared" si="5"/>
        <v>#VALUE!</v>
      </c>
      <c r="K17" s="7" t="str">
        <f>'[3]Production Summary'!$T261</f>
        <v/>
      </c>
      <c r="L17" s="8" t="e">
        <f t="shared" si="6"/>
        <v>#VALUE!</v>
      </c>
      <c r="M17" s="10" t="e">
        <f t="shared" si="7"/>
        <v>#VALUE!</v>
      </c>
      <c r="N17" s="57"/>
      <c r="O17" s="7" t="str">
        <f>'[3]Production Summary'!$AL261</f>
        <v/>
      </c>
      <c r="P17" s="8" t="e">
        <f t="shared" si="8"/>
        <v>#VALUE!</v>
      </c>
      <c r="Q17" s="10" t="e">
        <f t="shared" si="9"/>
        <v>#VALUE!</v>
      </c>
      <c r="R17" s="7" t="str">
        <f>'[3]Production Summary'!$AI261</f>
        <v/>
      </c>
      <c r="S17" s="8" t="e">
        <f t="shared" si="10"/>
        <v>#VALUE!</v>
      </c>
      <c r="T17" s="10" t="e">
        <f t="shared" si="11"/>
        <v>#VALUE!</v>
      </c>
      <c r="U17" s="7" t="str">
        <f>'[3]Production Summary'!$AF261</f>
        <v/>
      </c>
      <c r="V17" s="8" t="e">
        <f t="shared" si="12"/>
        <v>#VALUE!</v>
      </c>
      <c r="W17" s="10" t="e">
        <f t="shared" si="13"/>
        <v>#VALUE!</v>
      </c>
      <c r="X17" s="7" t="str">
        <f>'[3]Production Summary'!$AJ261</f>
        <v/>
      </c>
      <c r="Y17" s="8" t="e">
        <f t="shared" si="14"/>
        <v>#VALUE!</v>
      </c>
      <c r="Z17" s="10" t="e">
        <f t="shared" si="15"/>
        <v>#VALUE!</v>
      </c>
      <c r="AA17" s="15"/>
      <c r="AB17" s="7" t="e">
        <f t="shared" si="16"/>
        <v>#VALUE!</v>
      </c>
      <c r="AC17" s="8" t="e">
        <f t="shared" si="17"/>
        <v>#VALUE!</v>
      </c>
      <c r="AD17" s="10" t="e">
        <f t="shared" si="18"/>
        <v>#VALUE!</v>
      </c>
    </row>
    <row r="18" spans="1:30" x14ac:dyDescent="0.25">
      <c r="A18" s="27">
        <v>43357</v>
      </c>
      <c r="B18" s="7" t="str">
        <f>'[3]Production Summary'!$U262</f>
        <v/>
      </c>
      <c r="C18" s="8" t="e">
        <f t="shared" si="0"/>
        <v>#VALUE!</v>
      </c>
      <c r="D18" s="10" t="e">
        <f t="shared" si="1"/>
        <v>#VALUE!</v>
      </c>
      <c r="E18" s="7" t="str">
        <f>'[3]Production Summary'!$O262</f>
        <v/>
      </c>
      <c r="F18" s="8" t="e">
        <f t="shared" si="2"/>
        <v>#VALUE!</v>
      </c>
      <c r="G18" s="10" t="e">
        <f t="shared" si="3"/>
        <v>#VALUE!</v>
      </c>
      <c r="H18" s="7" t="str">
        <f>'[3]Production Summary'!$Q262</f>
        <v/>
      </c>
      <c r="I18" s="8" t="e">
        <f t="shared" si="4"/>
        <v>#VALUE!</v>
      </c>
      <c r="J18" s="10" t="e">
        <f t="shared" si="5"/>
        <v>#VALUE!</v>
      </c>
      <c r="K18" s="7" t="str">
        <f>'[3]Production Summary'!$T262</f>
        <v/>
      </c>
      <c r="L18" s="8" t="e">
        <f t="shared" si="6"/>
        <v>#VALUE!</v>
      </c>
      <c r="M18" s="10" t="e">
        <f t="shared" si="7"/>
        <v>#VALUE!</v>
      </c>
      <c r="N18" s="57"/>
      <c r="O18" s="7" t="str">
        <f>'[3]Production Summary'!$AL262</f>
        <v/>
      </c>
      <c r="P18" s="8" t="e">
        <f t="shared" si="8"/>
        <v>#VALUE!</v>
      </c>
      <c r="Q18" s="10" t="e">
        <f t="shared" si="9"/>
        <v>#VALUE!</v>
      </c>
      <c r="R18" s="7" t="str">
        <f>'[3]Production Summary'!$AI262</f>
        <v/>
      </c>
      <c r="S18" s="8" t="e">
        <f t="shared" si="10"/>
        <v>#VALUE!</v>
      </c>
      <c r="T18" s="10" t="e">
        <f t="shared" si="11"/>
        <v>#VALUE!</v>
      </c>
      <c r="U18" s="7" t="str">
        <f>'[3]Production Summary'!$AF262</f>
        <v/>
      </c>
      <c r="V18" s="8" t="e">
        <f t="shared" si="12"/>
        <v>#VALUE!</v>
      </c>
      <c r="W18" s="10" t="e">
        <f t="shared" si="13"/>
        <v>#VALUE!</v>
      </c>
      <c r="X18" s="7" t="str">
        <f>'[3]Production Summary'!$AJ262</f>
        <v/>
      </c>
      <c r="Y18" s="8" t="e">
        <f t="shared" si="14"/>
        <v>#VALUE!</v>
      </c>
      <c r="Z18" s="10" t="e">
        <f t="shared" si="15"/>
        <v>#VALUE!</v>
      </c>
      <c r="AA18" s="15"/>
      <c r="AB18" s="7" t="e">
        <f t="shared" si="16"/>
        <v>#VALUE!</v>
      </c>
      <c r="AC18" s="8" t="e">
        <f t="shared" si="17"/>
        <v>#VALUE!</v>
      </c>
      <c r="AD18" s="10" t="e">
        <f t="shared" si="18"/>
        <v>#VALUE!</v>
      </c>
    </row>
    <row r="19" spans="1:30" x14ac:dyDescent="0.25">
      <c r="A19" s="27">
        <v>43358</v>
      </c>
      <c r="B19" s="7" t="str">
        <f>'[3]Production Summary'!$U263</f>
        <v/>
      </c>
      <c r="C19" s="8" t="e">
        <f t="shared" si="0"/>
        <v>#VALUE!</v>
      </c>
      <c r="D19" s="10" t="e">
        <f t="shared" si="1"/>
        <v>#VALUE!</v>
      </c>
      <c r="E19" s="7" t="str">
        <f>'[3]Production Summary'!$O263</f>
        <v/>
      </c>
      <c r="F19" s="8" t="e">
        <f t="shared" si="2"/>
        <v>#VALUE!</v>
      </c>
      <c r="G19" s="10" t="e">
        <f t="shared" si="3"/>
        <v>#VALUE!</v>
      </c>
      <c r="H19" s="7" t="str">
        <f>'[3]Production Summary'!$Q263</f>
        <v/>
      </c>
      <c r="I19" s="8" t="e">
        <f t="shared" si="4"/>
        <v>#VALUE!</v>
      </c>
      <c r="J19" s="10" t="e">
        <f t="shared" si="5"/>
        <v>#VALUE!</v>
      </c>
      <c r="K19" s="7" t="str">
        <f>'[3]Production Summary'!$T263</f>
        <v/>
      </c>
      <c r="L19" s="8" t="e">
        <f t="shared" si="6"/>
        <v>#VALUE!</v>
      </c>
      <c r="M19" s="10" t="e">
        <f t="shared" si="7"/>
        <v>#VALUE!</v>
      </c>
      <c r="N19" s="57"/>
      <c r="O19" s="7" t="str">
        <f>'[3]Production Summary'!$AL263</f>
        <v/>
      </c>
      <c r="P19" s="8" t="e">
        <f t="shared" si="8"/>
        <v>#VALUE!</v>
      </c>
      <c r="Q19" s="10" t="e">
        <f t="shared" si="9"/>
        <v>#VALUE!</v>
      </c>
      <c r="R19" s="7" t="str">
        <f>'[3]Production Summary'!$AI263</f>
        <v/>
      </c>
      <c r="S19" s="8" t="e">
        <f t="shared" si="10"/>
        <v>#VALUE!</v>
      </c>
      <c r="T19" s="10" t="e">
        <f t="shared" si="11"/>
        <v>#VALUE!</v>
      </c>
      <c r="U19" s="7" t="str">
        <f>'[3]Production Summary'!$AF263</f>
        <v/>
      </c>
      <c r="V19" s="8" t="e">
        <f t="shared" si="12"/>
        <v>#VALUE!</v>
      </c>
      <c r="W19" s="10" t="e">
        <f t="shared" si="13"/>
        <v>#VALUE!</v>
      </c>
      <c r="X19" s="7" t="str">
        <f>'[3]Production Summary'!$AJ263</f>
        <v/>
      </c>
      <c r="Y19" s="8" t="e">
        <f t="shared" si="14"/>
        <v>#VALUE!</v>
      </c>
      <c r="Z19" s="10" t="e">
        <f t="shared" si="15"/>
        <v>#VALUE!</v>
      </c>
      <c r="AA19" s="15"/>
      <c r="AB19" s="7" t="e">
        <f t="shared" si="16"/>
        <v>#VALUE!</v>
      </c>
      <c r="AC19" s="8" t="e">
        <f t="shared" si="17"/>
        <v>#VALUE!</v>
      </c>
      <c r="AD19" s="10" t="e">
        <f t="shared" si="18"/>
        <v>#VALUE!</v>
      </c>
    </row>
    <row r="20" spans="1:30" x14ac:dyDescent="0.25">
      <c r="A20" s="27">
        <v>43359</v>
      </c>
      <c r="B20" s="7" t="str">
        <f>'[3]Production Summary'!$U264</f>
        <v/>
      </c>
      <c r="C20" s="8" t="e">
        <f t="shared" si="0"/>
        <v>#VALUE!</v>
      </c>
      <c r="D20" s="10" t="e">
        <f t="shared" si="1"/>
        <v>#VALUE!</v>
      </c>
      <c r="E20" s="7" t="str">
        <f>'[3]Production Summary'!$O264</f>
        <v/>
      </c>
      <c r="F20" s="8" t="e">
        <f t="shared" si="2"/>
        <v>#VALUE!</v>
      </c>
      <c r="G20" s="10" t="e">
        <f t="shared" si="3"/>
        <v>#VALUE!</v>
      </c>
      <c r="H20" s="7" t="str">
        <f>'[3]Production Summary'!$Q264</f>
        <v/>
      </c>
      <c r="I20" s="8" t="e">
        <f t="shared" si="4"/>
        <v>#VALUE!</v>
      </c>
      <c r="J20" s="10" t="e">
        <f t="shared" si="5"/>
        <v>#VALUE!</v>
      </c>
      <c r="K20" s="7" t="str">
        <f>'[3]Production Summary'!$T264</f>
        <v/>
      </c>
      <c r="L20" s="8" t="e">
        <f t="shared" si="6"/>
        <v>#VALUE!</v>
      </c>
      <c r="M20" s="10" t="e">
        <f t="shared" si="7"/>
        <v>#VALUE!</v>
      </c>
      <c r="N20" s="57"/>
      <c r="O20" s="7" t="str">
        <f>'[3]Production Summary'!$AL264</f>
        <v/>
      </c>
      <c r="P20" s="8" t="e">
        <f t="shared" si="8"/>
        <v>#VALUE!</v>
      </c>
      <c r="Q20" s="10" t="e">
        <f t="shared" si="9"/>
        <v>#VALUE!</v>
      </c>
      <c r="R20" s="7" t="str">
        <f>'[3]Production Summary'!$AI264</f>
        <v/>
      </c>
      <c r="S20" s="8" t="e">
        <f t="shared" si="10"/>
        <v>#VALUE!</v>
      </c>
      <c r="T20" s="10" t="e">
        <f t="shared" si="11"/>
        <v>#VALUE!</v>
      </c>
      <c r="U20" s="7" t="str">
        <f>'[3]Production Summary'!$AF264</f>
        <v/>
      </c>
      <c r="V20" s="8" t="e">
        <f t="shared" si="12"/>
        <v>#VALUE!</v>
      </c>
      <c r="W20" s="10" t="e">
        <f t="shared" si="13"/>
        <v>#VALUE!</v>
      </c>
      <c r="X20" s="7" t="str">
        <f>'[3]Production Summary'!$AJ264</f>
        <v/>
      </c>
      <c r="Y20" s="8" t="e">
        <f t="shared" si="14"/>
        <v>#VALUE!</v>
      </c>
      <c r="Z20" s="10" t="e">
        <f t="shared" si="15"/>
        <v>#VALUE!</v>
      </c>
      <c r="AA20" s="15"/>
      <c r="AB20" s="7" t="e">
        <f t="shared" si="16"/>
        <v>#VALUE!</v>
      </c>
      <c r="AC20" s="8" t="e">
        <f t="shared" si="17"/>
        <v>#VALUE!</v>
      </c>
      <c r="AD20" s="10" t="e">
        <f t="shared" si="18"/>
        <v>#VALUE!</v>
      </c>
    </row>
    <row r="21" spans="1:30" x14ac:dyDescent="0.25">
      <c r="A21" s="27">
        <v>43360</v>
      </c>
      <c r="B21" s="7" t="str">
        <f>'[3]Production Summary'!$U265</f>
        <v/>
      </c>
      <c r="C21" s="8" t="e">
        <f t="shared" si="0"/>
        <v>#VALUE!</v>
      </c>
      <c r="D21" s="10" t="e">
        <f t="shared" si="1"/>
        <v>#VALUE!</v>
      </c>
      <c r="E21" s="7" t="str">
        <f>'[3]Production Summary'!$O265</f>
        <v/>
      </c>
      <c r="F21" s="8" t="e">
        <f t="shared" si="2"/>
        <v>#VALUE!</v>
      </c>
      <c r="G21" s="10" t="e">
        <f t="shared" si="3"/>
        <v>#VALUE!</v>
      </c>
      <c r="H21" s="7" t="str">
        <f>'[3]Production Summary'!$Q265</f>
        <v/>
      </c>
      <c r="I21" s="8" t="e">
        <f t="shared" si="4"/>
        <v>#VALUE!</v>
      </c>
      <c r="J21" s="10" t="e">
        <f t="shared" si="5"/>
        <v>#VALUE!</v>
      </c>
      <c r="K21" s="7" t="str">
        <f>'[3]Production Summary'!$T265</f>
        <v/>
      </c>
      <c r="L21" s="8" t="e">
        <f t="shared" si="6"/>
        <v>#VALUE!</v>
      </c>
      <c r="M21" s="10" t="e">
        <f t="shared" si="7"/>
        <v>#VALUE!</v>
      </c>
      <c r="N21" s="57"/>
      <c r="O21" s="7" t="str">
        <f>'[3]Production Summary'!$AL265</f>
        <v/>
      </c>
      <c r="P21" s="8" t="e">
        <f t="shared" si="8"/>
        <v>#VALUE!</v>
      </c>
      <c r="Q21" s="10" t="e">
        <f t="shared" si="9"/>
        <v>#VALUE!</v>
      </c>
      <c r="R21" s="7" t="str">
        <f>'[3]Production Summary'!$AI265</f>
        <v/>
      </c>
      <c r="S21" s="8" t="e">
        <f t="shared" si="10"/>
        <v>#VALUE!</v>
      </c>
      <c r="T21" s="10" t="e">
        <f t="shared" si="11"/>
        <v>#VALUE!</v>
      </c>
      <c r="U21" s="7" t="str">
        <f>'[3]Production Summary'!$AF265</f>
        <v/>
      </c>
      <c r="V21" s="8" t="e">
        <f t="shared" si="12"/>
        <v>#VALUE!</v>
      </c>
      <c r="W21" s="10" t="e">
        <f t="shared" si="13"/>
        <v>#VALUE!</v>
      </c>
      <c r="X21" s="7" t="str">
        <f>'[3]Production Summary'!$AJ265</f>
        <v/>
      </c>
      <c r="Y21" s="8" t="e">
        <f t="shared" si="14"/>
        <v>#VALUE!</v>
      </c>
      <c r="Z21" s="10" t="e">
        <f t="shared" si="15"/>
        <v>#VALUE!</v>
      </c>
      <c r="AA21" s="15"/>
      <c r="AB21" s="7" t="e">
        <f t="shared" si="16"/>
        <v>#VALUE!</v>
      </c>
      <c r="AC21" s="8" t="e">
        <f t="shared" si="17"/>
        <v>#VALUE!</v>
      </c>
      <c r="AD21" s="10" t="e">
        <f t="shared" si="18"/>
        <v>#VALUE!</v>
      </c>
    </row>
    <row r="22" spans="1:30" x14ac:dyDescent="0.25">
      <c r="A22" s="27">
        <v>43361</v>
      </c>
      <c r="B22" s="7" t="str">
        <f>'[3]Production Summary'!$U266</f>
        <v/>
      </c>
      <c r="C22" s="8" t="e">
        <f t="shared" si="0"/>
        <v>#VALUE!</v>
      </c>
      <c r="D22" s="10" t="e">
        <f t="shared" si="1"/>
        <v>#VALUE!</v>
      </c>
      <c r="E22" s="7" t="str">
        <f>'[3]Production Summary'!$O266</f>
        <v/>
      </c>
      <c r="F22" s="8" t="e">
        <f t="shared" si="2"/>
        <v>#VALUE!</v>
      </c>
      <c r="G22" s="10" t="e">
        <f t="shared" si="3"/>
        <v>#VALUE!</v>
      </c>
      <c r="H22" s="7" t="str">
        <f>'[3]Production Summary'!$Q266</f>
        <v/>
      </c>
      <c r="I22" s="8" t="e">
        <f t="shared" si="4"/>
        <v>#VALUE!</v>
      </c>
      <c r="J22" s="10" t="e">
        <f t="shared" si="5"/>
        <v>#VALUE!</v>
      </c>
      <c r="K22" s="7" t="str">
        <f>'[3]Production Summary'!$T266</f>
        <v/>
      </c>
      <c r="L22" s="8" t="e">
        <f t="shared" si="6"/>
        <v>#VALUE!</v>
      </c>
      <c r="M22" s="10" t="e">
        <f t="shared" si="7"/>
        <v>#VALUE!</v>
      </c>
      <c r="N22" s="57"/>
      <c r="O22" s="7" t="str">
        <f>'[3]Production Summary'!$AL266</f>
        <v/>
      </c>
      <c r="P22" s="8" t="e">
        <f t="shared" si="8"/>
        <v>#VALUE!</v>
      </c>
      <c r="Q22" s="10" t="e">
        <f t="shared" si="9"/>
        <v>#VALUE!</v>
      </c>
      <c r="R22" s="7" t="str">
        <f>'[3]Production Summary'!$AI266</f>
        <v/>
      </c>
      <c r="S22" s="8" t="e">
        <f t="shared" si="10"/>
        <v>#VALUE!</v>
      </c>
      <c r="T22" s="10" t="e">
        <f t="shared" si="11"/>
        <v>#VALUE!</v>
      </c>
      <c r="U22" s="7" t="str">
        <f>'[3]Production Summary'!$AF266</f>
        <v/>
      </c>
      <c r="V22" s="8" t="e">
        <f t="shared" si="12"/>
        <v>#VALUE!</v>
      </c>
      <c r="W22" s="10" t="e">
        <f t="shared" si="13"/>
        <v>#VALUE!</v>
      </c>
      <c r="X22" s="7" t="str">
        <f>'[3]Production Summary'!$AJ266</f>
        <v/>
      </c>
      <c r="Y22" s="8" t="e">
        <f t="shared" si="14"/>
        <v>#VALUE!</v>
      </c>
      <c r="Z22" s="10" t="e">
        <f t="shared" si="15"/>
        <v>#VALUE!</v>
      </c>
      <c r="AA22" s="15"/>
      <c r="AB22" s="7" t="e">
        <f t="shared" si="16"/>
        <v>#VALUE!</v>
      </c>
      <c r="AC22" s="8" t="e">
        <f t="shared" si="17"/>
        <v>#VALUE!</v>
      </c>
      <c r="AD22" s="10" t="e">
        <f t="shared" si="18"/>
        <v>#VALUE!</v>
      </c>
    </row>
    <row r="23" spans="1:30" x14ac:dyDescent="0.25">
      <c r="A23" s="27">
        <v>43362</v>
      </c>
      <c r="B23" s="7" t="str">
        <f>'[3]Production Summary'!$U267</f>
        <v/>
      </c>
      <c r="C23" s="8" t="e">
        <f t="shared" si="0"/>
        <v>#VALUE!</v>
      </c>
      <c r="D23" s="10" t="e">
        <f t="shared" si="1"/>
        <v>#VALUE!</v>
      </c>
      <c r="E23" s="7" t="str">
        <f>'[3]Production Summary'!$O267</f>
        <v/>
      </c>
      <c r="F23" s="8" t="e">
        <f t="shared" si="2"/>
        <v>#VALUE!</v>
      </c>
      <c r="G23" s="10" t="e">
        <f t="shared" si="3"/>
        <v>#VALUE!</v>
      </c>
      <c r="H23" s="7" t="str">
        <f>'[3]Production Summary'!$Q267</f>
        <v/>
      </c>
      <c r="I23" s="8" t="e">
        <f t="shared" si="4"/>
        <v>#VALUE!</v>
      </c>
      <c r="J23" s="10" t="e">
        <f t="shared" si="5"/>
        <v>#VALUE!</v>
      </c>
      <c r="K23" s="7" t="str">
        <f>'[3]Production Summary'!$T267</f>
        <v/>
      </c>
      <c r="L23" s="8" t="e">
        <f t="shared" si="6"/>
        <v>#VALUE!</v>
      </c>
      <c r="M23" s="10" t="e">
        <f t="shared" si="7"/>
        <v>#VALUE!</v>
      </c>
      <c r="N23" s="57"/>
      <c r="O23" s="7" t="str">
        <f>'[3]Production Summary'!$AL267</f>
        <v/>
      </c>
      <c r="P23" s="8" t="e">
        <f t="shared" si="8"/>
        <v>#VALUE!</v>
      </c>
      <c r="Q23" s="10" t="e">
        <f t="shared" si="9"/>
        <v>#VALUE!</v>
      </c>
      <c r="R23" s="7" t="str">
        <f>'[3]Production Summary'!$AI267</f>
        <v/>
      </c>
      <c r="S23" s="8" t="e">
        <f t="shared" si="10"/>
        <v>#VALUE!</v>
      </c>
      <c r="T23" s="10" t="e">
        <f t="shared" si="11"/>
        <v>#VALUE!</v>
      </c>
      <c r="U23" s="7" t="str">
        <f>'[3]Production Summary'!$AF267</f>
        <v/>
      </c>
      <c r="V23" s="8" t="e">
        <f t="shared" si="12"/>
        <v>#VALUE!</v>
      </c>
      <c r="W23" s="10" t="e">
        <f t="shared" si="13"/>
        <v>#VALUE!</v>
      </c>
      <c r="X23" s="7" t="str">
        <f>'[3]Production Summary'!$AJ267</f>
        <v/>
      </c>
      <c r="Y23" s="8" t="e">
        <f t="shared" si="14"/>
        <v>#VALUE!</v>
      </c>
      <c r="Z23" s="10" t="e">
        <f t="shared" si="15"/>
        <v>#VALUE!</v>
      </c>
      <c r="AA23" s="15"/>
      <c r="AB23" s="7" t="e">
        <f t="shared" si="16"/>
        <v>#VALUE!</v>
      </c>
      <c r="AC23" s="8" t="e">
        <f t="shared" si="17"/>
        <v>#VALUE!</v>
      </c>
      <c r="AD23" s="10" t="e">
        <f t="shared" si="18"/>
        <v>#VALUE!</v>
      </c>
    </row>
    <row r="24" spans="1:30" x14ac:dyDescent="0.25">
      <c r="A24" s="27">
        <v>43363</v>
      </c>
      <c r="B24" s="7" t="str">
        <f>'[3]Production Summary'!$U268</f>
        <v/>
      </c>
      <c r="C24" s="8" t="e">
        <f t="shared" si="0"/>
        <v>#VALUE!</v>
      </c>
      <c r="D24" s="10" t="e">
        <f t="shared" si="1"/>
        <v>#VALUE!</v>
      </c>
      <c r="E24" s="7" t="str">
        <f>'[3]Production Summary'!$O268</f>
        <v/>
      </c>
      <c r="F24" s="8" t="e">
        <f t="shared" si="2"/>
        <v>#VALUE!</v>
      </c>
      <c r="G24" s="10" t="e">
        <f t="shared" si="3"/>
        <v>#VALUE!</v>
      </c>
      <c r="H24" s="7" t="str">
        <f>'[3]Production Summary'!$Q268</f>
        <v/>
      </c>
      <c r="I24" s="8" t="e">
        <f t="shared" si="4"/>
        <v>#VALUE!</v>
      </c>
      <c r="J24" s="10" t="e">
        <f t="shared" si="5"/>
        <v>#VALUE!</v>
      </c>
      <c r="K24" s="7" t="str">
        <f>'[3]Production Summary'!$T268</f>
        <v/>
      </c>
      <c r="L24" s="8" t="e">
        <f t="shared" si="6"/>
        <v>#VALUE!</v>
      </c>
      <c r="M24" s="10" t="e">
        <f t="shared" si="7"/>
        <v>#VALUE!</v>
      </c>
      <c r="N24" s="57"/>
      <c r="O24" s="7" t="str">
        <f>'[3]Production Summary'!$AL268</f>
        <v/>
      </c>
      <c r="P24" s="8" t="e">
        <f t="shared" si="8"/>
        <v>#VALUE!</v>
      </c>
      <c r="Q24" s="10" t="e">
        <f t="shared" si="9"/>
        <v>#VALUE!</v>
      </c>
      <c r="R24" s="7" t="str">
        <f>'[3]Production Summary'!$AI268</f>
        <v/>
      </c>
      <c r="S24" s="8" t="e">
        <f t="shared" si="10"/>
        <v>#VALUE!</v>
      </c>
      <c r="T24" s="10" t="e">
        <f t="shared" si="11"/>
        <v>#VALUE!</v>
      </c>
      <c r="U24" s="7" t="str">
        <f>'[3]Production Summary'!$AF268</f>
        <v/>
      </c>
      <c r="V24" s="8" t="e">
        <f t="shared" si="12"/>
        <v>#VALUE!</v>
      </c>
      <c r="W24" s="10" t="e">
        <f t="shared" si="13"/>
        <v>#VALUE!</v>
      </c>
      <c r="X24" s="7" t="str">
        <f>'[3]Production Summary'!$AJ268</f>
        <v/>
      </c>
      <c r="Y24" s="8" t="e">
        <f t="shared" si="14"/>
        <v>#VALUE!</v>
      </c>
      <c r="Z24" s="10" t="e">
        <f t="shared" si="15"/>
        <v>#VALUE!</v>
      </c>
      <c r="AA24" s="15"/>
      <c r="AB24" s="7" t="e">
        <f t="shared" si="16"/>
        <v>#VALUE!</v>
      </c>
      <c r="AC24" s="8" t="e">
        <f t="shared" si="17"/>
        <v>#VALUE!</v>
      </c>
      <c r="AD24" s="10" t="e">
        <f t="shared" si="18"/>
        <v>#VALUE!</v>
      </c>
    </row>
    <row r="25" spans="1:30" x14ac:dyDescent="0.25">
      <c r="A25" s="27">
        <v>43364</v>
      </c>
      <c r="B25" s="7" t="str">
        <f>'[3]Production Summary'!$U269</f>
        <v/>
      </c>
      <c r="C25" s="8" t="e">
        <f t="shared" si="0"/>
        <v>#VALUE!</v>
      </c>
      <c r="D25" s="10" t="e">
        <f t="shared" si="1"/>
        <v>#VALUE!</v>
      </c>
      <c r="E25" s="7" t="str">
        <f>'[3]Production Summary'!$O269</f>
        <v/>
      </c>
      <c r="F25" s="8" t="e">
        <f t="shared" si="2"/>
        <v>#VALUE!</v>
      </c>
      <c r="G25" s="10" t="e">
        <f t="shared" si="3"/>
        <v>#VALUE!</v>
      </c>
      <c r="H25" s="7" t="str">
        <f>'[3]Production Summary'!$Q269</f>
        <v/>
      </c>
      <c r="I25" s="8" t="e">
        <f t="shared" si="4"/>
        <v>#VALUE!</v>
      </c>
      <c r="J25" s="10" t="e">
        <f t="shared" si="5"/>
        <v>#VALUE!</v>
      </c>
      <c r="K25" s="7" t="str">
        <f>'[3]Production Summary'!$T269</f>
        <v/>
      </c>
      <c r="L25" s="8" t="e">
        <f t="shared" si="6"/>
        <v>#VALUE!</v>
      </c>
      <c r="M25" s="10" t="e">
        <f t="shared" si="7"/>
        <v>#VALUE!</v>
      </c>
      <c r="N25" s="57"/>
      <c r="O25" s="7" t="str">
        <f>'[3]Production Summary'!$AL269</f>
        <v/>
      </c>
      <c r="P25" s="8" t="e">
        <f t="shared" si="8"/>
        <v>#VALUE!</v>
      </c>
      <c r="Q25" s="10" t="e">
        <f t="shared" si="9"/>
        <v>#VALUE!</v>
      </c>
      <c r="R25" s="7" t="str">
        <f>'[3]Production Summary'!$AI269</f>
        <v/>
      </c>
      <c r="S25" s="8" t="e">
        <f t="shared" si="10"/>
        <v>#VALUE!</v>
      </c>
      <c r="T25" s="10" t="e">
        <f t="shared" si="11"/>
        <v>#VALUE!</v>
      </c>
      <c r="U25" s="7" t="str">
        <f>'[3]Production Summary'!$AF269</f>
        <v/>
      </c>
      <c r="V25" s="8" t="e">
        <f t="shared" si="12"/>
        <v>#VALUE!</v>
      </c>
      <c r="W25" s="10" t="e">
        <f t="shared" si="13"/>
        <v>#VALUE!</v>
      </c>
      <c r="X25" s="7" t="str">
        <f>'[3]Production Summary'!$AJ269</f>
        <v/>
      </c>
      <c r="Y25" s="8" t="e">
        <f t="shared" si="14"/>
        <v>#VALUE!</v>
      </c>
      <c r="Z25" s="10" t="e">
        <f t="shared" si="15"/>
        <v>#VALUE!</v>
      </c>
      <c r="AA25" s="15"/>
      <c r="AB25" s="7" t="e">
        <f t="shared" si="16"/>
        <v>#VALUE!</v>
      </c>
      <c r="AC25" s="8" t="e">
        <f t="shared" si="17"/>
        <v>#VALUE!</v>
      </c>
      <c r="AD25" s="10" t="e">
        <f t="shared" si="18"/>
        <v>#VALUE!</v>
      </c>
    </row>
    <row r="26" spans="1:30" x14ac:dyDescent="0.25">
      <c r="A26" s="27">
        <v>43365</v>
      </c>
      <c r="B26" s="7" t="str">
        <f>'[3]Production Summary'!$U270</f>
        <v/>
      </c>
      <c r="C26" s="8" t="e">
        <f t="shared" si="0"/>
        <v>#VALUE!</v>
      </c>
      <c r="D26" s="10" t="e">
        <f t="shared" si="1"/>
        <v>#VALUE!</v>
      </c>
      <c r="E26" s="7" t="str">
        <f>'[3]Production Summary'!$O270</f>
        <v/>
      </c>
      <c r="F26" s="8" t="e">
        <f t="shared" si="2"/>
        <v>#VALUE!</v>
      </c>
      <c r="G26" s="10" t="e">
        <f t="shared" si="3"/>
        <v>#VALUE!</v>
      </c>
      <c r="H26" s="7" t="str">
        <f>'[3]Production Summary'!$Q270</f>
        <v/>
      </c>
      <c r="I26" s="8" t="e">
        <f t="shared" si="4"/>
        <v>#VALUE!</v>
      </c>
      <c r="J26" s="10" t="e">
        <f t="shared" si="5"/>
        <v>#VALUE!</v>
      </c>
      <c r="K26" s="7" t="str">
        <f>'[3]Production Summary'!$T270</f>
        <v/>
      </c>
      <c r="L26" s="8" t="e">
        <f t="shared" si="6"/>
        <v>#VALUE!</v>
      </c>
      <c r="M26" s="10" t="e">
        <f t="shared" si="7"/>
        <v>#VALUE!</v>
      </c>
      <c r="N26" s="57"/>
      <c r="O26" s="7" t="str">
        <f>'[3]Production Summary'!$AL270</f>
        <v/>
      </c>
      <c r="P26" s="8" t="e">
        <f t="shared" si="8"/>
        <v>#VALUE!</v>
      </c>
      <c r="Q26" s="10" t="e">
        <f t="shared" si="9"/>
        <v>#VALUE!</v>
      </c>
      <c r="R26" s="7" t="str">
        <f>'[3]Production Summary'!$AI270</f>
        <v/>
      </c>
      <c r="S26" s="8" t="e">
        <f t="shared" si="10"/>
        <v>#VALUE!</v>
      </c>
      <c r="T26" s="10" t="e">
        <f t="shared" si="11"/>
        <v>#VALUE!</v>
      </c>
      <c r="U26" s="7" t="str">
        <f>'[3]Production Summary'!$AF270</f>
        <v/>
      </c>
      <c r="V26" s="8" t="e">
        <f t="shared" si="12"/>
        <v>#VALUE!</v>
      </c>
      <c r="W26" s="10" t="e">
        <f t="shared" si="13"/>
        <v>#VALUE!</v>
      </c>
      <c r="X26" s="7" t="str">
        <f>'[3]Production Summary'!$AJ270</f>
        <v/>
      </c>
      <c r="Y26" s="8" t="e">
        <f t="shared" si="14"/>
        <v>#VALUE!</v>
      </c>
      <c r="Z26" s="10" t="e">
        <f t="shared" si="15"/>
        <v>#VALUE!</v>
      </c>
      <c r="AA26" s="15"/>
      <c r="AB26" s="7" t="e">
        <f t="shared" si="16"/>
        <v>#VALUE!</v>
      </c>
      <c r="AC26" s="8" t="e">
        <f t="shared" si="17"/>
        <v>#VALUE!</v>
      </c>
      <c r="AD26" s="10" t="e">
        <f t="shared" si="18"/>
        <v>#VALUE!</v>
      </c>
    </row>
    <row r="27" spans="1:30" x14ac:dyDescent="0.25">
      <c r="A27" s="27">
        <v>43366</v>
      </c>
      <c r="B27" s="7" t="str">
        <f>'[3]Production Summary'!$U271</f>
        <v/>
      </c>
      <c r="C27" s="8" t="e">
        <f t="shared" si="0"/>
        <v>#VALUE!</v>
      </c>
      <c r="D27" s="10" t="e">
        <f t="shared" si="1"/>
        <v>#VALUE!</v>
      </c>
      <c r="E27" s="7" t="str">
        <f>'[3]Production Summary'!$O271</f>
        <v/>
      </c>
      <c r="F27" s="8" t="e">
        <f t="shared" si="2"/>
        <v>#VALUE!</v>
      </c>
      <c r="G27" s="10" t="e">
        <f t="shared" si="3"/>
        <v>#VALUE!</v>
      </c>
      <c r="H27" s="7" t="str">
        <f>'[3]Production Summary'!$Q271</f>
        <v/>
      </c>
      <c r="I27" s="8" t="e">
        <f t="shared" si="4"/>
        <v>#VALUE!</v>
      </c>
      <c r="J27" s="10" t="e">
        <f t="shared" si="5"/>
        <v>#VALUE!</v>
      </c>
      <c r="K27" s="7" t="str">
        <f>'[3]Production Summary'!$T271</f>
        <v/>
      </c>
      <c r="L27" s="8" t="e">
        <f t="shared" si="6"/>
        <v>#VALUE!</v>
      </c>
      <c r="M27" s="10" t="e">
        <f t="shared" si="7"/>
        <v>#VALUE!</v>
      </c>
      <c r="N27" s="57"/>
      <c r="O27" s="7" t="str">
        <f>'[3]Production Summary'!$AL271</f>
        <v/>
      </c>
      <c r="P27" s="8" t="e">
        <f t="shared" si="8"/>
        <v>#VALUE!</v>
      </c>
      <c r="Q27" s="10" t="e">
        <f t="shared" si="9"/>
        <v>#VALUE!</v>
      </c>
      <c r="R27" s="7" t="str">
        <f>'[3]Production Summary'!$AI271</f>
        <v/>
      </c>
      <c r="S27" s="8" t="e">
        <f t="shared" si="10"/>
        <v>#VALUE!</v>
      </c>
      <c r="T27" s="10" t="e">
        <f t="shared" si="11"/>
        <v>#VALUE!</v>
      </c>
      <c r="U27" s="7" t="str">
        <f>'[3]Production Summary'!$AF271</f>
        <v/>
      </c>
      <c r="V27" s="8" t="e">
        <f t="shared" si="12"/>
        <v>#VALUE!</v>
      </c>
      <c r="W27" s="10" t="e">
        <f t="shared" si="13"/>
        <v>#VALUE!</v>
      </c>
      <c r="X27" s="7" t="str">
        <f>'[3]Production Summary'!$AJ271</f>
        <v/>
      </c>
      <c r="Y27" s="8" t="e">
        <f t="shared" si="14"/>
        <v>#VALUE!</v>
      </c>
      <c r="Z27" s="10" t="e">
        <f t="shared" si="15"/>
        <v>#VALUE!</v>
      </c>
      <c r="AA27" s="15"/>
      <c r="AB27" s="7" t="e">
        <f t="shared" si="16"/>
        <v>#VALUE!</v>
      </c>
      <c r="AC27" s="8" t="e">
        <f t="shared" si="17"/>
        <v>#VALUE!</v>
      </c>
      <c r="AD27" s="10" t="e">
        <f t="shared" si="18"/>
        <v>#VALUE!</v>
      </c>
    </row>
    <row r="28" spans="1:30" x14ac:dyDescent="0.25">
      <c r="A28" s="27">
        <v>43367</v>
      </c>
      <c r="B28" s="7" t="str">
        <f>'[3]Production Summary'!$U272</f>
        <v/>
      </c>
      <c r="C28" s="8" t="e">
        <f t="shared" si="0"/>
        <v>#VALUE!</v>
      </c>
      <c r="D28" s="10" t="e">
        <f t="shared" si="1"/>
        <v>#VALUE!</v>
      </c>
      <c r="E28" s="7" t="str">
        <f>'[3]Production Summary'!$O272</f>
        <v/>
      </c>
      <c r="F28" s="8" t="e">
        <f t="shared" si="2"/>
        <v>#VALUE!</v>
      </c>
      <c r="G28" s="10" t="e">
        <f t="shared" si="3"/>
        <v>#VALUE!</v>
      </c>
      <c r="H28" s="7" t="str">
        <f>'[3]Production Summary'!$Q272</f>
        <v/>
      </c>
      <c r="I28" s="8" t="e">
        <f t="shared" si="4"/>
        <v>#VALUE!</v>
      </c>
      <c r="J28" s="10" t="e">
        <f t="shared" si="5"/>
        <v>#VALUE!</v>
      </c>
      <c r="K28" s="7" t="str">
        <f>'[3]Production Summary'!$T272</f>
        <v/>
      </c>
      <c r="L28" s="8" t="e">
        <f t="shared" si="6"/>
        <v>#VALUE!</v>
      </c>
      <c r="M28" s="10" t="e">
        <f t="shared" si="7"/>
        <v>#VALUE!</v>
      </c>
      <c r="N28" s="57"/>
      <c r="O28" s="7" t="str">
        <f>'[3]Production Summary'!$AL272</f>
        <v/>
      </c>
      <c r="P28" s="8" t="e">
        <f t="shared" si="8"/>
        <v>#VALUE!</v>
      </c>
      <c r="Q28" s="10" t="e">
        <f t="shared" si="9"/>
        <v>#VALUE!</v>
      </c>
      <c r="R28" s="7" t="str">
        <f>'[3]Production Summary'!$AI272</f>
        <v/>
      </c>
      <c r="S28" s="8" t="e">
        <f t="shared" si="10"/>
        <v>#VALUE!</v>
      </c>
      <c r="T28" s="10" t="e">
        <f t="shared" si="11"/>
        <v>#VALUE!</v>
      </c>
      <c r="U28" s="7" t="str">
        <f>'[3]Production Summary'!$AF272</f>
        <v/>
      </c>
      <c r="V28" s="8" t="e">
        <f t="shared" si="12"/>
        <v>#VALUE!</v>
      </c>
      <c r="W28" s="10" t="e">
        <f t="shared" si="13"/>
        <v>#VALUE!</v>
      </c>
      <c r="X28" s="7" t="str">
        <f>'[3]Production Summary'!$AJ272</f>
        <v/>
      </c>
      <c r="Y28" s="8" t="e">
        <f t="shared" si="14"/>
        <v>#VALUE!</v>
      </c>
      <c r="Z28" s="10" t="e">
        <f t="shared" si="15"/>
        <v>#VALUE!</v>
      </c>
      <c r="AA28" s="15"/>
      <c r="AB28" s="7" t="e">
        <f t="shared" si="16"/>
        <v>#VALUE!</v>
      </c>
      <c r="AC28" s="8" t="e">
        <f t="shared" si="17"/>
        <v>#VALUE!</v>
      </c>
      <c r="AD28" s="10" t="e">
        <f t="shared" si="18"/>
        <v>#VALUE!</v>
      </c>
    </row>
    <row r="29" spans="1:30" x14ac:dyDescent="0.25">
      <c r="A29" s="27">
        <v>43368</v>
      </c>
      <c r="B29" s="7" t="str">
        <f>'[3]Production Summary'!$U273</f>
        <v/>
      </c>
      <c r="C29" s="8" t="e">
        <f t="shared" si="0"/>
        <v>#VALUE!</v>
      </c>
      <c r="D29" s="10" t="e">
        <f t="shared" si="1"/>
        <v>#VALUE!</v>
      </c>
      <c r="E29" s="7" t="str">
        <f>'[3]Production Summary'!$O273</f>
        <v/>
      </c>
      <c r="F29" s="8" t="e">
        <f t="shared" si="2"/>
        <v>#VALUE!</v>
      </c>
      <c r="G29" s="10" t="e">
        <f t="shared" si="3"/>
        <v>#VALUE!</v>
      </c>
      <c r="H29" s="7" t="str">
        <f>'[3]Production Summary'!$Q273</f>
        <v/>
      </c>
      <c r="I29" s="8" t="e">
        <f t="shared" si="4"/>
        <v>#VALUE!</v>
      </c>
      <c r="J29" s="10" t="e">
        <f t="shared" si="5"/>
        <v>#VALUE!</v>
      </c>
      <c r="K29" s="7" t="str">
        <f>'[3]Production Summary'!$T273</f>
        <v/>
      </c>
      <c r="L29" s="8" t="e">
        <f t="shared" si="6"/>
        <v>#VALUE!</v>
      </c>
      <c r="M29" s="10" t="e">
        <f t="shared" si="7"/>
        <v>#VALUE!</v>
      </c>
      <c r="N29" s="57"/>
      <c r="O29" s="7" t="str">
        <f>'[3]Production Summary'!$AL273</f>
        <v/>
      </c>
      <c r="P29" s="8" t="e">
        <f t="shared" si="8"/>
        <v>#VALUE!</v>
      </c>
      <c r="Q29" s="10" t="e">
        <f t="shared" si="9"/>
        <v>#VALUE!</v>
      </c>
      <c r="R29" s="7" t="str">
        <f>'[3]Production Summary'!$AI273</f>
        <v/>
      </c>
      <c r="S29" s="8" t="e">
        <f t="shared" si="10"/>
        <v>#VALUE!</v>
      </c>
      <c r="T29" s="10" t="e">
        <f t="shared" si="11"/>
        <v>#VALUE!</v>
      </c>
      <c r="U29" s="7" t="str">
        <f>'[3]Production Summary'!$AF273</f>
        <v/>
      </c>
      <c r="V29" s="8" t="e">
        <f t="shared" si="12"/>
        <v>#VALUE!</v>
      </c>
      <c r="W29" s="10" t="e">
        <f t="shared" si="13"/>
        <v>#VALUE!</v>
      </c>
      <c r="X29" s="7" t="str">
        <f>'[3]Production Summary'!$AJ273</f>
        <v/>
      </c>
      <c r="Y29" s="8" t="e">
        <f t="shared" si="14"/>
        <v>#VALUE!</v>
      </c>
      <c r="Z29" s="10" t="e">
        <f t="shared" si="15"/>
        <v>#VALUE!</v>
      </c>
      <c r="AA29" s="15"/>
      <c r="AB29" s="7" t="e">
        <f t="shared" si="16"/>
        <v>#VALUE!</v>
      </c>
      <c r="AC29" s="8" t="e">
        <f t="shared" si="17"/>
        <v>#VALUE!</v>
      </c>
      <c r="AD29" s="10" t="e">
        <f t="shared" si="18"/>
        <v>#VALUE!</v>
      </c>
    </row>
    <row r="30" spans="1:30" x14ac:dyDescent="0.25">
      <c r="A30" s="27">
        <v>43369</v>
      </c>
      <c r="B30" s="7" t="str">
        <f>'[3]Production Summary'!$U274</f>
        <v/>
      </c>
      <c r="C30" s="8" t="e">
        <f t="shared" si="0"/>
        <v>#VALUE!</v>
      </c>
      <c r="D30" s="10" t="e">
        <f t="shared" si="1"/>
        <v>#VALUE!</v>
      </c>
      <c r="E30" s="7" t="str">
        <f>'[3]Production Summary'!$O274</f>
        <v/>
      </c>
      <c r="F30" s="8" t="e">
        <f t="shared" si="2"/>
        <v>#VALUE!</v>
      </c>
      <c r="G30" s="10" t="e">
        <f t="shared" si="3"/>
        <v>#VALUE!</v>
      </c>
      <c r="H30" s="7" t="str">
        <f>'[3]Production Summary'!$Q274</f>
        <v/>
      </c>
      <c r="I30" s="8" t="e">
        <f t="shared" si="4"/>
        <v>#VALUE!</v>
      </c>
      <c r="J30" s="10" t="e">
        <f t="shared" si="5"/>
        <v>#VALUE!</v>
      </c>
      <c r="K30" s="7" t="str">
        <f>'[3]Production Summary'!$T274</f>
        <v/>
      </c>
      <c r="L30" s="8" t="e">
        <f t="shared" si="6"/>
        <v>#VALUE!</v>
      </c>
      <c r="M30" s="10" t="e">
        <f t="shared" si="7"/>
        <v>#VALUE!</v>
      </c>
      <c r="N30" s="57"/>
      <c r="O30" s="7" t="str">
        <f>'[3]Production Summary'!$AL274</f>
        <v/>
      </c>
      <c r="P30" s="8" t="e">
        <f t="shared" si="8"/>
        <v>#VALUE!</v>
      </c>
      <c r="Q30" s="10" t="e">
        <f t="shared" si="9"/>
        <v>#VALUE!</v>
      </c>
      <c r="R30" s="7" t="str">
        <f>'[3]Production Summary'!$AI274</f>
        <v/>
      </c>
      <c r="S30" s="8" t="e">
        <f t="shared" si="10"/>
        <v>#VALUE!</v>
      </c>
      <c r="T30" s="10" t="e">
        <f t="shared" si="11"/>
        <v>#VALUE!</v>
      </c>
      <c r="U30" s="7" t="str">
        <f>'[3]Production Summary'!$AF274</f>
        <v/>
      </c>
      <c r="V30" s="8" t="e">
        <f t="shared" si="12"/>
        <v>#VALUE!</v>
      </c>
      <c r="W30" s="10" t="e">
        <f t="shared" si="13"/>
        <v>#VALUE!</v>
      </c>
      <c r="X30" s="7" t="str">
        <f>'[3]Production Summary'!$AJ274</f>
        <v/>
      </c>
      <c r="Y30" s="8" t="e">
        <f t="shared" si="14"/>
        <v>#VALUE!</v>
      </c>
      <c r="Z30" s="10" t="e">
        <f t="shared" si="15"/>
        <v>#VALUE!</v>
      </c>
      <c r="AA30" s="15"/>
      <c r="AB30" s="7" t="e">
        <f t="shared" si="16"/>
        <v>#VALUE!</v>
      </c>
      <c r="AC30" s="8" t="e">
        <f t="shared" si="17"/>
        <v>#VALUE!</v>
      </c>
      <c r="AD30" s="10" t="e">
        <f t="shared" si="18"/>
        <v>#VALUE!</v>
      </c>
    </row>
    <row r="31" spans="1:30" x14ac:dyDescent="0.25">
      <c r="A31" s="27">
        <v>43370</v>
      </c>
      <c r="B31" s="7" t="str">
        <f>'[3]Production Summary'!$U275</f>
        <v/>
      </c>
      <c r="C31" s="8" t="e">
        <f t="shared" si="0"/>
        <v>#VALUE!</v>
      </c>
      <c r="D31" s="10" t="e">
        <f t="shared" si="1"/>
        <v>#VALUE!</v>
      </c>
      <c r="E31" s="7" t="str">
        <f>'[3]Production Summary'!$O275</f>
        <v/>
      </c>
      <c r="F31" s="8" t="e">
        <f t="shared" si="2"/>
        <v>#VALUE!</v>
      </c>
      <c r="G31" s="10" t="e">
        <f t="shared" si="3"/>
        <v>#VALUE!</v>
      </c>
      <c r="H31" s="7" t="str">
        <f>'[3]Production Summary'!$Q275</f>
        <v/>
      </c>
      <c r="I31" s="8" t="e">
        <f t="shared" si="4"/>
        <v>#VALUE!</v>
      </c>
      <c r="J31" s="10" t="e">
        <f t="shared" si="5"/>
        <v>#VALUE!</v>
      </c>
      <c r="K31" s="7" t="str">
        <f>'[3]Production Summary'!$T275</f>
        <v/>
      </c>
      <c r="L31" s="8" t="e">
        <f t="shared" si="6"/>
        <v>#VALUE!</v>
      </c>
      <c r="M31" s="10" t="e">
        <f t="shared" si="7"/>
        <v>#VALUE!</v>
      </c>
      <c r="N31" s="57"/>
      <c r="O31" s="7" t="str">
        <f>'[3]Production Summary'!$AL275</f>
        <v/>
      </c>
      <c r="P31" s="8" t="e">
        <f t="shared" si="8"/>
        <v>#VALUE!</v>
      </c>
      <c r="Q31" s="10" t="e">
        <f t="shared" si="9"/>
        <v>#VALUE!</v>
      </c>
      <c r="R31" s="7" t="str">
        <f>'[3]Production Summary'!$AI275</f>
        <v/>
      </c>
      <c r="S31" s="8" t="e">
        <f t="shared" si="10"/>
        <v>#VALUE!</v>
      </c>
      <c r="T31" s="10" t="e">
        <f t="shared" si="11"/>
        <v>#VALUE!</v>
      </c>
      <c r="U31" s="7" t="str">
        <f>'[3]Production Summary'!$AF275</f>
        <v/>
      </c>
      <c r="V31" s="8" t="e">
        <f t="shared" si="12"/>
        <v>#VALUE!</v>
      </c>
      <c r="W31" s="10" t="e">
        <f t="shared" si="13"/>
        <v>#VALUE!</v>
      </c>
      <c r="X31" s="7" t="str">
        <f>'[3]Production Summary'!$AJ275</f>
        <v/>
      </c>
      <c r="Y31" s="8" t="e">
        <f t="shared" si="14"/>
        <v>#VALUE!</v>
      </c>
      <c r="Z31" s="10" t="e">
        <f t="shared" si="15"/>
        <v>#VALUE!</v>
      </c>
      <c r="AA31" s="15"/>
      <c r="AB31" s="7" t="e">
        <f t="shared" si="16"/>
        <v>#VALUE!</v>
      </c>
      <c r="AC31" s="8" t="e">
        <f t="shared" si="17"/>
        <v>#VALUE!</v>
      </c>
      <c r="AD31" s="10" t="e">
        <f t="shared" si="18"/>
        <v>#VALUE!</v>
      </c>
    </row>
    <row r="32" spans="1:30" x14ac:dyDescent="0.25">
      <c r="A32" s="27">
        <v>43371</v>
      </c>
      <c r="B32" s="7" t="str">
        <f>'[3]Production Summary'!$U276</f>
        <v/>
      </c>
      <c r="C32" s="8" t="e">
        <f t="shared" si="0"/>
        <v>#VALUE!</v>
      </c>
      <c r="D32" s="10" t="e">
        <f t="shared" si="1"/>
        <v>#VALUE!</v>
      </c>
      <c r="E32" s="7" t="str">
        <f>'[3]Production Summary'!$O276</f>
        <v/>
      </c>
      <c r="F32" s="8" t="e">
        <f t="shared" si="2"/>
        <v>#VALUE!</v>
      </c>
      <c r="G32" s="10" t="e">
        <f t="shared" si="3"/>
        <v>#VALUE!</v>
      </c>
      <c r="H32" s="7" t="str">
        <f>'[3]Production Summary'!$Q276</f>
        <v/>
      </c>
      <c r="I32" s="8" t="e">
        <f t="shared" si="4"/>
        <v>#VALUE!</v>
      </c>
      <c r="J32" s="10" t="e">
        <f t="shared" si="5"/>
        <v>#VALUE!</v>
      </c>
      <c r="K32" s="7" t="str">
        <f>'[3]Production Summary'!$T276</f>
        <v/>
      </c>
      <c r="L32" s="8" t="e">
        <f t="shared" si="6"/>
        <v>#VALUE!</v>
      </c>
      <c r="M32" s="10" t="e">
        <f t="shared" si="7"/>
        <v>#VALUE!</v>
      </c>
      <c r="N32" s="57"/>
      <c r="O32" s="7" t="str">
        <f>'[3]Production Summary'!$AL276</f>
        <v/>
      </c>
      <c r="P32" s="8" t="e">
        <f t="shared" si="8"/>
        <v>#VALUE!</v>
      </c>
      <c r="Q32" s="10" t="e">
        <f t="shared" si="9"/>
        <v>#VALUE!</v>
      </c>
      <c r="R32" s="7" t="str">
        <f>'[3]Production Summary'!$AI276</f>
        <v/>
      </c>
      <c r="S32" s="8" t="e">
        <f t="shared" si="10"/>
        <v>#VALUE!</v>
      </c>
      <c r="T32" s="10" t="e">
        <f t="shared" si="11"/>
        <v>#VALUE!</v>
      </c>
      <c r="U32" s="7" t="str">
        <f>'[3]Production Summary'!$AF276</f>
        <v/>
      </c>
      <c r="V32" s="8" t="e">
        <f t="shared" si="12"/>
        <v>#VALUE!</v>
      </c>
      <c r="W32" s="10" t="e">
        <f t="shared" si="13"/>
        <v>#VALUE!</v>
      </c>
      <c r="X32" s="7" t="str">
        <f>'[3]Production Summary'!$AJ276</f>
        <v/>
      </c>
      <c r="Y32" s="8" t="e">
        <f t="shared" si="14"/>
        <v>#VALUE!</v>
      </c>
      <c r="Z32" s="10" t="e">
        <f t="shared" si="15"/>
        <v>#VALUE!</v>
      </c>
      <c r="AA32" s="15"/>
      <c r="AB32" s="7" t="e">
        <f t="shared" si="16"/>
        <v>#VALUE!</v>
      </c>
      <c r="AC32" s="8" t="e">
        <f t="shared" si="17"/>
        <v>#VALUE!</v>
      </c>
      <c r="AD32" s="10" t="e">
        <f t="shared" si="18"/>
        <v>#VALUE!</v>
      </c>
    </row>
    <row r="33" spans="1:30" x14ac:dyDescent="0.25">
      <c r="A33" s="27">
        <v>43372</v>
      </c>
      <c r="B33" s="7" t="str">
        <f>'[3]Production Summary'!$U277</f>
        <v/>
      </c>
      <c r="C33" s="8" t="e">
        <f t="shared" si="0"/>
        <v>#VALUE!</v>
      </c>
      <c r="D33" s="10" t="e">
        <f t="shared" si="1"/>
        <v>#VALUE!</v>
      </c>
      <c r="E33" s="7" t="str">
        <f>'[3]Production Summary'!$O277</f>
        <v/>
      </c>
      <c r="F33" s="8" t="e">
        <f t="shared" si="2"/>
        <v>#VALUE!</v>
      </c>
      <c r="G33" s="10" t="e">
        <f t="shared" si="3"/>
        <v>#VALUE!</v>
      </c>
      <c r="H33" s="7" t="str">
        <f>'[3]Production Summary'!$Q277</f>
        <v/>
      </c>
      <c r="I33" s="8" t="e">
        <f t="shared" si="4"/>
        <v>#VALUE!</v>
      </c>
      <c r="J33" s="10" t="e">
        <f t="shared" si="5"/>
        <v>#VALUE!</v>
      </c>
      <c r="K33" s="7" t="str">
        <f>'[3]Production Summary'!$T277</f>
        <v/>
      </c>
      <c r="L33" s="8" t="e">
        <f t="shared" si="6"/>
        <v>#VALUE!</v>
      </c>
      <c r="M33" s="10" t="e">
        <f t="shared" si="7"/>
        <v>#VALUE!</v>
      </c>
      <c r="N33" s="57"/>
      <c r="O33" s="7" t="str">
        <f>'[3]Production Summary'!$AL277</f>
        <v/>
      </c>
      <c r="P33" s="8" t="e">
        <f t="shared" si="8"/>
        <v>#VALUE!</v>
      </c>
      <c r="Q33" s="10" t="e">
        <f t="shared" si="9"/>
        <v>#VALUE!</v>
      </c>
      <c r="R33" s="7" t="str">
        <f>'[3]Production Summary'!$AI277</f>
        <v/>
      </c>
      <c r="S33" s="8" t="e">
        <f t="shared" si="10"/>
        <v>#VALUE!</v>
      </c>
      <c r="T33" s="10" t="e">
        <f t="shared" si="11"/>
        <v>#VALUE!</v>
      </c>
      <c r="U33" s="7" t="str">
        <f>'[3]Production Summary'!$AF277</f>
        <v/>
      </c>
      <c r="V33" s="8" t="e">
        <f t="shared" si="12"/>
        <v>#VALUE!</v>
      </c>
      <c r="W33" s="10" t="e">
        <f t="shared" si="13"/>
        <v>#VALUE!</v>
      </c>
      <c r="X33" s="7" t="str">
        <f>'[3]Production Summary'!$AJ277</f>
        <v/>
      </c>
      <c r="Y33" s="8" t="e">
        <f t="shared" si="14"/>
        <v>#VALUE!</v>
      </c>
      <c r="Z33" s="10" t="e">
        <f t="shared" si="15"/>
        <v>#VALUE!</v>
      </c>
      <c r="AA33" s="15"/>
      <c r="AB33" s="7" t="e">
        <f t="shared" si="16"/>
        <v>#VALUE!</v>
      </c>
      <c r="AC33" s="8" t="e">
        <f t="shared" si="17"/>
        <v>#VALUE!</v>
      </c>
      <c r="AD33" s="10" t="e">
        <f t="shared" si="18"/>
        <v>#VALUE!</v>
      </c>
    </row>
    <row r="34" spans="1:30" ht="13.8" thickBot="1" x14ac:dyDescent="0.3">
      <c r="A34" s="27">
        <v>43373</v>
      </c>
      <c r="B34" s="7" t="str">
        <f>'[3]Production Summary'!$U278</f>
        <v/>
      </c>
      <c r="C34" s="8" t="e">
        <f t="shared" si="0"/>
        <v>#VALUE!</v>
      </c>
      <c r="D34" s="10" t="e">
        <f t="shared" si="1"/>
        <v>#VALUE!</v>
      </c>
      <c r="E34" s="7" t="str">
        <f>'[3]Production Summary'!$O278</f>
        <v/>
      </c>
      <c r="F34" s="8" t="e">
        <f t="shared" si="2"/>
        <v>#VALUE!</v>
      </c>
      <c r="G34" s="10" t="e">
        <f t="shared" si="3"/>
        <v>#VALUE!</v>
      </c>
      <c r="H34" s="7" t="str">
        <f>'[3]Production Summary'!$Q278</f>
        <v/>
      </c>
      <c r="I34" s="8" t="e">
        <f t="shared" si="4"/>
        <v>#VALUE!</v>
      </c>
      <c r="J34" s="10" t="e">
        <f t="shared" si="5"/>
        <v>#VALUE!</v>
      </c>
      <c r="K34" s="7" t="str">
        <f>'[3]Production Summary'!$T278</f>
        <v/>
      </c>
      <c r="L34" s="8" t="e">
        <f t="shared" si="6"/>
        <v>#VALUE!</v>
      </c>
      <c r="M34" s="10" t="e">
        <f t="shared" si="7"/>
        <v>#VALUE!</v>
      </c>
      <c r="N34" s="57"/>
      <c r="O34" s="7" t="str">
        <f>'[3]Production Summary'!$AL278</f>
        <v/>
      </c>
      <c r="P34" s="8" t="e">
        <f t="shared" si="8"/>
        <v>#VALUE!</v>
      </c>
      <c r="Q34" s="10" t="e">
        <f t="shared" si="9"/>
        <v>#VALUE!</v>
      </c>
      <c r="R34" s="7" t="str">
        <f>'[3]Production Summary'!$AI278</f>
        <v/>
      </c>
      <c r="S34" s="8" t="e">
        <f t="shared" si="10"/>
        <v>#VALUE!</v>
      </c>
      <c r="T34" s="10" t="e">
        <f t="shared" si="11"/>
        <v>#VALUE!</v>
      </c>
      <c r="U34" s="7" t="str">
        <f>'[3]Production Summary'!$AF278</f>
        <v/>
      </c>
      <c r="V34" s="8" t="e">
        <f t="shared" si="12"/>
        <v>#VALUE!</v>
      </c>
      <c r="W34" s="10" t="e">
        <f t="shared" si="13"/>
        <v>#VALUE!</v>
      </c>
      <c r="X34" s="7" t="str">
        <f>'[3]Production Summary'!$AJ278</f>
        <v/>
      </c>
      <c r="Y34" s="8" t="e">
        <f t="shared" si="14"/>
        <v>#VALUE!</v>
      </c>
      <c r="Z34" s="10" t="e">
        <f t="shared" si="15"/>
        <v>#VALUE!</v>
      </c>
      <c r="AA34" s="15"/>
      <c r="AB34" s="7" t="e">
        <f t="shared" si="16"/>
        <v>#VALUE!</v>
      </c>
      <c r="AC34" s="8" t="e">
        <f t="shared" si="17"/>
        <v>#VALUE!</v>
      </c>
      <c r="AD34" s="10" t="e">
        <f t="shared" si="18"/>
        <v>#VALUE!</v>
      </c>
    </row>
    <row r="35" spans="1:30" ht="13.8" thickBot="1" x14ac:dyDescent="0.3">
      <c r="A35" s="3"/>
      <c r="B35" s="56">
        <f>SUM(B5:B34)</f>
        <v>0</v>
      </c>
      <c r="C35" s="37" t="e">
        <f t="shared" ref="C35:AD35" si="19">SUM(C5:C34)</f>
        <v>#VALUE!</v>
      </c>
      <c r="D35" s="37" t="e">
        <f t="shared" si="19"/>
        <v>#VALUE!</v>
      </c>
      <c r="E35" s="37">
        <f t="shared" si="19"/>
        <v>0</v>
      </c>
      <c r="F35" s="37" t="e">
        <f t="shared" si="19"/>
        <v>#VALUE!</v>
      </c>
      <c r="G35" s="37" t="e">
        <f t="shared" si="19"/>
        <v>#VALUE!</v>
      </c>
      <c r="H35" s="37">
        <f t="shared" si="19"/>
        <v>0</v>
      </c>
      <c r="I35" s="37" t="e">
        <f t="shared" si="19"/>
        <v>#VALUE!</v>
      </c>
      <c r="J35" s="37" t="e">
        <f t="shared" si="19"/>
        <v>#VALUE!</v>
      </c>
      <c r="K35" s="37">
        <f t="shared" si="19"/>
        <v>0</v>
      </c>
      <c r="L35" s="37" t="e">
        <f t="shared" si="19"/>
        <v>#VALUE!</v>
      </c>
      <c r="M35" s="37" t="e">
        <f t="shared" si="19"/>
        <v>#VALUE!</v>
      </c>
      <c r="N35" s="14"/>
      <c r="O35" s="37">
        <f t="shared" si="19"/>
        <v>0</v>
      </c>
      <c r="P35" s="37" t="e">
        <f t="shared" si="19"/>
        <v>#VALUE!</v>
      </c>
      <c r="Q35" s="37" t="e">
        <f t="shared" si="19"/>
        <v>#VALUE!</v>
      </c>
      <c r="R35" s="37">
        <f t="shared" si="19"/>
        <v>0</v>
      </c>
      <c r="S35" s="37" t="e">
        <f t="shared" si="19"/>
        <v>#VALUE!</v>
      </c>
      <c r="T35" s="37" t="e">
        <f t="shared" si="19"/>
        <v>#VALUE!</v>
      </c>
      <c r="U35" s="37">
        <f t="shared" si="19"/>
        <v>0</v>
      </c>
      <c r="V35" s="37" t="e">
        <f t="shared" si="19"/>
        <v>#VALUE!</v>
      </c>
      <c r="W35" s="37" t="e">
        <f t="shared" si="19"/>
        <v>#VALUE!</v>
      </c>
      <c r="X35" s="37">
        <f t="shared" si="19"/>
        <v>0</v>
      </c>
      <c r="Y35" s="37" t="e">
        <f t="shared" si="19"/>
        <v>#VALUE!</v>
      </c>
      <c r="Z35" s="37" t="e">
        <f t="shared" si="19"/>
        <v>#VALUE!</v>
      </c>
      <c r="AA35" s="14"/>
      <c r="AB35" s="37" t="e">
        <f t="shared" si="19"/>
        <v>#VALUE!</v>
      </c>
      <c r="AC35" s="37" t="e">
        <f t="shared" si="19"/>
        <v>#VALUE!</v>
      </c>
      <c r="AD35" s="37" t="e">
        <f t="shared" si="19"/>
        <v>#VALUE!</v>
      </c>
    </row>
    <row r="36" spans="1:30" x14ac:dyDescent="0.25">
      <c r="C36" s="18"/>
      <c r="E36" s="3"/>
      <c r="F36" s="3"/>
      <c r="G36" s="3"/>
      <c r="H36" s="3"/>
      <c r="I36" s="3"/>
      <c r="J36" s="3"/>
      <c r="K36" s="14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B36" s="29"/>
      <c r="AC36" s="29"/>
      <c r="AD36" s="23"/>
    </row>
    <row r="37" spans="1:30" x14ac:dyDescent="0.25">
      <c r="O37" s="18"/>
      <c r="P37" s="18"/>
      <c r="Q37" s="18"/>
    </row>
    <row r="38" spans="1:30" x14ac:dyDescent="0.25">
      <c r="O38" s="18"/>
      <c r="P38" s="18"/>
      <c r="Q38" s="18"/>
    </row>
    <row r="40" spans="1:30" x14ac:dyDescent="0.25">
      <c r="O40" s="18"/>
      <c r="P40" s="18"/>
      <c r="Q40" s="18"/>
    </row>
  </sheetData>
  <mergeCells count="9">
    <mergeCell ref="AB3:AD3"/>
    <mergeCell ref="R3:T3"/>
    <mergeCell ref="B3:D3"/>
    <mergeCell ref="E3:G3"/>
    <mergeCell ref="H3:J3"/>
    <mergeCell ref="K3:M3"/>
    <mergeCell ref="O3:Q3"/>
    <mergeCell ref="U3:W3"/>
    <mergeCell ref="X3:Z3"/>
  </mergeCells>
  <phoneticPr fontId="1" type="noConversion"/>
  <pageMargins left="0.75" right="0.75" top="1" bottom="1" header="0.5" footer="0.5"/>
  <pageSetup scale="37" orientation="landscape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E45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1" sqref="B1"/>
    </sheetView>
  </sheetViews>
  <sheetFormatPr defaultRowHeight="13.2" x14ac:dyDescent="0.25"/>
  <cols>
    <col min="2" max="2" width="14" bestFit="1" customWidth="1"/>
    <col min="5" max="5" width="11.33203125" customWidth="1"/>
    <col min="8" max="8" width="14.33203125" customWidth="1"/>
    <col min="11" max="11" width="15.33203125" customWidth="1"/>
    <col min="12" max="12" width="10.6640625" customWidth="1"/>
    <col min="13" max="13" width="12.33203125" customWidth="1"/>
    <col min="15" max="15" width="11" customWidth="1"/>
    <col min="18" max="18" width="11.5546875" bestFit="1" customWidth="1"/>
    <col min="21" max="21" width="10.6640625" customWidth="1"/>
    <col min="24" max="24" width="10.5546875" bestFit="1" customWidth="1"/>
    <col min="27" max="27" width="6.6640625" customWidth="1"/>
    <col min="28" max="28" width="13.33203125" customWidth="1"/>
  </cols>
  <sheetData>
    <row r="1" spans="1:30" x14ac:dyDescent="0.25">
      <c r="A1" s="41"/>
      <c r="B1" s="50"/>
      <c r="C1" s="40"/>
      <c r="D1" s="54" t="s">
        <v>23</v>
      </c>
      <c r="E1" s="25"/>
      <c r="F1" s="25"/>
      <c r="G1" s="3"/>
      <c r="H1" s="3"/>
      <c r="I1" s="3"/>
      <c r="J1" s="3"/>
      <c r="K1" s="14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spans="1:30" ht="13.8" thickBot="1" x14ac:dyDescent="0.3">
      <c r="A2" s="3"/>
      <c r="B2" s="3"/>
      <c r="C2" s="24"/>
      <c r="D2" s="3"/>
      <c r="E2" s="3"/>
      <c r="F2" s="3"/>
      <c r="G2" s="3"/>
      <c r="H2" s="3"/>
      <c r="I2" s="3"/>
      <c r="J2" s="3"/>
      <c r="K2" s="14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30" ht="60.75" customHeight="1" thickBot="1" x14ac:dyDescent="0.3">
      <c r="A3" s="3"/>
      <c r="B3" s="68" t="s">
        <v>9</v>
      </c>
      <c r="C3" s="69"/>
      <c r="D3" s="70"/>
      <c r="E3" s="68" t="s">
        <v>19</v>
      </c>
      <c r="F3" s="69"/>
      <c r="G3" s="70"/>
      <c r="H3" s="68" t="s">
        <v>20</v>
      </c>
      <c r="I3" s="69"/>
      <c r="J3" s="70"/>
      <c r="K3" s="68" t="s">
        <v>12</v>
      </c>
      <c r="L3" s="69"/>
      <c r="M3" s="70"/>
      <c r="N3" s="19"/>
      <c r="O3" s="71" t="s">
        <v>4</v>
      </c>
      <c r="P3" s="69"/>
      <c r="Q3" s="70"/>
      <c r="R3" s="68" t="s">
        <v>3</v>
      </c>
      <c r="S3" s="69"/>
      <c r="T3" s="70"/>
      <c r="U3" s="68" t="s">
        <v>14</v>
      </c>
      <c r="V3" s="69"/>
      <c r="W3" s="70"/>
      <c r="X3" s="68" t="s">
        <v>6</v>
      </c>
      <c r="Y3" s="69"/>
      <c r="Z3" s="70"/>
      <c r="AA3" s="19"/>
      <c r="AB3" s="65" t="s">
        <v>7</v>
      </c>
      <c r="AC3" s="66"/>
      <c r="AD3" s="67"/>
    </row>
    <row r="4" spans="1:30" x14ac:dyDescent="0.25">
      <c r="A4" s="26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19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19"/>
      <c r="AB4" s="30" t="s">
        <v>0</v>
      </c>
      <c r="AC4" s="31" t="s">
        <v>1</v>
      </c>
      <c r="AD4" s="32" t="s">
        <v>2</v>
      </c>
    </row>
    <row r="5" spans="1:30" x14ac:dyDescent="0.25">
      <c r="A5" s="27">
        <v>43374</v>
      </c>
      <c r="B5" s="7" t="str">
        <f>'[3]Production Summary'!$U279</f>
        <v/>
      </c>
      <c r="C5" s="8" t="e">
        <f>B5/1000000</f>
        <v>#VALUE!</v>
      </c>
      <c r="D5" s="10" t="e">
        <f>C5*3.07</f>
        <v>#VALUE!</v>
      </c>
      <c r="E5" s="7" t="str">
        <f>'[3]Production Summary'!$O279</f>
        <v/>
      </c>
      <c r="F5" s="8" t="e">
        <f>E5/1000000</f>
        <v>#VALUE!</v>
      </c>
      <c r="G5" s="10" t="e">
        <f>F5*3.07</f>
        <v>#VALUE!</v>
      </c>
      <c r="H5" s="7" t="str">
        <f>'[3]Production Summary'!$Q279</f>
        <v/>
      </c>
      <c r="I5" s="8" t="e">
        <f>H5/1000000</f>
        <v>#VALUE!</v>
      </c>
      <c r="J5" s="10" t="e">
        <f>I5*3.07</f>
        <v>#VALUE!</v>
      </c>
      <c r="K5" s="7" t="str">
        <f>'[3]Production Summary'!$T279</f>
        <v/>
      </c>
      <c r="L5" s="8" t="e">
        <f>K5/1000000</f>
        <v>#VALUE!</v>
      </c>
      <c r="M5" s="10" t="e">
        <f>L5*3.07</f>
        <v>#VALUE!</v>
      </c>
      <c r="N5" s="57"/>
      <c r="O5" s="7" t="str">
        <f>'[3]Production Summary'!$AL279</f>
        <v/>
      </c>
      <c r="P5" s="8" t="e">
        <f>O5/1000000</f>
        <v>#VALUE!</v>
      </c>
      <c r="Q5" s="10" t="e">
        <f>P5*3.07</f>
        <v>#VALUE!</v>
      </c>
      <c r="R5" s="7" t="str">
        <f>'[3]Production Summary'!$AI279</f>
        <v/>
      </c>
      <c r="S5" s="8" t="e">
        <f>R5/1000000</f>
        <v>#VALUE!</v>
      </c>
      <c r="T5" s="10" t="e">
        <f>S5*3.07</f>
        <v>#VALUE!</v>
      </c>
      <c r="U5" s="7" t="str">
        <f>'[3]Production Summary'!$AF279</f>
        <v/>
      </c>
      <c r="V5" s="8" t="e">
        <f>U5/1000000</f>
        <v>#VALUE!</v>
      </c>
      <c r="W5" s="10" t="e">
        <f>V5*3.07</f>
        <v>#VALUE!</v>
      </c>
      <c r="X5" s="7" t="str">
        <f>'[3]Production Summary'!$AJ279</f>
        <v/>
      </c>
      <c r="Y5" s="8" t="e">
        <f>X5/1000000</f>
        <v>#VALUE!</v>
      </c>
      <c r="Z5" s="10" t="e">
        <f>Y5*3.07</f>
        <v>#VALUE!</v>
      </c>
      <c r="AA5" s="15"/>
      <c r="AB5" s="7" t="e">
        <f>B5+O5</f>
        <v>#VALUE!</v>
      </c>
      <c r="AC5" s="8" t="e">
        <f>AB5/1000000</f>
        <v>#VALUE!</v>
      </c>
      <c r="AD5" s="10" t="e">
        <f>AC5*3.07</f>
        <v>#VALUE!</v>
      </c>
    </row>
    <row r="6" spans="1:30" x14ac:dyDescent="0.25">
      <c r="A6" s="27">
        <v>43375</v>
      </c>
      <c r="B6" s="7" t="str">
        <f>'[3]Production Summary'!$U280</f>
        <v/>
      </c>
      <c r="C6" s="8" t="e">
        <f t="shared" ref="C6:C35" si="0">B6/1000000</f>
        <v>#VALUE!</v>
      </c>
      <c r="D6" s="10" t="e">
        <f t="shared" ref="D6:D35" si="1">C6*3.07</f>
        <v>#VALUE!</v>
      </c>
      <c r="E6" s="7" t="str">
        <f>'[3]Production Summary'!$O280</f>
        <v/>
      </c>
      <c r="F6" s="8" t="e">
        <f t="shared" ref="F6:F35" si="2">E6/1000000</f>
        <v>#VALUE!</v>
      </c>
      <c r="G6" s="10" t="e">
        <f t="shared" ref="G6:G35" si="3">F6*3.07</f>
        <v>#VALUE!</v>
      </c>
      <c r="H6" s="7" t="str">
        <f>'[3]Production Summary'!$Q280</f>
        <v/>
      </c>
      <c r="I6" s="8" t="e">
        <f t="shared" ref="I6:I35" si="4">H6/1000000</f>
        <v>#VALUE!</v>
      </c>
      <c r="J6" s="10" t="e">
        <f t="shared" ref="J6:J35" si="5">I6*3.07</f>
        <v>#VALUE!</v>
      </c>
      <c r="K6" s="7" t="str">
        <f>'[3]Production Summary'!$T280</f>
        <v/>
      </c>
      <c r="L6" s="8" t="e">
        <f t="shared" ref="L6:L35" si="6">K6/1000000</f>
        <v>#VALUE!</v>
      </c>
      <c r="M6" s="10" t="e">
        <f t="shared" ref="M6:M35" si="7">L6*3.07</f>
        <v>#VALUE!</v>
      </c>
      <c r="N6" s="57"/>
      <c r="O6" s="7" t="str">
        <f>'[3]Production Summary'!$AL280</f>
        <v/>
      </c>
      <c r="P6" s="8" t="e">
        <f t="shared" ref="P6:P35" si="8">O6/1000000</f>
        <v>#VALUE!</v>
      </c>
      <c r="Q6" s="10" t="e">
        <f t="shared" ref="Q6:Q35" si="9">P6*3.07</f>
        <v>#VALUE!</v>
      </c>
      <c r="R6" s="7" t="str">
        <f>'[3]Production Summary'!$AI280</f>
        <v/>
      </c>
      <c r="S6" s="8" t="e">
        <f t="shared" ref="S6:S35" si="10">R6/1000000</f>
        <v>#VALUE!</v>
      </c>
      <c r="T6" s="10" t="e">
        <f t="shared" ref="T6:T35" si="11">S6*3.07</f>
        <v>#VALUE!</v>
      </c>
      <c r="U6" s="7" t="str">
        <f>'[3]Production Summary'!$AF280</f>
        <v/>
      </c>
      <c r="V6" s="8" t="e">
        <f t="shared" ref="V6:V35" si="12">U6/1000000</f>
        <v>#VALUE!</v>
      </c>
      <c r="W6" s="10" t="e">
        <f t="shared" ref="W6:W35" si="13">V6*3.07</f>
        <v>#VALUE!</v>
      </c>
      <c r="X6" s="7" t="str">
        <f>'[3]Production Summary'!$AJ280</f>
        <v/>
      </c>
      <c r="Y6" s="8" t="e">
        <f t="shared" ref="Y6:Y35" si="14">X6/1000000</f>
        <v>#VALUE!</v>
      </c>
      <c r="Z6" s="10" t="e">
        <f t="shared" ref="Z6:Z35" si="15">Y6*3.07</f>
        <v>#VALUE!</v>
      </c>
      <c r="AA6" s="15"/>
      <c r="AB6" s="7" t="e">
        <f t="shared" ref="AB6:AB35" si="16">B6+O6</f>
        <v>#VALUE!</v>
      </c>
      <c r="AC6" s="8" t="e">
        <f t="shared" ref="AC6:AC35" si="17">AB6/1000000</f>
        <v>#VALUE!</v>
      </c>
      <c r="AD6" s="10" t="e">
        <f t="shared" ref="AD6:AD35" si="18">AC6*3.07</f>
        <v>#VALUE!</v>
      </c>
    </row>
    <row r="7" spans="1:30" x14ac:dyDescent="0.25">
      <c r="A7" s="27">
        <v>43376</v>
      </c>
      <c r="B7" s="7" t="str">
        <f>'[3]Production Summary'!$U281</f>
        <v/>
      </c>
      <c r="C7" s="8" t="e">
        <f t="shared" si="0"/>
        <v>#VALUE!</v>
      </c>
      <c r="D7" s="10" t="e">
        <f t="shared" si="1"/>
        <v>#VALUE!</v>
      </c>
      <c r="E7" s="7" t="str">
        <f>'[3]Production Summary'!$O281</f>
        <v/>
      </c>
      <c r="F7" s="8" t="e">
        <f t="shared" si="2"/>
        <v>#VALUE!</v>
      </c>
      <c r="G7" s="10" t="e">
        <f t="shared" si="3"/>
        <v>#VALUE!</v>
      </c>
      <c r="H7" s="7" t="str">
        <f>'[3]Production Summary'!$Q281</f>
        <v/>
      </c>
      <c r="I7" s="8" t="e">
        <f t="shared" si="4"/>
        <v>#VALUE!</v>
      </c>
      <c r="J7" s="10" t="e">
        <f t="shared" si="5"/>
        <v>#VALUE!</v>
      </c>
      <c r="K7" s="7" t="str">
        <f>'[3]Production Summary'!$T281</f>
        <v/>
      </c>
      <c r="L7" s="8" t="e">
        <f t="shared" si="6"/>
        <v>#VALUE!</v>
      </c>
      <c r="M7" s="10" t="e">
        <f t="shared" si="7"/>
        <v>#VALUE!</v>
      </c>
      <c r="N7" s="57"/>
      <c r="O7" s="7" t="str">
        <f>'[3]Production Summary'!$AL281</f>
        <v/>
      </c>
      <c r="P7" s="8" t="e">
        <f t="shared" si="8"/>
        <v>#VALUE!</v>
      </c>
      <c r="Q7" s="10" t="e">
        <f t="shared" si="9"/>
        <v>#VALUE!</v>
      </c>
      <c r="R7" s="7" t="str">
        <f>'[3]Production Summary'!$AI281</f>
        <v/>
      </c>
      <c r="S7" s="8" t="e">
        <f t="shared" si="10"/>
        <v>#VALUE!</v>
      </c>
      <c r="T7" s="10" t="e">
        <f t="shared" si="11"/>
        <v>#VALUE!</v>
      </c>
      <c r="U7" s="7" t="str">
        <f>'[3]Production Summary'!$AF281</f>
        <v/>
      </c>
      <c r="V7" s="8" t="e">
        <f t="shared" si="12"/>
        <v>#VALUE!</v>
      </c>
      <c r="W7" s="10" t="e">
        <f t="shared" si="13"/>
        <v>#VALUE!</v>
      </c>
      <c r="X7" s="7" t="str">
        <f>'[3]Production Summary'!$AJ281</f>
        <v/>
      </c>
      <c r="Y7" s="8" t="e">
        <f t="shared" si="14"/>
        <v>#VALUE!</v>
      </c>
      <c r="Z7" s="10" t="e">
        <f t="shared" si="15"/>
        <v>#VALUE!</v>
      </c>
      <c r="AA7" s="15"/>
      <c r="AB7" s="7" t="e">
        <f t="shared" si="16"/>
        <v>#VALUE!</v>
      </c>
      <c r="AC7" s="8" t="e">
        <f t="shared" si="17"/>
        <v>#VALUE!</v>
      </c>
      <c r="AD7" s="10" t="e">
        <f t="shared" si="18"/>
        <v>#VALUE!</v>
      </c>
    </row>
    <row r="8" spans="1:30" x14ac:dyDescent="0.25">
      <c r="A8" s="27">
        <v>43377</v>
      </c>
      <c r="B8" s="7" t="str">
        <f>'[3]Production Summary'!$U282</f>
        <v/>
      </c>
      <c r="C8" s="8" t="e">
        <f t="shared" si="0"/>
        <v>#VALUE!</v>
      </c>
      <c r="D8" s="10" t="e">
        <f t="shared" si="1"/>
        <v>#VALUE!</v>
      </c>
      <c r="E8" s="7" t="str">
        <f>'[3]Production Summary'!$O282</f>
        <v/>
      </c>
      <c r="F8" s="8" t="e">
        <f t="shared" si="2"/>
        <v>#VALUE!</v>
      </c>
      <c r="G8" s="10" t="e">
        <f t="shared" si="3"/>
        <v>#VALUE!</v>
      </c>
      <c r="H8" s="7" t="str">
        <f>'[3]Production Summary'!$Q282</f>
        <v/>
      </c>
      <c r="I8" s="8" t="e">
        <f t="shared" si="4"/>
        <v>#VALUE!</v>
      </c>
      <c r="J8" s="10" t="e">
        <f t="shared" si="5"/>
        <v>#VALUE!</v>
      </c>
      <c r="K8" s="7" t="str">
        <f>'[3]Production Summary'!$T282</f>
        <v/>
      </c>
      <c r="L8" s="8" t="e">
        <f t="shared" si="6"/>
        <v>#VALUE!</v>
      </c>
      <c r="M8" s="10" t="e">
        <f t="shared" si="7"/>
        <v>#VALUE!</v>
      </c>
      <c r="N8" s="57"/>
      <c r="O8" s="7" t="str">
        <f>'[3]Production Summary'!$AL282</f>
        <v/>
      </c>
      <c r="P8" s="8" t="e">
        <f t="shared" si="8"/>
        <v>#VALUE!</v>
      </c>
      <c r="Q8" s="10" t="e">
        <f t="shared" si="9"/>
        <v>#VALUE!</v>
      </c>
      <c r="R8" s="7" t="str">
        <f>'[3]Production Summary'!$AI282</f>
        <v/>
      </c>
      <c r="S8" s="8" t="e">
        <f t="shared" si="10"/>
        <v>#VALUE!</v>
      </c>
      <c r="T8" s="10" t="e">
        <f t="shared" si="11"/>
        <v>#VALUE!</v>
      </c>
      <c r="U8" s="7" t="str">
        <f>'[3]Production Summary'!$AF282</f>
        <v/>
      </c>
      <c r="V8" s="8" t="e">
        <f t="shared" si="12"/>
        <v>#VALUE!</v>
      </c>
      <c r="W8" s="10" t="e">
        <f t="shared" si="13"/>
        <v>#VALUE!</v>
      </c>
      <c r="X8" s="7" t="str">
        <f>'[3]Production Summary'!$AJ282</f>
        <v/>
      </c>
      <c r="Y8" s="8" t="e">
        <f t="shared" si="14"/>
        <v>#VALUE!</v>
      </c>
      <c r="Z8" s="10" t="e">
        <f t="shared" si="15"/>
        <v>#VALUE!</v>
      </c>
      <c r="AA8" s="15"/>
      <c r="AB8" s="7" t="e">
        <f t="shared" si="16"/>
        <v>#VALUE!</v>
      </c>
      <c r="AC8" s="8" t="e">
        <f t="shared" si="17"/>
        <v>#VALUE!</v>
      </c>
      <c r="AD8" s="10" t="e">
        <f t="shared" si="18"/>
        <v>#VALUE!</v>
      </c>
    </row>
    <row r="9" spans="1:30" x14ac:dyDescent="0.25">
      <c r="A9" s="27">
        <v>43378</v>
      </c>
      <c r="B9" s="7" t="str">
        <f>'[3]Production Summary'!$U283</f>
        <v/>
      </c>
      <c r="C9" s="8" t="e">
        <f t="shared" si="0"/>
        <v>#VALUE!</v>
      </c>
      <c r="D9" s="10" t="e">
        <f t="shared" si="1"/>
        <v>#VALUE!</v>
      </c>
      <c r="E9" s="7" t="str">
        <f>'[3]Production Summary'!$O283</f>
        <v/>
      </c>
      <c r="F9" s="8" t="e">
        <f t="shared" si="2"/>
        <v>#VALUE!</v>
      </c>
      <c r="G9" s="10" t="e">
        <f t="shared" si="3"/>
        <v>#VALUE!</v>
      </c>
      <c r="H9" s="7" t="str">
        <f>'[3]Production Summary'!$Q283</f>
        <v/>
      </c>
      <c r="I9" s="8" t="e">
        <f t="shared" si="4"/>
        <v>#VALUE!</v>
      </c>
      <c r="J9" s="10" t="e">
        <f t="shared" si="5"/>
        <v>#VALUE!</v>
      </c>
      <c r="K9" s="7" t="str">
        <f>'[3]Production Summary'!$T283</f>
        <v/>
      </c>
      <c r="L9" s="8" t="e">
        <f t="shared" si="6"/>
        <v>#VALUE!</v>
      </c>
      <c r="M9" s="10" t="e">
        <f t="shared" si="7"/>
        <v>#VALUE!</v>
      </c>
      <c r="N9" s="57"/>
      <c r="O9" s="7" t="str">
        <f>'[3]Production Summary'!$AL283</f>
        <v/>
      </c>
      <c r="P9" s="8" t="e">
        <f t="shared" si="8"/>
        <v>#VALUE!</v>
      </c>
      <c r="Q9" s="10" t="e">
        <f t="shared" si="9"/>
        <v>#VALUE!</v>
      </c>
      <c r="R9" s="7" t="str">
        <f>'[3]Production Summary'!$AI283</f>
        <v/>
      </c>
      <c r="S9" s="8" t="e">
        <f t="shared" si="10"/>
        <v>#VALUE!</v>
      </c>
      <c r="T9" s="10" t="e">
        <f t="shared" si="11"/>
        <v>#VALUE!</v>
      </c>
      <c r="U9" s="7" t="str">
        <f>'[3]Production Summary'!$AF283</f>
        <v/>
      </c>
      <c r="V9" s="8" t="e">
        <f t="shared" si="12"/>
        <v>#VALUE!</v>
      </c>
      <c r="W9" s="10" t="e">
        <f t="shared" si="13"/>
        <v>#VALUE!</v>
      </c>
      <c r="X9" s="7" t="str">
        <f>'[3]Production Summary'!$AJ283</f>
        <v/>
      </c>
      <c r="Y9" s="8" t="e">
        <f t="shared" si="14"/>
        <v>#VALUE!</v>
      </c>
      <c r="Z9" s="10" t="e">
        <f t="shared" si="15"/>
        <v>#VALUE!</v>
      </c>
      <c r="AA9" s="15"/>
      <c r="AB9" s="7" t="e">
        <f t="shared" si="16"/>
        <v>#VALUE!</v>
      </c>
      <c r="AC9" s="8" t="e">
        <f t="shared" si="17"/>
        <v>#VALUE!</v>
      </c>
      <c r="AD9" s="10" t="e">
        <f t="shared" si="18"/>
        <v>#VALUE!</v>
      </c>
    </row>
    <row r="10" spans="1:30" x14ac:dyDescent="0.25">
      <c r="A10" s="27">
        <v>43379</v>
      </c>
      <c r="B10" s="7" t="str">
        <f>'[3]Production Summary'!$U284</f>
        <v/>
      </c>
      <c r="C10" s="8" t="e">
        <f t="shared" si="0"/>
        <v>#VALUE!</v>
      </c>
      <c r="D10" s="10" t="e">
        <f t="shared" si="1"/>
        <v>#VALUE!</v>
      </c>
      <c r="E10" s="7" t="str">
        <f>'[3]Production Summary'!$O284</f>
        <v/>
      </c>
      <c r="F10" s="8" t="e">
        <f t="shared" si="2"/>
        <v>#VALUE!</v>
      </c>
      <c r="G10" s="10" t="e">
        <f t="shared" si="3"/>
        <v>#VALUE!</v>
      </c>
      <c r="H10" s="7" t="str">
        <f>'[3]Production Summary'!$Q284</f>
        <v/>
      </c>
      <c r="I10" s="8" t="e">
        <f t="shared" si="4"/>
        <v>#VALUE!</v>
      </c>
      <c r="J10" s="10" t="e">
        <f t="shared" si="5"/>
        <v>#VALUE!</v>
      </c>
      <c r="K10" s="7" t="str">
        <f>'[3]Production Summary'!$T284</f>
        <v/>
      </c>
      <c r="L10" s="8" t="e">
        <f t="shared" si="6"/>
        <v>#VALUE!</v>
      </c>
      <c r="M10" s="10" t="e">
        <f t="shared" si="7"/>
        <v>#VALUE!</v>
      </c>
      <c r="N10" s="57"/>
      <c r="O10" s="7" t="str">
        <f>'[3]Production Summary'!$AL284</f>
        <v/>
      </c>
      <c r="P10" s="8" t="e">
        <f t="shared" si="8"/>
        <v>#VALUE!</v>
      </c>
      <c r="Q10" s="10" t="e">
        <f t="shared" si="9"/>
        <v>#VALUE!</v>
      </c>
      <c r="R10" s="7" t="str">
        <f>'[3]Production Summary'!$AI284</f>
        <v/>
      </c>
      <c r="S10" s="8" t="e">
        <f t="shared" si="10"/>
        <v>#VALUE!</v>
      </c>
      <c r="T10" s="10" t="e">
        <f t="shared" si="11"/>
        <v>#VALUE!</v>
      </c>
      <c r="U10" s="7" t="str">
        <f>'[3]Production Summary'!$AF284</f>
        <v/>
      </c>
      <c r="V10" s="8" t="e">
        <f t="shared" si="12"/>
        <v>#VALUE!</v>
      </c>
      <c r="W10" s="10" t="e">
        <f t="shared" si="13"/>
        <v>#VALUE!</v>
      </c>
      <c r="X10" s="7" t="str">
        <f>'[3]Production Summary'!$AJ284</f>
        <v/>
      </c>
      <c r="Y10" s="8" t="e">
        <f t="shared" si="14"/>
        <v>#VALUE!</v>
      </c>
      <c r="Z10" s="10" t="e">
        <f t="shared" si="15"/>
        <v>#VALUE!</v>
      </c>
      <c r="AA10" s="15"/>
      <c r="AB10" s="7" t="e">
        <f t="shared" si="16"/>
        <v>#VALUE!</v>
      </c>
      <c r="AC10" s="8" t="e">
        <f t="shared" si="17"/>
        <v>#VALUE!</v>
      </c>
      <c r="AD10" s="10" t="e">
        <f t="shared" si="18"/>
        <v>#VALUE!</v>
      </c>
    </row>
    <row r="11" spans="1:30" x14ac:dyDescent="0.25">
      <c r="A11" s="27">
        <v>43380</v>
      </c>
      <c r="B11" s="7" t="str">
        <f>'[3]Production Summary'!$U285</f>
        <v/>
      </c>
      <c r="C11" s="8" t="e">
        <f t="shared" si="0"/>
        <v>#VALUE!</v>
      </c>
      <c r="D11" s="10" t="e">
        <f t="shared" si="1"/>
        <v>#VALUE!</v>
      </c>
      <c r="E11" s="7" t="str">
        <f>'[3]Production Summary'!$O285</f>
        <v/>
      </c>
      <c r="F11" s="8" t="e">
        <f t="shared" si="2"/>
        <v>#VALUE!</v>
      </c>
      <c r="G11" s="10" t="e">
        <f t="shared" si="3"/>
        <v>#VALUE!</v>
      </c>
      <c r="H11" s="7" t="str">
        <f>'[3]Production Summary'!$Q285</f>
        <v/>
      </c>
      <c r="I11" s="8" t="e">
        <f t="shared" si="4"/>
        <v>#VALUE!</v>
      </c>
      <c r="J11" s="10" t="e">
        <f t="shared" si="5"/>
        <v>#VALUE!</v>
      </c>
      <c r="K11" s="7" t="str">
        <f>'[3]Production Summary'!$T285</f>
        <v/>
      </c>
      <c r="L11" s="8" t="e">
        <f t="shared" si="6"/>
        <v>#VALUE!</v>
      </c>
      <c r="M11" s="10" t="e">
        <f t="shared" si="7"/>
        <v>#VALUE!</v>
      </c>
      <c r="N11" s="57"/>
      <c r="O11" s="7" t="str">
        <f>'[3]Production Summary'!$AL285</f>
        <v/>
      </c>
      <c r="P11" s="8" t="e">
        <f t="shared" si="8"/>
        <v>#VALUE!</v>
      </c>
      <c r="Q11" s="10" t="e">
        <f t="shared" si="9"/>
        <v>#VALUE!</v>
      </c>
      <c r="R11" s="7" t="str">
        <f>'[3]Production Summary'!$AI285</f>
        <v/>
      </c>
      <c r="S11" s="8" t="e">
        <f t="shared" si="10"/>
        <v>#VALUE!</v>
      </c>
      <c r="T11" s="10" t="e">
        <f t="shared" si="11"/>
        <v>#VALUE!</v>
      </c>
      <c r="U11" s="7" t="str">
        <f>'[3]Production Summary'!$AF285</f>
        <v/>
      </c>
      <c r="V11" s="8" t="e">
        <f t="shared" si="12"/>
        <v>#VALUE!</v>
      </c>
      <c r="W11" s="10" t="e">
        <f t="shared" si="13"/>
        <v>#VALUE!</v>
      </c>
      <c r="X11" s="7" t="str">
        <f>'[3]Production Summary'!$AJ285</f>
        <v/>
      </c>
      <c r="Y11" s="8" t="e">
        <f t="shared" si="14"/>
        <v>#VALUE!</v>
      </c>
      <c r="Z11" s="10" t="e">
        <f t="shared" si="15"/>
        <v>#VALUE!</v>
      </c>
      <c r="AA11" s="15"/>
      <c r="AB11" s="7" t="e">
        <f t="shared" si="16"/>
        <v>#VALUE!</v>
      </c>
      <c r="AC11" s="8" t="e">
        <f t="shared" si="17"/>
        <v>#VALUE!</v>
      </c>
      <c r="AD11" s="10" t="e">
        <f t="shared" si="18"/>
        <v>#VALUE!</v>
      </c>
    </row>
    <row r="12" spans="1:30" x14ac:dyDescent="0.25">
      <c r="A12" s="27">
        <v>43381</v>
      </c>
      <c r="B12" s="7" t="str">
        <f>'[3]Production Summary'!$U286</f>
        <v/>
      </c>
      <c r="C12" s="8" t="e">
        <f t="shared" si="0"/>
        <v>#VALUE!</v>
      </c>
      <c r="D12" s="10" t="e">
        <f t="shared" si="1"/>
        <v>#VALUE!</v>
      </c>
      <c r="E12" s="7" t="str">
        <f>'[3]Production Summary'!$O286</f>
        <v/>
      </c>
      <c r="F12" s="8" t="e">
        <f t="shared" si="2"/>
        <v>#VALUE!</v>
      </c>
      <c r="G12" s="10" t="e">
        <f t="shared" si="3"/>
        <v>#VALUE!</v>
      </c>
      <c r="H12" s="7" t="str">
        <f>'[3]Production Summary'!$Q286</f>
        <v/>
      </c>
      <c r="I12" s="8" t="e">
        <f t="shared" si="4"/>
        <v>#VALUE!</v>
      </c>
      <c r="J12" s="10" t="e">
        <f t="shared" si="5"/>
        <v>#VALUE!</v>
      </c>
      <c r="K12" s="7" t="str">
        <f>'[3]Production Summary'!$T286</f>
        <v/>
      </c>
      <c r="L12" s="8" t="e">
        <f t="shared" si="6"/>
        <v>#VALUE!</v>
      </c>
      <c r="M12" s="10" t="e">
        <f t="shared" si="7"/>
        <v>#VALUE!</v>
      </c>
      <c r="N12" s="57"/>
      <c r="O12" s="7" t="str">
        <f>'[3]Production Summary'!$AL286</f>
        <v/>
      </c>
      <c r="P12" s="8" t="e">
        <f t="shared" si="8"/>
        <v>#VALUE!</v>
      </c>
      <c r="Q12" s="10" t="e">
        <f t="shared" si="9"/>
        <v>#VALUE!</v>
      </c>
      <c r="R12" s="7" t="str">
        <f>'[3]Production Summary'!$AI286</f>
        <v/>
      </c>
      <c r="S12" s="8" t="e">
        <f t="shared" si="10"/>
        <v>#VALUE!</v>
      </c>
      <c r="T12" s="10" t="e">
        <f t="shared" si="11"/>
        <v>#VALUE!</v>
      </c>
      <c r="U12" s="7" t="str">
        <f>'[3]Production Summary'!$AF286</f>
        <v/>
      </c>
      <c r="V12" s="8" t="e">
        <f t="shared" si="12"/>
        <v>#VALUE!</v>
      </c>
      <c r="W12" s="10" t="e">
        <f t="shared" si="13"/>
        <v>#VALUE!</v>
      </c>
      <c r="X12" s="7" t="str">
        <f>'[3]Production Summary'!$AJ286</f>
        <v/>
      </c>
      <c r="Y12" s="8" t="e">
        <f t="shared" si="14"/>
        <v>#VALUE!</v>
      </c>
      <c r="Z12" s="10" t="e">
        <f t="shared" si="15"/>
        <v>#VALUE!</v>
      </c>
      <c r="AA12" s="15"/>
      <c r="AB12" s="7" t="e">
        <f t="shared" si="16"/>
        <v>#VALUE!</v>
      </c>
      <c r="AC12" s="8" t="e">
        <f t="shared" si="17"/>
        <v>#VALUE!</v>
      </c>
      <c r="AD12" s="10" t="e">
        <f t="shared" si="18"/>
        <v>#VALUE!</v>
      </c>
    </row>
    <row r="13" spans="1:30" x14ac:dyDescent="0.25">
      <c r="A13" s="27">
        <v>43382</v>
      </c>
      <c r="B13" s="7" t="str">
        <f>'[3]Production Summary'!$U287</f>
        <v/>
      </c>
      <c r="C13" s="8" t="e">
        <f t="shared" si="0"/>
        <v>#VALUE!</v>
      </c>
      <c r="D13" s="10" t="e">
        <f t="shared" si="1"/>
        <v>#VALUE!</v>
      </c>
      <c r="E13" s="7" t="str">
        <f>'[3]Production Summary'!$O287</f>
        <v/>
      </c>
      <c r="F13" s="8" t="e">
        <f t="shared" si="2"/>
        <v>#VALUE!</v>
      </c>
      <c r="G13" s="10" t="e">
        <f t="shared" si="3"/>
        <v>#VALUE!</v>
      </c>
      <c r="H13" s="7" t="str">
        <f>'[3]Production Summary'!$Q287</f>
        <v/>
      </c>
      <c r="I13" s="8" t="e">
        <f t="shared" si="4"/>
        <v>#VALUE!</v>
      </c>
      <c r="J13" s="10" t="e">
        <f t="shared" si="5"/>
        <v>#VALUE!</v>
      </c>
      <c r="K13" s="7" t="str">
        <f>'[3]Production Summary'!$T287</f>
        <v/>
      </c>
      <c r="L13" s="8" t="e">
        <f t="shared" si="6"/>
        <v>#VALUE!</v>
      </c>
      <c r="M13" s="10" t="e">
        <f t="shared" si="7"/>
        <v>#VALUE!</v>
      </c>
      <c r="N13" s="57"/>
      <c r="O13" s="7" t="str">
        <f>'[3]Production Summary'!$AL287</f>
        <v/>
      </c>
      <c r="P13" s="8" t="e">
        <f t="shared" si="8"/>
        <v>#VALUE!</v>
      </c>
      <c r="Q13" s="10" t="e">
        <f t="shared" si="9"/>
        <v>#VALUE!</v>
      </c>
      <c r="R13" s="7" t="str">
        <f>'[3]Production Summary'!$AI287</f>
        <v/>
      </c>
      <c r="S13" s="8" t="e">
        <f t="shared" si="10"/>
        <v>#VALUE!</v>
      </c>
      <c r="T13" s="10" t="e">
        <f t="shared" si="11"/>
        <v>#VALUE!</v>
      </c>
      <c r="U13" s="7" t="str">
        <f>'[3]Production Summary'!$AF287</f>
        <v/>
      </c>
      <c r="V13" s="8" t="e">
        <f t="shared" si="12"/>
        <v>#VALUE!</v>
      </c>
      <c r="W13" s="10" t="e">
        <f t="shared" si="13"/>
        <v>#VALUE!</v>
      </c>
      <c r="X13" s="7" t="str">
        <f>'[3]Production Summary'!$AJ287</f>
        <v/>
      </c>
      <c r="Y13" s="8" t="e">
        <f t="shared" si="14"/>
        <v>#VALUE!</v>
      </c>
      <c r="Z13" s="10" t="e">
        <f t="shared" si="15"/>
        <v>#VALUE!</v>
      </c>
      <c r="AA13" s="15"/>
      <c r="AB13" s="7" t="e">
        <f t="shared" si="16"/>
        <v>#VALUE!</v>
      </c>
      <c r="AC13" s="8" t="e">
        <f t="shared" si="17"/>
        <v>#VALUE!</v>
      </c>
      <c r="AD13" s="10" t="e">
        <f t="shared" si="18"/>
        <v>#VALUE!</v>
      </c>
    </row>
    <row r="14" spans="1:30" x14ac:dyDescent="0.25">
      <c r="A14" s="27">
        <v>43383</v>
      </c>
      <c r="B14" s="7" t="str">
        <f>'[3]Production Summary'!$U288</f>
        <v/>
      </c>
      <c r="C14" s="8" t="e">
        <f t="shared" si="0"/>
        <v>#VALUE!</v>
      </c>
      <c r="D14" s="10" t="e">
        <f t="shared" si="1"/>
        <v>#VALUE!</v>
      </c>
      <c r="E14" s="7" t="str">
        <f>'[3]Production Summary'!$O288</f>
        <v/>
      </c>
      <c r="F14" s="8" t="e">
        <f t="shared" si="2"/>
        <v>#VALUE!</v>
      </c>
      <c r="G14" s="10" t="e">
        <f t="shared" si="3"/>
        <v>#VALUE!</v>
      </c>
      <c r="H14" s="7" t="str">
        <f>'[3]Production Summary'!$Q288</f>
        <v/>
      </c>
      <c r="I14" s="8" t="e">
        <f t="shared" si="4"/>
        <v>#VALUE!</v>
      </c>
      <c r="J14" s="10" t="e">
        <f t="shared" si="5"/>
        <v>#VALUE!</v>
      </c>
      <c r="K14" s="7" t="str">
        <f>'[3]Production Summary'!$T288</f>
        <v/>
      </c>
      <c r="L14" s="8" t="e">
        <f t="shared" si="6"/>
        <v>#VALUE!</v>
      </c>
      <c r="M14" s="10" t="e">
        <f t="shared" si="7"/>
        <v>#VALUE!</v>
      </c>
      <c r="N14" s="57"/>
      <c r="O14" s="7" t="str">
        <f>'[3]Production Summary'!$AL288</f>
        <v/>
      </c>
      <c r="P14" s="8" t="e">
        <f t="shared" si="8"/>
        <v>#VALUE!</v>
      </c>
      <c r="Q14" s="10" t="e">
        <f t="shared" si="9"/>
        <v>#VALUE!</v>
      </c>
      <c r="R14" s="7" t="str">
        <f>'[3]Production Summary'!$AI288</f>
        <v/>
      </c>
      <c r="S14" s="8" t="e">
        <f t="shared" si="10"/>
        <v>#VALUE!</v>
      </c>
      <c r="T14" s="10" t="e">
        <f t="shared" si="11"/>
        <v>#VALUE!</v>
      </c>
      <c r="U14" s="7" t="str">
        <f>'[3]Production Summary'!$AF288</f>
        <v/>
      </c>
      <c r="V14" s="8" t="e">
        <f t="shared" si="12"/>
        <v>#VALUE!</v>
      </c>
      <c r="W14" s="10" t="e">
        <f t="shared" si="13"/>
        <v>#VALUE!</v>
      </c>
      <c r="X14" s="7" t="str">
        <f>'[3]Production Summary'!$AJ288</f>
        <v/>
      </c>
      <c r="Y14" s="8" t="e">
        <f t="shared" si="14"/>
        <v>#VALUE!</v>
      </c>
      <c r="Z14" s="10" t="e">
        <f t="shared" si="15"/>
        <v>#VALUE!</v>
      </c>
      <c r="AA14" s="15"/>
      <c r="AB14" s="7" t="e">
        <f t="shared" si="16"/>
        <v>#VALUE!</v>
      </c>
      <c r="AC14" s="8" t="e">
        <f t="shared" si="17"/>
        <v>#VALUE!</v>
      </c>
      <c r="AD14" s="10" t="e">
        <f t="shared" si="18"/>
        <v>#VALUE!</v>
      </c>
    </row>
    <row r="15" spans="1:30" x14ac:dyDescent="0.25">
      <c r="A15" s="27">
        <v>43384</v>
      </c>
      <c r="B15" s="7" t="str">
        <f>'[3]Production Summary'!$U289</f>
        <v/>
      </c>
      <c r="C15" s="8" t="e">
        <f t="shared" si="0"/>
        <v>#VALUE!</v>
      </c>
      <c r="D15" s="10" t="e">
        <f t="shared" si="1"/>
        <v>#VALUE!</v>
      </c>
      <c r="E15" s="7" t="str">
        <f>'[3]Production Summary'!$O289</f>
        <v/>
      </c>
      <c r="F15" s="8" t="e">
        <f t="shared" si="2"/>
        <v>#VALUE!</v>
      </c>
      <c r="G15" s="10" t="e">
        <f t="shared" si="3"/>
        <v>#VALUE!</v>
      </c>
      <c r="H15" s="7" t="str">
        <f>'[3]Production Summary'!$Q289</f>
        <v/>
      </c>
      <c r="I15" s="8" t="e">
        <f t="shared" si="4"/>
        <v>#VALUE!</v>
      </c>
      <c r="J15" s="10" t="e">
        <f t="shared" si="5"/>
        <v>#VALUE!</v>
      </c>
      <c r="K15" s="7" t="str">
        <f>'[3]Production Summary'!$T289</f>
        <v/>
      </c>
      <c r="L15" s="8" t="e">
        <f t="shared" si="6"/>
        <v>#VALUE!</v>
      </c>
      <c r="M15" s="10" t="e">
        <f t="shared" si="7"/>
        <v>#VALUE!</v>
      </c>
      <c r="N15" s="57"/>
      <c r="O15" s="7" t="str">
        <f>'[3]Production Summary'!$AL289</f>
        <v/>
      </c>
      <c r="P15" s="8" t="e">
        <f t="shared" si="8"/>
        <v>#VALUE!</v>
      </c>
      <c r="Q15" s="10" t="e">
        <f t="shared" si="9"/>
        <v>#VALUE!</v>
      </c>
      <c r="R15" s="7" t="str">
        <f>'[3]Production Summary'!$AI289</f>
        <v/>
      </c>
      <c r="S15" s="8" t="e">
        <f t="shared" si="10"/>
        <v>#VALUE!</v>
      </c>
      <c r="T15" s="10" t="e">
        <f t="shared" si="11"/>
        <v>#VALUE!</v>
      </c>
      <c r="U15" s="7" t="str">
        <f>'[3]Production Summary'!$AF289</f>
        <v/>
      </c>
      <c r="V15" s="8" t="e">
        <f t="shared" si="12"/>
        <v>#VALUE!</v>
      </c>
      <c r="W15" s="10" t="e">
        <f t="shared" si="13"/>
        <v>#VALUE!</v>
      </c>
      <c r="X15" s="7" t="str">
        <f>'[3]Production Summary'!$AJ289</f>
        <v/>
      </c>
      <c r="Y15" s="8" t="e">
        <f t="shared" si="14"/>
        <v>#VALUE!</v>
      </c>
      <c r="Z15" s="10" t="e">
        <f t="shared" si="15"/>
        <v>#VALUE!</v>
      </c>
      <c r="AA15" s="15"/>
      <c r="AB15" s="7" t="e">
        <f t="shared" si="16"/>
        <v>#VALUE!</v>
      </c>
      <c r="AC15" s="8" t="e">
        <f t="shared" si="17"/>
        <v>#VALUE!</v>
      </c>
      <c r="AD15" s="10" t="e">
        <f t="shared" si="18"/>
        <v>#VALUE!</v>
      </c>
    </row>
    <row r="16" spans="1:30" x14ac:dyDescent="0.25">
      <c r="A16" s="27">
        <v>43385</v>
      </c>
      <c r="B16" s="7" t="str">
        <f>'[3]Production Summary'!$U290</f>
        <v/>
      </c>
      <c r="C16" s="8" t="e">
        <f t="shared" si="0"/>
        <v>#VALUE!</v>
      </c>
      <c r="D16" s="10" t="e">
        <f t="shared" si="1"/>
        <v>#VALUE!</v>
      </c>
      <c r="E16" s="7" t="str">
        <f>'[3]Production Summary'!$O290</f>
        <v/>
      </c>
      <c r="F16" s="8" t="e">
        <f t="shared" si="2"/>
        <v>#VALUE!</v>
      </c>
      <c r="G16" s="10" t="e">
        <f t="shared" si="3"/>
        <v>#VALUE!</v>
      </c>
      <c r="H16" s="7" t="str">
        <f>'[3]Production Summary'!$Q290</f>
        <v/>
      </c>
      <c r="I16" s="8" t="e">
        <f t="shared" si="4"/>
        <v>#VALUE!</v>
      </c>
      <c r="J16" s="10" t="e">
        <f t="shared" si="5"/>
        <v>#VALUE!</v>
      </c>
      <c r="K16" s="7" t="str">
        <f>'[3]Production Summary'!$T290</f>
        <v/>
      </c>
      <c r="L16" s="8" t="e">
        <f t="shared" si="6"/>
        <v>#VALUE!</v>
      </c>
      <c r="M16" s="10" t="e">
        <f t="shared" si="7"/>
        <v>#VALUE!</v>
      </c>
      <c r="N16" s="57"/>
      <c r="O16" s="7" t="str">
        <f>'[3]Production Summary'!$AL290</f>
        <v/>
      </c>
      <c r="P16" s="8" t="e">
        <f t="shared" si="8"/>
        <v>#VALUE!</v>
      </c>
      <c r="Q16" s="10" t="e">
        <f t="shared" si="9"/>
        <v>#VALUE!</v>
      </c>
      <c r="R16" s="7" t="str">
        <f>'[3]Production Summary'!$AI290</f>
        <v/>
      </c>
      <c r="S16" s="8" t="e">
        <f t="shared" si="10"/>
        <v>#VALUE!</v>
      </c>
      <c r="T16" s="10" t="e">
        <f t="shared" si="11"/>
        <v>#VALUE!</v>
      </c>
      <c r="U16" s="7" t="str">
        <f>'[3]Production Summary'!$AF290</f>
        <v/>
      </c>
      <c r="V16" s="8" t="e">
        <f t="shared" si="12"/>
        <v>#VALUE!</v>
      </c>
      <c r="W16" s="10" t="e">
        <f t="shared" si="13"/>
        <v>#VALUE!</v>
      </c>
      <c r="X16" s="7" t="str">
        <f>'[3]Production Summary'!$AJ290</f>
        <v/>
      </c>
      <c r="Y16" s="8" t="e">
        <f t="shared" si="14"/>
        <v>#VALUE!</v>
      </c>
      <c r="Z16" s="10" t="e">
        <f t="shared" si="15"/>
        <v>#VALUE!</v>
      </c>
      <c r="AA16" s="15"/>
      <c r="AB16" s="7" t="e">
        <f t="shared" si="16"/>
        <v>#VALUE!</v>
      </c>
      <c r="AC16" s="8" t="e">
        <f t="shared" si="17"/>
        <v>#VALUE!</v>
      </c>
      <c r="AD16" s="10" t="e">
        <f t="shared" si="18"/>
        <v>#VALUE!</v>
      </c>
    </row>
    <row r="17" spans="1:30" x14ac:dyDescent="0.25">
      <c r="A17" s="27">
        <v>43386</v>
      </c>
      <c r="B17" s="7" t="str">
        <f>'[3]Production Summary'!$U291</f>
        <v/>
      </c>
      <c r="C17" s="8" t="e">
        <f t="shared" si="0"/>
        <v>#VALUE!</v>
      </c>
      <c r="D17" s="10" t="e">
        <f t="shared" si="1"/>
        <v>#VALUE!</v>
      </c>
      <c r="E17" s="7" t="str">
        <f>'[3]Production Summary'!$O291</f>
        <v/>
      </c>
      <c r="F17" s="8" t="e">
        <f t="shared" si="2"/>
        <v>#VALUE!</v>
      </c>
      <c r="G17" s="10" t="e">
        <f t="shared" si="3"/>
        <v>#VALUE!</v>
      </c>
      <c r="H17" s="7" t="str">
        <f>'[3]Production Summary'!$Q291</f>
        <v/>
      </c>
      <c r="I17" s="8" t="e">
        <f t="shared" si="4"/>
        <v>#VALUE!</v>
      </c>
      <c r="J17" s="10" t="e">
        <f t="shared" si="5"/>
        <v>#VALUE!</v>
      </c>
      <c r="K17" s="7" t="str">
        <f>'[3]Production Summary'!$T291</f>
        <v/>
      </c>
      <c r="L17" s="8" t="e">
        <f t="shared" si="6"/>
        <v>#VALUE!</v>
      </c>
      <c r="M17" s="10" t="e">
        <f t="shared" si="7"/>
        <v>#VALUE!</v>
      </c>
      <c r="N17" s="57"/>
      <c r="O17" s="7" t="str">
        <f>'[3]Production Summary'!$AL291</f>
        <v/>
      </c>
      <c r="P17" s="8" t="e">
        <f t="shared" si="8"/>
        <v>#VALUE!</v>
      </c>
      <c r="Q17" s="10" t="e">
        <f t="shared" si="9"/>
        <v>#VALUE!</v>
      </c>
      <c r="R17" s="7" t="str">
        <f>'[3]Production Summary'!$AI291</f>
        <v/>
      </c>
      <c r="S17" s="8" t="e">
        <f t="shared" si="10"/>
        <v>#VALUE!</v>
      </c>
      <c r="T17" s="10" t="e">
        <f t="shared" si="11"/>
        <v>#VALUE!</v>
      </c>
      <c r="U17" s="7" t="str">
        <f>'[3]Production Summary'!$AF291</f>
        <v/>
      </c>
      <c r="V17" s="8" t="e">
        <f t="shared" si="12"/>
        <v>#VALUE!</v>
      </c>
      <c r="W17" s="10" t="e">
        <f t="shared" si="13"/>
        <v>#VALUE!</v>
      </c>
      <c r="X17" s="7" t="str">
        <f>'[3]Production Summary'!$AJ291</f>
        <v/>
      </c>
      <c r="Y17" s="8" t="e">
        <f t="shared" si="14"/>
        <v>#VALUE!</v>
      </c>
      <c r="Z17" s="10" t="e">
        <f t="shared" si="15"/>
        <v>#VALUE!</v>
      </c>
      <c r="AA17" s="15"/>
      <c r="AB17" s="7" t="e">
        <f t="shared" si="16"/>
        <v>#VALUE!</v>
      </c>
      <c r="AC17" s="8" t="e">
        <f t="shared" si="17"/>
        <v>#VALUE!</v>
      </c>
      <c r="AD17" s="10" t="e">
        <f t="shared" si="18"/>
        <v>#VALUE!</v>
      </c>
    </row>
    <row r="18" spans="1:30" x14ac:dyDescent="0.25">
      <c r="A18" s="27">
        <v>43387</v>
      </c>
      <c r="B18" s="7" t="str">
        <f>'[3]Production Summary'!$U292</f>
        <v/>
      </c>
      <c r="C18" s="8" t="e">
        <f t="shared" si="0"/>
        <v>#VALUE!</v>
      </c>
      <c r="D18" s="10" t="e">
        <f t="shared" si="1"/>
        <v>#VALUE!</v>
      </c>
      <c r="E18" s="7" t="str">
        <f>'[3]Production Summary'!$O292</f>
        <v/>
      </c>
      <c r="F18" s="8" t="e">
        <f t="shared" si="2"/>
        <v>#VALUE!</v>
      </c>
      <c r="G18" s="10" t="e">
        <f t="shared" si="3"/>
        <v>#VALUE!</v>
      </c>
      <c r="H18" s="7" t="str">
        <f>'[3]Production Summary'!$Q292</f>
        <v/>
      </c>
      <c r="I18" s="8" t="e">
        <f t="shared" si="4"/>
        <v>#VALUE!</v>
      </c>
      <c r="J18" s="10" t="e">
        <f t="shared" si="5"/>
        <v>#VALUE!</v>
      </c>
      <c r="K18" s="7" t="str">
        <f>'[3]Production Summary'!$T292</f>
        <v/>
      </c>
      <c r="L18" s="8" t="e">
        <f t="shared" si="6"/>
        <v>#VALUE!</v>
      </c>
      <c r="M18" s="10" t="e">
        <f t="shared" si="7"/>
        <v>#VALUE!</v>
      </c>
      <c r="N18" s="57"/>
      <c r="O18" s="7" t="str">
        <f>'[3]Production Summary'!$AL292</f>
        <v/>
      </c>
      <c r="P18" s="8" t="e">
        <f t="shared" si="8"/>
        <v>#VALUE!</v>
      </c>
      <c r="Q18" s="10" t="e">
        <f t="shared" si="9"/>
        <v>#VALUE!</v>
      </c>
      <c r="R18" s="7" t="str">
        <f>'[3]Production Summary'!$AI292</f>
        <v/>
      </c>
      <c r="S18" s="8" t="e">
        <f t="shared" si="10"/>
        <v>#VALUE!</v>
      </c>
      <c r="T18" s="10" t="e">
        <f t="shared" si="11"/>
        <v>#VALUE!</v>
      </c>
      <c r="U18" s="7" t="str">
        <f>'[3]Production Summary'!$AF292</f>
        <v/>
      </c>
      <c r="V18" s="8" t="e">
        <f t="shared" si="12"/>
        <v>#VALUE!</v>
      </c>
      <c r="W18" s="10" t="e">
        <f t="shared" si="13"/>
        <v>#VALUE!</v>
      </c>
      <c r="X18" s="7" t="str">
        <f>'[3]Production Summary'!$AJ292</f>
        <v/>
      </c>
      <c r="Y18" s="8" t="e">
        <f t="shared" si="14"/>
        <v>#VALUE!</v>
      </c>
      <c r="Z18" s="10" t="e">
        <f t="shared" si="15"/>
        <v>#VALUE!</v>
      </c>
      <c r="AA18" s="15"/>
      <c r="AB18" s="7" t="e">
        <f t="shared" si="16"/>
        <v>#VALUE!</v>
      </c>
      <c r="AC18" s="8" t="e">
        <f t="shared" si="17"/>
        <v>#VALUE!</v>
      </c>
      <c r="AD18" s="10" t="e">
        <f t="shared" si="18"/>
        <v>#VALUE!</v>
      </c>
    </row>
    <row r="19" spans="1:30" x14ac:dyDescent="0.25">
      <c r="A19" s="27">
        <v>43388</v>
      </c>
      <c r="B19" s="7" t="str">
        <f>'[3]Production Summary'!$U293</f>
        <v/>
      </c>
      <c r="C19" s="8" t="e">
        <f t="shared" si="0"/>
        <v>#VALUE!</v>
      </c>
      <c r="D19" s="10" t="e">
        <f t="shared" si="1"/>
        <v>#VALUE!</v>
      </c>
      <c r="E19" s="7" t="str">
        <f>'[3]Production Summary'!$O293</f>
        <v/>
      </c>
      <c r="F19" s="8" t="e">
        <f t="shared" si="2"/>
        <v>#VALUE!</v>
      </c>
      <c r="G19" s="10" t="e">
        <f t="shared" si="3"/>
        <v>#VALUE!</v>
      </c>
      <c r="H19" s="7" t="str">
        <f>'[3]Production Summary'!$Q293</f>
        <v/>
      </c>
      <c r="I19" s="8" t="e">
        <f t="shared" si="4"/>
        <v>#VALUE!</v>
      </c>
      <c r="J19" s="10" t="e">
        <f t="shared" si="5"/>
        <v>#VALUE!</v>
      </c>
      <c r="K19" s="7" t="str">
        <f>'[3]Production Summary'!$T293</f>
        <v/>
      </c>
      <c r="L19" s="8" t="e">
        <f t="shared" si="6"/>
        <v>#VALUE!</v>
      </c>
      <c r="M19" s="10" t="e">
        <f t="shared" si="7"/>
        <v>#VALUE!</v>
      </c>
      <c r="N19" s="57"/>
      <c r="O19" s="7" t="str">
        <f>'[3]Production Summary'!$AL293</f>
        <v/>
      </c>
      <c r="P19" s="8" t="e">
        <f t="shared" si="8"/>
        <v>#VALUE!</v>
      </c>
      <c r="Q19" s="10" t="e">
        <f t="shared" si="9"/>
        <v>#VALUE!</v>
      </c>
      <c r="R19" s="7" t="str">
        <f>'[3]Production Summary'!$AI293</f>
        <v/>
      </c>
      <c r="S19" s="8" t="e">
        <f t="shared" si="10"/>
        <v>#VALUE!</v>
      </c>
      <c r="T19" s="10" t="e">
        <f t="shared" si="11"/>
        <v>#VALUE!</v>
      </c>
      <c r="U19" s="7" t="str">
        <f>'[3]Production Summary'!$AF293</f>
        <v/>
      </c>
      <c r="V19" s="8" t="e">
        <f t="shared" si="12"/>
        <v>#VALUE!</v>
      </c>
      <c r="W19" s="10" t="e">
        <f t="shared" si="13"/>
        <v>#VALUE!</v>
      </c>
      <c r="X19" s="7" t="str">
        <f>'[3]Production Summary'!$AJ293</f>
        <v/>
      </c>
      <c r="Y19" s="8" t="e">
        <f t="shared" si="14"/>
        <v>#VALUE!</v>
      </c>
      <c r="Z19" s="10" t="e">
        <f t="shared" si="15"/>
        <v>#VALUE!</v>
      </c>
      <c r="AA19" s="15"/>
      <c r="AB19" s="7" t="e">
        <f t="shared" si="16"/>
        <v>#VALUE!</v>
      </c>
      <c r="AC19" s="8" t="e">
        <f t="shared" si="17"/>
        <v>#VALUE!</v>
      </c>
      <c r="AD19" s="10" t="e">
        <f t="shared" si="18"/>
        <v>#VALUE!</v>
      </c>
    </row>
    <row r="20" spans="1:30" x14ac:dyDescent="0.25">
      <c r="A20" s="27">
        <v>43389</v>
      </c>
      <c r="B20" s="7" t="str">
        <f>'[3]Production Summary'!$U294</f>
        <v/>
      </c>
      <c r="C20" s="8" t="e">
        <f t="shared" si="0"/>
        <v>#VALUE!</v>
      </c>
      <c r="D20" s="10" t="e">
        <f t="shared" si="1"/>
        <v>#VALUE!</v>
      </c>
      <c r="E20" s="7" t="str">
        <f>'[3]Production Summary'!$O294</f>
        <v/>
      </c>
      <c r="F20" s="8" t="e">
        <f t="shared" si="2"/>
        <v>#VALUE!</v>
      </c>
      <c r="G20" s="10" t="e">
        <f t="shared" si="3"/>
        <v>#VALUE!</v>
      </c>
      <c r="H20" s="7" t="str">
        <f>'[3]Production Summary'!$Q294</f>
        <v/>
      </c>
      <c r="I20" s="8" t="e">
        <f t="shared" si="4"/>
        <v>#VALUE!</v>
      </c>
      <c r="J20" s="10" t="e">
        <f t="shared" si="5"/>
        <v>#VALUE!</v>
      </c>
      <c r="K20" s="7" t="str">
        <f>'[3]Production Summary'!$T294</f>
        <v/>
      </c>
      <c r="L20" s="8" t="e">
        <f t="shared" si="6"/>
        <v>#VALUE!</v>
      </c>
      <c r="M20" s="10" t="e">
        <f t="shared" si="7"/>
        <v>#VALUE!</v>
      </c>
      <c r="N20" s="57"/>
      <c r="O20" s="7" t="str">
        <f>'[3]Production Summary'!$AL294</f>
        <v/>
      </c>
      <c r="P20" s="8" t="e">
        <f t="shared" si="8"/>
        <v>#VALUE!</v>
      </c>
      <c r="Q20" s="10" t="e">
        <f t="shared" si="9"/>
        <v>#VALUE!</v>
      </c>
      <c r="R20" s="7" t="str">
        <f>'[3]Production Summary'!$AI294</f>
        <v/>
      </c>
      <c r="S20" s="8" t="e">
        <f t="shared" si="10"/>
        <v>#VALUE!</v>
      </c>
      <c r="T20" s="10" t="e">
        <f t="shared" si="11"/>
        <v>#VALUE!</v>
      </c>
      <c r="U20" s="7" t="str">
        <f>'[3]Production Summary'!$AF294</f>
        <v/>
      </c>
      <c r="V20" s="8" t="e">
        <f t="shared" si="12"/>
        <v>#VALUE!</v>
      </c>
      <c r="W20" s="10" t="e">
        <f t="shared" si="13"/>
        <v>#VALUE!</v>
      </c>
      <c r="X20" s="7" t="str">
        <f>'[3]Production Summary'!$AJ294</f>
        <v/>
      </c>
      <c r="Y20" s="8" t="e">
        <f t="shared" si="14"/>
        <v>#VALUE!</v>
      </c>
      <c r="Z20" s="10" t="e">
        <f t="shared" si="15"/>
        <v>#VALUE!</v>
      </c>
      <c r="AA20" s="15"/>
      <c r="AB20" s="7" t="e">
        <f t="shared" si="16"/>
        <v>#VALUE!</v>
      </c>
      <c r="AC20" s="8" t="e">
        <f t="shared" si="17"/>
        <v>#VALUE!</v>
      </c>
      <c r="AD20" s="10" t="e">
        <f t="shared" si="18"/>
        <v>#VALUE!</v>
      </c>
    </row>
    <row r="21" spans="1:30" x14ac:dyDescent="0.25">
      <c r="A21" s="27">
        <v>43390</v>
      </c>
      <c r="B21" s="7" t="str">
        <f>'[3]Production Summary'!$U295</f>
        <v/>
      </c>
      <c r="C21" s="8" t="e">
        <f t="shared" si="0"/>
        <v>#VALUE!</v>
      </c>
      <c r="D21" s="10" t="e">
        <f t="shared" si="1"/>
        <v>#VALUE!</v>
      </c>
      <c r="E21" s="7" t="str">
        <f>'[3]Production Summary'!$O295</f>
        <v/>
      </c>
      <c r="F21" s="8" t="e">
        <f t="shared" si="2"/>
        <v>#VALUE!</v>
      </c>
      <c r="G21" s="10" t="e">
        <f t="shared" si="3"/>
        <v>#VALUE!</v>
      </c>
      <c r="H21" s="7" t="str">
        <f>'[3]Production Summary'!$Q295</f>
        <v/>
      </c>
      <c r="I21" s="8" t="e">
        <f t="shared" si="4"/>
        <v>#VALUE!</v>
      </c>
      <c r="J21" s="10" t="e">
        <f t="shared" si="5"/>
        <v>#VALUE!</v>
      </c>
      <c r="K21" s="7" t="str">
        <f>'[3]Production Summary'!$T295</f>
        <v/>
      </c>
      <c r="L21" s="8" t="e">
        <f t="shared" si="6"/>
        <v>#VALUE!</v>
      </c>
      <c r="M21" s="10" t="e">
        <f t="shared" si="7"/>
        <v>#VALUE!</v>
      </c>
      <c r="N21" s="57"/>
      <c r="O21" s="7" t="str">
        <f>'[3]Production Summary'!$AL295</f>
        <v/>
      </c>
      <c r="P21" s="8" t="e">
        <f t="shared" si="8"/>
        <v>#VALUE!</v>
      </c>
      <c r="Q21" s="10" t="e">
        <f t="shared" si="9"/>
        <v>#VALUE!</v>
      </c>
      <c r="R21" s="7" t="str">
        <f>'[3]Production Summary'!$AI295</f>
        <v/>
      </c>
      <c r="S21" s="8" t="e">
        <f t="shared" si="10"/>
        <v>#VALUE!</v>
      </c>
      <c r="T21" s="10" t="e">
        <f t="shared" si="11"/>
        <v>#VALUE!</v>
      </c>
      <c r="U21" s="7" t="str">
        <f>'[3]Production Summary'!$AF295</f>
        <v/>
      </c>
      <c r="V21" s="8" t="e">
        <f t="shared" si="12"/>
        <v>#VALUE!</v>
      </c>
      <c r="W21" s="10" t="e">
        <f t="shared" si="13"/>
        <v>#VALUE!</v>
      </c>
      <c r="X21" s="7" t="str">
        <f>'[3]Production Summary'!$AJ295</f>
        <v/>
      </c>
      <c r="Y21" s="8" t="e">
        <f t="shared" si="14"/>
        <v>#VALUE!</v>
      </c>
      <c r="Z21" s="10" t="e">
        <f t="shared" si="15"/>
        <v>#VALUE!</v>
      </c>
      <c r="AA21" s="15"/>
      <c r="AB21" s="7" t="e">
        <f t="shared" si="16"/>
        <v>#VALUE!</v>
      </c>
      <c r="AC21" s="8" t="e">
        <f t="shared" si="17"/>
        <v>#VALUE!</v>
      </c>
      <c r="AD21" s="10" t="e">
        <f t="shared" si="18"/>
        <v>#VALUE!</v>
      </c>
    </row>
    <row r="22" spans="1:30" x14ac:dyDescent="0.25">
      <c r="A22" s="27">
        <v>43391</v>
      </c>
      <c r="B22" s="7" t="str">
        <f>'[3]Production Summary'!$U296</f>
        <v/>
      </c>
      <c r="C22" s="8" t="e">
        <f t="shared" si="0"/>
        <v>#VALUE!</v>
      </c>
      <c r="D22" s="10" t="e">
        <f t="shared" si="1"/>
        <v>#VALUE!</v>
      </c>
      <c r="E22" s="7" t="str">
        <f>'[3]Production Summary'!$O296</f>
        <v/>
      </c>
      <c r="F22" s="8" t="e">
        <f t="shared" si="2"/>
        <v>#VALUE!</v>
      </c>
      <c r="G22" s="10" t="e">
        <f t="shared" si="3"/>
        <v>#VALUE!</v>
      </c>
      <c r="H22" s="7" t="str">
        <f>'[3]Production Summary'!$Q296</f>
        <v/>
      </c>
      <c r="I22" s="8" t="e">
        <f t="shared" si="4"/>
        <v>#VALUE!</v>
      </c>
      <c r="J22" s="10" t="e">
        <f t="shared" si="5"/>
        <v>#VALUE!</v>
      </c>
      <c r="K22" s="7" t="str">
        <f>'[3]Production Summary'!$T296</f>
        <v/>
      </c>
      <c r="L22" s="8" t="e">
        <f t="shared" si="6"/>
        <v>#VALUE!</v>
      </c>
      <c r="M22" s="10" t="e">
        <f t="shared" si="7"/>
        <v>#VALUE!</v>
      </c>
      <c r="N22" s="57"/>
      <c r="O22" s="7" t="str">
        <f>'[3]Production Summary'!$AL296</f>
        <v/>
      </c>
      <c r="P22" s="8" t="e">
        <f t="shared" si="8"/>
        <v>#VALUE!</v>
      </c>
      <c r="Q22" s="10" t="e">
        <f t="shared" si="9"/>
        <v>#VALUE!</v>
      </c>
      <c r="R22" s="7" t="str">
        <f>'[3]Production Summary'!$AI296</f>
        <v/>
      </c>
      <c r="S22" s="8" t="e">
        <f t="shared" si="10"/>
        <v>#VALUE!</v>
      </c>
      <c r="T22" s="10" t="e">
        <f t="shared" si="11"/>
        <v>#VALUE!</v>
      </c>
      <c r="U22" s="7" t="str">
        <f>'[3]Production Summary'!$AF296</f>
        <v/>
      </c>
      <c r="V22" s="8" t="e">
        <f t="shared" si="12"/>
        <v>#VALUE!</v>
      </c>
      <c r="W22" s="10" t="e">
        <f t="shared" si="13"/>
        <v>#VALUE!</v>
      </c>
      <c r="X22" s="7" t="str">
        <f>'[3]Production Summary'!$AJ296</f>
        <v/>
      </c>
      <c r="Y22" s="8" t="e">
        <f t="shared" si="14"/>
        <v>#VALUE!</v>
      </c>
      <c r="Z22" s="10" t="e">
        <f t="shared" si="15"/>
        <v>#VALUE!</v>
      </c>
      <c r="AA22" s="15"/>
      <c r="AB22" s="7" t="e">
        <f t="shared" si="16"/>
        <v>#VALUE!</v>
      </c>
      <c r="AC22" s="8" t="e">
        <f t="shared" si="17"/>
        <v>#VALUE!</v>
      </c>
      <c r="AD22" s="10" t="e">
        <f t="shared" si="18"/>
        <v>#VALUE!</v>
      </c>
    </row>
    <row r="23" spans="1:30" x14ac:dyDescent="0.25">
      <c r="A23" s="27">
        <v>43392</v>
      </c>
      <c r="B23" s="7" t="str">
        <f>'[3]Production Summary'!$U297</f>
        <v/>
      </c>
      <c r="C23" s="8" t="e">
        <f t="shared" si="0"/>
        <v>#VALUE!</v>
      </c>
      <c r="D23" s="10" t="e">
        <f t="shared" si="1"/>
        <v>#VALUE!</v>
      </c>
      <c r="E23" s="7" t="str">
        <f>'[3]Production Summary'!$O297</f>
        <v/>
      </c>
      <c r="F23" s="8" t="e">
        <f t="shared" si="2"/>
        <v>#VALUE!</v>
      </c>
      <c r="G23" s="10" t="e">
        <f t="shared" si="3"/>
        <v>#VALUE!</v>
      </c>
      <c r="H23" s="7" t="str">
        <f>'[3]Production Summary'!$Q297</f>
        <v/>
      </c>
      <c r="I23" s="8" t="e">
        <f t="shared" si="4"/>
        <v>#VALUE!</v>
      </c>
      <c r="J23" s="10" t="e">
        <f t="shared" si="5"/>
        <v>#VALUE!</v>
      </c>
      <c r="K23" s="7" t="str">
        <f>'[3]Production Summary'!$T297</f>
        <v/>
      </c>
      <c r="L23" s="8" t="e">
        <f t="shared" si="6"/>
        <v>#VALUE!</v>
      </c>
      <c r="M23" s="10" t="e">
        <f t="shared" si="7"/>
        <v>#VALUE!</v>
      </c>
      <c r="N23" s="57"/>
      <c r="O23" s="7" t="str">
        <f>'[3]Production Summary'!$AL297</f>
        <v/>
      </c>
      <c r="P23" s="8" t="e">
        <f t="shared" si="8"/>
        <v>#VALUE!</v>
      </c>
      <c r="Q23" s="10" t="e">
        <f t="shared" si="9"/>
        <v>#VALUE!</v>
      </c>
      <c r="R23" s="7" t="str">
        <f>'[3]Production Summary'!$AI297</f>
        <v/>
      </c>
      <c r="S23" s="8" t="e">
        <f t="shared" si="10"/>
        <v>#VALUE!</v>
      </c>
      <c r="T23" s="10" t="e">
        <f t="shared" si="11"/>
        <v>#VALUE!</v>
      </c>
      <c r="U23" s="7" t="str">
        <f>'[3]Production Summary'!$AF297</f>
        <v/>
      </c>
      <c r="V23" s="8" t="e">
        <f t="shared" si="12"/>
        <v>#VALUE!</v>
      </c>
      <c r="W23" s="10" t="e">
        <f t="shared" si="13"/>
        <v>#VALUE!</v>
      </c>
      <c r="X23" s="7" t="str">
        <f>'[3]Production Summary'!$AJ297</f>
        <v/>
      </c>
      <c r="Y23" s="8" t="e">
        <f t="shared" si="14"/>
        <v>#VALUE!</v>
      </c>
      <c r="Z23" s="10" t="e">
        <f t="shared" si="15"/>
        <v>#VALUE!</v>
      </c>
      <c r="AA23" s="15"/>
      <c r="AB23" s="7" t="e">
        <f t="shared" si="16"/>
        <v>#VALUE!</v>
      </c>
      <c r="AC23" s="8" t="e">
        <f t="shared" si="17"/>
        <v>#VALUE!</v>
      </c>
      <c r="AD23" s="10" t="e">
        <f t="shared" si="18"/>
        <v>#VALUE!</v>
      </c>
    </row>
    <row r="24" spans="1:30" x14ac:dyDescent="0.25">
      <c r="A24" s="27">
        <v>43393</v>
      </c>
      <c r="B24" s="7" t="str">
        <f>'[3]Production Summary'!$U298</f>
        <v/>
      </c>
      <c r="C24" s="8" t="e">
        <f t="shared" si="0"/>
        <v>#VALUE!</v>
      </c>
      <c r="D24" s="10" t="e">
        <f t="shared" si="1"/>
        <v>#VALUE!</v>
      </c>
      <c r="E24" s="7" t="str">
        <f>'[3]Production Summary'!$O298</f>
        <v/>
      </c>
      <c r="F24" s="8" t="e">
        <f t="shared" si="2"/>
        <v>#VALUE!</v>
      </c>
      <c r="G24" s="10" t="e">
        <f t="shared" si="3"/>
        <v>#VALUE!</v>
      </c>
      <c r="H24" s="7" t="str">
        <f>'[3]Production Summary'!$Q298</f>
        <v/>
      </c>
      <c r="I24" s="8" t="e">
        <f t="shared" si="4"/>
        <v>#VALUE!</v>
      </c>
      <c r="J24" s="10" t="e">
        <f t="shared" si="5"/>
        <v>#VALUE!</v>
      </c>
      <c r="K24" s="7" t="str">
        <f>'[3]Production Summary'!$T298</f>
        <v/>
      </c>
      <c r="L24" s="8" t="e">
        <f t="shared" si="6"/>
        <v>#VALUE!</v>
      </c>
      <c r="M24" s="10" t="e">
        <f t="shared" si="7"/>
        <v>#VALUE!</v>
      </c>
      <c r="N24" s="57"/>
      <c r="O24" s="7" t="str">
        <f>'[3]Production Summary'!$AL298</f>
        <v/>
      </c>
      <c r="P24" s="8" t="e">
        <f t="shared" si="8"/>
        <v>#VALUE!</v>
      </c>
      <c r="Q24" s="10" t="e">
        <f t="shared" si="9"/>
        <v>#VALUE!</v>
      </c>
      <c r="R24" s="7" t="str">
        <f>'[3]Production Summary'!$AI298</f>
        <v/>
      </c>
      <c r="S24" s="8" t="e">
        <f t="shared" si="10"/>
        <v>#VALUE!</v>
      </c>
      <c r="T24" s="10" t="e">
        <f t="shared" si="11"/>
        <v>#VALUE!</v>
      </c>
      <c r="U24" s="7" t="str">
        <f>'[3]Production Summary'!$AF298</f>
        <v/>
      </c>
      <c r="V24" s="8" t="e">
        <f t="shared" si="12"/>
        <v>#VALUE!</v>
      </c>
      <c r="W24" s="10" t="e">
        <f t="shared" si="13"/>
        <v>#VALUE!</v>
      </c>
      <c r="X24" s="7" t="str">
        <f>'[3]Production Summary'!$AJ298</f>
        <v/>
      </c>
      <c r="Y24" s="8" t="e">
        <f t="shared" si="14"/>
        <v>#VALUE!</v>
      </c>
      <c r="Z24" s="10" t="e">
        <f t="shared" si="15"/>
        <v>#VALUE!</v>
      </c>
      <c r="AA24" s="15"/>
      <c r="AB24" s="7" t="e">
        <f t="shared" si="16"/>
        <v>#VALUE!</v>
      </c>
      <c r="AC24" s="8" t="e">
        <f t="shared" si="17"/>
        <v>#VALUE!</v>
      </c>
      <c r="AD24" s="10" t="e">
        <f t="shared" si="18"/>
        <v>#VALUE!</v>
      </c>
    </row>
    <row r="25" spans="1:30" x14ac:dyDescent="0.25">
      <c r="A25" s="27">
        <v>43394</v>
      </c>
      <c r="B25" s="7" t="str">
        <f>'[3]Production Summary'!$U299</f>
        <v/>
      </c>
      <c r="C25" s="8" t="e">
        <f t="shared" si="0"/>
        <v>#VALUE!</v>
      </c>
      <c r="D25" s="10" t="e">
        <f t="shared" si="1"/>
        <v>#VALUE!</v>
      </c>
      <c r="E25" s="7" t="str">
        <f>'[3]Production Summary'!$O299</f>
        <v/>
      </c>
      <c r="F25" s="8" t="e">
        <f t="shared" si="2"/>
        <v>#VALUE!</v>
      </c>
      <c r="G25" s="10" t="e">
        <f t="shared" si="3"/>
        <v>#VALUE!</v>
      </c>
      <c r="H25" s="7" t="str">
        <f>'[3]Production Summary'!$Q299</f>
        <v/>
      </c>
      <c r="I25" s="8" t="e">
        <f t="shared" si="4"/>
        <v>#VALUE!</v>
      </c>
      <c r="J25" s="10" t="e">
        <f t="shared" si="5"/>
        <v>#VALUE!</v>
      </c>
      <c r="K25" s="7" t="str">
        <f>'[3]Production Summary'!$T299</f>
        <v/>
      </c>
      <c r="L25" s="8" t="e">
        <f t="shared" si="6"/>
        <v>#VALUE!</v>
      </c>
      <c r="M25" s="10" t="e">
        <f t="shared" si="7"/>
        <v>#VALUE!</v>
      </c>
      <c r="N25" s="57"/>
      <c r="O25" s="7" t="str">
        <f>'[3]Production Summary'!$AL299</f>
        <v/>
      </c>
      <c r="P25" s="8" t="e">
        <f t="shared" si="8"/>
        <v>#VALUE!</v>
      </c>
      <c r="Q25" s="10" t="e">
        <f t="shared" si="9"/>
        <v>#VALUE!</v>
      </c>
      <c r="R25" s="7" t="str">
        <f>'[3]Production Summary'!$AI299</f>
        <v/>
      </c>
      <c r="S25" s="8" t="e">
        <f t="shared" si="10"/>
        <v>#VALUE!</v>
      </c>
      <c r="T25" s="10" t="e">
        <f t="shared" si="11"/>
        <v>#VALUE!</v>
      </c>
      <c r="U25" s="7" t="str">
        <f>'[3]Production Summary'!$AF299</f>
        <v/>
      </c>
      <c r="V25" s="8" t="e">
        <f t="shared" si="12"/>
        <v>#VALUE!</v>
      </c>
      <c r="W25" s="10" t="e">
        <f t="shared" si="13"/>
        <v>#VALUE!</v>
      </c>
      <c r="X25" s="7" t="str">
        <f>'[3]Production Summary'!$AJ299</f>
        <v/>
      </c>
      <c r="Y25" s="8" t="e">
        <f t="shared" si="14"/>
        <v>#VALUE!</v>
      </c>
      <c r="Z25" s="10" t="e">
        <f t="shared" si="15"/>
        <v>#VALUE!</v>
      </c>
      <c r="AA25" s="15"/>
      <c r="AB25" s="7" t="e">
        <f t="shared" si="16"/>
        <v>#VALUE!</v>
      </c>
      <c r="AC25" s="8" t="e">
        <f t="shared" si="17"/>
        <v>#VALUE!</v>
      </c>
      <c r="AD25" s="10" t="e">
        <f t="shared" si="18"/>
        <v>#VALUE!</v>
      </c>
    </row>
    <row r="26" spans="1:30" x14ac:dyDescent="0.25">
      <c r="A26" s="27">
        <v>43395</v>
      </c>
      <c r="B26" s="7" t="str">
        <f>'[3]Production Summary'!$U300</f>
        <v/>
      </c>
      <c r="C26" s="8" t="e">
        <f t="shared" si="0"/>
        <v>#VALUE!</v>
      </c>
      <c r="D26" s="10" t="e">
        <f t="shared" si="1"/>
        <v>#VALUE!</v>
      </c>
      <c r="E26" s="7" t="str">
        <f>'[3]Production Summary'!$O300</f>
        <v/>
      </c>
      <c r="F26" s="8" t="e">
        <f t="shared" si="2"/>
        <v>#VALUE!</v>
      </c>
      <c r="G26" s="10" t="e">
        <f t="shared" si="3"/>
        <v>#VALUE!</v>
      </c>
      <c r="H26" s="7" t="str">
        <f>'[3]Production Summary'!$Q300</f>
        <v/>
      </c>
      <c r="I26" s="8" t="e">
        <f t="shared" si="4"/>
        <v>#VALUE!</v>
      </c>
      <c r="J26" s="10" t="e">
        <f t="shared" si="5"/>
        <v>#VALUE!</v>
      </c>
      <c r="K26" s="7" t="str">
        <f>'[3]Production Summary'!$T300</f>
        <v/>
      </c>
      <c r="L26" s="8" t="e">
        <f t="shared" si="6"/>
        <v>#VALUE!</v>
      </c>
      <c r="M26" s="10" t="e">
        <f t="shared" si="7"/>
        <v>#VALUE!</v>
      </c>
      <c r="N26" s="57"/>
      <c r="O26" s="7" t="str">
        <f>'[3]Production Summary'!$AL300</f>
        <v/>
      </c>
      <c r="P26" s="8" t="e">
        <f t="shared" si="8"/>
        <v>#VALUE!</v>
      </c>
      <c r="Q26" s="10" t="e">
        <f t="shared" si="9"/>
        <v>#VALUE!</v>
      </c>
      <c r="R26" s="7" t="str">
        <f>'[3]Production Summary'!$AI300</f>
        <v/>
      </c>
      <c r="S26" s="8" t="e">
        <f t="shared" si="10"/>
        <v>#VALUE!</v>
      </c>
      <c r="T26" s="10" t="e">
        <f t="shared" si="11"/>
        <v>#VALUE!</v>
      </c>
      <c r="U26" s="7" t="str">
        <f>'[3]Production Summary'!$AF300</f>
        <v/>
      </c>
      <c r="V26" s="8" t="e">
        <f t="shared" si="12"/>
        <v>#VALUE!</v>
      </c>
      <c r="W26" s="10" t="e">
        <f t="shared" si="13"/>
        <v>#VALUE!</v>
      </c>
      <c r="X26" s="7" t="str">
        <f>'[3]Production Summary'!$AJ300</f>
        <v/>
      </c>
      <c r="Y26" s="8" t="e">
        <f t="shared" si="14"/>
        <v>#VALUE!</v>
      </c>
      <c r="Z26" s="10" t="e">
        <f t="shared" si="15"/>
        <v>#VALUE!</v>
      </c>
      <c r="AA26" s="15"/>
      <c r="AB26" s="7" t="e">
        <f t="shared" si="16"/>
        <v>#VALUE!</v>
      </c>
      <c r="AC26" s="8" t="e">
        <f t="shared" si="17"/>
        <v>#VALUE!</v>
      </c>
      <c r="AD26" s="10" t="e">
        <f t="shared" si="18"/>
        <v>#VALUE!</v>
      </c>
    </row>
    <row r="27" spans="1:30" x14ac:dyDescent="0.25">
      <c r="A27" s="27">
        <v>43396</v>
      </c>
      <c r="B27" s="7" t="str">
        <f>'[3]Production Summary'!$U301</f>
        <v/>
      </c>
      <c r="C27" s="8" t="e">
        <f t="shared" si="0"/>
        <v>#VALUE!</v>
      </c>
      <c r="D27" s="10" t="e">
        <f t="shared" si="1"/>
        <v>#VALUE!</v>
      </c>
      <c r="E27" s="7" t="str">
        <f>'[3]Production Summary'!$O301</f>
        <v/>
      </c>
      <c r="F27" s="8" t="e">
        <f t="shared" si="2"/>
        <v>#VALUE!</v>
      </c>
      <c r="G27" s="10" t="e">
        <f t="shared" si="3"/>
        <v>#VALUE!</v>
      </c>
      <c r="H27" s="7" t="str">
        <f>'[3]Production Summary'!$Q301</f>
        <v/>
      </c>
      <c r="I27" s="8" t="e">
        <f t="shared" si="4"/>
        <v>#VALUE!</v>
      </c>
      <c r="J27" s="10" t="e">
        <f t="shared" si="5"/>
        <v>#VALUE!</v>
      </c>
      <c r="K27" s="7" t="str">
        <f>'[3]Production Summary'!$T301</f>
        <v/>
      </c>
      <c r="L27" s="8" t="e">
        <f t="shared" si="6"/>
        <v>#VALUE!</v>
      </c>
      <c r="M27" s="10" t="e">
        <f t="shared" si="7"/>
        <v>#VALUE!</v>
      </c>
      <c r="N27" s="57"/>
      <c r="O27" s="7" t="str">
        <f>'[3]Production Summary'!$AL301</f>
        <v/>
      </c>
      <c r="P27" s="8" t="e">
        <f t="shared" si="8"/>
        <v>#VALUE!</v>
      </c>
      <c r="Q27" s="10" t="e">
        <f t="shared" si="9"/>
        <v>#VALUE!</v>
      </c>
      <c r="R27" s="7" t="str">
        <f>'[3]Production Summary'!$AI301</f>
        <v/>
      </c>
      <c r="S27" s="8" t="e">
        <f t="shared" si="10"/>
        <v>#VALUE!</v>
      </c>
      <c r="T27" s="10" t="e">
        <f t="shared" si="11"/>
        <v>#VALUE!</v>
      </c>
      <c r="U27" s="7" t="str">
        <f>'[3]Production Summary'!$AF301</f>
        <v/>
      </c>
      <c r="V27" s="8" t="e">
        <f t="shared" si="12"/>
        <v>#VALUE!</v>
      </c>
      <c r="W27" s="10" t="e">
        <f t="shared" si="13"/>
        <v>#VALUE!</v>
      </c>
      <c r="X27" s="7" t="str">
        <f>'[3]Production Summary'!$AJ301</f>
        <v/>
      </c>
      <c r="Y27" s="8" t="e">
        <f t="shared" si="14"/>
        <v>#VALUE!</v>
      </c>
      <c r="Z27" s="10" t="e">
        <f t="shared" si="15"/>
        <v>#VALUE!</v>
      </c>
      <c r="AA27" s="15"/>
      <c r="AB27" s="7" t="e">
        <f t="shared" si="16"/>
        <v>#VALUE!</v>
      </c>
      <c r="AC27" s="8" t="e">
        <f t="shared" si="17"/>
        <v>#VALUE!</v>
      </c>
      <c r="AD27" s="10" t="e">
        <f t="shared" si="18"/>
        <v>#VALUE!</v>
      </c>
    </row>
    <row r="28" spans="1:30" x14ac:dyDescent="0.25">
      <c r="A28" s="27">
        <v>43397</v>
      </c>
      <c r="B28" s="7" t="str">
        <f>'[3]Production Summary'!$U302</f>
        <v/>
      </c>
      <c r="C28" s="8" t="e">
        <f t="shared" si="0"/>
        <v>#VALUE!</v>
      </c>
      <c r="D28" s="10" t="e">
        <f t="shared" si="1"/>
        <v>#VALUE!</v>
      </c>
      <c r="E28" s="7" t="str">
        <f>'[3]Production Summary'!$O302</f>
        <v/>
      </c>
      <c r="F28" s="8" t="e">
        <f t="shared" si="2"/>
        <v>#VALUE!</v>
      </c>
      <c r="G28" s="10" t="e">
        <f t="shared" si="3"/>
        <v>#VALUE!</v>
      </c>
      <c r="H28" s="7" t="str">
        <f>'[3]Production Summary'!$Q302</f>
        <v/>
      </c>
      <c r="I28" s="8" t="e">
        <f t="shared" si="4"/>
        <v>#VALUE!</v>
      </c>
      <c r="J28" s="10" t="e">
        <f t="shared" si="5"/>
        <v>#VALUE!</v>
      </c>
      <c r="K28" s="7" t="str">
        <f>'[3]Production Summary'!$T302</f>
        <v/>
      </c>
      <c r="L28" s="8" t="e">
        <f t="shared" si="6"/>
        <v>#VALUE!</v>
      </c>
      <c r="M28" s="10" t="e">
        <f t="shared" si="7"/>
        <v>#VALUE!</v>
      </c>
      <c r="N28" s="57"/>
      <c r="O28" s="7" t="str">
        <f>'[3]Production Summary'!$AL302</f>
        <v/>
      </c>
      <c r="P28" s="8" t="e">
        <f t="shared" si="8"/>
        <v>#VALUE!</v>
      </c>
      <c r="Q28" s="10" t="e">
        <f t="shared" si="9"/>
        <v>#VALUE!</v>
      </c>
      <c r="R28" s="7" t="str">
        <f>'[3]Production Summary'!$AI302</f>
        <v/>
      </c>
      <c r="S28" s="8" t="e">
        <f t="shared" si="10"/>
        <v>#VALUE!</v>
      </c>
      <c r="T28" s="10" t="e">
        <f t="shared" si="11"/>
        <v>#VALUE!</v>
      </c>
      <c r="U28" s="7" t="str">
        <f>'[3]Production Summary'!$AF302</f>
        <v/>
      </c>
      <c r="V28" s="8" t="e">
        <f t="shared" si="12"/>
        <v>#VALUE!</v>
      </c>
      <c r="W28" s="10" t="e">
        <f t="shared" si="13"/>
        <v>#VALUE!</v>
      </c>
      <c r="X28" s="7" t="str">
        <f>'[3]Production Summary'!$AJ302</f>
        <v/>
      </c>
      <c r="Y28" s="8" t="e">
        <f t="shared" si="14"/>
        <v>#VALUE!</v>
      </c>
      <c r="Z28" s="10" t="e">
        <f t="shared" si="15"/>
        <v>#VALUE!</v>
      </c>
      <c r="AA28" s="15"/>
      <c r="AB28" s="7" t="e">
        <f t="shared" si="16"/>
        <v>#VALUE!</v>
      </c>
      <c r="AC28" s="8" t="e">
        <f t="shared" si="17"/>
        <v>#VALUE!</v>
      </c>
      <c r="AD28" s="10" t="e">
        <f t="shared" si="18"/>
        <v>#VALUE!</v>
      </c>
    </row>
    <row r="29" spans="1:30" x14ac:dyDescent="0.25">
      <c r="A29" s="27">
        <v>43398</v>
      </c>
      <c r="B29" s="7" t="str">
        <f>'[3]Production Summary'!$U303</f>
        <v/>
      </c>
      <c r="C29" s="8" t="e">
        <f t="shared" si="0"/>
        <v>#VALUE!</v>
      </c>
      <c r="D29" s="10" t="e">
        <f t="shared" si="1"/>
        <v>#VALUE!</v>
      </c>
      <c r="E29" s="7" t="str">
        <f>'[3]Production Summary'!$O303</f>
        <v/>
      </c>
      <c r="F29" s="8" t="e">
        <f t="shared" si="2"/>
        <v>#VALUE!</v>
      </c>
      <c r="G29" s="10" t="e">
        <f t="shared" si="3"/>
        <v>#VALUE!</v>
      </c>
      <c r="H29" s="7" t="str">
        <f>'[3]Production Summary'!$Q303</f>
        <v/>
      </c>
      <c r="I29" s="8" t="e">
        <f t="shared" si="4"/>
        <v>#VALUE!</v>
      </c>
      <c r="J29" s="10" t="e">
        <f t="shared" si="5"/>
        <v>#VALUE!</v>
      </c>
      <c r="K29" s="7" t="str">
        <f>'[3]Production Summary'!$T303</f>
        <v/>
      </c>
      <c r="L29" s="8" t="e">
        <f t="shared" si="6"/>
        <v>#VALUE!</v>
      </c>
      <c r="M29" s="10" t="e">
        <f t="shared" si="7"/>
        <v>#VALUE!</v>
      </c>
      <c r="N29" s="57"/>
      <c r="O29" s="7" t="str">
        <f>'[3]Production Summary'!$AL303</f>
        <v/>
      </c>
      <c r="P29" s="8" t="e">
        <f t="shared" si="8"/>
        <v>#VALUE!</v>
      </c>
      <c r="Q29" s="10" t="e">
        <f t="shared" si="9"/>
        <v>#VALUE!</v>
      </c>
      <c r="R29" s="7" t="str">
        <f>'[3]Production Summary'!$AI303</f>
        <v/>
      </c>
      <c r="S29" s="8" t="e">
        <f t="shared" si="10"/>
        <v>#VALUE!</v>
      </c>
      <c r="T29" s="10" t="e">
        <f t="shared" si="11"/>
        <v>#VALUE!</v>
      </c>
      <c r="U29" s="7" t="str">
        <f>'[3]Production Summary'!$AF303</f>
        <v/>
      </c>
      <c r="V29" s="8" t="e">
        <f t="shared" si="12"/>
        <v>#VALUE!</v>
      </c>
      <c r="W29" s="10" t="e">
        <f t="shared" si="13"/>
        <v>#VALUE!</v>
      </c>
      <c r="X29" s="7" t="str">
        <f>'[3]Production Summary'!$AJ303</f>
        <v/>
      </c>
      <c r="Y29" s="8" t="e">
        <f t="shared" si="14"/>
        <v>#VALUE!</v>
      </c>
      <c r="Z29" s="10" t="e">
        <f t="shared" si="15"/>
        <v>#VALUE!</v>
      </c>
      <c r="AA29" s="15"/>
      <c r="AB29" s="7" t="e">
        <f t="shared" si="16"/>
        <v>#VALUE!</v>
      </c>
      <c r="AC29" s="8" t="e">
        <f t="shared" si="17"/>
        <v>#VALUE!</v>
      </c>
      <c r="AD29" s="10" t="e">
        <f t="shared" si="18"/>
        <v>#VALUE!</v>
      </c>
    </row>
    <row r="30" spans="1:30" x14ac:dyDescent="0.25">
      <c r="A30" s="27">
        <v>43399</v>
      </c>
      <c r="B30" s="7" t="str">
        <f>'[3]Production Summary'!$U304</f>
        <v/>
      </c>
      <c r="C30" s="8" t="e">
        <f t="shared" si="0"/>
        <v>#VALUE!</v>
      </c>
      <c r="D30" s="10" t="e">
        <f t="shared" si="1"/>
        <v>#VALUE!</v>
      </c>
      <c r="E30" s="7" t="str">
        <f>'[3]Production Summary'!$O304</f>
        <v/>
      </c>
      <c r="F30" s="8" t="e">
        <f t="shared" si="2"/>
        <v>#VALUE!</v>
      </c>
      <c r="G30" s="10" t="e">
        <f t="shared" si="3"/>
        <v>#VALUE!</v>
      </c>
      <c r="H30" s="7" t="str">
        <f>'[3]Production Summary'!$Q304</f>
        <v/>
      </c>
      <c r="I30" s="8" t="e">
        <f t="shared" si="4"/>
        <v>#VALUE!</v>
      </c>
      <c r="J30" s="10" t="e">
        <f t="shared" si="5"/>
        <v>#VALUE!</v>
      </c>
      <c r="K30" s="7" t="str">
        <f>'[3]Production Summary'!$T304</f>
        <v/>
      </c>
      <c r="L30" s="8" t="e">
        <f t="shared" si="6"/>
        <v>#VALUE!</v>
      </c>
      <c r="M30" s="10" t="e">
        <f t="shared" si="7"/>
        <v>#VALUE!</v>
      </c>
      <c r="N30" s="57"/>
      <c r="O30" s="7" t="str">
        <f>'[3]Production Summary'!$AL304</f>
        <v/>
      </c>
      <c r="P30" s="8" t="e">
        <f t="shared" si="8"/>
        <v>#VALUE!</v>
      </c>
      <c r="Q30" s="10" t="e">
        <f t="shared" si="9"/>
        <v>#VALUE!</v>
      </c>
      <c r="R30" s="7" t="str">
        <f>'[3]Production Summary'!$AI304</f>
        <v/>
      </c>
      <c r="S30" s="8" t="e">
        <f t="shared" si="10"/>
        <v>#VALUE!</v>
      </c>
      <c r="T30" s="10" t="e">
        <f t="shared" si="11"/>
        <v>#VALUE!</v>
      </c>
      <c r="U30" s="7" t="str">
        <f>'[3]Production Summary'!$AF304</f>
        <v/>
      </c>
      <c r="V30" s="8" t="e">
        <f t="shared" si="12"/>
        <v>#VALUE!</v>
      </c>
      <c r="W30" s="10" t="e">
        <f t="shared" si="13"/>
        <v>#VALUE!</v>
      </c>
      <c r="X30" s="7" t="str">
        <f>'[3]Production Summary'!$AJ304</f>
        <v/>
      </c>
      <c r="Y30" s="8" t="e">
        <f t="shared" si="14"/>
        <v>#VALUE!</v>
      </c>
      <c r="Z30" s="10" t="e">
        <f t="shared" si="15"/>
        <v>#VALUE!</v>
      </c>
      <c r="AA30" s="15"/>
      <c r="AB30" s="7" t="e">
        <f t="shared" si="16"/>
        <v>#VALUE!</v>
      </c>
      <c r="AC30" s="8" t="e">
        <f t="shared" si="17"/>
        <v>#VALUE!</v>
      </c>
      <c r="AD30" s="10" t="e">
        <f t="shared" si="18"/>
        <v>#VALUE!</v>
      </c>
    </row>
    <row r="31" spans="1:30" x14ac:dyDescent="0.25">
      <c r="A31" s="27">
        <v>43400</v>
      </c>
      <c r="B31" s="7" t="str">
        <f>'[3]Production Summary'!$U305</f>
        <v/>
      </c>
      <c r="C31" s="8" t="e">
        <f t="shared" si="0"/>
        <v>#VALUE!</v>
      </c>
      <c r="D31" s="10" t="e">
        <f t="shared" si="1"/>
        <v>#VALUE!</v>
      </c>
      <c r="E31" s="7" t="str">
        <f>'[3]Production Summary'!$O305</f>
        <v/>
      </c>
      <c r="F31" s="8" t="e">
        <f t="shared" si="2"/>
        <v>#VALUE!</v>
      </c>
      <c r="G31" s="10" t="e">
        <f t="shared" si="3"/>
        <v>#VALUE!</v>
      </c>
      <c r="H31" s="7" t="str">
        <f>'[3]Production Summary'!$Q305</f>
        <v/>
      </c>
      <c r="I31" s="8" t="e">
        <f t="shared" si="4"/>
        <v>#VALUE!</v>
      </c>
      <c r="J31" s="10" t="e">
        <f t="shared" si="5"/>
        <v>#VALUE!</v>
      </c>
      <c r="K31" s="7" t="str">
        <f>'[3]Production Summary'!$T305</f>
        <v/>
      </c>
      <c r="L31" s="8" t="e">
        <f t="shared" si="6"/>
        <v>#VALUE!</v>
      </c>
      <c r="M31" s="10" t="e">
        <f t="shared" si="7"/>
        <v>#VALUE!</v>
      </c>
      <c r="N31" s="57"/>
      <c r="O31" s="7" t="str">
        <f>'[3]Production Summary'!$AL305</f>
        <v/>
      </c>
      <c r="P31" s="8" t="e">
        <f t="shared" si="8"/>
        <v>#VALUE!</v>
      </c>
      <c r="Q31" s="10" t="e">
        <f t="shared" si="9"/>
        <v>#VALUE!</v>
      </c>
      <c r="R31" s="7" t="str">
        <f>'[3]Production Summary'!$AI305</f>
        <v/>
      </c>
      <c r="S31" s="8" t="e">
        <f t="shared" si="10"/>
        <v>#VALUE!</v>
      </c>
      <c r="T31" s="10" t="e">
        <f t="shared" si="11"/>
        <v>#VALUE!</v>
      </c>
      <c r="U31" s="7" t="str">
        <f>'[3]Production Summary'!$AF305</f>
        <v/>
      </c>
      <c r="V31" s="8" t="e">
        <f t="shared" si="12"/>
        <v>#VALUE!</v>
      </c>
      <c r="W31" s="10" t="e">
        <f t="shared" si="13"/>
        <v>#VALUE!</v>
      </c>
      <c r="X31" s="7" t="str">
        <f>'[3]Production Summary'!$AJ305</f>
        <v/>
      </c>
      <c r="Y31" s="8" t="e">
        <f t="shared" si="14"/>
        <v>#VALUE!</v>
      </c>
      <c r="Z31" s="10" t="e">
        <f t="shared" si="15"/>
        <v>#VALUE!</v>
      </c>
      <c r="AA31" s="15"/>
      <c r="AB31" s="7" t="e">
        <f t="shared" si="16"/>
        <v>#VALUE!</v>
      </c>
      <c r="AC31" s="8" t="e">
        <f t="shared" si="17"/>
        <v>#VALUE!</v>
      </c>
      <c r="AD31" s="10" t="e">
        <f t="shared" si="18"/>
        <v>#VALUE!</v>
      </c>
    </row>
    <row r="32" spans="1:30" x14ac:dyDescent="0.25">
      <c r="A32" s="27">
        <v>43401</v>
      </c>
      <c r="B32" s="7" t="str">
        <f>'[3]Production Summary'!$U306</f>
        <v/>
      </c>
      <c r="C32" s="8" t="e">
        <f t="shared" si="0"/>
        <v>#VALUE!</v>
      </c>
      <c r="D32" s="10" t="e">
        <f t="shared" si="1"/>
        <v>#VALUE!</v>
      </c>
      <c r="E32" s="7" t="str">
        <f>'[3]Production Summary'!$O306</f>
        <v/>
      </c>
      <c r="F32" s="8" t="e">
        <f t="shared" si="2"/>
        <v>#VALUE!</v>
      </c>
      <c r="G32" s="10" t="e">
        <f t="shared" si="3"/>
        <v>#VALUE!</v>
      </c>
      <c r="H32" s="7" t="str">
        <f>'[3]Production Summary'!$Q306</f>
        <v/>
      </c>
      <c r="I32" s="8" t="e">
        <f t="shared" si="4"/>
        <v>#VALUE!</v>
      </c>
      <c r="J32" s="10" t="e">
        <f t="shared" si="5"/>
        <v>#VALUE!</v>
      </c>
      <c r="K32" s="7" t="str">
        <f>'[3]Production Summary'!$T306</f>
        <v/>
      </c>
      <c r="L32" s="8" t="e">
        <f t="shared" si="6"/>
        <v>#VALUE!</v>
      </c>
      <c r="M32" s="10" t="e">
        <f t="shared" si="7"/>
        <v>#VALUE!</v>
      </c>
      <c r="N32" s="57"/>
      <c r="O32" s="7" t="str">
        <f>'[3]Production Summary'!$AL306</f>
        <v/>
      </c>
      <c r="P32" s="8" t="e">
        <f t="shared" si="8"/>
        <v>#VALUE!</v>
      </c>
      <c r="Q32" s="10" t="e">
        <f t="shared" si="9"/>
        <v>#VALUE!</v>
      </c>
      <c r="R32" s="7" t="str">
        <f>'[3]Production Summary'!$AI306</f>
        <v/>
      </c>
      <c r="S32" s="8" t="e">
        <f t="shared" si="10"/>
        <v>#VALUE!</v>
      </c>
      <c r="T32" s="10" t="e">
        <f t="shared" si="11"/>
        <v>#VALUE!</v>
      </c>
      <c r="U32" s="7" t="str">
        <f>'[3]Production Summary'!$AF306</f>
        <v/>
      </c>
      <c r="V32" s="8" t="e">
        <f t="shared" si="12"/>
        <v>#VALUE!</v>
      </c>
      <c r="W32" s="10" t="e">
        <f t="shared" si="13"/>
        <v>#VALUE!</v>
      </c>
      <c r="X32" s="7" t="str">
        <f>'[3]Production Summary'!$AJ306</f>
        <v/>
      </c>
      <c r="Y32" s="8" t="e">
        <f t="shared" si="14"/>
        <v>#VALUE!</v>
      </c>
      <c r="Z32" s="10" t="e">
        <f t="shared" si="15"/>
        <v>#VALUE!</v>
      </c>
      <c r="AA32" s="15"/>
      <c r="AB32" s="7" t="e">
        <f t="shared" si="16"/>
        <v>#VALUE!</v>
      </c>
      <c r="AC32" s="8" t="e">
        <f t="shared" si="17"/>
        <v>#VALUE!</v>
      </c>
      <c r="AD32" s="10" t="e">
        <f t="shared" si="18"/>
        <v>#VALUE!</v>
      </c>
    </row>
    <row r="33" spans="1:31" x14ac:dyDescent="0.25">
      <c r="A33" s="27">
        <v>43402</v>
      </c>
      <c r="B33" s="7" t="str">
        <f>'[3]Production Summary'!$U307</f>
        <v/>
      </c>
      <c r="C33" s="8" t="e">
        <f t="shared" si="0"/>
        <v>#VALUE!</v>
      </c>
      <c r="D33" s="10" t="e">
        <f t="shared" si="1"/>
        <v>#VALUE!</v>
      </c>
      <c r="E33" s="7" t="str">
        <f>'[3]Production Summary'!$O307</f>
        <v/>
      </c>
      <c r="F33" s="8" t="e">
        <f t="shared" si="2"/>
        <v>#VALUE!</v>
      </c>
      <c r="G33" s="10" t="e">
        <f t="shared" si="3"/>
        <v>#VALUE!</v>
      </c>
      <c r="H33" s="7" t="str">
        <f>'[3]Production Summary'!$Q307</f>
        <v/>
      </c>
      <c r="I33" s="8" t="e">
        <f t="shared" si="4"/>
        <v>#VALUE!</v>
      </c>
      <c r="J33" s="10" t="e">
        <f t="shared" si="5"/>
        <v>#VALUE!</v>
      </c>
      <c r="K33" s="7" t="str">
        <f>'[3]Production Summary'!$T307</f>
        <v/>
      </c>
      <c r="L33" s="8" t="e">
        <f t="shared" si="6"/>
        <v>#VALUE!</v>
      </c>
      <c r="M33" s="10" t="e">
        <f t="shared" si="7"/>
        <v>#VALUE!</v>
      </c>
      <c r="N33" s="57"/>
      <c r="O33" s="7" t="str">
        <f>'[3]Production Summary'!$AL307</f>
        <v/>
      </c>
      <c r="P33" s="8" t="e">
        <f t="shared" si="8"/>
        <v>#VALUE!</v>
      </c>
      <c r="Q33" s="10" t="e">
        <f t="shared" si="9"/>
        <v>#VALUE!</v>
      </c>
      <c r="R33" s="7" t="str">
        <f>'[3]Production Summary'!$AI307</f>
        <v/>
      </c>
      <c r="S33" s="8" t="e">
        <f t="shared" si="10"/>
        <v>#VALUE!</v>
      </c>
      <c r="T33" s="10" t="e">
        <f t="shared" si="11"/>
        <v>#VALUE!</v>
      </c>
      <c r="U33" s="7" t="str">
        <f>'[3]Production Summary'!$AF307</f>
        <v/>
      </c>
      <c r="V33" s="8" t="e">
        <f t="shared" si="12"/>
        <v>#VALUE!</v>
      </c>
      <c r="W33" s="10" t="e">
        <f t="shared" si="13"/>
        <v>#VALUE!</v>
      </c>
      <c r="X33" s="7" t="str">
        <f>'[3]Production Summary'!$AJ307</f>
        <v/>
      </c>
      <c r="Y33" s="8" t="e">
        <f t="shared" si="14"/>
        <v>#VALUE!</v>
      </c>
      <c r="Z33" s="10" t="e">
        <f t="shared" si="15"/>
        <v>#VALUE!</v>
      </c>
      <c r="AA33" s="15"/>
      <c r="AB33" s="7" t="e">
        <f t="shared" si="16"/>
        <v>#VALUE!</v>
      </c>
      <c r="AC33" s="8" t="e">
        <f t="shared" si="17"/>
        <v>#VALUE!</v>
      </c>
      <c r="AD33" s="10" t="e">
        <f t="shared" si="18"/>
        <v>#VALUE!</v>
      </c>
    </row>
    <row r="34" spans="1:31" x14ac:dyDescent="0.25">
      <c r="A34" s="27">
        <v>43403</v>
      </c>
      <c r="B34" s="7" t="str">
        <f>'[3]Production Summary'!$U308</f>
        <v/>
      </c>
      <c r="C34" s="8" t="e">
        <f t="shared" si="0"/>
        <v>#VALUE!</v>
      </c>
      <c r="D34" s="10" t="e">
        <f t="shared" si="1"/>
        <v>#VALUE!</v>
      </c>
      <c r="E34" s="7" t="str">
        <f>'[3]Production Summary'!$O308</f>
        <v/>
      </c>
      <c r="F34" s="8" t="e">
        <f t="shared" si="2"/>
        <v>#VALUE!</v>
      </c>
      <c r="G34" s="10" t="e">
        <f t="shared" si="3"/>
        <v>#VALUE!</v>
      </c>
      <c r="H34" s="7" t="str">
        <f>'[3]Production Summary'!$Q308</f>
        <v/>
      </c>
      <c r="I34" s="8" t="e">
        <f t="shared" si="4"/>
        <v>#VALUE!</v>
      </c>
      <c r="J34" s="10" t="e">
        <f t="shared" si="5"/>
        <v>#VALUE!</v>
      </c>
      <c r="K34" s="7" t="str">
        <f>'[3]Production Summary'!$T308</f>
        <v/>
      </c>
      <c r="L34" s="8" t="e">
        <f t="shared" si="6"/>
        <v>#VALUE!</v>
      </c>
      <c r="M34" s="10" t="e">
        <f t="shared" si="7"/>
        <v>#VALUE!</v>
      </c>
      <c r="N34" s="57"/>
      <c r="O34" s="7" t="str">
        <f>'[3]Production Summary'!$AL308</f>
        <v/>
      </c>
      <c r="P34" s="8" t="e">
        <f t="shared" si="8"/>
        <v>#VALUE!</v>
      </c>
      <c r="Q34" s="10" t="e">
        <f t="shared" si="9"/>
        <v>#VALUE!</v>
      </c>
      <c r="R34" s="7" t="str">
        <f>'[3]Production Summary'!$AI308</f>
        <v/>
      </c>
      <c r="S34" s="8" t="e">
        <f t="shared" si="10"/>
        <v>#VALUE!</v>
      </c>
      <c r="T34" s="10" t="e">
        <f t="shared" si="11"/>
        <v>#VALUE!</v>
      </c>
      <c r="U34" s="7" t="str">
        <f>'[3]Production Summary'!$AF308</f>
        <v/>
      </c>
      <c r="V34" s="8" t="e">
        <f t="shared" si="12"/>
        <v>#VALUE!</v>
      </c>
      <c r="W34" s="10" t="e">
        <f t="shared" si="13"/>
        <v>#VALUE!</v>
      </c>
      <c r="X34" s="7" t="str">
        <f>'[3]Production Summary'!$AJ308</f>
        <v/>
      </c>
      <c r="Y34" s="8" t="e">
        <f t="shared" si="14"/>
        <v>#VALUE!</v>
      </c>
      <c r="Z34" s="10" t="e">
        <f t="shared" si="15"/>
        <v>#VALUE!</v>
      </c>
      <c r="AA34" s="15"/>
      <c r="AB34" s="7" t="e">
        <f t="shared" si="16"/>
        <v>#VALUE!</v>
      </c>
      <c r="AC34" s="8" t="e">
        <f t="shared" si="17"/>
        <v>#VALUE!</v>
      </c>
      <c r="AD34" s="10" t="e">
        <f t="shared" si="18"/>
        <v>#VALUE!</v>
      </c>
    </row>
    <row r="35" spans="1:31" ht="13.8" thickBot="1" x14ac:dyDescent="0.3">
      <c r="A35" s="27">
        <v>43404</v>
      </c>
      <c r="B35" s="7" t="str">
        <f>'[3]Production Summary'!$U309</f>
        <v/>
      </c>
      <c r="C35" s="8" t="e">
        <f t="shared" si="0"/>
        <v>#VALUE!</v>
      </c>
      <c r="D35" s="10" t="e">
        <f t="shared" si="1"/>
        <v>#VALUE!</v>
      </c>
      <c r="E35" s="7" t="str">
        <f>'[3]Production Summary'!$O309</f>
        <v/>
      </c>
      <c r="F35" s="8" t="e">
        <f t="shared" si="2"/>
        <v>#VALUE!</v>
      </c>
      <c r="G35" s="10" t="e">
        <f t="shared" si="3"/>
        <v>#VALUE!</v>
      </c>
      <c r="H35" s="7" t="str">
        <f>'[3]Production Summary'!$Q309</f>
        <v/>
      </c>
      <c r="I35" s="8" t="e">
        <f t="shared" si="4"/>
        <v>#VALUE!</v>
      </c>
      <c r="J35" s="10" t="e">
        <f t="shared" si="5"/>
        <v>#VALUE!</v>
      </c>
      <c r="K35" s="7" t="str">
        <f>'[3]Production Summary'!$T309</f>
        <v/>
      </c>
      <c r="L35" s="8" t="e">
        <f t="shared" si="6"/>
        <v>#VALUE!</v>
      </c>
      <c r="M35" s="10" t="e">
        <f t="shared" si="7"/>
        <v>#VALUE!</v>
      </c>
      <c r="N35" s="57"/>
      <c r="O35" s="7" t="str">
        <f>'[3]Production Summary'!$AL309</f>
        <v/>
      </c>
      <c r="P35" s="8" t="e">
        <f t="shared" si="8"/>
        <v>#VALUE!</v>
      </c>
      <c r="Q35" s="10" t="e">
        <f t="shared" si="9"/>
        <v>#VALUE!</v>
      </c>
      <c r="R35" s="7" t="str">
        <f>'[3]Production Summary'!$AI309</f>
        <v/>
      </c>
      <c r="S35" s="8" t="e">
        <f t="shared" si="10"/>
        <v>#VALUE!</v>
      </c>
      <c r="T35" s="10" t="e">
        <f t="shared" si="11"/>
        <v>#VALUE!</v>
      </c>
      <c r="U35" s="7" t="str">
        <f>'[3]Production Summary'!$AF309</f>
        <v/>
      </c>
      <c r="V35" s="8" t="e">
        <f t="shared" si="12"/>
        <v>#VALUE!</v>
      </c>
      <c r="W35" s="10" t="e">
        <f t="shared" si="13"/>
        <v>#VALUE!</v>
      </c>
      <c r="X35" s="7" t="str">
        <f>'[3]Production Summary'!$AJ309</f>
        <v/>
      </c>
      <c r="Y35" s="8" t="e">
        <f t="shared" si="14"/>
        <v>#VALUE!</v>
      </c>
      <c r="Z35" s="10" t="e">
        <f t="shared" si="15"/>
        <v>#VALUE!</v>
      </c>
      <c r="AA35" s="15"/>
      <c r="AB35" s="7" t="e">
        <f t="shared" si="16"/>
        <v>#VALUE!</v>
      </c>
      <c r="AC35" s="8" t="e">
        <f t="shared" si="17"/>
        <v>#VALUE!</v>
      </c>
      <c r="AD35" s="10" t="e">
        <f t="shared" si="18"/>
        <v>#VALUE!</v>
      </c>
    </row>
    <row r="36" spans="1:31" ht="13.8" thickBot="1" x14ac:dyDescent="0.3">
      <c r="A36" s="14"/>
      <c r="B36" s="38"/>
      <c r="C36" s="38" t="e">
        <f>SUM(C5:C35)</f>
        <v>#VALUE!</v>
      </c>
      <c r="D36" s="38" t="e">
        <f>SUM(D5:D35)</f>
        <v>#VALUE!</v>
      </c>
      <c r="E36" s="37"/>
      <c r="F36" s="38" t="e">
        <f>SUM(F5:F35)</f>
        <v>#VALUE!</v>
      </c>
      <c r="G36" s="38" t="e">
        <f>SUM(G5:G35)</f>
        <v>#VALUE!</v>
      </c>
      <c r="H36" s="37"/>
      <c r="I36" s="38" t="e">
        <f>SUM(I5:I35)</f>
        <v>#VALUE!</v>
      </c>
      <c r="J36" s="38" t="e">
        <f>SUM(J5:J35)</f>
        <v>#VALUE!</v>
      </c>
      <c r="K36" s="37"/>
      <c r="L36" s="38" t="e">
        <f>SUM(L5:L35)</f>
        <v>#VALUE!</v>
      </c>
      <c r="M36" s="38" t="e">
        <f>SUM(M5:M35)</f>
        <v>#VALUE!</v>
      </c>
      <c r="N36" s="14"/>
      <c r="O36" s="37"/>
      <c r="P36" s="38" t="e">
        <f>SUM(P5:P35)</f>
        <v>#VALUE!</v>
      </c>
      <c r="Q36" s="38" t="e">
        <f>SUM(Q5:Q35)</f>
        <v>#VALUE!</v>
      </c>
      <c r="R36" s="38"/>
      <c r="S36" s="38"/>
      <c r="T36" s="38"/>
      <c r="U36" s="37"/>
      <c r="V36" s="38" t="e">
        <f>SUM(V5:V35)</f>
        <v>#VALUE!</v>
      </c>
      <c r="W36" s="38" t="e">
        <f>SUM(W5:W35)</f>
        <v>#VALUE!</v>
      </c>
      <c r="X36" s="38"/>
      <c r="Y36" s="38"/>
      <c r="Z36" s="38"/>
      <c r="AA36" s="14"/>
      <c r="AB36" s="37"/>
      <c r="AC36" s="38" t="e">
        <f>SUM(AC5:AC35)</f>
        <v>#VALUE!</v>
      </c>
      <c r="AD36" s="38" t="e">
        <f>SUM(AD5:AD35)</f>
        <v>#VALUE!</v>
      </c>
    </row>
    <row r="37" spans="1:31" x14ac:dyDescent="0.25">
      <c r="A37" s="3"/>
      <c r="B37" s="3"/>
      <c r="C37" s="24"/>
      <c r="D37" s="3"/>
      <c r="E37" s="3"/>
      <c r="F37" s="3"/>
      <c r="G37" s="3"/>
      <c r="H37" s="3"/>
      <c r="I37" s="3"/>
      <c r="J37" s="3"/>
      <c r="K37" s="14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</row>
    <row r="39" spans="1:31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</row>
    <row r="40" spans="1:31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</row>
    <row r="41" spans="1:31" x14ac:dyDescent="0.25">
      <c r="A41" s="20"/>
      <c r="B41" s="74"/>
      <c r="C41" s="74"/>
      <c r="D41" s="74"/>
      <c r="E41" s="74"/>
      <c r="F41" s="74"/>
      <c r="G41" s="74"/>
      <c r="H41" s="74"/>
      <c r="I41" s="74"/>
      <c r="J41" s="74"/>
      <c r="K41" s="74"/>
      <c r="L41" s="74"/>
      <c r="M41" s="74"/>
      <c r="N41" s="19"/>
      <c r="O41" s="75"/>
      <c r="P41" s="74"/>
      <c r="Q41" s="74"/>
      <c r="R41" s="74"/>
      <c r="S41" s="74"/>
      <c r="T41" s="74"/>
      <c r="U41" s="74"/>
      <c r="V41" s="74"/>
      <c r="W41" s="74"/>
      <c r="X41" s="74"/>
      <c r="Y41" s="74"/>
      <c r="Z41" s="74"/>
      <c r="AA41" s="20"/>
      <c r="AB41" s="20"/>
      <c r="AC41" s="20"/>
      <c r="AD41" s="20"/>
      <c r="AE41" s="20"/>
    </row>
    <row r="42" spans="1:31" x14ac:dyDescent="0.25">
      <c r="A42" s="20"/>
      <c r="B42" s="13"/>
      <c r="C42" s="15"/>
      <c r="D42" s="15"/>
      <c r="E42" s="13"/>
      <c r="F42" s="15"/>
      <c r="G42" s="15"/>
      <c r="H42" s="13"/>
      <c r="I42" s="13"/>
      <c r="J42" s="15"/>
      <c r="K42" s="15"/>
      <c r="L42" s="13"/>
      <c r="M42" s="15"/>
      <c r="N42" s="15"/>
      <c r="O42" s="13"/>
      <c r="P42" s="15"/>
      <c r="Q42" s="15"/>
      <c r="R42" s="13"/>
      <c r="S42" s="15"/>
      <c r="T42" s="15"/>
      <c r="U42" s="13"/>
      <c r="V42" s="15"/>
      <c r="W42" s="15"/>
      <c r="X42" s="13"/>
      <c r="Y42" s="15"/>
      <c r="Z42" s="15"/>
      <c r="AA42" s="15"/>
      <c r="AB42" s="13"/>
      <c r="AC42" s="15"/>
      <c r="AD42" s="15"/>
      <c r="AE42" s="20"/>
    </row>
    <row r="43" spans="1:31" x14ac:dyDescent="0.25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</row>
    <row r="44" spans="1:31" x14ac:dyDescent="0.25"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</row>
    <row r="45" spans="1:31" x14ac:dyDescent="0.25"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</row>
  </sheetData>
  <mergeCells count="17">
    <mergeCell ref="AB3:AD3"/>
    <mergeCell ref="U3:W3"/>
    <mergeCell ref="B3:D3"/>
    <mergeCell ref="E3:G3"/>
    <mergeCell ref="H3:J3"/>
    <mergeCell ref="O3:Q3"/>
    <mergeCell ref="K3:M3"/>
    <mergeCell ref="R3:T3"/>
    <mergeCell ref="X3:Z3"/>
    <mergeCell ref="R41:T41"/>
    <mergeCell ref="U41:W41"/>
    <mergeCell ref="X41:Z41"/>
    <mergeCell ref="B41:D41"/>
    <mergeCell ref="E41:G41"/>
    <mergeCell ref="H41:J41"/>
    <mergeCell ref="K41:M41"/>
    <mergeCell ref="O41:Q41"/>
  </mergeCells>
  <phoneticPr fontId="1" type="noConversion"/>
  <pageMargins left="0.75" right="0.75" top="1" bottom="1" header="0.5" footer="0.5"/>
  <pageSetup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18"/>
  <sheetViews>
    <sheetView workbookViewId="0">
      <selection activeCell="C8" sqref="C8"/>
    </sheetView>
  </sheetViews>
  <sheetFormatPr defaultColWidth="9.33203125" defaultRowHeight="13.2" x14ac:dyDescent="0.25"/>
  <cols>
    <col min="1" max="1" width="9.33203125" style="49"/>
    <col min="2" max="2" width="16" style="49" bestFit="1" customWidth="1"/>
    <col min="3" max="3" width="16.33203125" style="49" bestFit="1" customWidth="1"/>
    <col min="4" max="4" width="16.6640625" style="49" bestFit="1" customWidth="1"/>
    <col min="5" max="5" width="15.6640625" style="49" bestFit="1" customWidth="1"/>
    <col min="6" max="6" width="13.6640625" style="49" bestFit="1" customWidth="1"/>
    <col min="7" max="7" width="21.6640625" style="49" bestFit="1" customWidth="1"/>
    <col min="8" max="8" width="14.33203125" style="49" bestFit="1" customWidth="1"/>
    <col min="9" max="9" width="13.5546875" style="49" bestFit="1" customWidth="1"/>
    <col min="10" max="16384" width="9.33203125" style="49"/>
  </cols>
  <sheetData>
    <row r="1" spans="1:11" s="42" customFormat="1" x14ac:dyDescent="0.25">
      <c r="B1" s="43" t="s">
        <v>9</v>
      </c>
      <c r="C1" s="43" t="s">
        <v>10</v>
      </c>
      <c r="D1" s="43" t="s">
        <v>11</v>
      </c>
      <c r="E1" s="43" t="s">
        <v>12</v>
      </c>
      <c r="F1" s="43" t="s">
        <v>4</v>
      </c>
      <c r="G1" s="43" t="s">
        <v>3</v>
      </c>
      <c r="H1" s="43" t="s">
        <v>5</v>
      </c>
      <c r="I1" s="43" t="s">
        <v>6</v>
      </c>
      <c r="J1" s="43"/>
      <c r="K1" s="43"/>
    </row>
    <row r="2" spans="1:11" s="44" customFormat="1" x14ac:dyDescent="0.25">
      <c r="B2" s="45" t="s">
        <v>2</v>
      </c>
      <c r="C2" s="45" t="s">
        <v>2</v>
      </c>
      <c r="D2" s="45" t="s">
        <v>2</v>
      </c>
      <c r="E2" s="45" t="s">
        <v>2</v>
      </c>
      <c r="F2" s="45" t="s">
        <v>2</v>
      </c>
      <c r="G2" s="45" t="s">
        <v>2</v>
      </c>
      <c r="H2" s="45" t="s">
        <v>2</v>
      </c>
      <c r="I2" s="45" t="s">
        <v>2</v>
      </c>
      <c r="J2" s="46"/>
      <c r="K2" s="46"/>
    </row>
    <row r="3" spans="1:11" x14ac:dyDescent="0.25">
      <c r="A3" s="47">
        <v>43770</v>
      </c>
      <c r="B3" s="48">
        <f>November!D35</f>
        <v>543.17510000000004</v>
      </c>
      <c r="C3" s="48">
        <f>November!G35</f>
        <v>392.96</v>
      </c>
      <c r="D3" s="48">
        <f>November!J35</f>
        <v>233.10509999999999</v>
      </c>
      <c r="E3" s="48">
        <f>November!M35</f>
        <v>5.2232691419999986</v>
      </c>
      <c r="F3" s="48">
        <f>November!Q35</f>
        <v>600.38956024000004</v>
      </c>
      <c r="G3" s="48">
        <f>November!T35</f>
        <v>95.614704849999995</v>
      </c>
      <c r="H3" s="48">
        <f>November!W35</f>
        <v>544.88749995000001</v>
      </c>
      <c r="I3" s="48">
        <f>November!Z35</f>
        <v>11.776731829999997</v>
      </c>
    </row>
    <row r="4" spans="1:11" x14ac:dyDescent="0.25">
      <c r="A4" s="47">
        <v>43800</v>
      </c>
      <c r="B4" s="48">
        <f>December!D36</f>
        <v>0</v>
      </c>
      <c r="C4" s="48">
        <f>December!G36</f>
        <v>0</v>
      </c>
      <c r="D4" s="48">
        <f>December!J36</f>
        <v>0</v>
      </c>
      <c r="E4" s="48">
        <f>December!M36</f>
        <v>2.9268459</v>
      </c>
      <c r="F4" s="48">
        <f>December!Q36</f>
        <v>1151.7820550483332</v>
      </c>
      <c r="G4" s="48">
        <f>December!T36</f>
        <v>445.66169838999997</v>
      </c>
      <c r="H4" s="48">
        <f>December!W36</f>
        <v>682.5970163500001</v>
      </c>
      <c r="I4" s="48">
        <f>December!Z36</f>
        <v>13.565626969999999</v>
      </c>
    </row>
    <row r="5" spans="1:11" x14ac:dyDescent="0.25">
      <c r="A5" s="47">
        <v>43831</v>
      </c>
      <c r="B5" s="48">
        <f>January!D36</f>
        <v>0</v>
      </c>
      <c r="C5" s="48">
        <f>January!G36</f>
        <v>0</v>
      </c>
      <c r="D5" s="48">
        <f>January!J36</f>
        <v>3.0699999999999998E-2</v>
      </c>
      <c r="E5" s="48">
        <f>January!M36</f>
        <v>0</v>
      </c>
      <c r="F5" s="48">
        <f>January!Q36</f>
        <v>1106.3724053699998</v>
      </c>
      <c r="G5" s="48">
        <f>January!T36</f>
        <v>546.32709969999996</v>
      </c>
      <c r="H5" s="48">
        <f>January!W36</f>
        <v>620.20125570999994</v>
      </c>
      <c r="I5" s="48">
        <f>January!Z36</f>
        <v>15.148500549999996</v>
      </c>
    </row>
    <row r="6" spans="1:11" x14ac:dyDescent="0.25">
      <c r="A6" s="47">
        <v>43862</v>
      </c>
      <c r="B6" s="48">
        <f>February!D34</f>
        <v>0</v>
      </c>
      <c r="C6" s="48">
        <f>February!G34</f>
        <v>0</v>
      </c>
      <c r="D6" s="48">
        <f>February!J34</f>
        <v>3.0699999999999998E-2</v>
      </c>
      <c r="E6" s="48">
        <f>February!M34</f>
        <v>0</v>
      </c>
      <c r="F6" s="48">
        <f>February!Q34</f>
        <v>1046.8850614199998</v>
      </c>
      <c r="G6" s="48">
        <f>February!T34</f>
        <v>531.77153280999983</v>
      </c>
      <c r="H6" s="48">
        <f>February!W34</f>
        <v>528.96942101000002</v>
      </c>
      <c r="I6" s="48">
        <f>February!Z34</f>
        <v>13.222471579999999</v>
      </c>
    </row>
    <row r="7" spans="1:11" x14ac:dyDescent="0.25">
      <c r="A7" s="47">
        <v>43891</v>
      </c>
      <c r="B7" s="48">
        <f>March!D36</f>
        <v>0</v>
      </c>
      <c r="C7" s="48">
        <f>March!G36</f>
        <v>3.07</v>
      </c>
      <c r="D7" s="48">
        <f>March!J36</f>
        <v>71.623099999999994</v>
      </c>
      <c r="E7" s="48">
        <f>March!M36</f>
        <v>6.6965480199999998</v>
      </c>
      <c r="F7" s="48">
        <f>March!Q36</f>
        <v>1124.9622807499998</v>
      </c>
      <c r="G7" s="48">
        <f>March!T36</f>
        <v>567.96510132999992</v>
      </c>
      <c r="H7" s="48">
        <f>March!W36</f>
        <v>567.5353289599999</v>
      </c>
      <c r="I7" s="48">
        <f>March!Z36</f>
        <v>20.335670789999998</v>
      </c>
    </row>
    <row r="8" spans="1:11" x14ac:dyDescent="0.25">
      <c r="A8" s="47">
        <v>43922</v>
      </c>
      <c r="B8" s="48">
        <f>April!D35</f>
        <v>620.10930000000008</v>
      </c>
      <c r="C8" s="48">
        <f>April!G35</f>
        <v>0</v>
      </c>
      <c r="D8" s="48">
        <f>April!J35</f>
        <v>657.62469999999996</v>
      </c>
      <c r="E8" s="48">
        <f>April!M35</f>
        <v>57.854641200000003</v>
      </c>
      <c r="F8" s="48">
        <f>April!Q35</f>
        <v>617.38446624000005</v>
      </c>
      <c r="G8" s="48">
        <f>April!T35</f>
        <v>274.03913226999998</v>
      </c>
      <c r="H8" s="48">
        <f>April!W35</f>
        <v>307.04482813999994</v>
      </c>
      <c r="I8" s="48">
        <f>April!Z35</f>
        <v>12.378239999999996</v>
      </c>
    </row>
    <row r="9" spans="1:11" x14ac:dyDescent="0.25">
      <c r="A9" s="47">
        <v>43952</v>
      </c>
      <c r="B9" s="48">
        <f>May!D36</f>
        <v>1106.6428999999996</v>
      </c>
      <c r="C9" s="48">
        <f>May!G36</f>
        <v>236.39</v>
      </c>
      <c r="D9" s="48">
        <f>May!J36</f>
        <v>943.90219999999988</v>
      </c>
      <c r="E9" s="48">
        <f>May!M36</f>
        <v>62.761634030000003</v>
      </c>
      <c r="F9" s="48">
        <f>May!Q36</f>
        <v>503.09392601000002</v>
      </c>
      <c r="G9" s="48">
        <f>May!T36</f>
        <v>400.58390291999996</v>
      </c>
      <c r="H9" s="48">
        <f>May!W36</f>
        <v>86.264700569999988</v>
      </c>
      <c r="I9" s="48">
        <f>May!Z36</f>
        <v>10.275283859999998</v>
      </c>
    </row>
    <row r="10" spans="1:11" x14ac:dyDescent="0.25">
      <c r="A10" s="47">
        <v>43983</v>
      </c>
      <c r="B10" s="48" t="e">
        <f>June!D35</f>
        <v>#VALUE!</v>
      </c>
      <c r="C10" s="48" t="e">
        <f>June!G35</f>
        <v>#VALUE!</v>
      </c>
      <c r="D10" s="48" t="e">
        <f>June!J35</f>
        <v>#VALUE!</v>
      </c>
      <c r="E10" s="48" t="e">
        <f>June!M35</f>
        <v>#VALUE!</v>
      </c>
      <c r="F10" s="48" t="e">
        <f>June!Q35</f>
        <v>#VALUE!</v>
      </c>
      <c r="G10" s="48" t="e">
        <f>June!T35</f>
        <v>#VALUE!</v>
      </c>
      <c r="H10" s="48" t="e">
        <f>June!W35</f>
        <v>#VALUE!</v>
      </c>
      <c r="I10" s="48" t="e">
        <f>June!Z35</f>
        <v>#VALUE!</v>
      </c>
    </row>
    <row r="11" spans="1:11" x14ac:dyDescent="0.25">
      <c r="A11" s="47">
        <v>44013</v>
      </c>
      <c r="B11" s="48" t="e">
        <f>July!D36</f>
        <v>#VALUE!</v>
      </c>
      <c r="C11" s="48" t="e">
        <f>June!G35</f>
        <v>#VALUE!</v>
      </c>
      <c r="D11" s="48" t="e">
        <f>July!J36</f>
        <v>#VALUE!</v>
      </c>
      <c r="E11" s="48" t="e">
        <f>July!M36</f>
        <v>#VALUE!</v>
      </c>
      <c r="F11" s="48" t="e">
        <f>July!Q36</f>
        <v>#VALUE!</v>
      </c>
      <c r="G11" s="48" t="e">
        <f>July!T36</f>
        <v>#VALUE!</v>
      </c>
      <c r="H11" s="48" t="e">
        <f>July!W36</f>
        <v>#VALUE!</v>
      </c>
      <c r="I11" s="48" t="e">
        <f>July!Z36</f>
        <v>#VALUE!</v>
      </c>
    </row>
    <row r="12" spans="1:11" x14ac:dyDescent="0.25">
      <c r="A12" s="47">
        <v>44044</v>
      </c>
      <c r="B12" s="48" t="e">
        <f>August!D36</f>
        <v>#VALUE!</v>
      </c>
      <c r="C12" s="48" t="e">
        <f>August!G36</f>
        <v>#VALUE!</v>
      </c>
      <c r="D12" s="48" t="e">
        <f>August!J36</f>
        <v>#VALUE!</v>
      </c>
      <c r="E12" s="48" t="e">
        <f>August!M36</f>
        <v>#VALUE!</v>
      </c>
      <c r="F12" s="48" t="e">
        <f>August!Q36</f>
        <v>#VALUE!</v>
      </c>
      <c r="G12" s="48" t="e">
        <f>August!T36</f>
        <v>#VALUE!</v>
      </c>
      <c r="H12" s="48" t="e">
        <f>August!W36</f>
        <v>#VALUE!</v>
      </c>
      <c r="I12" s="48" t="e">
        <f>August!Z36</f>
        <v>#VALUE!</v>
      </c>
    </row>
    <row r="13" spans="1:11" x14ac:dyDescent="0.25">
      <c r="A13" s="47">
        <v>44075</v>
      </c>
      <c r="B13" s="48" t="e">
        <f>September!D35</f>
        <v>#VALUE!</v>
      </c>
      <c r="C13" s="48" t="e">
        <f>September!G35</f>
        <v>#VALUE!</v>
      </c>
      <c r="D13" s="48" t="e">
        <f>September!J35</f>
        <v>#VALUE!</v>
      </c>
      <c r="E13" s="48" t="e">
        <f>September!M35</f>
        <v>#VALUE!</v>
      </c>
      <c r="F13" s="48" t="e">
        <f>September!#REF!</f>
        <v>#REF!</v>
      </c>
      <c r="G13" s="48" t="e">
        <f>September!T35</f>
        <v>#VALUE!</v>
      </c>
      <c r="H13" s="48" t="e">
        <f>September!#REF!</f>
        <v>#REF!</v>
      </c>
      <c r="I13" s="48" t="e">
        <f>September!#REF!</f>
        <v>#REF!</v>
      </c>
    </row>
    <row r="14" spans="1:11" x14ac:dyDescent="0.25">
      <c r="A14" s="47">
        <v>44105</v>
      </c>
      <c r="B14" s="48" t="e">
        <f>October!D36</f>
        <v>#VALUE!</v>
      </c>
      <c r="C14" s="48" t="e">
        <f>October!G36</f>
        <v>#VALUE!</v>
      </c>
      <c r="D14" s="48" t="e">
        <f>October!J36</f>
        <v>#VALUE!</v>
      </c>
      <c r="E14" s="48" t="e">
        <f>October!M36</f>
        <v>#VALUE!</v>
      </c>
      <c r="F14" s="48" t="e">
        <f>October!Q36</f>
        <v>#VALUE!</v>
      </c>
      <c r="G14" s="48" t="e">
        <f>October!W36</f>
        <v>#VALUE!</v>
      </c>
      <c r="H14" s="48" t="e">
        <f>October!#REF!</f>
        <v>#REF!</v>
      </c>
      <c r="I14" s="48" t="e">
        <f>October!#REF!</f>
        <v>#REF!</v>
      </c>
    </row>
    <row r="15" spans="1:11" x14ac:dyDescent="0.25">
      <c r="A15" s="47">
        <v>44136</v>
      </c>
      <c r="B15" s="48"/>
      <c r="C15" s="48"/>
      <c r="D15" s="48"/>
      <c r="E15" s="48"/>
      <c r="F15" s="48"/>
      <c r="G15" s="48"/>
      <c r="H15" s="48"/>
      <c r="I15" s="48"/>
    </row>
    <row r="16" spans="1:11" ht="14.25" customHeight="1" x14ac:dyDescent="0.25">
      <c r="A16" s="47">
        <v>44166</v>
      </c>
      <c r="B16" s="48"/>
      <c r="C16" s="48"/>
      <c r="D16" s="48"/>
      <c r="E16" s="48"/>
      <c r="F16" s="48"/>
      <c r="G16" s="48"/>
      <c r="H16" s="48"/>
      <c r="I16" s="48"/>
    </row>
    <row r="17" spans="1:9" s="52" customFormat="1" x14ac:dyDescent="0.25">
      <c r="A17" s="52" t="s">
        <v>16</v>
      </c>
      <c r="B17" s="53" t="e">
        <f>SUM(B3:B14)</f>
        <v>#VALUE!</v>
      </c>
      <c r="C17" s="53" t="e">
        <f t="shared" ref="C17:I17" si="0">SUM(C3:C14)</f>
        <v>#VALUE!</v>
      </c>
      <c r="D17" s="53" t="e">
        <f t="shared" si="0"/>
        <v>#VALUE!</v>
      </c>
      <c r="E17" s="53" t="e">
        <f t="shared" si="0"/>
        <v>#VALUE!</v>
      </c>
      <c r="F17" s="53" t="e">
        <f t="shared" si="0"/>
        <v>#VALUE!</v>
      </c>
      <c r="G17" s="53" t="e">
        <f t="shared" si="0"/>
        <v>#VALUE!</v>
      </c>
      <c r="H17" s="53" t="e">
        <f t="shared" si="0"/>
        <v>#VALUE!</v>
      </c>
      <c r="I17" s="53" t="e">
        <f t="shared" si="0"/>
        <v>#VALUE!</v>
      </c>
    </row>
    <row r="18" spans="1:9" s="52" customFormat="1" x14ac:dyDescent="0.25">
      <c r="A18" s="52" t="s">
        <v>17</v>
      </c>
      <c r="B18" s="53" t="e">
        <f>SUM(B5:B16)</f>
        <v>#VALUE!</v>
      </c>
      <c r="C18" s="53" t="e">
        <f t="shared" ref="C18:I18" si="1">SUM(C5:C16)</f>
        <v>#VALUE!</v>
      </c>
      <c r="D18" s="53" t="e">
        <f t="shared" si="1"/>
        <v>#VALUE!</v>
      </c>
      <c r="E18" s="53" t="e">
        <f t="shared" si="1"/>
        <v>#VALUE!</v>
      </c>
      <c r="F18" s="53" t="e">
        <f t="shared" si="1"/>
        <v>#VALUE!</v>
      </c>
      <c r="G18" s="53" t="e">
        <f t="shared" si="1"/>
        <v>#VALUE!</v>
      </c>
      <c r="H18" s="53" t="e">
        <f t="shared" si="1"/>
        <v>#VALUE!</v>
      </c>
      <c r="I18" s="53" t="e">
        <f t="shared" si="1"/>
        <v>#VALUE!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12</vt:i4>
      </vt:variant>
    </vt:vector>
  </HeadingPairs>
  <TitlesOfParts>
    <vt:vector size="25" baseType="lpstr">
      <vt:lpstr>November</vt:lpstr>
      <vt:lpstr>December</vt:lpstr>
      <vt:lpstr>January</vt:lpstr>
      <vt:lpstr>February</vt:lpstr>
      <vt:lpstr>March</vt:lpstr>
      <vt:lpstr>April</vt:lpstr>
      <vt:lpstr>May</vt:lpstr>
      <vt:lpstr>June</vt:lpstr>
      <vt:lpstr>July</vt:lpstr>
      <vt:lpstr>August</vt:lpstr>
      <vt:lpstr>September</vt:lpstr>
      <vt:lpstr>October</vt:lpstr>
      <vt:lpstr>Summary</vt:lpstr>
      <vt:lpstr>February!Print_Area</vt:lpstr>
      <vt:lpstr>May!Print_Area</vt:lpstr>
      <vt:lpstr>November!Print_Area</vt:lpstr>
      <vt:lpstr>April!Print_Titles</vt:lpstr>
      <vt:lpstr>August!Print_Titles</vt:lpstr>
      <vt:lpstr>February!Print_Titles</vt:lpstr>
      <vt:lpstr>January!Print_Titles</vt:lpstr>
      <vt:lpstr>July!Print_Titles</vt:lpstr>
      <vt:lpstr>June!Print_Titles</vt:lpstr>
      <vt:lpstr>March!Print_Titles</vt:lpstr>
      <vt:lpstr>May!Print_Titles</vt:lpstr>
      <vt:lpstr>September!Print_Titles</vt:lpstr>
    </vt:vector>
  </TitlesOfParts>
  <Company>City of Thornton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mpacheco</dc:creator>
  <cp:lastModifiedBy>Dave Diedrich</cp:lastModifiedBy>
  <cp:lastPrinted>2017-06-20T17:00:43Z</cp:lastPrinted>
  <dcterms:created xsi:type="dcterms:W3CDTF">2004-01-27T20:05:57Z</dcterms:created>
  <dcterms:modified xsi:type="dcterms:W3CDTF">2021-06-01T14:11:02Z</dcterms:modified>
</cp:coreProperties>
</file>