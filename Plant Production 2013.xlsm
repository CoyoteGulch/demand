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9.xml" ContentType="application/vnd.openxmlformats-officedocument.spreadsheetml.externalLink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comments1.xml" ContentType="application/vnd.openxmlformats-officedocument.spreadsheetml.comments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0.xml" ContentType="application/vnd.openxmlformats-officedocument.spreadsheetml.externalLink+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8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945" yWindow="-30" windowWidth="11340" windowHeight="6795" tabRatio="706" activeTab="11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0" r:id="rId9"/>
    <sheet name="August" sheetId="11" r:id="rId10"/>
    <sheet name="September" sheetId="12" r:id="rId11"/>
    <sheet name="October" sheetId="5" r:id="rId12"/>
    <sheet name="Sheet2" sheetId="16" r:id="rId13"/>
    <sheet name="Summary" sheetId="15" r:id="rId14"/>
  </sheets>
  <externalReferences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_xlnm._FilterDatabase" localSheetId="10" hidden="1">September!$AC$1:$AC$38</definedName>
    <definedName name="_xlnm.Print_Area" localSheetId="3">February!$A$1:$M$34</definedName>
    <definedName name="_xlnm.Print_Area" localSheetId="6">May!$A$1:$Z$36</definedName>
    <definedName name="_xlnm.Print_Area" localSheetId="0">November!$O$1:$AD$36</definedName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45621"/>
</workbook>
</file>

<file path=xl/calcChain.xml><?xml version="1.0" encoding="utf-8"?>
<calcChain xmlns="http://schemas.openxmlformats.org/spreadsheetml/2006/main">
  <c r="D8" i="16" l="1"/>
  <c r="B8" i="16"/>
  <c r="M17" i="15"/>
  <c r="M18" i="15"/>
  <c r="K17" i="15"/>
  <c r="L17" i="15"/>
  <c r="K18" i="15"/>
  <c r="L18" i="15"/>
  <c r="K24" i="4" l="1"/>
  <c r="L24" i="4" s="1"/>
  <c r="M24" i="4" s="1"/>
  <c r="K25" i="4"/>
  <c r="L25" i="4"/>
  <c r="M25" i="4" s="1"/>
  <c r="K26" i="4"/>
  <c r="L26" i="4" s="1"/>
  <c r="M26" i="4" s="1"/>
  <c r="K27" i="4"/>
  <c r="L27" i="4" s="1"/>
  <c r="M27" i="4" s="1"/>
  <c r="K28" i="4"/>
  <c r="L28" i="4" s="1"/>
  <c r="M28" i="4" s="1"/>
  <c r="K14" i="4"/>
  <c r="L14" i="4" s="1"/>
  <c r="M14" i="4" s="1"/>
  <c r="K15" i="4"/>
  <c r="L15" i="4" s="1"/>
  <c r="M15" i="4" s="1"/>
  <c r="K16" i="4"/>
  <c r="L16" i="4" s="1"/>
  <c r="M16" i="4" s="1"/>
  <c r="K17" i="4"/>
  <c r="L17" i="4"/>
  <c r="M17" i="4" s="1"/>
  <c r="L18" i="4"/>
  <c r="M18" i="4" s="1"/>
  <c r="K19" i="4"/>
  <c r="L19" i="4" s="1"/>
  <c r="M19" i="4" s="1"/>
  <c r="K20" i="4"/>
  <c r="L20" i="4" s="1"/>
  <c r="M20" i="4" s="1"/>
  <c r="K21" i="4"/>
  <c r="L21" i="4" s="1"/>
  <c r="M21" i="4" s="1"/>
  <c r="K22" i="4"/>
  <c r="L22" i="4" s="1"/>
  <c r="M22" i="4" s="1"/>
  <c r="K23" i="4"/>
  <c r="L23" i="4" s="1"/>
  <c r="M23" i="4" s="1"/>
  <c r="X35" i="5" l="1"/>
  <c r="U35" i="5"/>
  <c r="R35" i="5"/>
  <c r="O35" i="5"/>
  <c r="K35" i="5"/>
  <c r="H35" i="5"/>
  <c r="E35" i="5"/>
  <c r="B35" i="5"/>
  <c r="X34" i="5"/>
  <c r="U34" i="5"/>
  <c r="R34" i="5"/>
  <c r="O34" i="5"/>
  <c r="K34" i="5"/>
  <c r="H34" i="5"/>
  <c r="E34" i="5"/>
  <c r="B34" i="5"/>
  <c r="X33" i="5"/>
  <c r="U33" i="5"/>
  <c r="R33" i="5"/>
  <c r="O33" i="5"/>
  <c r="K33" i="5"/>
  <c r="H33" i="5"/>
  <c r="E33" i="5"/>
  <c r="B33" i="5"/>
  <c r="X32" i="5"/>
  <c r="U32" i="5"/>
  <c r="R32" i="5"/>
  <c r="O32" i="5"/>
  <c r="K32" i="5"/>
  <c r="H32" i="5"/>
  <c r="E32" i="5"/>
  <c r="B32" i="5"/>
  <c r="X31" i="5"/>
  <c r="U31" i="5"/>
  <c r="R31" i="5"/>
  <c r="O31" i="5"/>
  <c r="K31" i="5"/>
  <c r="H31" i="5"/>
  <c r="E31" i="5"/>
  <c r="B31" i="5"/>
  <c r="X30" i="5"/>
  <c r="U30" i="5"/>
  <c r="R30" i="5"/>
  <c r="O30" i="5"/>
  <c r="K30" i="5"/>
  <c r="H30" i="5"/>
  <c r="E30" i="5"/>
  <c r="B30" i="5"/>
  <c r="X29" i="5"/>
  <c r="U29" i="5"/>
  <c r="R29" i="5"/>
  <c r="O29" i="5"/>
  <c r="K29" i="5"/>
  <c r="H29" i="5"/>
  <c r="E29" i="5"/>
  <c r="B29" i="5"/>
  <c r="X28" i="5"/>
  <c r="U28" i="5"/>
  <c r="R28" i="5"/>
  <c r="O28" i="5"/>
  <c r="K28" i="5"/>
  <c r="H28" i="5"/>
  <c r="E28" i="5"/>
  <c r="B28" i="5"/>
  <c r="X27" i="5"/>
  <c r="U27" i="5"/>
  <c r="R27" i="5"/>
  <c r="O27" i="5"/>
  <c r="K27" i="5"/>
  <c r="H27" i="5"/>
  <c r="E27" i="5"/>
  <c r="B27" i="5"/>
  <c r="X26" i="5"/>
  <c r="U26" i="5"/>
  <c r="R26" i="5"/>
  <c r="O26" i="5"/>
  <c r="K26" i="5"/>
  <c r="H26" i="5"/>
  <c r="E26" i="5"/>
  <c r="B26" i="5"/>
  <c r="X25" i="5"/>
  <c r="U25" i="5"/>
  <c r="R25" i="5"/>
  <c r="O25" i="5"/>
  <c r="K25" i="5"/>
  <c r="H25" i="5"/>
  <c r="E25" i="5"/>
  <c r="B25" i="5"/>
  <c r="X24" i="5"/>
  <c r="U24" i="5"/>
  <c r="R24" i="5"/>
  <c r="O24" i="5"/>
  <c r="K24" i="5"/>
  <c r="H24" i="5"/>
  <c r="E24" i="5"/>
  <c r="B24" i="5"/>
  <c r="X23" i="5"/>
  <c r="U23" i="5"/>
  <c r="R23" i="5"/>
  <c r="O23" i="5"/>
  <c r="K23" i="5"/>
  <c r="H23" i="5"/>
  <c r="E23" i="5"/>
  <c r="B23" i="5"/>
  <c r="X22" i="5"/>
  <c r="U22" i="5"/>
  <c r="R22" i="5"/>
  <c r="O22" i="5"/>
  <c r="K22" i="5"/>
  <c r="H22" i="5"/>
  <c r="E22" i="5"/>
  <c r="B22" i="5"/>
  <c r="X21" i="5"/>
  <c r="U21" i="5"/>
  <c r="R21" i="5"/>
  <c r="O21" i="5"/>
  <c r="K21" i="5"/>
  <c r="H21" i="5"/>
  <c r="E21" i="5"/>
  <c r="B21" i="5"/>
  <c r="X20" i="5"/>
  <c r="U20" i="5"/>
  <c r="R20" i="5"/>
  <c r="O20" i="5"/>
  <c r="K20" i="5"/>
  <c r="H20" i="5"/>
  <c r="E20" i="5"/>
  <c r="B20" i="5"/>
  <c r="X19" i="5"/>
  <c r="U19" i="5"/>
  <c r="R19" i="5"/>
  <c r="O19" i="5"/>
  <c r="K19" i="5"/>
  <c r="H19" i="5"/>
  <c r="E19" i="5"/>
  <c r="B19" i="5"/>
  <c r="X18" i="5"/>
  <c r="U18" i="5"/>
  <c r="R18" i="5"/>
  <c r="O18" i="5"/>
  <c r="K18" i="5"/>
  <c r="H18" i="5"/>
  <c r="E18" i="5"/>
  <c r="B18" i="5"/>
  <c r="X17" i="5"/>
  <c r="U17" i="5"/>
  <c r="R17" i="5"/>
  <c r="O17" i="5"/>
  <c r="K17" i="5"/>
  <c r="H17" i="5"/>
  <c r="E17" i="5"/>
  <c r="B17" i="5"/>
  <c r="X16" i="5"/>
  <c r="U16" i="5"/>
  <c r="R16" i="5"/>
  <c r="O16" i="5"/>
  <c r="K16" i="5"/>
  <c r="H16" i="5"/>
  <c r="E16" i="5"/>
  <c r="B16" i="5"/>
  <c r="X15" i="5"/>
  <c r="U15" i="5"/>
  <c r="R15" i="5"/>
  <c r="O15" i="5"/>
  <c r="K15" i="5"/>
  <c r="H15" i="5"/>
  <c r="E15" i="5"/>
  <c r="B15" i="5"/>
  <c r="X14" i="5"/>
  <c r="U14" i="5"/>
  <c r="R14" i="5"/>
  <c r="O14" i="5"/>
  <c r="K14" i="5"/>
  <c r="H14" i="5"/>
  <c r="E14" i="5"/>
  <c r="B14" i="5"/>
  <c r="X13" i="5"/>
  <c r="U13" i="5"/>
  <c r="R13" i="5"/>
  <c r="O13" i="5"/>
  <c r="K13" i="5"/>
  <c r="H13" i="5"/>
  <c r="E13" i="5"/>
  <c r="B13" i="5"/>
  <c r="X12" i="5"/>
  <c r="U12" i="5"/>
  <c r="R12" i="5"/>
  <c r="O12" i="5"/>
  <c r="K12" i="5"/>
  <c r="H12" i="5"/>
  <c r="E12" i="5"/>
  <c r="B12" i="5"/>
  <c r="X11" i="5"/>
  <c r="U11" i="5"/>
  <c r="R11" i="5"/>
  <c r="O11" i="5"/>
  <c r="K11" i="5"/>
  <c r="H11" i="5"/>
  <c r="E11" i="5"/>
  <c r="B11" i="5"/>
  <c r="X10" i="5"/>
  <c r="U10" i="5"/>
  <c r="R10" i="5"/>
  <c r="O10" i="5"/>
  <c r="K10" i="5"/>
  <c r="H10" i="5"/>
  <c r="E10" i="5"/>
  <c r="B10" i="5"/>
  <c r="X9" i="5"/>
  <c r="U9" i="5"/>
  <c r="R9" i="5"/>
  <c r="O9" i="5"/>
  <c r="K9" i="5"/>
  <c r="H9" i="5"/>
  <c r="E9" i="5"/>
  <c r="B9" i="5"/>
  <c r="X8" i="5"/>
  <c r="U8" i="5"/>
  <c r="R8" i="5"/>
  <c r="O8" i="5"/>
  <c r="K8" i="5"/>
  <c r="H8" i="5"/>
  <c r="E8" i="5"/>
  <c r="B8" i="5"/>
  <c r="X7" i="5"/>
  <c r="U7" i="5"/>
  <c r="R7" i="5"/>
  <c r="O7" i="5"/>
  <c r="K7" i="5"/>
  <c r="H7" i="5"/>
  <c r="E7" i="5"/>
  <c r="B7" i="5"/>
  <c r="X6" i="5"/>
  <c r="U6" i="5"/>
  <c r="R6" i="5"/>
  <c r="O6" i="5"/>
  <c r="K6" i="5"/>
  <c r="H6" i="5"/>
  <c r="E6" i="5"/>
  <c r="B6" i="5"/>
  <c r="X5" i="5"/>
  <c r="U5" i="5"/>
  <c r="R5" i="5"/>
  <c r="O5" i="5"/>
  <c r="K5" i="5"/>
  <c r="H5" i="5"/>
  <c r="E5" i="5"/>
  <c r="B5" i="5"/>
  <c r="L33" i="5" l="1"/>
  <c r="M33" i="5" s="1"/>
  <c r="L34" i="5"/>
  <c r="M34" i="5" s="1"/>
  <c r="L35" i="5"/>
  <c r="M35" i="5" s="1"/>
  <c r="O6" i="12" l="1"/>
  <c r="P6" i="12" s="1"/>
  <c r="R6" i="12"/>
  <c r="S6" i="12" s="1"/>
  <c r="T6" i="12" s="1"/>
  <c r="U6" i="12"/>
  <c r="V6" i="12" s="1"/>
  <c r="W6" i="12" s="1"/>
  <c r="X6" i="12"/>
  <c r="O7" i="12"/>
  <c r="P7" i="12" s="1"/>
  <c r="R7" i="12"/>
  <c r="S7" i="12" s="1"/>
  <c r="T7" i="12" s="1"/>
  <c r="U7" i="12"/>
  <c r="V7" i="12" s="1"/>
  <c r="W7" i="12" s="1"/>
  <c r="X7" i="12"/>
  <c r="O8" i="12"/>
  <c r="P8" i="12" s="1"/>
  <c r="R8" i="12"/>
  <c r="S8" i="12" s="1"/>
  <c r="T8" i="12" s="1"/>
  <c r="U8" i="12"/>
  <c r="V8" i="12" s="1"/>
  <c r="W8" i="12" s="1"/>
  <c r="X8" i="12"/>
  <c r="O9" i="12"/>
  <c r="P9" i="12" s="1"/>
  <c r="R9" i="12"/>
  <c r="S9" i="12" s="1"/>
  <c r="T9" i="12" s="1"/>
  <c r="U9" i="12"/>
  <c r="V9" i="12" s="1"/>
  <c r="W9" i="12" s="1"/>
  <c r="X9" i="12"/>
  <c r="O10" i="12"/>
  <c r="P10" i="12" s="1"/>
  <c r="R10" i="12"/>
  <c r="S10" i="12" s="1"/>
  <c r="T10" i="12" s="1"/>
  <c r="U10" i="12"/>
  <c r="V10" i="12" s="1"/>
  <c r="W10" i="12" s="1"/>
  <c r="X10" i="12"/>
  <c r="O11" i="12"/>
  <c r="P11" i="12" s="1"/>
  <c r="R11" i="12"/>
  <c r="S11" i="12" s="1"/>
  <c r="T11" i="12" s="1"/>
  <c r="U11" i="12"/>
  <c r="V11" i="12" s="1"/>
  <c r="W11" i="12" s="1"/>
  <c r="X11" i="12"/>
  <c r="O12" i="12"/>
  <c r="P12" i="12" s="1"/>
  <c r="R12" i="12"/>
  <c r="S12" i="12" s="1"/>
  <c r="T12" i="12" s="1"/>
  <c r="U12" i="12"/>
  <c r="V12" i="12" s="1"/>
  <c r="W12" i="12" s="1"/>
  <c r="X12" i="12"/>
  <c r="O13" i="12"/>
  <c r="P13" i="12" s="1"/>
  <c r="R13" i="12"/>
  <c r="S13" i="12" s="1"/>
  <c r="T13" i="12" s="1"/>
  <c r="U13" i="12"/>
  <c r="V13" i="12" s="1"/>
  <c r="W13" i="12" s="1"/>
  <c r="X13" i="12"/>
  <c r="O14" i="12"/>
  <c r="P14" i="12" s="1"/>
  <c r="R14" i="12"/>
  <c r="S14" i="12" s="1"/>
  <c r="T14" i="12" s="1"/>
  <c r="U14" i="12"/>
  <c r="V14" i="12" s="1"/>
  <c r="W14" i="12" s="1"/>
  <c r="X14" i="12"/>
  <c r="O15" i="12"/>
  <c r="P15" i="12" s="1"/>
  <c r="R15" i="12"/>
  <c r="S15" i="12" s="1"/>
  <c r="T15" i="12" s="1"/>
  <c r="U15" i="12"/>
  <c r="V15" i="12" s="1"/>
  <c r="W15" i="12" s="1"/>
  <c r="X15" i="12"/>
  <c r="O16" i="12"/>
  <c r="P16" i="12" s="1"/>
  <c r="R16" i="12"/>
  <c r="S16" i="12" s="1"/>
  <c r="T16" i="12" s="1"/>
  <c r="U16" i="12"/>
  <c r="V16" i="12" s="1"/>
  <c r="W16" i="12" s="1"/>
  <c r="X16" i="12"/>
  <c r="O17" i="12"/>
  <c r="P17" i="12" s="1"/>
  <c r="R17" i="12"/>
  <c r="S17" i="12" s="1"/>
  <c r="T17" i="12" s="1"/>
  <c r="U17" i="12"/>
  <c r="V17" i="12" s="1"/>
  <c r="W17" i="12" s="1"/>
  <c r="X17" i="12"/>
  <c r="O18" i="12"/>
  <c r="P18" i="12" s="1"/>
  <c r="R18" i="12"/>
  <c r="S18" i="12" s="1"/>
  <c r="T18" i="12" s="1"/>
  <c r="U18" i="12"/>
  <c r="V18" i="12" s="1"/>
  <c r="W18" i="12" s="1"/>
  <c r="X18" i="12"/>
  <c r="O19" i="12"/>
  <c r="P19" i="12" s="1"/>
  <c r="R19" i="12"/>
  <c r="S19" i="12" s="1"/>
  <c r="T19" i="12" s="1"/>
  <c r="U19" i="12"/>
  <c r="V19" i="12" s="1"/>
  <c r="W19" i="12" s="1"/>
  <c r="X19" i="12"/>
  <c r="O20" i="12"/>
  <c r="P20" i="12" s="1"/>
  <c r="R20" i="12"/>
  <c r="S20" i="12" s="1"/>
  <c r="T20" i="12" s="1"/>
  <c r="U20" i="12"/>
  <c r="V20" i="12" s="1"/>
  <c r="W20" i="12" s="1"/>
  <c r="X20" i="12"/>
  <c r="O21" i="12"/>
  <c r="P21" i="12" s="1"/>
  <c r="Q21" i="12" s="1"/>
  <c r="R21" i="12"/>
  <c r="S21" i="12" s="1"/>
  <c r="T21" i="12" s="1"/>
  <c r="U21" i="12"/>
  <c r="V21" i="12" s="1"/>
  <c r="W21" i="12" s="1"/>
  <c r="X21" i="12"/>
  <c r="O22" i="12"/>
  <c r="P22" i="12" s="1"/>
  <c r="R22" i="12"/>
  <c r="S22" i="12" s="1"/>
  <c r="T22" i="12" s="1"/>
  <c r="U22" i="12"/>
  <c r="V22" i="12" s="1"/>
  <c r="W22" i="12" s="1"/>
  <c r="X22" i="12"/>
  <c r="O23" i="12"/>
  <c r="P23" i="12" s="1"/>
  <c r="R23" i="12"/>
  <c r="S23" i="12" s="1"/>
  <c r="T23" i="12" s="1"/>
  <c r="U23" i="12"/>
  <c r="V23" i="12" s="1"/>
  <c r="W23" i="12" s="1"/>
  <c r="X23" i="12"/>
  <c r="O24" i="12"/>
  <c r="P24" i="12" s="1"/>
  <c r="R24" i="12"/>
  <c r="S24" i="12" s="1"/>
  <c r="T24" i="12" s="1"/>
  <c r="U24" i="12"/>
  <c r="V24" i="12" s="1"/>
  <c r="W24" i="12" s="1"/>
  <c r="X24" i="12"/>
  <c r="O25" i="12"/>
  <c r="P25" i="12" s="1"/>
  <c r="R25" i="12"/>
  <c r="S25" i="12" s="1"/>
  <c r="T25" i="12" s="1"/>
  <c r="U25" i="12"/>
  <c r="V25" i="12" s="1"/>
  <c r="W25" i="12" s="1"/>
  <c r="X25" i="12"/>
  <c r="O26" i="12"/>
  <c r="P26" i="12" s="1"/>
  <c r="R26" i="12"/>
  <c r="S26" i="12" s="1"/>
  <c r="T26" i="12" s="1"/>
  <c r="U26" i="12"/>
  <c r="V26" i="12" s="1"/>
  <c r="W26" i="12" s="1"/>
  <c r="X26" i="12"/>
  <c r="O27" i="12"/>
  <c r="P27" i="12" s="1"/>
  <c r="R27" i="12"/>
  <c r="S27" i="12"/>
  <c r="T27" i="12" s="1"/>
  <c r="U27" i="12"/>
  <c r="V27" i="12" s="1"/>
  <c r="W27" i="12" s="1"/>
  <c r="X27" i="12"/>
  <c r="O28" i="12"/>
  <c r="P28" i="12" s="1"/>
  <c r="R28" i="12"/>
  <c r="S28" i="12" s="1"/>
  <c r="T28" i="12" s="1"/>
  <c r="U28" i="12"/>
  <c r="V28" i="12" s="1"/>
  <c r="W28" i="12" s="1"/>
  <c r="X28" i="12"/>
  <c r="O29" i="12"/>
  <c r="P29" i="12" s="1"/>
  <c r="R29" i="12"/>
  <c r="S29" i="12" s="1"/>
  <c r="T29" i="12" s="1"/>
  <c r="U29" i="12"/>
  <c r="V29" i="12" s="1"/>
  <c r="W29" i="12" s="1"/>
  <c r="X29" i="12"/>
  <c r="O30" i="12"/>
  <c r="P30" i="12" s="1"/>
  <c r="R30" i="12"/>
  <c r="S30" i="12" s="1"/>
  <c r="T30" i="12" s="1"/>
  <c r="U30" i="12"/>
  <c r="V30" i="12" s="1"/>
  <c r="W30" i="12" s="1"/>
  <c r="X30" i="12"/>
  <c r="O31" i="12"/>
  <c r="P31" i="12" s="1"/>
  <c r="R31" i="12"/>
  <c r="S31" i="12" s="1"/>
  <c r="T31" i="12" s="1"/>
  <c r="U31" i="12"/>
  <c r="V31" i="12" s="1"/>
  <c r="W31" i="12" s="1"/>
  <c r="X31" i="12"/>
  <c r="O32" i="12"/>
  <c r="P32" i="12" s="1"/>
  <c r="R32" i="12"/>
  <c r="S32" i="12" s="1"/>
  <c r="T32" i="12" s="1"/>
  <c r="U32" i="12"/>
  <c r="V32" i="12" s="1"/>
  <c r="W32" i="12" s="1"/>
  <c r="X32" i="12"/>
  <c r="O33" i="12"/>
  <c r="P33" i="12" s="1"/>
  <c r="R33" i="12"/>
  <c r="S33" i="12" s="1"/>
  <c r="T33" i="12" s="1"/>
  <c r="U33" i="12"/>
  <c r="V33" i="12" s="1"/>
  <c r="W33" i="12" s="1"/>
  <c r="X33" i="12"/>
  <c r="O34" i="12"/>
  <c r="P34" i="12" s="1"/>
  <c r="R34" i="12"/>
  <c r="S34" i="12" s="1"/>
  <c r="T34" i="12" s="1"/>
  <c r="U34" i="12"/>
  <c r="V34" i="12" s="1"/>
  <c r="W34" i="12" s="1"/>
  <c r="X34" i="12"/>
  <c r="X5" i="12"/>
  <c r="U5" i="12"/>
  <c r="R5" i="12"/>
  <c r="O5" i="12"/>
  <c r="Q34" i="12" l="1"/>
  <c r="Q33" i="12"/>
  <c r="Q32" i="12"/>
  <c r="Q31" i="12"/>
  <c r="Q30" i="12"/>
  <c r="Q29" i="12"/>
  <c r="Q28" i="12"/>
  <c r="Q19" i="12"/>
  <c r="Q18" i="12"/>
  <c r="Q17" i="12"/>
  <c r="Q16" i="12"/>
  <c r="Q15" i="12"/>
  <c r="Q14" i="12"/>
  <c r="Q9" i="12"/>
  <c r="Q8" i="12"/>
  <c r="Q7" i="12"/>
  <c r="Q27" i="12"/>
  <c r="Q26" i="12"/>
  <c r="Q25" i="12"/>
  <c r="Q24" i="12"/>
  <c r="Q23" i="12"/>
  <c r="Q22" i="12"/>
  <c r="Q20" i="12"/>
  <c r="Q13" i="12"/>
  <c r="Q12" i="12"/>
  <c r="Q11" i="12"/>
  <c r="Q10" i="12"/>
  <c r="Q6" i="12"/>
  <c r="B6" i="12"/>
  <c r="C6" i="12" s="1"/>
  <c r="E6" i="12"/>
  <c r="F6" i="12" s="1"/>
  <c r="G6" i="12" s="1"/>
  <c r="H6" i="12"/>
  <c r="I6" i="12" s="1"/>
  <c r="J6" i="12" s="1"/>
  <c r="K6" i="12"/>
  <c r="L6" i="12" s="1"/>
  <c r="B7" i="12"/>
  <c r="C7" i="12" s="1"/>
  <c r="D7" i="12" s="1"/>
  <c r="E7" i="12"/>
  <c r="F7" i="12" s="1"/>
  <c r="G7" i="12" s="1"/>
  <c r="H7" i="12"/>
  <c r="I7" i="12" s="1"/>
  <c r="J7" i="12" s="1"/>
  <c r="K7" i="12"/>
  <c r="L7" i="12" s="1"/>
  <c r="B8" i="12"/>
  <c r="C8" i="12" s="1"/>
  <c r="E8" i="12"/>
  <c r="F8" i="12" s="1"/>
  <c r="G8" i="12" s="1"/>
  <c r="H8" i="12"/>
  <c r="I8" i="12" s="1"/>
  <c r="J8" i="12" s="1"/>
  <c r="K8" i="12"/>
  <c r="L8" i="12" s="1"/>
  <c r="B9" i="12"/>
  <c r="C9" i="12" s="1"/>
  <c r="E9" i="12"/>
  <c r="F9" i="12" s="1"/>
  <c r="G9" i="12" s="1"/>
  <c r="H9" i="12"/>
  <c r="I9" i="12" s="1"/>
  <c r="J9" i="12" s="1"/>
  <c r="K9" i="12"/>
  <c r="L9" i="12" s="1"/>
  <c r="B10" i="12"/>
  <c r="C10" i="12" s="1"/>
  <c r="E10" i="12"/>
  <c r="F10" i="12" s="1"/>
  <c r="G10" i="12" s="1"/>
  <c r="H10" i="12"/>
  <c r="I10" i="12" s="1"/>
  <c r="J10" i="12" s="1"/>
  <c r="K10" i="12"/>
  <c r="L10" i="12" s="1"/>
  <c r="B11" i="12"/>
  <c r="C11" i="12" s="1"/>
  <c r="E11" i="12"/>
  <c r="F11" i="12" s="1"/>
  <c r="G11" i="12" s="1"/>
  <c r="H11" i="12"/>
  <c r="I11" i="12" s="1"/>
  <c r="J11" i="12" s="1"/>
  <c r="K11" i="12"/>
  <c r="L11" i="12" s="1"/>
  <c r="B12" i="12"/>
  <c r="C12" i="12" s="1"/>
  <c r="E12" i="12"/>
  <c r="F12" i="12" s="1"/>
  <c r="G12" i="12" s="1"/>
  <c r="H12" i="12"/>
  <c r="I12" i="12" s="1"/>
  <c r="J12" i="12" s="1"/>
  <c r="K12" i="12"/>
  <c r="L12" i="12" s="1"/>
  <c r="B13" i="12"/>
  <c r="C13" i="12" s="1"/>
  <c r="E13" i="12"/>
  <c r="F13" i="12" s="1"/>
  <c r="G13" i="12" s="1"/>
  <c r="H13" i="12"/>
  <c r="I13" i="12" s="1"/>
  <c r="J13" i="12" s="1"/>
  <c r="K13" i="12"/>
  <c r="L13" i="12" s="1"/>
  <c r="B14" i="12"/>
  <c r="C14" i="12" s="1"/>
  <c r="E14" i="12"/>
  <c r="F14" i="12" s="1"/>
  <c r="G14" i="12" s="1"/>
  <c r="H14" i="12"/>
  <c r="I14" i="12" s="1"/>
  <c r="J14" i="12" s="1"/>
  <c r="K14" i="12"/>
  <c r="L14" i="12" s="1"/>
  <c r="B15" i="12"/>
  <c r="C15" i="12" s="1"/>
  <c r="E15" i="12"/>
  <c r="F15" i="12" s="1"/>
  <c r="G15" i="12" s="1"/>
  <c r="H15" i="12"/>
  <c r="I15" i="12" s="1"/>
  <c r="J15" i="12" s="1"/>
  <c r="K15" i="12"/>
  <c r="L15" i="12" s="1"/>
  <c r="B16" i="12"/>
  <c r="C16" i="12" s="1"/>
  <c r="E16" i="12"/>
  <c r="F16" i="12" s="1"/>
  <c r="G16" i="12" s="1"/>
  <c r="H16" i="12"/>
  <c r="I16" i="12" s="1"/>
  <c r="J16" i="12" s="1"/>
  <c r="K16" i="12"/>
  <c r="L16" i="12" s="1"/>
  <c r="B17" i="12"/>
  <c r="C17" i="12" s="1"/>
  <c r="E17" i="12"/>
  <c r="F17" i="12" s="1"/>
  <c r="G17" i="12" s="1"/>
  <c r="H17" i="12"/>
  <c r="I17" i="12" s="1"/>
  <c r="J17" i="12" s="1"/>
  <c r="K17" i="12"/>
  <c r="L17" i="12" s="1"/>
  <c r="B18" i="12"/>
  <c r="C18" i="12" s="1"/>
  <c r="E18" i="12"/>
  <c r="F18" i="12" s="1"/>
  <c r="G18" i="12" s="1"/>
  <c r="H18" i="12"/>
  <c r="I18" i="12" s="1"/>
  <c r="J18" i="12" s="1"/>
  <c r="K18" i="12"/>
  <c r="L18" i="12" s="1"/>
  <c r="B19" i="12"/>
  <c r="C19" i="12" s="1"/>
  <c r="E19" i="12"/>
  <c r="F19" i="12" s="1"/>
  <c r="G19" i="12" s="1"/>
  <c r="H19" i="12"/>
  <c r="I19" i="12" s="1"/>
  <c r="J19" i="12" s="1"/>
  <c r="K19" i="12"/>
  <c r="L19" i="12" s="1"/>
  <c r="B20" i="12"/>
  <c r="C20" i="12" s="1"/>
  <c r="E20" i="12"/>
  <c r="F20" i="12" s="1"/>
  <c r="G20" i="12" s="1"/>
  <c r="H20" i="12"/>
  <c r="I20" i="12" s="1"/>
  <c r="J20" i="12" s="1"/>
  <c r="K20" i="12"/>
  <c r="L20" i="12" s="1"/>
  <c r="B21" i="12"/>
  <c r="C21" i="12" s="1"/>
  <c r="E21" i="12"/>
  <c r="F21" i="12" s="1"/>
  <c r="G21" i="12" s="1"/>
  <c r="H21" i="12"/>
  <c r="I21" i="12" s="1"/>
  <c r="J21" i="12" s="1"/>
  <c r="K21" i="12"/>
  <c r="L21" i="12" s="1"/>
  <c r="B22" i="12"/>
  <c r="C22" i="12" s="1"/>
  <c r="E22" i="12"/>
  <c r="F22" i="12" s="1"/>
  <c r="G22" i="12" s="1"/>
  <c r="H22" i="12"/>
  <c r="I22" i="12" s="1"/>
  <c r="J22" i="12" s="1"/>
  <c r="K22" i="12"/>
  <c r="L22" i="12" s="1"/>
  <c r="B23" i="12"/>
  <c r="C23" i="12" s="1"/>
  <c r="E23" i="12"/>
  <c r="F23" i="12" s="1"/>
  <c r="G23" i="12" s="1"/>
  <c r="H23" i="12"/>
  <c r="I23" i="12" s="1"/>
  <c r="J23" i="12" s="1"/>
  <c r="K23" i="12"/>
  <c r="L23" i="12" s="1"/>
  <c r="B24" i="12"/>
  <c r="C24" i="12" s="1"/>
  <c r="E24" i="12"/>
  <c r="F24" i="12" s="1"/>
  <c r="G24" i="12" s="1"/>
  <c r="H24" i="12"/>
  <c r="I24" i="12" s="1"/>
  <c r="J24" i="12" s="1"/>
  <c r="K24" i="12"/>
  <c r="L24" i="12" s="1"/>
  <c r="B25" i="12"/>
  <c r="C25" i="12" s="1"/>
  <c r="E25" i="12"/>
  <c r="F25" i="12" s="1"/>
  <c r="G25" i="12" s="1"/>
  <c r="H25" i="12"/>
  <c r="I25" i="12" s="1"/>
  <c r="J25" i="12" s="1"/>
  <c r="K25" i="12"/>
  <c r="L25" i="12" s="1"/>
  <c r="B26" i="12"/>
  <c r="C26" i="12" s="1"/>
  <c r="E26" i="12"/>
  <c r="F26" i="12" s="1"/>
  <c r="G26" i="12" s="1"/>
  <c r="H26" i="12"/>
  <c r="I26" i="12" s="1"/>
  <c r="J26" i="12" s="1"/>
  <c r="K26" i="12"/>
  <c r="L26" i="12" s="1"/>
  <c r="B27" i="12"/>
  <c r="C27" i="12" s="1"/>
  <c r="E27" i="12"/>
  <c r="F27" i="12" s="1"/>
  <c r="G27" i="12" s="1"/>
  <c r="H27" i="12"/>
  <c r="I27" i="12" s="1"/>
  <c r="J27" i="12" s="1"/>
  <c r="K27" i="12"/>
  <c r="L27" i="12" s="1"/>
  <c r="B28" i="12"/>
  <c r="C28" i="12" s="1"/>
  <c r="E28" i="12"/>
  <c r="F28" i="12" s="1"/>
  <c r="G28" i="12" s="1"/>
  <c r="H28" i="12"/>
  <c r="I28" i="12" s="1"/>
  <c r="J28" i="12" s="1"/>
  <c r="K28" i="12"/>
  <c r="L28" i="12" s="1"/>
  <c r="B29" i="12"/>
  <c r="C29" i="12" s="1"/>
  <c r="E29" i="12"/>
  <c r="F29" i="12" s="1"/>
  <c r="G29" i="12" s="1"/>
  <c r="H29" i="12"/>
  <c r="I29" i="12" s="1"/>
  <c r="J29" i="12" s="1"/>
  <c r="K29" i="12"/>
  <c r="L29" i="12" s="1"/>
  <c r="B30" i="12"/>
  <c r="C30" i="12" s="1"/>
  <c r="E30" i="12"/>
  <c r="F30" i="12" s="1"/>
  <c r="G30" i="12" s="1"/>
  <c r="H30" i="12"/>
  <c r="I30" i="12" s="1"/>
  <c r="J30" i="12" s="1"/>
  <c r="K30" i="12"/>
  <c r="L30" i="12" s="1"/>
  <c r="B31" i="12"/>
  <c r="C31" i="12" s="1"/>
  <c r="E31" i="12"/>
  <c r="F31" i="12" s="1"/>
  <c r="G31" i="12" s="1"/>
  <c r="H31" i="12"/>
  <c r="I31" i="12" s="1"/>
  <c r="J31" i="12" s="1"/>
  <c r="K31" i="12"/>
  <c r="L31" i="12" s="1"/>
  <c r="B32" i="12"/>
  <c r="C32" i="12" s="1"/>
  <c r="E32" i="12"/>
  <c r="F32" i="12" s="1"/>
  <c r="G32" i="12" s="1"/>
  <c r="H32" i="12"/>
  <c r="I32" i="12" s="1"/>
  <c r="J32" i="12" s="1"/>
  <c r="K32" i="12"/>
  <c r="L32" i="12" s="1"/>
  <c r="B33" i="12"/>
  <c r="C33" i="12" s="1"/>
  <c r="E33" i="12"/>
  <c r="F33" i="12" s="1"/>
  <c r="G33" i="12" s="1"/>
  <c r="H33" i="12"/>
  <c r="I33" i="12" s="1"/>
  <c r="J33" i="12" s="1"/>
  <c r="K33" i="12"/>
  <c r="L33" i="12" s="1"/>
  <c r="B34" i="12"/>
  <c r="C34" i="12" s="1"/>
  <c r="E34" i="12"/>
  <c r="F34" i="12" s="1"/>
  <c r="G34" i="12" s="1"/>
  <c r="H34" i="12"/>
  <c r="I34" i="12" s="1"/>
  <c r="J34" i="12" s="1"/>
  <c r="K34" i="12"/>
  <c r="L34" i="12" s="1"/>
  <c r="K5" i="12"/>
  <c r="H5" i="12"/>
  <c r="E5" i="12"/>
  <c r="B5" i="12"/>
  <c r="D33" i="12" l="1"/>
  <c r="D31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6" i="12"/>
  <c r="D34" i="12"/>
  <c r="D32" i="12"/>
  <c r="D30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K33" i="11"/>
  <c r="L33" i="11" s="1"/>
  <c r="K34" i="11"/>
  <c r="L34" i="11" s="1"/>
  <c r="M34" i="11" s="1"/>
  <c r="K35" i="11"/>
  <c r="L35" i="11" s="1"/>
  <c r="M35" i="11" s="1"/>
  <c r="M33" i="11" l="1"/>
  <c r="X5" i="11"/>
  <c r="O6" i="11" l="1"/>
  <c r="P6" i="11" s="1"/>
  <c r="R6" i="11"/>
  <c r="S6" i="11" s="1"/>
  <c r="T6" i="11" s="1"/>
  <c r="U6" i="11"/>
  <c r="V6" i="11" s="1"/>
  <c r="W6" i="11" s="1"/>
  <c r="X6" i="11"/>
  <c r="Y6" i="11" s="1"/>
  <c r="O7" i="11"/>
  <c r="P7" i="11" s="1"/>
  <c r="R7" i="11"/>
  <c r="S7" i="11" s="1"/>
  <c r="T7" i="11" s="1"/>
  <c r="U7" i="11"/>
  <c r="V7" i="11" s="1"/>
  <c r="W7" i="11" s="1"/>
  <c r="X7" i="11"/>
  <c r="Y7" i="11" s="1"/>
  <c r="O8" i="11"/>
  <c r="P8" i="11" s="1"/>
  <c r="R8" i="11"/>
  <c r="S8" i="11" s="1"/>
  <c r="T8" i="11" s="1"/>
  <c r="U8" i="11"/>
  <c r="V8" i="11" s="1"/>
  <c r="W8" i="11" s="1"/>
  <c r="X8" i="11"/>
  <c r="Y8" i="11" s="1"/>
  <c r="O9" i="11"/>
  <c r="P9" i="11" s="1"/>
  <c r="R9" i="11"/>
  <c r="S9" i="11" s="1"/>
  <c r="T9" i="11" s="1"/>
  <c r="U9" i="11"/>
  <c r="V9" i="11" s="1"/>
  <c r="W9" i="11" s="1"/>
  <c r="X9" i="11"/>
  <c r="Y9" i="11" s="1"/>
  <c r="O10" i="11"/>
  <c r="P10" i="11" s="1"/>
  <c r="R10" i="11"/>
  <c r="S10" i="11" s="1"/>
  <c r="T10" i="11" s="1"/>
  <c r="U10" i="11"/>
  <c r="V10" i="11" s="1"/>
  <c r="W10" i="11" s="1"/>
  <c r="X10" i="11"/>
  <c r="Y10" i="11" s="1"/>
  <c r="O11" i="11"/>
  <c r="P11" i="11" s="1"/>
  <c r="R11" i="11"/>
  <c r="S11" i="11" s="1"/>
  <c r="T11" i="11" s="1"/>
  <c r="U11" i="11"/>
  <c r="V11" i="11" s="1"/>
  <c r="W11" i="11" s="1"/>
  <c r="X11" i="11"/>
  <c r="Y11" i="11" s="1"/>
  <c r="O12" i="11"/>
  <c r="P12" i="11" s="1"/>
  <c r="R12" i="11"/>
  <c r="S12" i="11" s="1"/>
  <c r="T12" i="11" s="1"/>
  <c r="U12" i="11"/>
  <c r="V12" i="11" s="1"/>
  <c r="W12" i="11" s="1"/>
  <c r="X12" i="11"/>
  <c r="Y12" i="11" s="1"/>
  <c r="O13" i="11"/>
  <c r="P13" i="11" s="1"/>
  <c r="R13" i="11"/>
  <c r="S13" i="11" s="1"/>
  <c r="T13" i="11" s="1"/>
  <c r="U13" i="11"/>
  <c r="V13" i="11" s="1"/>
  <c r="W13" i="11" s="1"/>
  <c r="X13" i="11"/>
  <c r="Y13" i="11" s="1"/>
  <c r="O14" i="11"/>
  <c r="P14" i="11" s="1"/>
  <c r="R14" i="11"/>
  <c r="S14" i="11" s="1"/>
  <c r="T14" i="11" s="1"/>
  <c r="U14" i="11"/>
  <c r="V14" i="11" s="1"/>
  <c r="W14" i="11" s="1"/>
  <c r="X14" i="11"/>
  <c r="Y14" i="11" s="1"/>
  <c r="O15" i="11"/>
  <c r="P15" i="11" s="1"/>
  <c r="R15" i="11"/>
  <c r="S15" i="11" s="1"/>
  <c r="T15" i="11" s="1"/>
  <c r="U15" i="11"/>
  <c r="V15" i="11" s="1"/>
  <c r="W15" i="11" s="1"/>
  <c r="X15" i="11"/>
  <c r="Y15" i="11" s="1"/>
  <c r="O16" i="11"/>
  <c r="P16" i="11" s="1"/>
  <c r="R16" i="11"/>
  <c r="S16" i="11" s="1"/>
  <c r="T16" i="11" s="1"/>
  <c r="U16" i="11"/>
  <c r="V16" i="11" s="1"/>
  <c r="W16" i="11" s="1"/>
  <c r="X16" i="11"/>
  <c r="Y16" i="11" s="1"/>
  <c r="O17" i="11"/>
  <c r="P17" i="11" s="1"/>
  <c r="R17" i="11"/>
  <c r="S17" i="11" s="1"/>
  <c r="T17" i="11" s="1"/>
  <c r="U17" i="11"/>
  <c r="V17" i="11" s="1"/>
  <c r="W17" i="11" s="1"/>
  <c r="X17" i="11"/>
  <c r="Y17" i="11" s="1"/>
  <c r="O18" i="11"/>
  <c r="P18" i="11" s="1"/>
  <c r="R18" i="11"/>
  <c r="S18" i="11" s="1"/>
  <c r="T18" i="11" s="1"/>
  <c r="U18" i="11"/>
  <c r="V18" i="11" s="1"/>
  <c r="W18" i="11" s="1"/>
  <c r="X18" i="11"/>
  <c r="Y18" i="11" s="1"/>
  <c r="O19" i="11"/>
  <c r="P19" i="11" s="1"/>
  <c r="R19" i="11"/>
  <c r="S19" i="11" s="1"/>
  <c r="T19" i="11" s="1"/>
  <c r="U19" i="11"/>
  <c r="V19" i="11" s="1"/>
  <c r="W19" i="11" s="1"/>
  <c r="X19" i="11"/>
  <c r="Y19" i="11" s="1"/>
  <c r="O20" i="11"/>
  <c r="P20" i="11" s="1"/>
  <c r="R20" i="11"/>
  <c r="S20" i="11" s="1"/>
  <c r="T20" i="11" s="1"/>
  <c r="U20" i="11"/>
  <c r="V20" i="11" s="1"/>
  <c r="W20" i="11" s="1"/>
  <c r="X20" i="11"/>
  <c r="Y20" i="11" s="1"/>
  <c r="O21" i="11"/>
  <c r="P21" i="11" s="1"/>
  <c r="R21" i="11"/>
  <c r="S21" i="11" s="1"/>
  <c r="T21" i="11" s="1"/>
  <c r="U21" i="11"/>
  <c r="V21" i="11" s="1"/>
  <c r="W21" i="11" s="1"/>
  <c r="X21" i="11"/>
  <c r="Y21" i="11" s="1"/>
  <c r="O22" i="11"/>
  <c r="P22" i="11" s="1"/>
  <c r="R22" i="11"/>
  <c r="S22" i="11" s="1"/>
  <c r="T22" i="11" s="1"/>
  <c r="U22" i="11"/>
  <c r="V22" i="11" s="1"/>
  <c r="W22" i="11" s="1"/>
  <c r="X22" i="11"/>
  <c r="Y22" i="11" s="1"/>
  <c r="O23" i="11"/>
  <c r="P23" i="11" s="1"/>
  <c r="R23" i="11"/>
  <c r="S23" i="11" s="1"/>
  <c r="T23" i="11" s="1"/>
  <c r="U23" i="11"/>
  <c r="V23" i="11" s="1"/>
  <c r="W23" i="11" s="1"/>
  <c r="X23" i="11"/>
  <c r="Y23" i="11" s="1"/>
  <c r="O24" i="11"/>
  <c r="P24" i="11" s="1"/>
  <c r="R24" i="11"/>
  <c r="S24" i="11" s="1"/>
  <c r="T24" i="11" s="1"/>
  <c r="U24" i="11"/>
  <c r="V24" i="11" s="1"/>
  <c r="W24" i="11" s="1"/>
  <c r="X24" i="11"/>
  <c r="Y24" i="11" s="1"/>
  <c r="O25" i="11"/>
  <c r="P25" i="11" s="1"/>
  <c r="R25" i="11"/>
  <c r="S25" i="11" s="1"/>
  <c r="T25" i="11" s="1"/>
  <c r="U25" i="11"/>
  <c r="V25" i="11" s="1"/>
  <c r="W25" i="11" s="1"/>
  <c r="X25" i="11"/>
  <c r="Y25" i="11" s="1"/>
  <c r="O26" i="11"/>
  <c r="P26" i="11" s="1"/>
  <c r="R26" i="11"/>
  <c r="S26" i="11" s="1"/>
  <c r="T26" i="11" s="1"/>
  <c r="U26" i="11"/>
  <c r="V26" i="11" s="1"/>
  <c r="W26" i="11" s="1"/>
  <c r="X26" i="11"/>
  <c r="Y26" i="11" s="1"/>
  <c r="O27" i="11"/>
  <c r="P27" i="11" s="1"/>
  <c r="R27" i="11"/>
  <c r="S27" i="11" s="1"/>
  <c r="T27" i="11" s="1"/>
  <c r="U27" i="11"/>
  <c r="V27" i="11" s="1"/>
  <c r="W27" i="11" s="1"/>
  <c r="X27" i="11"/>
  <c r="Y27" i="11" s="1"/>
  <c r="O28" i="11"/>
  <c r="P28" i="11" s="1"/>
  <c r="R28" i="11"/>
  <c r="S28" i="11" s="1"/>
  <c r="T28" i="11" s="1"/>
  <c r="U28" i="11"/>
  <c r="V28" i="11" s="1"/>
  <c r="W28" i="11" s="1"/>
  <c r="X28" i="11"/>
  <c r="Y28" i="11" s="1"/>
  <c r="O29" i="11"/>
  <c r="P29" i="11" s="1"/>
  <c r="R29" i="11"/>
  <c r="S29" i="11" s="1"/>
  <c r="T29" i="11" s="1"/>
  <c r="U29" i="11"/>
  <c r="V29" i="11" s="1"/>
  <c r="W29" i="11" s="1"/>
  <c r="X29" i="11"/>
  <c r="Y29" i="11" s="1"/>
  <c r="O30" i="11"/>
  <c r="P30" i="11" s="1"/>
  <c r="R30" i="11"/>
  <c r="S30" i="11" s="1"/>
  <c r="T30" i="11" s="1"/>
  <c r="U30" i="11"/>
  <c r="V30" i="11" s="1"/>
  <c r="W30" i="11" s="1"/>
  <c r="X30" i="11"/>
  <c r="Y30" i="11" s="1"/>
  <c r="O31" i="11"/>
  <c r="P31" i="11" s="1"/>
  <c r="R31" i="11"/>
  <c r="S31" i="11" s="1"/>
  <c r="T31" i="11" s="1"/>
  <c r="U31" i="11"/>
  <c r="V31" i="11" s="1"/>
  <c r="W31" i="11" s="1"/>
  <c r="X31" i="11"/>
  <c r="Y31" i="11" s="1"/>
  <c r="O32" i="11"/>
  <c r="P32" i="11" s="1"/>
  <c r="R32" i="11"/>
  <c r="S32" i="11" s="1"/>
  <c r="T32" i="11" s="1"/>
  <c r="U32" i="11"/>
  <c r="V32" i="11" s="1"/>
  <c r="W32" i="11" s="1"/>
  <c r="X32" i="11"/>
  <c r="Y32" i="11" s="1"/>
  <c r="O33" i="11"/>
  <c r="P33" i="11" s="1"/>
  <c r="R33" i="11"/>
  <c r="S33" i="11" s="1"/>
  <c r="T33" i="11" s="1"/>
  <c r="U33" i="11"/>
  <c r="V33" i="11" s="1"/>
  <c r="W33" i="11" s="1"/>
  <c r="X33" i="11"/>
  <c r="Y33" i="11" s="1"/>
  <c r="O34" i="11"/>
  <c r="P34" i="11" s="1"/>
  <c r="R34" i="11"/>
  <c r="S34" i="11" s="1"/>
  <c r="T34" i="11" s="1"/>
  <c r="U34" i="11"/>
  <c r="V34" i="11" s="1"/>
  <c r="W34" i="11" s="1"/>
  <c r="X34" i="11"/>
  <c r="Y34" i="11" s="1"/>
  <c r="Z34" i="11" s="1"/>
  <c r="O35" i="11"/>
  <c r="P35" i="11" s="1"/>
  <c r="R35" i="11"/>
  <c r="S35" i="11" s="1"/>
  <c r="T35" i="11" s="1"/>
  <c r="U35" i="11"/>
  <c r="V35" i="11" s="1"/>
  <c r="W35" i="11" s="1"/>
  <c r="X35" i="11"/>
  <c r="Y35" i="11" s="1"/>
  <c r="Z35" i="11" s="1"/>
  <c r="U5" i="11"/>
  <c r="R5" i="11"/>
  <c r="O5" i="11"/>
  <c r="Z32" i="11" l="1"/>
  <c r="Z30" i="11"/>
  <c r="Z29" i="11"/>
  <c r="Z27" i="11"/>
  <c r="Z26" i="11"/>
  <c r="Z25" i="11"/>
  <c r="Z24" i="11"/>
  <c r="Z23" i="11"/>
  <c r="Z22" i="11"/>
  <c r="Z21" i="11"/>
  <c r="Z20" i="11"/>
  <c r="Z19" i="11"/>
  <c r="Z18" i="11"/>
  <c r="Z17" i="11"/>
  <c r="Z16" i="11"/>
  <c r="Z15" i="11"/>
  <c r="Z14" i="11"/>
  <c r="Z13" i="11"/>
  <c r="Z12" i="11"/>
  <c r="Z11" i="11"/>
  <c r="Z10" i="11"/>
  <c r="Z9" i="11"/>
  <c r="Z8" i="11"/>
  <c r="Z7" i="11"/>
  <c r="Z6" i="11"/>
  <c r="Q6" i="11"/>
  <c r="Z33" i="11"/>
  <c r="Z31" i="11"/>
  <c r="Z28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B6" i="11"/>
  <c r="C6" i="11" s="1"/>
  <c r="E6" i="11"/>
  <c r="F6" i="11" s="1"/>
  <c r="G6" i="11" s="1"/>
  <c r="H6" i="11"/>
  <c r="I6" i="11" s="1"/>
  <c r="J6" i="11" s="1"/>
  <c r="K6" i="11"/>
  <c r="L6" i="11" s="1"/>
  <c r="B7" i="11"/>
  <c r="C7" i="11" s="1"/>
  <c r="E7" i="11"/>
  <c r="F7" i="11" s="1"/>
  <c r="G7" i="11" s="1"/>
  <c r="H7" i="11"/>
  <c r="I7" i="11" s="1"/>
  <c r="J7" i="11" s="1"/>
  <c r="K7" i="11"/>
  <c r="L7" i="11" s="1"/>
  <c r="B8" i="11"/>
  <c r="C8" i="11" s="1"/>
  <c r="E8" i="11"/>
  <c r="F8" i="11" s="1"/>
  <c r="G8" i="11" s="1"/>
  <c r="H8" i="11"/>
  <c r="I8" i="11" s="1"/>
  <c r="J8" i="11" s="1"/>
  <c r="K8" i="11"/>
  <c r="L8" i="11" s="1"/>
  <c r="B9" i="11"/>
  <c r="C9" i="11" s="1"/>
  <c r="E9" i="11"/>
  <c r="F9" i="11" s="1"/>
  <c r="G9" i="11" s="1"/>
  <c r="H9" i="11"/>
  <c r="I9" i="11" s="1"/>
  <c r="J9" i="11" s="1"/>
  <c r="K9" i="11"/>
  <c r="L9" i="11" s="1"/>
  <c r="B10" i="11"/>
  <c r="C10" i="11" s="1"/>
  <c r="E10" i="11"/>
  <c r="F10" i="11" s="1"/>
  <c r="G10" i="11" s="1"/>
  <c r="H10" i="11"/>
  <c r="I10" i="11" s="1"/>
  <c r="J10" i="11" s="1"/>
  <c r="K10" i="11"/>
  <c r="L10" i="11" s="1"/>
  <c r="B11" i="11"/>
  <c r="C11" i="11" s="1"/>
  <c r="E11" i="11"/>
  <c r="F11" i="11" s="1"/>
  <c r="G11" i="11" s="1"/>
  <c r="H11" i="11"/>
  <c r="I11" i="11" s="1"/>
  <c r="J11" i="11" s="1"/>
  <c r="K11" i="11"/>
  <c r="L11" i="11" s="1"/>
  <c r="B12" i="11"/>
  <c r="C12" i="11" s="1"/>
  <c r="E12" i="11"/>
  <c r="F12" i="11" s="1"/>
  <c r="G12" i="11" s="1"/>
  <c r="H12" i="11"/>
  <c r="I12" i="11" s="1"/>
  <c r="J12" i="11" s="1"/>
  <c r="K12" i="11"/>
  <c r="L12" i="11" s="1"/>
  <c r="B13" i="11"/>
  <c r="C13" i="11" s="1"/>
  <c r="E13" i="11"/>
  <c r="F13" i="11" s="1"/>
  <c r="G13" i="11" s="1"/>
  <c r="H13" i="11"/>
  <c r="I13" i="11" s="1"/>
  <c r="J13" i="11" s="1"/>
  <c r="K13" i="11"/>
  <c r="L13" i="11" s="1"/>
  <c r="B14" i="11"/>
  <c r="C14" i="11" s="1"/>
  <c r="E14" i="11"/>
  <c r="F14" i="11" s="1"/>
  <c r="G14" i="11" s="1"/>
  <c r="H14" i="11"/>
  <c r="I14" i="11" s="1"/>
  <c r="J14" i="11" s="1"/>
  <c r="K14" i="11"/>
  <c r="L14" i="11" s="1"/>
  <c r="B15" i="11"/>
  <c r="C15" i="11" s="1"/>
  <c r="E15" i="11"/>
  <c r="F15" i="11" s="1"/>
  <c r="G15" i="11" s="1"/>
  <c r="H15" i="11"/>
  <c r="I15" i="11" s="1"/>
  <c r="J15" i="11" s="1"/>
  <c r="K15" i="11"/>
  <c r="L15" i="11" s="1"/>
  <c r="B16" i="11"/>
  <c r="C16" i="11" s="1"/>
  <c r="E16" i="11"/>
  <c r="F16" i="11" s="1"/>
  <c r="G16" i="11" s="1"/>
  <c r="H16" i="11"/>
  <c r="I16" i="11" s="1"/>
  <c r="J16" i="11" s="1"/>
  <c r="K16" i="11"/>
  <c r="L16" i="11" s="1"/>
  <c r="B17" i="11"/>
  <c r="C17" i="11" s="1"/>
  <c r="E17" i="11"/>
  <c r="F17" i="11" s="1"/>
  <c r="G17" i="11" s="1"/>
  <c r="H17" i="11"/>
  <c r="I17" i="11" s="1"/>
  <c r="J17" i="11" s="1"/>
  <c r="K17" i="11"/>
  <c r="L17" i="11" s="1"/>
  <c r="B18" i="11"/>
  <c r="C18" i="11" s="1"/>
  <c r="E18" i="11"/>
  <c r="F18" i="11" s="1"/>
  <c r="G18" i="11" s="1"/>
  <c r="H18" i="11"/>
  <c r="I18" i="11" s="1"/>
  <c r="J18" i="11" s="1"/>
  <c r="K18" i="11"/>
  <c r="L18" i="11" s="1"/>
  <c r="B19" i="11"/>
  <c r="C19" i="11" s="1"/>
  <c r="E19" i="11"/>
  <c r="F19" i="11" s="1"/>
  <c r="G19" i="11" s="1"/>
  <c r="H19" i="11"/>
  <c r="I19" i="11" s="1"/>
  <c r="J19" i="11" s="1"/>
  <c r="K19" i="11"/>
  <c r="L19" i="11" s="1"/>
  <c r="M19" i="11" s="1"/>
  <c r="B20" i="11"/>
  <c r="C20" i="11" s="1"/>
  <c r="E20" i="11"/>
  <c r="F20" i="11" s="1"/>
  <c r="G20" i="11" s="1"/>
  <c r="H20" i="11"/>
  <c r="I20" i="11" s="1"/>
  <c r="J20" i="11" s="1"/>
  <c r="K20" i="11"/>
  <c r="L20" i="11" s="1"/>
  <c r="B21" i="11"/>
  <c r="C21" i="11" s="1"/>
  <c r="E21" i="11"/>
  <c r="F21" i="11" s="1"/>
  <c r="G21" i="11" s="1"/>
  <c r="H21" i="11"/>
  <c r="I21" i="11" s="1"/>
  <c r="J21" i="11" s="1"/>
  <c r="K21" i="11"/>
  <c r="L21" i="11" s="1"/>
  <c r="B22" i="11"/>
  <c r="C22" i="11" s="1"/>
  <c r="E22" i="11"/>
  <c r="F22" i="11" s="1"/>
  <c r="G22" i="11" s="1"/>
  <c r="H22" i="11"/>
  <c r="I22" i="11" s="1"/>
  <c r="J22" i="11" s="1"/>
  <c r="K22" i="11"/>
  <c r="L22" i="11" s="1"/>
  <c r="B23" i="11"/>
  <c r="C23" i="11" s="1"/>
  <c r="E23" i="11"/>
  <c r="F23" i="11" s="1"/>
  <c r="G23" i="11" s="1"/>
  <c r="H23" i="11"/>
  <c r="I23" i="11" s="1"/>
  <c r="J23" i="11" s="1"/>
  <c r="K23" i="11"/>
  <c r="L23" i="11" s="1"/>
  <c r="B24" i="11"/>
  <c r="C24" i="11" s="1"/>
  <c r="E24" i="11"/>
  <c r="F24" i="11" s="1"/>
  <c r="G24" i="11" s="1"/>
  <c r="H24" i="11"/>
  <c r="I24" i="11" s="1"/>
  <c r="J24" i="11" s="1"/>
  <c r="K24" i="11"/>
  <c r="L24" i="11" s="1"/>
  <c r="M24" i="11" s="1"/>
  <c r="B25" i="11"/>
  <c r="C25" i="11" s="1"/>
  <c r="E25" i="11"/>
  <c r="F25" i="11" s="1"/>
  <c r="G25" i="11" s="1"/>
  <c r="H25" i="11"/>
  <c r="I25" i="11" s="1"/>
  <c r="J25" i="11" s="1"/>
  <c r="K25" i="11"/>
  <c r="L25" i="11" s="1"/>
  <c r="B26" i="11"/>
  <c r="C26" i="11" s="1"/>
  <c r="E26" i="11"/>
  <c r="F26" i="11" s="1"/>
  <c r="G26" i="11" s="1"/>
  <c r="H26" i="11"/>
  <c r="I26" i="11" s="1"/>
  <c r="J26" i="11" s="1"/>
  <c r="K26" i="11"/>
  <c r="L26" i="11" s="1"/>
  <c r="B27" i="11"/>
  <c r="C27" i="11" s="1"/>
  <c r="E27" i="11"/>
  <c r="F27" i="11" s="1"/>
  <c r="G27" i="11" s="1"/>
  <c r="H27" i="11"/>
  <c r="I27" i="11" s="1"/>
  <c r="J27" i="11" s="1"/>
  <c r="K27" i="11"/>
  <c r="L27" i="11" s="1"/>
  <c r="B28" i="11"/>
  <c r="C28" i="11" s="1"/>
  <c r="E28" i="11"/>
  <c r="F28" i="11" s="1"/>
  <c r="G28" i="11" s="1"/>
  <c r="H28" i="11"/>
  <c r="I28" i="11" s="1"/>
  <c r="J28" i="11" s="1"/>
  <c r="K28" i="11"/>
  <c r="L28" i="11" s="1"/>
  <c r="B29" i="11"/>
  <c r="C29" i="11" s="1"/>
  <c r="E29" i="11"/>
  <c r="F29" i="11" s="1"/>
  <c r="G29" i="11" s="1"/>
  <c r="H29" i="11"/>
  <c r="I29" i="11" s="1"/>
  <c r="J29" i="11" s="1"/>
  <c r="K29" i="11"/>
  <c r="L29" i="11" s="1"/>
  <c r="B30" i="11"/>
  <c r="C30" i="11" s="1"/>
  <c r="E30" i="11"/>
  <c r="F30" i="11" s="1"/>
  <c r="G30" i="11" s="1"/>
  <c r="H30" i="11"/>
  <c r="I30" i="11" s="1"/>
  <c r="J30" i="11" s="1"/>
  <c r="K30" i="11"/>
  <c r="L30" i="11" s="1"/>
  <c r="B31" i="11"/>
  <c r="C31" i="11" s="1"/>
  <c r="E31" i="11"/>
  <c r="F31" i="11" s="1"/>
  <c r="G31" i="11" s="1"/>
  <c r="H31" i="11"/>
  <c r="I31" i="11" s="1"/>
  <c r="J31" i="11" s="1"/>
  <c r="K31" i="11"/>
  <c r="L31" i="11" s="1"/>
  <c r="B32" i="11"/>
  <c r="C32" i="11" s="1"/>
  <c r="E32" i="11"/>
  <c r="F32" i="11" s="1"/>
  <c r="G32" i="11" s="1"/>
  <c r="H32" i="11"/>
  <c r="I32" i="11" s="1"/>
  <c r="J32" i="11" s="1"/>
  <c r="K32" i="11"/>
  <c r="L32" i="11" s="1"/>
  <c r="B33" i="11"/>
  <c r="C33" i="11" s="1"/>
  <c r="E33" i="11"/>
  <c r="F33" i="11" s="1"/>
  <c r="G33" i="11" s="1"/>
  <c r="H33" i="11"/>
  <c r="I33" i="11" s="1"/>
  <c r="J33" i="11" s="1"/>
  <c r="B34" i="11"/>
  <c r="C34" i="11" s="1"/>
  <c r="E34" i="11"/>
  <c r="F34" i="11" s="1"/>
  <c r="G34" i="11" s="1"/>
  <c r="H34" i="11"/>
  <c r="I34" i="11" s="1"/>
  <c r="J34" i="11" s="1"/>
  <c r="B35" i="11"/>
  <c r="C35" i="11" s="1"/>
  <c r="E35" i="11"/>
  <c r="F35" i="11" s="1"/>
  <c r="G35" i="11" s="1"/>
  <c r="H35" i="11"/>
  <c r="I35" i="11" s="1"/>
  <c r="J35" i="11" s="1"/>
  <c r="K5" i="11"/>
  <c r="H5" i="11"/>
  <c r="E5" i="11"/>
  <c r="B5" i="11"/>
  <c r="D34" i="11" l="1"/>
  <c r="M31" i="11"/>
  <c r="M30" i="11"/>
  <c r="M28" i="11"/>
  <c r="M26" i="11"/>
  <c r="M23" i="11"/>
  <c r="D35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M32" i="11"/>
  <c r="M29" i="11"/>
  <c r="M27" i="11"/>
  <c r="M25" i="11"/>
  <c r="M22" i="11"/>
  <c r="M21" i="11"/>
  <c r="M20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D6" i="11"/>
  <c r="K15" i="10"/>
  <c r="K16" i="10"/>
  <c r="K34" i="9" l="1"/>
  <c r="R23" i="9"/>
  <c r="S23" i="9" s="1"/>
  <c r="T23" i="9" s="1"/>
  <c r="B5" i="10" l="1"/>
  <c r="C5" i="10" s="1"/>
  <c r="B6" i="10"/>
  <c r="C6" i="10" s="1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AB35" i="10"/>
  <c r="AB34" i="10"/>
  <c r="AB33" i="10"/>
  <c r="AB32" i="10"/>
  <c r="AB31" i="10"/>
  <c r="AB30" i="10"/>
  <c r="AB29" i="10"/>
  <c r="AB28" i="10"/>
  <c r="AB27" i="10"/>
  <c r="AB26" i="10"/>
  <c r="AB25" i="10"/>
  <c r="AB24" i="10"/>
  <c r="AB23" i="10"/>
  <c r="AB22" i="10"/>
  <c r="AB21" i="10"/>
  <c r="AB20" i="10"/>
  <c r="AB19" i="10"/>
  <c r="AB18" i="10"/>
  <c r="AB17" i="10"/>
  <c r="AB16" i="10"/>
  <c r="AB15" i="10"/>
  <c r="AB14" i="10"/>
  <c r="AB13" i="10"/>
  <c r="AB12" i="10"/>
  <c r="AB11" i="10"/>
  <c r="AB10" i="10"/>
  <c r="AB9" i="10"/>
  <c r="AB8" i="10"/>
  <c r="AB7" i="10"/>
  <c r="AB6" i="10"/>
  <c r="AB5" i="10"/>
  <c r="X35" i="10"/>
  <c r="U35" i="10"/>
  <c r="R35" i="10"/>
  <c r="O35" i="10"/>
  <c r="X34" i="10"/>
  <c r="U34" i="10"/>
  <c r="R34" i="10"/>
  <c r="O34" i="10"/>
  <c r="X33" i="10"/>
  <c r="U33" i="10"/>
  <c r="R33" i="10"/>
  <c r="O33" i="10"/>
  <c r="X32" i="10"/>
  <c r="U32" i="10"/>
  <c r="R32" i="10"/>
  <c r="O32" i="10"/>
  <c r="X31" i="10"/>
  <c r="U31" i="10"/>
  <c r="R31" i="10"/>
  <c r="O31" i="10"/>
  <c r="X30" i="10"/>
  <c r="U30" i="10"/>
  <c r="R30" i="10"/>
  <c r="O30" i="10"/>
  <c r="X29" i="10"/>
  <c r="U29" i="10"/>
  <c r="R29" i="10"/>
  <c r="O29" i="10"/>
  <c r="X28" i="10"/>
  <c r="U28" i="10"/>
  <c r="R28" i="10"/>
  <c r="O28" i="10"/>
  <c r="X27" i="10"/>
  <c r="U27" i="10"/>
  <c r="R27" i="10"/>
  <c r="O27" i="10"/>
  <c r="X26" i="10"/>
  <c r="U26" i="10"/>
  <c r="R26" i="10"/>
  <c r="O26" i="10"/>
  <c r="X25" i="10"/>
  <c r="U25" i="10"/>
  <c r="R25" i="10"/>
  <c r="O25" i="10"/>
  <c r="X24" i="10"/>
  <c r="U24" i="10"/>
  <c r="R24" i="10"/>
  <c r="O24" i="10"/>
  <c r="X23" i="10"/>
  <c r="U23" i="10"/>
  <c r="R23" i="10"/>
  <c r="O23" i="10"/>
  <c r="X22" i="10"/>
  <c r="U22" i="10"/>
  <c r="R22" i="10"/>
  <c r="O22" i="10"/>
  <c r="X21" i="10"/>
  <c r="U21" i="10"/>
  <c r="R21" i="10"/>
  <c r="O21" i="10"/>
  <c r="X20" i="10"/>
  <c r="U20" i="10"/>
  <c r="R20" i="10"/>
  <c r="O20" i="10"/>
  <c r="X19" i="10"/>
  <c r="U19" i="10"/>
  <c r="R19" i="10"/>
  <c r="O19" i="10"/>
  <c r="X18" i="10"/>
  <c r="U18" i="10"/>
  <c r="R18" i="10"/>
  <c r="O18" i="10"/>
  <c r="X17" i="10"/>
  <c r="U17" i="10"/>
  <c r="R17" i="10"/>
  <c r="O17" i="10"/>
  <c r="X16" i="10"/>
  <c r="U16" i="10"/>
  <c r="R16" i="10"/>
  <c r="O16" i="10"/>
  <c r="X15" i="10"/>
  <c r="U15" i="10"/>
  <c r="R15" i="10"/>
  <c r="O15" i="10"/>
  <c r="X14" i="10"/>
  <c r="U14" i="10"/>
  <c r="R14" i="10"/>
  <c r="O14" i="10"/>
  <c r="X13" i="10"/>
  <c r="U13" i="10"/>
  <c r="R13" i="10"/>
  <c r="O13" i="10"/>
  <c r="X12" i="10"/>
  <c r="U12" i="10"/>
  <c r="R12" i="10"/>
  <c r="O12" i="10"/>
  <c r="X11" i="10"/>
  <c r="U11" i="10"/>
  <c r="R11" i="10"/>
  <c r="O11" i="10"/>
  <c r="X10" i="10"/>
  <c r="U10" i="10"/>
  <c r="R10" i="10"/>
  <c r="O10" i="10"/>
  <c r="X9" i="10"/>
  <c r="U9" i="10"/>
  <c r="R9" i="10"/>
  <c r="O9" i="10"/>
  <c r="X8" i="10"/>
  <c r="U8" i="10"/>
  <c r="R8" i="10"/>
  <c r="O8" i="10"/>
  <c r="X7" i="10"/>
  <c r="U7" i="10"/>
  <c r="R7" i="10"/>
  <c r="O7" i="10"/>
  <c r="X6" i="10"/>
  <c r="U6" i="10"/>
  <c r="R6" i="10"/>
  <c r="O6" i="10"/>
  <c r="X5" i="10"/>
  <c r="U5" i="10"/>
  <c r="R5" i="10"/>
  <c r="O5" i="10"/>
  <c r="K35" i="10"/>
  <c r="H35" i="10"/>
  <c r="E35" i="10"/>
  <c r="K34" i="10"/>
  <c r="H34" i="10"/>
  <c r="E34" i="10"/>
  <c r="K33" i="10"/>
  <c r="H33" i="10"/>
  <c r="E33" i="10"/>
  <c r="K32" i="10"/>
  <c r="H32" i="10"/>
  <c r="E32" i="10"/>
  <c r="K31" i="10"/>
  <c r="H31" i="10"/>
  <c r="E31" i="10"/>
  <c r="K30" i="10"/>
  <c r="H30" i="10"/>
  <c r="E30" i="10"/>
  <c r="K29" i="10"/>
  <c r="H29" i="10"/>
  <c r="E29" i="10"/>
  <c r="K28" i="10"/>
  <c r="H28" i="10"/>
  <c r="E28" i="10"/>
  <c r="K27" i="10"/>
  <c r="H27" i="10"/>
  <c r="E27" i="10"/>
  <c r="K26" i="10"/>
  <c r="H26" i="10"/>
  <c r="E26" i="10"/>
  <c r="K25" i="10"/>
  <c r="H25" i="10"/>
  <c r="E25" i="10"/>
  <c r="K24" i="10"/>
  <c r="H24" i="10"/>
  <c r="E24" i="10"/>
  <c r="K23" i="10"/>
  <c r="H23" i="10"/>
  <c r="E23" i="10"/>
  <c r="K22" i="10"/>
  <c r="H22" i="10"/>
  <c r="E22" i="10"/>
  <c r="K21" i="10"/>
  <c r="H21" i="10"/>
  <c r="E21" i="10"/>
  <c r="K20" i="10"/>
  <c r="H20" i="10"/>
  <c r="E20" i="10"/>
  <c r="K19" i="10"/>
  <c r="H19" i="10"/>
  <c r="E19" i="10"/>
  <c r="K18" i="10"/>
  <c r="H18" i="10"/>
  <c r="E18" i="10"/>
  <c r="K17" i="10"/>
  <c r="H17" i="10"/>
  <c r="E17" i="10"/>
  <c r="H16" i="10"/>
  <c r="E16" i="10"/>
  <c r="H15" i="10"/>
  <c r="E15" i="10"/>
  <c r="K14" i="10"/>
  <c r="H14" i="10"/>
  <c r="E14" i="10"/>
  <c r="K13" i="10"/>
  <c r="H13" i="10"/>
  <c r="E13" i="10"/>
  <c r="K12" i="10"/>
  <c r="H12" i="10"/>
  <c r="E12" i="10"/>
  <c r="K11" i="10"/>
  <c r="H11" i="10"/>
  <c r="E11" i="10"/>
  <c r="K10" i="10"/>
  <c r="H10" i="10"/>
  <c r="E10" i="10"/>
  <c r="K9" i="10"/>
  <c r="H9" i="10"/>
  <c r="E9" i="10"/>
  <c r="K8" i="10"/>
  <c r="H8" i="10"/>
  <c r="E8" i="10"/>
  <c r="K7" i="10"/>
  <c r="H7" i="10"/>
  <c r="E7" i="10"/>
  <c r="K6" i="10"/>
  <c r="H6" i="10"/>
  <c r="E6" i="10"/>
  <c r="K5" i="10"/>
  <c r="H5" i="10"/>
  <c r="E5" i="10"/>
  <c r="D6" i="10" l="1"/>
  <c r="D5" i="10"/>
  <c r="R22" i="9"/>
  <c r="R24" i="9"/>
  <c r="R25" i="9"/>
  <c r="X6" i="9" l="1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5" i="9"/>
  <c r="K5" i="8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5" i="9"/>
  <c r="U34" i="9"/>
  <c r="R34" i="9"/>
  <c r="O34" i="9"/>
  <c r="U33" i="9"/>
  <c r="R33" i="9"/>
  <c r="O33" i="9"/>
  <c r="U32" i="9"/>
  <c r="R32" i="9"/>
  <c r="O32" i="9"/>
  <c r="U31" i="9"/>
  <c r="R31" i="9"/>
  <c r="O31" i="9"/>
  <c r="U30" i="9"/>
  <c r="R30" i="9"/>
  <c r="O30" i="9"/>
  <c r="U29" i="9"/>
  <c r="R29" i="9"/>
  <c r="O29" i="9"/>
  <c r="U28" i="9"/>
  <c r="R28" i="9"/>
  <c r="O28" i="9"/>
  <c r="U27" i="9"/>
  <c r="R27" i="9"/>
  <c r="O27" i="9"/>
  <c r="U26" i="9"/>
  <c r="R26" i="9"/>
  <c r="O26" i="9"/>
  <c r="U25" i="9"/>
  <c r="O25" i="9"/>
  <c r="U24" i="9"/>
  <c r="O24" i="9"/>
  <c r="U23" i="9"/>
  <c r="O23" i="9"/>
  <c r="U22" i="9"/>
  <c r="O22" i="9"/>
  <c r="U21" i="9"/>
  <c r="R21" i="9"/>
  <c r="O21" i="9"/>
  <c r="U20" i="9"/>
  <c r="R20" i="9"/>
  <c r="O20" i="9"/>
  <c r="U19" i="9"/>
  <c r="R19" i="9"/>
  <c r="O19" i="9"/>
  <c r="U18" i="9"/>
  <c r="R18" i="9"/>
  <c r="O18" i="9"/>
  <c r="U17" i="9"/>
  <c r="R17" i="9"/>
  <c r="O17" i="9"/>
  <c r="U16" i="9"/>
  <c r="R16" i="9"/>
  <c r="O16" i="9"/>
  <c r="U15" i="9"/>
  <c r="R15" i="9"/>
  <c r="O15" i="9"/>
  <c r="U14" i="9"/>
  <c r="R14" i="9"/>
  <c r="O14" i="9"/>
  <c r="U13" i="9"/>
  <c r="R13" i="9"/>
  <c r="O13" i="9"/>
  <c r="U12" i="9"/>
  <c r="R12" i="9"/>
  <c r="O12" i="9"/>
  <c r="U11" i="9"/>
  <c r="R11" i="9"/>
  <c r="O11" i="9"/>
  <c r="U10" i="9"/>
  <c r="R10" i="9"/>
  <c r="O10" i="9"/>
  <c r="U9" i="9"/>
  <c r="R9" i="9"/>
  <c r="O9" i="9"/>
  <c r="U8" i="9"/>
  <c r="R8" i="9"/>
  <c r="O8" i="9"/>
  <c r="U7" i="9"/>
  <c r="R7" i="9"/>
  <c r="O7" i="9"/>
  <c r="U6" i="9"/>
  <c r="R6" i="9"/>
  <c r="O6" i="9"/>
  <c r="U5" i="9"/>
  <c r="R5" i="9"/>
  <c r="O5" i="9"/>
  <c r="H34" i="9"/>
  <c r="I34" i="9" s="1"/>
  <c r="E34" i="9"/>
  <c r="B34" i="9"/>
  <c r="H33" i="9"/>
  <c r="I33" i="9" s="1"/>
  <c r="E33" i="9"/>
  <c r="B33" i="9"/>
  <c r="H32" i="9"/>
  <c r="I32" i="9" s="1"/>
  <c r="E32" i="9"/>
  <c r="B32" i="9"/>
  <c r="H31" i="9"/>
  <c r="I31" i="9" s="1"/>
  <c r="E31" i="9"/>
  <c r="B31" i="9"/>
  <c r="H30" i="9"/>
  <c r="I30" i="9" s="1"/>
  <c r="E30" i="9"/>
  <c r="B30" i="9"/>
  <c r="H29" i="9"/>
  <c r="E29" i="9"/>
  <c r="B29" i="9"/>
  <c r="H28" i="9"/>
  <c r="E28" i="9"/>
  <c r="B28" i="9"/>
  <c r="H27" i="9"/>
  <c r="E27" i="9"/>
  <c r="B27" i="9"/>
  <c r="H26" i="9"/>
  <c r="E26" i="9"/>
  <c r="B26" i="9"/>
  <c r="H25" i="9"/>
  <c r="E25" i="9"/>
  <c r="B25" i="9"/>
  <c r="H24" i="9"/>
  <c r="E24" i="9"/>
  <c r="B24" i="9"/>
  <c r="H23" i="9"/>
  <c r="E23" i="9"/>
  <c r="B23" i="9"/>
  <c r="H22" i="9"/>
  <c r="E22" i="9"/>
  <c r="B22" i="9"/>
  <c r="H21" i="9"/>
  <c r="E21" i="9"/>
  <c r="B21" i="9"/>
  <c r="H20" i="9"/>
  <c r="E20" i="9"/>
  <c r="B20" i="9"/>
  <c r="H19" i="9"/>
  <c r="E19" i="9"/>
  <c r="B19" i="9"/>
  <c r="H18" i="9"/>
  <c r="E18" i="9"/>
  <c r="B18" i="9"/>
  <c r="H17" i="9"/>
  <c r="E17" i="9"/>
  <c r="B17" i="9"/>
  <c r="H16" i="9"/>
  <c r="E16" i="9"/>
  <c r="B16" i="9"/>
  <c r="H15" i="9"/>
  <c r="E15" i="9"/>
  <c r="B15" i="9"/>
  <c r="H14" i="9"/>
  <c r="E14" i="9"/>
  <c r="B14" i="9"/>
  <c r="H13" i="9"/>
  <c r="E13" i="9"/>
  <c r="B13" i="9"/>
  <c r="H12" i="9"/>
  <c r="E12" i="9"/>
  <c r="B12" i="9"/>
  <c r="H11" i="9"/>
  <c r="E11" i="9"/>
  <c r="B11" i="9"/>
  <c r="H10" i="9"/>
  <c r="E10" i="9"/>
  <c r="B10" i="9"/>
  <c r="H9" i="9"/>
  <c r="E9" i="9"/>
  <c r="B9" i="9"/>
  <c r="H8" i="9"/>
  <c r="E8" i="9"/>
  <c r="B8" i="9"/>
  <c r="H7" i="9"/>
  <c r="E7" i="9"/>
  <c r="B7" i="9"/>
  <c r="H6" i="9"/>
  <c r="E6" i="9"/>
  <c r="B6" i="9"/>
  <c r="H5" i="9"/>
  <c r="E5" i="9"/>
  <c r="B5" i="9"/>
  <c r="X35" i="8" l="1"/>
  <c r="U35" i="8"/>
  <c r="R35" i="8"/>
  <c r="O35" i="8"/>
  <c r="X34" i="8"/>
  <c r="U34" i="8"/>
  <c r="R34" i="8"/>
  <c r="O34" i="8"/>
  <c r="X33" i="8"/>
  <c r="U33" i="8"/>
  <c r="R33" i="8"/>
  <c r="O33" i="8"/>
  <c r="X32" i="8"/>
  <c r="U32" i="8"/>
  <c r="R32" i="8"/>
  <c r="O32" i="8"/>
  <c r="X31" i="8"/>
  <c r="U31" i="8"/>
  <c r="R31" i="8"/>
  <c r="O31" i="8"/>
  <c r="X30" i="8"/>
  <c r="U30" i="8"/>
  <c r="R30" i="8"/>
  <c r="O30" i="8"/>
  <c r="X29" i="8"/>
  <c r="U29" i="8"/>
  <c r="R29" i="8"/>
  <c r="O29" i="8"/>
  <c r="X28" i="8"/>
  <c r="U28" i="8"/>
  <c r="R28" i="8"/>
  <c r="O28" i="8"/>
  <c r="X27" i="8"/>
  <c r="U27" i="8"/>
  <c r="R27" i="8"/>
  <c r="O27" i="8"/>
  <c r="X26" i="8"/>
  <c r="U26" i="8"/>
  <c r="R26" i="8"/>
  <c r="O26" i="8"/>
  <c r="X25" i="8"/>
  <c r="U25" i="8"/>
  <c r="R25" i="8"/>
  <c r="O25" i="8"/>
  <c r="X24" i="8"/>
  <c r="U24" i="8"/>
  <c r="R24" i="8"/>
  <c r="O24" i="8"/>
  <c r="X23" i="8"/>
  <c r="U23" i="8"/>
  <c r="R23" i="8"/>
  <c r="O23" i="8"/>
  <c r="X22" i="8"/>
  <c r="U22" i="8"/>
  <c r="R22" i="8"/>
  <c r="O22" i="8"/>
  <c r="X21" i="8"/>
  <c r="U21" i="8"/>
  <c r="R21" i="8"/>
  <c r="O21" i="8"/>
  <c r="X20" i="8"/>
  <c r="U20" i="8"/>
  <c r="R20" i="8"/>
  <c r="O20" i="8"/>
  <c r="X19" i="8"/>
  <c r="U19" i="8"/>
  <c r="R19" i="8"/>
  <c r="O19" i="8"/>
  <c r="X18" i="8"/>
  <c r="U18" i="8"/>
  <c r="R18" i="8"/>
  <c r="O18" i="8"/>
  <c r="X17" i="8"/>
  <c r="U17" i="8"/>
  <c r="R17" i="8"/>
  <c r="O17" i="8"/>
  <c r="X16" i="8"/>
  <c r="U16" i="8"/>
  <c r="R16" i="8"/>
  <c r="O16" i="8"/>
  <c r="X15" i="8"/>
  <c r="U15" i="8"/>
  <c r="R15" i="8"/>
  <c r="O15" i="8"/>
  <c r="X14" i="8"/>
  <c r="U14" i="8"/>
  <c r="R14" i="8"/>
  <c r="O14" i="8"/>
  <c r="X13" i="8"/>
  <c r="U13" i="8"/>
  <c r="R13" i="8"/>
  <c r="O13" i="8"/>
  <c r="X12" i="8"/>
  <c r="U12" i="8"/>
  <c r="R12" i="8"/>
  <c r="O12" i="8"/>
  <c r="X11" i="8"/>
  <c r="U11" i="8"/>
  <c r="R11" i="8"/>
  <c r="O11" i="8"/>
  <c r="X10" i="8"/>
  <c r="U10" i="8"/>
  <c r="R10" i="8"/>
  <c r="O10" i="8"/>
  <c r="X9" i="8"/>
  <c r="U9" i="8"/>
  <c r="R9" i="8"/>
  <c r="O9" i="8"/>
  <c r="X8" i="8"/>
  <c r="U8" i="8"/>
  <c r="R8" i="8"/>
  <c r="O8" i="8"/>
  <c r="X7" i="8"/>
  <c r="U7" i="8"/>
  <c r="R7" i="8"/>
  <c r="O7" i="8"/>
  <c r="X6" i="8"/>
  <c r="U6" i="8"/>
  <c r="R6" i="8"/>
  <c r="O6" i="8"/>
  <c r="X5" i="8"/>
  <c r="U5" i="8"/>
  <c r="R5" i="8"/>
  <c r="O5" i="8"/>
  <c r="K35" i="8"/>
  <c r="H35" i="8"/>
  <c r="E35" i="8"/>
  <c r="B35" i="8"/>
  <c r="K34" i="8"/>
  <c r="H34" i="8"/>
  <c r="E34" i="8"/>
  <c r="B34" i="8"/>
  <c r="K33" i="8"/>
  <c r="H33" i="8"/>
  <c r="E33" i="8"/>
  <c r="B33" i="8"/>
  <c r="K32" i="8"/>
  <c r="H32" i="8"/>
  <c r="E32" i="8"/>
  <c r="B32" i="8"/>
  <c r="K31" i="8"/>
  <c r="H31" i="8"/>
  <c r="E31" i="8"/>
  <c r="B31" i="8"/>
  <c r="K30" i="8"/>
  <c r="H30" i="8"/>
  <c r="E30" i="8"/>
  <c r="B30" i="8"/>
  <c r="K29" i="8"/>
  <c r="H29" i="8"/>
  <c r="E29" i="8"/>
  <c r="B29" i="8"/>
  <c r="K28" i="8"/>
  <c r="H28" i="8"/>
  <c r="E28" i="8"/>
  <c r="B28" i="8"/>
  <c r="K27" i="8"/>
  <c r="H27" i="8"/>
  <c r="E27" i="8"/>
  <c r="B27" i="8"/>
  <c r="K26" i="8"/>
  <c r="H26" i="8"/>
  <c r="E26" i="8"/>
  <c r="B26" i="8"/>
  <c r="K25" i="8"/>
  <c r="H25" i="8"/>
  <c r="E25" i="8"/>
  <c r="B25" i="8"/>
  <c r="K24" i="8"/>
  <c r="H24" i="8"/>
  <c r="E24" i="8"/>
  <c r="B24" i="8"/>
  <c r="K23" i="8"/>
  <c r="H23" i="8"/>
  <c r="E23" i="8"/>
  <c r="B23" i="8"/>
  <c r="K22" i="8"/>
  <c r="H22" i="8"/>
  <c r="E22" i="8"/>
  <c r="B22" i="8"/>
  <c r="K21" i="8"/>
  <c r="H21" i="8"/>
  <c r="E21" i="8"/>
  <c r="B21" i="8"/>
  <c r="K20" i="8"/>
  <c r="H20" i="8"/>
  <c r="E20" i="8"/>
  <c r="B20" i="8"/>
  <c r="K19" i="8"/>
  <c r="H19" i="8"/>
  <c r="E19" i="8"/>
  <c r="B19" i="8"/>
  <c r="K18" i="8"/>
  <c r="H18" i="8"/>
  <c r="E18" i="8"/>
  <c r="B18" i="8"/>
  <c r="K17" i="8"/>
  <c r="H17" i="8"/>
  <c r="E17" i="8"/>
  <c r="B17" i="8"/>
  <c r="K16" i="8"/>
  <c r="H16" i="8"/>
  <c r="E16" i="8"/>
  <c r="B16" i="8"/>
  <c r="K15" i="8"/>
  <c r="H15" i="8"/>
  <c r="E15" i="8"/>
  <c r="B15" i="8"/>
  <c r="K14" i="8"/>
  <c r="H14" i="8"/>
  <c r="E14" i="8"/>
  <c r="B14" i="8"/>
  <c r="K13" i="8"/>
  <c r="H13" i="8"/>
  <c r="E13" i="8"/>
  <c r="B13" i="8"/>
  <c r="K12" i="8"/>
  <c r="H12" i="8"/>
  <c r="E12" i="8"/>
  <c r="B12" i="8"/>
  <c r="K11" i="8"/>
  <c r="H11" i="8"/>
  <c r="E11" i="8"/>
  <c r="B11" i="8"/>
  <c r="K10" i="8"/>
  <c r="H10" i="8"/>
  <c r="E10" i="8"/>
  <c r="B10" i="8"/>
  <c r="K9" i="8"/>
  <c r="H9" i="8"/>
  <c r="E9" i="8"/>
  <c r="B9" i="8"/>
  <c r="K8" i="8"/>
  <c r="H8" i="8"/>
  <c r="E8" i="8"/>
  <c r="B8" i="8"/>
  <c r="K7" i="8"/>
  <c r="H7" i="8"/>
  <c r="E7" i="8"/>
  <c r="B7" i="8"/>
  <c r="K6" i="8"/>
  <c r="H6" i="8"/>
  <c r="E6" i="8"/>
  <c r="B6" i="8"/>
  <c r="H5" i="8"/>
  <c r="E5" i="8"/>
  <c r="B5" i="8"/>
  <c r="X6" i="7" l="1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5" i="7"/>
  <c r="K6" i="7"/>
  <c r="K7" i="7"/>
  <c r="K8" i="7"/>
  <c r="K9" i="7"/>
  <c r="K10" i="7"/>
  <c r="K11" i="7"/>
  <c r="L11" i="7" s="1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5" i="7"/>
  <c r="L12" i="7"/>
  <c r="M11" i="7" l="1"/>
  <c r="M12" i="7"/>
  <c r="R8" i="7"/>
  <c r="S8" i="7" s="1"/>
  <c r="T8" i="7" s="1"/>
  <c r="R9" i="7"/>
  <c r="S9" i="7" s="1"/>
  <c r="T9" i="7" s="1"/>
  <c r="R10" i="7"/>
  <c r="S10" i="7" s="1"/>
  <c r="T10" i="7" s="1"/>
  <c r="R11" i="7"/>
  <c r="S11" i="7" s="1"/>
  <c r="T11" i="7" s="1"/>
  <c r="R12" i="7"/>
  <c r="S12" i="7" s="1"/>
  <c r="T12" i="7" s="1"/>
  <c r="R13" i="7"/>
  <c r="S13" i="7" s="1"/>
  <c r="T13" i="7" s="1"/>
  <c r="R14" i="7"/>
  <c r="S14" i="7" s="1"/>
  <c r="T14" i="7" s="1"/>
  <c r="R15" i="7"/>
  <c r="S15" i="7" s="1"/>
  <c r="T15" i="7" s="1"/>
  <c r="R16" i="7"/>
  <c r="S16" i="7" s="1"/>
  <c r="T16" i="7" s="1"/>
  <c r="O9" i="7"/>
  <c r="P9" i="7" s="1"/>
  <c r="O10" i="7"/>
  <c r="P10" i="7" s="1"/>
  <c r="O11" i="7"/>
  <c r="P11" i="7" s="1"/>
  <c r="O12" i="7"/>
  <c r="P12" i="7" s="1"/>
  <c r="O13" i="7"/>
  <c r="P13" i="7" s="1"/>
  <c r="Q13" i="7" l="1"/>
  <c r="Q11" i="7"/>
  <c r="Q9" i="7"/>
  <c r="Q12" i="7"/>
  <c r="Q10" i="7"/>
  <c r="U34" i="7"/>
  <c r="R34" i="7"/>
  <c r="O34" i="7"/>
  <c r="U33" i="7"/>
  <c r="R33" i="7"/>
  <c r="O33" i="7"/>
  <c r="U32" i="7"/>
  <c r="R32" i="7"/>
  <c r="O32" i="7"/>
  <c r="U31" i="7"/>
  <c r="R31" i="7"/>
  <c r="O31" i="7"/>
  <c r="U30" i="7"/>
  <c r="R30" i="7"/>
  <c r="O30" i="7"/>
  <c r="U29" i="7"/>
  <c r="R29" i="7"/>
  <c r="O29" i="7"/>
  <c r="U28" i="7"/>
  <c r="R28" i="7"/>
  <c r="O28" i="7"/>
  <c r="U27" i="7"/>
  <c r="R27" i="7"/>
  <c r="O27" i="7"/>
  <c r="U26" i="7"/>
  <c r="R26" i="7"/>
  <c r="O26" i="7"/>
  <c r="U25" i="7"/>
  <c r="R25" i="7"/>
  <c r="O25" i="7"/>
  <c r="U24" i="7"/>
  <c r="R24" i="7"/>
  <c r="O24" i="7"/>
  <c r="U23" i="7"/>
  <c r="R23" i="7"/>
  <c r="O23" i="7"/>
  <c r="U22" i="7"/>
  <c r="R22" i="7"/>
  <c r="O22" i="7"/>
  <c r="U21" i="7"/>
  <c r="R21" i="7"/>
  <c r="O21" i="7"/>
  <c r="U20" i="7"/>
  <c r="R20" i="7"/>
  <c r="O20" i="7"/>
  <c r="U19" i="7"/>
  <c r="R19" i="7"/>
  <c r="O19" i="7"/>
  <c r="U18" i="7"/>
  <c r="R18" i="7"/>
  <c r="O18" i="7"/>
  <c r="U17" i="7"/>
  <c r="R17" i="7"/>
  <c r="O17" i="7"/>
  <c r="U16" i="7"/>
  <c r="O16" i="7"/>
  <c r="U15" i="7"/>
  <c r="O15" i="7"/>
  <c r="U14" i="7"/>
  <c r="O14" i="7"/>
  <c r="U13" i="7"/>
  <c r="U12" i="7"/>
  <c r="U11" i="7"/>
  <c r="U10" i="7"/>
  <c r="U9" i="7"/>
  <c r="U8" i="7"/>
  <c r="O8" i="7"/>
  <c r="U7" i="7"/>
  <c r="R7" i="7"/>
  <c r="O7" i="7"/>
  <c r="U6" i="7"/>
  <c r="R6" i="7"/>
  <c r="O6" i="7"/>
  <c r="U5" i="7"/>
  <c r="R5" i="7"/>
  <c r="O5" i="7"/>
  <c r="H34" i="7"/>
  <c r="I34" i="7" s="1"/>
  <c r="E34" i="7"/>
  <c r="B34" i="7"/>
  <c r="H33" i="7"/>
  <c r="I33" i="7" s="1"/>
  <c r="E33" i="7"/>
  <c r="B33" i="7"/>
  <c r="H32" i="7"/>
  <c r="I32" i="7" s="1"/>
  <c r="E32" i="7"/>
  <c r="B32" i="7"/>
  <c r="H31" i="7"/>
  <c r="I31" i="7" s="1"/>
  <c r="E31" i="7"/>
  <c r="B31" i="7"/>
  <c r="H30" i="7"/>
  <c r="I30" i="7" s="1"/>
  <c r="E30" i="7"/>
  <c r="B30" i="7"/>
  <c r="H29" i="7"/>
  <c r="I29" i="7" s="1"/>
  <c r="E29" i="7"/>
  <c r="B29" i="7"/>
  <c r="H28" i="7"/>
  <c r="I28" i="7" s="1"/>
  <c r="E28" i="7"/>
  <c r="B28" i="7"/>
  <c r="H27" i="7"/>
  <c r="I27" i="7" s="1"/>
  <c r="E27" i="7"/>
  <c r="B27" i="7"/>
  <c r="H26" i="7"/>
  <c r="I26" i="7" s="1"/>
  <c r="E26" i="7"/>
  <c r="B26" i="7"/>
  <c r="H25" i="7"/>
  <c r="I25" i="7" s="1"/>
  <c r="E25" i="7"/>
  <c r="B25" i="7"/>
  <c r="H24" i="7"/>
  <c r="I24" i="7" s="1"/>
  <c r="E24" i="7"/>
  <c r="B24" i="7"/>
  <c r="H23" i="7"/>
  <c r="I23" i="7" s="1"/>
  <c r="E23" i="7"/>
  <c r="B23" i="7"/>
  <c r="H22" i="7"/>
  <c r="I22" i="7" s="1"/>
  <c r="E22" i="7"/>
  <c r="B22" i="7"/>
  <c r="H21" i="7"/>
  <c r="I21" i="7" s="1"/>
  <c r="E21" i="7"/>
  <c r="B21" i="7"/>
  <c r="H20" i="7"/>
  <c r="I20" i="7" s="1"/>
  <c r="E20" i="7"/>
  <c r="B20" i="7"/>
  <c r="H19" i="7"/>
  <c r="I19" i="7" s="1"/>
  <c r="E19" i="7"/>
  <c r="B19" i="7"/>
  <c r="H18" i="7"/>
  <c r="I18" i="7" s="1"/>
  <c r="E18" i="7"/>
  <c r="B18" i="7"/>
  <c r="H17" i="7"/>
  <c r="I17" i="7" s="1"/>
  <c r="E17" i="7"/>
  <c r="B17" i="7"/>
  <c r="H16" i="7"/>
  <c r="I16" i="7" s="1"/>
  <c r="E16" i="7"/>
  <c r="B16" i="7"/>
  <c r="H15" i="7"/>
  <c r="I15" i="7" s="1"/>
  <c r="E15" i="7"/>
  <c r="B15" i="7"/>
  <c r="H14" i="7"/>
  <c r="I14" i="7" s="1"/>
  <c r="E14" i="7"/>
  <c r="B14" i="7"/>
  <c r="H13" i="7"/>
  <c r="I13" i="7" s="1"/>
  <c r="E13" i="7"/>
  <c r="B13" i="7"/>
  <c r="H12" i="7"/>
  <c r="I12" i="7" s="1"/>
  <c r="E12" i="7"/>
  <c r="B12" i="7"/>
  <c r="H11" i="7"/>
  <c r="I11" i="7" s="1"/>
  <c r="E11" i="7"/>
  <c r="B11" i="7"/>
  <c r="H10" i="7"/>
  <c r="I10" i="7" s="1"/>
  <c r="E10" i="7"/>
  <c r="B10" i="7"/>
  <c r="H9" i="7"/>
  <c r="I9" i="7" s="1"/>
  <c r="E9" i="7"/>
  <c r="B9" i="7"/>
  <c r="H8" i="7"/>
  <c r="I8" i="7" s="1"/>
  <c r="E8" i="7"/>
  <c r="B8" i="7"/>
  <c r="H7" i="7"/>
  <c r="E7" i="7"/>
  <c r="B7" i="7"/>
  <c r="H6" i="7"/>
  <c r="E6" i="7"/>
  <c r="B6" i="7"/>
  <c r="H5" i="7"/>
  <c r="E5" i="7"/>
  <c r="B5" i="7"/>
  <c r="X35" i="6" l="1"/>
  <c r="U35" i="6"/>
  <c r="R35" i="6"/>
  <c r="O35" i="6"/>
  <c r="X34" i="6"/>
  <c r="U34" i="6"/>
  <c r="R34" i="6"/>
  <c r="O34" i="6"/>
  <c r="X33" i="6"/>
  <c r="U33" i="6"/>
  <c r="R33" i="6"/>
  <c r="O33" i="6"/>
  <c r="X32" i="6"/>
  <c r="U32" i="6"/>
  <c r="R32" i="6"/>
  <c r="O32" i="6"/>
  <c r="X31" i="6"/>
  <c r="U31" i="6"/>
  <c r="R31" i="6"/>
  <c r="O31" i="6"/>
  <c r="X30" i="6"/>
  <c r="U30" i="6"/>
  <c r="R30" i="6"/>
  <c r="O30" i="6"/>
  <c r="X29" i="6"/>
  <c r="U29" i="6"/>
  <c r="R29" i="6"/>
  <c r="O29" i="6"/>
  <c r="X28" i="6"/>
  <c r="U28" i="6"/>
  <c r="R28" i="6"/>
  <c r="O28" i="6"/>
  <c r="X27" i="6"/>
  <c r="U27" i="6"/>
  <c r="R27" i="6"/>
  <c r="O27" i="6"/>
  <c r="X26" i="6"/>
  <c r="U26" i="6"/>
  <c r="R26" i="6"/>
  <c r="O26" i="6"/>
  <c r="X25" i="6"/>
  <c r="U25" i="6"/>
  <c r="R25" i="6"/>
  <c r="O25" i="6"/>
  <c r="X24" i="6"/>
  <c r="U24" i="6"/>
  <c r="R24" i="6"/>
  <c r="O24" i="6"/>
  <c r="X23" i="6"/>
  <c r="U23" i="6"/>
  <c r="R23" i="6"/>
  <c r="O23" i="6"/>
  <c r="X22" i="6"/>
  <c r="U22" i="6"/>
  <c r="R22" i="6"/>
  <c r="O22" i="6"/>
  <c r="X21" i="6"/>
  <c r="U21" i="6"/>
  <c r="R21" i="6"/>
  <c r="O21" i="6"/>
  <c r="X20" i="6"/>
  <c r="U20" i="6"/>
  <c r="R20" i="6"/>
  <c r="O20" i="6"/>
  <c r="X19" i="6"/>
  <c r="U19" i="6"/>
  <c r="R19" i="6"/>
  <c r="O19" i="6"/>
  <c r="X18" i="6"/>
  <c r="U18" i="6"/>
  <c r="R18" i="6"/>
  <c r="O18" i="6"/>
  <c r="X17" i="6"/>
  <c r="U17" i="6"/>
  <c r="R17" i="6"/>
  <c r="O17" i="6"/>
  <c r="X16" i="6"/>
  <c r="U16" i="6"/>
  <c r="R16" i="6"/>
  <c r="O16" i="6"/>
  <c r="X15" i="6"/>
  <c r="U15" i="6"/>
  <c r="R15" i="6"/>
  <c r="O15" i="6"/>
  <c r="X14" i="6"/>
  <c r="U14" i="6"/>
  <c r="R14" i="6"/>
  <c r="O14" i="6"/>
  <c r="X13" i="6"/>
  <c r="U13" i="6"/>
  <c r="R13" i="6"/>
  <c r="O13" i="6"/>
  <c r="X12" i="6"/>
  <c r="U12" i="6"/>
  <c r="R12" i="6"/>
  <c r="O12" i="6"/>
  <c r="X11" i="6"/>
  <c r="U11" i="6"/>
  <c r="R11" i="6"/>
  <c r="O11" i="6"/>
  <c r="X10" i="6"/>
  <c r="U10" i="6"/>
  <c r="R10" i="6"/>
  <c r="O10" i="6"/>
  <c r="X9" i="6"/>
  <c r="U9" i="6"/>
  <c r="R9" i="6"/>
  <c r="O9" i="6"/>
  <c r="X8" i="6"/>
  <c r="U8" i="6"/>
  <c r="R8" i="6"/>
  <c r="O8" i="6"/>
  <c r="X7" i="6"/>
  <c r="U7" i="6"/>
  <c r="R7" i="6"/>
  <c r="O7" i="6"/>
  <c r="X6" i="6"/>
  <c r="U6" i="6"/>
  <c r="R6" i="6"/>
  <c r="O6" i="6"/>
  <c r="X5" i="6"/>
  <c r="U5" i="6"/>
  <c r="R5" i="6"/>
  <c r="O5" i="6"/>
  <c r="K35" i="6"/>
  <c r="H35" i="6"/>
  <c r="E35" i="6"/>
  <c r="B35" i="6"/>
  <c r="K34" i="6"/>
  <c r="H34" i="6"/>
  <c r="E34" i="6"/>
  <c r="B34" i="6"/>
  <c r="K33" i="6"/>
  <c r="H33" i="6"/>
  <c r="E33" i="6"/>
  <c r="B33" i="6"/>
  <c r="K32" i="6"/>
  <c r="H32" i="6"/>
  <c r="E32" i="6"/>
  <c r="B32" i="6"/>
  <c r="K31" i="6"/>
  <c r="H31" i="6"/>
  <c r="E31" i="6"/>
  <c r="B31" i="6"/>
  <c r="K30" i="6"/>
  <c r="H30" i="6"/>
  <c r="E30" i="6"/>
  <c r="B30" i="6"/>
  <c r="K29" i="6"/>
  <c r="H29" i="6"/>
  <c r="E29" i="6"/>
  <c r="B29" i="6"/>
  <c r="K28" i="6"/>
  <c r="H28" i="6"/>
  <c r="E28" i="6"/>
  <c r="B28" i="6"/>
  <c r="K27" i="6"/>
  <c r="H27" i="6"/>
  <c r="E27" i="6"/>
  <c r="B27" i="6"/>
  <c r="K26" i="6"/>
  <c r="H26" i="6"/>
  <c r="E26" i="6"/>
  <c r="B26" i="6"/>
  <c r="K25" i="6"/>
  <c r="H25" i="6"/>
  <c r="E25" i="6"/>
  <c r="B25" i="6"/>
  <c r="K24" i="6"/>
  <c r="H24" i="6"/>
  <c r="E24" i="6"/>
  <c r="B24" i="6"/>
  <c r="K23" i="6"/>
  <c r="H23" i="6"/>
  <c r="E23" i="6"/>
  <c r="B23" i="6"/>
  <c r="K22" i="6"/>
  <c r="H22" i="6"/>
  <c r="E22" i="6"/>
  <c r="B22" i="6"/>
  <c r="K21" i="6"/>
  <c r="H21" i="6"/>
  <c r="E21" i="6"/>
  <c r="B21" i="6"/>
  <c r="K20" i="6"/>
  <c r="H20" i="6"/>
  <c r="E20" i="6"/>
  <c r="B20" i="6"/>
  <c r="K19" i="6"/>
  <c r="H19" i="6"/>
  <c r="E19" i="6"/>
  <c r="B19" i="6"/>
  <c r="K18" i="6"/>
  <c r="H18" i="6"/>
  <c r="E18" i="6"/>
  <c r="B18" i="6"/>
  <c r="K17" i="6"/>
  <c r="H17" i="6"/>
  <c r="E17" i="6"/>
  <c r="B17" i="6"/>
  <c r="K16" i="6"/>
  <c r="H16" i="6"/>
  <c r="E16" i="6"/>
  <c r="B16" i="6"/>
  <c r="K15" i="6"/>
  <c r="H15" i="6"/>
  <c r="E15" i="6"/>
  <c r="B15" i="6"/>
  <c r="K14" i="6"/>
  <c r="H14" i="6"/>
  <c r="E14" i="6"/>
  <c r="B14" i="6"/>
  <c r="K13" i="6"/>
  <c r="H13" i="6"/>
  <c r="E13" i="6"/>
  <c r="B13" i="6"/>
  <c r="K12" i="6"/>
  <c r="H12" i="6"/>
  <c r="E12" i="6"/>
  <c r="B12" i="6"/>
  <c r="K11" i="6"/>
  <c r="H11" i="6"/>
  <c r="E11" i="6"/>
  <c r="B11" i="6"/>
  <c r="K10" i="6"/>
  <c r="H10" i="6"/>
  <c r="E10" i="6"/>
  <c r="B10" i="6"/>
  <c r="K9" i="6"/>
  <c r="H9" i="6"/>
  <c r="E9" i="6"/>
  <c r="B9" i="6"/>
  <c r="K8" i="6"/>
  <c r="H8" i="6"/>
  <c r="E8" i="6"/>
  <c r="B8" i="6"/>
  <c r="K7" i="6"/>
  <c r="H7" i="6"/>
  <c r="E7" i="6"/>
  <c r="B7" i="6"/>
  <c r="K6" i="6"/>
  <c r="H6" i="6"/>
  <c r="E6" i="6"/>
  <c r="B6" i="6"/>
  <c r="K5" i="6"/>
  <c r="H5" i="6"/>
  <c r="E5" i="6"/>
  <c r="B5" i="6"/>
  <c r="H5" i="14" l="1"/>
  <c r="I30" i="6" l="1"/>
  <c r="I31" i="6"/>
  <c r="I32" i="6"/>
  <c r="I33" i="6"/>
  <c r="I34" i="6"/>
  <c r="I35" i="6"/>
  <c r="O6" i="4" l="1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R6" i="4"/>
  <c r="R7" i="4"/>
  <c r="R8" i="4"/>
  <c r="R9" i="4"/>
  <c r="R10" i="4"/>
  <c r="R11" i="4"/>
  <c r="R12" i="4"/>
  <c r="R13" i="4"/>
  <c r="R14" i="4"/>
  <c r="R15" i="4"/>
  <c r="R16" i="4"/>
  <c r="U6" i="4"/>
  <c r="U7" i="4"/>
  <c r="U8" i="4"/>
  <c r="U9" i="4"/>
  <c r="U10" i="4"/>
  <c r="U11" i="4"/>
  <c r="U12" i="4"/>
  <c r="U13" i="4"/>
  <c r="U14" i="4"/>
  <c r="U15" i="4"/>
  <c r="U16" i="4"/>
  <c r="U17" i="4"/>
  <c r="X6" i="4"/>
  <c r="X7" i="4"/>
  <c r="X8" i="4"/>
  <c r="X9" i="4"/>
  <c r="X10" i="4"/>
  <c r="X11" i="4"/>
  <c r="X12" i="4"/>
  <c r="X13" i="4"/>
  <c r="X14" i="4"/>
  <c r="X15" i="4"/>
  <c r="X16" i="4"/>
  <c r="X17" i="4"/>
  <c r="K6" i="4"/>
  <c r="K7" i="4"/>
  <c r="K8" i="4"/>
  <c r="K9" i="4"/>
  <c r="K10" i="4"/>
  <c r="K11" i="4"/>
  <c r="K12" i="4"/>
  <c r="K13" i="4"/>
  <c r="K29" i="4"/>
  <c r="K30" i="4"/>
  <c r="K31" i="4"/>
  <c r="K32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B6" i="4"/>
  <c r="B7" i="4"/>
  <c r="AB7" i="4" s="1"/>
  <c r="B8" i="4"/>
  <c r="B9" i="4"/>
  <c r="AB9" i="4" s="1"/>
  <c r="B10" i="4"/>
  <c r="B11" i="4"/>
  <c r="AB11" i="4" s="1"/>
  <c r="B12" i="4"/>
  <c r="B13" i="4"/>
  <c r="AB13" i="4" s="1"/>
  <c r="B14" i="4"/>
  <c r="B15" i="4"/>
  <c r="AB15" i="4" s="1"/>
  <c r="B16" i="4"/>
  <c r="B17" i="4"/>
  <c r="AB17" i="4" s="1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5" i="4"/>
  <c r="AB16" i="4" l="1"/>
  <c r="AB14" i="4"/>
  <c r="AB12" i="4"/>
  <c r="AB10" i="4"/>
  <c r="AB8" i="4"/>
  <c r="AB6" i="4"/>
  <c r="K21" i="1"/>
  <c r="L21" i="1" s="1"/>
  <c r="M21" i="1" s="1"/>
  <c r="X32" i="4" l="1"/>
  <c r="U32" i="4"/>
  <c r="R32" i="4"/>
  <c r="O32" i="4"/>
  <c r="X31" i="4"/>
  <c r="U31" i="4"/>
  <c r="R31" i="4"/>
  <c r="O31" i="4"/>
  <c r="X30" i="4"/>
  <c r="U30" i="4"/>
  <c r="R30" i="4"/>
  <c r="O30" i="4"/>
  <c r="X29" i="4"/>
  <c r="U29" i="4"/>
  <c r="R29" i="4"/>
  <c r="O29" i="4"/>
  <c r="X28" i="4"/>
  <c r="U28" i="4"/>
  <c r="R28" i="4"/>
  <c r="O28" i="4"/>
  <c r="X27" i="4"/>
  <c r="U27" i="4"/>
  <c r="R27" i="4"/>
  <c r="O27" i="4"/>
  <c r="X26" i="4"/>
  <c r="U26" i="4"/>
  <c r="R26" i="4"/>
  <c r="O26" i="4"/>
  <c r="X25" i="4"/>
  <c r="U25" i="4"/>
  <c r="R25" i="4"/>
  <c r="O25" i="4"/>
  <c r="X24" i="4"/>
  <c r="U24" i="4"/>
  <c r="R24" i="4"/>
  <c r="O24" i="4"/>
  <c r="X23" i="4"/>
  <c r="U23" i="4"/>
  <c r="R23" i="4"/>
  <c r="O23" i="4"/>
  <c r="X22" i="4"/>
  <c r="U22" i="4"/>
  <c r="R22" i="4"/>
  <c r="X21" i="4"/>
  <c r="U21" i="4"/>
  <c r="R21" i="4"/>
  <c r="X20" i="4"/>
  <c r="U20" i="4"/>
  <c r="R20" i="4"/>
  <c r="X19" i="4"/>
  <c r="U19" i="4"/>
  <c r="R19" i="4"/>
  <c r="U18" i="4"/>
  <c r="R18" i="4"/>
  <c r="R17" i="4"/>
  <c r="X5" i="4"/>
  <c r="U5" i="4"/>
  <c r="R5" i="4"/>
  <c r="O5" i="4"/>
  <c r="H32" i="4"/>
  <c r="E32" i="4"/>
  <c r="H31" i="4"/>
  <c r="E31" i="4"/>
  <c r="H30" i="4"/>
  <c r="E30" i="4"/>
  <c r="H29" i="4"/>
  <c r="E29" i="4"/>
  <c r="H28" i="4"/>
  <c r="E28" i="4"/>
  <c r="H27" i="4"/>
  <c r="E27" i="4"/>
  <c r="H26" i="4"/>
  <c r="E26" i="4"/>
  <c r="H25" i="4"/>
  <c r="E25" i="4"/>
  <c r="H24" i="4"/>
  <c r="E24" i="4"/>
  <c r="H23" i="4"/>
  <c r="E23" i="4"/>
  <c r="H22" i="4"/>
  <c r="E22" i="4"/>
  <c r="H21" i="4"/>
  <c r="H20" i="4"/>
  <c r="H19" i="4"/>
  <c r="K5" i="4"/>
  <c r="H5" i="4"/>
  <c r="E5" i="4"/>
  <c r="X35" i="1" l="1"/>
  <c r="U35" i="1"/>
  <c r="R35" i="1"/>
  <c r="O35" i="1"/>
  <c r="X34" i="1"/>
  <c r="U34" i="1"/>
  <c r="R34" i="1"/>
  <c r="O34" i="1"/>
  <c r="X33" i="1"/>
  <c r="U33" i="1"/>
  <c r="R33" i="1"/>
  <c r="O33" i="1"/>
  <c r="X32" i="1"/>
  <c r="U32" i="1"/>
  <c r="R32" i="1"/>
  <c r="O32" i="1"/>
  <c r="X31" i="1"/>
  <c r="U31" i="1"/>
  <c r="R31" i="1"/>
  <c r="O31" i="1"/>
  <c r="X30" i="1"/>
  <c r="U30" i="1"/>
  <c r="R30" i="1"/>
  <c r="O30" i="1"/>
  <c r="X29" i="1"/>
  <c r="U29" i="1"/>
  <c r="R29" i="1"/>
  <c r="O29" i="1"/>
  <c r="X28" i="1"/>
  <c r="U28" i="1"/>
  <c r="R28" i="1"/>
  <c r="O28" i="1"/>
  <c r="X27" i="1"/>
  <c r="U27" i="1"/>
  <c r="R27" i="1"/>
  <c r="O27" i="1"/>
  <c r="X26" i="1"/>
  <c r="U26" i="1"/>
  <c r="R26" i="1"/>
  <c r="O26" i="1"/>
  <c r="X25" i="1"/>
  <c r="U25" i="1"/>
  <c r="R25" i="1"/>
  <c r="O25" i="1"/>
  <c r="X24" i="1"/>
  <c r="U24" i="1"/>
  <c r="R24" i="1"/>
  <c r="O24" i="1"/>
  <c r="X23" i="1"/>
  <c r="U23" i="1"/>
  <c r="R23" i="1"/>
  <c r="O23" i="1"/>
  <c r="X22" i="1"/>
  <c r="U22" i="1"/>
  <c r="R22" i="1"/>
  <c r="O22" i="1"/>
  <c r="X21" i="1"/>
  <c r="U21" i="1"/>
  <c r="R21" i="1"/>
  <c r="O21" i="1"/>
  <c r="X20" i="1"/>
  <c r="U20" i="1"/>
  <c r="R20" i="1"/>
  <c r="O20" i="1"/>
  <c r="X19" i="1"/>
  <c r="U19" i="1"/>
  <c r="R19" i="1"/>
  <c r="O19" i="1"/>
  <c r="X18" i="1"/>
  <c r="U18" i="1"/>
  <c r="R18" i="1"/>
  <c r="O18" i="1"/>
  <c r="X17" i="1"/>
  <c r="U17" i="1"/>
  <c r="R17" i="1"/>
  <c r="O17" i="1"/>
  <c r="X16" i="1"/>
  <c r="U16" i="1"/>
  <c r="R16" i="1"/>
  <c r="O16" i="1"/>
  <c r="X15" i="1"/>
  <c r="U15" i="1"/>
  <c r="R15" i="1"/>
  <c r="O15" i="1"/>
  <c r="X14" i="1"/>
  <c r="U14" i="1"/>
  <c r="R14" i="1"/>
  <c r="O14" i="1"/>
  <c r="X13" i="1"/>
  <c r="U13" i="1"/>
  <c r="R13" i="1"/>
  <c r="O13" i="1"/>
  <c r="X12" i="1"/>
  <c r="U12" i="1"/>
  <c r="R12" i="1"/>
  <c r="O12" i="1"/>
  <c r="X11" i="1"/>
  <c r="U11" i="1"/>
  <c r="R11" i="1"/>
  <c r="O11" i="1"/>
  <c r="X10" i="1"/>
  <c r="U10" i="1"/>
  <c r="R10" i="1"/>
  <c r="O10" i="1"/>
  <c r="X9" i="1"/>
  <c r="U9" i="1"/>
  <c r="R9" i="1"/>
  <c r="O9" i="1"/>
  <c r="X8" i="1"/>
  <c r="U8" i="1"/>
  <c r="R8" i="1"/>
  <c r="O8" i="1"/>
  <c r="X7" i="1"/>
  <c r="U7" i="1"/>
  <c r="R7" i="1"/>
  <c r="O7" i="1"/>
  <c r="X6" i="1"/>
  <c r="U6" i="1"/>
  <c r="R6" i="1"/>
  <c r="O6" i="1"/>
  <c r="X5" i="1"/>
  <c r="U5" i="1"/>
  <c r="R5" i="1"/>
  <c r="O5" i="1"/>
  <c r="K35" i="1"/>
  <c r="H35" i="1"/>
  <c r="E35" i="1"/>
  <c r="B35" i="1"/>
  <c r="K34" i="1"/>
  <c r="H34" i="1"/>
  <c r="E34" i="1"/>
  <c r="B34" i="1"/>
  <c r="K33" i="1"/>
  <c r="H33" i="1"/>
  <c r="E33" i="1"/>
  <c r="B33" i="1"/>
  <c r="K32" i="1"/>
  <c r="H32" i="1"/>
  <c r="E32" i="1"/>
  <c r="B32" i="1"/>
  <c r="K31" i="1"/>
  <c r="H31" i="1"/>
  <c r="E31" i="1"/>
  <c r="B31" i="1"/>
  <c r="K30" i="1"/>
  <c r="H30" i="1"/>
  <c r="E30" i="1"/>
  <c r="B30" i="1"/>
  <c r="K29" i="1"/>
  <c r="H29" i="1"/>
  <c r="E29" i="1"/>
  <c r="B29" i="1"/>
  <c r="K28" i="1"/>
  <c r="H28" i="1"/>
  <c r="E28" i="1"/>
  <c r="B28" i="1"/>
  <c r="K27" i="1"/>
  <c r="H27" i="1"/>
  <c r="E27" i="1"/>
  <c r="B27" i="1"/>
  <c r="K26" i="1"/>
  <c r="H26" i="1"/>
  <c r="E26" i="1"/>
  <c r="B26" i="1"/>
  <c r="K25" i="1"/>
  <c r="H25" i="1"/>
  <c r="E25" i="1"/>
  <c r="B25" i="1"/>
  <c r="K24" i="1"/>
  <c r="H24" i="1"/>
  <c r="E24" i="1"/>
  <c r="B24" i="1"/>
  <c r="K23" i="1"/>
  <c r="H23" i="1"/>
  <c r="E23" i="1"/>
  <c r="B23" i="1"/>
  <c r="K22" i="1"/>
  <c r="H22" i="1"/>
  <c r="E22" i="1"/>
  <c r="B22" i="1"/>
  <c r="H21" i="1"/>
  <c r="E21" i="1"/>
  <c r="B21" i="1"/>
  <c r="K20" i="1"/>
  <c r="H20" i="1"/>
  <c r="E20" i="1"/>
  <c r="B20" i="1"/>
  <c r="K19" i="1"/>
  <c r="H19" i="1"/>
  <c r="E19" i="1"/>
  <c r="B19" i="1"/>
  <c r="K18" i="1"/>
  <c r="H18" i="1"/>
  <c r="E18" i="1"/>
  <c r="B18" i="1"/>
  <c r="K17" i="1"/>
  <c r="H17" i="1"/>
  <c r="E17" i="1"/>
  <c r="B17" i="1"/>
  <c r="K16" i="1"/>
  <c r="H16" i="1"/>
  <c r="E16" i="1"/>
  <c r="B16" i="1"/>
  <c r="K15" i="1"/>
  <c r="H15" i="1"/>
  <c r="E15" i="1"/>
  <c r="B15" i="1"/>
  <c r="K14" i="1"/>
  <c r="H14" i="1"/>
  <c r="E14" i="1"/>
  <c r="B14" i="1"/>
  <c r="K13" i="1"/>
  <c r="H13" i="1"/>
  <c r="E13" i="1"/>
  <c r="B13" i="1"/>
  <c r="K12" i="1"/>
  <c r="H12" i="1"/>
  <c r="E12" i="1"/>
  <c r="B12" i="1"/>
  <c r="K11" i="1"/>
  <c r="H11" i="1"/>
  <c r="E11" i="1"/>
  <c r="B11" i="1"/>
  <c r="K10" i="1"/>
  <c r="H10" i="1"/>
  <c r="E10" i="1"/>
  <c r="B10" i="1"/>
  <c r="K9" i="1"/>
  <c r="H9" i="1"/>
  <c r="E9" i="1"/>
  <c r="B9" i="1"/>
  <c r="K8" i="1"/>
  <c r="H8" i="1"/>
  <c r="E8" i="1"/>
  <c r="B8" i="1"/>
  <c r="K7" i="1"/>
  <c r="H7" i="1"/>
  <c r="E7" i="1"/>
  <c r="B7" i="1"/>
  <c r="K6" i="1"/>
  <c r="H6" i="1"/>
  <c r="E6" i="1"/>
  <c r="B6" i="1"/>
  <c r="K5" i="1"/>
  <c r="H5" i="1"/>
  <c r="E5" i="1"/>
  <c r="B5" i="1"/>
  <c r="B26" i="14"/>
  <c r="B27" i="14"/>
  <c r="B28" i="14"/>
  <c r="B29" i="14"/>
  <c r="K25" i="14"/>
  <c r="K26" i="14"/>
  <c r="X35" i="13"/>
  <c r="U35" i="13"/>
  <c r="R35" i="13"/>
  <c r="O35" i="13"/>
  <c r="X34" i="13"/>
  <c r="U34" i="13"/>
  <c r="R34" i="13"/>
  <c r="O34" i="13"/>
  <c r="X33" i="13"/>
  <c r="U33" i="13"/>
  <c r="R33" i="13"/>
  <c r="O33" i="13"/>
  <c r="X32" i="13"/>
  <c r="U32" i="13"/>
  <c r="R32" i="13"/>
  <c r="O32" i="13"/>
  <c r="X31" i="13"/>
  <c r="U31" i="13"/>
  <c r="R31" i="13"/>
  <c r="O31" i="13"/>
  <c r="X30" i="13"/>
  <c r="U30" i="13"/>
  <c r="R30" i="13"/>
  <c r="O30" i="13"/>
  <c r="X29" i="13"/>
  <c r="U29" i="13"/>
  <c r="R29" i="13"/>
  <c r="O29" i="13"/>
  <c r="X28" i="13"/>
  <c r="U28" i="13"/>
  <c r="R28" i="13"/>
  <c r="O28" i="13"/>
  <c r="X27" i="13"/>
  <c r="U27" i="13"/>
  <c r="R27" i="13"/>
  <c r="O27" i="13"/>
  <c r="X26" i="13"/>
  <c r="U26" i="13"/>
  <c r="R26" i="13"/>
  <c r="O26" i="13"/>
  <c r="X25" i="13"/>
  <c r="U25" i="13"/>
  <c r="R25" i="13"/>
  <c r="O25" i="13"/>
  <c r="X24" i="13"/>
  <c r="U24" i="13"/>
  <c r="R24" i="13"/>
  <c r="O24" i="13"/>
  <c r="X23" i="13"/>
  <c r="U23" i="13"/>
  <c r="R23" i="13"/>
  <c r="O23" i="13"/>
  <c r="X22" i="13"/>
  <c r="U22" i="13"/>
  <c r="R22" i="13"/>
  <c r="O22" i="13"/>
  <c r="X21" i="13"/>
  <c r="U21" i="13"/>
  <c r="R21" i="13"/>
  <c r="O21" i="13"/>
  <c r="X20" i="13"/>
  <c r="U20" i="13"/>
  <c r="R20" i="13"/>
  <c r="O20" i="13"/>
  <c r="X19" i="13"/>
  <c r="U19" i="13"/>
  <c r="R19" i="13"/>
  <c r="O19" i="13"/>
  <c r="X18" i="13"/>
  <c r="U18" i="13"/>
  <c r="R18" i="13"/>
  <c r="O18" i="13"/>
  <c r="X17" i="13"/>
  <c r="U17" i="13"/>
  <c r="R17" i="13"/>
  <c r="O17" i="13"/>
  <c r="X16" i="13"/>
  <c r="U16" i="13"/>
  <c r="R16" i="13"/>
  <c r="O16" i="13"/>
  <c r="X15" i="13"/>
  <c r="U15" i="13"/>
  <c r="R15" i="13"/>
  <c r="O15" i="13"/>
  <c r="X14" i="13"/>
  <c r="U14" i="13"/>
  <c r="R14" i="13"/>
  <c r="O14" i="13"/>
  <c r="X13" i="13"/>
  <c r="U13" i="13"/>
  <c r="R13" i="13"/>
  <c r="O13" i="13"/>
  <c r="X12" i="13"/>
  <c r="U12" i="13"/>
  <c r="R12" i="13"/>
  <c r="O12" i="13"/>
  <c r="X11" i="13"/>
  <c r="U11" i="13"/>
  <c r="R11" i="13"/>
  <c r="O11" i="13"/>
  <c r="X10" i="13"/>
  <c r="U10" i="13"/>
  <c r="R10" i="13"/>
  <c r="O10" i="13"/>
  <c r="X9" i="13"/>
  <c r="U9" i="13"/>
  <c r="R9" i="13"/>
  <c r="O9" i="13"/>
  <c r="X8" i="13"/>
  <c r="U8" i="13"/>
  <c r="R8" i="13"/>
  <c r="O8" i="13"/>
  <c r="X7" i="13"/>
  <c r="U7" i="13"/>
  <c r="R7" i="13"/>
  <c r="O7" i="13"/>
  <c r="X6" i="13"/>
  <c r="U6" i="13"/>
  <c r="R6" i="13"/>
  <c r="O6" i="13"/>
  <c r="X5" i="13"/>
  <c r="U5" i="13"/>
  <c r="R5" i="13"/>
  <c r="O5" i="13"/>
  <c r="K35" i="13"/>
  <c r="H35" i="13"/>
  <c r="I35" i="13" s="1"/>
  <c r="E35" i="13"/>
  <c r="B35" i="13"/>
  <c r="K34" i="13"/>
  <c r="H34" i="13"/>
  <c r="I34" i="13" s="1"/>
  <c r="E34" i="13"/>
  <c r="B34" i="13"/>
  <c r="K33" i="13"/>
  <c r="H33" i="13"/>
  <c r="E33" i="13"/>
  <c r="B33" i="13"/>
  <c r="K32" i="13"/>
  <c r="H32" i="13"/>
  <c r="E32" i="13"/>
  <c r="B32" i="13"/>
  <c r="K31" i="13"/>
  <c r="H31" i="13"/>
  <c r="E31" i="13"/>
  <c r="B31" i="13"/>
  <c r="K30" i="13"/>
  <c r="H30" i="13"/>
  <c r="I30" i="13" s="1"/>
  <c r="E30" i="13"/>
  <c r="B30" i="13"/>
  <c r="K29" i="13"/>
  <c r="H29" i="13"/>
  <c r="E29" i="13"/>
  <c r="B29" i="13"/>
  <c r="K28" i="13"/>
  <c r="H28" i="13"/>
  <c r="E28" i="13"/>
  <c r="B28" i="13"/>
  <c r="K27" i="13"/>
  <c r="H27" i="13"/>
  <c r="E27" i="13"/>
  <c r="B27" i="13"/>
  <c r="K26" i="13"/>
  <c r="H26" i="13"/>
  <c r="E26" i="13"/>
  <c r="B26" i="13"/>
  <c r="K25" i="13"/>
  <c r="H25" i="13"/>
  <c r="E25" i="13"/>
  <c r="B25" i="13"/>
  <c r="K24" i="13"/>
  <c r="H24" i="13"/>
  <c r="I24" i="13" s="1"/>
  <c r="E24" i="13"/>
  <c r="B24" i="13"/>
  <c r="K23" i="13"/>
  <c r="H23" i="13"/>
  <c r="I23" i="13" s="1"/>
  <c r="E23" i="13"/>
  <c r="B23" i="13"/>
  <c r="K22" i="13"/>
  <c r="H22" i="13"/>
  <c r="I22" i="13" s="1"/>
  <c r="E22" i="13"/>
  <c r="B22" i="13"/>
  <c r="K21" i="13"/>
  <c r="H21" i="13"/>
  <c r="I21" i="13" s="1"/>
  <c r="E21" i="13"/>
  <c r="B21" i="13"/>
  <c r="K20" i="13"/>
  <c r="H20" i="13"/>
  <c r="E20" i="13"/>
  <c r="B20" i="13"/>
  <c r="K19" i="13"/>
  <c r="H19" i="13"/>
  <c r="E19" i="13"/>
  <c r="B19" i="13"/>
  <c r="K18" i="13"/>
  <c r="H18" i="13"/>
  <c r="I18" i="13" s="1"/>
  <c r="E18" i="13"/>
  <c r="B18" i="13"/>
  <c r="K17" i="13"/>
  <c r="H17" i="13"/>
  <c r="I17" i="13" s="1"/>
  <c r="E17" i="13"/>
  <c r="B17" i="13"/>
  <c r="K16" i="13"/>
  <c r="H16" i="13"/>
  <c r="I16" i="13" s="1"/>
  <c r="E16" i="13"/>
  <c r="B16" i="13"/>
  <c r="K15" i="13"/>
  <c r="H15" i="13"/>
  <c r="I15" i="13" s="1"/>
  <c r="E15" i="13"/>
  <c r="B15" i="13"/>
  <c r="K14" i="13"/>
  <c r="H14" i="13"/>
  <c r="I14" i="13" s="1"/>
  <c r="E14" i="13"/>
  <c r="B14" i="13"/>
  <c r="K13" i="13"/>
  <c r="H13" i="13"/>
  <c r="I13" i="13" s="1"/>
  <c r="E13" i="13"/>
  <c r="B13" i="13"/>
  <c r="K12" i="13"/>
  <c r="H12" i="13"/>
  <c r="I12" i="13" s="1"/>
  <c r="E12" i="13"/>
  <c r="B12" i="13"/>
  <c r="K11" i="13"/>
  <c r="H11" i="13"/>
  <c r="I11" i="13" s="1"/>
  <c r="E11" i="13"/>
  <c r="B11" i="13"/>
  <c r="K10" i="13"/>
  <c r="H10" i="13"/>
  <c r="I10" i="13" s="1"/>
  <c r="E10" i="13"/>
  <c r="B10" i="13"/>
  <c r="K9" i="13"/>
  <c r="H9" i="13"/>
  <c r="I9" i="13" s="1"/>
  <c r="E9" i="13"/>
  <c r="B9" i="13"/>
  <c r="K8" i="13"/>
  <c r="H8" i="13"/>
  <c r="I8" i="13" s="1"/>
  <c r="E8" i="13"/>
  <c r="B8" i="13"/>
  <c r="K7" i="13"/>
  <c r="H7" i="13"/>
  <c r="I7" i="13" s="1"/>
  <c r="E7" i="13"/>
  <c r="B7" i="13"/>
  <c r="K6" i="13"/>
  <c r="H6" i="13"/>
  <c r="E6" i="13"/>
  <c r="B6" i="13"/>
  <c r="K5" i="13"/>
  <c r="H5" i="13"/>
  <c r="E5" i="13"/>
  <c r="B5" i="13"/>
  <c r="X34" i="14"/>
  <c r="U34" i="14"/>
  <c r="R34" i="14"/>
  <c r="O34" i="14"/>
  <c r="X33" i="14"/>
  <c r="U33" i="14"/>
  <c r="R33" i="14"/>
  <c r="O33" i="14"/>
  <c r="X32" i="14"/>
  <c r="U32" i="14"/>
  <c r="R32" i="14"/>
  <c r="O32" i="14"/>
  <c r="X31" i="14"/>
  <c r="U31" i="14"/>
  <c r="R31" i="14"/>
  <c r="O31" i="14"/>
  <c r="X30" i="14"/>
  <c r="U30" i="14"/>
  <c r="R30" i="14"/>
  <c r="O30" i="14"/>
  <c r="X29" i="14"/>
  <c r="U29" i="14"/>
  <c r="R29" i="14"/>
  <c r="O29" i="14"/>
  <c r="X28" i="14"/>
  <c r="U28" i="14"/>
  <c r="R28" i="14"/>
  <c r="O28" i="14"/>
  <c r="X27" i="14"/>
  <c r="U27" i="14"/>
  <c r="R27" i="14"/>
  <c r="O27" i="14"/>
  <c r="X26" i="14"/>
  <c r="U26" i="14"/>
  <c r="R26" i="14"/>
  <c r="O26" i="14"/>
  <c r="X25" i="14"/>
  <c r="U25" i="14"/>
  <c r="R25" i="14"/>
  <c r="O25" i="14"/>
  <c r="X24" i="14"/>
  <c r="U24" i="14"/>
  <c r="R24" i="14"/>
  <c r="O24" i="14"/>
  <c r="X23" i="14"/>
  <c r="U23" i="14"/>
  <c r="R23" i="14"/>
  <c r="O23" i="14"/>
  <c r="X22" i="14"/>
  <c r="U22" i="14"/>
  <c r="R22" i="14"/>
  <c r="O22" i="14"/>
  <c r="X21" i="14"/>
  <c r="U21" i="14"/>
  <c r="R21" i="14"/>
  <c r="O21" i="14"/>
  <c r="X20" i="14"/>
  <c r="U20" i="14"/>
  <c r="R20" i="14"/>
  <c r="O20" i="14"/>
  <c r="X19" i="14"/>
  <c r="U19" i="14"/>
  <c r="R19" i="14"/>
  <c r="O19" i="14"/>
  <c r="X18" i="14"/>
  <c r="U18" i="14"/>
  <c r="R18" i="14"/>
  <c r="O18" i="14"/>
  <c r="X17" i="14"/>
  <c r="U17" i="14"/>
  <c r="R17" i="14"/>
  <c r="O17" i="14"/>
  <c r="X16" i="14"/>
  <c r="U16" i="14"/>
  <c r="R16" i="14"/>
  <c r="O16" i="14"/>
  <c r="X15" i="14"/>
  <c r="U15" i="14"/>
  <c r="R15" i="14"/>
  <c r="O15" i="14"/>
  <c r="X14" i="14"/>
  <c r="U14" i="14"/>
  <c r="R14" i="14"/>
  <c r="O14" i="14"/>
  <c r="X13" i="14"/>
  <c r="U13" i="14"/>
  <c r="R13" i="14"/>
  <c r="O13" i="14"/>
  <c r="X12" i="14"/>
  <c r="U12" i="14"/>
  <c r="R12" i="14"/>
  <c r="O12" i="14"/>
  <c r="X11" i="14"/>
  <c r="U11" i="14"/>
  <c r="R11" i="14"/>
  <c r="O11" i="14"/>
  <c r="X10" i="14"/>
  <c r="U10" i="14"/>
  <c r="R10" i="14"/>
  <c r="O10" i="14"/>
  <c r="X9" i="14"/>
  <c r="U9" i="14"/>
  <c r="R9" i="14"/>
  <c r="O9" i="14"/>
  <c r="X8" i="14"/>
  <c r="U8" i="14"/>
  <c r="R8" i="14"/>
  <c r="O8" i="14"/>
  <c r="X7" i="14"/>
  <c r="U7" i="14"/>
  <c r="R7" i="14"/>
  <c r="O7" i="14"/>
  <c r="X6" i="14"/>
  <c r="U6" i="14"/>
  <c r="R6" i="14"/>
  <c r="O6" i="14"/>
  <c r="X5" i="14"/>
  <c r="U5" i="14"/>
  <c r="R5" i="14"/>
  <c r="O5" i="14"/>
  <c r="K34" i="14"/>
  <c r="H34" i="14"/>
  <c r="I34" i="14" s="1"/>
  <c r="E34" i="14"/>
  <c r="B34" i="14"/>
  <c r="K33" i="14"/>
  <c r="H33" i="14"/>
  <c r="I33" i="14" s="1"/>
  <c r="E33" i="14"/>
  <c r="B33" i="14"/>
  <c r="K32" i="14"/>
  <c r="H32" i="14"/>
  <c r="I32" i="14" s="1"/>
  <c r="E32" i="14"/>
  <c r="B32" i="14"/>
  <c r="K31" i="14"/>
  <c r="H31" i="14"/>
  <c r="I31" i="14" s="1"/>
  <c r="E31" i="14"/>
  <c r="B31" i="14"/>
  <c r="K30" i="14"/>
  <c r="H30" i="14"/>
  <c r="I30" i="14" s="1"/>
  <c r="E30" i="14"/>
  <c r="B30" i="14"/>
  <c r="K29" i="14"/>
  <c r="H29" i="14"/>
  <c r="I29" i="14" s="1"/>
  <c r="E29" i="14"/>
  <c r="K28" i="14"/>
  <c r="H28" i="14"/>
  <c r="I28" i="14" s="1"/>
  <c r="E28" i="14"/>
  <c r="K27" i="14"/>
  <c r="H27" i="14"/>
  <c r="I27" i="14" s="1"/>
  <c r="E27" i="14"/>
  <c r="H26" i="14"/>
  <c r="I26" i="14" s="1"/>
  <c r="E26" i="14"/>
  <c r="H25" i="14"/>
  <c r="I25" i="14" s="1"/>
  <c r="E25" i="14"/>
  <c r="B25" i="14"/>
  <c r="K24" i="14"/>
  <c r="H24" i="14"/>
  <c r="I24" i="14" s="1"/>
  <c r="E24" i="14"/>
  <c r="B24" i="14"/>
  <c r="K23" i="14"/>
  <c r="H23" i="14"/>
  <c r="I23" i="14" s="1"/>
  <c r="E23" i="14"/>
  <c r="B23" i="14"/>
  <c r="K22" i="14"/>
  <c r="H22" i="14"/>
  <c r="I22" i="14" s="1"/>
  <c r="E22" i="14"/>
  <c r="B22" i="14"/>
  <c r="K21" i="14"/>
  <c r="H21" i="14"/>
  <c r="I21" i="14" s="1"/>
  <c r="E21" i="14"/>
  <c r="B21" i="14"/>
  <c r="K20" i="14"/>
  <c r="H20" i="14"/>
  <c r="I20" i="14" s="1"/>
  <c r="E20" i="14"/>
  <c r="B20" i="14"/>
  <c r="K19" i="14"/>
  <c r="H19" i="14"/>
  <c r="I19" i="14" s="1"/>
  <c r="E19" i="14"/>
  <c r="B19" i="14"/>
  <c r="K18" i="14"/>
  <c r="H18" i="14"/>
  <c r="I18" i="14" s="1"/>
  <c r="E18" i="14"/>
  <c r="B18" i="14"/>
  <c r="K17" i="14"/>
  <c r="H17" i="14"/>
  <c r="I17" i="14" s="1"/>
  <c r="E17" i="14"/>
  <c r="B17" i="14"/>
  <c r="K16" i="14"/>
  <c r="H16" i="14"/>
  <c r="I16" i="14" s="1"/>
  <c r="E16" i="14"/>
  <c r="B16" i="14"/>
  <c r="K15" i="14"/>
  <c r="H15" i="14"/>
  <c r="I15" i="14" s="1"/>
  <c r="E15" i="14"/>
  <c r="B15" i="14"/>
  <c r="K14" i="14"/>
  <c r="H14" i="14"/>
  <c r="I14" i="14" s="1"/>
  <c r="E14" i="14"/>
  <c r="B14" i="14"/>
  <c r="K13" i="14"/>
  <c r="H13" i="14"/>
  <c r="I13" i="14" s="1"/>
  <c r="E13" i="14"/>
  <c r="B13" i="14"/>
  <c r="K12" i="14"/>
  <c r="H12" i="14"/>
  <c r="I12" i="14" s="1"/>
  <c r="E12" i="14"/>
  <c r="B12" i="14"/>
  <c r="K11" i="14"/>
  <c r="H11" i="14"/>
  <c r="I11" i="14" s="1"/>
  <c r="E11" i="14"/>
  <c r="B11" i="14"/>
  <c r="K10" i="14"/>
  <c r="H10" i="14"/>
  <c r="I10" i="14" s="1"/>
  <c r="E10" i="14"/>
  <c r="B10" i="14"/>
  <c r="K9" i="14"/>
  <c r="H9" i="14"/>
  <c r="I9" i="14" s="1"/>
  <c r="E9" i="14"/>
  <c r="B9" i="14"/>
  <c r="K8" i="14"/>
  <c r="H8" i="14"/>
  <c r="I8" i="14" s="1"/>
  <c r="E8" i="14"/>
  <c r="B8" i="14"/>
  <c r="K7" i="14"/>
  <c r="H7" i="14"/>
  <c r="I7" i="14" s="1"/>
  <c r="E7" i="14"/>
  <c r="B7" i="14"/>
  <c r="K6" i="14"/>
  <c r="H6" i="14"/>
  <c r="I6" i="14" s="1"/>
  <c r="E6" i="14"/>
  <c r="B6" i="14"/>
  <c r="K5" i="14"/>
  <c r="I5" i="14"/>
  <c r="E5" i="14"/>
  <c r="B5" i="14"/>
  <c r="F15" i="9" l="1"/>
  <c r="F16" i="9"/>
  <c r="I5" i="12" l="1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P34" i="9"/>
  <c r="P33" i="9"/>
  <c r="P32" i="9"/>
  <c r="P31" i="9"/>
  <c r="P30" i="9"/>
  <c r="P29" i="9"/>
  <c r="P28" i="9"/>
  <c r="P27" i="9"/>
  <c r="P26" i="9"/>
  <c r="P25" i="9"/>
  <c r="P24" i="9"/>
  <c r="P23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P5" i="9"/>
  <c r="I11" i="9"/>
  <c r="I10" i="9"/>
  <c r="I35" i="8"/>
  <c r="I34" i="8"/>
  <c r="I33" i="8"/>
  <c r="I32" i="8"/>
  <c r="I31" i="8"/>
  <c r="I21" i="8"/>
  <c r="I20" i="8"/>
  <c r="J17" i="7"/>
  <c r="J16" i="7"/>
  <c r="J15" i="7"/>
  <c r="J14" i="7"/>
  <c r="I5" i="7"/>
  <c r="P35" i="9" l="1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V14" i="5"/>
  <c r="W14" i="5" s="1"/>
  <c r="V15" i="5"/>
  <c r="W15" i="5" s="1"/>
  <c r="V16" i="5"/>
  <c r="W16" i="5" s="1"/>
  <c r="L16" i="5"/>
  <c r="M16" i="5" s="1"/>
  <c r="L17" i="5"/>
  <c r="M17" i="5" s="1"/>
  <c r="L18" i="5"/>
  <c r="M18" i="5" s="1"/>
  <c r="L19" i="5"/>
  <c r="M19" i="5" s="1"/>
  <c r="L20" i="5"/>
  <c r="M20" i="5" s="1"/>
  <c r="AB33" i="7" l="1"/>
  <c r="AB31" i="7"/>
  <c r="AB29" i="7"/>
  <c r="AB27" i="7"/>
  <c r="AB25" i="7"/>
  <c r="AB23" i="7"/>
  <c r="AB21" i="7"/>
  <c r="AB19" i="7"/>
  <c r="AB17" i="7"/>
  <c r="AB15" i="7"/>
  <c r="AB13" i="7"/>
  <c r="AB11" i="7"/>
  <c r="AB9" i="7"/>
  <c r="AB7" i="7"/>
  <c r="AB5" i="7"/>
  <c r="AB31" i="4"/>
  <c r="AB29" i="4"/>
  <c r="AB27" i="4"/>
  <c r="AB25" i="4"/>
  <c r="AB23" i="4"/>
  <c r="AB21" i="4"/>
  <c r="AB19" i="4"/>
  <c r="AB5" i="4"/>
  <c r="AB34" i="1"/>
  <c r="AB32" i="1"/>
  <c r="AB30" i="1"/>
  <c r="AB28" i="1"/>
  <c r="AB26" i="1"/>
  <c r="AB24" i="1"/>
  <c r="AB22" i="1"/>
  <c r="AB20" i="1"/>
  <c r="AB18" i="1"/>
  <c r="AB16" i="1"/>
  <c r="AB14" i="1"/>
  <c r="AB12" i="1"/>
  <c r="AB10" i="1"/>
  <c r="AB8" i="1"/>
  <c r="AB6" i="1"/>
  <c r="AB35" i="7"/>
  <c r="AB34" i="7"/>
  <c r="AB32" i="7"/>
  <c r="AB30" i="7"/>
  <c r="AB28" i="7"/>
  <c r="AB26" i="7"/>
  <c r="AB24" i="7"/>
  <c r="AB22" i="7"/>
  <c r="AB20" i="7"/>
  <c r="AB18" i="7"/>
  <c r="AB16" i="7"/>
  <c r="AB14" i="7"/>
  <c r="AB12" i="7"/>
  <c r="AB10" i="7"/>
  <c r="AB8" i="7"/>
  <c r="AB6" i="7"/>
  <c r="AB34" i="4"/>
  <c r="AB32" i="4"/>
  <c r="AB30" i="4"/>
  <c r="AB28" i="4"/>
  <c r="AB26" i="4"/>
  <c r="AB24" i="4"/>
  <c r="AB22" i="4"/>
  <c r="AB20" i="4"/>
  <c r="AB18" i="4"/>
  <c r="AB35" i="1"/>
  <c r="AB33" i="1"/>
  <c r="AB31" i="1"/>
  <c r="AB29" i="1"/>
  <c r="AB27" i="1"/>
  <c r="AB25" i="1"/>
  <c r="AB23" i="1"/>
  <c r="AB21" i="1"/>
  <c r="AB19" i="1"/>
  <c r="AB17" i="1"/>
  <c r="AB15" i="1"/>
  <c r="AB13" i="1"/>
  <c r="AB11" i="1"/>
  <c r="AB9" i="1"/>
  <c r="AB7" i="1"/>
  <c r="AB5" i="1"/>
  <c r="AB35" i="14"/>
  <c r="S16" i="14"/>
  <c r="P16" i="14"/>
  <c r="S14" i="14"/>
  <c r="P14" i="14"/>
  <c r="S12" i="14"/>
  <c r="P12" i="14"/>
  <c r="S10" i="14"/>
  <c r="P10" i="14"/>
  <c r="S8" i="14"/>
  <c r="P8" i="14"/>
  <c r="S6" i="14"/>
  <c r="P6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AB15" i="14"/>
  <c r="AB14" i="14"/>
  <c r="AB13" i="14"/>
  <c r="AB12" i="14"/>
  <c r="AB11" i="14"/>
  <c r="AB10" i="14"/>
  <c r="AB9" i="14"/>
  <c r="AB8" i="14"/>
  <c r="AB7" i="14"/>
  <c r="AB6" i="14"/>
  <c r="AB5" i="14"/>
  <c r="S5" i="14"/>
  <c r="S7" i="14"/>
  <c r="S9" i="14"/>
  <c r="S11" i="14"/>
  <c r="S13" i="14"/>
  <c r="S15" i="14"/>
  <c r="S17" i="14"/>
  <c r="P5" i="14"/>
  <c r="P7" i="14"/>
  <c r="P9" i="14"/>
  <c r="P11" i="14"/>
  <c r="P13" i="14"/>
  <c r="P15" i="14"/>
  <c r="C5" i="5" l="1"/>
  <c r="F5" i="5"/>
  <c r="G5" i="5" s="1"/>
  <c r="I5" i="5"/>
  <c r="J5" i="5" s="1"/>
  <c r="L5" i="5"/>
  <c r="M5" i="5" s="1"/>
  <c r="P5" i="5"/>
  <c r="Q5" i="5" s="1"/>
  <c r="S5" i="5"/>
  <c r="T5" i="5" s="1"/>
  <c r="V5" i="5"/>
  <c r="W5" i="5" s="1"/>
  <c r="Y5" i="5"/>
  <c r="Z5" i="5" s="1"/>
  <c r="C6" i="5"/>
  <c r="D6" i="5" s="1"/>
  <c r="F6" i="5"/>
  <c r="G6" i="5" s="1"/>
  <c r="I6" i="5"/>
  <c r="J6" i="5" s="1"/>
  <c r="L6" i="5"/>
  <c r="M6" i="5" s="1"/>
  <c r="P6" i="5"/>
  <c r="Q6" i="5" s="1"/>
  <c r="S6" i="5"/>
  <c r="T6" i="5" s="1"/>
  <c r="V6" i="5"/>
  <c r="W6" i="5" s="1"/>
  <c r="Y6" i="5"/>
  <c r="Z6" i="5" s="1"/>
  <c r="AB6" i="5"/>
  <c r="C7" i="5"/>
  <c r="F7" i="5"/>
  <c r="G7" i="5" s="1"/>
  <c r="I7" i="5"/>
  <c r="J7" i="5" s="1"/>
  <c r="L7" i="5"/>
  <c r="M7" i="5" s="1"/>
  <c r="P7" i="5"/>
  <c r="Q7" i="5" s="1"/>
  <c r="S7" i="5"/>
  <c r="T7" i="5" s="1"/>
  <c r="V7" i="5"/>
  <c r="W7" i="5" s="1"/>
  <c r="Y7" i="5"/>
  <c r="Z7" i="5" s="1"/>
  <c r="AB7" i="5"/>
  <c r="C8" i="5"/>
  <c r="D8" i="5" s="1"/>
  <c r="F8" i="5"/>
  <c r="G8" i="5" s="1"/>
  <c r="I8" i="5"/>
  <c r="J8" i="5" s="1"/>
  <c r="L8" i="5"/>
  <c r="M8" i="5" s="1"/>
  <c r="P8" i="5"/>
  <c r="Q8" i="5" s="1"/>
  <c r="S8" i="5"/>
  <c r="T8" i="5" s="1"/>
  <c r="V8" i="5"/>
  <c r="W8" i="5" s="1"/>
  <c r="Y8" i="5"/>
  <c r="Z8" i="5" s="1"/>
  <c r="AB8" i="5"/>
  <c r="C9" i="5"/>
  <c r="F9" i="5"/>
  <c r="G9" i="5" s="1"/>
  <c r="I9" i="5"/>
  <c r="J9" i="5" s="1"/>
  <c r="L9" i="5"/>
  <c r="M9" i="5" s="1"/>
  <c r="P9" i="5"/>
  <c r="Q9" i="5" s="1"/>
  <c r="S9" i="5"/>
  <c r="T9" i="5" s="1"/>
  <c r="V9" i="5"/>
  <c r="W9" i="5" s="1"/>
  <c r="Y9" i="5"/>
  <c r="Z9" i="5" s="1"/>
  <c r="AB9" i="5"/>
  <c r="C10" i="5"/>
  <c r="D10" i="5" s="1"/>
  <c r="F10" i="5"/>
  <c r="G10" i="5" s="1"/>
  <c r="I10" i="5"/>
  <c r="J10" i="5" s="1"/>
  <c r="L10" i="5"/>
  <c r="M10" i="5" s="1"/>
  <c r="P10" i="5"/>
  <c r="Q10" i="5" s="1"/>
  <c r="S10" i="5"/>
  <c r="T10" i="5" s="1"/>
  <c r="V10" i="5"/>
  <c r="W10" i="5" s="1"/>
  <c r="Y10" i="5"/>
  <c r="Z10" i="5" s="1"/>
  <c r="AB10" i="5"/>
  <c r="C11" i="5"/>
  <c r="F11" i="5"/>
  <c r="G11" i="5" s="1"/>
  <c r="I11" i="5"/>
  <c r="J11" i="5" s="1"/>
  <c r="L11" i="5"/>
  <c r="M11" i="5" s="1"/>
  <c r="P11" i="5"/>
  <c r="Q11" i="5" s="1"/>
  <c r="S11" i="5"/>
  <c r="T11" i="5" s="1"/>
  <c r="V11" i="5"/>
  <c r="W11" i="5" s="1"/>
  <c r="Y11" i="5"/>
  <c r="Z11" i="5" s="1"/>
  <c r="AB11" i="5"/>
  <c r="C12" i="5"/>
  <c r="D12" i="5" s="1"/>
  <c r="F12" i="5"/>
  <c r="G12" i="5" s="1"/>
  <c r="I12" i="5"/>
  <c r="J12" i="5" s="1"/>
  <c r="L12" i="5"/>
  <c r="M12" i="5" s="1"/>
  <c r="P12" i="5"/>
  <c r="Q12" i="5" s="1"/>
  <c r="S12" i="5"/>
  <c r="T12" i="5" s="1"/>
  <c r="V12" i="5"/>
  <c r="W12" i="5" s="1"/>
  <c r="Y12" i="5"/>
  <c r="Z12" i="5" s="1"/>
  <c r="AB12" i="5"/>
  <c r="C13" i="5"/>
  <c r="F13" i="5"/>
  <c r="G13" i="5" s="1"/>
  <c r="I13" i="5"/>
  <c r="J13" i="5" s="1"/>
  <c r="L13" i="5"/>
  <c r="M13" i="5" s="1"/>
  <c r="P13" i="5"/>
  <c r="Q13" i="5" s="1"/>
  <c r="S13" i="5"/>
  <c r="T13" i="5" s="1"/>
  <c r="V13" i="5"/>
  <c r="W13" i="5" s="1"/>
  <c r="Y13" i="5"/>
  <c r="Z13" i="5" s="1"/>
  <c r="AB13" i="5"/>
  <c r="C14" i="5"/>
  <c r="D14" i="5" s="1"/>
  <c r="F14" i="5"/>
  <c r="G14" i="5" s="1"/>
  <c r="I14" i="5"/>
  <c r="J14" i="5" s="1"/>
  <c r="L14" i="5"/>
  <c r="M14" i="5" s="1"/>
  <c r="P14" i="5"/>
  <c r="Q14" i="5" s="1"/>
  <c r="S14" i="5"/>
  <c r="T14" i="5" s="1"/>
  <c r="Y14" i="5"/>
  <c r="Z14" i="5" s="1"/>
  <c r="AB14" i="5"/>
  <c r="C15" i="5"/>
  <c r="F15" i="5"/>
  <c r="G15" i="5" s="1"/>
  <c r="I15" i="5"/>
  <c r="J15" i="5" s="1"/>
  <c r="L15" i="5"/>
  <c r="M15" i="5" s="1"/>
  <c r="P15" i="5"/>
  <c r="Q15" i="5" s="1"/>
  <c r="S15" i="5"/>
  <c r="T15" i="5" s="1"/>
  <c r="Y15" i="5"/>
  <c r="Z15" i="5" s="1"/>
  <c r="AB15" i="5"/>
  <c r="C16" i="5"/>
  <c r="D16" i="5" s="1"/>
  <c r="F16" i="5"/>
  <c r="G16" i="5" s="1"/>
  <c r="I16" i="5"/>
  <c r="J16" i="5" s="1"/>
  <c r="P16" i="5"/>
  <c r="Q16" i="5" s="1"/>
  <c r="S16" i="5"/>
  <c r="T16" i="5" s="1"/>
  <c r="Y16" i="5"/>
  <c r="Z16" i="5" s="1"/>
  <c r="AB16" i="5"/>
  <c r="C17" i="5"/>
  <c r="F17" i="5"/>
  <c r="G17" i="5" s="1"/>
  <c r="I17" i="5"/>
  <c r="J17" i="5" s="1"/>
  <c r="P17" i="5"/>
  <c r="Q17" i="5" s="1"/>
  <c r="S17" i="5"/>
  <c r="T17" i="5" s="1"/>
  <c r="V17" i="5"/>
  <c r="W17" i="5" s="1"/>
  <c r="Y17" i="5"/>
  <c r="Z17" i="5" s="1"/>
  <c r="AB17" i="5"/>
  <c r="C18" i="5"/>
  <c r="D18" i="5" s="1"/>
  <c r="F18" i="5"/>
  <c r="G18" i="5" s="1"/>
  <c r="I18" i="5"/>
  <c r="J18" i="5" s="1"/>
  <c r="P18" i="5"/>
  <c r="Q18" i="5" s="1"/>
  <c r="S18" i="5"/>
  <c r="T18" i="5" s="1"/>
  <c r="V18" i="5"/>
  <c r="W18" i="5" s="1"/>
  <c r="Y18" i="5"/>
  <c r="Z18" i="5" s="1"/>
  <c r="AB18" i="5"/>
  <c r="C19" i="5"/>
  <c r="F19" i="5"/>
  <c r="G19" i="5" s="1"/>
  <c r="I19" i="5"/>
  <c r="J19" i="5" s="1"/>
  <c r="P19" i="5"/>
  <c r="Q19" i="5" s="1"/>
  <c r="S19" i="5"/>
  <c r="T19" i="5" s="1"/>
  <c r="V19" i="5"/>
  <c r="W19" i="5" s="1"/>
  <c r="Y19" i="5"/>
  <c r="Z19" i="5" s="1"/>
  <c r="AB19" i="5"/>
  <c r="C20" i="5"/>
  <c r="D20" i="5" s="1"/>
  <c r="F20" i="5"/>
  <c r="G20" i="5" s="1"/>
  <c r="I20" i="5"/>
  <c r="J20" i="5" s="1"/>
  <c r="P20" i="5"/>
  <c r="Q20" i="5" s="1"/>
  <c r="S20" i="5"/>
  <c r="T20" i="5" s="1"/>
  <c r="V20" i="5"/>
  <c r="W20" i="5" s="1"/>
  <c r="Y20" i="5"/>
  <c r="Z20" i="5" s="1"/>
  <c r="AB20" i="5"/>
  <c r="C21" i="5"/>
  <c r="F21" i="5"/>
  <c r="G21" i="5" s="1"/>
  <c r="I21" i="5"/>
  <c r="J21" i="5" s="1"/>
  <c r="L21" i="5"/>
  <c r="M21" i="5" s="1"/>
  <c r="P21" i="5"/>
  <c r="Q21" i="5" s="1"/>
  <c r="S21" i="5"/>
  <c r="T21" i="5" s="1"/>
  <c r="V21" i="5"/>
  <c r="W21" i="5" s="1"/>
  <c r="Y21" i="5"/>
  <c r="Z21" i="5" s="1"/>
  <c r="C22" i="5"/>
  <c r="D22" i="5" s="1"/>
  <c r="F22" i="5"/>
  <c r="G22" i="5" s="1"/>
  <c r="I22" i="5"/>
  <c r="J22" i="5" s="1"/>
  <c r="L22" i="5"/>
  <c r="M22" i="5" s="1"/>
  <c r="P22" i="5"/>
  <c r="Q22" i="5" s="1"/>
  <c r="S22" i="5"/>
  <c r="T22" i="5" s="1"/>
  <c r="V22" i="5"/>
  <c r="W22" i="5" s="1"/>
  <c r="Y22" i="5"/>
  <c r="Z22" i="5" s="1"/>
  <c r="AB22" i="5"/>
  <c r="C23" i="5"/>
  <c r="F23" i="5"/>
  <c r="G23" i="5" s="1"/>
  <c r="I23" i="5"/>
  <c r="J23" i="5" s="1"/>
  <c r="L23" i="5"/>
  <c r="M23" i="5" s="1"/>
  <c r="P23" i="5"/>
  <c r="Q23" i="5" s="1"/>
  <c r="S23" i="5"/>
  <c r="T23" i="5" s="1"/>
  <c r="V23" i="5"/>
  <c r="W23" i="5" s="1"/>
  <c r="Y23" i="5"/>
  <c r="Z23" i="5" s="1"/>
  <c r="C24" i="5"/>
  <c r="D24" i="5" s="1"/>
  <c r="F24" i="5"/>
  <c r="G24" i="5" s="1"/>
  <c r="I24" i="5"/>
  <c r="J24" i="5" s="1"/>
  <c r="L24" i="5"/>
  <c r="M24" i="5" s="1"/>
  <c r="P24" i="5"/>
  <c r="Q24" i="5" s="1"/>
  <c r="S24" i="5"/>
  <c r="T24" i="5" s="1"/>
  <c r="V24" i="5"/>
  <c r="W24" i="5" s="1"/>
  <c r="Y24" i="5"/>
  <c r="Z24" i="5" s="1"/>
  <c r="AB24" i="5"/>
  <c r="C25" i="5"/>
  <c r="F25" i="5"/>
  <c r="G25" i="5" s="1"/>
  <c r="I25" i="5"/>
  <c r="J25" i="5" s="1"/>
  <c r="L25" i="5"/>
  <c r="M25" i="5" s="1"/>
  <c r="P25" i="5"/>
  <c r="Q25" i="5" s="1"/>
  <c r="S25" i="5"/>
  <c r="T25" i="5" s="1"/>
  <c r="V25" i="5"/>
  <c r="W25" i="5" s="1"/>
  <c r="Y25" i="5"/>
  <c r="Z25" i="5" s="1"/>
  <c r="C26" i="5"/>
  <c r="D26" i="5" s="1"/>
  <c r="F26" i="5"/>
  <c r="G26" i="5" s="1"/>
  <c r="I26" i="5"/>
  <c r="J26" i="5" s="1"/>
  <c r="L26" i="5"/>
  <c r="M26" i="5" s="1"/>
  <c r="P26" i="5"/>
  <c r="Q26" i="5" s="1"/>
  <c r="S26" i="5"/>
  <c r="T26" i="5" s="1"/>
  <c r="V26" i="5"/>
  <c r="W26" i="5" s="1"/>
  <c r="Y26" i="5"/>
  <c r="Z26" i="5" s="1"/>
  <c r="AB26" i="5"/>
  <c r="C27" i="5"/>
  <c r="F27" i="5"/>
  <c r="G27" i="5" s="1"/>
  <c r="I27" i="5"/>
  <c r="J27" i="5" s="1"/>
  <c r="L27" i="5"/>
  <c r="M27" i="5" s="1"/>
  <c r="P27" i="5"/>
  <c r="Q27" i="5" s="1"/>
  <c r="S27" i="5"/>
  <c r="T27" i="5" s="1"/>
  <c r="V27" i="5"/>
  <c r="W27" i="5" s="1"/>
  <c r="Y27" i="5"/>
  <c r="Z27" i="5" s="1"/>
  <c r="C28" i="5"/>
  <c r="D28" i="5" s="1"/>
  <c r="F28" i="5"/>
  <c r="G28" i="5" s="1"/>
  <c r="I28" i="5"/>
  <c r="J28" i="5" s="1"/>
  <c r="L28" i="5"/>
  <c r="M28" i="5" s="1"/>
  <c r="P28" i="5"/>
  <c r="Q28" i="5" s="1"/>
  <c r="S28" i="5"/>
  <c r="T28" i="5" s="1"/>
  <c r="V28" i="5"/>
  <c r="W28" i="5" s="1"/>
  <c r="Y28" i="5"/>
  <c r="Z28" i="5" s="1"/>
  <c r="AB28" i="5"/>
  <c r="C29" i="5"/>
  <c r="D29" i="5" s="1"/>
  <c r="F29" i="5"/>
  <c r="G29" i="5" s="1"/>
  <c r="I29" i="5"/>
  <c r="J29" i="5" s="1"/>
  <c r="L29" i="5"/>
  <c r="M29" i="5" s="1"/>
  <c r="P29" i="5"/>
  <c r="Q29" i="5" s="1"/>
  <c r="S29" i="5"/>
  <c r="T29" i="5" s="1"/>
  <c r="V29" i="5"/>
  <c r="W29" i="5" s="1"/>
  <c r="Y29" i="5"/>
  <c r="AB29" i="5"/>
  <c r="C30" i="5"/>
  <c r="F30" i="5"/>
  <c r="G30" i="5" s="1"/>
  <c r="I30" i="5"/>
  <c r="L30" i="5"/>
  <c r="M30" i="5" s="1"/>
  <c r="P30" i="5"/>
  <c r="S30" i="5"/>
  <c r="T30" i="5" s="1"/>
  <c r="V30" i="5"/>
  <c r="Y30" i="5"/>
  <c r="Z30" i="5" s="1"/>
  <c r="AB30" i="5"/>
  <c r="C31" i="5"/>
  <c r="D31" i="5" s="1"/>
  <c r="F31" i="5"/>
  <c r="I31" i="5"/>
  <c r="J31" i="5" s="1"/>
  <c r="L31" i="5"/>
  <c r="P31" i="5"/>
  <c r="Q31" i="5" s="1"/>
  <c r="S31" i="5"/>
  <c r="V31" i="5"/>
  <c r="W31" i="5" s="1"/>
  <c r="Y31" i="5"/>
  <c r="Z31" i="5" s="1"/>
  <c r="AB31" i="5"/>
  <c r="C32" i="5"/>
  <c r="F32" i="5"/>
  <c r="G32" i="5" s="1"/>
  <c r="I32" i="5"/>
  <c r="J32" i="5" s="1"/>
  <c r="L32" i="5"/>
  <c r="M32" i="5" s="1"/>
  <c r="P32" i="5"/>
  <c r="Q32" i="5" s="1"/>
  <c r="S32" i="5"/>
  <c r="T32" i="5" s="1"/>
  <c r="V32" i="5"/>
  <c r="W32" i="5" s="1"/>
  <c r="Y32" i="5"/>
  <c r="Z32" i="5" s="1"/>
  <c r="AB32" i="5"/>
  <c r="C33" i="5"/>
  <c r="D33" i="5" s="1"/>
  <c r="F33" i="5"/>
  <c r="G33" i="5" s="1"/>
  <c r="I33" i="5"/>
  <c r="J33" i="5" s="1"/>
  <c r="P33" i="5"/>
  <c r="Q33" i="5" s="1"/>
  <c r="S33" i="5"/>
  <c r="T33" i="5" s="1"/>
  <c r="V33" i="5"/>
  <c r="W33" i="5" s="1"/>
  <c r="Y33" i="5"/>
  <c r="Z33" i="5" s="1"/>
  <c r="AB33" i="5"/>
  <c r="C34" i="5"/>
  <c r="F34" i="5"/>
  <c r="G34" i="5" s="1"/>
  <c r="I34" i="5"/>
  <c r="J34" i="5" s="1"/>
  <c r="P34" i="5"/>
  <c r="Q34" i="5" s="1"/>
  <c r="S34" i="5"/>
  <c r="T34" i="5" s="1"/>
  <c r="V34" i="5"/>
  <c r="W34" i="5" s="1"/>
  <c r="Y34" i="5"/>
  <c r="Z34" i="5" s="1"/>
  <c r="AB34" i="5"/>
  <c r="C35" i="5"/>
  <c r="D35" i="5" s="1"/>
  <c r="F35" i="5"/>
  <c r="G35" i="5" s="1"/>
  <c r="I35" i="5"/>
  <c r="J35" i="5" s="1"/>
  <c r="P35" i="5"/>
  <c r="Q35" i="5" s="1"/>
  <c r="S35" i="5"/>
  <c r="T35" i="5" s="1"/>
  <c r="V35" i="5"/>
  <c r="W35" i="5" s="1"/>
  <c r="Y35" i="5"/>
  <c r="Z35" i="5" s="1"/>
  <c r="AB35" i="5"/>
  <c r="C5" i="12"/>
  <c r="F5" i="12"/>
  <c r="G5" i="12" s="1"/>
  <c r="J5" i="12"/>
  <c r="L5" i="12"/>
  <c r="P5" i="12"/>
  <c r="S5" i="12"/>
  <c r="T5" i="12" s="1"/>
  <c r="V5" i="12"/>
  <c r="W5" i="12" s="1"/>
  <c r="Y5" i="12"/>
  <c r="AB5" i="12"/>
  <c r="Y6" i="12"/>
  <c r="AB6" i="12"/>
  <c r="Y7" i="12"/>
  <c r="AB7" i="12"/>
  <c r="Y8" i="12"/>
  <c r="AB8" i="12"/>
  <c r="Y9" i="12"/>
  <c r="AB9" i="12"/>
  <c r="Y10" i="12"/>
  <c r="AB10" i="12"/>
  <c r="Y11" i="12"/>
  <c r="AB11" i="12"/>
  <c r="Y12" i="12"/>
  <c r="AB12" i="12"/>
  <c r="Y13" i="12"/>
  <c r="AB13" i="12"/>
  <c r="Y14" i="12"/>
  <c r="AB14" i="12"/>
  <c r="Y15" i="12"/>
  <c r="AB15" i="12"/>
  <c r="Y16" i="12"/>
  <c r="AB16" i="12"/>
  <c r="Y17" i="12"/>
  <c r="AB17" i="12"/>
  <c r="Y18" i="12"/>
  <c r="AB18" i="12"/>
  <c r="Y19" i="12"/>
  <c r="AB19" i="12"/>
  <c r="Y20" i="12"/>
  <c r="AB20" i="12"/>
  <c r="Y21" i="12"/>
  <c r="AB21" i="12"/>
  <c r="Y22" i="12"/>
  <c r="AB22" i="12"/>
  <c r="Y23" i="12"/>
  <c r="AB23" i="12"/>
  <c r="Y24" i="12"/>
  <c r="AB24" i="12"/>
  <c r="Y25" i="12"/>
  <c r="AB25" i="12"/>
  <c r="Y26" i="12"/>
  <c r="AB26" i="12"/>
  <c r="Y27" i="12"/>
  <c r="Y28" i="12"/>
  <c r="AB28" i="12"/>
  <c r="Y29" i="12"/>
  <c r="Y30" i="12"/>
  <c r="AB30" i="12"/>
  <c r="Y31" i="12"/>
  <c r="Y32" i="12"/>
  <c r="AB32" i="12"/>
  <c r="Y33" i="12"/>
  <c r="Y34" i="12"/>
  <c r="AB34" i="12"/>
  <c r="B35" i="12"/>
  <c r="E35" i="12"/>
  <c r="H35" i="12"/>
  <c r="K35" i="12"/>
  <c r="O35" i="12"/>
  <c r="U35" i="12"/>
  <c r="C5" i="11"/>
  <c r="F5" i="11"/>
  <c r="G5" i="11" s="1"/>
  <c r="I5" i="11"/>
  <c r="J5" i="11" s="1"/>
  <c r="L5" i="11"/>
  <c r="P5" i="11"/>
  <c r="S5" i="11"/>
  <c r="T5" i="11" s="1"/>
  <c r="V5" i="11"/>
  <c r="W5" i="11" s="1"/>
  <c r="Y5" i="11"/>
  <c r="AB5" i="11"/>
  <c r="AB6" i="11"/>
  <c r="AB7" i="11"/>
  <c r="AB8" i="11"/>
  <c r="AB9" i="11"/>
  <c r="AB11" i="11"/>
  <c r="AB13" i="11"/>
  <c r="AB15" i="11"/>
  <c r="AB17" i="11"/>
  <c r="AB19" i="11"/>
  <c r="AB21" i="11"/>
  <c r="AB23" i="11"/>
  <c r="AB25" i="11"/>
  <c r="AB27" i="11"/>
  <c r="AB29" i="11"/>
  <c r="AB31" i="11"/>
  <c r="AB33" i="11"/>
  <c r="AB35" i="11"/>
  <c r="F5" i="10"/>
  <c r="G5" i="10" s="1"/>
  <c r="I5" i="10"/>
  <c r="J5" i="10" s="1"/>
  <c r="L5" i="10"/>
  <c r="P5" i="10"/>
  <c r="S5" i="10"/>
  <c r="T5" i="10" s="1"/>
  <c r="V5" i="10"/>
  <c r="W5" i="10" s="1"/>
  <c r="Y5" i="10"/>
  <c r="AC5" i="10"/>
  <c r="AF5" i="10"/>
  <c r="F6" i="10"/>
  <c r="I6" i="10"/>
  <c r="J6" i="10" s="1"/>
  <c r="L6" i="10"/>
  <c r="P6" i="10"/>
  <c r="S6" i="10"/>
  <c r="V6" i="10"/>
  <c r="W6" i="10" s="1"/>
  <c r="Y6" i="10"/>
  <c r="AC6" i="10"/>
  <c r="AD6" i="10" s="1"/>
  <c r="AF6" i="10"/>
  <c r="C7" i="10"/>
  <c r="F7" i="10"/>
  <c r="G7" i="10" s="1"/>
  <c r="I7" i="10"/>
  <c r="L7" i="10"/>
  <c r="P7" i="10"/>
  <c r="S7" i="10"/>
  <c r="T7" i="10" s="1"/>
  <c r="V7" i="10"/>
  <c r="Y7" i="10"/>
  <c r="AC7" i="10"/>
  <c r="AD7" i="10" s="1"/>
  <c r="C8" i="10"/>
  <c r="F8" i="10"/>
  <c r="G8" i="10" s="1"/>
  <c r="I8" i="10"/>
  <c r="J8" i="10" s="1"/>
  <c r="L8" i="10"/>
  <c r="P8" i="10"/>
  <c r="S8" i="10"/>
  <c r="T8" i="10" s="1"/>
  <c r="V8" i="10"/>
  <c r="W8" i="10" s="1"/>
  <c r="Y8" i="10"/>
  <c r="AC8" i="10"/>
  <c r="AD8" i="10" s="1"/>
  <c r="AF8" i="10"/>
  <c r="C9" i="10"/>
  <c r="F9" i="10"/>
  <c r="G9" i="10" s="1"/>
  <c r="I9" i="10"/>
  <c r="J9" i="10" s="1"/>
  <c r="L9" i="10"/>
  <c r="P9" i="10"/>
  <c r="S9" i="10"/>
  <c r="T9" i="10" s="1"/>
  <c r="V9" i="10"/>
  <c r="W9" i="10" s="1"/>
  <c r="Y9" i="10"/>
  <c r="AC9" i="10"/>
  <c r="AD9" i="10" s="1"/>
  <c r="C10" i="10"/>
  <c r="F10" i="10"/>
  <c r="G10" i="10" s="1"/>
  <c r="I10" i="10"/>
  <c r="J10" i="10" s="1"/>
  <c r="L10" i="10"/>
  <c r="P10" i="10"/>
  <c r="S10" i="10"/>
  <c r="T10" i="10" s="1"/>
  <c r="V10" i="10"/>
  <c r="W10" i="10" s="1"/>
  <c r="Y10" i="10"/>
  <c r="AC10" i="10"/>
  <c r="AD10" i="10" s="1"/>
  <c r="AF10" i="10"/>
  <c r="C11" i="10"/>
  <c r="F11" i="10"/>
  <c r="G11" i="10" s="1"/>
  <c r="J11" i="10"/>
  <c r="L11" i="10"/>
  <c r="P11" i="10"/>
  <c r="S11" i="10"/>
  <c r="T11" i="10" s="1"/>
  <c r="V11" i="10"/>
  <c r="W11" i="10" s="1"/>
  <c r="Y11" i="10"/>
  <c r="AC11" i="10"/>
  <c r="AD11" i="10" s="1"/>
  <c r="C12" i="10"/>
  <c r="F12" i="10"/>
  <c r="G12" i="10" s="1"/>
  <c r="J12" i="10"/>
  <c r="L12" i="10"/>
  <c r="P12" i="10"/>
  <c r="S12" i="10"/>
  <c r="T12" i="10" s="1"/>
  <c r="V12" i="10"/>
  <c r="W12" i="10" s="1"/>
  <c r="Y12" i="10"/>
  <c r="AC12" i="10"/>
  <c r="AD12" i="10" s="1"/>
  <c r="AF12" i="10"/>
  <c r="C13" i="10"/>
  <c r="F13" i="10"/>
  <c r="G13" i="10" s="1"/>
  <c r="J13" i="10"/>
  <c r="L13" i="10"/>
  <c r="P13" i="10"/>
  <c r="S13" i="10"/>
  <c r="T13" i="10" s="1"/>
  <c r="V13" i="10"/>
  <c r="W13" i="10" s="1"/>
  <c r="Y13" i="10"/>
  <c r="AC13" i="10"/>
  <c r="AD13" i="10" s="1"/>
  <c r="C14" i="10"/>
  <c r="F14" i="10"/>
  <c r="G14" i="10" s="1"/>
  <c r="J14" i="10"/>
  <c r="L14" i="10"/>
  <c r="P14" i="10"/>
  <c r="S14" i="10"/>
  <c r="T14" i="10" s="1"/>
  <c r="V14" i="10"/>
  <c r="W14" i="10" s="1"/>
  <c r="Y14" i="10"/>
  <c r="AC14" i="10"/>
  <c r="AD14" i="10" s="1"/>
  <c r="AF14" i="10"/>
  <c r="C15" i="10"/>
  <c r="F15" i="10"/>
  <c r="G15" i="10" s="1"/>
  <c r="J15" i="10"/>
  <c r="L15" i="10"/>
  <c r="M15" i="10" s="1"/>
  <c r="P15" i="10"/>
  <c r="S15" i="10"/>
  <c r="T15" i="10" s="1"/>
  <c r="V15" i="10"/>
  <c r="W15" i="10" s="1"/>
  <c r="Y15" i="10"/>
  <c r="AC15" i="10"/>
  <c r="AD15" i="10" s="1"/>
  <c r="C16" i="10"/>
  <c r="F16" i="10"/>
  <c r="G16" i="10" s="1"/>
  <c r="J16" i="10"/>
  <c r="L16" i="10"/>
  <c r="P16" i="10"/>
  <c r="S16" i="10"/>
  <c r="T16" i="10" s="1"/>
  <c r="V16" i="10"/>
  <c r="W16" i="10" s="1"/>
  <c r="Y16" i="10"/>
  <c r="AC16" i="10"/>
  <c r="AD16" i="10" s="1"/>
  <c r="AF16" i="10"/>
  <c r="C17" i="10"/>
  <c r="F17" i="10"/>
  <c r="G17" i="10" s="1"/>
  <c r="J17" i="10"/>
  <c r="L17" i="10"/>
  <c r="P17" i="10"/>
  <c r="S17" i="10"/>
  <c r="T17" i="10" s="1"/>
  <c r="V17" i="10"/>
  <c r="W17" i="10" s="1"/>
  <c r="Y17" i="10"/>
  <c r="AC17" i="10"/>
  <c r="AD17" i="10" s="1"/>
  <c r="C18" i="10"/>
  <c r="F18" i="10"/>
  <c r="G18" i="10" s="1"/>
  <c r="J18" i="10"/>
  <c r="L18" i="10"/>
  <c r="P18" i="10"/>
  <c r="S18" i="10"/>
  <c r="T18" i="10" s="1"/>
  <c r="V18" i="10"/>
  <c r="W18" i="10" s="1"/>
  <c r="Y18" i="10"/>
  <c r="AC18" i="10"/>
  <c r="AD18" i="10" s="1"/>
  <c r="AF18" i="10"/>
  <c r="C19" i="10"/>
  <c r="F19" i="10"/>
  <c r="G19" i="10" s="1"/>
  <c r="J19" i="10"/>
  <c r="L19" i="10"/>
  <c r="P19" i="10"/>
  <c r="S19" i="10"/>
  <c r="T19" i="10" s="1"/>
  <c r="V19" i="10"/>
  <c r="W19" i="10" s="1"/>
  <c r="Y19" i="10"/>
  <c r="AC19" i="10"/>
  <c r="AD19" i="10" s="1"/>
  <c r="C20" i="10"/>
  <c r="F20" i="10"/>
  <c r="G20" i="10" s="1"/>
  <c r="J20" i="10"/>
  <c r="L20" i="10"/>
  <c r="P20" i="10"/>
  <c r="S20" i="10"/>
  <c r="T20" i="10" s="1"/>
  <c r="V20" i="10"/>
  <c r="W20" i="10" s="1"/>
  <c r="Y20" i="10"/>
  <c r="AC20" i="10"/>
  <c r="AD20" i="10" s="1"/>
  <c r="AF20" i="10"/>
  <c r="C21" i="10"/>
  <c r="F21" i="10"/>
  <c r="G21" i="10" s="1"/>
  <c r="J21" i="10"/>
  <c r="L21" i="10"/>
  <c r="P21" i="10"/>
  <c r="S21" i="10"/>
  <c r="T21" i="10" s="1"/>
  <c r="V21" i="10"/>
  <c r="W21" i="10" s="1"/>
  <c r="Y21" i="10"/>
  <c r="AC21" i="10"/>
  <c r="AD21" i="10" s="1"/>
  <c r="C22" i="10"/>
  <c r="F22" i="10"/>
  <c r="G22" i="10" s="1"/>
  <c r="J22" i="10"/>
  <c r="L22" i="10"/>
  <c r="P22" i="10"/>
  <c r="S22" i="10"/>
  <c r="T22" i="10" s="1"/>
  <c r="V22" i="10"/>
  <c r="W22" i="10" s="1"/>
  <c r="Y22" i="10"/>
  <c r="AC22" i="10"/>
  <c r="AD22" i="10" s="1"/>
  <c r="AF22" i="10"/>
  <c r="C23" i="10"/>
  <c r="F23" i="10"/>
  <c r="G23" i="10" s="1"/>
  <c r="J23" i="10"/>
  <c r="L23" i="10"/>
  <c r="P23" i="10"/>
  <c r="S23" i="10"/>
  <c r="T23" i="10" s="1"/>
  <c r="V23" i="10"/>
  <c r="W23" i="10" s="1"/>
  <c r="Y23" i="10"/>
  <c r="AC23" i="10"/>
  <c r="AD23" i="10" s="1"/>
  <c r="C24" i="10"/>
  <c r="F24" i="10"/>
  <c r="G24" i="10" s="1"/>
  <c r="J24" i="10"/>
  <c r="L24" i="10"/>
  <c r="P24" i="10"/>
  <c r="S24" i="10"/>
  <c r="T24" i="10" s="1"/>
  <c r="V24" i="10"/>
  <c r="W24" i="10" s="1"/>
  <c r="Y24" i="10"/>
  <c r="AC24" i="10"/>
  <c r="AD24" i="10" s="1"/>
  <c r="AF24" i="10"/>
  <c r="C25" i="10"/>
  <c r="F25" i="10"/>
  <c r="G25" i="10" s="1"/>
  <c r="J25" i="10"/>
  <c r="L25" i="10"/>
  <c r="P25" i="10"/>
  <c r="S25" i="10"/>
  <c r="T25" i="10" s="1"/>
  <c r="V25" i="10"/>
  <c r="W25" i="10" s="1"/>
  <c r="Y25" i="10"/>
  <c r="AC25" i="10"/>
  <c r="AD25" i="10" s="1"/>
  <c r="C26" i="10"/>
  <c r="F26" i="10"/>
  <c r="G26" i="10" s="1"/>
  <c r="J26" i="10"/>
  <c r="L26" i="10"/>
  <c r="P26" i="10"/>
  <c r="S26" i="10"/>
  <c r="T26" i="10" s="1"/>
  <c r="V26" i="10"/>
  <c r="W26" i="10" s="1"/>
  <c r="Y26" i="10"/>
  <c r="AC26" i="10"/>
  <c r="AD26" i="10" s="1"/>
  <c r="AF26" i="10"/>
  <c r="C27" i="10"/>
  <c r="F27" i="10"/>
  <c r="G27" i="10" s="1"/>
  <c r="J27" i="10"/>
  <c r="L27" i="10"/>
  <c r="P27" i="10"/>
  <c r="S27" i="10"/>
  <c r="T27" i="10" s="1"/>
  <c r="V27" i="10"/>
  <c r="W27" i="10" s="1"/>
  <c r="Y27" i="10"/>
  <c r="AC27" i="10"/>
  <c r="AD27" i="10" s="1"/>
  <c r="C28" i="10"/>
  <c r="F28" i="10"/>
  <c r="G28" i="10" s="1"/>
  <c r="J28" i="10"/>
  <c r="L28" i="10"/>
  <c r="P28" i="10"/>
  <c r="S28" i="10"/>
  <c r="T28" i="10" s="1"/>
  <c r="V28" i="10"/>
  <c r="W28" i="10" s="1"/>
  <c r="Y28" i="10"/>
  <c r="AC28" i="10"/>
  <c r="AD28" i="10" s="1"/>
  <c r="AF28" i="10"/>
  <c r="C29" i="10"/>
  <c r="F29" i="10"/>
  <c r="G29" i="10" s="1"/>
  <c r="J29" i="10"/>
  <c r="L29" i="10"/>
  <c r="P29" i="10"/>
  <c r="S29" i="10"/>
  <c r="T29" i="10" s="1"/>
  <c r="V29" i="10"/>
  <c r="W29" i="10" s="1"/>
  <c r="Y29" i="10"/>
  <c r="AC29" i="10"/>
  <c r="AD29" i="10" s="1"/>
  <c r="C30" i="10"/>
  <c r="F30" i="10"/>
  <c r="G30" i="10" s="1"/>
  <c r="J30" i="10"/>
  <c r="L30" i="10"/>
  <c r="P30" i="10"/>
  <c r="S30" i="10"/>
  <c r="T30" i="10" s="1"/>
  <c r="V30" i="10"/>
  <c r="W30" i="10" s="1"/>
  <c r="Y30" i="10"/>
  <c r="AC30" i="10"/>
  <c r="AD30" i="10" s="1"/>
  <c r="AF30" i="10"/>
  <c r="F31" i="10"/>
  <c r="G31" i="10" s="1"/>
  <c r="J31" i="10"/>
  <c r="L31" i="10"/>
  <c r="P31" i="10"/>
  <c r="S31" i="10"/>
  <c r="T31" i="10" s="1"/>
  <c r="V31" i="10"/>
  <c r="W31" i="10" s="1"/>
  <c r="Y31" i="10"/>
  <c r="AC31" i="10"/>
  <c r="AD31" i="10" s="1"/>
  <c r="C32" i="10"/>
  <c r="F32" i="10"/>
  <c r="G32" i="10" s="1"/>
  <c r="J32" i="10"/>
  <c r="L32" i="10"/>
  <c r="P32" i="10"/>
  <c r="S32" i="10"/>
  <c r="T32" i="10" s="1"/>
  <c r="V32" i="10"/>
  <c r="W32" i="10" s="1"/>
  <c r="Y32" i="10"/>
  <c r="AC32" i="10"/>
  <c r="AD32" i="10" s="1"/>
  <c r="AF32" i="10"/>
  <c r="F33" i="10"/>
  <c r="G33" i="10" s="1"/>
  <c r="J33" i="10"/>
  <c r="L33" i="10"/>
  <c r="P33" i="10"/>
  <c r="S33" i="10"/>
  <c r="T33" i="10" s="1"/>
  <c r="V33" i="10"/>
  <c r="W33" i="10" s="1"/>
  <c r="Y33" i="10"/>
  <c r="AC33" i="10"/>
  <c r="AD33" i="10" s="1"/>
  <c r="C34" i="10"/>
  <c r="F34" i="10"/>
  <c r="G34" i="10" s="1"/>
  <c r="J34" i="10"/>
  <c r="L34" i="10"/>
  <c r="M34" i="10" s="1"/>
  <c r="P34" i="10"/>
  <c r="S34" i="10"/>
  <c r="T34" i="10" s="1"/>
  <c r="V34" i="10"/>
  <c r="W34" i="10" s="1"/>
  <c r="Y34" i="10"/>
  <c r="Z34" i="10" s="1"/>
  <c r="AC34" i="10"/>
  <c r="AD34" i="10" s="1"/>
  <c r="AF34" i="10"/>
  <c r="F35" i="10"/>
  <c r="G35" i="10" s="1"/>
  <c r="J35" i="10"/>
  <c r="L35" i="10"/>
  <c r="M35" i="10" s="1"/>
  <c r="P35" i="10"/>
  <c r="S35" i="10"/>
  <c r="T35" i="10" s="1"/>
  <c r="V35" i="10"/>
  <c r="W35" i="10" s="1"/>
  <c r="Y35" i="10"/>
  <c r="Z35" i="10" s="1"/>
  <c r="AC35" i="10"/>
  <c r="AD35" i="10" s="1"/>
  <c r="F5" i="9"/>
  <c r="G5" i="9" s="1"/>
  <c r="I5" i="9"/>
  <c r="J5" i="9" s="1"/>
  <c r="L5" i="9"/>
  <c r="Q5" i="9"/>
  <c r="S5" i="9"/>
  <c r="T5" i="9" s="1"/>
  <c r="V5" i="9"/>
  <c r="W5" i="9" s="1"/>
  <c r="Y5" i="9"/>
  <c r="C6" i="9"/>
  <c r="F6" i="9"/>
  <c r="G6" i="9" s="1"/>
  <c r="I6" i="9"/>
  <c r="J6" i="9" s="1"/>
  <c r="L6" i="9"/>
  <c r="Q6" i="9"/>
  <c r="S6" i="9"/>
  <c r="T6" i="9" s="1"/>
  <c r="V6" i="9"/>
  <c r="W6" i="9" s="1"/>
  <c r="Y6" i="9"/>
  <c r="AB6" i="9"/>
  <c r="F7" i="9"/>
  <c r="G7" i="9" s="1"/>
  <c r="I7" i="9"/>
  <c r="J7" i="9" s="1"/>
  <c r="L7" i="9"/>
  <c r="Q7" i="9"/>
  <c r="S7" i="9"/>
  <c r="T7" i="9" s="1"/>
  <c r="V7" i="9"/>
  <c r="W7" i="9" s="1"/>
  <c r="Y7" i="9"/>
  <c r="C8" i="9"/>
  <c r="F8" i="9"/>
  <c r="G8" i="9" s="1"/>
  <c r="I8" i="9"/>
  <c r="J8" i="9" s="1"/>
  <c r="L8" i="9"/>
  <c r="Q8" i="9"/>
  <c r="S8" i="9"/>
  <c r="T8" i="9" s="1"/>
  <c r="V8" i="9"/>
  <c r="W8" i="9" s="1"/>
  <c r="Y8" i="9"/>
  <c r="AB8" i="9"/>
  <c r="F9" i="9"/>
  <c r="G9" i="9" s="1"/>
  <c r="I9" i="9"/>
  <c r="J9" i="9" s="1"/>
  <c r="L9" i="9"/>
  <c r="Q9" i="9"/>
  <c r="S9" i="9"/>
  <c r="T9" i="9" s="1"/>
  <c r="V9" i="9"/>
  <c r="W9" i="9" s="1"/>
  <c r="Y9" i="9"/>
  <c r="C10" i="9"/>
  <c r="F10" i="9"/>
  <c r="G10" i="9" s="1"/>
  <c r="J10" i="9"/>
  <c r="L10" i="9"/>
  <c r="Q10" i="9"/>
  <c r="S10" i="9"/>
  <c r="T10" i="9" s="1"/>
  <c r="V10" i="9"/>
  <c r="W10" i="9" s="1"/>
  <c r="Y10" i="9"/>
  <c r="AB10" i="9"/>
  <c r="F11" i="9"/>
  <c r="G11" i="9" s="1"/>
  <c r="J11" i="9"/>
  <c r="L11" i="9"/>
  <c r="Q11" i="9"/>
  <c r="S11" i="9"/>
  <c r="T11" i="9" s="1"/>
  <c r="V11" i="9"/>
  <c r="W11" i="9" s="1"/>
  <c r="Y11" i="9"/>
  <c r="C12" i="9"/>
  <c r="F12" i="9"/>
  <c r="G12" i="9" s="1"/>
  <c r="I12" i="9"/>
  <c r="J12" i="9" s="1"/>
  <c r="L12" i="9"/>
  <c r="Q12" i="9"/>
  <c r="S12" i="9"/>
  <c r="T12" i="9" s="1"/>
  <c r="V12" i="9"/>
  <c r="W12" i="9" s="1"/>
  <c r="Y12" i="9"/>
  <c r="AB12" i="9"/>
  <c r="F13" i="9"/>
  <c r="G13" i="9" s="1"/>
  <c r="I13" i="9"/>
  <c r="J13" i="9" s="1"/>
  <c r="L13" i="9"/>
  <c r="Q13" i="9"/>
  <c r="S13" i="9"/>
  <c r="T13" i="9" s="1"/>
  <c r="V13" i="9"/>
  <c r="W13" i="9" s="1"/>
  <c r="Y13" i="9"/>
  <c r="C14" i="9"/>
  <c r="F14" i="9"/>
  <c r="G14" i="9" s="1"/>
  <c r="I14" i="9"/>
  <c r="J14" i="9" s="1"/>
  <c r="L14" i="9"/>
  <c r="Q14" i="9"/>
  <c r="S14" i="9"/>
  <c r="T14" i="9" s="1"/>
  <c r="V14" i="9"/>
  <c r="W14" i="9" s="1"/>
  <c r="Y14" i="9"/>
  <c r="AB14" i="9"/>
  <c r="G15" i="9"/>
  <c r="I15" i="9"/>
  <c r="J15" i="9" s="1"/>
  <c r="L15" i="9"/>
  <c r="Q15" i="9"/>
  <c r="S15" i="9"/>
  <c r="T15" i="9" s="1"/>
  <c r="V15" i="9"/>
  <c r="W15" i="9" s="1"/>
  <c r="Y15" i="9"/>
  <c r="C16" i="9"/>
  <c r="G16" i="9"/>
  <c r="I16" i="9"/>
  <c r="J16" i="9" s="1"/>
  <c r="L16" i="9"/>
  <c r="Q16" i="9"/>
  <c r="S16" i="9"/>
  <c r="T16" i="9" s="1"/>
  <c r="V16" i="9"/>
  <c r="W16" i="9" s="1"/>
  <c r="Y16" i="9"/>
  <c r="AB16" i="9"/>
  <c r="C17" i="9"/>
  <c r="F17" i="9"/>
  <c r="G17" i="9" s="1"/>
  <c r="I17" i="9"/>
  <c r="J17" i="9" s="1"/>
  <c r="L17" i="9"/>
  <c r="Q17" i="9"/>
  <c r="S17" i="9"/>
  <c r="T17" i="9" s="1"/>
  <c r="V17" i="9"/>
  <c r="W17" i="9" s="1"/>
  <c r="Y17" i="9"/>
  <c r="AB17" i="9"/>
  <c r="C18" i="9"/>
  <c r="F18" i="9"/>
  <c r="G18" i="9" s="1"/>
  <c r="I18" i="9"/>
  <c r="L18" i="9"/>
  <c r="S18" i="9"/>
  <c r="T18" i="9" s="1"/>
  <c r="V18" i="9"/>
  <c r="Y18" i="9"/>
  <c r="C19" i="9"/>
  <c r="F19" i="9"/>
  <c r="I19" i="9"/>
  <c r="J19" i="9" s="1"/>
  <c r="L19" i="9"/>
  <c r="Q19" i="9"/>
  <c r="S19" i="9"/>
  <c r="V19" i="9"/>
  <c r="W19" i="9" s="1"/>
  <c r="Y19" i="9"/>
  <c r="AB19" i="9"/>
  <c r="C20" i="9"/>
  <c r="F20" i="9"/>
  <c r="G20" i="9" s="1"/>
  <c r="I20" i="9"/>
  <c r="J20" i="9" s="1"/>
  <c r="L20" i="9"/>
  <c r="Q20" i="9"/>
  <c r="S20" i="9"/>
  <c r="T20" i="9" s="1"/>
  <c r="V20" i="9"/>
  <c r="W20" i="9" s="1"/>
  <c r="Y20" i="9"/>
  <c r="C21" i="9"/>
  <c r="F21" i="9"/>
  <c r="G21" i="9" s="1"/>
  <c r="I21" i="9"/>
  <c r="J21" i="9" s="1"/>
  <c r="L21" i="9"/>
  <c r="Q21" i="9"/>
  <c r="S21" i="9"/>
  <c r="T21" i="9" s="1"/>
  <c r="V21" i="9"/>
  <c r="W21" i="9" s="1"/>
  <c r="Y21" i="9"/>
  <c r="AB21" i="9"/>
  <c r="C22" i="9"/>
  <c r="F22" i="9"/>
  <c r="G22" i="9" s="1"/>
  <c r="I22" i="9"/>
  <c r="J22" i="9" s="1"/>
  <c r="L22" i="9"/>
  <c r="Q22" i="9"/>
  <c r="S22" i="9"/>
  <c r="T22" i="9" s="1"/>
  <c r="V22" i="9"/>
  <c r="W22" i="9" s="1"/>
  <c r="Y22" i="9"/>
  <c r="C23" i="9"/>
  <c r="F23" i="9"/>
  <c r="G23" i="9" s="1"/>
  <c r="I23" i="9"/>
  <c r="J23" i="9" s="1"/>
  <c r="L23" i="9"/>
  <c r="Q23" i="9"/>
  <c r="V23" i="9"/>
  <c r="W23" i="9" s="1"/>
  <c r="Y23" i="9"/>
  <c r="AB23" i="9"/>
  <c r="C24" i="9"/>
  <c r="F24" i="9"/>
  <c r="G24" i="9" s="1"/>
  <c r="I24" i="9"/>
  <c r="J24" i="9" s="1"/>
  <c r="L24" i="9"/>
  <c r="Q24" i="9"/>
  <c r="S24" i="9"/>
  <c r="T24" i="9" s="1"/>
  <c r="V24" i="9"/>
  <c r="W24" i="9" s="1"/>
  <c r="Y24" i="9"/>
  <c r="C25" i="9"/>
  <c r="F25" i="9"/>
  <c r="G25" i="9" s="1"/>
  <c r="I25" i="9"/>
  <c r="J25" i="9" s="1"/>
  <c r="L25" i="9"/>
  <c r="Q25" i="9"/>
  <c r="S25" i="9"/>
  <c r="T25" i="9" s="1"/>
  <c r="V25" i="9"/>
  <c r="W25" i="9" s="1"/>
  <c r="Y25" i="9"/>
  <c r="AB25" i="9"/>
  <c r="C26" i="9"/>
  <c r="F26" i="9"/>
  <c r="G26" i="9" s="1"/>
  <c r="I26" i="9"/>
  <c r="J26" i="9" s="1"/>
  <c r="L26" i="9"/>
  <c r="Q26" i="9"/>
  <c r="S26" i="9"/>
  <c r="T26" i="9" s="1"/>
  <c r="V26" i="9"/>
  <c r="W26" i="9" s="1"/>
  <c r="Y26" i="9"/>
  <c r="C27" i="9"/>
  <c r="F27" i="9"/>
  <c r="G27" i="9" s="1"/>
  <c r="I27" i="9"/>
  <c r="J27" i="9" s="1"/>
  <c r="L27" i="9"/>
  <c r="Q27" i="9"/>
  <c r="S27" i="9"/>
  <c r="T27" i="9" s="1"/>
  <c r="V27" i="9"/>
  <c r="W27" i="9" s="1"/>
  <c r="Y27" i="9"/>
  <c r="AB27" i="9"/>
  <c r="C28" i="9"/>
  <c r="F28" i="9"/>
  <c r="G28" i="9" s="1"/>
  <c r="I28" i="9"/>
  <c r="J28" i="9" s="1"/>
  <c r="L28" i="9"/>
  <c r="Q28" i="9"/>
  <c r="S28" i="9"/>
  <c r="T28" i="9" s="1"/>
  <c r="V28" i="9"/>
  <c r="W28" i="9" s="1"/>
  <c r="Y28" i="9"/>
  <c r="C29" i="9"/>
  <c r="F29" i="9"/>
  <c r="G29" i="9" s="1"/>
  <c r="I29" i="9"/>
  <c r="J29" i="9" s="1"/>
  <c r="L29" i="9"/>
  <c r="Q29" i="9"/>
  <c r="S29" i="9"/>
  <c r="T29" i="9" s="1"/>
  <c r="V29" i="9"/>
  <c r="W29" i="9" s="1"/>
  <c r="Y29" i="9"/>
  <c r="AB29" i="9"/>
  <c r="C30" i="9"/>
  <c r="F30" i="9"/>
  <c r="G30" i="9" s="1"/>
  <c r="J30" i="9"/>
  <c r="L30" i="9"/>
  <c r="Q30" i="9"/>
  <c r="S30" i="9"/>
  <c r="T30" i="9" s="1"/>
  <c r="V30" i="9"/>
  <c r="W30" i="9" s="1"/>
  <c r="Y30" i="9"/>
  <c r="C31" i="9"/>
  <c r="F31" i="9"/>
  <c r="G31" i="9" s="1"/>
  <c r="J31" i="9"/>
  <c r="L31" i="9"/>
  <c r="Q31" i="9"/>
  <c r="S31" i="9"/>
  <c r="T31" i="9" s="1"/>
  <c r="V31" i="9"/>
  <c r="W31" i="9" s="1"/>
  <c r="Y31" i="9"/>
  <c r="AB31" i="9"/>
  <c r="C32" i="9"/>
  <c r="F32" i="9"/>
  <c r="G32" i="9" s="1"/>
  <c r="J32" i="9"/>
  <c r="L32" i="9"/>
  <c r="Q32" i="9"/>
  <c r="S32" i="9"/>
  <c r="T32" i="9" s="1"/>
  <c r="V32" i="9"/>
  <c r="W32" i="9" s="1"/>
  <c r="Y32" i="9"/>
  <c r="C33" i="9"/>
  <c r="F33" i="9"/>
  <c r="G33" i="9" s="1"/>
  <c r="J33" i="9"/>
  <c r="L33" i="9"/>
  <c r="Q33" i="9"/>
  <c r="S33" i="9"/>
  <c r="T33" i="9" s="1"/>
  <c r="V33" i="9"/>
  <c r="W33" i="9" s="1"/>
  <c r="Y33" i="9"/>
  <c r="AB33" i="9"/>
  <c r="C34" i="9"/>
  <c r="F34" i="9"/>
  <c r="G34" i="9" s="1"/>
  <c r="J34" i="9"/>
  <c r="L34" i="9"/>
  <c r="M34" i="9" s="1"/>
  <c r="Q34" i="9"/>
  <c r="S34" i="9"/>
  <c r="T34" i="9" s="1"/>
  <c r="V34" i="9"/>
  <c r="W34" i="9" s="1"/>
  <c r="Y34" i="9"/>
  <c r="Z34" i="9" s="1"/>
  <c r="C5" i="8"/>
  <c r="F5" i="8"/>
  <c r="G5" i="8" s="1"/>
  <c r="I5" i="8"/>
  <c r="L5" i="8"/>
  <c r="P5" i="8"/>
  <c r="S5" i="8"/>
  <c r="T5" i="8" s="1"/>
  <c r="V5" i="8"/>
  <c r="Y5" i="8"/>
  <c r="C6" i="8"/>
  <c r="F6" i="8"/>
  <c r="G6" i="8" s="1"/>
  <c r="I6" i="8"/>
  <c r="J6" i="8" s="1"/>
  <c r="L6" i="8"/>
  <c r="P6" i="8"/>
  <c r="S6" i="8"/>
  <c r="T6" i="8" s="1"/>
  <c r="V6" i="8"/>
  <c r="W6" i="8" s="1"/>
  <c r="Y6" i="8"/>
  <c r="C7" i="8"/>
  <c r="F7" i="8"/>
  <c r="G7" i="8" s="1"/>
  <c r="I7" i="8"/>
  <c r="J7" i="8" s="1"/>
  <c r="L7" i="8"/>
  <c r="P7" i="8"/>
  <c r="S7" i="8"/>
  <c r="T7" i="8" s="1"/>
  <c r="V7" i="8"/>
  <c r="W7" i="8" s="1"/>
  <c r="Y7" i="8"/>
  <c r="C8" i="8"/>
  <c r="F8" i="8"/>
  <c r="G8" i="8" s="1"/>
  <c r="I8" i="8"/>
  <c r="J8" i="8" s="1"/>
  <c r="L8" i="8"/>
  <c r="P8" i="8"/>
  <c r="S8" i="8"/>
  <c r="T8" i="8" s="1"/>
  <c r="V8" i="8"/>
  <c r="W8" i="8" s="1"/>
  <c r="Y8" i="8"/>
  <c r="C9" i="8"/>
  <c r="F9" i="8"/>
  <c r="G9" i="8" s="1"/>
  <c r="I9" i="8"/>
  <c r="J9" i="8" s="1"/>
  <c r="L9" i="8"/>
  <c r="P9" i="8"/>
  <c r="S9" i="8"/>
  <c r="T9" i="8" s="1"/>
  <c r="V9" i="8"/>
  <c r="W9" i="8" s="1"/>
  <c r="Y9" i="8"/>
  <c r="C10" i="8"/>
  <c r="F10" i="8"/>
  <c r="G10" i="8" s="1"/>
  <c r="I10" i="8"/>
  <c r="J10" i="8" s="1"/>
  <c r="L10" i="8"/>
  <c r="P10" i="8"/>
  <c r="S10" i="8"/>
  <c r="T10" i="8" s="1"/>
  <c r="V10" i="8"/>
  <c r="W10" i="8" s="1"/>
  <c r="Y10" i="8"/>
  <c r="C11" i="8"/>
  <c r="F11" i="8"/>
  <c r="G11" i="8" s="1"/>
  <c r="I11" i="8"/>
  <c r="J11" i="8" s="1"/>
  <c r="L11" i="8"/>
  <c r="P11" i="8"/>
  <c r="S11" i="8"/>
  <c r="T11" i="8" s="1"/>
  <c r="V11" i="8"/>
  <c r="W11" i="8" s="1"/>
  <c r="Y11" i="8"/>
  <c r="C12" i="8"/>
  <c r="F12" i="8"/>
  <c r="G12" i="8" s="1"/>
  <c r="I12" i="8"/>
  <c r="J12" i="8" s="1"/>
  <c r="L12" i="8"/>
  <c r="P12" i="8"/>
  <c r="S12" i="8"/>
  <c r="T12" i="8" s="1"/>
  <c r="V12" i="8"/>
  <c r="W12" i="8" s="1"/>
  <c r="Y12" i="8"/>
  <c r="C13" i="8"/>
  <c r="F13" i="8"/>
  <c r="G13" i="8" s="1"/>
  <c r="I13" i="8"/>
  <c r="J13" i="8" s="1"/>
  <c r="L13" i="8"/>
  <c r="P13" i="8"/>
  <c r="S13" i="8"/>
  <c r="T13" i="8" s="1"/>
  <c r="V13" i="8"/>
  <c r="W13" i="8" s="1"/>
  <c r="Y13" i="8"/>
  <c r="C14" i="8"/>
  <c r="F14" i="8"/>
  <c r="G14" i="8" s="1"/>
  <c r="I14" i="8"/>
  <c r="J14" i="8" s="1"/>
  <c r="L14" i="8"/>
  <c r="P14" i="8"/>
  <c r="S14" i="8"/>
  <c r="T14" i="8" s="1"/>
  <c r="V14" i="8"/>
  <c r="W14" i="8" s="1"/>
  <c r="Y14" i="8"/>
  <c r="C15" i="8"/>
  <c r="F15" i="8"/>
  <c r="G15" i="8" s="1"/>
  <c r="I15" i="8"/>
  <c r="J15" i="8" s="1"/>
  <c r="L15" i="8"/>
  <c r="P15" i="8"/>
  <c r="S15" i="8"/>
  <c r="T15" i="8" s="1"/>
  <c r="V15" i="8"/>
  <c r="W15" i="8" s="1"/>
  <c r="Y15" i="8"/>
  <c r="C16" i="8"/>
  <c r="F16" i="8"/>
  <c r="G16" i="8" s="1"/>
  <c r="I16" i="8"/>
  <c r="J16" i="8" s="1"/>
  <c r="L16" i="8"/>
  <c r="P16" i="8"/>
  <c r="S16" i="8"/>
  <c r="T16" i="8" s="1"/>
  <c r="V16" i="8"/>
  <c r="W16" i="8" s="1"/>
  <c r="Y16" i="8"/>
  <c r="C17" i="8"/>
  <c r="F17" i="8"/>
  <c r="G17" i="8" s="1"/>
  <c r="I17" i="8"/>
  <c r="J17" i="8" s="1"/>
  <c r="L17" i="8"/>
  <c r="P17" i="8"/>
  <c r="S17" i="8"/>
  <c r="T17" i="8" s="1"/>
  <c r="V17" i="8"/>
  <c r="W17" i="8" s="1"/>
  <c r="Y17" i="8"/>
  <c r="C18" i="8"/>
  <c r="F18" i="8"/>
  <c r="G18" i="8" s="1"/>
  <c r="I18" i="8"/>
  <c r="J18" i="8" s="1"/>
  <c r="L18" i="8"/>
  <c r="P18" i="8"/>
  <c r="S18" i="8"/>
  <c r="T18" i="8" s="1"/>
  <c r="V18" i="8"/>
  <c r="W18" i="8" s="1"/>
  <c r="Y18" i="8"/>
  <c r="C19" i="8"/>
  <c r="F19" i="8"/>
  <c r="G19" i="8" s="1"/>
  <c r="I19" i="8"/>
  <c r="J19" i="8" s="1"/>
  <c r="L19" i="8"/>
  <c r="P19" i="8"/>
  <c r="S19" i="8"/>
  <c r="T19" i="8" s="1"/>
  <c r="V19" i="8"/>
  <c r="W19" i="8" s="1"/>
  <c r="Y19" i="8"/>
  <c r="C20" i="8"/>
  <c r="F20" i="8"/>
  <c r="G20" i="8" s="1"/>
  <c r="J20" i="8"/>
  <c r="L20" i="8"/>
  <c r="P20" i="8"/>
  <c r="S20" i="8"/>
  <c r="T20" i="8" s="1"/>
  <c r="V20" i="8"/>
  <c r="W20" i="8" s="1"/>
  <c r="Y20" i="8"/>
  <c r="C21" i="8"/>
  <c r="F21" i="8"/>
  <c r="G21" i="8" s="1"/>
  <c r="J21" i="8"/>
  <c r="L21" i="8"/>
  <c r="P21" i="8"/>
  <c r="S21" i="8"/>
  <c r="T21" i="8" s="1"/>
  <c r="V21" i="8"/>
  <c r="W21" i="8" s="1"/>
  <c r="Y21" i="8"/>
  <c r="C22" i="8"/>
  <c r="F22" i="8"/>
  <c r="G22" i="8" s="1"/>
  <c r="I22" i="8"/>
  <c r="J22" i="8" s="1"/>
  <c r="L22" i="8"/>
  <c r="P22" i="8"/>
  <c r="S22" i="8"/>
  <c r="T22" i="8" s="1"/>
  <c r="V22" i="8"/>
  <c r="W22" i="8" s="1"/>
  <c r="Y22" i="8"/>
  <c r="C23" i="8"/>
  <c r="F23" i="8"/>
  <c r="G23" i="8" s="1"/>
  <c r="I23" i="8"/>
  <c r="J23" i="8" s="1"/>
  <c r="L23" i="8"/>
  <c r="P23" i="8"/>
  <c r="S23" i="8"/>
  <c r="T23" i="8" s="1"/>
  <c r="V23" i="8"/>
  <c r="W23" i="8" s="1"/>
  <c r="Y23" i="8"/>
  <c r="C24" i="8"/>
  <c r="F24" i="8"/>
  <c r="G24" i="8" s="1"/>
  <c r="I24" i="8"/>
  <c r="J24" i="8" s="1"/>
  <c r="L24" i="8"/>
  <c r="P24" i="8"/>
  <c r="S24" i="8"/>
  <c r="T24" i="8" s="1"/>
  <c r="V24" i="8"/>
  <c r="W24" i="8" s="1"/>
  <c r="Y24" i="8"/>
  <c r="C25" i="8"/>
  <c r="F25" i="8"/>
  <c r="G25" i="8" s="1"/>
  <c r="I25" i="8"/>
  <c r="J25" i="8" s="1"/>
  <c r="L25" i="8"/>
  <c r="P25" i="8"/>
  <c r="S25" i="8"/>
  <c r="T25" i="8" s="1"/>
  <c r="V25" i="8"/>
  <c r="W25" i="8" s="1"/>
  <c r="Y25" i="8"/>
  <c r="C26" i="8"/>
  <c r="F26" i="8"/>
  <c r="G26" i="8" s="1"/>
  <c r="I26" i="8"/>
  <c r="J26" i="8" s="1"/>
  <c r="L26" i="8"/>
  <c r="P26" i="8"/>
  <c r="S26" i="8"/>
  <c r="T26" i="8" s="1"/>
  <c r="V26" i="8"/>
  <c r="W26" i="8" s="1"/>
  <c r="Y26" i="8"/>
  <c r="C27" i="8"/>
  <c r="F27" i="8"/>
  <c r="G27" i="8" s="1"/>
  <c r="I27" i="8"/>
  <c r="J27" i="8" s="1"/>
  <c r="L27" i="8"/>
  <c r="P27" i="8"/>
  <c r="S27" i="8"/>
  <c r="T27" i="8" s="1"/>
  <c r="V27" i="8"/>
  <c r="W27" i="8" s="1"/>
  <c r="Y27" i="8"/>
  <c r="C28" i="8"/>
  <c r="F28" i="8"/>
  <c r="G28" i="8" s="1"/>
  <c r="I28" i="8"/>
  <c r="J28" i="8" s="1"/>
  <c r="L28" i="8"/>
  <c r="P28" i="8"/>
  <c r="S28" i="8"/>
  <c r="T28" i="8" s="1"/>
  <c r="V28" i="8"/>
  <c r="W28" i="8" s="1"/>
  <c r="Y28" i="8"/>
  <c r="C29" i="8"/>
  <c r="F29" i="8"/>
  <c r="G29" i="8" s="1"/>
  <c r="I29" i="8"/>
  <c r="J29" i="8" s="1"/>
  <c r="L29" i="8"/>
  <c r="P29" i="8"/>
  <c r="S29" i="8"/>
  <c r="T29" i="8" s="1"/>
  <c r="V29" i="8"/>
  <c r="W29" i="8" s="1"/>
  <c r="Y29" i="8"/>
  <c r="C30" i="8"/>
  <c r="F30" i="8"/>
  <c r="G30" i="8" s="1"/>
  <c r="I30" i="8"/>
  <c r="J30" i="8" s="1"/>
  <c r="L30" i="8"/>
  <c r="P30" i="8"/>
  <c r="S30" i="8"/>
  <c r="T30" i="8" s="1"/>
  <c r="V30" i="8"/>
  <c r="W30" i="8" s="1"/>
  <c r="Y30" i="8"/>
  <c r="C31" i="8"/>
  <c r="F31" i="8"/>
  <c r="G31" i="8" s="1"/>
  <c r="J31" i="8"/>
  <c r="L31" i="8"/>
  <c r="P31" i="8"/>
  <c r="S31" i="8"/>
  <c r="T31" i="8" s="1"/>
  <c r="V31" i="8"/>
  <c r="W31" i="8" s="1"/>
  <c r="Y31" i="8"/>
  <c r="C32" i="8"/>
  <c r="F32" i="8"/>
  <c r="G32" i="8" s="1"/>
  <c r="J32" i="8"/>
  <c r="L32" i="8"/>
  <c r="P32" i="8"/>
  <c r="S32" i="8"/>
  <c r="T32" i="8" s="1"/>
  <c r="V32" i="8"/>
  <c r="W32" i="8" s="1"/>
  <c r="Y32" i="8"/>
  <c r="C33" i="8"/>
  <c r="F33" i="8"/>
  <c r="G33" i="8" s="1"/>
  <c r="J33" i="8"/>
  <c r="L33" i="8"/>
  <c r="P33" i="8"/>
  <c r="S33" i="8"/>
  <c r="T33" i="8" s="1"/>
  <c r="V33" i="8"/>
  <c r="W33" i="8" s="1"/>
  <c r="Y33" i="8"/>
  <c r="C34" i="8"/>
  <c r="F34" i="8"/>
  <c r="G34" i="8" s="1"/>
  <c r="J34" i="8"/>
  <c r="L34" i="8"/>
  <c r="P34" i="8"/>
  <c r="Q34" i="8" s="1"/>
  <c r="S34" i="8"/>
  <c r="T34" i="8" s="1"/>
  <c r="V34" i="8"/>
  <c r="W34" i="8" s="1"/>
  <c r="Y34" i="8"/>
  <c r="C35" i="8"/>
  <c r="F35" i="8"/>
  <c r="G35" i="8" s="1"/>
  <c r="J35" i="8"/>
  <c r="L35" i="8"/>
  <c r="P35" i="8"/>
  <c r="S35" i="8"/>
  <c r="T35" i="8" s="1"/>
  <c r="V35" i="8"/>
  <c r="W35" i="8" s="1"/>
  <c r="Y35" i="8"/>
  <c r="C5" i="7"/>
  <c r="F5" i="7"/>
  <c r="G5" i="7" s="1"/>
  <c r="L5" i="7"/>
  <c r="P5" i="7"/>
  <c r="S5" i="7"/>
  <c r="T5" i="7" s="1"/>
  <c r="V5" i="7"/>
  <c r="Y5" i="7"/>
  <c r="C6" i="7"/>
  <c r="F6" i="7"/>
  <c r="I6" i="7"/>
  <c r="J6" i="7" s="1"/>
  <c r="L6" i="7"/>
  <c r="P6" i="7"/>
  <c r="S6" i="7"/>
  <c r="V6" i="7"/>
  <c r="W6" i="7" s="1"/>
  <c r="Y6" i="7"/>
  <c r="C7" i="7"/>
  <c r="F7" i="7"/>
  <c r="G7" i="7" s="1"/>
  <c r="I7" i="7"/>
  <c r="J7" i="7" s="1"/>
  <c r="L7" i="7"/>
  <c r="P7" i="7"/>
  <c r="S7" i="7"/>
  <c r="T7" i="7" s="1"/>
  <c r="V7" i="7"/>
  <c r="W7" i="7" s="1"/>
  <c r="Y7" i="7"/>
  <c r="C8" i="7"/>
  <c r="F8" i="7"/>
  <c r="G8" i="7" s="1"/>
  <c r="J8" i="7"/>
  <c r="L8" i="7"/>
  <c r="P8" i="7"/>
  <c r="V8" i="7"/>
  <c r="W8" i="7" s="1"/>
  <c r="Y8" i="7"/>
  <c r="C9" i="7"/>
  <c r="F9" i="7"/>
  <c r="G9" i="7" s="1"/>
  <c r="J9" i="7"/>
  <c r="L9" i="7"/>
  <c r="V9" i="7"/>
  <c r="W9" i="7" s="1"/>
  <c r="Y9" i="7"/>
  <c r="C10" i="7"/>
  <c r="F10" i="7"/>
  <c r="G10" i="7" s="1"/>
  <c r="J10" i="7"/>
  <c r="L10" i="7"/>
  <c r="V10" i="7"/>
  <c r="W10" i="7" s="1"/>
  <c r="Y10" i="7"/>
  <c r="C11" i="7"/>
  <c r="F11" i="7"/>
  <c r="G11" i="7" s="1"/>
  <c r="J11" i="7"/>
  <c r="V11" i="7"/>
  <c r="W11" i="7" s="1"/>
  <c r="Y11" i="7"/>
  <c r="C12" i="7"/>
  <c r="F12" i="7"/>
  <c r="G12" i="7" s="1"/>
  <c r="J12" i="7"/>
  <c r="V12" i="7"/>
  <c r="W12" i="7" s="1"/>
  <c r="Y12" i="7"/>
  <c r="C13" i="7"/>
  <c r="F13" i="7"/>
  <c r="G13" i="7" s="1"/>
  <c r="J13" i="7"/>
  <c r="L13" i="7"/>
  <c r="V13" i="7"/>
  <c r="W13" i="7" s="1"/>
  <c r="Y13" i="7"/>
  <c r="C14" i="7"/>
  <c r="F14" i="7"/>
  <c r="G14" i="7" s="1"/>
  <c r="L14" i="7"/>
  <c r="P14" i="7"/>
  <c r="V14" i="7"/>
  <c r="W14" i="7" s="1"/>
  <c r="Y14" i="7"/>
  <c r="C15" i="7"/>
  <c r="F15" i="7"/>
  <c r="G15" i="7" s="1"/>
  <c r="L15" i="7"/>
  <c r="P15" i="7"/>
  <c r="V15" i="7"/>
  <c r="W15" i="7" s="1"/>
  <c r="Y15" i="7"/>
  <c r="C16" i="7"/>
  <c r="F16" i="7"/>
  <c r="G16" i="7" s="1"/>
  <c r="L16" i="7"/>
  <c r="P16" i="7"/>
  <c r="V16" i="7"/>
  <c r="W16" i="7" s="1"/>
  <c r="Y16" i="7"/>
  <c r="C17" i="7"/>
  <c r="F17" i="7"/>
  <c r="G17" i="7" s="1"/>
  <c r="L17" i="7"/>
  <c r="P17" i="7"/>
  <c r="S17" i="7"/>
  <c r="T17" i="7" s="1"/>
  <c r="V17" i="7"/>
  <c r="W17" i="7" s="1"/>
  <c r="Y17" i="7"/>
  <c r="C18" i="7"/>
  <c r="F18" i="7"/>
  <c r="G18" i="7" s="1"/>
  <c r="J18" i="7"/>
  <c r="L18" i="7"/>
  <c r="P18" i="7"/>
  <c r="S18" i="7"/>
  <c r="T18" i="7" s="1"/>
  <c r="V18" i="7"/>
  <c r="W18" i="7" s="1"/>
  <c r="Y18" i="7"/>
  <c r="C19" i="7"/>
  <c r="F19" i="7"/>
  <c r="G19" i="7" s="1"/>
  <c r="J19" i="7"/>
  <c r="L19" i="7"/>
  <c r="P19" i="7"/>
  <c r="S19" i="7"/>
  <c r="T19" i="7" s="1"/>
  <c r="V19" i="7"/>
  <c r="W19" i="7" s="1"/>
  <c r="Y19" i="7"/>
  <c r="C20" i="7"/>
  <c r="F20" i="7"/>
  <c r="G20" i="7" s="1"/>
  <c r="J20" i="7"/>
  <c r="L20" i="7"/>
  <c r="P20" i="7"/>
  <c r="S20" i="7"/>
  <c r="T20" i="7" s="1"/>
  <c r="V20" i="7"/>
  <c r="W20" i="7" s="1"/>
  <c r="Y20" i="7"/>
  <c r="C21" i="7"/>
  <c r="F21" i="7"/>
  <c r="G21" i="7" s="1"/>
  <c r="J21" i="7"/>
  <c r="L21" i="7"/>
  <c r="P21" i="7"/>
  <c r="S21" i="7"/>
  <c r="T21" i="7" s="1"/>
  <c r="V21" i="7"/>
  <c r="W21" i="7" s="1"/>
  <c r="Y21" i="7"/>
  <c r="C22" i="7"/>
  <c r="F22" i="7"/>
  <c r="G22" i="7" s="1"/>
  <c r="J22" i="7"/>
  <c r="L22" i="7"/>
  <c r="P22" i="7"/>
  <c r="S22" i="7"/>
  <c r="T22" i="7" s="1"/>
  <c r="V22" i="7"/>
  <c r="W22" i="7" s="1"/>
  <c r="Y22" i="7"/>
  <c r="C23" i="7"/>
  <c r="F23" i="7"/>
  <c r="G23" i="7" s="1"/>
  <c r="J23" i="7"/>
  <c r="L23" i="7"/>
  <c r="P23" i="7"/>
  <c r="S23" i="7"/>
  <c r="T23" i="7" s="1"/>
  <c r="V23" i="7"/>
  <c r="W23" i="7" s="1"/>
  <c r="Y23" i="7"/>
  <c r="C24" i="7"/>
  <c r="F24" i="7"/>
  <c r="G24" i="7" s="1"/>
  <c r="J24" i="7"/>
  <c r="L24" i="7"/>
  <c r="P24" i="7"/>
  <c r="S24" i="7"/>
  <c r="T24" i="7" s="1"/>
  <c r="V24" i="7"/>
  <c r="W24" i="7" s="1"/>
  <c r="Y24" i="7"/>
  <c r="C25" i="7"/>
  <c r="F25" i="7"/>
  <c r="G25" i="7" s="1"/>
  <c r="J25" i="7"/>
  <c r="L25" i="7"/>
  <c r="P25" i="7"/>
  <c r="S25" i="7"/>
  <c r="T25" i="7" s="1"/>
  <c r="V25" i="7"/>
  <c r="W25" i="7" s="1"/>
  <c r="Y25" i="7"/>
  <c r="C26" i="7"/>
  <c r="F26" i="7"/>
  <c r="G26" i="7" s="1"/>
  <c r="J26" i="7"/>
  <c r="L26" i="7"/>
  <c r="P26" i="7"/>
  <c r="S26" i="7"/>
  <c r="T26" i="7" s="1"/>
  <c r="V26" i="7"/>
  <c r="W26" i="7" s="1"/>
  <c r="Y26" i="7"/>
  <c r="C27" i="7"/>
  <c r="F27" i="7"/>
  <c r="G27" i="7" s="1"/>
  <c r="J27" i="7"/>
  <c r="L27" i="7"/>
  <c r="P27" i="7"/>
  <c r="S27" i="7"/>
  <c r="T27" i="7" s="1"/>
  <c r="V27" i="7"/>
  <c r="W27" i="7" s="1"/>
  <c r="Y27" i="7"/>
  <c r="C28" i="7"/>
  <c r="F28" i="7"/>
  <c r="G28" i="7" s="1"/>
  <c r="J28" i="7"/>
  <c r="L28" i="7"/>
  <c r="P28" i="7"/>
  <c r="S28" i="7"/>
  <c r="T28" i="7" s="1"/>
  <c r="V28" i="7"/>
  <c r="W28" i="7" s="1"/>
  <c r="Y28" i="7"/>
  <c r="C29" i="7"/>
  <c r="F29" i="7"/>
  <c r="G29" i="7" s="1"/>
  <c r="J29" i="7"/>
  <c r="L29" i="7"/>
  <c r="P29" i="7"/>
  <c r="S29" i="7"/>
  <c r="T29" i="7" s="1"/>
  <c r="V29" i="7"/>
  <c r="W29" i="7" s="1"/>
  <c r="Y29" i="7"/>
  <c r="C30" i="7"/>
  <c r="F30" i="7"/>
  <c r="G30" i="7" s="1"/>
  <c r="J30" i="7"/>
  <c r="L30" i="7"/>
  <c r="P30" i="7"/>
  <c r="S30" i="7"/>
  <c r="T30" i="7" s="1"/>
  <c r="V30" i="7"/>
  <c r="W30" i="7" s="1"/>
  <c r="Y30" i="7"/>
  <c r="C31" i="7"/>
  <c r="F31" i="7"/>
  <c r="G31" i="7" s="1"/>
  <c r="J31" i="7"/>
  <c r="L31" i="7"/>
  <c r="P31" i="7"/>
  <c r="S31" i="7"/>
  <c r="T31" i="7" s="1"/>
  <c r="V31" i="7"/>
  <c r="W31" i="7" s="1"/>
  <c r="Y31" i="7"/>
  <c r="C32" i="7"/>
  <c r="F32" i="7"/>
  <c r="G32" i="7" s="1"/>
  <c r="J32" i="7"/>
  <c r="L32" i="7"/>
  <c r="P32" i="7"/>
  <c r="S32" i="7"/>
  <c r="T32" i="7" s="1"/>
  <c r="V32" i="7"/>
  <c r="W32" i="7" s="1"/>
  <c r="Y32" i="7"/>
  <c r="C33" i="7"/>
  <c r="F33" i="7"/>
  <c r="G33" i="7" s="1"/>
  <c r="J33" i="7"/>
  <c r="L33" i="7"/>
  <c r="P33" i="7"/>
  <c r="S33" i="7"/>
  <c r="T33" i="7" s="1"/>
  <c r="V33" i="7"/>
  <c r="W33" i="7" s="1"/>
  <c r="Y33" i="7"/>
  <c r="C34" i="7"/>
  <c r="F34" i="7"/>
  <c r="G34" i="7" s="1"/>
  <c r="J34" i="7"/>
  <c r="L34" i="7"/>
  <c r="P34" i="7"/>
  <c r="S34" i="7"/>
  <c r="T34" i="7" s="1"/>
  <c r="V34" i="7"/>
  <c r="W34" i="7" s="1"/>
  <c r="Y34" i="7"/>
  <c r="C5" i="6"/>
  <c r="F5" i="6"/>
  <c r="G5" i="6" s="1"/>
  <c r="I5" i="6"/>
  <c r="J5" i="6" s="1"/>
  <c r="L5" i="6"/>
  <c r="P5" i="6"/>
  <c r="S5" i="6"/>
  <c r="T5" i="6" s="1"/>
  <c r="V5" i="6"/>
  <c r="W5" i="6" s="1"/>
  <c r="Y5" i="6"/>
  <c r="AB5" i="6"/>
  <c r="C6" i="6"/>
  <c r="F6" i="6"/>
  <c r="G6" i="6" s="1"/>
  <c r="I6" i="6"/>
  <c r="J6" i="6" s="1"/>
  <c r="L6" i="6"/>
  <c r="P6" i="6"/>
  <c r="S6" i="6"/>
  <c r="T6" i="6" s="1"/>
  <c r="V6" i="6"/>
  <c r="W6" i="6" s="1"/>
  <c r="Y6" i="6"/>
  <c r="C7" i="6"/>
  <c r="F7" i="6"/>
  <c r="G7" i="6" s="1"/>
  <c r="I7" i="6"/>
  <c r="J7" i="6" s="1"/>
  <c r="L7" i="6"/>
  <c r="P7" i="6"/>
  <c r="S7" i="6"/>
  <c r="T7" i="6" s="1"/>
  <c r="V7" i="6"/>
  <c r="W7" i="6" s="1"/>
  <c r="Y7" i="6"/>
  <c r="AB7" i="6"/>
  <c r="C8" i="6"/>
  <c r="F8" i="6"/>
  <c r="G8" i="6" s="1"/>
  <c r="I8" i="6"/>
  <c r="J8" i="6" s="1"/>
  <c r="L8" i="6"/>
  <c r="P8" i="6"/>
  <c r="S8" i="6"/>
  <c r="T8" i="6" s="1"/>
  <c r="V8" i="6"/>
  <c r="W8" i="6" s="1"/>
  <c r="Y8" i="6"/>
  <c r="C9" i="6"/>
  <c r="F9" i="6"/>
  <c r="G9" i="6" s="1"/>
  <c r="I9" i="6"/>
  <c r="J9" i="6" s="1"/>
  <c r="L9" i="6"/>
  <c r="P9" i="6"/>
  <c r="S9" i="6"/>
  <c r="T9" i="6" s="1"/>
  <c r="V9" i="6"/>
  <c r="W9" i="6" s="1"/>
  <c r="Y9" i="6"/>
  <c r="AB9" i="6"/>
  <c r="C10" i="6"/>
  <c r="F10" i="6"/>
  <c r="G10" i="6" s="1"/>
  <c r="I10" i="6"/>
  <c r="J10" i="6" s="1"/>
  <c r="L10" i="6"/>
  <c r="P10" i="6"/>
  <c r="S10" i="6"/>
  <c r="T10" i="6" s="1"/>
  <c r="V10" i="6"/>
  <c r="W10" i="6" s="1"/>
  <c r="Y10" i="6"/>
  <c r="C11" i="6"/>
  <c r="F11" i="6"/>
  <c r="G11" i="6" s="1"/>
  <c r="I11" i="6"/>
  <c r="J11" i="6" s="1"/>
  <c r="L11" i="6"/>
  <c r="P11" i="6"/>
  <c r="S11" i="6"/>
  <c r="T11" i="6" s="1"/>
  <c r="V11" i="6"/>
  <c r="W11" i="6" s="1"/>
  <c r="Y11" i="6"/>
  <c r="AB11" i="6"/>
  <c r="C12" i="6"/>
  <c r="F12" i="6"/>
  <c r="G12" i="6" s="1"/>
  <c r="I12" i="6"/>
  <c r="J12" i="6" s="1"/>
  <c r="L12" i="6"/>
  <c r="P12" i="6"/>
  <c r="S12" i="6"/>
  <c r="T12" i="6" s="1"/>
  <c r="V12" i="6"/>
  <c r="W12" i="6" s="1"/>
  <c r="Y12" i="6"/>
  <c r="C13" i="6"/>
  <c r="F13" i="6"/>
  <c r="G13" i="6" s="1"/>
  <c r="I13" i="6"/>
  <c r="J13" i="6" s="1"/>
  <c r="L13" i="6"/>
  <c r="P13" i="6"/>
  <c r="S13" i="6"/>
  <c r="T13" i="6" s="1"/>
  <c r="V13" i="6"/>
  <c r="W13" i="6" s="1"/>
  <c r="Y13" i="6"/>
  <c r="AB13" i="6"/>
  <c r="C14" i="6"/>
  <c r="F14" i="6"/>
  <c r="G14" i="6" s="1"/>
  <c r="I14" i="6"/>
  <c r="J14" i="6" s="1"/>
  <c r="L14" i="6"/>
  <c r="P14" i="6"/>
  <c r="S14" i="6"/>
  <c r="T14" i="6" s="1"/>
  <c r="V14" i="6"/>
  <c r="W14" i="6" s="1"/>
  <c r="Y14" i="6"/>
  <c r="C15" i="6"/>
  <c r="F15" i="6"/>
  <c r="G15" i="6" s="1"/>
  <c r="I15" i="6"/>
  <c r="J15" i="6" s="1"/>
  <c r="L15" i="6"/>
  <c r="P15" i="6"/>
  <c r="S15" i="6"/>
  <c r="T15" i="6" s="1"/>
  <c r="V15" i="6"/>
  <c r="W15" i="6" s="1"/>
  <c r="Y15" i="6"/>
  <c r="AB15" i="6"/>
  <c r="C16" i="6"/>
  <c r="F16" i="6"/>
  <c r="G16" i="6" s="1"/>
  <c r="I16" i="6"/>
  <c r="J16" i="6" s="1"/>
  <c r="L16" i="6"/>
  <c r="P16" i="6"/>
  <c r="S16" i="6"/>
  <c r="T16" i="6" s="1"/>
  <c r="V16" i="6"/>
  <c r="W16" i="6" s="1"/>
  <c r="Y16" i="6"/>
  <c r="C17" i="6"/>
  <c r="F17" i="6"/>
  <c r="G17" i="6" s="1"/>
  <c r="I17" i="6"/>
  <c r="J17" i="6" s="1"/>
  <c r="L17" i="6"/>
  <c r="P17" i="6"/>
  <c r="S17" i="6"/>
  <c r="T17" i="6" s="1"/>
  <c r="V17" i="6"/>
  <c r="W17" i="6" s="1"/>
  <c r="Y17" i="6"/>
  <c r="AB17" i="6"/>
  <c r="F18" i="6"/>
  <c r="G18" i="6" s="1"/>
  <c r="I18" i="6"/>
  <c r="J18" i="6" s="1"/>
  <c r="L18" i="6"/>
  <c r="P18" i="6"/>
  <c r="S18" i="6"/>
  <c r="T18" i="6" s="1"/>
  <c r="V18" i="6"/>
  <c r="W18" i="6" s="1"/>
  <c r="Y18" i="6"/>
  <c r="C19" i="6"/>
  <c r="F19" i="6"/>
  <c r="G19" i="6" s="1"/>
  <c r="I19" i="6"/>
  <c r="J19" i="6" s="1"/>
  <c r="L19" i="6"/>
  <c r="P19" i="6"/>
  <c r="S19" i="6"/>
  <c r="T19" i="6" s="1"/>
  <c r="V19" i="6"/>
  <c r="W19" i="6" s="1"/>
  <c r="Y19" i="6"/>
  <c r="AB19" i="6"/>
  <c r="C20" i="6"/>
  <c r="F20" i="6"/>
  <c r="G20" i="6" s="1"/>
  <c r="I20" i="6"/>
  <c r="J20" i="6" s="1"/>
  <c r="L20" i="6"/>
  <c r="P20" i="6"/>
  <c r="S20" i="6"/>
  <c r="T20" i="6" s="1"/>
  <c r="V20" i="6"/>
  <c r="W20" i="6" s="1"/>
  <c r="Y20" i="6"/>
  <c r="AB20" i="6"/>
  <c r="C21" i="6"/>
  <c r="F21" i="6"/>
  <c r="G21" i="6" s="1"/>
  <c r="I21" i="6"/>
  <c r="L21" i="6"/>
  <c r="P21" i="6"/>
  <c r="S21" i="6"/>
  <c r="T21" i="6" s="1"/>
  <c r="V21" i="6"/>
  <c r="Y21" i="6"/>
  <c r="C22" i="6"/>
  <c r="F22" i="6"/>
  <c r="I22" i="6"/>
  <c r="J22" i="6" s="1"/>
  <c r="L22" i="6"/>
  <c r="P22" i="6"/>
  <c r="S22" i="6"/>
  <c r="V22" i="6"/>
  <c r="W22" i="6" s="1"/>
  <c r="Y22" i="6"/>
  <c r="AB22" i="6"/>
  <c r="C23" i="6"/>
  <c r="F23" i="6"/>
  <c r="G23" i="6" s="1"/>
  <c r="I23" i="6"/>
  <c r="J23" i="6" s="1"/>
  <c r="L23" i="6"/>
  <c r="P23" i="6"/>
  <c r="S23" i="6"/>
  <c r="T23" i="6" s="1"/>
  <c r="V23" i="6"/>
  <c r="W23" i="6" s="1"/>
  <c r="Y23" i="6"/>
  <c r="C24" i="6"/>
  <c r="F24" i="6"/>
  <c r="G24" i="6" s="1"/>
  <c r="I24" i="6"/>
  <c r="J24" i="6" s="1"/>
  <c r="L24" i="6"/>
  <c r="P24" i="6"/>
  <c r="S24" i="6"/>
  <c r="T24" i="6" s="1"/>
  <c r="V24" i="6"/>
  <c r="W24" i="6" s="1"/>
  <c r="Y24" i="6"/>
  <c r="AB24" i="6"/>
  <c r="C25" i="6"/>
  <c r="F25" i="6"/>
  <c r="G25" i="6" s="1"/>
  <c r="I25" i="6"/>
  <c r="J25" i="6" s="1"/>
  <c r="L25" i="6"/>
  <c r="P25" i="6"/>
  <c r="S25" i="6"/>
  <c r="T25" i="6" s="1"/>
  <c r="V25" i="6"/>
  <c r="W25" i="6" s="1"/>
  <c r="Y25" i="6"/>
  <c r="C26" i="6"/>
  <c r="F26" i="6"/>
  <c r="G26" i="6" s="1"/>
  <c r="I26" i="6"/>
  <c r="J26" i="6" s="1"/>
  <c r="L26" i="6"/>
  <c r="P26" i="6"/>
  <c r="S26" i="6"/>
  <c r="T26" i="6" s="1"/>
  <c r="V26" i="6"/>
  <c r="W26" i="6" s="1"/>
  <c r="Y26" i="6"/>
  <c r="AB26" i="6"/>
  <c r="C27" i="6"/>
  <c r="F27" i="6"/>
  <c r="G27" i="6" s="1"/>
  <c r="I27" i="6"/>
  <c r="J27" i="6" s="1"/>
  <c r="L27" i="6"/>
  <c r="P27" i="6"/>
  <c r="S27" i="6"/>
  <c r="T27" i="6" s="1"/>
  <c r="V27" i="6"/>
  <c r="W27" i="6" s="1"/>
  <c r="Y27" i="6"/>
  <c r="C28" i="6"/>
  <c r="F28" i="6"/>
  <c r="G28" i="6" s="1"/>
  <c r="I28" i="6"/>
  <c r="J28" i="6" s="1"/>
  <c r="L28" i="6"/>
  <c r="P28" i="6"/>
  <c r="S28" i="6"/>
  <c r="T28" i="6" s="1"/>
  <c r="V28" i="6"/>
  <c r="W28" i="6" s="1"/>
  <c r="Y28" i="6"/>
  <c r="AB28" i="6"/>
  <c r="C29" i="6"/>
  <c r="F29" i="6"/>
  <c r="G29" i="6" s="1"/>
  <c r="I29" i="6"/>
  <c r="J29" i="6" s="1"/>
  <c r="L29" i="6"/>
  <c r="P29" i="6"/>
  <c r="S29" i="6"/>
  <c r="T29" i="6" s="1"/>
  <c r="V29" i="6"/>
  <c r="W29" i="6" s="1"/>
  <c r="Y29" i="6"/>
  <c r="C30" i="6"/>
  <c r="F30" i="6"/>
  <c r="G30" i="6" s="1"/>
  <c r="J30" i="6"/>
  <c r="L30" i="6"/>
  <c r="P30" i="6"/>
  <c r="S30" i="6"/>
  <c r="T30" i="6" s="1"/>
  <c r="V30" i="6"/>
  <c r="W30" i="6" s="1"/>
  <c r="Y30" i="6"/>
  <c r="AB30" i="6"/>
  <c r="C31" i="6"/>
  <c r="F31" i="6"/>
  <c r="G31" i="6" s="1"/>
  <c r="J31" i="6"/>
  <c r="L31" i="6"/>
  <c r="P31" i="6"/>
  <c r="S31" i="6"/>
  <c r="T31" i="6" s="1"/>
  <c r="V31" i="6"/>
  <c r="W31" i="6" s="1"/>
  <c r="Y31" i="6"/>
  <c r="C32" i="6"/>
  <c r="F32" i="6"/>
  <c r="G32" i="6" s="1"/>
  <c r="J32" i="6"/>
  <c r="L32" i="6"/>
  <c r="P32" i="6"/>
  <c r="S32" i="6"/>
  <c r="T32" i="6" s="1"/>
  <c r="V32" i="6"/>
  <c r="W32" i="6" s="1"/>
  <c r="Y32" i="6"/>
  <c r="AB32" i="6"/>
  <c r="C33" i="6"/>
  <c r="F33" i="6"/>
  <c r="G33" i="6" s="1"/>
  <c r="J33" i="6"/>
  <c r="L33" i="6"/>
  <c r="P33" i="6"/>
  <c r="S33" i="6"/>
  <c r="T33" i="6" s="1"/>
  <c r="V33" i="6"/>
  <c r="W33" i="6" s="1"/>
  <c r="Y33" i="6"/>
  <c r="C34" i="6"/>
  <c r="F34" i="6"/>
  <c r="G34" i="6" s="1"/>
  <c r="J34" i="6"/>
  <c r="L34" i="6"/>
  <c r="P34" i="6"/>
  <c r="S34" i="6"/>
  <c r="T34" i="6" s="1"/>
  <c r="V34" i="6"/>
  <c r="W34" i="6" s="1"/>
  <c r="Y34" i="6"/>
  <c r="AB34" i="6"/>
  <c r="C35" i="6"/>
  <c r="F35" i="6"/>
  <c r="G35" i="6" s="1"/>
  <c r="J35" i="6"/>
  <c r="L35" i="6"/>
  <c r="P35" i="6"/>
  <c r="S35" i="6"/>
  <c r="T35" i="6" s="1"/>
  <c r="V35" i="6"/>
  <c r="W35" i="6" s="1"/>
  <c r="Y35" i="6"/>
  <c r="C5" i="4"/>
  <c r="F5" i="4"/>
  <c r="I5" i="4"/>
  <c r="J5" i="4" s="1"/>
  <c r="L5" i="4"/>
  <c r="P5" i="4"/>
  <c r="Q5" i="4" s="1"/>
  <c r="S5" i="4"/>
  <c r="V5" i="4"/>
  <c r="W5" i="4" s="1"/>
  <c r="Y5" i="4"/>
  <c r="C6" i="4"/>
  <c r="F6" i="4"/>
  <c r="G6" i="4" s="1"/>
  <c r="I6" i="4"/>
  <c r="L6" i="4"/>
  <c r="M6" i="4" s="1"/>
  <c r="P6" i="4"/>
  <c r="S6" i="4"/>
  <c r="T6" i="4" s="1"/>
  <c r="V6" i="4"/>
  <c r="Y6" i="4"/>
  <c r="Z6" i="4" s="1"/>
  <c r="C7" i="4"/>
  <c r="F7" i="4"/>
  <c r="G7" i="4" s="1"/>
  <c r="I7" i="4"/>
  <c r="J7" i="4" s="1"/>
  <c r="L7" i="4"/>
  <c r="M7" i="4" s="1"/>
  <c r="P7" i="4"/>
  <c r="Q7" i="4" s="1"/>
  <c r="S7" i="4"/>
  <c r="T7" i="4" s="1"/>
  <c r="V7" i="4"/>
  <c r="W7" i="4" s="1"/>
  <c r="Y7" i="4"/>
  <c r="Z7" i="4" s="1"/>
  <c r="C8" i="4"/>
  <c r="F8" i="4"/>
  <c r="G8" i="4" s="1"/>
  <c r="I8" i="4"/>
  <c r="J8" i="4" s="1"/>
  <c r="L8" i="4"/>
  <c r="M8" i="4" s="1"/>
  <c r="P8" i="4"/>
  <c r="Q8" i="4" s="1"/>
  <c r="S8" i="4"/>
  <c r="T8" i="4" s="1"/>
  <c r="V8" i="4"/>
  <c r="W8" i="4" s="1"/>
  <c r="Y8" i="4"/>
  <c r="Z8" i="4" s="1"/>
  <c r="C9" i="4"/>
  <c r="F9" i="4"/>
  <c r="G9" i="4" s="1"/>
  <c r="I9" i="4"/>
  <c r="J9" i="4" s="1"/>
  <c r="L9" i="4"/>
  <c r="M9" i="4" s="1"/>
  <c r="P9" i="4"/>
  <c r="Q9" i="4" s="1"/>
  <c r="S9" i="4"/>
  <c r="T9" i="4" s="1"/>
  <c r="V9" i="4"/>
  <c r="W9" i="4" s="1"/>
  <c r="Y9" i="4"/>
  <c r="Z9" i="4" s="1"/>
  <c r="C10" i="4"/>
  <c r="F10" i="4"/>
  <c r="G10" i="4" s="1"/>
  <c r="I10" i="4"/>
  <c r="J10" i="4" s="1"/>
  <c r="L10" i="4"/>
  <c r="M10" i="4" s="1"/>
  <c r="P10" i="4"/>
  <c r="Q10" i="4" s="1"/>
  <c r="S10" i="4"/>
  <c r="T10" i="4" s="1"/>
  <c r="V10" i="4"/>
  <c r="W10" i="4" s="1"/>
  <c r="Y10" i="4"/>
  <c r="Z10" i="4" s="1"/>
  <c r="C11" i="4"/>
  <c r="F11" i="4"/>
  <c r="G11" i="4" s="1"/>
  <c r="I11" i="4"/>
  <c r="J11" i="4" s="1"/>
  <c r="L11" i="4"/>
  <c r="M11" i="4" s="1"/>
  <c r="P11" i="4"/>
  <c r="Q11" i="4" s="1"/>
  <c r="S11" i="4"/>
  <c r="T11" i="4" s="1"/>
  <c r="V11" i="4"/>
  <c r="W11" i="4" s="1"/>
  <c r="Y11" i="4"/>
  <c r="Z11" i="4" s="1"/>
  <c r="C12" i="4"/>
  <c r="F12" i="4"/>
  <c r="G12" i="4" s="1"/>
  <c r="I12" i="4"/>
  <c r="J12" i="4" s="1"/>
  <c r="L12" i="4"/>
  <c r="M12" i="4" s="1"/>
  <c r="P12" i="4"/>
  <c r="Q12" i="4" s="1"/>
  <c r="S12" i="4"/>
  <c r="T12" i="4" s="1"/>
  <c r="V12" i="4"/>
  <c r="W12" i="4" s="1"/>
  <c r="Y12" i="4"/>
  <c r="Z12" i="4" s="1"/>
  <c r="C13" i="4"/>
  <c r="F13" i="4"/>
  <c r="G13" i="4" s="1"/>
  <c r="I13" i="4"/>
  <c r="J13" i="4" s="1"/>
  <c r="L13" i="4"/>
  <c r="M13" i="4" s="1"/>
  <c r="P13" i="4"/>
  <c r="Q13" i="4" s="1"/>
  <c r="S13" i="4"/>
  <c r="T13" i="4" s="1"/>
  <c r="V13" i="4"/>
  <c r="W13" i="4" s="1"/>
  <c r="Y13" i="4"/>
  <c r="Z13" i="4" s="1"/>
  <c r="C14" i="4"/>
  <c r="F14" i="4"/>
  <c r="G14" i="4" s="1"/>
  <c r="I14" i="4"/>
  <c r="J14" i="4" s="1"/>
  <c r="P14" i="4"/>
  <c r="Q14" i="4" s="1"/>
  <c r="S14" i="4"/>
  <c r="T14" i="4" s="1"/>
  <c r="V14" i="4"/>
  <c r="W14" i="4" s="1"/>
  <c r="Y14" i="4"/>
  <c r="Z14" i="4" s="1"/>
  <c r="C15" i="4"/>
  <c r="F15" i="4"/>
  <c r="G15" i="4" s="1"/>
  <c r="I15" i="4"/>
  <c r="J15" i="4" s="1"/>
  <c r="P15" i="4"/>
  <c r="Q15" i="4" s="1"/>
  <c r="S15" i="4"/>
  <c r="T15" i="4" s="1"/>
  <c r="V15" i="4"/>
  <c r="W15" i="4" s="1"/>
  <c r="Y15" i="4"/>
  <c r="Z15" i="4" s="1"/>
  <c r="C16" i="4"/>
  <c r="F16" i="4"/>
  <c r="G16" i="4" s="1"/>
  <c r="I16" i="4"/>
  <c r="J16" i="4" s="1"/>
  <c r="P16" i="4"/>
  <c r="Q16" i="4" s="1"/>
  <c r="S16" i="4"/>
  <c r="T16" i="4" s="1"/>
  <c r="V16" i="4"/>
  <c r="W16" i="4" s="1"/>
  <c r="Y16" i="4"/>
  <c r="Z16" i="4" s="1"/>
  <c r="C17" i="4"/>
  <c r="F17" i="4"/>
  <c r="G17" i="4" s="1"/>
  <c r="I17" i="4"/>
  <c r="J17" i="4" s="1"/>
  <c r="P17" i="4"/>
  <c r="Q17" i="4" s="1"/>
  <c r="S17" i="4"/>
  <c r="T17" i="4" s="1"/>
  <c r="V17" i="4"/>
  <c r="W17" i="4" s="1"/>
  <c r="Y17" i="4"/>
  <c r="Z17" i="4" s="1"/>
  <c r="C18" i="4"/>
  <c r="F18" i="4"/>
  <c r="G18" i="4" s="1"/>
  <c r="I18" i="4"/>
  <c r="J18" i="4" s="1"/>
  <c r="P18" i="4"/>
  <c r="Q18" i="4" s="1"/>
  <c r="S18" i="4"/>
  <c r="T18" i="4" s="1"/>
  <c r="V18" i="4"/>
  <c r="W18" i="4" s="1"/>
  <c r="Y18" i="4"/>
  <c r="Z18" i="4" s="1"/>
  <c r="C19" i="4"/>
  <c r="F19" i="4"/>
  <c r="G19" i="4" s="1"/>
  <c r="I19" i="4"/>
  <c r="J19" i="4" s="1"/>
  <c r="P19" i="4"/>
  <c r="Q19" i="4" s="1"/>
  <c r="S19" i="4"/>
  <c r="T19" i="4" s="1"/>
  <c r="V19" i="4"/>
  <c r="W19" i="4" s="1"/>
  <c r="Y19" i="4"/>
  <c r="Z19" i="4" s="1"/>
  <c r="C20" i="4"/>
  <c r="F20" i="4"/>
  <c r="G20" i="4" s="1"/>
  <c r="I20" i="4"/>
  <c r="J20" i="4" s="1"/>
  <c r="P20" i="4"/>
  <c r="Q20" i="4" s="1"/>
  <c r="S20" i="4"/>
  <c r="T20" i="4" s="1"/>
  <c r="V20" i="4"/>
  <c r="W20" i="4" s="1"/>
  <c r="Y20" i="4"/>
  <c r="Z20" i="4" s="1"/>
  <c r="C21" i="4"/>
  <c r="F21" i="4"/>
  <c r="G21" i="4" s="1"/>
  <c r="I21" i="4"/>
  <c r="J21" i="4" s="1"/>
  <c r="P21" i="4"/>
  <c r="Q21" i="4" s="1"/>
  <c r="S21" i="4"/>
  <c r="T21" i="4" s="1"/>
  <c r="V21" i="4"/>
  <c r="W21" i="4" s="1"/>
  <c r="Y21" i="4"/>
  <c r="Z21" i="4" s="1"/>
  <c r="C22" i="4"/>
  <c r="F22" i="4"/>
  <c r="G22" i="4" s="1"/>
  <c r="I22" i="4"/>
  <c r="J22" i="4" s="1"/>
  <c r="P22" i="4"/>
  <c r="Q22" i="4" s="1"/>
  <c r="S22" i="4"/>
  <c r="T22" i="4" s="1"/>
  <c r="V22" i="4"/>
  <c r="W22" i="4" s="1"/>
  <c r="Y22" i="4"/>
  <c r="Z22" i="4" s="1"/>
  <c r="C23" i="4"/>
  <c r="F23" i="4"/>
  <c r="G23" i="4" s="1"/>
  <c r="I23" i="4"/>
  <c r="J23" i="4" s="1"/>
  <c r="P23" i="4"/>
  <c r="Q23" i="4" s="1"/>
  <c r="S23" i="4"/>
  <c r="T23" i="4" s="1"/>
  <c r="V23" i="4"/>
  <c r="W23" i="4" s="1"/>
  <c r="Y23" i="4"/>
  <c r="Z23" i="4" s="1"/>
  <c r="C24" i="4"/>
  <c r="F24" i="4"/>
  <c r="G24" i="4" s="1"/>
  <c r="I24" i="4"/>
  <c r="J24" i="4" s="1"/>
  <c r="P24" i="4"/>
  <c r="Q24" i="4" s="1"/>
  <c r="S24" i="4"/>
  <c r="T24" i="4" s="1"/>
  <c r="V24" i="4"/>
  <c r="W24" i="4" s="1"/>
  <c r="Y24" i="4"/>
  <c r="Z24" i="4" s="1"/>
  <c r="C25" i="4"/>
  <c r="F25" i="4"/>
  <c r="G25" i="4" s="1"/>
  <c r="I25" i="4"/>
  <c r="J25" i="4" s="1"/>
  <c r="P25" i="4"/>
  <c r="Q25" i="4" s="1"/>
  <c r="S25" i="4"/>
  <c r="T25" i="4" s="1"/>
  <c r="V25" i="4"/>
  <c r="W25" i="4" s="1"/>
  <c r="Y25" i="4"/>
  <c r="Z25" i="4" s="1"/>
  <c r="C26" i="4"/>
  <c r="F26" i="4"/>
  <c r="G26" i="4" s="1"/>
  <c r="I26" i="4"/>
  <c r="J26" i="4" s="1"/>
  <c r="P26" i="4"/>
  <c r="Q26" i="4" s="1"/>
  <c r="S26" i="4"/>
  <c r="T26" i="4" s="1"/>
  <c r="V26" i="4"/>
  <c r="W26" i="4" s="1"/>
  <c r="Y26" i="4"/>
  <c r="Z26" i="4" s="1"/>
  <c r="C27" i="4"/>
  <c r="F27" i="4"/>
  <c r="G27" i="4" s="1"/>
  <c r="I27" i="4"/>
  <c r="J27" i="4" s="1"/>
  <c r="P27" i="4"/>
  <c r="Q27" i="4" s="1"/>
  <c r="S27" i="4"/>
  <c r="T27" i="4" s="1"/>
  <c r="V27" i="4"/>
  <c r="W27" i="4" s="1"/>
  <c r="Y27" i="4"/>
  <c r="Z27" i="4" s="1"/>
  <c r="C28" i="4"/>
  <c r="F28" i="4"/>
  <c r="G28" i="4" s="1"/>
  <c r="I28" i="4"/>
  <c r="J28" i="4" s="1"/>
  <c r="P28" i="4"/>
  <c r="Q28" i="4" s="1"/>
  <c r="S28" i="4"/>
  <c r="T28" i="4" s="1"/>
  <c r="V28" i="4"/>
  <c r="W28" i="4" s="1"/>
  <c r="Y28" i="4"/>
  <c r="Z28" i="4" s="1"/>
  <c r="C29" i="4"/>
  <c r="F29" i="4"/>
  <c r="G29" i="4" s="1"/>
  <c r="I29" i="4"/>
  <c r="J29" i="4" s="1"/>
  <c r="L29" i="4"/>
  <c r="M29" i="4" s="1"/>
  <c r="P29" i="4"/>
  <c r="Q29" i="4" s="1"/>
  <c r="S29" i="4"/>
  <c r="T29" i="4" s="1"/>
  <c r="V29" i="4"/>
  <c r="W29" i="4" s="1"/>
  <c r="Y29" i="4"/>
  <c r="Z29" i="4" s="1"/>
  <c r="C30" i="4"/>
  <c r="F30" i="4"/>
  <c r="G30" i="4" s="1"/>
  <c r="I30" i="4"/>
  <c r="J30" i="4" s="1"/>
  <c r="L30" i="4"/>
  <c r="M30" i="4" s="1"/>
  <c r="P30" i="4"/>
  <c r="Q30" i="4" s="1"/>
  <c r="S30" i="4"/>
  <c r="T30" i="4" s="1"/>
  <c r="V30" i="4"/>
  <c r="W30" i="4" s="1"/>
  <c r="Y30" i="4"/>
  <c r="Z30" i="4" s="1"/>
  <c r="C31" i="4"/>
  <c r="F31" i="4"/>
  <c r="G31" i="4" s="1"/>
  <c r="I31" i="4"/>
  <c r="J31" i="4" s="1"/>
  <c r="L31" i="4"/>
  <c r="M31" i="4" s="1"/>
  <c r="P31" i="4"/>
  <c r="Q31" i="4" s="1"/>
  <c r="S31" i="4"/>
  <c r="T31" i="4" s="1"/>
  <c r="V31" i="4"/>
  <c r="W31" i="4" s="1"/>
  <c r="Y31" i="4"/>
  <c r="Z31" i="4" s="1"/>
  <c r="C32" i="4"/>
  <c r="F32" i="4"/>
  <c r="G32" i="4" s="1"/>
  <c r="I32" i="4"/>
  <c r="J32" i="4" s="1"/>
  <c r="L32" i="4"/>
  <c r="M32" i="4" s="1"/>
  <c r="P32" i="4"/>
  <c r="Q32" i="4" s="1"/>
  <c r="S32" i="4"/>
  <c r="T32" i="4" s="1"/>
  <c r="V32" i="4"/>
  <c r="W32" i="4" s="1"/>
  <c r="Y32" i="4"/>
  <c r="Z32" i="4" s="1"/>
  <c r="C5" i="1"/>
  <c r="F5" i="1"/>
  <c r="I5" i="1"/>
  <c r="J5" i="1" s="1"/>
  <c r="L5" i="1"/>
  <c r="P5" i="1"/>
  <c r="Q5" i="1" s="1"/>
  <c r="S5" i="1"/>
  <c r="V5" i="1"/>
  <c r="W5" i="1" s="1"/>
  <c r="Y5" i="1"/>
  <c r="C6" i="1"/>
  <c r="F6" i="1"/>
  <c r="G6" i="1" s="1"/>
  <c r="I6" i="1"/>
  <c r="L6" i="1"/>
  <c r="M6" i="1" s="1"/>
  <c r="P6" i="1"/>
  <c r="S6" i="1"/>
  <c r="T6" i="1" s="1"/>
  <c r="V6" i="1"/>
  <c r="Y6" i="1"/>
  <c r="Z6" i="1" s="1"/>
  <c r="C7" i="1"/>
  <c r="F7" i="1"/>
  <c r="G7" i="1" s="1"/>
  <c r="I7" i="1"/>
  <c r="J7" i="1" s="1"/>
  <c r="L7" i="1"/>
  <c r="M7" i="1" s="1"/>
  <c r="P7" i="1"/>
  <c r="Q7" i="1" s="1"/>
  <c r="S7" i="1"/>
  <c r="T7" i="1" s="1"/>
  <c r="V7" i="1"/>
  <c r="W7" i="1" s="1"/>
  <c r="Y7" i="1"/>
  <c r="Z7" i="1" s="1"/>
  <c r="C8" i="1"/>
  <c r="F8" i="1"/>
  <c r="G8" i="1" s="1"/>
  <c r="I8" i="1"/>
  <c r="J8" i="1" s="1"/>
  <c r="L8" i="1"/>
  <c r="M8" i="1" s="1"/>
  <c r="P8" i="1"/>
  <c r="Q8" i="1" s="1"/>
  <c r="S8" i="1"/>
  <c r="T8" i="1" s="1"/>
  <c r="V8" i="1"/>
  <c r="W8" i="1" s="1"/>
  <c r="Y8" i="1"/>
  <c r="Z8" i="1" s="1"/>
  <c r="C9" i="1"/>
  <c r="F9" i="1"/>
  <c r="G9" i="1" s="1"/>
  <c r="I9" i="1"/>
  <c r="J9" i="1" s="1"/>
  <c r="L9" i="1"/>
  <c r="M9" i="1" s="1"/>
  <c r="P9" i="1"/>
  <c r="Q9" i="1" s="1"/>
  <c r="S9" i="1"/>
  <c r="T9" i="1" s="1"/>
  <c r="V9" i="1"/>
  <c r="W9" i="1" s="1"/>
  <c r="Y9" i="1"/>
  <c r="Z9" i="1" s="1"/>
  <c r="C10" i="1"/>
  <c r="F10" i="1"/>
  <c r="G10" i="1" s="1"/>
  <c r="I10" i="1"/>
  <c r="J10" i="1" s="1"/>
  <c r="L10" i="1"/>
  <c r="M10" i="1" s="1"/>
  <c r="P10" i="1"/>
  <c r="Q10" i="1" s="1"/>
  <c r="S10" i="1"/>
  <c r="T10" i="1" s="1"/>
  <c r="V10" i="1"/>
  <c r="W10" i="1" s="1"/>
  <c r="Y10" i="1"/>
  <c r="Z10" i="1" s="1"/>
  <c r="C11" i="1"/>
  <c r="F11" i="1"/>
  <c r="G11" i="1" s="1"/>
  <c r="I11" i="1"/>
  <c r="J11" i="1" s="1"/>
  <c r="L11" i="1"/>
  <c r="M11" i="1" s="1"/>
  <c r="P11" i="1"/>
  <c r="Q11" i="1" s="1"/>
  <c r="S11" i="1"/>
  <c r="T11" i="1" s="1"/>
  <c r="V11" i="1"/>
  <c r="W11" i="1" s="1"/>
  <c r="Y11" i="1"/>
  <c r="Z11" i="1" s="1"/>
  <c r="C12" i="1"/>
  <c r="F12" i="1"/>
  <c r="G12" i="1" s="1"/>
  <c r="I12" i="1"/>
  <c r="J12" i="1" s="1"/>
  <c r="L12" i="1"/>
  <c r="M12" i="1" s="1"/>
  <c r="P12" i="1"/>
  <c r="Q12" i="1" s="1"/>
  <c r="S12" i="1"/>
  <c r="T12" i="1" s="1"/>
  <c r="V12" i="1"/>
  <c r="W12" i="1" s="1"/>
  <c r="Y12" i="1"/>
  <c r="Z12" i="1" s="1"/>
  <c r="C13" i="1"/>
  <c r="F13" i="1"/>
  <c r="G13" i="1" s="1"/>
  <c r="I13" i="1"/>
  <c r="J13" i="1" s="1"/>
  <c r="L13" i="1"/>
  <c r="M13" i="1" s="1"/>
  <c r="P13" i="1"/>
  <c r="Q13" i="1" s="1"/>
  <c r="S13" i="1"/>
  <c r="T13" i="1" s="1"/>
  <c r="V13" i="1"/>
  <c r="W13" i="1" s="1"/>
  <c r="Y13" i="1"/>
  <c r="Z13" i="1" s="1"/>
  <c r="C14" i="1"/>
  <c r="F14" i="1"/>
  <c r="G14" i="1" s="1"/>
  <c r="I14" i="1"/>
  <c r="J14" i="1" s="1"/>
  <c r="L14" i="1"/>
  <c r="M14" i="1" s="1"/>
  <c r="P14" i="1"/>
  <c r="Q14" i="1" s="1"/>
  <c r="S14" i="1"/>
  <c r="T14" i="1" s="1"/>
  <c r="V14" i="1"/>
  <c r="W14" i="1" s="1"/>
  <c r="Y14" i="1"/>
  <c r="Z14" i="1" s="1"/>
  <c r="C15" i="1"/>
  <c r="F15" i="1"/>
  <c r="G15" i="1" s="1"/>
  <c r="I15" i="1"/>
  <c r="J15" i="1" s="1"/>
  <c r="L15" i="1"/>
  <c r="M15" i="1" s="1"/>
  <c r="P15" i="1"/>
  <c r="Q15" i="1" s="1"/>
  <c r="S15" i="1"/>
  <c r="T15" i="1" s="1"/>
  <c r="V15" i="1"/>
  <c r="W15" i="1" s="1"/>
  <c r="Y15" i="1"/>
  <c r="Z15" i="1" s="1"/>
  <c r="C16" i="1"/>
  <c r="F16" i="1"/>
  <c r="G16" i="1" s="1"/>
  <c r="I16" i="1"/>
  <c r="J16" i="1" s="1"/>
  <c r="L16" i="1"/>
  <c r="M16" i="1" s="1"/>
  <c r="P16" i="1"/>
  <c r="Q16" i="1" s="1"/>
  <c r="S16" i="1"/>
  <c r="T16" i="1" s="1"/>
  <c r="V16" i="1"/>
  <c r="W16" i="1" s="1"/>
  <c r="Y16" i="1"/>
  <c r="Z16" i="1" s="1"/>
  <c r="C17" i="1"/>
  <c r="F17" i="1"/>
  <c r="G17" i="1" s="1"/>
  <c r="I17" i="1"/>
  <c r="J17" i="1" s="1"/>
  <c r="L17" i="1"/>
  <c r="M17" i="1" s="1"/>
  <c r="P17" i="1"/>
  <c r="Q17" i="1" s="1"/>
  <c r="S17" i="1"/>
  <c r="T17" i="1" s="1"/>
  <c r="V17" i="1"/>
  <c r="W17" i="1" s="1"/>
  <c r="Y17" i="1"/>
  <c r="Z17" i="1" s="1"/>
  <c r="C18" i="1"/>
  <c r="F18" i="1"/>
  <c r="G18" i="1" s="1"/>
  <c r="I18" i="1"/>
  <c r="J18" i="1" s="1"/>
  <c r="L18" i="1"/>
  <c r="M18" i="1" s="1"/>
  <c r="P18" i="1"/>
  <c r="Q18" i="1" s="1"/>
  <c r="S18" i="1"/>
  <c r="T18" i="1" s="1"/>
  <c r="V18" i="1"/>
  <c r="W18" i="1" s="1"/>
  <c r="Y18" i="1"/>
  <c r="Z18" i="1" s="1"/>
  <c r="C19" i="1"/>
  <c r="F19" i="1"/>
  <c r="G19" i="1" s="1"/>
  <c r="I19" i="1"/>
  <c r="J19" i="1" s="1"/>
  <c r="L19" i="1"/>
  <c r="M19" i="1" s="1"/>
  <c r="P19" i="1"/>
  <c r="Q19" i="1" s="1"/>
  <c r="S19" i="1"/>
  <c r="T19" i="1" s="1"/>
  <c r="V19" i="1"/>
  <c r="W19" i="1" s="1"/>
  <c r="Y19" i="1"/>
  <c r="Z19" i="1" s="1"/>
  <c r="C20" i="1"/>
  <c r="F20" i="1"/>
  <c r="G20" i="1" s="1"/>
  <c r="I20" i="1"/>
  <c r="J20" i="1" s="1"/>
  <c r="L20" i="1"/>
  <c r="M20" i="1" s="1"/>
  <c r="P20" i="1"/>
  <c r="Q20" i="1" s="1"/>
  <c r="S20" i="1"/>
  <c r="T20" i="1" s="1"/>
  <c r="V20" i="1"/>
  <c r="W20" i="1" s="1"/>
  <c r="Y20" i="1"/>
  <c r="Z20" i="1" s="1"/>
  <c r="C21" i="1"/>
  <c r="F21" i="1"/>
  <c r="G21" i="1" s="1"/>
  <c r="I21" i="1"/>
  <c r="J21" i="1" s="1"/>
  <c r="P21" i="1"/>
  <c r="Q21" i="1" s="1"/>
  <c r="S21" i="1"/>
  <c r="T21" i="1" s="1"/>
  <c r="V21" i="1"/>
  <c r="W21" i="1" s="1"/>
  <c r="Y21" i="1"/>
  <c r="Z21" i="1" s="1"/>
  <c r="C22" i="1"/>
  <c r="F22" i="1"/>
  <c r="G22" i="1" s="1"/>
  <c r="I22" i="1"/>
  <c r="J22" i="1" s="1"/>
  <c r="L22" i="1"/>
  <c r="M22" i="1" s="1"/>
  <c r="P22" i="1"/>
  <c r="Q22" i="1" s="1"/>
  <c r="S22" i="1"/>
  <c r="T22" i="1" s="1"/>
  <c r="V22" i="1"/>
  <c r="W22" i="1" s="1"/>
  <c r="Y22" i="1"/>
  <c r="Z22" i="1" s="1"/>
  <c r="C23" i="1"/>
  <c r="F23" i="1"/>
  <c r="G23" i="1" s="1"/>
  <c r="I23" i="1"/>
  <c r="J23" i="1" s="1"/>
  <c r="L23" i="1"/>
  <c r="M23" i="1" s="1"/>
  <c r="P23" i="1"/>
  <c r="Q23" i="1" s="1"/>
  <c r="S23" i="1"/>
  <c r="T23" i="1" s="1"/>
  <c r="V23" i="1"/>
  <c r="W23" i="1" s="1"/>
  <c r="Y23" i="1"/>
  <c r="Z23" i="1" s="1"/>
  <c r="C24" i="1"/>
  <c r="F24" i="1"/>
  <c r="G24" i="1" s="1"/>
  <c r="I24" i="1"/>
  <c r="J24" i="1" s="1"/>
  <c r="L24" i="1"/>
  <c r="M24" i="1" s="1"/>
  <c r="P24" i="1"/>
  <c r="Q24" i="1" s="1"/>
  <c r="S24" i="1"/>
  <c r="T24" i="1" s="1"/>
  <c r="V24" i="1"/>
  <c r="W24" i="1" s="1"/>
  <c r="Y24" i="1"/>
  <c r="Z24" i="1" s="1"/>
  <c r="C25" i="1"/>
  <c r="F25" i="1"/>
  <c r="G25" i="1" s="1"/>
  <c r="I25" i="1"/>
  <c r="J25" i="1" s="1"/>
  <c r="L25" i="1"/>
  <c r="M25" i="1" s="1"/>
  <c r="P25" i="1"/>
  <c r="Q25" i="1" s="1"/>
  <c r="S25" i="1"/>
  <c r="T25" i="1" s="1"/>
  <c r="V25" i="1"/>
  <c r="W25" i="1" s="1"/>
  <c r="Y25" i="1"/>
  <c r="Z25" i="1" s="1"/>
  <c r="C26" i="1"/>
  <c r="F26" i="1"/>
  <c r="G26" i="1" s="1"/>
  <c r="I26" i="1"/>
  <c r="J26" i="1" s="1"/>
  <c r="L26" i="1"/>
  <c r="M26" i="1" s="1"/>
  <c r="P26" i="1"/>
  <c r="Q26" i="1" s="1"/>
  <c r="S26" i="1"/>
  <c r="T26" i="1" s="1"/>
  <c r="V26" i="1"/>
  <c r="W26" i="1" s="1"/>
  <c r="Y26" i="1"/>
  <c r="Z26" i="1" s="1"/>
  <c r="C27" i="1"/>
  <c r="F27" i="1"/>
  <c r="G27" i="1" s="1"/>
  <c r="I27" i="1"/>
  <c r="J27" i="1" s="1"/>
  <c r="L27" i="1"/>
  <c r="M27" i="1" s="1"/>
  <c r="P27" i="1"/>
  <c r="Q27" i="1" s="1"/>
  <c r="S27" i="1"/>
  <c r="T27" i="1" s="1"/>
  <c r="V27" i="1"/>
  <c r="W27" i="1" s="1"/>
  <c r="Y27" i="1"/>
  <c r="Z27" i="1" s="1"/>
  <c r="C28" i="1"/>
  <c r="F28" i="1"/>
  <c r="G28" i="1" s="1"/>
  <c r="I28" i="1"/>
  <c r="J28" i="1" s="1"/>
  <c r="L28" i="1"/>
  <c r="M28" i="1" s="1"/>
  <c r="P28" i="1"/>
  <c r="Q28" i="1" s="1"/>
  <c r="S28" i="1"/>
  <c r="T28" i="1" s="1"/>
  <c r="V28" i="1"/>
  <c r="W28" i="1" s="1"/>
  <c r="Y28" i="1"/>
  <c r="Z28" i="1" s="1"/>
  <c r="C29" i="1"/>
  <c r="F29" i="1"/>
  <c r="G29" i="1" s="1"/>
  <c r="I29" i="1"/>
  <c r="J29" i="1" s="1"/>
  <c r="L29" i="1"/>
  <c r="M29" i="1" s="1"/>
  <c r="P29" i="1"/>
  <c r="Q29" i="1" s="1"/>
  <c r="S29" i="1"/>
  <c r="T29" i="1" s="1"/>
  <c r="V29" i="1"/>
  <c r="W29" i="1" s="1"/>
  <c r="Y29" i="1"/>
  <c r="Z29" i="1" s="1"/>
  <c r="C30" i="1"/>
  <c r="F30" i="1"/>
  <c r="G30" i="1" s="1"/>
  <c r="I30" i="1"/>
  <c r="J30" i="1" s="1"/>
  <c r="L30" i="1"/>
  <c r="M30" i="1" s="1"/>
  <c r="P30" i="1"/>
  <c r="Q30" i="1" s="1"/>
  <c r="S30" i="1"/>
  <c r="T30" i="1" s="1"/>
  <c r="V30" i="1"/>
  <c r="W30" i="1" s="1"/>
  <c r="Y30" i="1"/>
  <c r="Z30" i="1" s="1"/>
  <c r="C31" i="1"/>
  <c r="F31" i="1"/>
  <c r="G31" i="1" s="1"/>
  <c r="I31" i="1"/>
  <c r="J31" i="1" s="1"/>
  <c r="L31" i="1"/>
  <c r="M31" i="1" s="1"/>
  <c r="P31" i="1"/>
  <c r="Q31" i="1" s="1"/>
  <c r="S31" i="1"/>
  <c r="T31" i="1" s="1"/>
  <c r="V31" i="1"/>
  <c r="W31" i="1" s="1"/>
  <c r="Y31" i="1"/>
  <c r="Z31" i="1" s="1"/>
  <c r="C32" i="1"/>
  <c r="F32" i="1"/>
  <c r="G32" i="1" s="1"/>
  <c r="I32" i="1"/>
  <c r="J32" i="1" s="1"/>
  <c r="L32" i="1"/>
  <c r="M32" i="1" s="1"/>
  <c r="P32" i="1"/>
  <c r="Q32" i="1" s="1"/>
  <c r="S32" i="1"/>
  <c r="T32" i="1" s="1"/>
  <c r="V32" i="1"/>
  <c r="W32" i="1" s="1"/>
  <c r="Y32" i="1"/>
  <c r="Z32" i="1" s="1"/>
  <c r="C33" i="1"/>
  <c r="F33" i="1"/>
  <c r="G33" i="1" s="1"/>
  <c r="I33" i="1"/>
  <c r="J33" i="1" s="1"/>
  <c r="L33" i="1"/>
  <c r="M33" i="1" s="1"/>
  <c r="P33" i="1"/>
  <c r="Q33" i="1" s="1"/>
  <c r="S33" i="1"/>
  <c r="T33" i="1" s="1"/>
  <c r="V33" i="1"/>
  <c r="W33" i="1" s="1"/>
  <c r="Y33" i="1"/>
  <c r="Z33" i="1" s="1"/>
  <c r="C34" i="1"/>
  <c r="F34" i="1"/>
  <c r="G34" i="1" s="1"/>
  <c r="I34" i="1"/>
  <c r="J34" i="1" s="1"/>
  <c r="L34" i="1"/>
  <c r="M34" i="1" s="1"/>
  <c r="P34" i="1"/>
  <c r="Q34" i="1" s="1"/>
  <c r="S34" i="1"/>
  <c r="T34" i="1" s="1"/>
  <c r="V34" i="1"/>
  <c r="W34" i="1" s="1"/>
  <c r="Y34" i="1"/>
  <c r="Z34" i="1" s="1"/>
  <c r="C35" i="1"/>
  <c r="F35" i="1"/>
  <c r="G35" i="1" s="1"/>
  <c r="I35" i="1"/>
  <c r="J35" i="1" s="1"/>
  <c r="L35" i="1"/>
  <c r="M35" i="1" s="1"/>
  <c r="P35" i="1"/>
  <c r="Q35" i="1" s="1"/>
  <c r="S35" i="1"/>
  <c r="T35" i="1" s="1"/>
  <c r="V35" i="1"/>
  <c r="W35" i="1" s="1"/>
  <c r="Y35" i="1"/>
  <c r="Z35" i="1" s="1"/>
  <c r="F5" i="13"/>
  <c r="I5" i="13"/>
  <c r="L5" i="13"/>
  <c r="P5" i="13"/>
  <c r="S5" i="13"/>
  <c r="V5" i="13"/>
  <c r="Y5" i="13"/>
  <c r="F6" i="13"/>
  <c r="G6" i="13" s="1"/>
  <c r="I6" i="13"/>
  <c r="L6" i="13"/>
  <c r="M6" i="13" s="1"/>
  <c r="P6" i="13"/>
  <c r="Q6" i="13" s="1"/>
  <c r="S6" i="13"/>
  <c r="T6" i="13" s="1"/>
  <c r="V6" i="13"/>
  <c r="Y6" i="13"/>
  <c r="Z6" i="13" s="1"/>
  <c r="F7" i="13"/>
  <c r="J7" i="13"/>
  <c r="L7" i="13"/>
  <c r="M7" i="13" s="1"/>
  <c r="P7" i="13"/>
  <c r="Q7" i="13" s="1"/>
  <c r="S7" i="13"/>
  <c r="V7" i="13"/>
  <c r="W7" i="13" s="1"/>
  <c r="Y7" i="13"/>
  <c r="Z7" i="13" s="1"/>
  <c r="F8" i="13"/>
  <c r="G8" i="13" s="1"/>
  <c r="J8" i="13"/>
  <c r="L8" i="13"/>
  <c r="M8" i="13" s="1"/>
  <c r="P8" i="13"/>
  <c r="S8" i="13"/>
  <c r="T8" i="13" s="1"/>
  <c r="V8" i="13"/>
  <c r="W8" i="13" s="1"/>
  <c r="Y8" i="13"/>
  <c r="Z8" i="13" s="1"/>
  <c r="F9" i="13"/>
  <c r="G9" i="13" s="1"/>
  <c r="J9" i="13"/>
  <c r="L9" i="13"/>
  <c r="M9" i="13" s="1"/>
  <c r="P9" i="13"/>
  <c r="Q9" i="13" s="1"/>
  <c r="S9" i="13"/>
  <c r="T9" i="13" s="1"/>
  <c r="V9" i="13"/>
  <c r="W9" i="13" s="1"/>
  <c r="Y9" i="13"/>
  <c r="Z9" i="13" s="1"/>
  <c r="F10" i="13"/>
  <c r="G10" i="13" s="1"/>
  <c r="J10" i="13"/>
  <c r="L10" i="13"/>
  <c r="M10" i="13" s="1"/>
  <c r="P10" i="13"/>
  <c r="Q10" i="13" s="1"/>
  <c r="S10" i="13"/>
  <c r="T10" i="13" s="1"/>
  <c r="V10" i="13"/>
  <c r="W10" i="13" s="1"/>
  <c r="Y10" i="13"/>
  <c r="Z10" i="13" s="1"/>
  <c r="F11" i="13"/>
  <c r="G11" i="13" s="1"/>
  <c r="J11" i="13"/>
  <c r="L11" i="13"/>
  <c r="M11" i="13" s="1"/>
  <c r="P11" i="13"/>
  <c r="Q11" i="13" s="1"/>
  <c r="S11" i="13"/>
  <c r="T11" i="13" s="1"/>
  <c r="V11" i="13"/>
  <c r="W11" i="13" s="1"/>
  <c r="Y11" i="13"/>
  <c r="Z11" i="13" s="1"/>
  <c r="F12" i="13"/>
  <c r="G12" i="13" s="1"/>
  <c r="J12" i="13"/>
  <c r="L12" i="13"/>
  <c r="M12" i="13" s="1"/>
  <c r="P12" i="13"/>
  <c r="Q12" i="13" s="1"/>
  <c r="S12" i="13"/>
  <c r="T12" i="13" s="1"/>
  <c r="V12" i="13"/>
  <c r="W12" i="13" s="1"/>
  <c r="Y12" i="13"/>
  <c r="Z12" i="13" s="1"/>
  <c r="F13" i="13"/>
  <c r="G13" i="13" s="1"/>
  <c r="J13" i="13"/>
  <c r="L13" i="13"/>
  <c r="M13" i="13" s="1"/>
  <c r="P13" i="13"/>
  <c r="Q13" i="13" s="1"/>
  <c r="S13" i="13"/>
  <c r="T13" i="13" s="1"/>
  <c r="V13" i="13"/>
  <c r="W13" i="13" s="1"/>
  <c r="Y13" i="13"/>
  <c r="Z13" i="13" s="1"/>
  <c r="F14" i="13"/>
  <c r="G14" i="13" s="1"/>
  <c r="J14" i="13"/>
  <c r="L14" i="13"/>
  <c r="M14" i="13" s="1"/>
  <c r="P14" i="13"/>
  <c r="Q14" i="13" s="1"/>
  <c r="S14" i="13"/>
  <c r="T14" i="13" s="1"/>
  <c r="V14" i="13"/>
  <c r="W14" i="13" s="1"/>
  <c r="Y14" i="13"/>
  <c r="Z14" i="13" s="1"/>
  <c r="F15" i="13"/>
  <c r="G15" i="13" s="1"/>
  <c r="J15" i="13"/>
  <c r="L15" i="13"/>
  <c r="M15" i="13" s="1"/>
  <c r="P15" i="13"/>
  <c r="Q15" i="13" s="1"/>
  <c r="S15" i="13"/>
  <c r="T15" i="13" s="1"/>
  <c r="V15" i="13"/>
  <c r="W15" i="13" s="1"/>
  <c r="Y15" i="13"/>
  <c r="Z15" i="13" s="1"/>
  <c r="F16" i="13"/>
  <c r="G16" i="13" s="1"/>
  <c r="J16" i="13"/>
  <c r="L16" i="13"/>
  <c r="M16" i="13" s="1"/>
  <c r="P16" i="13"/>
  <c r="Q16" i="13" s="1"/>
  <c r="S16" i="13"/>
  <c r="T16" i="13" s="1"/>
  <c r="V16" i="13"/>
  <c r="W16" i="13" s="1"/>
  <c r="Y16" i="13"/>
  <c r="Z16" i="13" s="1"/>
  <c r="F17" i="13"/>
  <c r="G17" i="13" s="1"/>
  <c r="J17" i="13"/>
  <c r="L17" i="13"/>
  <c r="M17" i="13" s="1"/>
  <c r="P17" i="13"/>
  <c r="Q17" i="13" s="1"/>
  <c r="S17" i="13"/>
  <c r="T17" i="13" s="1"/>
  <c r="V17" i="13"/>
  <c r="W17" i="13" s="1"/>
  <c r="Y17" i="13"/>
  <c r="Z17" i="13" s="1"/>
  <c r="F18" i="13"/>
  <c r="G18" i="13" s="1"/>
  <c r="J18" i="13"/>
  <c r="L18" i="13"/>
  <c r="M18" i="13" s="1"/>
  <c r="P18" i="13"/>
  <c r="Q18" i="13" s="1"/>
  <c r="S18" i="13"/>
  <c r="T18" i="13" s="1"/>
  <c r="V18" i="13"/>
  <c r="W18" i="13" s="1"/>
  <c r="Y18" i="13"/>
  <c r="Z18" i="13" s="1"/>
  <c r="F19" i="13"/>
  <c r="G19" i="13" s="1"/>
  <c r="I19" i="13"/>
  <c r="J19" i="13" s="1"/>
  <c r="L19" i="13"/>
  <c r="M19" i="13" s="1"/>
  <c r="P19" i="13"/>
  <c r="Q19" i="13" s="1"/>
  <c r="S19" i="13"/>
  <c r="T19" i="13" s="1"/>
  <c r="V19" i="13"/>
  <c r="W19" i="13" s="1"/>
  <c r="Y19" i="13"/>
  <c r="Z19" i="13" s="1"/>
  <c r="F20" i="13"/>
  <c r="G20" i="13" s="1"/>
  <c r="I20" i="13"/>
  <c r="J20" i="13" s="1"/>
  <c r="L20" i="13"/>
  <c r="M20" i="13" s="1"/>
  <c r="P20" i="13"/>
  <c r="Q20" i="13" s="1"/>
  <c r="S20" i="13"/>
  <c r="T20" i="13" s="1"/>
  <c r="V20" i="13"/>
  <c r="W20" i="13" s="1"/>
  <c r="Y20" i="13"/>
  <c r="Z20" i="13" s="1"/>
  <c r="F21" i="13"/>
  <c r="G21" i="13" s="1"/>
  <c r="J21" i="13"/>
  <c r="L21" i="13"/>
  <c r="M21" i="13" s="1"/>
  <c r="P21" i="13"/>
  <c r="Q21" i="13" s="1"/>
  <c r="S21" i="13"/>
  <c r="T21" i="13" s="1"/>
  <c r="V21" i="13"/>
  <c r="W21" i="13" s="1"/>
  <c r="Y21" i="13"/>
  <c r="Z21" i="13" s="1"/>
  <c r="F22" i="13"/>
  <c r="G22" i="13" s="1"/>
  <c r="J22" i="13"/>
  <c r="L22" i="13"/>
  <c r="M22" i="13" s="1"/>
  <c r="P22" i="13"/>
  <c r="Q22" i="13" s="1"/>
  <c r="S22" i="13"/>
  <c r="T22" i="13" s="1"/>
  <c r="V22" i="13"/>
  <c r="W22" i="13" s="1"/>
  <c r="Y22" i="13"/>
  <c r="Z22" i="13" s="1"/>
  <c r="F23" i="13"/>
  <c r="G23" i="13" s="1"/>
  <c r="J23" i="13"/>
  <c r="L23" i="13"/>
  <c r="M23" i="13" s="1"/>
  <c r="P23" i="13"/>
  <c r="Q23" i="13" s="1"/>
  <c r="S23" i="13"/>
  <c r="T23" i="13" s="1"/>
  <c r="V23" i="13"/>
  <c r="W23" i="13" s="1"/>
  <c r="Y23" i="13"/>
  <c r="Z23" i="13" s="1"/>
  <c r="F24" i="13"/>
  <c r="G24" i="13" s="1"/>
  <c r="J24" i="13"/>
  <c r="L24" i="13"/>
  <c r="M24" i="13" s="1"/>
  <c r="P24" i="13"/>
  <c r="Q24" i="13" s="1"/>
  <c r="S24" i="13"/>
  <c r="T24" i="13" s="1"/>
  <c r="V24" i="13"/>
  <c r="W24" i="13" s="1"/>
  <c r="Y24" i="13"/>
  <c r="Z24" i="13" s="1"/>
  <c r="F25" i="13"/>
  <c r="G25" i="13" s="1"/>
  <c r="I25" i="13"/>
  <c r="J25" i="13" s="1"/>
  <c r="L25" i="13"/>
  <c r="M25" i="13" s="1"/>
  <c r="P25" i="13"/>
  <c r="Q25" i="13" s="1"/>
  <c r="S25" i="13"/>
  <c r="T25" i="13" s="1"/>
  <c r="V25" i="13"/>
  <c r="W25" i="13" s="1"/>
  <c r="Y25" i="13"/>
  <c r="Z25" i="13" s="1"/>
  <c r="F26" i="13"/>
  <c r="G26" i="13" s="1"/>
  <c r="I26" i="13"/>
  <c r="J26" i="13" s="1"/>
  <c r="L26" i="13"/>
  <c r="M26" i="13" s="1"/>
  <c r="P26" i="13"/>
  <c r="Q26" i="13" s="1"/>
  <c r="S26" i="13"/>
  <c r="T26" i="13" s="1"/>
  <c r="V26" i="13"/>
  <c r="W26" i="13" s="1"/>
  <c r="Y26" i="13"/>
  <c r="Z26" i="13" s="1"/>
  <c r="F27" i="13"/>
  <c r="G27" i="13" s="1"/>
  <c r="I27" i="13"/>
  <c r="J27" i="13" s="1"/>
  <c r="L27" i="13"/>
  <c r="M27" i="13" s="1"/>
  <c r="P27" i="13"/>
  <c r="Q27" i="13" s="1"/>
  <c r="S27" i="13"/>
  <c r="T27" i="13" s="1"/>
  <c r="V27" i="13"/>
  <c r="W27" i="13" s="1"/>
  <c r="Y27" i="13"/>
  <c r="Z27" i="13" s="1"/>
  <c r="F28" i="13"/>
  <c r="G28" i="13" s="1"/>
  <c r="I28" i="13"/>
  <c r="J28" i="13" s="1"/>
  <c r="L28" i="13"/>
  <c r="M28" i="13" s="1"/>
  <c r="P28" i="13"/>
  <c r="Q28" i="13" s="1"/>
  <c r="S28" i="13"/>
  <c r="T28" i="13" s="1"/>
  <c r="V28" i="13"/>
  <c r="W28" i="13" s="1"/>
  <c r="Y28" i="13"/>
  <c r="Z28" i="13" s="1"/>
  <c r="F29" i="13"/>
  <c r="G29" i="13" s="1"/>
  <c r="I29" i="13"/>
  <c r="J29" i="13" s="1"/>
  <c r="L29" i="13"/>
  <c r="M29" i="13" s="1"/>
  <c r="P29" i="13"/>
  <c r="Q29" i="13" s="1"/>
  <c r="S29" i="13"/>
  <c r="T29" i="13" s="1"/>
  <c r="V29" i="13"/>
  <c r="W29" i="13" s="1"/>
  <c r="Y29" i="13"/>
  <c r="Z29" i="13" s="1"/>
  <c r="F30" i="13"/>
  <c r="G30" i="13" s="1"/>
  <c r="J30" i="13"/>
  <c r="L30" i="13"/>
  <c r="M30" i="13" s="1"/>
  <c r="P30" i="13"/>
  <c r="Q30" i="13" s="1"/>
  <c r="S30" i="13"/>
  <c r="T30" i="13" s="1"/>
  <c r="V30" i="13"/>
  <c r="W30" i="13" s="1"/>
  <c r="Y30" i="13"/>
  <c r="Z30" i="13" s="1"/>
  <c r="F31" i="13"/>
  <c r="G31" i="13" s="1"/>
  <c r="I31" i="13"/>
  <c r="J31" i="13" s="1"/>
  <c r="L31" i="13"/>
  <c r="M31" i="13" s="1"/>
  <c r="P31" i="13"/>
  <c r="Q31" i="13" s="1"/>
  <c r="S31" i="13"/>
  <c r="T31" i="13" s="1"/>
  <c r="V31" i="13"/>
  <c r="W31" i="13" s="1"/>
  <c r="Y31" i="13"/>
  <c r="Z31" i="13" s="1"/>
  <c r="F32" i="13"/>
  <c r="G32" i="13" s="1"/>
  <c r="I32" i="13"/>
  <c r="J32" i="13" s="1"/>
  <c r="L32" i="13"/>
  <c r="M32" i="13" s="1"/>
  <c r="P32" i="13"/>
  <c r="Q32" i="13" s="1"/>
  <c r="S32" i="13"/>
  <c r="T32" i="13" s="1"/>
  <c r="V32" i="13"/>
  <c r="W32" i="13" s="1"/>
  <c r="Y32" i="13"/>
  <c r="Z32" i="13" s="1"/>
  <c r="F33" i="13"/>
  <c r="G33" i="13" s="1"/>
  <c r="I33" i="13"/>
  <c r="J33" i="13" s="1"/>
  <c r="L33" i="13"/>
  <c r="M33" i="13" s="1"/>
  <c r="P33" i="13"/>
  <c r="Q33" i="13" s="1"/>
  <c r="S33" i="13"/>
  <c r="T33" i="13" s="1"/>
  <c r="V33" i="13"/>
  <c r="W33" i="13" s="1"/>
  <c r="Y33" i="13"/>
  <c r="Z33" i="13" s="1"/>
  <c r="F34" i="13"/>
  <c r="G34" i="13" s="1"/>
  <c r="J34" i="13"/>
  <c r="L34" i="13"/>
  <c r="M34" i="13" s="1"/>
  <c r="P34" i="13"/>
  <c r="Q34" i="13" s="1"/>
  <c r="S34" i="13"/>
  <c r="T34" i="13" s="1"/>
  <c r="V34" i="13"/>
  <c r="W34" i="13" s="1"/>
  <c r="Y34" i="13"/>
  <c r="Z34" i="13" s="1"/>
  <c r="F35" i="13"/>
  <c r="G35" i="13" s="1"/>
  <c r="J35" i="13"/>
  <c r="L35" i="13"/>
  <c r="M35" i="13" s="1"/>
  <c r="P35" i="13"/>
  <c r="Q35" i="13" s="1"/>
  <c r="S35" i="13"/>
  <c r="T35" i="13" s="1"/>
  <c r="V35" i="13"/>
  <c r="W35" i="13" s="1"/>
  <c r="Y35" i="13"/>
  <c r="Z35" i="13" s="1"/>
  <c r="C5" i="14"/>
  <c r="AC5" i="14" s="1"/>
  <c r="F5" i="14"/>
  <c r="G5" i="14" s="1"/>
  <c r="M5" i="14"/>
  <c r="Q5" i="14"/>
  <c r="T5" i="14"/>
  <c r="V5" i="14"/>
  <c r="Y5" i="14"/>
  <c r="Z5" i="14" s="1"/>
  <c r="C6" i="14"/>
  <c r="F6" i="14"/>
  <c r="J6" i="14"/>
  <c r="Q6" i="14"/>
  <c r="T6" i="14"/>
  <c r="V6" i="14"/>
  <c r="W6" i="14" s="1"/>
  <c r="Y6" i="14"/>
  <c r="C7" i="14"/>
  <c r="F7" i="14"/>
  <c r="G7" i="14" s="1"/>
  <c r="J7" i="14"/>
  <c r="M7" i="14"/>
  <c r="Q7" i="14"/>
  <c r="T7" i="14"/>
  <c r="V7" i="14"/>
  <c r="W7" i="14" s="1"/>
  <c r="Y7" i="14"/>
  <c r="Z7" i="14" s="1"/>
  <c r="C8" i="14"/>
  <c r="F8" i="14"/>
  <c r="G8" i="14" s="1"/>
  <c r="J8" i="14"/>
  <c r="M8" i="14"/>
  <c r="Q8" i="14"/>
  <c r="T8" i="14"/>
  <c r="V8" i="14"/>
  <c r="W8" i="14" s="1"/>
  <c r="Y8" i="14"/>
  <c r="Z8" i="14" s="1"/>
  <c r="C9" i="14"/>
  <c r="F9" i="14"/>
  <c r="G9" i="14" s="1"/>
  <c r="J9" i="14"/>
  <c r="M9" i="14"/>
  <c r="Q9" i="14"/>
  <c r="T9" i="14"/>
  <c r="V9" i="14"/>
  <c r="W9" i="14" s="1"/>
  <c r="Y9" i="14"/>
  <c r="Z9" i="14" s="1"/>
  <c r="C10" i="14"/>
  <c r="F10" i="14"/>
  <c r="G10" i="14" s="1"/>
  <c r="J10" i="14"/>
  <c r="M10" i="14"/>
  <c r="Q10" i="14"/>
  <c r="T10" i="14"/>
  <c r="V10" i="14"/>
  <c r="W10" i="14" s="1"/>
  <c r="Y10" i="14"/>
  <c r="Z10" i="14" s="1"/>
  <c r="C11" i="14"/>
  <c r="F11" i="14"/>
  <c r="G11" i="14" s="1"/>
  <c r="J11" i="14"/>
  <c r="M11" i="14"/>
  <c r="Q11" i="14"/>
  <c r="T11" i="14"/>
  <c r="V11" i="14"/>
  <c r="W11" i="14" s="1"/>
  <c r="Y11" i="14"/>
  <c r="Z11" i="14" s="1"/>
  <c r="C12" i="14"/>
  <c r="F12" i="14"/>
  <c r="G12" i="14" s="1"/>
  <c r="J12" i="14"/>
  <c r="M12" i="14"/>
  <c r="Q12" i="14"/>
  <c r="T12" i="14"/>
  <c r="V12" i="14"/>
  <c r="W12" i="14" s="1"/>
  <c r="Y12" i="14"/>
  <c r="Z12" i="14" s="1"/>
  <c r="C13" i="14"/>
  <c r="F13" i="14"/>
  <c r="G13" i="14" s="1"/>
  <c r="J13" i="14"/>
  <c r="M13" i="14"/>
  <c r="Q13" i="14"/>
  <c r="T13" i="14"/>
  <c r="V13" i="14"/>
  <c r="W13" i="14" s="1"/>
  <c r="Y13" i="14"/>
  <c r="Z13" i="14" s="1"/>
  <c r="C14" i="14"/>
  <c r="F14" i="14"/>
  <c r="G14" i="14" s="1"/>
  <c r="J14" i="14"/>
  <c r="M14" i="14"/>
  <c r="Q14" i="14"/>
  <c r="T14" i="14"/>
  <c r="V14" i="14"/>
  <c r="W14" i="14" s="1"/>
  <c r="Y14" i="14"/>
  <c r="Z14" i="14" s="1"/>
  <c r="C15" i="14"/>
  <c r="F15" i="14"/>
  <c r="G15" i="14" s="1"/>
  <c r="J15" i="14"/>
  <c r="M15" i="14"/>
  <c r="Q15" i="14"/>
  <c r="T15" i="14"/>
  <c r="V15" i="14"/>
  <c r="W15" i="14" s="1"/>
  <c r="Y15" i="14"/>
  <c r="Z15" i="14" s="1"/>
  <c r="C16" i="14"/>
  <c r="F16" i="14"/>
  <c r="G16" i="14" s="1"/>
  <c r="J16" i="14"/>
  <c r="M16" i="14"/>
  <c r="Q16" i="14"/>
  <c r="T16" i="14"/>
  <c r="V16" i="14"/>
  <c r="W16" i="14" s="1"/>
  <c r="Y16" i="14"/>
  <c r="Z16" i="14" s="1"/>
  <c r="C17" i="14"/>
  <c r="F17" i="14"/>
  <c r="G17" i="14" s="1"/>
  <c r="J17" i="14"/>
  <c r="M17" i="14"/>
  <c r="P17" i="14"/>
  <c r="T17" i="14"/>
  <c r="V17" i="14"/>
  <c r="W17" i="14" s="1"/>
  <c r="Y17" i="14"/>
  <c r="Z17" i="14" s="1"/>
  <c r="C18" i="14"/>
  <c r="F18" i="14"/>
  <c r="G18" i="14" s="1"/>
  <c r="J18" i="14"/>
  <c r="M18" i="14"/>
  <c r="P18" i="14"/>
  <c r="Q18" i="14" s="1"/>
  <c r="S18" i="14"/>
  <c r="V18" i="14"/>
  <c r="W18" i="14" s="1"/>
  <c r="Y18" i="14"/>
  <c r="Z18" i="14" s="1"/>
  <c r="C19" i="14"/>
  <c r="F19" i="14"/>
  <c r="G19" i="14" s="1"/>
  <c r="J19" i="14"/>
  <c r="M19" i="14"/>
  <c r="P19" i="14"/>
  <c r="Q19" i="14" s="1"/>
  <c r="S19" i="14"/>
  <c r="T19" i="14" s="1"/>
  <c r="V19" i="14"/>
  <c r="W19" i="14" s="1"/>
  <c r="Y19" i="14"/>
  <c r="Z19" i="14" s="1"/>
  <c r="C20" i="14"/>
  <c r="F20" i="14"/>
  <c r="G20" i="14" s="1"/>
  <c r="J20" i="14"/>
  <c r="M20" i="14"/>
  <c r="P20" i="14"/>
  <c r="Q20" i="14" s="1"/>
  <c r="S20" i="14"/>
  <c r="T20" i="14" s="1"/>
  <c r="V20" i="14"/>
  <c r="W20" i="14" s="1"/>
  <c r="Y20" i="14"/>
  <c r="Z20" i="14" s="1"/>
  <c r="C21" i="14"/>
  <c r="F21" i="14"/>
  <c r="G21" i="14" s="1"/>
  <c r="J21" i="14"/>
  <c r="M21" i="14"/>
  <c r="P21" i="14"/>
  <c r="Q21" i="14" s="1"/>
  <c r="S21" i="14"/>
  <c r="T21" i="14" s="1"/>
  <c r="V21" i="14"/>
  <c r="W21" i="14" s="1"/>
  <c r="Y21" i="14"/>
  <c r="Z21" i="14" s="1"/>
  <c r="C22" i="14"/>
  <c r="F22" i="14"/>
  <c r="G22" i="14" s="1"/>
  <c r="J22" i="14"/>
  <c r="M22" i="14"/>
  <c r="P22" i="14"/>
  <c r="Q22" i="14" s="1"/>
  <c r="S22" i="14"/>
  <c r="T22" i="14" s="1"/>
  <c r="V22" i="14"/>
  <c r="W22" i="14" s="1"/>
  <c r="Y22" i="14"/>
  <c r="Z22" i="14" s="1"/>
  <c r="C23" i="14"/>
  <c r="F23" i="14"/>
  <c r="G23" i="14" s="1"/>
  <c r="J23" i="14"/>
  <c r="M23" i="14"/>
  <c r="P23" i="14"/>
  <c r="Q23" i="14" s="1"/>
  <c r="S23" i="14"/>
  <c r="T23" i="14" s="1"/>
  <c r="V23" i="14"/>
  <c r="W23" i="14" s="1"/>
  <c r="Y23" i="14"/>
  <c r="Z23" i="14" s="1"/>
  <c r="C24" i="14"/>
  <c r="F24" i="14"/>
  <c r="G24" i="14" s="1"/>
  <c r="J24" i="14"/>
  <c r="M24" i="14"/>
  <c r="P24" i="14"/>
  <c r="Q24" i="14" s="1"/>
  <c r="S24" i="14"/>
  <c r="T24" i="14" s="1"/>
  <c r="V24" i="14"/>
  <c r="W24" i="14" s="1"/>
  <c r="Y24" i="14"/>
  <c r="Z24" i="14" s="1"/>
  <c r="C25" i="14"/>
  <c r="F25" i="14"/>
  <c r="G25" i="14" s="1"/>
  <c r="J25" i="14"/>
  <c r="M25" i="14"/>
  <c r="P25" i="14"/>
  <c r="Q25" i="14" s="1"/>
  <c r="S25" i="14"/>
  <c r="T25" i="14" s="1"/>
  <c r="V25" i="14"/>
  <c r="W25" i="14" s="1"/>
  <c r="Y25" i="14"/>
  <c r="Z25" i="14" s="1"/>
  <c r="C26" i="14"/>
  <c r="F26" i="14"/>
  <c r="G26" i="14" s="1"/>
  <c r="J26" i="14"/>
  <c r="M26" i="14"/>
  <c r="P26" i="14"/>
  <c r="Q26" i="14" s="1"/>
  <c r="S26" i="14"/>
  <c r="T26" i="14" s="1"/>
  <c r="V26" i="14"/>
  <c r="W26" i="14" s="1"/>
  <c r="Y26" i="14"/>
  <c r="Z26" i="14" s="1"/>
  <c r="C27" i="14"/>
  <c r="F27" i="14"/>
  <c r="G27" i="14" s="1"/>
  <c r="J27" i="14"/>
  <c r="M27" i="14"/>
  <c r="P27" i="14"/>
  <c r="Q27" i="14" s="1"/>
  <c r="S27" i="14"/>
  <c r="T27" i="14" s="1"/>
  <c r="V27" i="14"/>
  <c r="W27" i="14" s="1"/>
  <c r="Y27" i="14"/>
  <c r="Z27" i="14" s="1"/>
  <c r="C28" i="14"/>
  <c r="F28" i="14"/>
  <c r="G28" i="14" s="1"/>
  <c r="J28" i="14"/>
  <c r="M28" i="14"/>
  <c r="P28" i="14"/>
  <c r="Q28" i="14" s="1"/>
  <c r="S28" i="14"/>
  <c r="T28" i="14" s="1"/>
  <c r="V28" i="14"/>
  <c r="W28" i="14" s="1"/>
  <c r="Y28" i="14"/>
  <c r="Z28" i="14" s="1"/>
  <c r="C29" i="14"/>
  <c r="F29" i="14"/>
  <c r="G29" i="14" s="1"/>
  <c r="J29" i="14"/>
  <c r="M29" i="14"/>
  <c r="P29" i="14"/>
  <c r="Q29" i="14" s="1"/>
  <c r="S29" i="14"/>
  <c r="T29" i="14" s="1"/>
  <c r="V29" i="14"/>
  <c r="W29" i="14" s="1"/>
  <c r="Y29" i="14"/>
  <c r="Z29" i="14" s="1"/>
  <c r="C30" i="14"/>
  <c r="F30" i="14"/>
  <c r="G30" i="14" s="1"/>
  <c r="J30" i="14"/>
  <c r="M30" i="14"/>
  <c r="P30" i="14"/>
  <c r="Q30" i="14" s="1"/>
  <c r="S30" i="14"/>
  <c r="T30" i="14" s="1"/>
  <c r="V30" i="14"/>
  <c r="W30" i="14" s="1"/>
  <c r="Y30" i="14"/>
  <c r="Z30" i="14" s="1"/>
  <c r="C31" i="14"/>
  <c r="F31" i="14"/>
  <c r="G31" i="14" s="1"/>
  <c r="J31" i="14"/>
  <c r="M31" i="14"/>
  <c r="P31" i="14"/>
  <c r="Q31" i="14" s="1"/>
  <c r="S31" i="14"/>
  <c r="T31" i="14" s="1"/>
  <c r="V31" i="14"/>
  <c r="W31" i="14" s="1"/>
  <c r="Y31" i="14"/>
  <c r="Z31" i="14" s="1"/>
  <c r="C32" i="14"/>
  <c r="F32" i="14"/>
  <c r="G32" i="14" s="1"/>
  <c r="J32" i="14"/>
  <c r="M32" i="14"/>
  <c r="P32" i="14"/>
  <c r="Q32" i="14" s="1"/>
  <c r="S32" i="14"/>
  <c r="T32" i="14" s="1"/>
  <c r="V32" i="14"/>
  <c r="W32" i="14" s="1"/>
  <c r="Y32" i="14"/>
  <c r="Z32" i="14" s="1"/>
  <c r="C33" i="14"/>
  <c r="F33" i="14"/>
  <c r="G33" i="14" s="1"/>
  <c r="J33" i="14"/>
  <c r="M33" i="14"/>
  <c r="P33" i="14"/>
  <c r="Q33" i="14" s="1"/>
  <c r="S33" i="14"/>
  <c r="T33" i="14" s="1"/>
  <c r="V33" i="14"/>
  <c r="W33" i="14" s="1"/>
  <c r="Y33" i="14"/>
  <c r="Z33" i="14" s="1"/>
  <c r="C34" i="14"/>
  <c r="F34" i="14"/>
  <c r="G34" i="14" s="1"/>
  <c r="J34" i="14"/>
  <c r="M34" i="14"/>
  <c r="P34" i="14"/>
  <c r="Q34" i="14" s="1"/>
  <c r="S34" i="14"/>
  <c r="T34" i="14" s="1"/>
  <c r="V34" i="14"/>
  <c r="W34" i="14" s="1"/>
  <c r="Y34" i="14"/>
  <c r="Z34" i="14" s="1"/>
  <c r="Z35" i="6" l="1"/>
  <c r="M35" i="6"/>
  <c r="Q34" i="6"/>
  <c r="D34" i="6"/>
  <c r="AD34" i="6" s="1"/>
  <c r="Q33" i="6"/>
  <c r="Z32" i="6"/>
  <c r="M32" i="6"/>
  <c r="Z31" i="6"/>
  <c r="AF31" i="6" s="1"/>
  <c r="M31" i="6"/>
  <c r="Q30" i="6"/>
  <c r="D30" i="6"/>
  <c r="Q29" i="6"/>
  <c r="Z28" i="6"/>
  <c r="M28" i="6"/>
  <c r="Z27" i="6"/>
  <c r="M27" i="6"/>
  <c r="Q26" i="6"/>
  <c r="D26" i="6"/>
  <c r="Q25" i="6"/>
  <c r="Z24" i="6"/>
  <c r="AF24" i="6" s="1"/>
  <c r="M24" i="6"/>
  <c r="Z23" i="6"/>
  <c r="M23" i="6"/>
  <c r="Q22" i="6"/>
  <c r="AD22" i="6" s="1"/>
  <c r="D22" i="6"/>
  <c r="Z20" i="6"/>
  <c r="M20" i="6"/>
  <c r="Q19" i="6"/>
  <c r="AF19" i="6" s="1"/>
  <c r="Q18" i="6"/>
  <c r="Q17" i="6"/>
  <c r="Q16" i="6"/>
  <c r="D16" i="6"/>
  <c r="AD16" i="6" s="1"/>
  <c r="Z15" i="6"/>
  <c r="M15" i="6"/>
  <c r="Z14" i="6"/>
  <c r="M14" i="6"/>
  <c r="Q13" i="6"/>
  <c r="D13" i="6"/>
  <c r="Q12" i="6"/>
  <c r="Z11" i="6"/>
  <c r="AF11" i="6" s="1"/>
  <c r="M11" i="6"/>
  <c r="Z10" i="6"/>
  <c r="M10" i="6"/>
  <c r="Q9" i="6"/>
  <c r="AD9" i="6" s="1"/>
  <c r="D9" i="6"/>
  <c r="Q8" i="6"/>
  <c r="Z7" i="6"/>
  <c r="M7" i="6"/>
  <c r="Z6" i="6"/>
  <c r="M6" i="6"/>
  <c r="Q5" i="6"/>
  <c r="D5" i="6"/>
  <c r="Z35" i="8"/>
  <c r="M35" i="8"/>
  <c r="Z34" i="8"/>
  <c r="M34" i="8"/>
  <c r="Z33" i="8"/>
  <c r="M33" i="8"/>
  <c r="Z32" i="8"/>
  <c r="M32" i="8"/>
  <c r="Z31" i="8"/>
  <c r="M31" i="8"/>
  <c r="Z30" i="8"/>
  <c r="M30" i="8"/>
  <c r="Z29" i="8"/>
  <c r="M29" i="8"/>
  <c r="Z28" i="8"/>
  <c r="M28" i="8"/>
  <c r="Z27" i="8"/>
  <c r="M27" i="8"/>
  <c r="Z26" i="8"/>
  <c r="M26" i="8"/>
  <c r="Z25" i="8"/>
  <c r="M25" i="8"/>
  <c r="Z24" i="8"/>
  <c r="M24" i="8"/>
  <c r="Z23" i="8"/>
  <c r="M23" i="8"/>
  <c r="Z22" i="8"/>
  <c r="M22" i="8"/>
  <c r="Z21" i="8"/>
  <c r="M21" i="8"/>
  <c r="Z20" i="8"/>
  <c r="M20" i="8"/>
  <c r="Z19" i="8"/>
  <c r="M19" i="8"/>
  <c r="Z18" i="8"/>
  <c r="M18" i="8"/>
  <c r="Z17" i="8"/>
  <c r="M17" i="8"/>
  <c r="Z16" i="8"/>
  <c r="M16" i="8"/>
  <c r="Z15" i="8"/>
  <c r="M15" i="8"/>
  <c r="Z14" i="8"/>
  <c r="M14" i="8"/>
  <c r="Z13" i="8"/>
  <c r="M13" i="8"/>
  <c r="Z12" i="8"/>
  <c r="M12" i="8"/>
  <c r="Z11" i="8"/>
  <c r="M11" i="8"/>
  <c r="Z10" i="8"/>
  <c r="M10" i="8"/>
  <c r="Z9" i="8"/>
  <c r="M9" i="8"/>
  <c r="Z8" i="8"/>
  <c r="M8" i="8"/>
  <c r="Z7" i="8"/>
  <c r="M7" i="8"/>
  <c r="Z6" i="8"/>
  <c r="M6" i="8"/>
  <c r="Z5" i="8"/>
  <c r="M5" i="8"/>
  <c r="D33" i="9"/>
  <c r="Z31" i="9"/>
  <c r="M31" i="9"/>
  <c r="Z30" i="9"/>
  <c r="M30" i="9"/>
  <c r="D29" i="9"/>
  <c r="AD29" i="9" s="1"/>
  <c r="Z27" i="9"/>
  <c r="M27" i="9"/>
  <c r="Z26" i="9"/>
  <c r="M26" i="9"/>
  <c r="D25" i="9"/>
  <c r="Z23" i="9"/>
  <c r="D23" i="9"/>
  <c r="Z21" i="9"/>
  <c r="AF21" i="9" s="1"/>
  <c r="M21" i="9"/>
  <c r="Z20" i="9"/>
  <c r="M20" i="9"/>
  <c r="D19" i="9"/>
  <c r="M18" i="9"/>
  <c r="D17" i="9"/>
  <c r="Z16" i="9"/>
  <c r="M16" i="9"/>
  <c r="Z15" i="9"/>
  <c r="M15" i="9"/>
  <c r="Z14" i="9"/>
  <c r="M14" i="9"/>
  <c r="Z13" i="9"/>
  <c r="M13" i="9"/>
  <c r="Z12" i="9"/>
  <c r="M12" i="9"/>
  <c r="Z11" i="9"/>
  <c r="M11" i="9"/>
  <c r="Z10" i="9"/>
  <c r="M10" i="9"/>
  <c r="Z9" i="9"/>
  <c r="M9" i="9"/>
  <c r="Z8" i="9"/>
  <c r="M8" i="9"/>
  <c r="Z7" i="9"/>
  <c r="M7" i="9"/>
  <c r="Z6" i="9"/>
  <c r="M6" i="9"/>
  <c r="Z5" i="9"/>
  <c r="M5" i="9"/>
  <c r="Q34" i="10"/>
  <c r="Z33" i="10"/>
  <c r="AJ33" i="10" s="1"/>
  <c r="M33" i="10"/>
  <c r="Q32" i="10"/>
  <c r="Z31" i="10"/>
  <c r="M31" i="10"/>
  <c r="Z30" i="10"/>
  <c r="M30" i="10"/>
  <c r="Q29" i="10"/>
  <c r="Q28" i="10"/>
  <c r="AJ28" i="10" s="1"/>
  <c r="D28" i="10"/>
  <c r="Z27" i="10"/>
  <c r="M27" i="10"/>
  <c r="Z26" i="10"/>
  <c r="M26" i="10"/>
  <c r="Q25" i="10"/>
  <c r="Q24" i="10"/>
  <c r="D24" i="10"/>
  <c r="AH24" i="10" s="1"/>
  <c r="Z23" i="10"/>
  <c r="M23" i="10"/>
  <c r="Z22" i="10"/>
  <c r="M22" i="10"/>
  <c r="Q21" i="10"/>
  <c r="Q20" i="10"/>
  <c r="D20" i="10"/>
  <c r="Z19" i="10"/>
  <c r="AJ19" i="10" s="1"/>
  <c r="M19" i="10"/>
  <c r="Z18" i="10"/>
  <c r="M18" i="10"/>
  <c r="Q17" i="10"/>
  <c r="AJ17" i="10" s="1"/>
  <c r="Q16" i="10"/>
  <c r="D16" i="10"/>
  <c r="Z15" i="10"/>
  <c r="Z14" i="10"/>
  <c r="AJ14" i="10" s="1"/>
  <c r="M14" i="10"/>
  <c r="Q13" i="10"/>
  <c r="Q12" i="10"/>
  <c r="D12" i="10"/>
  <c r="AH12" i="10" s="1"/>
  <c r="Z11" i="10"/>
  <c r="M11" i="10"/>
  <c r="Z10" i="10"/>
  <c r="M10" i="10"/>
  <c r="Q9" i="10"/>
  <c r="Q8" i="10"/>
  <c r="D8" i="10"/>
  <c r="Z7" i="10"/>
  <c r="M7" i="10"/>
  <c r="Q5" i="10"/>
  <c r="Z5" i="11"/>
  <c r="M5" i="11"/>
  <c r="Z33" i="12"/>
  <c r="Z32" i="12"/>
  <c r="Z29" i="12"/>
  <c r="Z28" i="12"/>
  <c r="AF28" i="12" s="1"/>
  <c r="Q5" i="12"/>
  <c r="Q35" i="6"/>
  <c r="Z34" i="6"/>
  <c r="M34" i="6"/>
  <c r="Z33" i="6"/>
  <c r="M33" i="6"/>
  <c r="Q32" i="6"/>
  <c r="D32" i="6"/>
  <c r="AD32" i="6" s="1"/>
  <c r="Q31" i="6"/>
  <c r="Z30" i="6"/>
  <c r="M30" i="6"/>
  <c r="Z29" i="6"/>
  <c r="M29" i="6"/>
  <c r="Q28" i="6"/>
  <c r="D28" i="6"/>
  <c r="Q27" i="6"/>
  <c r="AF27" i="6" s="1"/>
  <c r="Z26" i="6"/>
  <c r="M26" i="6"/>
  <c r="Z25" i="6"/>
  <c r="M25" i="6"/>
  <c r="Q24" i="6"/>
  <c r="D24" i="6"/>
  <c r="Q23" i="6"/>
  <c r="Z21" i="6"/>
  <c r="M21" i="6"/>
  <c r="Q20" i="6"/>
  <c r="D20" i="6"/>
  <c r="Z19" i="6"/>
  <c r="M19" i="6"/>
  <c r="Z18" i="6"/>
  <c r="M18" i="6"/>
  <c r="Z17" i="6"/>
  <c r="AF17" i="6" s="1"/>
  <c r="M17" i="6"/>
  <c r="Z16" i="6"/>
  <c r="M16" i="6"/>
  <c r="Q15" i="6"/>
  <c r="AF15" i="6" s="1"/>
  <c r="D15" i="6"/>
  <c r="Q14" i="6"/>
  <c r="Z13" i="6"/>
  <c r="M13" i="6"/>
  <c r="Z12" i="6"/>
  <c r="M12" i="6"/>
  <c r="Q11" i="6"/>
  <c r="D11" i="6"/>
  <c r="AD11" i="6" s="1"/>
  <c r="Q10" i="6"/>
  <c r="Z9" i="6"/>
  <c r="M9" i="6"/>
  <c r="Z8" i="6"/>
  <c r="AF8" i="6" s="1"/>
  <c r="M8" i="6"/>
  <c r="Q7" i="6"/>
  <c r="D7" i="6"/>
  <c r="Q6" i="6"/>
  <c r="AF6" i="6" s="1"/>
  <c r="Z5" i="6"/>
  <c r="M5" i="6"/>
  <c r="Q35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Z33" i="9"/>
  <c r="AF33" i="9" s="1"/>
  <c r="M33" i="9"/>
  <c r="Z32" i="9"/>
  <c r="M32" i="9"/>
  <c r="D31" i="9"/>
  <c r="AD31" i="9" s="1"/>
  <c r="Z29" i="9"/>
  <c r="M29" i="9"/>
  <c r="Z28" i="9"/>
  <c r="M28" i="9"/>
  <c r="D27" i="9"/>
  <c r="Z25" i="9"/>
  <c r="M25" i="9"/>
  <c r="Z24" i="9"/>
  <c r="AF24" i="9" s="1"/>
  <c r="M24" i="9"/>
  <c r="M23" i="9"/>
  <c r="Z22" i="9"/>
  <c r="M22" i="9"/>
  <c r="D21" i="9"/>
  <c r="Z19" i="9"/>
  <c r="Z18" i="9"/>
  <c r="M17" i="9"/>
  <c r="Q35" i="10"/>
  <c r="Q33" i="10"/>
  <c r="Z32" i="10"/>
  <c r="M32" i="10"/>
  <c r="Q31" i="10"/>
  <c r="Q30" i="10"/>
  <c r="D30" i="10"/>
  <c r="Z29" i="10"/>
  <c r="M29" i="10"/>
  <c r="Z28" i="10"/>
  <c r="M28" i="10"/>
  <c r="Q27" i="10"/>
  <c r="AJ27" i="10" s="1"/>
  <c r="Q26" i="10"/>
  <c r="D26" i="10"/>
  <c r="Z25" i="10"/>
  <c r="M25" i="10"/>
  <c r="Z24" i="10"/>
  <c r="M24" i="10"/>
  <c r="Q23" i="10"/>
  <c r="Q22" i="10"/>
  <c r="AJ22" i="10" s="1"/>
  <c r="D22" i="10"/>
  <c r="Z21" i="10"/>
  <c r="M21" i="10"/>
  <c r="Z20" i="10"/>
  <c r="M20" i="10"/>
  <c r="Q19" i="10"/>
  <c r="Q18" i="10"/>
  <c r="D18" i="10"/>
  <c r="Z17" i="10"/>
  <c r="M17" i="10"/>
  <c r="Z16" i="10"/>
  <c r="M16" i="10"/>
  <c r="Q15" i="10"/>
  <c r="Q14" i="10"/>
  <c r="D14" i="10"/>
  <c r="Z13" i="10"/>
  <c r="AJ13" i="10" s="1"/>
  <c r="M13" i="10"/>
  <c r="Z12" i="10"/>
  <c r="M12" i="10"/>
  <c r="Q11" i="10"/>
  <c r="AJ11" i="10" s="1"/>
  <c r="Q10" i="10"/>
  <c r="D10" i="10"/>
  <c r="Z9" i="10"/>
  <c r="M9" i="10"/>
  <c r="Z8" i="10"/>
  <c r="M8" i="10"/>
  <c r="Q6" i="10"/>
  <c r="Z5" i="10"/>
  <c r="AJ5" i="10" s="1"/>
  <c r="M5" i="10"/>
  <c r="Q5" i="11"/>
  <c r="Z34" i="12"/>
  <c r="Z31" i="12"/>
  <c r="AF31" i="12" s="1"/>
  <c r="Z30" i="12"/>
  <c r="Z27" i="12"/>
  <c r="Z26" i="12"/>
  <c r="Z25" i="12"/>
  <c r="AF25" i="12" s="1"/>
  <c r="Z24" i="12"/>
  <c r="Z23" i="12"/>
  <c r="Z22" i="12"/>
  <c r="Z20" i="12"/>
  <c r="Z19" i="12"/>
  <c r="Z18" i="12"/>
  <c r="Z17" i="12"/>
  <c r="Z16" i="12"/>
  <c r="Z15" i="12"/>
  <c r="Z14" i="12"/>
  <c r="Z13" i="12"/>
  <c r="Z12" i="12"/>
  <c r="Z11" i="12"/>
  <c r="Z10" i="12"/>
  <c r="Z9" i="12"/>
  <c r="Z8" i="12"/>
  <c r="Z7" i="12"/>
  <c r="Z6" i="12"/>
  <c r="Z5" i="12"/>
  <c r="M5" i="12"/>
  <c r="Z34" i="7"/>
  <c r="M34" i="7"/>
  <c r="Z33" i="7"/>
  <c r="M33" i="7"/>
  <c r="Z32" i="7"/>
  <c r="M32" i="7"/>
  <c r="Z31" i="7"/>
  <c r="M31" i="7"/>
  <c r="Z30" i="7"/>
  <c r="M30" i="7"/>
  <c r="Z29" i="7"/>
  <c r="M29" i="7"/>
  <c r="Z28" i="7"/>
  <c r="M28" i="7"/>
  <c r="Z27" i="7"/>
  <c r="M27" i="7"/>
  <c r="Z26" i="7"/>
  <c r="M26" i="7"/>
  <c r="Z25" i="7"/>
  <c r="M25" i="7"/>
  <c r="Z24" i="7"/>
  <c r="M24" i="7"/>
  <c r="Z23" i="7"/>
  <c r="M23" i="7"/>
  <c r="Z22" i="7"/>
  <c r="M22" i="7"/>
  <c r="Z21" i="7"/>
  <c r="M21" i="7"/>
  <c r="Z20" i="7"/>
  <c r="M20" i="7"/>
  <c r="Z19" i="7"/>
  <c r="M19" i="7"/>
  <c r="Z18" i="7"/>
  <c r="M18" i="7"/>
  <c r="Z17" i="7"/>
  <c r="M17" i="7"/>
  <c r="Q16" i="7"/>
  <c r="Z15" i="7"/>
  <c r="M15" i="7"/>
  <c r="M14" i="7"/>
  <c r="Q8" i="7"/>
  <c r="Q7" i="7"/>
  <c r="Q6" i="7"/>
  <c r="Q34" i="7"/>
  <c r="Q33" i="7"/>
  <c r="Q32" i="7"/>
  <c r="Q31" i="7"/>
  <c r="Q30" i="7"/>
  <c r="Q29" i="7"/>
  <c r="Q28" i="7"/>
  <c r="Q27" i="7"/>
  <c r="Q26" i="7"/>
  <c r="Q25" i="7"/>
  <c r="Q24" i="7"/>
  <c r="Q23" i="7"/>
  <c r="Q22" i="7"/>
  <c r="Q21" i="7"/>
  <c r="Q20" i="7"/>
  <c r="Q19" i="7"/>
  <c r="Q18" i="7"/>
  <c r="Q17" i="7"/>
  <c r="Z16" i="7"/>
  <c r="M16" i="7"/>
  <c r="Q15" i="7"/>
  <c r="Z14" i="7"/>
  <c r="Q14" i="7"/>
  <c r="Z13" i="7"/>
  <c r="M13" i="7"/>
  <c r="Z12" i="7"/>
  <c r="Z11" i="7"/>
  <c r="Z10" i="7"/>
  <c r="M10" i="7"/>
  <c r="Z9" i="7"/>
  <c r="M9" i="7"/>
  <c r="Z8" i="7"/>
  <c r="M8" i="7"/>
  <c r="Z7" i="7"/>
  <c r="M7" i="7"/>
  <c r="Z5" i="7"/>
  <c r="M5" i="7"/>
  <c r="AB35" i="12"/>
  <c r="AF27" i="11"/>
  <c r="AC32" i="9"/>
  <c r="AJ9" i="10"/>
  <c r="AC8" i="5"/>
  <c r="AC16" i="5"/>
  <c r="AC14" i="5"/>
  <c r="AC10" i="5"/>
  <c r="AC6" i="5"/>
  <c r="AC12" i="5"/>
  <c r="AD35" i="11"/>
  <c r="AC33" i="5"/>
  <c r="AC17" i="9"/>
  <c r="T5" i="13"/>
  <c r="S36" i="13"/>
  <c r="G5" i="13"/>
  <c r="F36" i="13"/>
  <c r="Y36" i="13"/>
  <c r="L36" i="13"/>
  <c r="D34" i="14"/>
  <c r="AD34" i="14" s="1"/>
  <c r="AC34" i="14"/>
  <c r="D33" i="14"/>
  <c r="AD33" i="14" s="1"/>
  <c r="AC33" i="14"/>
  <c r="D32" i="14"/>
  <c r="AD32" i="14" s="1"/>
  <c r="AC32" i="14"/>
  <c r="D31" i="14"/>
  <c r="AD31" i="14" s="1"/>
  <c r="AC31" i="14"/>
  <c r="D30" i="14"/>
  <c r="AD30" i="14" s="1"/>
  <c r="AC30" i="14"/>
  <c r="D29" i="14"/>
  <c r="AD29" i="14" s="1"/>
  <c r="AC29" i="14"/>
  <c r="D28" i="14"/>
  <c r="AD28" i="14" s="1"/>
  <c r="AC28" i="14"/>
  <c r="D27" i="14"/>
  <c r="AD27" i="14" s="1"/>
  <c r="AC27" i="14"/>
  <c r="D26" i="14"/>
  <c r="AD26" i="14" s="1"/>
  <c r="AC26" i="14"/>
  <c r="D25" i="14"/>
  <c r="AD25" i="14" s="1"/>
  <c r="AC25" i="14"/>
  <c r="D24" i="14"/>
  <c r="AD24" i="14" s="1"/>
  <c r="AC24" i="14"/>
  <c r="D23" i="14"/>
  <c r="AD23" i="14" s="1"/>
  <c r="AC23" i="14"/>
  <c r="D22" i="14"/>
  <c r="AD22" i="14" s="1"/>
  <c r="AC22" i="14"/>
  <c r="D21" i="14"/>
  <c r="AD21" i="14" s="1"/>
  <c r="AC21" i="14"/>
  <c r="D20" i="14"/>
  <c r="AD20" i="14" s="1"/>
  <c r="AC20" i="14"/>
  <c r="D19" i="14"/>
  <c r="AD19" i="14" s="1"/>
  <c r="AC19" i="14"/>
  <c r="D18" i="14"/>
  <c r="AD18" i="14" s="1"/>
  <c r="AC18" i="14"/>
  <c r="D17" i="14"/>
  <c r="AC17" i="14"/>
  <c r="D16" i="14"/>
  <c r="AD16" i="14" s="1"/>
  <c r="AC16" i="14"/>
  <c r="D15" i="14"/>
  <c r="AD15" i="14" s="1"/>
  <c r="AC15" i="14"/>
  <c r="D14" i="14"/>
  <c r="AD14" i="14" s="1"/>
  <c r="AC14" i="14"/>
  <c r="D13" i="14"/>
  <c r="AD13" i="14" s="1"/>
  <c r="AC13" i="14"/>
  <c r="D12" i="14"/>
  <c r="AD12" i="14" s="1"/>
  <c r="AC12" i="14"/>
  <c r="D11" i="14"/>
  <c r="AD11" i="14" s="1"/>
  <c r="AC11" i="14"/>
  <c r="D10" i="14"/>
  <c r="AD10" i="14" s="1"/>
  <c r="AC10" i="14"/>
  <c r="D9" i="14"/>
  <c r="AD9" i="14" s="1"/>
  <c r="AC9" i="14"/>
  <c r="D8" i="14"/>
  <c r="AD8" i="14" s="1"/>
  <c r="AC8" i="14"/>
  <c r="D7" i="14"/>
  <c r="AD7" i="14" s="1"/>
  <c r="AC7" i="14"/>
  <c r="D6" i="14"/>
  <c r="AD6" i="14" s="1"/>
  <c r="AC6" i="14"/>
  <c r="C35" i="13"/>
  <c r="AB35" i="13"/>
  <c r="C34" i="13"/>
  <c r="AB34" i="13"/>
  <c r="C33" i="13"/>
  <c r="AB33" i="13"/>
  <c r="C32" i="13"/>
  <c r="AB32" i="13"/>
  <c r="C31" i="13"/>
  <c r="AB31" i="13"/>
  <c r="C30" i="13"/>
  <c r="AB30" i="13"/>
  <c r="C29" i="13"/>
  <c r="AB29" i="13"/>
  <c r="C28" i="13"/>
  <c r="AB28" i="13"/>
  <c r="C27" i="13"/>
  <c r="AB27" i="13"/>
  <c r="C26" i="13"/>
  <c r="AB26" i="13"/>
  <c r="C25" i="13"/>
  <c r="AB25" i="13"/>
  <c r="C24" i="13"/>
  <c r="AB24" i="13"/>
  <c r="C23" i="13"/>
  <c r="AB23" i="13"/>
  <c r="C22" i="13"/>
  <c r="AB22" i="13"/>
  <c r="C21" i="13"/>
  <c r="AB21" i="13"/>
  <c r="C20" i="13"/>
  <c r="AB20" i="13"/>
  <c r="C19" i="13"/>
  <c r="AB19" i="13"/>
  <c r="C18" i="13"/>
  <c r="AB18" i="13"/>
  <c r="C17" i="13"/>
  <c r="AB17" i="13"/>
  <c r="C16" i="13"/>
  <c r="AB16" i="13"/>
  <c r="C15" i="13"/>
  <c r="AB15" i="13"/>
  <c r="C14" i="13"/>
  <c r="AB14" i="13"/>
  <c r="C13" i="13"/>
  <c r="AB13" i="13"/>
  <c r="C12" i="13"/>
  <c r="AB12" i="13"/>
  <c r="C11" i="13"/>
  <c r="AB11" i="13"/>
  <c r="C10" i="13"/>
  <c r="AB10" i="13"/>
  <c r="C9" i="13"/>
  <c r="AB9" i="13"/>
  <c r="C8" i="13"/>
  <c r="AC8" i="13" s="1"/>
  <c r="AB8" i="13"/>
  <c r="C7" i="13"/>
  <c r="AB7" i="13"/>
  <c r="C6" i="13"/>
  <c r="AB6" i="13"/>
  <c r="W5" i="13"/>
  <c r="V36" i="13"/>
  <c r="Q5" i="13"/>
  <c r="P36" i="13"/>
  <c r="J5" i="13"/>
  <c r="I36" i="13"/>
  <c r="C5" i="13"/>
  <c r="C36" i="13" s="1"/>
  <c r="AB5" i="13"/>
  <c r="AC35" i="5"/>
  <c r="AC31" i="5"/>
  <c r="AC20" i="5"/>
  <c r="D34" i="7"/>
  <c r="AC34" i="7"/>
  <c r="D33" i="7"/>
  <c r="AC33" i="7"/>
  <c r="D32" i="7"/>
  <c r="AD32" i="7" s="1"/>
  <c r="AC32" i="7"/>
  <c r="D31" i="7"/>
  <c r="AD31" i="7" s="1"/>
  <c r="AC31" i="7"/>
  <c r="D30" i="7"/>
  <c r="AC30" i="7"/>
  <c r="D29" i="7"/>
  <c r="AC29" i="7"/>
  <c r="D28" i="7"/>
  <c r="AD28" i="7" s="1"/>
  <c r="AC28" i="7"/>
  <c r="D27" i="7"/>
  <c r="AD27" i="7" s="1"/>
  <c r="AC27" i="7"/>
  <c r="D26" i="7"/>
  <c r="AC26" i="7"/>
  <c r="D25" i="7"/>
  <c r="AC25" i="7"/>
  <c r="D24" i="7"/>
  <c r="AD24" i="7" s="1"/>
  <c r="AC24" i="7"/>
  <c r="D23" i="7"/>
  <c r="AD23" i="7" s="1"/>
  <c r="AC23" i="7"/>
  <c r="D22" i="7"/>
  <c r="AC22" i="7"/>
  <c r="D21" i="7"/>
  <c r="AC21" i="7"/>
  <c r="D20" i="7"/>
  <c r="AD20" i="7" s="1"/>
  <c r="AC20" i="7"/>
  <c r="D19" i="7"/>
  <c r="AD19" i="7" s="1"/>
  <c r="AC19" i="7"/>
  <c r="D18" i="7"/>
  <c r="AC18" i="7"/>
  <c r="D17" i="7"/>
  <c r="AC17" i="7"/>
  <c r="D16" i="7"/>
  <c r="AD16" i="7" s="1"/>
  <c r="AC16" i="7"/>
  <c r="D15" i="7"/>
  <c r="AC15" i="7"/>
  <c r="D14" i="7"/>
  <c r="AD14" i="7" s="1"/>
  <c r="AC14" i="7"/>
  <c r="D13" i="7"/>
  <c r="AD13" i="7" s="1"/>
  <c r="AC13" i="7"/>
  <c r="D12" i="7"/>
  <c r="AD12" i="7" s="1"/>
  <c r="AC12" i="7"/>
  <c r="D11" i="7"/>
  <c r="AD11" i="7" s="1"/>
  <c r="AC11" i="7"/>
  <c r="D10" i="7"/>
  <c r="AD10" i="7" s="1"/>
  <c r="AC10" i="7"/>
  <c r="D9" i="7"/>
  <c r="AD9" i="7" s="1"/>
  <c r="AC9" i="7"/>
  <c r="D8" i="7"/>
  <c r="AD8" i="7" s="1"/>
  <c r="AC8" i="7"/>
  <c r="D7" i="7"/>
  <c r="AC7" i="7"/>
  <c r="D6" i="7"/>
  <c r="AD6" i="7" s="1"/>
  <c r="AC6" i="7"/>
  <c r="AC5" i="7"/>
  <c r="AD13" i="6"/>
  <c r="D32" i="4"/>
  <c r="AD32" i="4" s="1"/>
  <c r="AC32" i="4"/>
  <c r="D31" i="4"/>
  <c r="AD31" i="4" s="1"/>
  <c r="AC31" i="4"/>
  <c r="D30" i="4"/>
  <c r="AD30" i="4" s="1"/>
  <c r="AC30" i="4"/>
  <c r="D29" i="4"/>
  <c r="AD29" i="4" s="1"/>
  <c r="AC29" i="4"/>
  <c r="D28" i="4"/>
  <c r="AD28" i="4" s="1"/>
  <c r="AC28" i="4"/>
  <c r="D27" i="4"/>
  <c r="AD27" i="4" s="1"/>
  <c r="AC27" i="4"/>
  <c r="D26" i="4"/>
  <c r="AD26" i="4" s="1"/>
  <c r="AC26" i="4"/>
  <c r="D25" i="4"/>
  <c r="AD25" i="4" s="1"/>
  <c r="AC25" i="4"/>
  <c r="D24" i="4"/>
  <c r="AD24" i="4" s="1"/>
  <c r="AC24" i="4"/>
  <c r="D23" i="4"/>
  <c r="AD23" i="4" s="1"/>
  <c r="AC23" i="4"/>
  <c r="D22" i="4"/>
  <c r="AD22" i="4" s="1"/>
  <c r="AC22" i="4"/>
  <c r="D21" i="4"/>
  <c r="AD21" i="4" s="1"/>
  <c r="AC21" i="4"/>
  <c r="D20" i="4"/>
  <c r="AD20" i="4" s="1"/>
  <c r="AC20" i="4"/>
  <c r="D19" i="4"/>
  <c r="AD19" i="4" s="1"/>
  <c r="AC19" i="4"/>
  <c r="D18" i="4"/>
  <c r="AD18" i="4" s="1"/>
  <c r="AC18" i="4"/>
  <c r="D17" i="4"/>
  <c r="AD17" i="4" s="1"/>
  <c r="AC17" i="4"/>
  <c r="D16" i="4"/>
  <c r="AD16" i="4" s="1"/>
  <c r="AC16" i="4"/>
  <c r="D15" i="4"/>
  <c r="AD15" i="4" s="1"/>
  <c r="AC15" i="4"/>
  <c r="D14" i="4"/>
  <c r="AD14" i="4" s="1"/>
  <c r="AC14" i="4"/>
  <c r="D13" i="4"/>
  <c r="AD13" i="4" s="1"/>
  <c r="AC13" i="4"/>
  <c r="D12" i="4"/>
  <c r="AD12" i="4" s="1"/>
  <c r="AC12" i="4"/>
  <c r="D11" i="4"/>
  <c r="AD11" i="4" s="1"/>
  <c r="AC11" i="4"/>
  <c r="D10" i="4"/>
  <c r="AD10" i="4" s="1"/>
  <c r="AC10" i="4"/>
  <c r="D9" i="4"/>
  <c r="AD9" i="4" s="1"/>
  <c r="AC9" i="4"/>
  <c r="D8" i="4"/>
  <c r="AD8" i="4" s="1"/>
  <c r="AC8" i="4"/>
  <c r="D7" i="4"/>
  <c r="AD7" i="4" s="1"/>
  <c r="AC7" i="4"/>
  <c r="D5" i="4"/>
  <c r="AD5" i="4" s="1"/>
  <c r="AC5" i="4"/>
  <c r="AC6" i="4"/>
  <c r="D35" i="1"/>
  <c r="AD35" i="1" s="1"/>
  <c r="AC35" i="1"/>
  <c r="D34" i="1"/>
  <c r="AD34" i="1" s="1"/>
  <c r="AC34" i="1"/>
  <c r="D33" i="1"/>
  <c r="AD33" i="1" s="1"/>
  <c r="AC33" i="1"/>
  <c r="D32" i="1"/>
  <c r="AD32" i="1" s="1"/>
  <c r="AC32" i="1"/>
  <c r="D31" i="1"/>
  <c r="AD31" i="1" s="1"/>
  <c r="AC31" i="1"/>
  <c r="D30" i="1"/>
  <c r="AD30" i="1" s="1"/>
  <c r="AC30" i="1"/>
  <c r="D29" i="1"/>
  <c r="AD29" i="1" s="1"/>
  <c r="AC29" i="1"/>
  <c r="D28" i="1"/>
  <c r="AD28" i="1" s="1"/>
  <c r="AC28" i="1"/>
  <c r="D27" i="1"/>
  <c r="AD27" i="1" s="1"/>
  <c r="AC27" i="1"/>
  <c r="D26" i="1"/>
  <c r="AD26" i="1" s="1"/>
  <c r="AC26" i="1"/>
  <c r="D25" i="1"/>
  <c r="AD25" i="1" s="1"/>
  <c r="AC25" i="1"/>
  <c r="D24" i="1"/>
  <c r="AD24" i="1" s="1"/>
  <c r="AC24" i="1"/>
  <c r="D23" i="1"/>
  <c r="AD23" i="1" s="1"/>
  <c r="AC23" i="1"/>
  <c r="D22" i="1"/>
  <c r="AD22" i="1" s="1"/>
  <c r="AC22" i="1"/>
  <c r="D21" i="1"/>
  <c r="AD21" i="1" s="1"/>
  <c r="AC21" i="1"/>
  <c r="D20" i="1"/>
  <c r="AD20" i="1" s="1"/>
  <c r="AC20" i="1"/>
  <c r="D19" i="1"/>
  <c r="AD19" i="1" s="1"/>
  <c r="AC19" i="1"/>
  <c r="D18" i="1"/>
  <c r="AD18" i="1" s="1"/>
  <c r="AC18" i="1"/>
  <c r="D17" i="1"/>
  <c r="AD17" i="1" s="1"/>
  <c r="AC17" i="1"/>
  <c r="D16" i="1"/>
  <c r="AD16" i="1" s="1"/>
  <c r="AC16" i="1"/>
  <c r="D15" i="1"/>
  <c r="AD15" i="1" s="1"/>
  <c r="AC15" i="1"/>
  <c r="D14" i="1"/>
  <c r="AD14" i="1" s="1"/>
  <c r="AC14" i="1"/>
  <c r="D13" i="1"/>
  <c r="AD13" i="1" s="1"/>
  <c r="AC13" i="1"/>
  <c r="D12" i="1"/>
  <c r="AD12" i="1" s="1"/>
  <c r="AC12" i="1"/>
  <c r="D11" i="1"/>
  <c r="AD11" i="1" s="1"/>
  <c r="AC11" i="1"/>
  <c r="D10" i="1"/>
  <c r="AD10" i="1" s="1"/>
  <c r="AC10" i="1"/>
  <c r="D9" i="1"/>
  <c r="AD9" i="1" s="1"/>
  <c r="AC9" i="1"/>
  <c r="D8" i="1"/>
  <c r="AD8" i="1" s="1"/>
  <c r="AC8" i="1"/>
  <c r="D7" i="1"/>
  <c r="AD7" i="1" s="1"/>
  <c r="AC7" i="1"/>
  <c r="D5" i="1"/>
  <c r="AD5" i="1" s="1"/>
  <c r="AC5" i="1"/>
  <c r="AC6" i="1"/>
  <c r="S36" i="8"/>
  <c r="T36" i="8" s="1"/>
  <c r="G9" i="15" s="1"/>
  <c r="F36" i="8"/>
  <c r="G36" i="8" s="1"/>
  <c r="C9" i="15" s="1"/>
  <c r="AF7" i="9"/>
  <c r="AC20" i="6"/>
  <c r="AD20" i="6"/>
  <c r="AF16" i="6"/>
  <c r="Y36" i="8"/>
  <c r="Z36" i="8" s="1"/>
  <c r="I9" i="15" s="1"/>
  <c r="L36" i="8"/>
  <c r="M36" i="8" s="1"/>
  <c r="E9" i="15" s="1"/>
  <c r="AF15" i="9"/>
  <c r="AF9" i="9"/>
  <c r="AD28" i="5"/>
  <c r="Q8" i="13"/>
  <c r="T7" i="13"/>
  <c r="W6" i="13"/>
  <c r="Z5" i="13"/>
  <c r="Z36" i="13" s="1"/>
  <c r="I4" i="15" s="1"/>
  <c r="AD29" i="5"/>
  <c r="G7" i="13"/>
  <c r="J6" i="13"/>
  <c r="M5" i="13"/>
  <c r="M36" i="13" s="1"/>
  <c r="E4" i="15" s="1"/>
  <c r="AF18" i="6"/>
  <c r="AD17" i="9"/>
  <c r="AF13" i="9"/>
  <c r="AF11" i="9"/>
  <c r="AF5" i="9"/>
  <c r="AC29" i="5"/>
  <c r="AF24" i="5"/>
  <c r="AF16" i="5"/>
  <c r="AF15" i="5"/>
  <c r="AF12" i="5"/>
  <c r="AF11" i="5"/>
  <c r="AF8" i="5"/>
  <c r="AF7" i="5"/>
  <c r="AF26" i="5"/>
  <c r="AF22" i="5"/>
  <c r="AF18" i="5"/>
  <c r="AF17" i="5"/>
  <c r="AF14" i="5"/>
  <c r="AF13" i="5"/>
  <c r="AF10" i="5"/>
  <c r="AF9" i="5"/>
  <c r="AF23" i="12"/>
  <c r="AF34" i="9"/>
  <c r="AF30" i="9"/>
  <c r="AF26" i="9"/>
  <c r="AF22" i="9"/>
  <c r="AF32" i="9"/>
  <c r="AF28" i="9"/>
  <c r="AF20" i="9"/>
  <c r="AH5" i="10"/>
  <c r="AG5" i="10"/>
  <c r="AJ35" i="10"/>
  <c r="AJ31" i="10"/>
  <c r="AJ20" i="10"/>
  <c r="AJ18" i="10"/>
  <c r="AJ16" i="10"/>
  <c r="AJ12" i="10"/>
  <c r="AJ10" i="10"/>
  <c r="AJ8" i="10"/>
  <c r="AJ29" i="10"/>
  <c r="AJ25" i="10"/>
  <c r="AD30" i="12"/>
  <c r="AC30" i="12"/>
  <c r="AD26" i="12"/>
  <c r="AC26" i="12"/>
  <c r="AC28" i="12"/>
  <c r="AD21" i="12"/>
  <c r="AC21" i="12"/>
  <c r="AC19" i="12"/>
  <c r="AD17" i="12"/>
  <c r="AC17" i="12"/>
  <c r="AC15" i="12"/>
  <c r="AD13" i="12"/>
  <c r="AC13" i="12"/>
  <c r="AC11" i="12"/>
  <c r="AD9" i="12"/>
  <c r="AC9" i="12"/>
  <c r="AC7" i="12"/>
  <c r="D5" i="12"/>
  <c r="AD5" i="12" s="1"/>
  <c r="AC5" i="12"/>
  <c r="AF33" i="12"/>
  <c r="AF30" i="12"/>
  <c r="AF29" i="12"/>
  <c r="AF27" i="12"/>
  <c r="AF26" i="12"/>
  <c r="AB29" i="12"/>
  <c r="AB27" i="12"/>
  <c r="I36" i="11"/>
  <c r="J36" i="11" s="1"/>
  <c r="D12" i="15" s="1"/>
  <c r="F36" i="11"/>
  <c r="G36" i="11" s="1"/>
  <c r="C12" i="15" s="1"/>
  <c r="AF6" i="11"/>
  <c r="Y36" i="11"/>
  <c r="Z36" i="11" s="1"/>
  <c r="I12" i="15" s="1"/>
  <c r="AF10" i="11"/>
  <c r="S36" i="11"/>
  <c r="T36" i="11" s="1"/>
  <c r="G12" i="15" s="1"/>
  <c r="AC7" i="11"/>
  <c r="L36" i="11"/>
  <c r="M36" i="11" s="1"/>
  <c r="E12" i="15" s="1"/>
  <c r="D5" i="11"/>
  <c r="AD5" i="11" s="1"/>
  <c r="AC5" i="11"/>
  <c r="AF34" i="11"/>
  <c r="AF32" i="11"/>
  <c r="AF30" i="11"/>
  <c r="AF28" i="11"/>
  <c r="AF26" i="11"/>
  <c r="C36" i="11"/>
  <c r="D36" i="11" s="1"/>
  <c r="B12" i="15" s="1"/>
  <c r="AF24" i="11"/>
  <c r="AF22" i="11"/>
  <c r="AF20" i="11"/>
  <c r="AF18" i="11"/>
  <c r="AF16" i="11"/>
  <c r="AF14" i="11"/>
  <c r="AF12" i="11"/>
  <c r="AF33" i="6"/>
  <c r="AF29" i="6"/>
  <c r="AF14" i="6"/>
  <c r="AF10" i="6"/>
  <c r="AF35" i="6"/>
  <c r="AF20" i="6"/>
  <c r="AF12" i="6"/>
  <c r="T18" i="14"/>
  <c r="T35" i="14" s="1"/>
  <c r="G3" i="15" s="1"/>
  <c r="S35" i="14"/>
  <c r="M6" i="14"/>
  <c r="L35" i="14"/>
  <c r="J5" i="14"/>
  <c r="I35" i="14"/>
  <c r="M35" i="14"/>
  <c r="E3" i="15" s="1"/>
  <c r="Q17" i="14"/>
  <c r="Q35" i="14" s="1"/>
  <c r="F3" i="15" s="1"/>
  <c r="P35" i="14"/>
  <c r="Z6" i="14"/>
  <c r="Z35" i="14" s="1"/>
  <c r="I3" i="15" s="1"/>
  <c r="Y35" i="14"/>
  <c r="G6" i="14"/>
  <c r="F35" i="14"/>
  <c r="W5" i="14"/>
  <c r="W35" i="14" s="1"/>
  <c r="H3" i="15" s="1"/>
  <c r="V35" i="14"/>
  <c r="D5" i="14"/>
  <c r="C35" i="14"/>
  <c r="AC35" i="14" s="1"/>
  <c r="W6" i="1"/>
  <c r="W36" i="1" s="1"/>
  <c r="H5" i="15" s="1"/>
  <c r="V36" i="1"/>
  <c r="J6" i="1"/>
  <c r="J36" i="1" s="1"/>
  <c r="D5" i="15" s="1"/>
  <c r="I36" i="1"/>
  <c r="Z5" i="1"/>
  <c r="Z36" i="1" s="1"/>
  <c r="I5" i="15" s="1"/>
  <c r="Y36" i="1"/>
  <c r="M5" i="1"/>
  <c r="M36" i="1" s="1"/>
  <c r="E5" i="15" s="1"/>
  <c r="L36" i="1"/>
  <c r="W6" i="4"/>
  <c r="W34" i="4" s="1"/>
  <c r="H6" i="15" s="1"/>
  <c r="V34" i="4"/>
  <c r="J6" i="4"/>
  <c r="J34" i="4" s="1"/>
  <c r="D6" i="15" s="1"/>
  <c r="I34" i="4"/>
  <c r="Z5" i="4"/>
  <c r="Z34" i="4" s="1"/>
  <c r="I6" i="15" s="1"/>
  <c r="Y34" i="4"/>
  <c r="M5" i="4"/>
  <c r="M34" i="4" s="1"/>
  <c r="E6" i="15" s="1"/>
  <c r="L34" i="4"/>
  <c r="D35" i="6"/>
  <c r="AD35" i="6" s="1"/>
  <c r="AC35" i="6"/>
  <c r="D33" i="6"/>
  <c r="AD33" i="6" s="1"/>
  <c r="AC33" i="6"/>
  <c r="D31" i="6"/>
  <c r="AD31" i="6" s="1"/>
  <c r="AC31" i="6"/>
  <c r="D29" i="6"/>
  <c r="AC29" i="6"/>
  <c r="D27" i="6"/>
  <c r="AC27" i="6"/>
  <c r="D25" i="6"/>
  <c r="AD25" i="6" s="1"/>
  <c r="AC25" i="6"/>
  <c r="D23" i="6"/>
  <c r="AD23" i="6" s="1"/>
  <c r="AC23" i="6"/>
  <c r="Z22" i="6"/>
  <c r="Y36" i="6"/>
  <c r="M22" i="6"/>
  <c r="L36" i="6"/>
  <c r="Q21" i="6"/>
  <c r="P36" i="6"/>
  <c r="D21" i="6"/>
  <c r="AC21" i="6"/>
  <c r="AD30" i="6"/>
  <c r="AD28" i="6"/>
  <c r="AD26" i="6"/>
  <c r="AF25" i="6"/>
  <c r="AD24" i="6"/>
  <c r="AF23" i="6"/>
  <c r="Q6" i="1"/>
  <c r="Q36" i="1" s="1"/>
  <c r="F5" i="15" s="1"/>
  <c r="P36" i="1"/>
  <c r="D6" i="1"/>
  <c r="C36" i="1"/>
  <c r="T5" i="1"/>
  <c r="T36" i="1" s="1"/>
  <c r="G5" i="15" s="1"/>
  <c r="S36" i="1"/>
  <c r="G5" i="1"/>
  <c r="G36" i="1" s="1"/>
  <c r="C5" i="15" s="1"/>
  <c r="F36" i="1"/>
  <c r="Q6" i="4"/>
  <c r="Q34" i="4" s="1"/>
  <c r="F6" i="15" s="1"/>
  <c r="P34" i="4"/>
  <c r="D6" i="4"/>
  <c r="C34" i="4"/>
  <c r="AC34" i="4" s="1"/>
  <c r="T5" i="4"/>
  <c r="T34" i="4" s="1"/>
  <c r="G6" i="15" s="1"/>
  <c r="S34" i="4"/>
  <c r="G5" i="4"/>
  <c r="G34" i="4" s="1"/>
  <c r="C6" i="15" s="1"/>
  <c r="F34" i="4"/>
  <c r="T22" i="6"/>
  <c r="S36" i="6"/>
  <c r="G22" i="6"/>
  <c r="F36" i="6"/>
  <c r="W21" i="6"/>
  <c r="V36" i="6"/>
  <c r="J21" i="6"/>
  <c r="I36" i="6"/>
  <c r="AF34" i="6"/>
  <c r="AF32" i="6"/>
  <c r="AF30" i="6"/>
  <c r="AF28" i="6"/>
  <c r="AF26" i="6"/>
  <c r="C18" i="6"/>
  <c r="AB18" i="6"/>
  <c r="T6" i="7"/>
  <c r="S35" i="7"/>
  <c r="G6" i="7"/>
  <c r="F35" i="7"/>
  <c r="W5" i="7"/>
  <c r="V35" i="7"/>
  <c r="J5" i="7"/>
  <c r="I35" i="7"/>
  <c r="D35" i="8"/>
  <c r="AD35" i="8" s="1"/>
  <c r="AC35" i="8"/>
  <c r="D33" i="8"/>
  <c r="AD33" i="8" s="1"/>
  <c r="AC33" i="8"/>
  <c r="D31" i="8"/>
  <c r="AD31" i="8" s="1"/>
  <c r="AC31" i="8"/>
  <c r="D29" i="8"/>
  <c r="AD29" i="8" s="1"/>
  <c r="AC29" i="8"/>
  <c r="D27" i="8"/>
  <c r="AD27" i="8" s="1"/>
  <c r="AC27" i="8"/>
  <c r="D25" i="8"/>
  <c r="AD25" i="8" s="1"/>
  <c r="AC25" i="8"/>
  <c r="D23" i="8"/>
  <c r="AD23" i="8" s="1"/>
  <c r="AC23" i="8"/>
  <c r="D21" i="8"/>
  <c r="AD21" i="8" s="1"/>
  <c r="AC21" i="8"/>
  <c r="D19" i="8"/>
  <c r="AD19" i="8" s="1"/>
  <c r="AC19" i="8"/>
  <c r="D17" i="8"/>
  <c r="AD17" i="8" s="1"/>
  <c r="AC17" i="8"/>
  <c r="D15" i="8"/>
  <c r="AD15" i="8" s="1"/>
  <c r="AC15" i="8"/>
  <c r="D13" i="8"/>
  <c r="AD13" i="8" s="1"/>
  <c r="AC13" i="8"/>
  <c r="D11" i="8"/>
  <c r="AD11" i="8" s="1"/>
  <c r="AC11" i="8"/>
  <c r="D9" i="8"/>
  <c r="AD9" i="8" s="1"/>
  <c r="AC9" i="8"/>
  <c r="D7" i="8"/>
  <c r="AD7" i="8" s="1"/>
  <c r="AC7" i="8"/>
  <c r="Q5" i="8"/>
  <c r="P36" i="8"/>
  <c r="Q36" i="8" s="1"/>
  <c r="F9" i="15" s="1"/>
  <c r="D5" i="8"/>
  <c r="AC5" i="8"/>
  <c r="C36" i="8"/>
  <c r="D36" i="8" s="1"/>
  <c r="B9" i="15" s="1"/>
  <c r="S35" i="9"/>
  <c r="T35" i="9" s="1"/>
  <c r="G10" i="15" s="1"/>
  <c r="T19" i="9"/>
  <c r="F35" i="9"/>
  <c r="G35" i="9" s="1"/>
  <c r="C10" i="15" s="1"/>
  <c r="G19" i="9"/>
  <c r="V35" i="9"/>
  <c r="W35" i="9" s="1"/>
  <c r="H10" i="15" s="1"/>
  <c r="W18" i="9"/>
  <c r="I35" i="9"/>
  <c r="J35" i="9" s="1"/>
  <c r="D10" i="15" s="1"/>
  <c r="J18" i="9"/>
  <c r="AB35" i="6"/>
  <c r="AC34" i="6"/>
  <c r="AB33" i="6"/>
  <c r="AC32" i="6"/>
  <c r="AB31" i="6"/>
  <c r="AC30" i="6"/>
  <c r="AB29" i="6"/>
  <c r="AC28" i="6"/>
  <c r="AB27" i="6"/>
  <c r="AC26" i="6"/>
  <c r="AB25" i="6"/>
  <c r="AC24" i="6"/>
  <c r="AB23" i="6"/>
  <c r="AC22" i="6"/>
  <c r="AB21" i="6"/>
  <c r="AC16" i="6"/>
  <c r="AF13" i="6"/>
  <c r="AF9" i="6"/>
  <c r="AF7" i="6"/>
  <c r="AF5" i="6"/>
  <c r="AF31" i="9"/>
  <c r="AF29" i="9"/>
  <c r="AF27" i="9"/>
  <c r="AF25" i="9"/>
  <c r="AF23" i="9"/>
  <c r="D19" i="6"/>
  <c r="AC19" i="6"/>
  <c r="D17" i="6"/>
  <c r="AD17" i="6" s="1"/>
  <c r="AC17" i="6"/>
  <c r="D14" i="6"/>
  <c r="AD14" i="6" s="1"/>
  <c r="AC14" i="6"/>
  <c r="D12" i="6"/>
  <c r="AD12" i="6" s="1"/>
  <c r="AC12" i="6"/>
  <c r="D10" i="6"/>
  <c r="AD10" i="6" s="1"/>
  <c r="AC10" i="6"/>
  <c r="D8" i="6"/>
  <c r="AD8" i="6" s="1"/>
  <c r="AC8" i="6"/>
  <c r="D6" i="6"/>
  <c r="AC6" i="6"/>
  <c r="Z6" i="7"/>
  <c r="Y35" i="7"/>
  <c r="M6" i="7"/>
  <c r="L35" i="7"/>
  <c r="Q5" i="7"/>
  <c r="Q35" i="7" s="1"/>
  <c r="F8" i="15" s="1"/>
  <c r="P35" i="7"/>
  <c r="D5" i="7"/>
  <c r="C35" i="7"/>
  <c r="D34" i="8"/>
  <c r="AD34" i="8" s="1"/>
  <c r="AC34" i="8"/>
  <c r="D32" i="8"/>
  <c r="AD32" i="8" s="1"/>
  <c r="AC32" i="8"/>
  <c r="D30" i="8"/>
  <c r="AD30" i="8" s="1"/>
  <c r="AC30" i="8"/>
  <c r="D28" i="8"/>
  <c r="AD28" i="8" s="1"/>
  <c r="AC28" i="8"/>
  <c r="D26" i="8"/>
  <c r="AD26" i="8" s="1"/>
  <c r="AC26" i="8"/>
  <c r="D24" i="8"/>
  <c r="AD24" i="8" s="1"/>
  <c r="AC24" i="8"/>
  <c r="D22" i="8"/>
  <c r="AD22" i="8" s="1"/>
  <c r="AC22" i="8"/>
  <c r="D20" i="8"/>
  <c r="AD20" i="8" s="1"/>
  <c r="AC20" i="8"/>
  <c r="D18" i="8"/>
  <c r="AD18" i="8" s="1"/>
  <c r="AC18" i="8"/>
  <c r="D16" i="8"/>
  <c r="AD16" i="8" s="1"/>
  <c r="AC16" i="8"/>
  <c r="D14" i="8"/>
  <c r="AD14" i="8" s="1"/>
  <c r="AC14" i="8"/>
  <c r="D12" i="8"/>
  <c r="AD12" i="8" s="1"/>
  <c r="AC12" i="8"/>
  <c r="D10" i="8"/>
  <c r="AD10" i="8" s="1"/>
  <c r="AC10" i="8"/>
  <c r="D8" i="8"/>
  <c r="AD8" i="8" s="1"/>
  <c r="AC8" i="8"/>
  <c r="D6" i="8"/>
  <c r="AD6" i="8" s="1"/>
  <c r="AC6" i="8"/>
  <c r="W5" i="8"/>
  <c r="V36" i="8"/>
  <c r="W36" i="8" s="1"/>
  <c r="H9" i="15" s="1"/>
  <c r="J5" i="8"/>
  <c r="I36" i="8"/>
  <c r="J36" i="8" s="1"/>
  <c r="D9" i="15" s="1"/>
  <c r="D34" i="9"/>
  <c r="AD34" i="9" s="1"/>
  <c r="AC34" i="9"/>
  <c r="D32" i="9"/>
  <c r="AD32" i="9" s="1"/>
  <c r="D30" i="9"/>
  <c r="AD30" i="9" s="1"/>
  <c r="AC30" i="9"/>
  <c r="D28" i="9"/>
  <c r="AD28" i="9" s="1"/>
  <c r="AC28" i="9"/>
  <c r="D26" i="9"/>
  <c r="AD26" i="9" s="1"/>
  <c r="AC26" i="9"/>
  <c r="D24" i="9"/>
  <c r="AD24" i="9" s="1"/>
  <c r="AC24" i="9"/>
  <c r="D22" i="9"/>
  <c r="AD22" i="9" s="1"/>
  <c r="AC22" i="9"/>
  <c r="D20" i="9"/>
  <c r="AD20" i="9" s="1"/>
  <c r="AC20" i="9"/>
  <c r="L35" i="9"/>
  <c r="M35" i="9" s="1"/>
  <c r="E10" i="15" s="1"/>
  <c r="M19" i="9"/>
  <c r="Q35" i="9"/>
  <c r="F10" i="15" s="1"/>
  <c r="Q18" i="9"/>
  <c r="AF18" i="9" s="1"/>
  <c r="D18" i="9"/>
  <c r="AC18" i="9"/>
  <c r="Y35" i="9"/>
  <c r="Z35" i="9" s="1"/>
  <c r="I10" i="15" s="1"/>
  <c r="Z17" i="9"/>
  <c r="AF17" i="9" s="1"/>
  <c r="AD15" i="6"/>
  <c r="AD7" i="6"/>
  <c r="AD5" i="6"/>
  <c r="AD33" i="9"/>
  <c r="AD27" i="9"/>
  <c r="AD25" i="9"/>
  <c r="AD23" i="9"/>
  <c r="AD21" i="9"/>
  <c r="AD19" i="9"/>
  <c r="D16" i="9"/>
  <c r="AD16" i="9" s="1"/>
  <c r="AC16" i="9"/>
  <c r="D14" i="9"/>
  <c r="AD14" i="9" s="1"/>
  <c r="AC14" i="9"/>
  <c r="D12" i="9"/>
  <c r="AD12" i="9" s="1"/>
  <c r="AC12" i="9"/>
  <c r="D10" i="9"/>
  <c r="AD10" i="9" s="1"/>
  <c r="AC10" i="9"/>
  <c r="D8" i="9"/>
  <c r="AD8" i="9" s="1"/>
  <c r="AC8" i="9"/>
  <c r="D6" i="9"/>
  <c r="AD6" i="9" s="1"/>
  <c r="AC6" i="9"/>
  <c r="D34" i="10"/>
  <c r="AH34" i="10" s="1"/>
  <c r="AG34" i="10"/>
  <c r="D32" i="10"/>
  <c r="AH32" i="10" s="1"/>
  <c r="AG32" i="10"/>
  <c r="D29" i="10"/>
  <c r="AH29" i="10" s="1"/>
  <c r="AG29" i="10"/>
  <c r="D27" i="10"/>
  <c r="AG27" i="10"/>
  <c r="D25" i="10"/>
  <c r="AH25" i="10" s="1"/>
  <c r="AG25" i="10"/>
  <c r="D23" i="10"/>
  <c r="AH23" i="10" s="1"/>
  <c r="AG23" i="10"/>
  <c r="D21" i="10"/>
  <c r="AH21" i="10" s="1"/>
  <c r="AG21" i="10"/>
  <c r="D19" i="10"/>
  <c r="AH19" i="10" s="1"/>
  <c r="AG19" i="10"/>
  <c r="D17" i="10"/>
  <c r="AG17" i="10"/>
  <c r="D15" i="10"/>
  <c r="AH15" i="10" s="1"/>
  <c r="AG15" i="10"/>
  <c r="D13" i="10"/>
  <c r="AH13" i="10" s="1"/>
  <c r="AG13" i="10"/>
  <c r="D11" i="10"/>
  <c r="AG11" i="10"/>
  <c r="D9" i="10"/>
  <c r="AH9" i="10" s="1"/>
  <c r="AG9" i="10"/>
  <c r="Q7" i="10"/>
  <c r="P36" i="10"/>
  <c r="Q36" i="10" s="1"/>
  <c r="F11" i="15" s="1"/>
  <c r="D7" i="10"/>
  <c r="AG7" i="10"/>
  <c r="Z6" i="10"/>
  <c r="Y36" i="10"/>
  <c r="Z36" i="10" s="1"/>
  <c r="I11" i="15" s="1"/>
  <c r="M6" i="10"/>
  <c r="L36" i="10"/>
  <c r="M36" i="10" s="1"/>
  <c r="E11" i="15" s="1"/>
  <c r="AF16" i="9"/>
  <c r="AF14" i="9"/>
  <c r="AF12" i="9"/>
  <c r="AF10" i="9"/>
  <c r="AF8" i="9"/>
  <c r="AF6" i="9"/>
  <c r="AJ34" i="10"/>
  <c r="AJ32" i="10"/>
  <c r="AJ30" i="10"/>
  <c r="AH28" i="10"/>
  <c r="AH26" i="10"/>
  <c r="AJ23" i="10"/>
  <c r="AH22" i="10"/>
  <c r="AJ21" i="10"/>
  <c r="AH20" i="10"/>
  <c r="AH18" i="10"/>
  <c r="AH16" i="10"/>
  <c r="AJ15" i="10"/>
  <c r="AH14" i="10"/>
  <c r="AH10" i="10"/>
  <c r="AH8" i="10"/>
  <c r="AH6" i="10"/>
  <c r="C15" i="9"/>
  <c r="AB15" i="9"/>
  <c r="C13" i="9"/>
  <c r="AB13" i="9"/>
  <c r="C11" i="9"/>
  <c r="AB11" i="9"/>
  <c r="C9" i="9"/>
  <c r="AB9" i="9"/>
  <c r="C7" i="9"/>
  <c r="AB7" i="9"/>
  <c r="C5" i="9"/>
  <c r="AB5" i="9"/>
  <c r="C35" i="10"/>
  <c r="AF35" i="10"/>
  <c r="C33" i="10"/>
  <c r="AF33" i="10"/>
  <c r="C31" i="10"/>
  <c r="AF31" i="10"/>
  <c r="W7" i="10"/>
  <c r="V36" i="10"/>
  <c r="W36" i="10" s="1"/>
  <c r="H11" i="15" s="1"/>
  <c r="J7" i="10"/>
  <c r="I36" i="10"/>
  <c r="J36" i="10" s="1"/>
  <c r="D11" i="15" s="1"/>
  <c r="T6" i="10"/>
  <c r="S36" i="10"/>
  <c r="T36" i="10" s="1"/>
  <c r="G11" i="15" s="1"/>
  <c r="G6" i="10"/>
  <c r="F36" i="10"/>
  <c r="G36" i="10" s="1"/>
  <c r="C11" i="15" s="1"/>
  <c r="AD5" i="10"/>
  <c r="AC36" i="10"/>
  <c r="AD36" i="10" s="1"/>
  <c r="AB16" i="6"/>
  <c r="AC15" i="6"/>
  <c r="AB14" i="6"/>
  <c r="AC13" i="6"/>
  <c r="AB12" i="6"/>
  <c r="AC11" i="6"/>
  <c r="AB10" i="6"/>
  <c r="AC9" i="6"/>
  <c r="AB8" i="6"/>
  <c r="AC7" i="6"/>
  <c r="AB6" i="6"/>
  <c r="AC5" i="6"/>
  <c r="AB35" i="8"/>
  <c r="AB34" i="8"/>
  <c r="AB33" i="8"/>
  <c r="AB32" i="8"/>
  <c r="AB31" i="8"/>
  <c r="AB30" i="8"/>
  <c r="AB29" i="8"/>
  <c r="AB28" i="8"/>
  <c r="AB27" i="8"/>
  <c r="AB26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AB34" i="9"/>
  <c r="AC33" i="9"/>
  <c r="AB32" i="9"/>
  <c r="AC31" i="9"/>
  <c r="AB30" i="9"/>
  <c r="AC29" i="9"/>
  <c r="AB28" i="9"/>
  <c r="AC27" i="9"/>
  <c r="AB26" i="9"/>
  <c r="AC25" i="9"/>
  <c r="AB24" i="9"/>
  <c r="AC23" i="9"/>
  <c r="AB22" i="9"/>
  <c r="AC21" i="9"/>
  <c r="AB20" i="9"/>
  <c r="AC19" i="9"/>
  <c r="AB18" i="9"/>
  <c r="AJ26" i="10"/>
  <c r="AJ24" i="10"/>
  <c r="AD8" i="11"/>
  <c r="AC8" i="11"/>
  <c r="AD6" i="11"/>
  <c r="AC6" i="11"/>
  <c r="V35" i="12"/>
  <c r="W35" i="12" s="1"/>
  <c r="H13" i="15" s="1"/>
  <c r="I35" i="12"/>
  <c r="J35" i="12" s="1"/>
  <c r="D13" i="15" s="1"/>
  <c r="S35" i="12"/>
  <c r="T35" i="12" s="1"/>
  <c r="G13" i="15" s="1"/>
  <c r="AG30" i="10"/>
  <c r="AF29" i="10"/>
  <c r="AG28" i="10"/>
  <c r="AF27" i="10"/>
  <c r="AG26" i="10"/>
  <c r="AF25" i="10"/>
  <c r="AG24" i="10"/>
  <c r="AF23" i="10"/>
  <c r="AG22" i="10"/>
  <c r="AF21" i="10"/>
  <c r="AG20" i="10"/>
  <c r="AF19" i="10"/>
  <c r="AG18" i="10"/>
  <c r="AF17" i="10"/>
  <c r="AG16" i="10"/>
  <c r="AF15" i="10"/>
  <c r="AG14" i="10"/>
  <c r="AF13" i="10"/>
  <c r="AG12" i="10"/>
  <c r="AF11" i="10"/>
  <c r="AG10" i="10"/>
  <c r="AF9" i="10"/>
  <c r="AG8" i="10"/>
  <c r="AF7" i="10"/>
  <c r="AG6" i="10"/>
  <c r="V36" i="11"/>
  <c r="W36" i="11" s="1"/>
  <c r="H12" i="15" s="1"/>
  <c r="P36" i="11"/>
  <c r="Q36" i="11" s="1"/>
  <c r="F12" i="15" s="1"/>
  <c r="AF33" i="11"/>
  <c r="AF31" i="11"/>
  <c r="AF29" i="11"/>
  <c r="AF25" i="11"/>
  <c r="AF23" i="11"/>
  <c r="AF21" i="11"/>
  <c r="AF19" i="11"/>
  <c r="AF17" i="11"/>
  <c r="AF15" i="11"/>
  <c r="AF13" i="11"/>
  <c r="AF11" i="11"/>
  <c r="AF9" i="11"/>
  <c r="AF8" i="11"/>
  <c r="AF7" i="11"/>
  <c r="AF5" i="11"/>
  <c r="AF34" i="12"/>
  <c r="AF32" i="12"/>
  <c r="AD28" i="12"/>
  <c r="AF24" i="12"/>
  <c r="AD34" i="11"/>
  <c r="AC34" i="11"/>
  <c r="AD32" i="11"/>
  <c r="AC32" i="11"/>
  <c r="AD30" i="11"/>
  <c r="AC30" i="11"/>
  <c r="AD28" i="11"/>
  <c r="AC28" i="11"/>
  <c r="AD26" i="11"/>
  <c r="AC26" i="11"/>
  <c r="AD24" i="11"/>
  <c r="AC24" i="11"/>
  <c r="AD22" i="11"/>
  <c r="AC22" i="11"/>
  <c r="AD20" i="11"/>
  <c r="AC20" i="11"/>
  <c r="AD18" i="11"/>
  <c r="AC18" i="11"/>
  <c r="AD16" i="11"/>
  <c r="AC16" i="11"/>
  <c r="AD14" i="11"/>
  <c r="AC14" i="11"/>
  <c r="AD12" i="11"/>
  <c r="AC12" i="11"/>
  <c r="AD10" i="11"/>
  <c r="AC10" i="11"/>
  <c r="AD33" i="12"/>
  <c r="AC33" i="12"/>
  <c r="AD31" i="12"/>
  <c r="AC31" i="12"/>
  <c r="AD29" i="12"/>
  <c r="AC29" i="12"/>
  <c r="AD27" i="12"/>
  <c r="AC27" i="12"/>
  <c r="G35" i="12"/>
  <c r="C13" i="15" s="1"/>
  <c r="F35" i="12"/>
  <c r="AD25" i="12"/>
  <c r="AC25" i="12"/>
  <c r="L35" i="12"/>
  <c r="M35" i="12" s="1"/>
  <c r="E13" i="15" s="1"/>
  <c r="AD24" i="12"/>
  <c r="AC24" i="12"/>
  <c r="AD23" i="12"/>
  <c r="AC23" i="12"/>
  <c r="AF22" i="12"/>
  <c r="P35" i="12"/>
  <c r="Q35" i="12" s="1"/>
  <c r="F13" i="15" s="1"/>
  <c r="AC22" i="12"/>
  <c r="C35" i="12"/>
  <c r="Z21" i="12"/>
  <c r="Y35" i="12"/>
  <c r="Z35" i="12" s="1"/>
  <c r="I13" i="15" s="1"/>
  <c r="AF35" i="11"/>
  <c r="AD33" i="11"/>
  <c r="AD31" i="11"/>
  <c r="AD29" i="11"/>
  <c r="AD27" i="11"/>
  <c r="AD25" i="11"/>
  <c r="AD23" i="11"/>
  <c r="AD21" i="11"/>
  <c r="AD19" i="11"/>
  <c r="AD17" i="11"/>
  <c r="AD15" i="11"/>
  <c r="AD13" i="11"/>
  <c r="AD11" i="11"/>
  <c r="AD9" i="11"/>
  <c r="AD7" i="11"/>
  <c r="AD34" i="12"/>
  <c r="AD32" i="12"/>
  <c r="AD20" i="12"/>
  <c r="AC20" i="12"/>
  <c r="AD18" i="12"/>
  <c r="AC18" i="12"/>
  <c r="AD16" i="12"/>
  <c r="AC16" i="12"/>
  <c r="AD14" i="12"/>
  <c r="AC14" i="12"/>
  <c r="AD12" i="12"/>
  <c r="AC12" i="12"/>
  <c r="AD10" i="12"/>
  <c r="AC10" i="12"/>
  <c r="AD8" i="12"/>
  <c r="AC8" i="12"/>
  <c r="AC6" i="12"/>
  <c r="D34" i="5"/>
  <c r="AD34" i="5" s="1"/>
  <c r="AC34" i="5"/>
  <c r="D32" i="5"/>
  <c r="AD32" i="5" s="1"/>
  <c r="AC32" i="5"/>
  <c r="T31" i="5"/>
  <c r="AF31" i="5" s="1"/>
  <c r="S36" i="5"/>
  <c r="G31" i="5"/>
  <c r="G36" i="5" s="1"/>
  <c r="C14" i="15" s="1"/>
  <c r="F36" i="5"/>
  <c r="Q30" i="5"/>
  <c r="Q36" i="5" s="1"/>
  <c r="F14" i="15" s="1"/>
  <c r="P36" i="5"/>
  <c r="D30" i="5"/>
  <c r="AC30" i="5"/>
  <c r="C36" i="5"/>
  <c r="Z29" i="5"/>
  <c r="Y36" i="5"/>
  <c r="AF20" i="12"/>
  <c r="AF19" i="12"/>
  <c r="AF18" i="12"/>
  <c r="AF17" i="12"/>
  <c r="AF16" i="12"/>
  <c r="AF15" i="12"/>
  <c r="AF14" i="12"/>
  <c r="AF13" i="12"/>
  <c r="AF12" i="12"/>
  <c r="AF11" i="12"/>
  <c r="AF10" i="12"/>
  <c r="AF9" i="12"/>
  <c r="AF8" i="12"/>
  <c r="AF7" i="12"/>
  <c r="AF6" i="12"/>
  <c r="AF5" i="12"/>
  <c r="AF35" i="5"/>
  <c r="AF34" i="5"/>
  <c r="AF33" i="5"/>
  <c r="AF32" i="5"/>
  <c r="M31" i="5"/>
  <c r="M36" i="5" s="1"/>
  <c r="E14" i="15" s="1"/>
  <c r="L36" i="5"/>
  <c r="W30" i="5"/>
  <c r="W36" i="5" s="1"/>
  <c r="H14" i="15" s="1"/>
  <c r="V36" i="5"/>
  <c r="J30" i="5"/>
  <c r="J36" i="5" s="1"/>
  <c r="D14" i="15" s="1"/>
  <c r="I36" i="5"/>
  <c r="AC35" i="11"/>
  <c r="AB34" i="11"/>
  <c r="AC33" i="11"/>
  <c r="AB32" i="11"/>
  <c r="AC31" i="11"/>
  <c r="AB30" i="11"/>
  <c r="AC29" i="11"/>
  <c r="AB28" i="11"/>
  <c r="AC27" i="11"/>
  <c r="AB26" i="11"/>
  <c r="AC25" i="11"/>
  <c r="AB24" i="11"/>
  <c r="AC23" i="11"/>
  <c r="AB22" i="11"/>
  <c r="AC21" i="11"/>
  <c r="AB20" i="11"/>
  <c r="AC19" i="11"/>
  <c r="AB18" i="11"/>
  <c r="AC17" i="11"/>
  <c r="AB16" i="11"/>
  <c r="AC15" i="11"/>
  <c r="AB14" i="11"/>
  <c r="AC13" i="11"/>
  <c r="AB12" i="11"/>
  <c r="AC11" i="11"/>
  <c r="AB10" i="11"/>
  <c r="AC9" i="11"/>
  <c r="AC34" i="12"/>
  <c r="AB33" i="12"/>
  <c r="AC32" i="12"/>
  <c r="AB31" i="12"/>
  <c r="AD19" i="12"/>
  <c r="AD15" i="12"/>
  <c r="AD11" i="12"/>
  <c r="AD7" i="12"/>
  <c r="AD35" i="5"/>
  <c r="AD33" i="5"/>
  <c r="AD31" i="5"/>
  <c r="D27" i="5"/>
  <c r="AD27" i="5" s="1"/>
  <c r="AC27" i="5"/>
  <c r="D25" i="5"/>
  <c r="AD25" i="5" s="1"/>
  <c r="AC25" i="5"/>
  <c r="D23" i="5"/>
  <c r="AD23" i="5" s="1"/>
  <c r="AC23" i="5"/>
  <c r="D21" i="5"/>
  <c r="AD21" i="5" s="1"/>
  <c r="AC21" i="5"/>
  <c r="D19" i="5"/>
  <c r="AD19" i="5" s="1"/>
  <c r="AC19" i="5"/>
  <c r="D5" i="5"/>
  <c r="AC5" i="5"/>
  <c r="AF27" i="5"/>
  <c r="AD26" i="5"/>
  <c r="AF25" i="5"/>
  <c r="AD24" i="5"/>
  <c r="AF23" i="5"/>
  <c r="AD22" i="5"/>
  <c r="AF21" i="5"/>
  <c r="AF20" i="5"/>
  <c r="AF19" i="5"/>
  <c r="AD18" i="5"/>
  <c r="AD16" i="5"/>
  <c r="AD14" i="5"/>
  <c r="AD12" i="5"/>
  <c r="AD10" i="5"/>
  <c r="AD8" i="5"/>
  <c r="AD6" i="5"/>
  <c r="AF5" i="5"/>
  <c r="D17" i="5"/>
  <c r="AD17" i="5" s="1"/>
  <c r="AC17" i="5"/>
  <c r="D15" i="5"/>
  <c r="AD15" i="5" s="1"/>
  <c r="AC15" i="5"/>
  <c r="D13" i="5"/>
  <c r="AD13" i="5" s="1"/>
  <c r="AC13" i="5"/>
  <c r="D11" i="5"/>
  <c r="AD11" i="5" s="1"/>
  <c r="AC11" i="5"/>
  <c r="D9" i="5"/>
  <c r="AD9" i="5" s="1"/>
  <c r="AC9" i="5"/>
  <c r="D7" i="5"/>
  <c r="AD7" i="5" s="1"/>
  <c r="AC7" i="5"/>
  <c r="AF28" i="5"/>
  <c r="AD20" i="5"/>
  <c r="AF6" i="5"/>
  <c r="AC28" i="5"/>
  <c r="AB27" i="5"/>
  <c r="AC26" i="5"/>
  <c r="AB25" i="5"/>
  <c r="AC24" i="5"/>
  <c r="AB23" i="5"/>
  <c r="AC22" i="5"/>
  <c r="AB21" i="5"/>
  <c r="AC18" i="5"/>
  <c r="AB5" i="5"/>
  <c r="AJ7" i="10" l="1"/>
  <c r="AH11" i="10"/>
  <c r="AH27" i="10"/>
  <c r="AD21" i="6"/>
  <c r="M36" i="6"/>
  <c r="E7" i="15" s="1"/>
  <c r="AD27" i="6"/>
  <c r="AD7" i="7"/>
  <c r="AD15" i="7"/>
  <c r="AD17" i="7"/>
  <c r="AD21" i="7"/>
  <c r="AD25" i="7"/>
  <c r="AD29" i="7"/>
  <c r="AD33" i="7"/>
  <c r="AH30" i="10"/>
  <c r="AD19" i="6"/>
  <c r="AH17" i="10"/>
  <c r="Q36" i="6"/>
  <c r="F7" i="15" s="1"/>
  <c r="Z36" i="6"/>
  <c r="I7" i="15" s="1"/>
  <c r="AD29" i="6"/>
  <c r="AD18" i="7"/>
  <c r="AD22" i="7"/>
  <c r="AD26" i="7"/>
  <c r="AD30" i="7"/>
  <c r="AD34" i="7"/>
  <c r="F17" i="15"/>
  <c r="AF19" i="9"/>
  <c r="J35" i="7"/>
  <c r="D8" i="15" s="1"/>
  <c r="W35" i="7"/>
  <c r="H8" i="15" s="1"/>
  <c r="G35" i="7"/>
  <c r="C8" i="15" s="1"/>
  <c r="T35" i="7"/>
  <c r="G8" i="15" s="1"/>
  <c r="J36" i="6"/>
  <c r="D7" i="15" s="1"/>
  <c r="D17" i="15" s="1"/>
  <c r="W36" i="6"/>
  <c r="H7" i="15" s="1"/>
  <c r="H17" i="15" s="1"/>
  <c r="G36" i="6"/>
  <c r="C7" i="15" s="1"/>
  <c r="C17" i="15" s="1"/>
  <c r="J35" i="14"/>
  <c r="D3" i="15" s="1"/>
  <c r="G35" i="14"/>
  <c r="C3" i="15" s="1"/>
  <c r="M35" i="7"/>
  <c r="E8" i="15" s="1"/>
  <c r="Z35" i="7"/>
  <c r="I8" i="15" s="1"/>
  <c r="I17" i="15" s="1"/>
  <c r="AH7" i="10"/>
  <c r="AD5" i="8"/>
  <c r="C36" i="10"/>
  <c r="D36" i="10" s="1"/>
  <c r="B11" i="15" s="1"/>
  <c r="AD30" i="5"/>
  <c r="AD22" i="12"/>
  <c r="AC35" i="7"/>
  <c r="AF22" i="6"/>
  <c r="D8" i="13"/>
  <c r="AD8" i="13" s="1"/>
  <c r="D35" i="14"/>
  <c r="AD5" i="14"/>
  <c r="D5" i="13"/>
  <c r="AC5" i="13"/>
  <c r="D6" i="13"/>
  <c r="AD6" i="13" s="1"/>
  <c r="AC6" i="13"/>
  <c r="D7" i="13"/>
  <c r="AD7" i="13" s="1"/>
  <c r="AC7" i="13"/>
  <c r="D9" i="13"/>
  <c r="AD9" i="13" s="1"/>
  <c r="AC9" i="13"/>
  <c r="D10" i="13"/>
  <c r="AD10" i="13" s="1"/>
  <c r="AC10" i="13"/>
  <c r="D11" i="13"/>
  <c r="AD11" i="13" s="1"/>
  <c r="AC11" i="13"/>
  <c r="D12" i="13"/>
  <c r="AD12" i="13" s="1"/>
  <c r="AC12" i="13"/>
  <c r="D13" i="13"/>
  <c r="AD13" i="13" s="1"/>
  <c r="AC13" i="13"/>
  <c r="D14" i="13"/>
  <c r="AD14" i="13" s="1"/>
  <c r="AC14" i="13"/>
  <c r="D15" i="13"/>
  <c r="AD15" i="13" s="1"/>
  <c r="AC15" i="13"/>
  <c r="D16" i="13"/>
  <c r="AD16" i="13" s="1"/>
  <c r="AC16" i="13"/>
  <c r="D17" i="13"/>
  <c r="AD17" i="13" s="1"/>
  <c r="AC17" i="13"/>
  <c r="D18" i="13"/>
  <c r="AD18" i="13" s="1"/>
  <c r="AC18" i="13"/>
  <c r="D19" i="13"/>
  <c r="AD19" i="13" s="1"/>
  <c r="AC19" i="13"/>
  <c r="D20" i="13"/>
  <c r="AD20" i="13" s="1"/>
  <c r="AC20" i="13"/>
  <c r="D21" i="13"/>
  <c r="AD21" i="13" s="1"/>
  <c r="AC21" i="13"/>
  <c r="D22" i="13"/>
  <c r="AD22" i="13" s="1"/>
  <c r="AC22" i="13"/>
  <c r="D23" i="13"/>
  <c r="AD23" i="13" s="1"/>
  <c r="AC23" i="13"/>
  <c r="D24" i="13"/>
  <c r="AD24" i="13" s="1"/>
  <c r="AC24" i="13"/>
  <c r="D25" i="13"/>
  <c r="AD25" i="13" s="1"/>
  <c r="AC25" i="13"/>
  <c r="D26" i="13"/>
  <c r="AD26" i="13" s="1"/>
  <c r="AC26" i="13"/>
  <c r="D27" i="13"/>
  <c r="AD27" i="13" s="1"/>
  <c r="AC27" i="13"/>
  <c r="D28" i="13"/>
  <c r="AD28" i="13" s="1"/>
  <c r="AC28" i="13"/>
  <c r="D29" i="13"/>
  <c r="AD29" i="13" s="1"/>
  <c r="AC29" i="13"/>
  <c r="D30" i="13"/>
  <c r="AD30" i="13" s="1"/>
  <c r="AC30" i="13"/>
  <c r="D31" i="13"/>
  <c r="AD31" i="13" s="1"/>
  <c r="AC31" i="13"/>
  <c r="D32" i="13"/>
  <c r="AD32" i="13" s="1"/>
  <c r="AC32" i="13"/>
  <c r="D33" i="13"/>
  <c r="AD33" i="13" s="1"/>
  <c r="AC33" i="13"/>
  <c r="D34" i="13"/>
  <c r="AD34" i="13" s="1"/>
  <c r="AC34" i="13"/>
  <c r="D35" i="13"/>
  <c r="AD35" i="13" s="1"/>
  <c r="AC35" i="13"/>
  <c r="J36" i="13"/>
  <c r="D4" i="15" s="1"/>
  <c r="Q36" i="13"/>
  <c r="F4" i="15" s="1"/>
  <c r="F18" i="15" s="1"/>
  <c r="W36" i="13"/>
  <c r="H4" i="15" s="1"/>
  <c r="H18" i="15" s="1"/>
  <c r="AD17" i="14"/>
  <c r="G36" i="13"/>
  <c r="C4" i="15" s="1"/>
  <c r="T36" i="13"/>
  <c r="G4" i="15" s="1"/>
  <c r="AC36" i="1"/>
  <c r="AD36" i="1" s="1"/>
  <c r="D35" i="7"/>
  <c r="AD5" i="7"/>
  <c r="D34" i="4"/>
  <c r="AD6" i="4"/>
  <c r="D36" i="1"/>
  <c r="B5" i="15" s="1"/>
  <c r="AD6" i="1"/>
  <c r="AJ6" i="10"/>
  <c r="AJ36" i="10" s="1"/>
  <c r="AC36" i="5"/>
  <c r="AD36" i="5" s="1"/>
  <c r="AD18" i="9"/>
  <c r="AD5" i="5"/>
  <c r="D36" i="5"/>
  <c r="B14" i="15" s="1"/>
  <c r="AF29" i="5"/>
  <c r="Z36" i="5"/>
  <c r="I14" i="15" s="1"/>
  <c r="AG31" i="10"/>
  <c r="D31" i="10"/>
  <c r="AH31" i="10" s="1"/>
  <c r="AG33" i="10"/>
  <c r="D33" i="10"/>
  <c r="AH33" i="10" s="1"/>
  <c r="AG35" i="10"/>
  <c r="D35" i="10"/>
  <c r="AH35" i="10" s="1"/>
  <c r="AC5" i="9"/>
  <c r="C35" i="9"/>
  <c r="D35" i="9" s="1"/>
  <c r="B10" i="15" s="1"/>
  <c r="D5" i="9"/>
  <c r="AD5" i="9" s="1"/>
  <c r="AC7" i="9"/>
  <c r="D7" i="9"/>
  <c r="AD7" i="9" s="1"/>
  <c r="AC9" i="9"/>
  <c r="D9" i="9"/>
  <c r="AD9" i="9" s="1"/>
  <c r="AC11" i="9"/>
  <c r="D11" i="9"/>
  <c r="AD11" i="9" s="1"/>
  <c r="AC13" i="9"/>
  <c r="D13" i="9"/>
  <c r="AD13" i="9" s="1"/>
  <c r="AC15" i="9"/>
  <c r="D15" i="9"/>
  <c r="AD15" i="9" s="1"/>
  <c r="D18" i="6"/>
  <c r="AD18" i="6" s="1"/>
  <c r="AC18" i="6"/>
  <c r="AC36" i="6" s="1"/>
  <c r="AD36" i="6" s="1"/>
  <c r="C36" i="6"/>
  <c r="T36" i="5"/>
  <c r="G14" i="15" s="1"/>
  <c r="AC35" i="12"/>
  <c r="AF35" i="12"/>
  <c r="AC36" i="11"/>
  <c r="AD36" i="11" s="1"/>
  <c r="T36" i="6"/>
  <c r="G7" i="15" s="1"/>
  <c r="G17" i="15" s="1"/>
  <c r="AD6" i="12"/>
  <c r="D35" i="12"/>
  <c r="AD6" i="6"/>
  <c r="AF30" i="5"/>
  <c r="AF36" i="5" s="1"/>
  <c r="AF36" i="11"/>
  <c r="AF21" i="12"/>
  <c r="AF35" i="9"/>
  <c r="AC36" i="8"/>
  <c r="AD36" i="8" s="1"/>
  <c r="AF21" i="6"/>
  <c r="E18" i="15" l="1"/>
  <c r="G18" i="15"/>
  <c r="AD34" i="4"/>
  <c r="B6" i="15"/>
  <c r="C18" i="15"/>
  <c r="E17" i="15"/>
  <c r="AD35" i="14"/>
  <c r="B3" i="15"/>
  <c r="D18" i="15"/>
  <c r="I18" i="15"/>
  <c r="AD35" i="12"/>
  <c r="B13" i="15"/>
  <c r="AF36" i="6"/>
  <c r="AD35" i="7"/>
  <c r="B8" i="15"/>
  <c r="AG36" i="10"/>
  <c r="AH36" i="10" s="1"/>
  <c r="AD5" i="13"/>
  <c r="AD36" i="13" s="1"/>
  <c r="D36" i="13"/>
  <c r="B4" i="15" s="1"/>
  <c r="D36" i="6"/>
  <c r="B7" i="15" s="1"/>
  <c r="AC36" i="13"/>
  <c r="AC35" i="9"/>
  <c r="AD35" i="9" s="1"/>
  <c r="B17" i="15" l="1"/>
  <c r="C8" i="16" s="1"/>
  <c r="B18" i="15"/>
</calcChain>
</file>

<file path=xl/comments1.xml><?xml version="1.0" encoding="utf-8"?>
<comments xmlns="http://schemas.openxmlformats.org/spreadsheetml/2006/main">
  <authors>
    <author>Mary Hull</author>
  </authors>
  <commentList>
    <comment ref="H5" authorId="0">
      <text>
        <r>
          <rPr>
            <b/>
            <sz val="8"/>
            <color indexed="81"/>
            <rFont val="Tahoma"/>
            <family val="2"/>
          </rPr>
          <t>Mary Hull:</t>
        </r>
        <r>
          <rPr>
            <sz val="8"/>
            <color indexed="81"/>
            <rFont val="Tahoma"/>
            <family val="2"/>
          </rPr>
          <t xml:space="preserve">
Pumping from WGL to South Tani for riprap project</t>
        </r>
      </text>
    </comment>
  </commentList>
</comments>
</file>

<file path=xl/sharedStrings.xml><?xml version="1.0" encoding="utf-8"?>
<sst xmlns="http://schemas.openxmlformats.org/spreadsheetml/2006/main" count="478" uniqueCount="25">
  <si>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</si>
  <si>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</si>
  <si>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</si>
  <si>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</si>
  <si>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</si>
  <si>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</si>
  <si>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</si>
  <si>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</si>
  <si>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</si>
  <si>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</si>
  <si>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</si>
  <si>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</si>
  <si>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</si>
  <si>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</si>
  <si>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>TOTAL 2013</t>
  </si>
  <si>
    <t>TOTAL WY2013</t>
  </si>
  <si>
    <t>WBTP Backwash from Reuse</t>
  </si>
  <si>
    <t>TTP Backwash from Reuse</t>
  </si>
  <si>
    <t>To Westminster @ Western Hills</t>
  </si>
  <si>
    <t>To Westy @ Western Hills (AF)</t>
  </si>
  <si>
    <t>TOTAL Production (AF)</t>
  </si>
  <si>
    <t>TOTAL Backwash (AF)</t>
  </si>
  <si>
    <t>YEAR (Jan - Dec)</t>
  </si>
  <si>
    <t>=</t>
  </si>
  <si>
    <t>Did not reverify Westy data in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</si>
</sst>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;@"/>
  </numFmts>
  <fonts count="9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rgb="FFFF0000"/>
      <name val="Arial"/>
      <family val="2"/>
    </font>
    <font>
      <b/>
      <sz val="10"/>
      <color theme="8" tint="-0.249977111117893"/>
      <name val="Arial"/>
      <family val="2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DFD6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2" fillId="0" borderId="0" xfId="0" applyFon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3" fontId="0" fillId="0" borderId="7" xfId="0" applyNumberFormat="1" applyFill="1" applyBorder="1"/>
    <xf numFmtId="2" fontId="0" fillId="0" borderId="6" xfId="0" applyNumberFormat="1" applyFill="1" applyBorder="1"/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Border="1"/>
    <xf numFmtId="2" fontId="0" fillId="0" borderId="11" xfId="0" applyNumberFormat="1" applyBorder="1"/>
    <xf numFmtId="0" fontId="3" fillId="0" borderId="0" xfId="0" applyFont="1" applyFill="1" applyAlignment="1"/>
    <xf numFmtId="0" fontId="3" fillId="2" borderId="0" xfId="0" applyFont="1" applyFill="1" applyAlignment="1"/>
    <xf numFmtId="0" fontId="0" fillId="2" borderId="0" xfId="0" applyFill="1" applyAlignment="1"/>
    <xf numFmtId="3" fontId="0" fillId="3" borderId="1" xfId="0" applyNumberFormat="1" applyFill="1" applyBorder="1"/>
    <xf numFmtId="2" fontId="0" fillId="3" borderId="2" xfId="0" applyNumberFormat="1" applyFill="1" applyBorder="1"/>
    <xf numFmtId="2" fontId="0" fillId="3" borderId="3" xfId="0" applyNumberFormat="1" applyFill="1" applyBorder="1"/>
    <xf numFmtId="3" fontId="0" fillId="4" borderId="1" xfId="0" applyNumberFormat="1" applyFill="1" applyBorder="1"/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/>
    </xf>
    <xf numFmtId="17" fontId="0" fillId="0" borderId="0" xfId="0" applyNumberFormat="1"/>
    <xf numFmtId="0" fontId="3" fillId="0" borderId="0" xfId="0" applyFont="1" applyFill="1" applyBorder="1" applyAlignment="1">
      <alignment horizontal="center"/>
    </xf>
    <xf numFmtId="0" fontId="6" fillId="0" borderId="0" xfId="0" applyFont="1"/>
    <xf numFmtId="0" fontId="7" fillId="0" borderId="0" xfId="0" applyFont="1"/>
    <xf numFmtId="0" fontId="3" fillId="0" borderId="0" xfId="0" applyFont="1" applyFill="1" applyBorder="1" applyAlignment="1">
      <alignment horizontal="left" wrapText="1"/>
    </xf>
    <xf numFmtId="0" fontId="3" fillId="0" borderId="0" xfId="0" applyFont="1" applyAlignment="1">
      <alignment horizontal="center"/>
    </xf>
    <xf numFmtId="2" fontId="8" fillId="0" borderId="0" xfId="0" applyNumberFormat="1" applyFont="1"/>
    <xf numFmtId="0" fontId="0" fillId="0" borderId="0" xfId="0" applyAlignment="1">
      <alignment horizontal="center" wrapText="1"/>
    </xf>
    <xf numFmtId="0" fontId="0" fillId="0" borderId="2" xfId="0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3" fillId="7" borderId="0" xfId="0" quotePrefix="1" applyFont="1" applyFill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Border="1" applyAlignment="1">
      <alignment horizontal="center" vertical="center" wrapText="1"/>
    </xf>
    <xf numFmtId="4" fontId="0" fillId="0" borderId="2" xfId="0" applyNumberFormat="1" applyBorder="1" applyAlignment="1">
      <alignment horizontal="center" wrapText="1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3" fillId="7" borderId="0" xfId="0" applyFont="1" applyFill="1" applyAlignment="1">
      <alignment horizontal="left" wrapText="1"/>
    </xf>
    <xf numFmtId="0" fontId="0" fillId="7" borderId="0" xfId="0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DFD6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26" Type="http://schemas.openxmlformats.org/officeDocument/2006/relationships/externalLink" Target="externalLinks/externalLink1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5" Type="http://schemas.openxmlformats.org/officeDocument/2006/relationships/externalLink" Target="externalLinks/externalLink1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externalLink" Target="externalLinks/externalLink6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0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externalLink" Target="externalLinks/externalLink9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5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8.xml"/><Relationship Id="rId27" Type="http://schemas.openxmlformats.org/officeDocument/2006/relationships/theme" Target="theme/theme1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2/November%202012%20Shift%20Shee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2/December%202012%20Shift%20Shee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January%202013%20Shift%20Shee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February%202013%20Shift%20Sheet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March%202013%20Shift%20Sheet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April%202013%20Shift%20Sheet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May%202013%20Shift%20Sheet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June%202013%20Shift%20Sheet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July%202013%20Shift%20Sheet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August%202013%20Shift%20Sheet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September%202013%20Shift%20Sheet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ID/CWTP/Production%202013/October%202013%20Shift%20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Nov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10920000</v>
          </cell>
          <cell r="D4">
            <v>0</v>
          </cell>
          <cell r="E4">
            <v>0</v>
          </cell>
          <cell r="F4">
            <v>731000000</v>
          </cell>
          <cell r="H4">
            <v>10781000.000000004</v>
          </cell>
          <cell r="I4">
            <v>0</v>
          </cell>
        </row>
        <row r="5">
          <cell r="C5">
            <v>13348000</v>
          </cell>
          <cell r="D5">
            <v>0</v>
          </cell>
          <cell r="E5">
            <v>0</v>
          </cell>
          <cell r="F5">
            <v>1129000000</v>
          </cell>
          <cell r="H5">
            <v>13208000</v>
          </cell>
          <cell r="I5">
            <v>0</v>
          </cell>
        </row>
        <row r="6">
          <cell r="C6">
            <v>14261000</v>
          </cell>
          <cell r="D6">
            <v>0</v>
          </cell>
          <cell r="E6">
            <v>0</v>
          </cell>
          <cell r="F6">
            <v>1177000000</v>
          </cell>
          <cell r="H6">
            <v>14087999.999999998</v>
          </cell>
          <cell r="I6">
            <v>0</v>
          </cell>
        </row>
        <row r="7">
          <cell r="C7">
            <v>13736000</v>
          </cell>
          <cell r="D7">
            <v>0</v>
          </cell>
          <cell r="E7">
            <v>0</v>
          </cell>
          <cell r="F7">
            <v>1105000000</v>
          </cell>
          <cell r="H7">
            <v>13592000.000000009</v>
          </cell>
          <cell r="I7">
            <v>0</v>
          </cell>
        </row>
        <row r="8">
          <cell r="C8">
            <v>14154000</v>
          </cell>
          <cell r="D8">
            <v>0</v>
          </cell>
          <cell r="E8">
            <v>0</v>
          </cell>
          <cell r="F8">
            <v>1229000000</v>
          </cell>
          <cell r="H8">
            <v>13984169.999999998</v>
          </cell>
          <cell r="I8">
            <v>0</v>
          </cell>
        </row>
        <row r="9">
          <cell r="C9">
            <v>12085000</v>
          </cell>
          <cell r="D9">
            <v>0</v>
          </cell>
          <cell r="E9">
            <v>0</v>
          </cell>
          <cell r="F9">
            <v>1140000000</v>
          </cell>
          <cell r="H9">
            <v>11844999.999999991</v>
          </cell>
          <cell r="I9">
            <v>0</v>
          </cell>
        </row>
        <row r="10">
          <cell r="C10">
            <v>12277000</v>
          </cell>
          <cell r="D10">
            <v>0</v>
          </cell>
          <cell r="E10">
            <v>0</v>
          </cell>
          <cell r="F10">
            <v>1147000000</v>
          </cell>
          <cell r="H10">
            <v>12144000.000000004</v>
          </cell>
          <cell r="I10">
            <v>0</v>
          </cell>
        </row>
        <row r="11">
          <cell r="C11">
            <v>12935000</v>
          </cell>
          <cell r="D11">
            <v>0</v>
          </cell>
          <cell r="E11">
            <v>0</v>
          </cell>
          <cell r="F11">
            <v>636000000</v>
          </cell>
          <cell r="H11">
            <v>12895999.999999998</v>
          </cell>
          <cell r="I11">
            <v>0</v>
          </cell>
        </row>
        <row r="12">
          <cell r="C12">
            <v>12863000</v>
          </cell>
          <cell r="D12">
            <v>0</v>
          </cell>
          <cell r="E12">
            <v>0</v>
          </cell>
          <cell r="F12">
            <v>0</v>
          </cell>
          <cell r="H12">
            <v>12811000.000000007</v>
          </cell>
          <cell r="I12">
            <v>0</v>
          </cell>
        </row>
        <row r="13">
          <cell r="C13">
            <v>13218000</v>
          </cell>
          <cell r="D13">
            <v>0</v>
          </cell>
          <cell r="E13">
            <v>0</v>
          </cell>
          <cell r="F13">
            <v>0</v>
          </cell>
          <cell r="H13">
            <v>13169999.999999998</v>
          </cell>
          <cell r="I13">
            <v>0</v>
          </cell>
        </row>
        <row r="14">
          <cell r="C14">
            <v>12886000</v>
          </cell>
          <cell r="D14">
            <v>0</v>
          </cell>
          <cell r="E14">
            <v>0</v>
          </cell>
          <cell r="F14">
            <v>0</v>
          </cell>
          <cell r="H14">
            <v>12831999.999999998</v>
          </cell>
          <cell r="I14">
            <v>0</v>
          </cell>
        </row>
        <row r="15">
          <cell r="C15">
            <v>12972000</v>
          </cell>
          <cell r="D15">
            <v>0</v>
          </cell>
          <cell r="E15">
            <v>0</v>
          </cell>
          <cell r="F15">
            <v>0</v>
          </cell>
          <cell r="H15">
            <v>12916999.999999993</v>
          </cell>
          <cell r="I15">
            <v>0</v>
          </cell>
        </row>
        <row r="16">
          <cell r="C16">
            <v>12748000</v>
          </cell>
          <cell r="D16">
            <v>0</v>
          </cell>
          <cell r="E16">
            <v>0</v>
          </cell>
          <cell r="F16">
            <v>0</v>
          </cell>
          <cell r="H16">
            <v>12705000.000000007</v>
          </cell>
          <cell r="I16">
            <v>0</v>
          </cell>
        </row>
        <row r="17">
          <cell r="C17">
            <v>12903000</v>
          </cell>
          <cell r="D17">
            <v>0</v>
          </cell>
          <cell r="E17">
            <v>0</v>
          </cell>
          <cell r="F17">
            <v>0</v>
          </cell>
          <cell r="H17">
            <v>12844000.000000002</v>
          </cell>
          <cell r="I17">
            <v>0</v>
          </cell>
        </row>
        <row r="18">
          <cell r="C18">
            <v>12206000</v>
          </cell>
          <cell r="D18">
            <v>0</v>
          </cell>
          <cell r="E18">
            <v>0</v>
          </cell>
          <cell r="F18">
            <v>0</v>
          </cell>
          <cell r="H18">
            <v>12166999.999999998</v>
          </cell>
          <cell r="I18">
            <v>0</v>
          </cell>
        </row>
        <row r="19">
          <cell r="C19">
            <v>12463000</v>
          </cell>
          <cell r="D19">
            <v>0</v>
          </cell>
          <cell r="E19">
            <v>0</v>
          </cell>
          <cell r="F19">
            <v>0</v>
          </cell>
          <cell r="H19">
            <v>12419999.999999993</v>
          </cell>
          <cell r="I19">
            <v>0</v>
          </cell>
        </row>
        <row r="20">
          <cell r="C20">
            <v>12507000</v>
          </cell>
          <cell r="D20">
            <v>0</v>
          </cell>
          <cell r="E20">
            <v>0</v>
          </cell>
          <cell r="F20">
            <v>0</v>
          </cell>
          <cell r="H20">
            <v>12470000.000000007</v>
          </cell>
          <cell r="I20">
            <v>0</v>
          </cell>
        </row>
        <row r="21">
          <cell r="C21">
            <v>13045000</v>
          </cell>
          <cell r="D21">
            <v>0</v>
          </cell>
          <cell r="E21">
            <v>0</v>
          </cell>
          <cell r="F21">
            <v>0</v>
          </cell>
          <cell r="H21">
            <v>13021000</v>
          </cell>
          <cell r="I21">
            <v>0</v>
          </cell>
        </row>
        <row r="22">
          <cell r="C22">
            <v>13326000</v>
          </cell>
          <cell r="D22">
            <v>0</v>
          </cell>
          <cell r="E22">
            <v>0</v>
          </cell>
          <cell r="F22">
            <v>0</v>
          </cell>
          <cell r="H22">
            <v>13293999.999999989</v>
          </cell>
          <cell r="I22">
            <v>0</v>
          </cell>
        </row>
        <row r="23">
          <cell r="C23">
            <v>12966000</v>
          </cell>
          <cell r="D23">
            <v>0</v>
          </cell>
          <cell r="E23">
            <v>0</v>
          </cell>
          <cell r="F23">
            <v>0</v>
          </cell>
          <cell r="H23">
            <v>12912000.000000013</v>
          </cell>
          <cell r="I23">
            <v>0</v>
          </cell>
        </row>
        <row r="24">
          <cell r="C24">
            <v>12691000</v>
          </cell>
          <cell r="D24">
            <v>0</v>
          </cell>
          <cell r="E24">
            <v>0</v>
          </cell>
          <cell r="F24">
            <v>0</v>
          </cell>
          <cell r="H24">
            <v>12647999.999999993</v>
          </cell>
          <cell r="I24">
            <v>0</v>
          </cell>
        </row>
        <row r="25">
          <cell r="C25">
            <v>12849000</v>
          </cell>
          <cell r="D25">
            <v>0</v>
          </cell>
          <cell r="E25">
            <v>0</v>
          </cell>
          <cell r="F25">
            <v>0</v>
          </cell>
          <cell r="H25">
            <v>12796000.000000004</v>
          </cell>
          <cell r="I25">
            <v>0</v>
          </cell>
        </row>
        <row r="26">
          <cell r="C26">
            <v>12923000</v>
          </cell>
          <cell r="D26">
            <v>0</v>
          </cell>
          <cell r="E26">
            <v>0</v>
          </cell>
          <cell r="F26">
            <v>0</v>
          </cell>
          <cell r="H26">
            <v>12876000.000000004</v>
          </cell>
          <cell r="I26">
            <v>0</v>
          </cell>
        </row>
        <row r="27">
          <cell r="C27">
            <v>12977000</v>
          </cell>
          <cell r="D27">
            <v>0</v>
          </cell>
          <cell r="E27">
            <v>0</v>
          </cell>
          <cell r="F27">
            <v>0</v>
          </cell>
          <cell r="H27">
            <v>12932999.999999989</v>
          </cell>
          <cell r="I27">
            <v>0</v>
          </cell>
        </row>
        <row r="28">
          <cell r="C28">
            <v>12389000</v>
          </cell>
          <cell r="D28">
            <v>0</v>
          </cell>
          <cell r="E28">
            <v>0</v>
          </cell>
          <cell r="F28">
            <v>0</v>
          </cell>
          <cell r="H28">
            <v>12331000.000000007</v>
          </cell>
          <cell r="I28">
            <v>0</v>
          </cell>
        </row>
        <row r="29">
          <cell r="C29">
            <v>12006000</v>
          </cell>
          <cell r="D29">
            <v>0</v>
          </cell>
          <cell r="E29">
            <v>0</v>
          </cell>
          <cell r="F29">
            <v>0</v>
          </cell>
          <cell r="H29">
            <v>11950000.000000002</v>
          </cell>
          <cell r="I29">
            <v>0</v>
          </cell>
        </row>
        <row r="30">
          <cell r="C30">
            <v>12139000</v>
          </cell>
          <cell r="D30">
            <v>0</v>
          </cell>
          <cell r="E30">
            <v>0</v>
          </cell>
          <cell r="F30">
            <v>0</v>
          </cell>
          <cell r="H30">
            <v>12090999.999999998</v>
          </cell>
          <cell r="I30">
            <v>0</v>
          </cell>
        </row>
        <row r="31">
          <cell r="C31">
            <v>12229000</v>
          </cell>
          <cell r="D31">
            <v>0</v>
          </cell>
          <cell r="E31">
            <v>0</v>
          </cell>
          <cell r="F31">
            <v>0</v>
          </cell>
          <cell r="H31">
            <v>12158999.999999993</v>
          </cell>
          <cell r="I31">
            <v>0</v>
          </cell>
        </row>
        <row r="32">
          <cell r="C32">
            <v>12955000</v>
          </cell>
          <cell r="D32">
            <v>0</v>
          </cell>
          <cell r="E32">
            <v>0</v>
          </cell>
          <cell r="F32">
            <v>0</v>
          </cell>
          <cell r="H32">
            <v>12912999.999999998</v>
          </cell>
          <cell r="I32">
            <v>0</v>
          </cell>
        </row>
        <row r="33">
          <cell r="C33">
            <v>12550000</v>
          </cell>
          <cell r="D33">
            <v>0</v>
          </cell>
          <cell r="E33">
            <v>0</v>
          </cell>
          <cell r="F33">
            <v>0</v>
          </cell>
          <cell r="H33">
            <v>12515000.000000004</v>
          </cell>
          <cell r="I33">
            <v>0</v>
          </cell>
        </row>
        <row r="252">
          <cell r="D252">
            <v>138999.99999999578</v>
          </cell>
          <cell r="H252">
            <v>0</v>
          </cell>
        </row>
        <row r="253">
          <cell r="D253">
            <v>140000.00000000058</v>
          </cell>
          <cell r="H253">
            <v>0</v>
          </cell>
        </row>
        <row r="254">
          <cell r="D254">
            <v>173000.0000000018</v>
          </cell>
          <cell r="H254">
            <v>0</v>
          </cell>
        </row>
        <row r="255">
          <cell r="D255">
            <v>143999.99999999124</v>
          </cell>
          <cell r="H255">
            <v>0</v>
          </cell>
        </row>
        <row r="256">
          <cell r="D256">
            <v>170000.00000000172</v>
          </cell>
          <cell r="H256">
            <v>0</v>
          </cell>
        </row>
        <row r="257">
          <cell r="D257">
            <v>240000.00000000908</v>
          </cell>
          <cell r="H257">
            <v>0</v>
          </cell>
        </row>
        <row r="258">
          <cell r="D258">
            <v>132999.99999999558</v>
          </cell>
          <cell r="H258">
            <v>37248</v>
          </cell>
        </row>
        <row r="259">
          <cell r="D259">
            <v>39000.000000001477</v>
          </cell>
          <cell r="H259">
            <v>0</v>
          </cell>
        </row>
        <row r="260">
          <cell r="D260">
            <v>51999.999999992498</v>
          </cell>
          <cell r="H260">
            <v>36442</v>
          </cell>
        </row>
        <row r="261">
          <cell r="D261">
            <v>48000.000000001819</v>
          </cell>
          <cell r="H261">
            <v>0</v>
          </cell>
        </row>
        <row r="262">
          <cell r="D262">
            <v>54000.000000002045</v>
          </cell>
          <cell r="H262">
            <v>0</v>
          </cell>
        </row>
        <row r="263">
          <cell r="D263">
            <v>55000.000000006825</v>
          </cell>
          <cell r="H263">
            <v>0</v>
          </cell>
        </row>
        <row r="264">
          <cell r="D264">
            <v>42999.999999992157</v>
          </cell>
          <cell r="H264">
            <v>0</v>
          </cell>
        </row>
        <row r="265">
          <cell r="D265">
            <v>58999.999999997497</v>
          </cell>
          <cell r="H265">
            <v>0</v>
          </cell>
        </row>
        <row r="266">
          <cell r="D266">
            <v>39000.000000001477</v>
          </cell>
          <cell r="H266">
            <v>0</v>
          </cell>
        </row>
        <row r="267">
          <cell r="D267">
            <v>43000.000000006366</v>
          </cell>
          <cell r="H267">
            <v>0</v>
          </cell>
        </row>
        <row r="268">
          <cell r="D268">
            <v>36999.999999991931</v>
          </cell>
          <cell r="H268">
            <v>0</v>
          </cell>
        </row>
        <row r="269">
          <cell r="D269">
            <v>24000.000000000909</v>
          </cell>
          <cell r="H269">
            <v>37303</v>
          </cell>
        </row>
        <row r="270">
          <cell r="D270">
            <v>32000.000000010688</v>
          </cell>
          <cell r="H270">
            <v>0</v>
          </cell>
        </row>
        <row r="271">
          <cell r="D271">
            <v>53999.999999987835</v>
          </cell>
          <cell r="H271">
            <v>0</v>
          </cell>
        </row>
        <row r="272">
          <cell r="D272">
            <v>43000.000000006366</v>
          </cell>
          <cell r="H272">
            <v>0</v>
          </cell>
        </row>
        <row r="273">
          <cell r="D273">
            <v>52999.999999997272</v>
          </cell>
          <cell r="H273">
            <v>0</v>
          </cell>
        </row>
        <row r="274">
          <cell r="D274">
            <v>46999.999999997046</v>
          </cell>
          <cell r="H274">
            <v>0</v>
          </cell>
        </row>
        <row r="275">
          <cell r="D275">
            <v>44000.000000011139</v>
          </cell>
          <cell r="H275">
            <v>0</v>
          </cell>
        </row>
        <row r="276">
          <cell r="D276">
            <v>57999.999999992724</v>
          </cell>
          <cell r="H276">
            <v>0</v>
          </cell>
        </row>
        <row r="277">
          <cell r="D277">
            <v>55999.999999997388</v>
          </cell>
          <cell r="H277">
            <v>0</v>
          </cell>
        </row>
        <row r="278">
          <cell r="D278">
            <v>48000.000000001819</v>
          </cell>
          <cell r="H278">
            <v>0</v>
          </cell>
        </row>
        <row r="279">
          <cell r="D279">
            <v>70000.000000007392</v>
          </cell>
          <cell r="H279">
            <v>0</v>
          </cell>
        </row>
        <row r="280">
          <cell r="D280">
            <v>42000.000000001593</v>
          </cell>
          <cell r="H280">
            <v>0</v>
          </cell>
        </row>
        <row r="281">
          <cell r="D281">
            <v>34999.999999996588</v>
          </cell>
          <cell r="H281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Dec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11937000</v>
          </cell>
          <cell r="D4">
            <v>0</v>
          </cell>
          <cell r="E4">
            <v>0</v>
          </cell>
          <cell r="F4">
            <v>0</v>
          </cell>
          <cell r="H4">
            <v>11894000.000000007</v>
          </cell>
          <cell r="I4">
            <v>0</v>
          </cell>
        </row>
        <row r="5">
          <cell r="C5">
            <v>12980000</v>
          </cell>
          <cell r="D5">
            <v>0</v>
          </cell>
          <cell r="E5">
            <v>0</v>
          </cell>
          <cell r="F5">
            <v>0</v>
          </cell>
          <cell r="H5">
            <v>12921999.999999993</v>
          </cell>
          <cell r="I5">
            <v>0</v>
          </cell>
        </row>
        <row r="6">
          <cell r="C6">
            <v>14145000</v>
          </cell>
          <cell r="D6">
            <v>0</v>
          </cell>
          <cell r="E6">
            <v>0</v>
          </cell>
          <cell r="F6">
            <v>530000</v>
          </cell>
          <cell r="H6">
            <v>14087999.999999998</v>
          </cell>
          <cell r="I6">
            <v>0</v>
          </cell>
        </row>
        <row r="7">
          <cell r="C7">
            <v>13329000</v>
          </cell>
          <cell r="D7">
            <v>0</v>
          </cell>
          <cell r="E7">
            <v>0</v>
          </cell>
          <cell r="F7">
            <v>3190000</v>
          </cell>
          <cell r="H7">
            <v>13289000.000000007</v>
          </cell>
          <cell r="I7">
            <v>0</v>
          </cell>
        </row>
        <row r="8">
          <cell r="C8">
            <v>12375000</v>
          </cell>
          <cell r="D8">
            <v>0</v>
          </cell>
          <cell r="E8">
            <v>0</v>
          </cell>
          <cell r="F8">
            <v>4630000</v>
          </cell>
          <cell r="H8">
            <v>12328999.999999993</v>
          </cell>
          <cell r="I8">
            <v>0</v>
          </cell>
        </row>
        <row r="9">
          <cell r="C9">
            <v>11123000</v>
          </cell>
          <cell r="D9">
            <v>0</v>
          </cell>
          <cell r="E9">
            <v>0</v>
          </cell>
          <cell r="F9">
            <v>3070000.0000000005</v>
          </cell>
          <cell r="H9">
            <v>11086000.000000007</v>
          </cell>
          <cell r="I9">
            <v>0</v>
          </cell>
        </row>
        <row r="10">
          <cell r="C10">
            <v>9568000</v>
          </cell>
          <cell r="D10">
            <v>0</v>
          </cell>
          <cell r="E10">
            <v>0</v>
          </cell>
          <cell r="F10">
            <v>3550000.0000000005</v>
          </cell>
          <cell r="H10">
            <v>9536999.9999999944</v>
          </cell>
          <cell r="I10">
            <v>2899999.999997817</v>
          </cell>
        </row>
        <row r="11">
          <cell r="C11">
            <v>5971000</v>
          </cell>
          <cell r="D11">
            <v>0</v>
          </cell>
          <cell r="E11">
            <v>0</v>
          </cell>
          <cell r="F11">
            <v>6520000</v>
          </cell>
          <cell r="H11">
            <v>5922999.9999999981</v>
          </cell>
          <cell r="I11">
            <v>7000000</v>
          </cell>
        </row>
        <row r="12">
          <cell r="C12">
            <v>7053000</v>
          </cell>
          <cell r="D12">
            <v>0</v>
          </cell>
          <cell r="E12">
            <v>0</v>
          </cell>
          <cell r="F12">
            <v>8060000.0000000009</v>
          </cell>
          <cell r="H12">
            <v>7010000.0000000084</v>
          </cell>
          <cell r="I12">
            <v>7600000.000002183</v>
          </cell>
        </row>
        <row r="13">
          <cell r="C13">
            <v>5467000</v>
          </cell>
          <cell r="D13">
            <v>0</v>
          </cell>
          <cell r="E13">
            <v>0</v>
          </cell>
          <cell r="F13">
            <v>5460000</v>
          </cell>
          <cell r="H13">
            <v>5419999.9999999888</v>
          </cell>
          <cell r="I13">
            <v>6000000</v>
          </cell>
        </row>
        <row r="14">
          <cell r="C14">
            <v>5293000</v>
          </cell>
          <cell r="D14">
            <v>0</v>
          </cell>
          <cell r="E14">
            <v>0</v>
          </cell>
          <cell r="F14">
            <v>5670000</v>
          </cell>
          <cell r="H14">
            <v>5255000.0000000037</v>
          </cell>
          <cell r="I14">
            <v>5500000</v>
          </cell>
        </row>
        <row r="15">
          <cell r="C15">
            <v>6255000</v>
          </cell>
          <cell r="D15">
            <v>0</v>
          </cell>
          <cell r="E15">
            <v>0</v>
          </cell>
          <cell r="F15">
            <v>8550000</v>
          </cell>
          <cell r="H15">
            <v>6220000.0000000037</v>
          </cell>
          <cell r="I15">
            <v>7699999.9999970896</v>
          </cell>
        </row>
        <row r="16">
          <cell r="C16">
            <v>5340000</v>
          </cell>
          <cell r="D16">
            <v>0</v>
          </cell>
          <cell r="E16">
            <v>0</v>
          </cell>
          <cell r="F16">
            <v>7440000</v>
          </cell>
          <cell r="H16">
            <v>5290999.9999999935</v>
          </cell>
          <cell r="I16">
            <v>7600000.000002183</v>
          </cell>
        </row>
        <row r="17">
          <cell r="C17">
            <v>5374000</v>
          </cell>
          <cell r="D17">
            <v>0</v>
          </cell>
          <cell r="E17">
            <v>0</v>
          </cell>
          <cell r="F17">
            <v>6630000</v>
          </cell>
          <cell r="H17">
            <v>5371000</v>
          </cell>
          <cell r="I17">
            <v>6599999.9999985453</v>
          </cell>
        </row>
        <row r="18">
          <cell r="C18">
            <v>5253000</v>
          </cell>
          <cell r="D18">
            <v>0</v>
          </cell>
          <cell r="E18">
            <v>0</v>
          </cell>
          <cell r="F18">
            <v>6010000</v>
          </cell>
          <cell r="H18">
            <v>5185000.0000000019</v>
          </cell>
          <cell r="I18">
            <v>6600000.000002183</v>
          </cell>
        </row>
        <row r="19">
          <cell r="C19">
            <v>5676000</v>
          </cell>
          <cell r="D19">
            <v>0</v>
          </cell>
          <cell r="E19">
            <v>0</v>
          </cell>
          <cell r="F19">
            <v>6210000</v>
          </cell>
          <cell r="H19">
            <v>5642999.9999999991</v>
          </cell>
          <cell r="I19">
            <v>6500000</v>
          </cell>
        </row>
        <row r="20">
          <cell r="C20">
            <v>7036000</v>
          </cell>
          <cell r="D20">
            <v>0</v>
          </cell>
          <cell r="E20">
            <v>0</v>
          </cell>
          <cell r="F20">
            <v>7620000</v>
          </cell>
          <cell r="H20">
            <v>7001000.0000000037</v>
          </cell>
          <cell r="I20">
            <v>7000000</v>
          </cell>
        </row>
        <row r="21">
          <cell r="C21">
            <v>3234000</v>
          </cell>
          <cell r="D21">
            <v>0</v>
          </cell>
          <cell r="E21">
            <v>0</v>
          </cell>
          <cell r="F21">
            <v>10660000</v>
          </cell>
          <cell r="H21">
            <v>3182000.0000000075</v>
          </cell>
          <cell r="I21">
            <v>9299999.9999992717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11540000</v>
          </cell>
          <cell r="H22">
            <v>0</v>
          </cell>
          <cell r="I22">
            <v>11599999.999998545</v>
          </cell>
        </row>
        <row r="23">
          <cell r="C23">
            <v>0</v>
          </cell>
          <cell r="D23">
            <v>0</v>
          </cell>
          <cell r="E23">
            <v>0</v>
          </cell>
          <cell r="F23">
            <v>12090000</v>
          </cell>
          <cell r="H23">
            <v>0</v>
          </cell>
          <cell r="I23">
            <v>11799999.999999272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12220000</v>
          </cell>
          <cell r="H24">
            <v>0</v>
          </cell>
          <cell r="I24">
            <v>12400000.000001455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12990000</v>
          </cell>
          <cell r="H25">
            <v>0</v>
          </cell>
          <cell r="I25">
            <v>13000000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12830000</v>
          </cell>
          <cell r="H26">
            <v>0</v>
          </cell>
          <cell r="I26">
            <v>12200000.000000728</v>
          </cell>
        </row>
        <row r="27">
          <cell r="C27">
            <v>6000</v>
          </cell>
          <cell r="D27">
            <v>0</v>
          </cell>
          <cell r="E27">
            <v>0</v>
          </cell>
          <cell r="F27">
            <v>11750000</v>
          </cell>
          <cell r="H27">
            <v>0</v>
          </cell>
          <cell r="I27">
            <v>11799999.999999272</v>
          </cell>
        </row>
        <row r="28">
          <cell r="C28">
            <v>0</v>
          </cell>
          <cell r="D28">
            <v>0</v>
          </cell>
          <cell r="E28">
            <v>0</v>
          </cell>
          <cell r="F28">
            <v>11290000</v>
          </cell>
          <cell r="H28">
            <v>0</v>
          </cell>
          <cell r="I28">
            <v>10900000.000001455</v>
          </cell>
        </row>
        <row r="29">
          <cell r="C29">
            <v>260000</v>
          </cell>
          <cell r="D29">
            <v>0</v>
          </cell>
          <cell r="E29">
            <v>1000000</v>
          </cell>
          <cell r="F29">
            <v>11540000</v>
          </cell>
          <cell r="H29">
            <v>0</v>
          </cell>
          <cell r="I29">
            <v>12199999.999997091</v>
          </cell>
        </row>
        <row r="30">
          <cell r="C30">
            <v>148000</v>
          </cell>
          <cell r="D30">
            <v>0</v>
          </cell>
          <cell r="E30">
            <v>4000000</v>
          </cell>
          <cell r="F30">
            <v>8780000</v>
          </cell>
          <cell r="H30">
            <v>0</v>
          </cell>
          <cell r="I30">
            <v>12300000.000002909</v>
          </cell>
        </row>
        <row r="31">
          <cell r="C31">
            <v>0</v>
          </cell>
          <cell r="D31">
            <v>39000</v>
          </cell>
          <cell r="E31">
            <v>5000000</v>
          </cell>
          <cell r="F31">
            <v>7910000</v>
          </cell>
          <cell r="H31">
            <v>0</v>
          </cell>
          <cell r="I31">
            <v>12799999.999999272</v>
          </cell>
        </row>
        <row r="32">
          <cell r="C32">
            <v>0</v>
          </cell>
          <cell r="D32">
            <v>0</v>
          </cell>
          <cell r="E32">
            <v>6000000</v>
          </cell>
          <cell r="F32">
            <v>8010000</v>
          </cell>
          <cell r="H32">
            <v>0</v>
          </cell>
          <cell r="I32">
            <v>12700000.000000728</v>
          </cell>
        </row>
        <row r="33">
          <cell r="C33">
            <v>0</v>
          </cell>
          <cell r="D33">
            <v>0</v>
          </cell>
          <cell r="E33">
            <v>7000000</v>
          </cell>
          <cell r="F33">
            <v>7850000</v>
          </cell>
          <cell r="H33">
            <v>0</v>
          </cell>
          <cell r="I33">
            <v>13299999.999999272</v>
          </cell>
        </row>
        <row r="34">
          <cell r="C34">
            <v>0</v>
          </cell>
          <cell r="D34">
            <v>0</v>
          </cell>
          <cell r="E34">
            <v>6000000</v>
          </cell>
          <cell r="F34">
            <v>8010000</v>
          </cell>
          <cell r="H34">
            <v>0</v>
          </cell>
          <cell r="I34">
            <v>13399999.999997817</v>
          </cell>
        </row>
        <row r="259">
          <cell r="D259">
            <v>42999.999999992157</v>
          </cell>
          <cell r="H259">
            <v>0</v>
          </cell>
        </row>
        <row r="260">
          <cell r="D260">
            <v>58000.000000006934</v>
          </cell>
          <cell r="H260">
            <v>0</v>
          </cell>
        </row>
        <row r="261">
          <cell r="D261">
            <v>57000.000000002161</v>
          </cell>
          <cell r="H261">
            <v>0</v>
          </cell>
        </row>
        <row r="262">
          <cell r="D262">
            <v>39999.99999999204</v>
          </cell>
          <cell r="H262">
            <v>0</v>
          </cell>
        </row>
        <row r="263">
          <cell r="D263">
            <v>46000.000000006483</v>
          </cell>
          <cell r="H263">
            <v>37336</v>
          </cell>
        </row>
        <row r="264">
          <cell r="D264">
            <v>36999.999999991931</v>
          </cell>
          <cell r="H264">
            <v>470022</v>
          </cell>
        </row>
        <row r="265">
          <cell r="D265">
            <v>31000.000000005912</v>
          </cell>
          <cell r="H265">
            <v>0</v>
          </cell>
        </row>
        <row r="266">
          <cell r="D266">
            <v>48000.000000001819</v>
          </cell>
          <cell r="H266">
            <v>7016</v>
          </cell>
        </row>
        <row r="267">
          <cell r="D267">
            <v>42999.999999992157</v>
          </cell>
          <cell r="H267">
            <v>21077</v>
          </cell>
        </row>
        <row r="268">
          <cell r="D268">
            <v>47000.000000011256</v>
          </cell>
          <cell r="H268">
            <v>44006</v>
          </cell>
        </row>
        <row r="269">
          <cell r="D269">
            <v>37999.999999996704</v>
          </cell>
          <cell r="H269">
            <v>79000</v>
          </cell>
        </row>
        <row r="270">
          <cell r="D270">
            <v>34999.999999996588</v>
          </cell>
          <cell r="H270">
            <v>43155</v>
          </cell>
        </row>
        <row r="271">
          <cell r="D271">
            <v>49000.000000006592</v>
          </cell>
          <cell r="H271">
            <v>43247</v>
          </cell>
        </row>
        <row r="272">
          <cell r="D272">
            <v>3000.0000000001137</v>
          </cell>
          <cell r="H272">
            <v>43277</v>
          </cell>
        </row>
        <row r="273">
          <cell r="D273">
            <v>67999.999999997846</v>
          </cell>
          <cell r="H273">
            <v>43122</v>
          </cell>
        </row>
        <row r="274">
          <cell r="D274">
            <v>33000.000000001251</v>
          </cell>
          <cell r="H274">
            <v>43944</v>
          </cell>
        </row>
        <row r="275">
          <cell r="D275">
            <v>34999.999999996588</v>
          </cell>
          <cell r="H275">
            <v>44137</v>
          </cell>
        </row>
        <row r="276">
          <cell r="D276">
            <v>51999.999999992498</v>
          </cell>
          <cell r="H276">
            <v>43297</v>
          </cell>
        </row>
        <row r="277">
          <cell r="D277">
            <v>0</v>
          </cell>
          <cell r="H277">
            <v>43830</v>
          </cell>
        </row>
        <row r="278">
          <cell r="D278">
            <v>0</v>
          </cell>
          <cell r="H278">
            <v>44776</v>
          </cell>
        </row>
        <row r="279">
          <cell r="D279">
            <v>0</v>
          </cell>
          <cell r="H279">
            <v>71096</v>
          </cell>
        </row>
        <row r="280">
          <cell r="D280">
            <v>0</v>
          </cell>
          <cell r="H280">
            <v>68529</v>
          </cell>
        </row>
        <row r="281">
          <cell r="D281">
            <v>0</v>
          </cell>
          <cell r="H281">
            <v>79126</v>
          </cell>
        </row>
        <row r="282">
          <cell r="D282">
            <v>0</v>
          </cell>
          <cell r="H282">
            <v>41711</v>
          </cell>
        </row>
        <row r="283">
          <cell r="D283">
            <v>0</v>
          </cell>
          <cell r="H283">
            <v>45283</v>
          </cell>
        </row>
        <row r="284">
          <cell r="D284">
            <v>0</v>
          </cell>
          <cell r="H284">
            <v>46801</v>
          </cell>
        </row>
        <row r="285">
          <cell r="D285">
            <v>0</v>
          </cell>
          <cell r="H285">
            <v>49963</v>
          </cell>
        </row>
        <row r="286">
          <cell r="D286">
            <v>0</v>
          </cell>
          <cell r="H286">
            <v>46337</v>
          </cell>
        </row>
        <row r="287">
          <cell r="D287">
            <v>0</v>
          </cell>
          <cell r="H287">
            <v>45088</v>
          </cell>
        </row>
        <row r="288">
          <cell r="D288">
            <v>0</v>
          </cell>
          <cell r="H288">
            <v>63669</v>
          </cell>
        </row>
        <row r="289">
          <cell r="D289">
            <v>0</v>
          </cell>
          <cell r="H289">
            <v>90511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a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0</v>
          </cell>
          <cell r="D4">
            <v>0</v>
          </cell>
          <cell r="E4">
            <v>7000000</v>
          </cell>
          <cell r="F4">
            <v>7910000</v>
          </cell>
          <cell r="H4">
            <v>0</v>
          </cell>
          <cell r="I4">
            <v>13100000.000002183</v>
          </cell>
        </row>
        <row r="5">
          <cell r="C5">
            <v>0</v>
          </cell>
          <cell r="D5">
            <v>0</v>
          </cell>
          <cell r="E5">
            <v>6000000</v>
          </cell>
          <cell r="F5">
            <v>6500000</v>
          </cell>
          <cell r="H5">
            <v>0</v>
          </cell>
          <cell r="I5">
            <v>11700000.000000728</v>
          </cell>
        </row>
        <row r="6">
          <cell r="C6">
            <v>0</v>
          </cell>
          <cell r="D6">
            <v>0</v>
          </cell>
          <cell r="E6">
            <v>7000000</v>
          </cell>
          <cell r="F6">
            <v>6980000</v>
          </cell>
          <cell r="H6">
            <v>0</v>
          </cell>
          <cell r="I6">
            <v>11500000</v>
          </cell>
        </row>
        <row r="7">
          <cell r="C7">
            <v>0</v>
          </cell>
          <cell r="D7">
            <v>0</v>
          </cell>
          <cell r="E7">
            <v>8000000</v>
          </cell>
          <cell r="F7">
            <v>7040000</v>
          </cell>
          <cell r="H7">
            <v>0</v>
          </cell>
          <cell r="I7">
            <v>12799999.999999272</v>
          </cell>
        </row>
        <row r="8">
          <cell r="C8">
            <v>0</v>
          </cell>
          <cell r="D8">
            <v>0</v>
          </cell>
          <cell r="E8">
            <v>7000000</v>
          </cell>
          <cell r="F8">
            <v>7050000</v>
          </cell>
          <cell r="H8">
            <v>0</v>
          </cell>
          <cell r="I8">
            <v>13799999.999999272</v>
          </cell>
        </row>
        <row r="9">
          <cell r="C9">
            <v>0</v>
          </cell>
          <cell r="D9">
            <v>0</v>
          </cell>
          <cell r="E9">
            <v>3000000</v>
          </cell>
          <cell r="F9">
            <v>10790000</v>
          </cell>
          <cell r="H9">
            <v>0</v>
          </cell>
          <cell r="I9">
            <v>12900000.000001455</v>
          </cell>
        </row>
        <row r="10">
          <cell r="C10">
            <v>0</v>
          </cell>
          <cell r="D10">
            <v>0</v>
          </cell>
          <cell r="E10">
            <v>5600000</v>
          </cell>
          <cell r="F10">
            <v>7780000</v>
          </cell>
          <cell r="H10">
            <v>0</v>
          </cell>
          <cell r="I10">
            <v>12199999.999997091</v>
          </cell>
        </row>
        <row r="11">
          <cell r="C11">
            <v>0</v>
          </cell>
          <cell r="D11">
            <v>0</v>
          </cell>
          <cell r="E11">
            <v>5500000</v>
          </cell>
          <cell r="F11">
            <v>7550000</v>
          </cell>
          <cell r="H11">
            <v>0</v>
          </cell>
          <cell r="I11">
            <v>12300000.000002909</v>
          </cell>
        </row>
        <row r="12">
          <cell r="C12">
            <v>0</v>
          </cell>
          <cell r="D12">
            <v>0</v>
          </cell>
          <cell r="E12">
            <v>5600000</v>
          </cell>
          <cell r="F12">
            <v>7010000</v>
          </cell>
          <cell r="H12">
            <v>0</v>
          </cell>
          <cell r="I12">
            <v>11599999.999998545</v>
          </cell>
        </row>
        <row r="13">
          <cell r="C13">
            <v>0</v>
          </cell>
          <cell r="D13">
            <v>0</v>
          </cell>
          <cell r="E13">
            <v>5000000</v>
          </cell>
          <cell r="F13">
            <v>7040000</v>
          </cell>
          <cell r="H13">
            <v>0</v>
          </cell>
          <cell r="I13">
            <v>11700000.000000728</v>
          </cell>
        </row>
        <row r="14">
          <cell r="C14">
            <v>0</v>
          </cell>
          <cell r="D14">
            <v>0</v>
          </cell>
          <cell r="E14">
            <v>5000000</v>
          </cell>
          <cell r="F14">
            <v>6370000</v>
          </cell>
          <cell r="H14">
            <v>0</v>
          </cell>
          <cell r="I14">
            <v>10700000.000000728</v>
          </cell>
        </row>
        <row r="15">
          <cell r="C15">
            <v>0</v>
          </cell>
          <cell r="D15">
            <v>0</v>
          </cell>
          <cell r="E15">
            <v>5000000.0000000037</v>
          </cell>
          <cell r="F15">
            <v>5980000</v>
          </cell>
          <cell r="H15">
            <v>0</v>
          </cell>
          <cell r="I15">
            <v>10199999.999997091</v>
          </cell>
        </row>
        <row r="16">
          <cell r="C16">
            <v>0</v>
          </cell>
          <cell r="D16">
            <v>0</v>
          </cell>
          <cell r="E16">
            <v>6000000</v>
          </cell>
          <cell r="F16">
            <v>6420000</v>
          </cell>
          <cell r="H16">
            <v>0</v>
          </cell>
          <cell r="I16">
            <v>12000000</v>
          </cell>
        </row>
        <row r="17">
          <cell r="C17">
            <v>0</v>
          </cell>
          <cell r="D17">
            <v>0</v>
          </cell>
          <cell r="E17">
            <v>8299999.9999999972</v>
          </cell>
          <cell r="F17">
            <v>6370000</v>
          </cell>
          <cell r="H17">
            <v>0</v>
          </cell>
          <cell r="I17">
            <v>11800000.000002909</v>
          </cell>
        </row>
        <row r="18">
          <cell r="C18">
            <v>0</v>
          </cell>
          <cell r="D18">
            <v>0</v>
          </cell>
          <cell r="E18">
            <v>7000000</v>
          </cell>
          <cell r="F18">
            <v>5470000</v>
          </cell>
          <cell r="H18">
            <v>0</v>
          </cell>
          <cell r="I18">
            <v>13099999.999998545</v>
          </cell>
        </row>
        <row r="19">
          <cell r="C19">
            <v>0</v>
          </cell>
          <cell r="D19">
            <v>0</v>
          </cell>
          <cell r="E19">
            <v>8000000</v>
          </cell>
          <cell r="F19">
            <v>4900000</v>
          </cell>
          <cell r="H19">
            <v>0</v>
          </cell>
          <cell r="I19">
            <v>11299999.999999272</v>
          </cell>
        </row>
        <row r="20">
          <cell r="C20">
            <v>0</v>
          </cell>
          <cell r="D20">
            <v>0</v>
          </cell>
          <cell r="E20">
            <v>6000000</v>
          </cell>
          <cell r="F20">
            <v>4810000.0000000009</v>
          </cell>
          <cell r="H20">
            <v>0</v>
          </cell>
          <cell r="I20">
            <v>10600000.000002183</v>
          </cell>
        </row>
        <row r="21">
          <cell r="C21">
            <v>0</v>
          </cell>
          <cell r="D21">
            <v>0</v>
          </cell>
          <cell r="E21">
            <v>9000000</v>
          </cell>
          <cell r="F21">
            <v>5130000</v>
          </cell>
          <cell r="H21">
            <v>0</v>
          </cell>
          <cell r="I21">
            <v>11099999.999998545</v>
          </cell>
        </row>
        <row r="22">
          <cell r="C22">
            <v>0</v>
          </cell>
          <cell r="D22">
            <v>0</v>
          </cell>
          <cell r="E22">
            <v>8000000</v>
          </cell>
          <cell r="F22">
            <v>5000000</v>
          </cell>
          <cell r="H22">
            <v>0</v>
          </cell>
          <cell r="I22">
            <v>13000000</v>
          </cell>
        </row>
        <row r="23">
          <cell r="C23">
            <v>0</v>
          </cell>
          <cell r="D23">
            <v>0</v>
          </cell>
          <cell r="E23">
            <v>8000000</v>
          </cell>
          <cell r="F23">
            <v>4950000</v>
          </cell>
          <cell r="H23">
            <v>0</v>
          </cell>
          <cell r="I23">
            <v>12000000</v>
          </cell>
        </row>
        <row r="24">
          <cell r="C24">
            <v>0</v>
          </cell>
          <cell r="D24">
            <v>0</v>
          </cell>
          <cell r="E24">
            <v>8000000</v>
          </cell>
          <cell r="F24">
            <v>4960000</v>
          </cell>
          <cell r="H24">
            <v>0</v>
          </cell>
          <cell r="I24">
            <v>11500000</v>
          </cell>
        </row>
        <row r="25">
          <cell r="C25">
            <v>0</v>
          </cell>
          <cell r="D25">
            <v>0</v>
          </cell>
          <cell r="E25">
            <v>7000000</v>
          </cell>
          <cell r="F25">
            <v>5560000.0000000009</v>
          </cell>
          <cell r="H25">
            <v>0</v>
          </cell>
          <cell r="I25">
            <v>11599999.999998545</v>
          </cell>
        </row>
        <row r="26">
          <cell r="C26">
            <v>0</v>
          </cell>
          <cell r="D26">
            <v>0</v>
          </cell>
          <cell r="E26">
            <v>7000000</v>
          </cell>
          <cell r="F26">
            <v>6090000</v>
          </cell>
          <cell r="H26">
            <v>0</v>
          </cell>
          <cell r="I26">
            <v>11800000.000002909</v>
          </cell>
        </row>
        <row r="27">
          <cell r="C27">
            <v>0</v>
          </cell>
          <cell r="D27">
            <v>0</v>
          </cell>
          <cell r="E27">
            <v>7000000</v>
          </cell>
          <cell r="F27">
            <v>5850000.0000000009</v>
          </cell>
          <cell r="H27">
            <v>0</v>
          </cell>
          <cell r="I27">
            <v>11699999.999997091</v>
          </cell>
        </row>
        <row r="28">
          <cell r="C28">
            <v>0</v>
          </cell>
          <cell r="D28">
            <v>0</v>
          </cell>
          <cell r="E28">
            <v>7000000</v>
          </cell>
          <cell r="F28">
            <v>5270000</v>
          </cell>
          <cell r="H28">
            <v>-3000.0000000001137</v>
          </cell>
          <cell r="I28">
            <v>11600000.000002183</v>
          </cell>
        </row>
        <row r="29">
          <cell r="C29">
            <v>0</v>
          </cell>
          <cell r="D29">
            <v>0</v>
          </cell>
          <cell r="E29">
            <v>6000000</v>
          </cell>
          <cell r="F29">
            <v>4970000</v>
          </cell>
          <cell r="H29">
            <v>-9999.9999999909051</v>
          </cell>
          <cell r="I29">
            <v>10399999.999997817</v>
          </cell>
        </row>
        <row r="30">
          <cell r="C30">
            <v>0</v>
          </cell>
          <cell r="D30">
            <v>0</v>
          </cell>
          <cell r="E30">
            <v>7000000</v>
          </cell>
          <cell r="F30">
            <v>5020000</v>
          </cell>
          <cell r="H30">
            <v>0</v>
          </cell>
          <cell r="I30">
            <v>11600000.000002183</v>
          </cell>
        </row>
        <row r="31">
          <cell r="C31">
            <v>0</v>
          </cell>
          <cell r="D31">
            <v>0</v>
          </cell>
          <cell r="E31">
            <v>9000000</v>
          </cell>
          <cell r="F31">
            <v>5040000</v>
          </cell>
          <cell r="H31">
            <v>0</v>
          </cell>
          <cell r="I31">
            <v>11700000.000000728</v>
          </cell>
        </row>
        <row r="32">
          <cell r="C32">
            <v>0</v>
          </cell>
          <cell r="D32">
            <v>0</v>
          </cell>
          <cell r="E32">
            <v>8000000</v>
          </cell>
          <cell r="F32">
            <v>4980000</v>
          </cell>
          <cell r="H32">
            <v>0</v>
          </cell>
          <cell r="I32">
            <v>12299999.999999272</v>
          </cell>
        </row>
        <row r="33">
          <cell r="C33">
            <v>0</v>
          </cell>
          <cell r="D33">
            <v>0</v>
          </cell>
          <cell r="E33">
            <v>7000000</v>
          </cell>
          <cell r="F33">
            <v>4780000</v>
          </cell>
          <cell r="H33">
            <v>0</v>
          </cell>
          <cell r="I33">
            <v>10500000</v>
          </cell>
        </row>
        <row r="34">
          <cell r="C34">
            <v>0</v>
          </cell>
          <cell r="D34">
            <v>0</v>
          </cell>
          <cell r="E34">
            <v>7000000</v>
          </cell>
          <cell r="F34">
            <v>5000000</v>
          </cell>
          <cell r="H34">
            <v>0</v>
          </cell>
          <cell r="I34">
            <v>11599999.999998545</v>
          </cell>
        </row>
        <row r="259">
          <cell r="D259">
            <v>0</v>
          </cell>
          <cell r="H259">
            <v>110619</v>
          </cell>
        </row>
        <row r="260">
          <cell r="D260">
            <v>0</v>
          </cell>
          <cell r="H260">
            <v>70786</v>
          </cell>
        </row>
        <row r="261">
          <cell r="D261">
            <v>0</v>
          </cell>
          <cell r="H261">
            <v>128333</v>
          </cell>
        </row>
        <row r="262">
          <cell r="D262">
            <v>0</v>
          </cell>
          <cell r="H262">
            <v>75626</v>
          </cell>
        </row>
        <row r="263">
          <cell r="D263">
            <v>0</v>
          </cell>
          <cell r="H263">
            <v>41202</v>
          </cell>
        </row>
        <row r="264">
          <cell r="D264">
            <v>0</v>
          </cell>
          <cell r="H264">
            <v>121513</v>
          </cell>
        </row>
        <row r="265">
          <cell r="D265">
            <v>0</v>
          </cell>
          <cell r="H265">
            <v>36022</v>
          </cell>
        </row>
        <row r="266">
          <cell r="D266">
            <v>0</v>
          </cell>
          <cell r="H266">
            <v>42600</v>
          </cell>
        </row>
        <row r="267">
          <cell r="D267">
            <v>0</v>
          </cell>
          <cell r="H267">
            <v>64407</v>
          </cell>
        </row>
        <row r="268">
          <cell r="D268">
            <v>0</v>
          </cell>
          <cell r="H268">
            <v>44167</v>
          </cell>
        </row>
        <row r="269">
          <cell r="D269">
            <v>0</v>
          </cell>
          <cell r="H269">
            <v>42281</v>
          </cell>
        </row>
        <row r="270">
          <cell r="D270">
            <v>0</v>
          </cell>
          <cell r="H270">
            <v>38635</v>
          </cell>
        </row>
        <row r="271">
          <cell r="D271">
            <v>0</v>
          </cell>
          <cell r="H271">
            <v>43915</v>
          </cell>
        </row>
        <row r="272">
          <cell r="D272">
            <v>0</v>
          </cell>
          <cell r="H272">
            <v>80721</v>
          </cell>
        </row>
        <row r="273">
          <cell r="D273">
            <v>17000.000000010117</v>
          </cell>
          <cell r="H273">
            <v>43142</v>
          </cell>
        </row>
        <row r="274">
          <cell r="D274">
            <v>0</v>
          </cell>
          <cell r="H274">
            <v>42939</v>
          </cell>
        </row>
        <row r="275">
          <cell r="D275">
            <v>0</v>
          </cell>
          <cell r="H275">
            <v>0</v>
          </cell>
        </row>
        <row r="276">
          <cell r="D276">
            <v>0</v>
          </cell>
          <cell r="H276">
            <v>50903</v>
          </cell>
        </row>
        <row r="277">
          <cell r="D277">
            <v>0</v>
          </cell>
          <cell r="H277">
            <v>59864</v>
          </cell>
        </row>
        <row r="278">
          <cell r="D278">
            <v>0</v>
          </cell>
          <cell r="H278">
            <v>40595</v>
          </cell>
        </row>
        <row r="279">
          <cell r="D279">
            <v>0</v>
          </cell>
          <cell r="H279">
            <v>32465</v>
          </cell>
        </row>
        <row r="280">
          <cell r="D280">
            <v>0</v>
          </cell>
          <cell r="H280">
            <v>41927</v>
          </cell>
        </row>
        <row r="281">
          <cell r="D281">
            <v>0</v>
          </cell>
          <cell r="H281">
            <v>69743</v>
          </cell>
        </row>
        <row r="282">
          <cell r="D282">
            <v>0</v>
          </cell>
          <cell r="H282">
            <v>77061</v>
          </cell>
        </row>
        <row r="283">
          <cell r="D283">
            <v>3000.0000000001137</v>
          </cell>
          <cell r="H283">
            <v>34335</v>
          </cell>
        </row>
        <row r="284">
          <cell r="D284">
            <v>9999.9999999909051</v>
          </cell>
          <cell r="H284">
            <v>43603</v>
          </cell>
        </row>
        <row r="285">
          <cell r="D285">
            <v>0</v>
          </cell>
          <cell r="H285">
            <v>33628</v>
          </cell>
        </row>
        <row r="286">
          <cell r="D286">
            <v>0</v>
          </cell>
          <cell r="H286">
            <v>79762</v>
          </cell>
        </row>
        <row r="287">
          <cell r="D287">
            <v>0</v>
          </cell>
          <cell r="H287">
            <v>73271</v>
          </cell>
        </row>
        <row r="288">
          <cell r="D288">
            <v>0</v>
          </cell>
          <cell r="H288">
            <v>34638</v>
          </cell>
        </row>
        <row r="289">
          <cell r="D289">
            <v>0</v>
          </cell>
          <cell r="H289">
            <v>2052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Feb Prod"/>
      <sheetName val="Jan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0</v>
          </cell>
          <cell r="D4">
            <v>0</v>
          </cell>
          <cell r="E4">
            <v>8000000</v>
          </cell>
          <cell r="F4">
            <v>5100000.0000000009</v>
          </cell>
          <cell r="H4">
            <v>0</v>
          </cell>
          <cell r="I4">
            <v>11799999.999999272</v>
          </cell>
        </row>
        <row r="5">
          <cell r="C5">
            <v>0</v>
          </cell>
          <cell r="D5">
            <v>0</v>
          </cell>
          <cell r="E5">
            <v>9000000</v>
          </cell>
          <cell r="F5">
            <v>4990000</v>
          </cell>
          <cell r="H5">
            <v>0</v>
          </cell>
          <cell r="I5">
            <v>11600000.000002183</v>
          </cell>
        </row>
        <row r="6">
          <cell r="C6">
            <v>0</v>
          </cell>
          <cell r="D6">
            <v>0</v>
          </cell>
          <cell r="E6">
            <v>8000000</v>
          </cell>
          <cell r="F6">
            <v>5000000</v>
          </cell>
          <cell r="H6">
            <v>0</v>
          </cell>
          <cell r="I6">
            <v>12899999.999997817</v>
          </cell>
        </row>
        <row r="7">
          <cell r="C7">
            <v>0</v>
          </cell>
          <cell r="D7">
            <v>0</v>
          </cell>
          <cell r="E7">
            <v>6000000</v>
          </cell>
          <cell r="F7">
            <v>4160000</v>
          </cell>
          <cell r="H7">
            <v>0</v>
          </cell>
          <cell r="I7">
            <v>10200000.000000728</v>
          </cell>
        </row>
        <row r="8">
          <cell r="C8">
            <v>0</v>
          </cell>
          <cell r="D8">
            <v>0</v>
          </cell>
          <cell r="E8">
            <v>7000000</v>
          </cell>
          <cell r="F8">
            <v>5010000</v>
          </cell>
          <cell r="H8">
            <v>0</v>
          </cell>
          <cell r="I8">
            <v>10299999.999999272</v>
          </cell>
        </row>
        <row r="9">
          <cell r="C9">
            <v>0</v>
          </cell>
          <cell r="D9">
            <v>0</v>
          </cell>
          <cell r="E9">
            <v>6000000</v>
          </cell>
          <cell r="F9">
            <v>5000000</v>
          </cell>
          <cell r="H9">
            <v>0</v>
          </cell>
          <cell r="I9">
            <v>10300000.000002909</v>
          </cell>
        </row>
        <row r="10">
          <cell r="C10">
            <v>0</v>
          </cell>
          <cell r="D10">
            <v>0</v>
          </cell>
          <cell r="E10">
            <v>6000000</v>
          </cell>
          <cell r="F10">
            <v>5040000</v>
          </cell>
          <cell r="H10">
            <v>0</v>
          </cell>
          <cell r="I10">
            <v>11599999.999998545</v>
          </cell>
        </row>
        <row r="11">
          <cell r="C11">
            <v>0</v>
          </cell>
          <cell r="D11">
            <v>0</v>
          </cell>
          <cell r="E11">
            <v>5000000</v>
          </cell>
          <cell r="F11">
            <v>5000000</v>
          </cell>
          <cell r="H11">
            <v>0</v>
          </cell>
          <cell r="I11">
            <v>9900000.0000014547</v>
          </cell>
        </row>
        <row r="12">
          <cell r="C12">
            <v>0</v>
          </cell>
          <cell r="D12">
            <v>0</v>
          </cell>
          <cell r="E12">
            <v>4000000</v>
          </cell>
          <cell r="F12">
            <v>4900000</v>
          </cell>
          <cell r="H12">
            <v>0</v>
          </cell>
          <cell r="I12">
            <v>8699999.9999970905</v>
          </cell>
        </row>
        <row r="13">
          <cell r="C13">
            <v>0</v>
          </cell>
          <cell r="D13">
            <v>0</v>
          </cell>
          <cell r="E13">
            <v>6000000</v>
          </cell>
          <cell r="F13">
            <v>5080000</v>
          </cell>
          <cell r="H13">
            <v>0</v>
          </cell>
          <cell r="I13">
            <v>11000000</v>
          </cell>
        </row>
        <row r="14">
          <cell r="C14">
            <v>0</v>
          </cell>
          <cell r="D14">
            <v>0</v>
          </cell>
          <cell r="E14">
            <v>7000000</v>
          </cell>
          <cell r="F14">
            <v>5010000</v>
          </cell>
          <cell r="H14">
            <v>0</v>
          </cell>
          <cell r="I14">
            <v>11500000</v>
          </cell>
        </row>
        <row r="15">
          <cell r="C15">
            <v>0</v>
          </cell>
          <cell r="D15">
            <v>0</v>
          </cell>
          <cell r="E15">
            <v>7000000</v>
          </cell>
          <cell r="F15">
            <v>4960000</v>
          </cell>
          <cell r="H15">
            <v>0</v>
          </cell>
          <cell r="I15">
            <v>11500000</v>
          </cell>
        </row>
        <row r="16">
          <cell r="C16">
            <v>0</v>
          </cell>
          <cell r="D16">
            <v>0</v>
          </cell>
          <cell r="E16">
            <v>6000000</v>
          </cell>
          <cell r="F16">
            <v>5020000</v>
          </cell>
          <cell r="H16">
            <v>0</v>
          </cell>
          <cell r="I16">
            <v>10100000.000002183</v>
          </cell>
        </row>
        <row r="17">
          <cell r="C17">
            <v>0</v>
          </cell>
          <cell r="D17">
            <v>0</v>
          </cell>
          <cell r="E17">
            <v>5000000</v>
          </cell>
          <cell r="F17">
            <v>5110000</v>
          </cell>
          <cell r="H17">
            <v>0</v>
          </cell>
          <cell r="I17">
            <v>10500000</v>
          </cell>
        </row>
        <row r="18">
          <cell r="C18">
            <v>0</v>
          </cell>
          <cell r="D18">
            <v>0</v>
          </cell>
          <cell r="E18">
            <v>5000000</v>
          </cell>
          <cell r="F18">
            <v>4900000</v>
          </cell>
          <cell r="H18">
            <v>0</v>
          </cell>
          <cell r="I18">
            <v>9700000.0000007283</v>
          </cell>
        </row>
        <row r="19">
          <cell r="C19">
            <v>0</v>
          </cell>
          <cell r="D19">
            <v>0</v>
          </cell>
          <cell r="E19">
            <v>7000000</v>
          </cell>
          <cell r="F19">
            <v>4950000</v>
          </cell>
          <cell r="H19">
            <v>0</v>
          </cell>
          <cell r="I19">
            <v>10299999.999999272</v>
          </cell>
        </row>
        <row r="20">
          <cell r="C20">
            <v>0</v>
          </cell>
          <cell r="D20">
            <v>0</v>
          </cell>
          <cell r="E20">
            <v>6000000</v>
          </cell>
          <cell r="F20">
            <v>5020000</v>
          </cell>
          <cell r="H20">
            <v>0</v>
          </cell>
          <cell r="I20">
            <v>11399999.999997817</v>
          </cell>
        </row>
        <row r="21">
          <cell r="C21">
            <v>0</v>
          </cell>
          <cell r="D21">
            <v>0</v>
          </cell>
          <cell r="E21">
            <v>7000000</v>
          </cell>
          <cell r="F21">
            <v>5130000</v>
          </cell>
          <cell r="H21">
            <v>0</v>
          </cell>
          <cell r="I21">
            <v>11600000.000002183</v>
          </cell>
        </row>
        <row r="22">
          <cell r="C22">
            <v>0</v>
          </cell>
          <cell r="D22">
            <v>0</v>
          </cell>
          <cell r="E22">
            <v>6000000</v>
          </cell>
          <cell r="F22">
            <v>4880000</v>
          </cell>
          <cell r="H22">
            <v>0</v>
          </cell>
          <cell r="I22">
            <v>11099999.999998545</v>
          </cell>
        </row>
        <row r="23">
          <cell r="C23">
            <v>0</v>
          </cell>
          <cell r="D23">
            <v>0</v>
          </cell>
          <cell r="E23">
            <v>6000000</v>
          </cell>
          <cell r="F23">
            <v>4900000</v>
          </cell>
          <cell r="H23">
            <v>0</v>
          </cell>
          <cell r="I23">
            <v>9600000.000002183</v>
          </cell>
        </row>
        <row r="24">
          <cell r="C24">
            <v>0</v>
          </cell>
          <cell r="D24">
            <v>0</v>
          </cell>
          <cell r="E24">
            <v>6000000</v>
          </cell>
          <cell r="F24">
            <v>5020000</v>
          </cell>
          <cell r="H24">
            <v>0</v>
          </cell>
          <cell r="I24">
            <v>11599999.999998545</v>
          </cell>
        </row>
        <row r="25">
          <cell r="C25">
            <v>0</v>
          </cell>
          <cell r="D25">
            <v>0</v>
          </cell>
          <cell r="E25">
            <v>6000000</v>
          </cell>
          <cell r="F25">
            <v>5100000.0000000009</v>
          </cell>
          <cell r="H25">
            <v>0</v>
          </cell>
          <cell r="I25">
            <v>10400000.000001455</v>
          </cell>
        </row>
        <row r="26">
          <cell r="C26">
            <v>0</v>
          </cell>
          <cell r="D26">
            <v>0</v>
          </cell>
          <cell r="E26">
            <v>5000000</v>
          </cell>
          <cell r="F26">
            <v>4950000</v>
          </cell>
          <cell r="H26">
            <v>0</v>
          </cell>
          <cell r="I26">
            <v>9699999.9999970905</v>
          </cell>
        </row>
        <row r="27">
          <cell r="C27">
            <v>0</v>
          </cell>
          <cell r="D27">
            <v>0</v>
          </cell>
          <cell r="E27">
            <v>5000000</v>
          </cell>
          <cell r="F27">
            <v>4930000</v>
          </cell>
          <cell r="H27">
            <v>0</v>
          </cell>
          <cell r="I27">
            <v>10700000.000000728</v>
          </cell>
        </row>
        <row r="28">
          <cell r="C28">
            <v>0</v>
          </cell>
          <cell r="D28">
            <v>0</v>
          </cell>
          <cell r="E28">
            <v>7000000</v>
          </cell>
          <cell r="F28">
            <v>5050000</v>
          </cell>
          <cell r="H28">
            <v>0</v>
          </cell>
          <cell r="I28">
            <v>11200000.000000728</v>
          </cell>
        </row>
        <row r="29">
          <cell r="C29">
            <v>0</v>
          </cell>
          <cell r="D29">
            <v>0</v>
          </cell>
          <cell r="E29">
            <v>6000000</v>
          </cell>
          <cell r="F29">
            <v>4980000</v>
          </cell>
          <cell r="H29">
            <v>0</v>
          </cell>
          <cell r="I29">
            <v>11700000.000000728</v>
          </cell>
        </row>
        <row r="30">
          <cell r="C30">
            <v>0</v>
          </cell>
          <cell r="D30">
            <v>0</v>
          </cell>
          <cell r="E30">
            <v>5000000</v>
          </cell>
          <cell r="F30">
            <v>4490000</v>
          </cell>
          <cell r="H30">
            <v>0</v>
          </cell>
          <cell r="I30">
            <v>9099999.9999985453</v>
          </cell>
        </row>
        <row r="31">
          <cell r="C31">
            <v>0</v>
          </cell>
          <cell r="D31">
            <v>0</v>
          </cell>
          <cell r="E31">
            <v>6000000</v>
          </cell>
          <cell r="F31">
            <v>5010000</v>
          </cell>
          <cell r="H31">
            <v>0</v>
          </cell>
          <cell r="I31">
            <v>9900000.0000014547</v>
          </cell>
        </row>
        <row r="245">
          <cell r="D245">
            <v>1166.7000000000407</v>
          </cell>
          <cell r="H245">
            <v>33</v>
          </cell>
        </row>
        <row r="246">
          <cell r="D246">
            <v>596.69999999998254</v>
          </cell>
          <cell r="H246">
            <v>36</v>
          </cell>
        </row>
        <row r="247">
          <cell r="D247">
            <v>664.70000000001164</v>
          </cell>
          <cell r="H247">
            <v>43</v>
          </cell>
        </row>
        <row r="248">
          <cell r="D248">
            <v>615.79999999998836</v>
          </cell>
          <cell r="H248">
            <v>44</v>
          </cell>
        </row>
        <row r="249">
          <cell r="D249">
            <v>557.10000000003492</v>
          </cell>
          <cell r="H249">
            <v>34</v>
          </cell>
        </row>
        <row r="250">
          <cell r="D250">
            <v>605.79999999998836</v>
          </cell>
          <cell r="H250">
            <v>38</v>
          </cell>
        </row>
        <row r="251">
          <cell r="D251">
            <v>-566507.10000000009</v>
          </cell>
          <cell r="H251">
            <v>-2328</v>
          </cell>
        </row>
        <row r="252">
          <cell r="D252">
            <v>0</v>
          </cell>
          <cell r="H252">
            <v>0</v>
          </cell>
        </row>
        <row r="253">
          <cell r="D253">
            <v>0</v>
          </cell>
          <cell r="H253">
            <v>0</v>
          </cell>
        </row>
        <row r="254">
          <cell r="D254">
            <v>-548048.70000000007</v>
          </cell>
          <cell r="H254">
            <v>-1175</v>
          </cell>
        </row>
        <row r="255">
          <cell r="D255"/>
          <cell r="H255"/>
        </row>
        <row r="256">
          <cell r="D256"/>
          <cell r="H256"/>
        </row>
        <row r="257">
          <cell r="D257"/>
          <cell r="H257"/>
        </row>
        <row r="259">
          <cell r="D259">
            <v>0</v>
          </cell>
          <cell r="H259">
            <v>139362</v>
          </cell>
        </row>
        <row r="260">
          <cell r="D260">
            <v>0</v>
          </cell>
          <cell r="H260">
            <v>69391</v>
          </cell>
        </row>
        <row r="261">
          <cell r="D261">
            <v>0</v>
          </cell>
          <cell r="H261">
            <v>75016</v>
          </cell>
        </row>
        <row r="262">
          <cell r="D262">
            <v>0</v>
          </cell>
          <cell r="H262">
            <v>41514</v>
          </cell>
        </row>
        <row r="263">
          <cell r="D263">
            <v>0</v>
          </cell>
          <cell r="H263">
            <v>57100</v>
          </cell>
        </row>
        <row r="264">
          <cell r="D264">
            <v>0</v>
          </cell>
          <cell r="H264">
            <v>42221</v>
          </cell>
        </row>
        <row r="265">
          <cell r="D265">
            <v>0</v>
          </cell>
          <cell r="H265">
            <v>0</v>
          </cell>
        </row>
        <row r="266">
          <cell r="D266">
            <v>0</v>
          </cell>
          <cell r="H266">
            <v>800000</v>
          </cell>
        </row>
        <row r="267">
          <cell r="D267">
            <v>0</v>
          </cell>
          <cell r="H267">
            <v>873659</v>
          </cell>
        </row>
        <row r="268">
          <cell r="D268">
            <v>0</v>
          </cell>
          <cell r="H268">
            <v>970470</v>
          </cell>
        </row>
        <row r="269">
          <cell r="D269">
            <v>0</v>
          </cell>
          <cell r="H269">
            <v>892567</v>
          </cell>
        </row>
        <row r="270">
          <cell r="D270">
            <v>0</v>
          </cell>
          <cell r="H270">
            <v>995072</v>
          </cell>
        </row>
        <row r="271">
          <cell r="D271">
            <v>0</v>
          </cell>
          <cell r="H271">
            <v>901149</v>
          </cell>
        </row>
        <row r="272">
          <cell r="D272">
            <v>0</v>
          </cell>
          <cell r="H272">
            <v>1068195</v>
          </cell>
        </row>
      </sheetData>
      <sheetData sheetId="3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rch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0</v>
          </cell>
          <cell r="D4">
            <v>0</v>
          </cell>
          <cell r="E4">
            <v>6000000</v>
          </cell>
          <cell r="F4">
            <v>4960000</v>
          </cell>
          <cell r="H4">
            <v>0</v>
          </cell>
          <cell r="I4">
            <v>11799999.999999272</v>
          </cell>
        </row>
        <row r="5">
          <cell r="C5">
            <v>0</v>
          </cell>
          <cell r="D5">
            <v>0</v>
          </cell>
          <cell r="E5">
            <v>7000000</v>
          </cell>
          <cell r="F5">
            <v>4970000</v>
          </cell>
          <cell r="H5">
            <v>0</v>
          </cell>
          <cell r="I5">
            <v>11299999.999999272</v>
          </cell>
        </row>
        <row r="6">
          <cell r="C6">
            <v>0</v>
          </cell>
          <cell r="D6">
            <v>0</v>
          </cell>
          <cell r="E6">
            <v>7000000</v>
          </cell>
          <cell r="F6">
            <v>5020000</v>
          </cell>
          <cell r="H6">
            <v>0</v>
          </cell>
          <cell r="I6">
            <v>12000000</v>
          </cell>
        </row>
        <row r="7">
          <cell r="C7">
            <v>0</v>
          </cell>
          <cell r="D7">
            <v>0</v>
          </cell>
          <cell r="E7">
            <v>6000000</v>
          </cell>
          <cell r="F7">
            <v>4930000</v>
          </cell>
          <cell r="H7">
            <v>0</v>
          </cell>
          <cell r="I7">
            <v>11600000.000002183</v>
          </cell>
        </row>
        <row r="8">
          <cell r="C8">
            <v>0</v>
          </cell>
          <cell r="D8">
            <v>0</v>
          </cell>
          <cell r="E8">
            <v>4000000</v>
          </cell>
          <cell r="F8">
            <v>5660000</v>
          </cell>
          <cell r="H8">
            <v>0</v>
          </cell>
          <cell r="I8">
            <v>10000000</v>
          </cell>
        </row>
        <row r="9">
          <cell r="C9">
            <v>0</v>
          </cell>
          <cell r="D9">
            <v>0</v>
          </cell>
          <cell r="E9">
            <v>4000000</v>
          </cell>
          <cell r="F9">
            <v>6840000</v>
          </cell>
          <cell r="H9">
            <v>0</v>
          </cell>
          <cell r="I9">
            <v>10699999.999997091</v>
          </cell>
        </row>
        <row r="10">
          <cell r="C10">
            <v>0</v>
          </cell>
          <cell r="D10">
            <v>0</v>
          </cell>
          <cell r="E10">
            <v>4000000</v>
          </cell>
          <cell r="F10">
            <v>8090000</v>
          </cell>
          <cell r="H10">
            <v>0</v>
          </cell>
          <cell r="I10">
            <v>12000000</v>
          </cell>
        </row>
        <row r="11">
          <cell r="C11">
            <v>0</v>
          </cell>
          <cell r="D11">
            <v>0</v>
          </cell>
          <cell r="E11">
            <v>3000000</v>
          </cell>
          <cell r="F11">
            <v>7040000</v>
          </cell>
          <cell r="H11">
            <v>0</v>
          </cell>
          <cell r="I11">
            <v>10100000.000002183</v>
          </cell>
        </row>
        <row r="12">
          <cell r="C12">
            <v>0</v>
          </cell>
          <cell r="D12">
            <v>0</v>
          </cell>
          <cell r="E12">
            <v>1000000</v>
          </cell>
          <cell r="F12">
            <v>6950000</v>
          </cell>
          <cell r="H12">
            <v>0</v>
          </cell>
          <cell r="I12">
            <v>9000000</v>
          </cell>
        </row>
        <row r="13">
          <cell r="C13">
            <v>0</v>
          </cell>
          <cell r="D13">
            <v>0</v>
          </cell>
          <cell r="E13">
            <v>4000000</v>
          </cell>
          <cell r="F13">
            <v>6700000</v>
          </cell>
          <cell r="H13">
            <v>0</v>
          </cell>
          <cell r="I13">
            <v>9899999.999997817</v>
          </cell>
        </row>
        <row r="14">
          <cell r="C14">
            <v>0</v>
          </cell>
          <cell r="D14">
            <v>0</v>
          </cell>
          <cell r="E14">
            <v>4000000</v>
          </cell>
          <cell r="F14">
            <v>7050000</v>
          </cell>
          <cell r="H14">
            <v>0</v>
          </cell>
          <cell r="I14">
            <v>11900000.000001455</v>
          </cell>
        </row>
        <row r="15">
          <cell r="C15">
            <v>0</v>
          </cell>
          <cell r="D15">
            <v>0</v>
          </cell>
          <cell r="E15">
            <v>5000000</v>
          </cell>
          <cell r="F15">
            <v>7100000.0000000009</v>
          </cell>
          <cell r="H15">
            <v>0</v>
          </cell>
          <cell r="I15">
            <v>12099999.999998545</v>
          </cell>
        </row>
        <row r="16">
          <cell r="C16">
            <v>0</v>
          </cell>
          <cell r="D16">
            <v>0</v>
          </cell>
          <cell r="E16">
            <v>4000000</v>
          </cell>
          <cell r="F16">
            <v>6440000</v>
          </cell>
          <cell r="H16">
            <v>0</v>
          </cell>
          <cell r="I16">
            <v>10200000.000000728</v>
          </cell>
        </row>
        <row r="17">
          <cell r="C17">
            <v>0</v>
          </cell>
          <cell r="D17">
            <v>0</v>
          </cell>
          <cell r="E17">
            <v>4000000</v>
          </cell>
          <cell r="F17">
            <v>6010000</v>
          </cell>
          <cell r="H17">
            <v>0</v>
          </cell>
          <cell r="I17">
            <v>10900000.000001455</v>
          </cell>
        </row>
        <row r="18">
          <cell r="C18">
            <v>0</v>
          </cell>
          <cell r="D18">
            <v>0</v>
          </cell>
          <cell r="E18">
            <v>5000000</v>
          </cell>
          <cell r="F18">
            <v>6030000</v>
          </cell>
          <cell r="H18">
            <v>0</v>
          </cell>
          <cell r="I18">
            <v>10299999.999999272</v>
          </cell>
        </row>
        <row r="19">
          <cell r="C19">
            <v>0</v>
          </cell>
          <cell r="D19">
            <v>0</v>
          </cell>
          <cell r="E19">
            <v>4000000</v>
          </cell>
          <cell r="F19">
            <v>5980000</v>
          </cell>
          <cell r="H19">
            <v>0</v>
          </cell>
          <cell r="I19">
            <v>10299999.999999272</v>
          </cell>
        </row>
        <row r="20">
          <cell r="C20">
            <v>0</v>
          </cell>
          <cell r="D20">
            <v>0</v>
          </cell>
          <cell r="E20">
            <v>6000000</v>
          </cell>
          <cell r="F20">
            <v>5990000</v>
          </cell>
          <cell r="H20">
            <v>0</v>
          </cell>
          <cell r="I20">
            <v>11600000.000002183</v>
          </cell>
        </row>
        <row r="21">
          <cell r="C21">
            <v>0</v>
          </cell>
          <cell r="D21">
            <v>0</v>
          </cell>
          <cell r="E21">
            <v>6000000</v>
          </cell>
          <cell r="F21">
            <v>5940000</v>
          </cell>
          <cell r="H21">
            <v>0</v>
          </cell>
          <cell r="I21">
            <v>10699999.999997091</v>
          </cell>
        </row>
        <row r="22">
          <cell r="C22">
            <v>0</v>
          </cell>
          <cell r="D22">
            <v>0</v>
          </cell>
          <cell r="E22">
            <v>5000000</v>
          </cell>
          <cell r="F22">
            <v>6030000</v>
          </cell>
          <cell r="H22">
            <v>0</v>
          </cell>
          <cell r="I22">
            <v>10900000.000001455</v>
          </cell>
        </row>
        <row r="23">
          <cell r="C23">
            <v>0</v>
          </cell>
          <cell r="D23">
            <v>0</v>
          </cell>
          <cell r="E23">
            <v>5000000</v>
          </cell>
          <cell r="F23">
            <v>6010000</v>
          </cell>
          <cell r="H23">
            <v>0</v>
          </cell>
          <cell r="I23">
            <v>11200000.000000728</v>
          </cell>
        </row>
        <row r="24">
          <cell r="C24">
            <v>0</v>
          </cell>
          <cell r="D24">
            <v>0</v>
          </cell>
          <cell r="E24">
            <v>4000000</v>
          </cell>
          <cell r="F24">
            <v>6070000</v>
          </cell>
          <cell r="H24">
            <v>0</v>
          </cell>
          <cell r="I24">
            <v>9200000.0000007283</v>
          </cell>
        </row>
        <row r="25">
          <cell r="C25">
            <v>0</v>
          </cell>
          <cell r="D25">
            <v>0</v>
          </cell>
          <cell r="E25">
            <v>5000000</v>
          </cell>
          <cell r="F25">
            <v>5970000</v>
          </cell>
          <cell r="H25">
            <v>0</v>
          </cell>
          <cell r="I25">
            <v>11500000</v>
          </cell>
        </row>
        <row r="26">
          <cell r="C26">
            <v>0</v>
          </cell>
          <cell r="D26">
            <v>0</v>
          </cell>
          <cell r="E26">
            <v>2000000</v>
          </cell>
          <cell r="F26">
            <v>5950000</v>
          </cell>
          <cell r="H26">
            <v>0</v>
          </cell>
          <cell r="I26">
            <v>8899999.999997817</v>
          </cell>
        </row>
        <row r="27">
          <cell r="C27">
            <v>0</v>
          </cell>
          <cell r="D27">
            <v>0</v>
          </cell>
          <cell r="E27">
            <v>5000000</v>
          </cell>
          <cell r="F27">
            <v>6020000</v>
          </cell>
          <cell r="H27">
            <v>0</v>
          </cell>
          <cell r="I27">
            <v>10000000</v>
          </cell>
        </row>
        <row r="28">
          <cell r="C28">
            <v>0</v>
          </cell>
          <cell r="D28">
            <v>0</v>
          </cell>
          <cell r="E28">
            <v>5000000</v>
          </cell>
          <cell r="F28">
            <v>6090000</v>
          </cell>
          <cell r="H28">
            <v>0</v>
          </cell>
          <cell r="I28">
            <v>11400000.000001455</v>
          </cell>
        </row>
        <row r="29">
          <cell r="C29">
            <v>0</v>
          </cell>
          <cell r="D29">
            <v>0</v>
          </cell>
          <cell r="E29">
            <v>5000000</v>
          </cell>
          <cell r="F29">
            <v>6120000</v>
          </cell>
          <cell r="H29">
            <v>0</v>
          </cell>
          <cell r="I29">
            <v>10200000.000000728</v>
          </cell>
        </row>
        <row r="30">
          <cell r="C30">
            <v>0</v>
          </cell>
          <cell r="D30">
            <v>0</v>
          </cell>
          <cell r="E30">
            <v>5000000</v>
          </cell>
          <cell r="F30">
            <v>5790000</v>
          </cell>
          <cell r="H30">
            <v>0</v>
          </cell>
          <cell r="I30">
            <v>10299999.999999272</v>
          </cell>
        </row>
        <row r="31">
          <cell r="C31">
            <v>0</v>
          </cell>
          <cell r="D31">
            <v>0</v>
          </cell>
          <cell r="E31">
            <v>4000000</v>
          </cell>
          <cell r="F31">
            <v>6010000</v>
          </cell>
          <cell r="H31">
            <v>0</v>
          </cell>
          <cell r="I31">
            <v>10399999.999997817</v>
          </cell>
        </row>
        <row r="32">
          <cell r="C32">
            <v>0</v>
          </cell>
          <cell r="D32">
            <v>0</v>
          </cell>
          <cell r="E32">
            <v>4000000</v>
          </cell>
          <cell r="F32">
            <v>6030000</v>
          </cell>
          <cell r="H32">
            <v>0</v>
          </cell>
          <cell r="I32">
            <v>10000000</v>
          </cell>
        </row>
        <row r="33">
          <cell r="C33">
            <v>0</v>
          </cell>
          <cell r="D33">
            <v>0</v>
          </cell>
          <cell r="E33">
            <v>6000000</v>
          </cell>
          <cell r="F33">
            <v>6040000</v>
          </cell>
          <cell r="H33">
            <v>0</v>
          </cell>
          <cell r="I33">
            <v>10500000</v>
          </cell>
        </row>
        <row r="34">
          <cell r="C34">
            <v>0</v>
          </cell>
          <cell r="D34">
            <v>0</v>
          </cell>
          <cell r="E34">
            <v>5000000</v>
          </cell>
          <cell r="F34">
            <v>5940000</v>
          </cell>
          <cell r="H34">
            <v>0</v>
          </cell>
          <cell r="I34">
            <v>12000000</v>
          </cell>
        </row>
        <row r="259">
          <cell r="D259">
            <v>0</v>
          </cell>
          <cell r="H259">
            <v>923151</v>
          </cell>
        </row>
        <row r="260">
          <cell r="D260">
            <v>0</v>
          </cell>
          <cell r="H260">
            <v>1066881</v>
          </cell>
        </row>
        <row r="261">
          <cell r="D261">
            <v>0</v>
          </cell>
          <cell r="H261">
            <v>991794</v>
          </cell>
        </row>
        <row r="262">
          <cell r="D262">
            <v>0</v>
          </cell>
          <cell r="H262">
            <v>999626</v>
          </cell>
        </row>
        <row r="263">
          <cell r="D263">
            <v>0</v>
          </cell>
          <cell r="H263">
            <v>824365</v>
          </cell>
        </row>
        <row r="264">
          <cell r="D264">
            <v>0</v>
          </cell>
          <cell r="H264">
            <v>884810</v>
          </cell>
        </row>
        <row r="265">
          <cell r="D265">
            <v>0</v>
          </cell>
          <cell r="H265">
            <v>903546</v>
          </cell>
        </row>
        <row r="266">
          <cell r="D266">
            <v>0</v>
          </cell>
          <cell r="H266">
            <v>942025</v>
          </cell>
        </row>
        <row r="267">
          <cell r="D267">
            <v>0</v>
          </cell>
          <cell r="H267">
            <v>698458</v>
          </cell>
        </row>
        <row r="268">
          <cell r="D268">
            <v>0</v>
          </cell>
          <cell r="H268">
            <v>914821</v>
          </cell>
        </row>
        <row r="269">
          <cell r="D269">
            <v>0</v>
          </cell>
          <cell r="H269">
            <v>924461</v>
          </cell>
        </row>
        <row r="270">
          <cell r="D270">
            <v>0</v>
          </cell>
          <cell r="H270">
            <v>934880</v>
          </cell>
        </row>
        <row r="271">
          <cell r="D271">
            <v>0</v>
          </cell>
          <cell r="H271">
            <v>1073542</v>
          </cell>
        </row>
        <row r="272">
          <cell r="D272">
            <v>0</v>
          </cell>
          <cell r="H272">
            <v>919610</v>
          </cell>
        </row>
        <row r="273">
          <cell r="D273">
            <v>0</v>
          </cell>
          <cell r="H273">
            <v>892116</v>
          </cell>
        </row>
        <row r="274">
          <cell r="D274">
            <v>0</v>
          </cell>
          <cell r="H274">
            <v>803139</v>
          </cell>
        </row>
        <row r="275">
          <cell r="D275">
            <v>0</v>
          </cell>
          <cell r="H275">
            <v>949445</v>
          </cell>
        </row>
        <row r="276">
          <cell r="D276">
            <v>0</v>
          </cell>
          <cell r="H276">
            <v>982584</v>
          </cell>
        </row>
        <row r="277">
          <cell r="D277">
            <v>0</v>
          </cell>
          <cell r="H277">
            <v>914084</v>
          </cell>
        </row>
        <row r="278">
          <cell r="D278">
            <v>0</v>
          </cell>
          <cell r="H278">
            <v>922665</v>
          </cell>
        </row>
        <row r="279">
          <cell r="D279">
            <v>0</v>
          </cell>
          <cell r="H279">
            <v>956804</v>
          </cell>
        </row>
        <row r="280">
          <cell r="D280">
            <v>0</v>
          </cell>
          <cell r="H280">
            <v>830757</v>
          </cell>
        </row>
        <row r="281">
          <cell r="D281">
            <v>0</v>
          </cell>
          <cell r="H281">
            <v>751183</v>
          </cell>
        </row>
        <row r="282">
          <cell r="D282">
            <v>0</v>
          </cell>
          <cell r="H282">
            <v>853005</v>
          </cell>
        </row>
        <row r="283">
          <cell r="D283">
            <v>0</v>
          </cell>
          <cell r="H283">
            <v>917878</v>
          </cell>
        </row>
        <row r="284">
          <cell r="D284">
            <v>0</v>
          </cell>
          <cell r="H284">
            <v>1003114</v>
          </cell>
        </row>
        <row r="285">
          <cell r="D285">
            <v>0</v>
          </cell>
          <cell r="H285">
            <v>906383</v>
          </cell>
        </row>
        <row r="286">
          <cell r="D286">
            <v>0</v>
          </cell>
          <cell r="H286">
            <v>1036021</v>
          </cell>
        </row>
        <row r="287">
          <cell r="D287">
            <v>0</v>
          </cell>
          <cell r="H287">
            <v>924972</v>
          </cell>
        </row>
        <row r="288">
          <cell r="D288">
            <v>0</v>
          </cell>
          <cell r="H288">
            <v>894335</v>
          </cell>
        </row>
        <row r="289">
          <cell r="D289">
            <v>0</v>
          </cell>
          <cell r="H289">
            <v>1018139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April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0</v>
          </cell>
          <cell r="D4">
            <v>0</v>
          </cell>
          <cell r="E4">
            <v>6000000</v>
          </cell>
          <cell r="F4">
            <v>6080000</v>
          </cell>
          <cell r="H4">
            <v>0</v>
          </cell>
          <cell r="I4">
            <v>10600000.000002183</v>
          </cell>
        </row>
        <row r="5">
          <cell r="C5">
            <v>0</v>
          </cell>
          <cell r="D5">
            <v>0</v>
          </cell>
          <cell r="E5">
            <v>5000000</v>
          </cell>
          <cell r="F5">
            <v>5970000</v>
          </cell>
          <cell r="H5">
            <v>0</v>
          </cell>
          <cell r="I5">
            <v>11000000</v>
          </cell>
        </row>
        <row r="6">
          <cell r="C6">
            <v>0</v>
          </cell>
          <cell r="D6">
            <v>0</v>
          </cell>
          <cell r="E6">
            <v>4000000</v>
          </cell>
          <cell r="F6">
            <v>6020000</v>
          </cell>
          <cell r="H6">
            <v>0</v>
          </cell>
          <cell r="I6">
            <v>10399999.999997817</v>
          </cell>
        </row>
        <row r="7">
          <cell r="C7">
            <v>0</v>
          </cell>
          <cell r="D7">
            <v>0</v>
          </cell>
          <cell r="E7">
            <v>5000000</v>
          </cell>
          <cell r="F7">
            <v>6080000</v>
          </cell>
          <cell r="H7">
            <v>0</v>
          </cell>
          <cell r="I7">
            <v>10900000.000001455</v>
          </cell>
        </row>
        <row r="8">
          <cell r="C8">
            <v>0</v>
          </cell>
          <cell r="D8">
            <v>0</v>
          </cell>
          <cell r="E8">
            <v>5000000</v>
          </cell>
          <cell r="F8">
            <v>5900000</v>
          </cell>
          <cell r="H8">
            <v>0</v>
          </cell>
          <cell r="I8">
            <v>10000000</v>
          </cell>
        </row>
        <row r="9">
          <cell r="C9">
            <v>0</v>
          </cell>
          <cell r="D9">
            <v>0</v>
          </cell>
          <cell r="E9">
            <v>4000000</v>
          </cell>
          <cell r="F9">
            <v>6070000</v>
          </cell>
          <cell r="H9">
            <v>0</v>
          </cell>
          <cell r="I9">
            <v>11299999.999999272</v>
          </cell>
        </row>
        <row r="10">
          <cell r="C10">
            <v>0</v>
          </cell>
          <cell r="D10">
            <v>0</v>
          </cell>
          <cell r="E10">
            <v>6000000</v>
          </cell>
          <cell r="F10">
            <v>5910000</v>
          </cell>
          <cell r="H10">
            <v>0</v>
          </cell>
          <cell r="I10">
            <v>11400000.000001455</v>
          </cell>
        </row>
        <row r="11">
          <cell r="C11">
            <v>0</v>
          </cell>
          <cell r="D11">
            <v>0</v>
          </cell>
          <cell r="E11">
            <v>7000000</v>
          </cell>
          <cell r="F11">
            <v>5970000</v>
          </cell>
          <cell r="H11">
            <v>0</v>
          </cell>
          <cell r="I11">
            <v>12299999.999999272</v>
          </cell>
        </row>
        <row r="12">
          <cell r="C12">
            <v>0</v>
          </cell>
          <cell r="D12">
            <v>0</v>
          </cell>
          <cell r="E12">
            <v>5000000</v>
          </cell>
          <cell r="F12">
            <v>6050000</v>
          </cell>
          <cell r="H12">
            <v>0</v>
          </cell>
          <cell r="I12">
            <v>11799999.999999272</v>
          </cell>
        </row>
        <row r="13">
          <cell r="C13">
            <v>0</v>
          </cell>
          <cell r="D13">
            <v>0</v>
          </cell>
          <cell r="E13">
            <v>5000000</v>
          </cell>
          <cell r="F13">
            <v>6060000.0000000009</v>
          </cell>
          <cell r="H13">
            <v>0</v>
          </cell>
          <cell r="I13">
            <v>9299999.9999992717</v>
          </cell>
        </row>
        <row r="14">
          <cell r="C14">
            <v>0</v>
          </cell>
          <cell r="D14">
            <v>0</v>
          </cell>
          <cell r="E14">
            <v>3000000</v>
          </cell>
          <cell r="F14">
            <v>5930000</v>
          </cell>
          <cell r="H14">
            <v>0</v>
          </cell>
          <cell r="I14">
            <v>10000000</v>
          </cell>
        </row>
        <row r="15">
          <cell r="C15">
            <v>0</v>
          </cell>
          <cell r="D15">
            <v>0</v>
          </cell>
          <cell r="E15">
            <v>5000000</v>
          </cell>
          <cell r="F15">
            <v>5970000</v>
          </cell>
          <cell r="H15">
            <v>0</v>
          </cell>
          <cell r="I15">
            <v>10300000.000002909</v>
          </cell>
        </row>
        <row r="16">
          <cell r="C16">
            <v>0</v>
          </cell>
          <cell r="D16">
            <v>0</v>
          </cell>
          <cell r="E16">
            <v>5000000</v>
          </cell>
          <cell r="F16">
            <v>5980000</v>
          </cell>
          <cell r="H16">
            <v>0</v>
          </cell>
          <cell r="I16">
            <v>10699999.999997091</v>
          </cell>
        </row>
        <row r="17">
          <cell r="C17">
            <v>0</v>
          </cell>
          <cell r="D17">
            <v>0</v>
          </cell>
          <cell r="E17">
            <v>6000000</v>
          </cell>
          <cell r="F17">
            <v>6000000</v>
          </cell>
          <cell r="H17">
            <v>0</v>
          </cell>
          <cell r="I17">
            <v>11300000.000002909</v>
          </cell>
        </row>
        <row r="18">
          <cell r="C18">
            <v>0</v>
          </cell>
          <cell r="D18">
            <v>0</v>
          </cell>
          <cell r="E18">
            <v>6000000</v>
          </cell>
          <cell r="F18">
            <v>6020000</v>
          </cell>
          <cell r="H18">
            <v>0</v>
          </cell>
          <cell r="I18">
            <v>11199999.999997091</v>
          </cell>
        </row>
        <row r="19">
          <cell r="C19">
            <v>0</v>
          </cell>
          <cell r="D19">
            <v>0</v>
          </cell>
          <cell r="E19">
            <v>4000000</v>
          </cell>
          <cell r="F19">
            <v>6010000</v>
          </cell>
          <cell r="H19">
            <v>0</v>
          </cell>
          <cell r="I19">
            <v>10400000.000001455</v>
          </cell>
        </row>
        <row r="20">
          <cell r="C20">
            <v>0</v>
          </cell>
          <cell r="D20">
            <v>0</v>
          </cell>
          <cell r="E20">
            <v>4000000</v>
          </cell>
          <cell r="F20">
            <v>5970000</v>
          </cell>
          <cell r="H20">
            <v>0</v>
          </cell>
          <cell r="I20">
            <v>9599999.9999985453</v>
          </cell>
        </row>
        <row r="21">
          <cell r="C21">
            <v>0</v>
          </cell>
          <cell r="D21">
            <v>0</v>
          </cell>
          <cell r="E21">
            <v>4000000</v>
          </cell>
          <cell r="F21">
            <v>6060000.0000000009</v>
          </cell>
          <cell r="H21">
            <v>0</v>
          </cell>
          <cell r="I21">
            <v>10300000.000002909</v>
          </cell>
        </row>
        <row r="22">
          <cell r="C22">
            <v>0</v>
          </cell>
          <cell r="D22">
            <v>0</v>
          </cell>
          <cell r="E22">
            <v>4000000</v>
          </cell>
          <cell r="F22">
            <v>5970000</v>
          </cell>
          <cell r="H22">
            <v>0</v>
          </cell>
          <cell r="I22">
            <v>10000000</v>
          </cell>
        </row>
        <row r="23">
          <cell r="C23">
            <v>0</v>
          </cell>
          <cell r="D23">
            <v>0</v>
          </cell>
          <cell r="E23">
            <v>5000000</v>
          </cell>
          <cell r="F23">
            <v>6010000</v>
          </cell>
          <cell r="H23">
            <v>0</v>
          </cell>
          <cell r="I23">
            <v>10599999.999998545</v>
          </cell>
        </row>
        <row r="24">
          <cell r="C24">
            <v>0</v>
          </cell>
          <cell r="D24">
            <v>0</v>
          </cell>
          <cell r="E24">
            <v>6000000</v>
          </cell>
          <cell r="F24">
            <v>5980000</v>
          </cell>
          <cell r="H24">
            <v>0</v>
          </cell>
          <cell r="I24">
            <v>11099999.999998545</v>
          </cell>
        </row>
        <row r="25">
          <cell r="C25">
            <v>0</v>
          </cell>
          <cell r="D25">
            <v>0</v>
          </cell>
          <cell r="E25">
            <v>6000000</v>
          </cell>
          <cell r="F25">
            <v>5980000</v>
          </cell>
          <cell r="H25">
            <v>0</v>
          </cell>
          <cell r="I25">
            <v>11600000.000002183</v>
          </cell>
        </row>
        <row r="26">
          <cell r="C26">
            <v>0</v>
          </cell>
          <cell r="D26">
            <v>0</v>
          </cell>
          <cell r="E26">
            <v>5000000</v>
          </cell>
          <cell r="F26">
            <v>6040000</v>
          </cell>
          <cell r="H26">
            <v>0</v>
          </cell>
          <cell r="I26">
            <v>11200000.000000728</v>
          </cell>
        </row>
        <row r="27">
          <cell r="C27">
            <v>0</v>
          </cell>
          <cell r="D27">
            <v>0</v>
          </cell>
          <cell r="E27">
            <v>5000000</v>
          </cell>
          <cell r="F27">
            <v>5960000</v>
          </cell>
          <cell r="H27">
            <v>0</v>
          </cell>
          <cell r="I27">
            <v>9699999.9999970905</v>
          </cell>
        </row>
        <row r="28">
          <cell r="C28">
            <v>0</v>
          </cell>
          <cell r="D28">
            <v>0</v>
          </cell>
          <cell r="E28">
            <v>5000000</v>
          </cell>
          <cell r="F28">
            <v>6030000</v>
          </cell>
          <cell r="H28">
            <v>0</v>
          </cell>
          <cell r="I28">
            <v>10800000.000002909</v>
          </cell>
        </row>
        <row r="29">
          <cell r="C29">
            <v>0</v>
          </cell>
          <cell r="D29">
            <v>0</v>
          </cell>
          <cell r="E29">
            <v>6000000</v>
          </cell>
          <cell r="F29">
            <v>5980000</v>
          </cell>
          <cell r="H29">
            <v>0</v>
          </cell>
          <cell r="I29">
            <v>11500000</v>
          </cell>
        </row>
        <row r="30">
          <cell r="C30">
            <v>0</v>
          </cell>
          <cell r="D30">
            <v>0</v>
          </cell>
          <cell r="E30">
            <v>6000000</v>
          </cell>
          <cell r="F30">
            <v>5990000</v>
          </cell>
          <cell r="H30">
            <v>0</v>
          </cell>
          <cell r="I30">
            <v>12000000</v>
          </cell>
        </row>
        <row r="31">
          <cell r="C31">
            <v>0</v>
          </cell>
          <cell r="D31">
            <v>0</v>
          </cell>
          <cell r="E31">
            <v>8000000</v>
          </cell>
          <cell r="F31">
            <v>6010000</v>
          </cell>
          <cell r="H31">
            <v>0</v>
          </cell>
          <cell r="I31">
            <v>13399999.999997817</v>
          </cell>
        </row>
        <row r="32">
          <cell r="C32">
            <v>0</v>
          </cell>
          <cell r="D32">
            <v>0</v>
          </cell>
          <cell r="E32">
            <v>8000000</v>
          </cell>
          <cell r="F32">
            <v>5950000</v>
          </cell>
          <cell r="H32">
            <v>0</v>
          </cell>
          <cell r="I32">
            <v>12900000.000001455</v>
          </cell>
        </row>
        <row r="33">
          <cell r="C33">
            <v>0</v>
          </cell>
          <cell r="D33">
            <v>0</v>
          </cell>
          <cell r="E33">
            <v>9000000</v>
          </cell>
          <cell r="F33">
            <v>5520000</v>
          </cell>
          <cell r="H33">
            <v>0</v>
          </cell>
          <cell r="I33">
            <v>13899999.999997817</v>
          </cell>
        </row>
        <row r="259">
          <cell r="D259">
            <v>0</v>
          </cell>
          <cell r="H259">
            <v>1006093</v>
          </cell>
        </row>
        <row r="260">
          <cell r="D260">
            <v>0</v>
          </cell>
          <cell r="H260">
            <v>1020598</v>
          </cell>
        </row>
        <row r="261">
          <cell r="D261">
            <v>0</v>
          </cell>
          <cell r="H261">
            <v>853251</v>
          </cell>
        </row>
        <row r="262">
          <cell r="D262">
            <v>0</v>
          </cell>
          <cell r="H262">
            <v>970045</v>
          </cell>
        </row>
        <row r="263">
          <cell r="D263">
            <v>0</v>
          </cell>
          <cell r="H263">
            <v>1090049</v>
          </cell>
        </row>
        <row r="264">
          <cell r="D264">
            <v>0</v>
          </cell>
          <cell r="H264">
            <v>940925</v>
          </cell>
        </row>
        <row r="265">
          <cell r="D265">
            <v>0</v>
          </cell>
          <cell r="H265">
            <v>1038652</v>
          </cell>
        </row>
        <row r="266">
          <cell r="D266">
            <v>0</v>
          </cell>
          <cell r="H266">
            <v>1035194</v>
          </cell>
        </row>
        <row r="267">
          <cell r="D267">
            <v>0</v>
          </cell>
          <cell r="H267">
            <v>894376</v>
          </cell>
        </row>
        <row r="268">
          <cell r="D268">
            <v>0</v>
          </cell>
          <cell r="H268">
            <v>912376</v>
          </cell>
        </row>
        <row r="269">
          <cell r="D269">
            <v>0</v>
          </cell>
          <cell r="H269">
            <v>961710</v>
          </cell>
        </row>
        <row r="270">
          <cell r="D270">
            <v>0</v>
          </cell>
          <cell r="H270">
            <v>1002410</v>
          </cell>
        </row>
        <row r="271">
          <cell r="D271">
            <v>0</v>
          </cell>
          <cell r="H271">
            <v>974866</v>
          </cell>
        </row>
        <row r="272">
          <cell r="D272">
            <v>0</v>
          </cell>
          <cell r="H272">
            <v>960667</v>
          </cell>
        </row>
        <row r="273">
          <cell r="D273">
            <v>0</v>
          </cell>
          <cell r="H273">
            <v>1009394</v>
          </cell>
        </row>
        <row r="274">
          <cell r="D274">
            <v>0</v>
          </cell>
          <cell r="H274">
            <v>923678</v>
          </cell>
        </row>
        <row r="275">
          <cell r="D275">
            <v>0</v>
          </cell>
          <cell r="H275">
            <v>796610</v>
          </cell>
        </row>
        <row r="276">
          <cell r="D276">
            <v>0</v>
          </cell>
          <cell r="H276">
            <v>811692</v>
          </cell>
        </row>
        <row r="277">
          <cell r="D277">
            <v>0</v>
          </cell>
          <cell r="H277">
            <v>851039</v>
          </cell>
        </row>
        <row r="278">
          <cell r="D278">
            <v>0</v>
          </cell>
          <cell r="H278">
            <v>905441</v>
          </cell>
        </row>
        <row r="279">
          <cell r="D279">
            <v>0</v>
          </cell>
          <cell r="H279">
            <v>928888</v>
          </cell>
        </row>
        <row r="280">
          <cell r="D280">
            <v>0</v>
          </cell>
          <cell r="H280">
            <v>952698</v>
          </cell>
        </row>
        <row r="281">
          <cell r="D281">
            <v>0</v>
          </cell>
          <cell r="H281">
            <v>1005408</v>
          </cell>
        </row>
        <row r="282">
          <cell r="D282">
            <v>0</v>
          </cell>
          <cell r="H282">
            <v>974247</v>
          </cell>
        </row>
        <row r="283">
          <cell r="D283">
            <v>0</v>
          </cell>
          <cell r="H283">
            <v>1030088</v>
          </cell>
        </row>
        <row r="284">
          <cell r="D284">
            <v>0</v>
          </cell>
          <cell r="H284">
            <v>950640</v>
          </cell>
        </row>
        <row r="285">
          <cell r="D285">
            <v>0</v>
          </cell>
          <cell r="H285">
            <v>1021706</v>
          </cell>
        </row>
        <row r="286">
          <cell r="D286">
            <v>0</v>
          </cell>
          <cell r="H286">
            <v>1073589</v>
          </cell>
        </row>
        <row r="287">
          <cell r="D287">
            <v>0</v>
          </cell>
          <cell r="H287">
            <v>1275253</v>
          </cell>
        </row>
        <row r="288">
          <cell r="D288">
            <v>0</v>
          </cell>
          <cell r="H288">
            <v>1101298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y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0</v>
          </cell>
          <cell r="D4">
            <v>0</v>
          </cell>
          <cell r="E4">
            <v>8000000</v>
          </cell>
          <cell r="F4">
            <v>5890000</v>
          </cell>
          <cell r="H4">
            <v>0</v>
          </cell>
          <cell r="I4">
            <v>12200000.000000728</v>
          </cell>
        </row>
        <row r="5">
          <cell r="C5">
            <v>0</v>
          </cell>
          <cell r="D5">
            <v>0</v>
          </cell>
          <cell r="E5">
            <v>5000000</v>
          </cell>
          <cell r="F5">
            <v>5730000</v>
          </cell>
          <cell r="H5">
            <v>0</v>
          </cell>
          <cell r="I5">
            <v>11299999.999999272</v>
          </cell>
        </row>
        <row r="6">
          <cell r="C6">
            <v>0</v>
          </cell>
          <cell r="D6">
            <v>0</v>
          </cell>
          <cell r="E6">
            <v>4000000</v>
          </cell>
          <cell r="F6">
            <v>5970000</v>
          </cell>
          <cell r="H6">
            <v>0</v>
          </cell>
          <cell r="I6">
            <v>9900000.0000014547</v>
          </cell>
        </row>
        <row r="7">
          <cell r="C7">
            <v>0</v>
          </cell>
          <cell r="D7">
            <v>0</v>
          </cell>
          <cell r="E7">
            <v>5000000</v>
          </cell>
          <cell r="F7">
            <v>5990000</v>
          </cell>
          <cell r="H7">
            <v>0</v>
          </cell>
          <cell r="I7">
            <v>10799999.999999272</v>
          </cell>
        </row>
        <row r="8">
          <cell r="C8">
            <v>0</v>
          </cell>
          <cell r="D8">
            <v>0</v>
          </cell>
          <cell r="E8">
            <v>6000000</v>
          </cell>
          <cell r="F8">
            <v>6030000</v>
          </cell>
          <cell r="H8">
            <v>0</v>
          </cell>
          <cell r="I8">
            <v>12500000</v>
          </cell>
        </row>
        <row r="9">
          <cell r="C9">
            <v>0</v>
          </cell>
          <cell r="D9">
            <v>0</v>
          </cell>
          <cell r="E9">
            <v>8000000</v>
          </cell>
          <cell r="F9">
            <v>6020000</v>
          </cell>
          <cell r="H9">
            <v>0</v>
          </cell>
          <cell r="I9">
            <v>12600000.000002183</v>
          </cell>
        </row>
        <row r="10">
          <cell r="C10">
            <v>0</v>
          </cell>
          <cell r="D10">
            <v>0</v>
          </cell>
          <cell r="E10">
            <v>7000000</v>
          </cell>
          <cell r="F10">
            <v>5920000</v>
          </cell>
          <cell r="H10">
            <v>0</v>
          </cell>
          <cell r="I10">
            <v>13399999.999997817</v>
          </cell>
        </row>
        <row r="11">
          <cell r="C11">
            <v>0</v>
          </cell>
          <cell r="D11">
            <v>0</v>
          </cell>
          <cell r="E11">
            <v>6000000</v>
          </cell>
          <cell r="F11">
            <v>5900000</v>
          </cell>
          <cell r="H11">
            <v>0</v>
          </cell>
          <cell r="I11">
            <v>11000000</v>
          </cell>
        </row>
        <row r="12">
          <cell r="C12">
            <v>0</v>
          </cell>
          <cell r="D12">
            <v>0</v>
          </cell>
          <cell r="E12">
            <v>5000000</v>
          </cell>
          <cell r="F12">
            <v>6000000</v>
          </cell>
          <cell r="H12">
            <v>0</v>
          </cell>
          <cell r="I12">
            <v>11200000.000000728</v>
          </cell>
        </row>
        <row r="13">
          <cell r="C13">
            <v>0</v>
          </cell>
          <cell r="D13">
            <v>0</v>
          </cell>
          <cell r="E13">
            <v>5000000</v>
          </cell>
          <cell r="F13">
            <v>6020000</v>
          </cell>
          <cell r="H13">
            <v>0</v>
          </cell>
          <cell r="I13">
            <v>11799999.999999272</v>
          </cell>
        </row>
        <row r="14">
          <cell r="C14">
            <v>0</v>
          </cell>
          <cell r="D14">
            <v>0</v>
          </cell>
          <cell r="E14">
            <v>8000000</v>
          </cell>
          <cell r="F14">
            <v>6050000</v>
          </cell>
          <cell r="H14">
            <v>0</v>
          </cell>
          <cell r="I14">
            <v>13200000.000000728</v>
          </cell>
        </row>
        <row r="15">
          <cell r="C15">
            <v>0</v>
          </cell>
          <cell r="D15">
            <v>0</v>
          </cell>
          <cell r="E15">
            <v>10000000</v>
          </cell>
          <cell r="F15">
            <v>5950000</v>
          </cell>
          <cell r="H15">
            <v>0</v>
          </cell>
          <cell r="I15">
            <v>15400000.000001455</v>
          </cell>
        </row>
        <row r="16">
          <cell r="C16">
            <v>0</v>
          </cell>
          <cell r="D16">
            <v>0</v>
          </cell>
          <cell r="E16">
            <v>11000000</v>
          </cell>
          <cell r="F16">
            <v>6000000</v>
          </cell>
          <cell r="H16">
            <v>0</v>
          </cell>
          <cell r="I16">
            <v>16599999.999998545</v>
          </cell>
        </row>
        <row r="17">
          <cell r="C17">
            <v>0</v>
          </cell>
          <cell r="D17">
            <v>0</v>
          </cell>
          <cell r="E17">
            <v>13000000</v>
          </cell>
          <cell r="F17">
            <v>5980000</v>
          </cell>
          <cell r="H17">
            <v>0</v>
          </cell>
          <cell r="I17">
            <v>17500000</v>
          </cell>
        </row>
        <row r="18">
          <cell r="C18">
            <v>0</v>
          </cell>
          <cell r="D18">
            <v>0</v>
          </cell>
          <cell r="E18">
            <v>12000000</v>
          </cell>
          <cell r="F18">
            <v>6020000</v>
          </cell>
          <cell r="H18">
            <v>0</v>
          </cell>
          <cell r="I18">
            <v>17400000.000001457</v>
          </cell>
        </row>
        <row r="19">
          <cell r="C19">
            <v>0</v>
          </cell>
          <cell r="D19">
            <v>0</v>
          </cell>
          <cell r="E19">
            <v>10000000</v>
          </cell>
          <cell r="F19">
            <v>6060000.0000000009</v>
          </cell>
          <cell r="H19">
            <v>0</v>
          </cell>
          <cell r="I19">
            <v>14699999.999997091</v>
          </cell>
        </row>
        <row r="20">
          <cell r="C20">
            <v>0</v>
          </cell>
          <cell r="D20">
            <v>0</v>
          </cell>
          <cell r="E20">
            <v>11000000</v>
          </cell>
          <cell r="F20">
            <v>5920000</v>
          </cell>
          <cell r="H20">
            <v>0</v>
          </cell>
          <cell r="I20">
            <v>17200000.000000726</v>
          </cell>
        </row>
        <row r="21">
          <cell r="C21">
            <v>0</v>
          </cell>
          <cell r="D21">
            <v>0</v>
          </cell>
          <cell r="E21">
            <v>16000000</v>
          </cell>
          <cell r="F21">
            <v>6000000</v>
          </cell>
          <cell r="H21">
            <v>0</v>
          </cell>
          <cell r="I21">
            <v>20500000</v>
          </cell>
        </row>
        <row r="22">
          <cell r="C22">
            <v>0</v>
          </cell>
          <cell r="D22">
            <v>0</v>
          </cell>
          <cell r="E22">
            <v>13000000</v>
          </cell>
          <cell r="F22">
            <v>6030000</v>
          </cell>
          <cell r="H22">
            <v>0</v>
          </cell>
          <cell r="I22">
            <v>19000000</v>
          </cell>
        </row>
        <row r="23">
          <cell r="C23">
            <v>0</v>
          </cell>
          <cell r="D23">
            <v>0</v>
          </cell>
          <cell r="E23">
            <v>14000000</v>
          </cell>
          <cell r="F23">
            <v>6010000</v>
          </cell>
          <cell r="H23">
            <v>0</v>
          </cell>
          <cell r="I23">
            <v>17799999.999999274</v>
          </cell>
        </row>
        <row r="24">
          <cell r="C24">
            <v>0</v>
          </cell>
          <cell r="D24">
            <v>0</v>
          </cell>
          <cell r="E24">
            <v>8000000</v>
          </cell>
          <cell r="F24">
            <v>6040000</v>
          </cell>
          <cell r="H24">
            <v>0</v>
          </cell>
          <cell r="I24">
            <v>14900000.000001455</v>
          </cell>
        </row>
        <row r="25">
          <cell r="C25">
            <v>0</v>
          </cell>
          <cell r="D25">
            <v>0</v>
          </cell>
          <cell r="E25">
            <v>14000000</v>
          </cell>
          <cell r="F25">
            <v>5930000</v>
          </cell>
          <cell r="H25">
            <v>0</v>
          </cell>
          <cell r="I25">
            <v>18200000.000000726</v>
          </cell>
        </row>
        <row r="26">
          <cell r="C26">
            <v>0</v>
          </cell>
          <cell r="D26">
            <v>0</v>
          </cell>
          <cell r="E26">
            <v>16000000</v>
          </cell>
          <cell r="F26">
            <v>6040000</v>
          </cell>
          <cell r="H26">
            <v>0</v>
          </cell>
          <cell r="I26">
            <v>21000000</v>
          </cell>
        </row>
        <row r="27">
          <cell r="C27">
            <v>0</v>
          </cell>
          <cell r="D27">
            <v>0</v>
          </cell>
          <cell r="E27">
            <v>16000000</v>
          </cell>
          <cell r="F27">
            <v>6050000</v>
          </cell>
          <cell r="H27">
            <v>0</v>
          </cell>
          <cell r="I27">
            <v>21500000</v>
          </cell>
        </row>
        <row r="28">
          <cell r="C28">
            <v>0</v>
          </cell>
          <cell r="D28">
            <v>0</v>
          </cell>
          <cell r="E28">
            <v>17000000</v>
          </cell>
          <cell r="F28">
            <v>5950000</v>
          </cell>
          <cell r="H28">
            <v>0</v>
          </cell>
          <cell r="I28">
            <v>21799999.999999274</v>
          </cell>
        </row>
        <row r="29">
          <cell r="C29">
            <v>0</v>
          </cell>
          <cell r="D29">
            <v>0</v>
          </cell>
          <cell r="E29">
            <v>21000000</v>
          </cell>
          <cell r="F29">
            <v>6080000</v>
          </cell>
          <cell r="H29">
            <v>0</v>
          </cell>
          <cell r="I29">
            <v>24900000.000001457</v>
          </cell>
        </row>
        <row r="30">
          <cell r="C30">
            <v>0</v>
          </cell>
          <cell r="D30">
            <v>0</v>
          </cell>
          <cell r="E30">
            <v>20000000</v>
          </cell>
          <cell r="F30">
            <v>5920000</v>
          </cell>
          <cell r="H30">
            <v>0</v>
          </cell>
          <cell r="I30">
            <v>23899999.999997817</v>
          </cell>
        </row>
        <row r="31">
          <cell r="C31">
            <v>0</v>
          </cell>
          <cell r="D31">
            <v>0</v>
          </cell>
          <cell r="E31">
            <v>21000000</v>
          </cell>
          <cell r="F31">
            <v>6020000</v>
          </cell>
          <cell r="H31">
            <v>0</v>
          </cell>
          <cell r="I31">
            <v>25500000</v>
          </cell>
        </row>
        <row r="32">
          <cell r="C32">
            <v>0</v>
          </cell>
          <cell r="D32">
            <v>0</v>
          </cell>
          <cell r="E32">
            <v>22000000</v>
          </cell>
          <cell r="F32">
            <v>6010000</v>
          </cell>
          <cell r="H32">
            <v>0</v>
          </cell>
          <cell r="I32">
            <v>26400000.000001457</v>
          </cell>
        </row>
        <row r="33">
          <cell r="C33">
            <v>0</v>
          </cell>
          <cell r="D33">
            <v>0</v>
          </cell>
          <cell r="E33">
            <v>14000000</v>
          </cell>
          <cell r="F33">
            <v>6000000</v>
          </cell>
          <cell r="H33">
            <v>0</v>
          </cell>
          <cell r="I33">
            <v>18899999.999997817</v>
          </cell>
        </row>
        <row r="34">
          <cell r="C34">
            <v>0</v>
          </cell>
          <cell r="D34">
            <v>0</v>
          </cell>
          <cell r="E34">
            <v>15000000</v>
          </cell>
          <cell r="F34">
            <v>6000000</v>
          </cell>
          <cell r="H34">
            <v>0</v>
          </cell>
          <cell r="I34">
            <v>20300000.000002909</v>
          </cell>
        </row>
        <row r="259">
          <cell r="D259">
            <v>0</v>
          </cell>
          <cell r="H259">
            <v>1042763</v>
          </cell>
        </row>
        <row r="260">
          <cell r="D260">
            <v>0</v>
          </cell>
          <cell r="H260">
            <v>952254</v>
          </cell>
        </row>
        <row r="261">
          <cell r="D261">
            <v>0</v>
          </cell>
          <cell r="H261">
            <v>773023</v>
          </cell>
        </row>
        <row r="262">
          <cell r="D262">
            <v>0</v>
          </cell>
          <cell r="H262">
            <v>861165</v>
          </cell>
        </row>
        <row r="263">
          <cell r="D263">
            <v>0</v>
          </cell>
          <cell r="H263">
            <v>957214</v>
          </cell>
        </row>
        <row r="264">
          <cell r="D264">
            <v>0</v>
          </cell>
          <cell r="H264">
            <v>969351</v>
          </cell>
        </row>
        <row r="265">
          <cell r="D265">
            <v>0</v>
          </cell>
          <cell r="H265">
            <v>1009767</v>
          </cell>
        </row>
        <row r="266">
          <cell r="D266">
            <v>0</v>
          </cell>
          <cell r="H266">
            <v>952459</v>
          </cell>
        </row>
        <row r="267">
          <cell r="D267">
            <v>0</v>
          </cell>
          <cell r="H267">
            <v>825229</v>
          </cell>
        </row>
        <row r="268">
          <cell r="D268">
            <v>0</v>
          </cell>
          <cell r="H268">
            <v>910044</v>
          </cell>
        </row>
        <row r="269">
          <cell r="D269">
            <v>0</v>
          </cell>
          <cell r="H269">
            <v>990381</v>
          </cell>
        </row>
        <row r="270">
          <cell r="D270">
            <v>0</v>
          </cell>
          <cell r="H270">
            <v>1129250</v>
          </cell>
        </row>
        <row r="271">
          <cell r="D271">
            <v>0</v>
          </cell>
          <cell r="H271">
            <v>1365025</v>
          </cell>
        </row>
        <row r="272">
          <cell r="D272">
            <v>0</v>
          </cell>
          <cell r="H272">
            <v>1405859</v>
          </cell>
        </row>
        <row r="273">
          <cell r="D273">
            <v>0</v>
          </cell>
          <cell r="H273">
            <v>1374738</v>
          </cell>
        </row>
        <row r="274">
          <cell r="D274">
            <v>0</v>
          </cell>
          <cell r="H274">
            <v>1092897</v>
          </cell>
        </row>
        <row r="275">
          <cell r="D275">
            <v>0</v>
          </cell>
          <cell r="H275">
            <v>1436879</v>
          </cell>
        </row>
        <row r="276">
          <cell r="D276">
            <v>0</v>
          </cell>
          <cell r="H276">
            <v>1677251</v>
          </cell>
        </row>
        <row r="277">
          <cell r="D277">
            <v>0</v>
          </cell>
          <cell r="H277">
            <v>1609334</v>
          </cell>
        </row>
        <row r="278">
          <cell r="D278">
            <v>0</v>
          </cell>
          <cell r="H278">
            <v>1493815</v>
          </cell>
        </row>
        <row r="279">
          <cell r="D279">
            <v>0</v>
          </cell>
          <cell r="H279">
            <v>1122291</v>
          </cell>
        </row>
        <row r="280">
          <cell r="D280">
            <v>0</v>
          </cell>
          <cell r="H280">
            <v>1475618</v>
          </cell>
        </row>
        <row r="281">
          <cell r="D281">
            <v>0</v>
          </cell>
          <cell r="H281">
            <v>1619996</v>
          </cell>
        </row>
        <row r="282">
          <cell r="D282">
            <v>0</v>
          </cell>
          <cell r="H282">
            <v>1613491</v>
          </cell>
        </row>
        <row r="283">
          <cell r="D283">
            <v>0</v>
          </cell>
          <cell r="H283">
            <v>1662617</v>
          </cell>
        </row>
        <row r="284">
          <cell r="D284">
            <v>0</v>
          </cell>
          <cell r="H284">
            <v>1935032</v>
          </cell>
        </row>
        <row r="285">
          <cell r="D285">
            <v>0</v>
          </cell>
          <cell r="H285">
            <v>1889293</v>
          </cell>
        </row>
        <row r="286">
          <cell r="D286">
            <v>0</v>
          </cell>
          <cell r="H286">
            <v>2053500</v>
          </cell>
        </row>
        <row r="287">
          <cell r="D287">
            <v>0</v>
          </cell>
          <cell r="H287">
            <v>2105498</v>
          </cell>
        </row>
        <row r="288">
          <cell r="D288">
            <v>0</v>
          </cell>
          <cell r="H288">
            <v>1571609</v>
          </cell>
        </row>
        <row r="289">
          <cell r="D289">
            <v>0</v>
          </cell>
          <cell r="H289">
            <v>0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June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0</v>
          </cell>
          <cell r="D4">
            <v>0</v>
          </cell>
          <cell r="E4">
            <v>21000000</v>
          </cell>
          <cell r="F4">
            <v>5820000</v>
          </cell>
          <cell r="H4">
            <v>0</v>
          </cell>
          <cell r="I4">
            <v>24399999.999997817</v>
          </cell>
        </row>
        <row r="5">
          <cell r="C5">
            <v>6000</v>
          </cell>
          <cell r="D5">
            <v>0</v>
          </cell>
          <cell r="E5">
            <v>22000000</v>
          </cell>
          <cell r="F5">
            <v>5940000</v>
          </cell>
          <cell r="H5">
            <v>0</v>
          </cell>
          <cell r="I5">
            <v>26400000.000001457</v>
          </cell>
        </row>
        <row r="6">
          <cell r="C6">
            <v>0</v>
          </cell>
          <cell r="D6">
            <v>0</v>
          </cell>
          <cell r="E6">
            <v>27000000</v>
          </cell>
          <cell r="F6">
            <v>5940000</v>
          </cell>
          <cell r="H6">
            <v>0</v>
          </cell>
          <cell r="I6">
            <v>31200000.000000726</v>
          </cell>
        </row>
        <row r="7">
          <cell r="C7">
            <v>629000</v>
          </cell>
          <cell r="D7">
            <v>0</v>
          </cell>
          <cell r="E7">
            <v>20000000</v>
          </cell>
          <cell r="F7">
            <v>5960000</v>
          </cell>
          <cell r="H7">
            <v>0</v>
          </cell>
          <cell r="I7">
            <v>25000000</v>
          </cell>
        </row>
        <row r="8">
          <cell r="C8">
            <v>48000</v>
          </cell>
          <cell r="D8">
            <v>0</v>
          </cell>
          <cell r="E8">
            <v>20000000</v>
          </cell>
          <cell r="F8">
            <v>5900000</v>
          </cell>
          <cell r="H8">
            <v>0</v>
          </cell>
          <cell r="I8">
            <v>23899999.999997817</v>
          </cell>
        </row>
        <row r="9">
          <cell r="C9">
            <v>234000</v>
          </cell>
          <cell r="D9">
            <v>0</v>
          </cell>
          <cell r="E9">
            <v>19000000</v>
          </cell>
          <cell r="F9">
            <v>5910000</v>
          </cell>
          <cell r="H9">
            <v>0</v>
          </cell>
          <cell r="I9">
            <v>23500000</v>
          </cell>
        </row>
        <row r="10">
          <cell r="C10">
            <v>1129000</v>
          </cell>
          <cell r="D10">
            <v>0</v>
          </cell>
          <cell r="E10">
            <v>22000000</v>
          </cell>
          <cell r="F10">
            <v>6060000.0000000009</v>
          </cell>
          <cell r="H10">
            <v>1127999.9999999951</v>
          </cell>
          <cell r="I10">
            <v>27200000.000000726</v>
          </cell>
        </row>
        <row r="11">
          <cell r="C11">
            <v>0</v>
          </cell>
          <cell r="D11">
            <v>0</v>
          </cell>
          <cell r="E11">
            <v>31000000</v>
          </cell>
          <cell r="F11">
            <v>6120000</v>
          </cell>
          <cell r="H11">
            <v>0</v>
          </cell>
          <cell r="I11">
            <v>35099999.999998547</v>
          </cell>
        </row>
        <row r="12">
          <cell r="C12">
            <v>0</v>
          </cell>
          <cell r="D12">
            <v>0</v>
          </cell>
          <cell r="E12">
            <v>24000000</v>
          </cell>
          <cell r="F12">
            <v>5820000</v>
          </cell>
          <cell r="H12">
            <v>0</v>
          </cell>
          <cell r="I12">
            <v>27500000</v>
          </cell>
        </row>
        <row r="13">
          <cell r="C13">
            <v>3299000</v>
          </cell>
          <cell r="D13">
            <v>0</v>
          </cell>
          <cell r="E13">
            <v>19000000</v>
          </cell>
          <cell r="F13">
            <v>6030000</v>
          </cell>
          <cell r="H13">
            <v>3297999.9999999953</v>
          </cell>
          <cell r="I13">
            <v>24500000</v>
          </cell>
        </row>
        <row r="14">
          <cell r="C14">
            <v>5063000</v>
          </cell>
          <cell r="D14">
            <v>0</v>
          </cell>
          <cell r="E14">
            <v>22000000</v>
          </cell>
          <cell r="F14">
            <v>5970000</v>
          </cell>
          <cell r="H14">
            <v>5049000.0000000047</v>
          </cell>
          <cell r="I14">
            <v>25500000</v>
          </cell>
        </row>
        <row r="15">
          <cell r="C15">
            <v>5119000</v>
          </cell>
          <cell r="D15">
            <v>0</v>
          </cell>
          <cell r="E15">
            <v>26000000</v>
          </cell>
          <cell r="F15">
            <v>6080000</v>
          </cell>
          <cell r="H15">
            <v>5105999.9999999944</v>
          </cell>
          <cell r="I15">
            <v>30800000.000002909</v>
          </cell>
        </row>
        <row r="16">
          <cell r="C16">
            <v>5038000</v>
          </cell>
          <cell r="D16">
            <v>0</v>
          </cell>
          <cell r="E16">
            <v>23000000</v>
          </cell>
          <cell r="F16">
            <v>5900000</v>
          </cell>
          <cell r="H16">
            <v>5031000.0000000093</v>
          </cell>
          <cell r="I16">
            <v>26599999.999998543</v>
          </cell>
        </row>
        <row r="17">
          <cell r="C17">
            <v>4382000</v>
          </cell>
          <cell r="D17">
            <v>0</v>
          </cell>
          <cell r="E17">
            <v>20000000</v>
          </cell>
          <cell r="F17">
            <v>6750000</v>
          </cell>
          <cell r="H17">
            <v>4370000</v>
          </cell>
          <cell r="I17">
            <v>26299999.999999274</v>
          </cell>
        </row>
        <row r="18">
          <cell r="C18">
            <v>3970000</v>
          </cell>
          <cell r="D18">
            <v>0</v>
          </cell>
          <cell r="E18">
            <v>25000000</v>
          </cell>
          <cell r="F18">
            <v>7950000</v>
          </cell>
          <cell r="H18">
            <v>3967999.9999999902</v>
          </cell>
          <cell r="I18">
            <v>31000000</v>
          </cell>
        </row>
        <row r="19">
          <cell r="C19">
            <v>4039000</v>
          </cell>
          <cell r="D19">
            <v>0</v>
          </cell>
          <cell r="E19">
            <v>23000000</v>
          </cell>
          <cell r="F19">
            <v>8029999.9999999991</v>
          </cell>
          <cell r="H19">
            <v>4037000.0000000047</v>
          </cell>
          <cell r="I19">
            <v>29600000.000002183</v>
          </cell>
        </row>
        <row r="20">
          <cell r="C20">
            <v>4163000</v>
          </cell>
          <cell r="D20">
            <v>0</v>
          </cell>
          <cell r="E20">
            <v>19000000</v>
          </cell>
          <cell r="F20">
            <v>8290000.0000000009</v>
          </cell>
          <cell r="H20">
            <v>4160000</v>
          </cell>
          <cell r="I20">
            <v>25699999.999997091</v>
          </cell>
        </row>
        <row r="21">
          <cell r="C21">
            <v>3851000</v>
          </cell>
          <cell r="D21">
            <v>0</v>
          </cell>
          <cell r="E21">
            <v>17000000</v>
          </cell>
          <cell r="F21">
            <v>7670000</v>
          </cell>
          <cell r="H21">
            <v>3848000</v>
          </cell>
          <cell r="I21">
            <v>23700000.000000726</v>
          </cell>
        </row>
        <row r="22">
          <cell r="C22">
            <v>4780000</v>
          </cell>
          <cell r="D22">
            <v>0</v>
          </cell>
          <cell r="E22">
            <v>22000000</v>
          </cell>
          <cell r="F22">
            <v>8000000</v>
          </cell>
          <cell r="H22">
            <v>4777000</v>
          </cell>
          <cell r="I22">
            <v>29000000</v>
          </cell>
        </row>
        <row r="23">
          <cell r="C23">
            <v>8158000</v>
          </cell>
          <cell r="D23">
            <v>0</v>
          </cell>
          <cell r="E23">
            <v>21000000</v>
          </cell>
          <cell r="F23">
            <v>7990000</v>
          </cell>
          <cell r="H23">
            <v>7524000</v>
          </cell>
          <cell r="I23">
            <v>26799999.999999274</v>
          </cell>
        </row>
        <row r="24">
          <cell r="C24">
            <v>8381000</v>
          </cell>
          <cell r="D24">
            <v>0</v>
          </cell>
          <cell r="E24">
            <v>19000000</v>
          </cell>
          <cell r="F24">
            <v>7980000</v>
          </cell>
          <cell r="H24">
            <v>8102000</v>
          </cell>
          <cell r="I24">
            <v>26500000</v>
          </cell>
        </row>
        <row r="25">
          <cell r="C25">
            <v>7281000</v>
          </cell>
          <cell r="D25">
            <v>0</v>
          </cell>
          <cell r="E25">
            <v>22000000</v>
          </cell>
          <cell r="F25">
            <v>7990000</v>
          </cell>
          <cell r="H25">
            <v>6977000</v>
          </cell>
          <cell r="I25">
            <v>28600000.000002183</v>
          </cell>
        </row>
        <row r="26">
          <cell r="C26">
            <v>7793000</v>
          </cell>
          <cell r="D26">
            <v>0</v>
          </cell>
          <cell r="E26">
            <v>26000000</v>
          </cell>
          <cell r="F26">
            <v>7800000</v>
          </cell>
          <cell r="H26">
            <v>7549000</v>
          </cell>
          <cell r="I26">
            <v>31500000</v>
          </cell>
        </row>
        <row r="27">
          <cell r="C27">
            <v>5784000</v>
          </cell>
          <cell r="D27">
            <v>0</v>
          </cell>
          <cell r="E27">
            <v>11000000</v>
          </cell>
          <cell r="F27">
            <v>7970000</v>
          </cell>
          <cell r="H27">
            <v>5540000</v>
          </cell>
          <cell r="I27">
            <v>19099999.999998543</v>
          </cell>
        </row>
        <row r="28">
          <cell r="C28">
            <v>5401000</v>
          </cell>
          <cell r="D28">
            <v>0</v>
          </cell>
          <cell r="E28">
            <v>13000000</v>
          </cell>
          <cell r="F28">
            <v>10330000</v>
          </cell>
          <cell r="H28">
            <v>5005000</v>
          </cell>
          <cell r="I28">
            <v>23100000.000002183</v>
          </cell>
        </row>
        <row r="29">
          <cell r="C29">
            <v>10076000</v>
          </cell>
          <cell r="D29">
            <v>0</v>
          </cell>
          <cell r="E29">
            <v>10000000</v>
          </cell>
          <cell r="F29">
            <v>18440000</v>
          </cell>
          <cell r="H29">
            <v>9825000</v>
          </cell>
          <cell r="I29">
            <v>26899999.999997817</v>
          </cell>
        </row>
        <row r="30">
          <cell r="C30">
            <v>8753000</v>
          </cell>
          <cell r="D30">
            <v>0</v>
          </cell>
          <cell r="E30">
            <v>11000000</v>
          </cell>
          <cell r="F30">
            <v>18200000</v>
          </cell>
          <cell r="H30">
            <v>8569000</v>
          </cell>
          <cell r="I30">
            <v>29900000.000001457</v>
          </cell>
        </row>
        <row r="31">
          <cell r="C31">
            <v>5907000</v>
          </cell>
          <cell r="D31">
            <v>0</v>
          </cell>
          <cell r="E31">
            <v>13000000</v>
          </cell>
          <cell r="F31">
            <v>16920000</v>
          </cell>
          <cell r="H31">
            <v>5501000</v>
          </cell>
          <cell r="I31">
            <v>29000000</v>
          </cell>
        </row>
        <row r="32">
          <cell r="C32">
            <v>10560000</v>
          </cell>
          <cell r="D32">
            <v>0</v>
          </cell>
          <cell r="E32">
            <v>10000000</v>
          </cell>
          <cell r="F32">
            <v>13250000</v>
          </cell>
          <cell r="H32">
            <v>10309000</v>
          </cell>
          <cell r="I32">
            <v>23099999.999998543</v>
          </cell>
        </row>
        <row r="33">
          <cell r="C33">
            <v>12303000</v>
          </cell>
          <cell r="D33">
            <v>0</v>
          </cell>
          <cell r="E33">
            <v>12000000</v>
          </cell>
          <cell r="F33">
            <v>13930000</v>
          </cell>
          <cell r="H33">
            <v>12026000</v>
          </cell>
          <cell r="I33">
            <v>25900000.000001457</v>
          </cell>
        </row>
        <row r="259">
          <cell r="D259">
            <v>0</v>
          </cell>
          <cell r="H259">
            <v>2189369</v>
          </cell>
        </row>
        <row r="260">
          <cell r="D260">
            <v>0</v>
          </cell>
          <cell r="H260">
            <v>2087354</v>
          </cell>
        </row>
        <row r="261">
          <cell r="D261">
            <v>0</v>
          </cell>
          <cell r="H261">
            <v>2357802</v>
          </cell>
        </row>
        <row r="262">
          <cell r="D262">
            <v>0</v>
          </cell>
          <cell r="H262">
            <v>1998088</v>
          </cell>
        </row>
        <row r="263">
          <cell r="D263">
            <v>0</v>
          </cell>
          <cell r="H263">
            <v>1949891</v>
          </cell>
        </row>
        <row r="264">
          <cell r="D264">
            <v>0</v>
          </cell>
          <cell r="H264">
            <v>1905009</v>
          </cell>
        </row>
        <row r="265">
          <cell r="D265">
            <v>1000.0000000047748</v>
          </cell>
          <cell r="H265">
            <v>2135962</v>
          </cell>
        </row>
        <row r="266">
          <cell r="D266">
            <v>0</v>
          </cell>
          <cell r="H266">
            <v>2640094</v>
          </cell>
        </row>
        <row r="267">
          <cell r="D267">
            <v>0</v>
          </cell>
          <cell r="H267">
            <v>2266517</v>
          </cell>
        </row>
        <row r="268">
          <cell r="D268">
            <v>1000.0000000047748</v>
          </cell>
          <cell r="H268">
            <v>1985217</v>
          </cell>
        </row>
        <row r="269">
          <cell r="D269">
            <v>13999.999999995794</v>
          </cell>
          <cell r="H269">
            <v>1986005</v>
          </cell>
        </row>
        <row r="270">
          <cell r="D270">
            <v>13000.00000000523</v>
          </cell>
          <cell r="H270">
            <v>2329498</v>
          </cell>
        </row>
        <row r="271">
          <cell r="D271">
            <v>6999.9999999907914</v>
          </cell>
          <cell r="H271">
            <v>2103166</v>
          </cell>
        </row>
        <row r="272">
          <cell r="D272">
            <v>12000.000000000455</v>
          </cell>
          <cell r="H272">
            <v>2019176</v>
          </cell>
        </row>
        <row r="273">
          <cell r="D273">
            <v>2000.0000000095497</v>
          </cell>
          <cell r="H273">
            <v>2361504</v>
          </cell>
        </row>
        <row r="274">
          <cell r="D274">
            <v>1999.9999999953388</v>
          </cell>
          <cell r="H274">
            <v>2253655</v>
          </cell>
        </row>
        <row r="275">
          <cell r="D275">
            <v>3000.0000000001137</v>
          </cell>
          <cell r="H275">
            <v>1991701</v>
          </cell>
        </row>
        <row r="276">
          <cell r="D276">
            <v>3000.0000000001137</v>
          </cell>
          <cell r="H276">
            <v>1944435</v>
          </cell>
        </row>
        <row r="277">
          <cell r="D277">
            <v>3000</v>
          </cell>
          <cell r="H277">
            <v>2238570</v>
          </cell>
        </row>
        <row r="278">
          <cell r="D278">
            <v>634000</v>
          </cell>
          <cell r="H278">
            <v>2106267</v>
          </cell>
        </row>
        <row r="279">
          <cell r="D279">
            <v>279000</v>
          </cell>
          <cell r="H279">
            <v>2004235</v>
          </cell>
        </row>
        <row r="280">
          <cell r="D280">
            <v>304000.00000000006</v>
          </cell>
          <cell r="H280">
            <v>2176282</v>
          </cell>
        </row>
        <row r="281">
          <cell r="D281">
            <v>244000</v>
          </cell>
          <cell r="H281">
            <v>2488111</v>
          </cell>
        </row>
        <row r="282">
          <cell r="D282">
            <v>244000</v>
          </cell>
          <cell r="H282">
            <v>1583903</v>
          </cell>
        </row>
        <row r="283">
          <cell r="D283">
            <v>395999.99999999988</v>
          </cell>
          <cell r="H283">
            <v>1878771</v>
          </cell>
        </row>
        <row r="284">
          <cell r="D284">
            <v>250999.99999999988</v>
          </cell>
          <cell r="H284">
            <v>2109214</v>
          </cell>
        </row>
        <row r="285">
          <cell r="D285">
            <v>184000.00000000017</v>
          </cell>
          <cell r="H285">
            <v>2406070</v>
          </cell>
        </row>
        <row r="286">
          <cell r="D286">
            <v>406000.00000000012</v>
          </cell>
          <cell r="H286">
            <v>2310093</v>
          </cell>
        </row>
        <row r="287">
          <cell r="D287">
            <v>250999.99999999988</v>
          </cell>
          <cell r="H287">
            <v>1766067</v>
          </cell>
        </row>
        <row r="288">
          <cell r="D288" t="e">
            <v>#REF!</v>
          </cell>
          <cell r="H288" t="e">
            <v>#REF!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July Prod"/>
      <sheetName val="July 2013 Shift Sheet"/>
      <sheetName val="Jul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7652000</v>
          </cell>
          <cell r="D4">
            <v>0</v>
          </cell>
          <cell r="E4">
            <v>10000000</v>
          </cell>
          <cell r="F4">
            <v>12200000.000000002</v>
          </cell>
          <cell r="G4">
            <v>0</v>
          </cell>
          <cell r="H4">
            <v>7076000</v>
          </cell>
          <cell r="I4">
            <v>21500000</v>
          </cell>
        </row>
        <row r="5">
          <cell r="C5">
            <v>8401000</v>
          </cell>
          <cell r="D5">
            <v>0</v>
          </cell>
          <cell r="E5">
            <v>5000000</v>
          </cell>
          <cell r="F5">
            <v>17870000</v>
          </cell>
          <cell r="G5">
            <v>0</v>
          </cell>
          <cell r="H5">
            <v>8218000</v>
          </cell>
          <cell r="I5">
            <v>22500000</v>
          </cell>
        </row>
        <row r="6">
          <cell r="C6">
            <v>9389000</v>
          </cell>
          <cell r="D6">
            <v>0</v>
          </cell>
          <cell r="E6">
            <v>5000000</v>
          </cell>
          <cell r="F6">
            <v>20190000</v>
          </cell>
          <cell r="G6">
            <v>0</v>
          </cell>
          <cell r="H6">
            <v>9143000</v>
          </cell>
          <cell r="I6">
            <v>26000000</v>
          </cell>
        </row>
        <row r="7">
          <cell r="C7">
            <v>9978000</v>
          </cell>
          <cell r="D7">
            <v>0</v>
          </cell>
          <cell r="E7">
            <v>10000000</v>
          </cell>
          <cell r="F7">
            <v>18330000</v>
          </cell>
          <cell r="G7">
            <v>0</v>
          </cell>
          <cell r="H7">
            <v>9585000</v>
          </cell>
          <cell r="I7">
            <v>27899999.999997817</v>
          </cell>
        </row>
        <row r="8">
          <cell r="C8">
            <v>7880000</v>
          </cell>
          <cell r="D8">
            <v>0</v>
          </cell>
          <cell r="E8">
            <v>9000000</v>
          </cell>
          <cell r="F8">
            <v>16180000</v>
          </cell>
          <cell r="G8">
            <v>0</v>
          </cell>
          <cell r="H8">
            <v>7630000</v>
          </cell>
          <cell r="I8">
            <v>26000000</v>
          </cell>
        </row>
        <row r="9">
          <cell r="C9">
            <v>9304000</v>
          </cell>
          <cell r="D9">
            <v>0</v>
          </cell>
          <cell r="E9">
            <v>8000000</v>
          </cell>
          <cell r="F9">
            <v>19130000</v>
          </cell>
          <cell r="G9">
            <v>0</v>
          </cell>
          <cell r="H9">
            <v>9057000</v>
          </cell>
          <cell r="I9">
            <v>27200000.000000726</v>
          </cell>
        </row>
        <row r="10">
          <cell r="C10">
            <v>9862000</v>
          </cell>
          <cell r="D10">
            <v>0</v>
          </cell>
          <cell r="E10">
            <v>8000000</v>
          </cell>
          <cell r="F10">
            <v>19690000</v>
          </cell>
          <cell r="G10">
            <v>0</v>
          </cell>
          <cell r="H10">
            <v>9683000</v>
          </cell>
          <cell r="I10">
            <v>28100000.000002183</v>
          </cell>
        </row>
        <row r="11">
          <cell r="C11">
            <v>9266000</v>
          </cell>
          <cell r="D11">
            <v>0</v>
          </cell>
          <cell r="E11">
            <v>7000000</v>
          </cell>
          <cell r="F11">
            <v>16990000.000000004</v>
          </cell>
          <cell r="G11">
            <v>0</v>
          </cell>
          <cell r="H11">
            <v>8715000</v>
          </cell>
          <cell r="I11">
            <v>23699999.999997091</v>
          </cell>
        </row>
        <row r="12">
          <cell r="C12">
            <v>12101000</v>
          </cell>
          <cell r="D12">
            <v>0</v>
          </cell>
          <cell r="E12">
            <v>7000000</v>
          </cell>
          <cell r="F12">
            <v>15810000</v>
          </cell>
          <cell r="G12">
            <v>0</v>
          </cell>
          <cell r="H12">
            <v>11725000</v>
          </cell>
          <cell r="I12">
            <v>22700000.000000726</v>
          </cell>
        </row>
        <row r="13">
          <cell r="C13">
            <v>12578000</v>
          </cell>
          <cell r="D13">
            <v>0</v>
          </cell>
          <cell r="E13">
            <v>9000000</v>
          </cell>
          <cell r="F13">
            <v>21600000</v>
          </cell>
          <cell r="G13">
            <v>0</v>
          </cell>
          <cell r="H13">
            <v>12143000</v>
          </cell>
          <cell r="I13">
            <v>31299999.999999274</v>
          </cell>
        </row>
        <row r="14">
          <cell r="C14">
            <v>12367000</v>
          </cell>
          <cell r="D14">
            <v>0</v>
          </cell>
          <cell r="E14">
            <v>10000000</v>
          </cell>
          <cell r="F14">
            <v>17300000</v>
          </cell>
          <cell r="G14">
            <v>0</v>
          </cell>
          <cell r="H14">
            <v>11907000</v>
          </cell>
          <cell r="I14">
            <v>26700000.000000726</v>
          </cell>
        </row>
        <row r="15">
          <cell r="C15">
            <v>12546000</v>
          </cell>
          <cell r="D15">
            <v>0</v>
          </cell>
          <cell r="E15">
            <v>6000000</v>
          </cell>
          <cell r="F15">
            <v>12480000</v>
          </cell>
          <cell r="G15">
            <v>0</v>
          </cell>
          <cell r="H15">
            <v>12238000</v>
          </cell>
          <cell r="I15">
            <v>18299999.999999274</v>
          </cell>
        </row>
        <row r="16">
          <cell r="C16">
            <v>12566000</v>
          </cell>
          <cell r="D16">
            <v>0</v>
          </cell>
          <cell r="E16">
            <v>5000000</v>
          </cell>
          <cell r="F16">
            <v>13270000</v>
          </cell>
          <cell r="G16">
            <v>0</v>
          </cell>
          <cell r="H16">
            <v>12252000</v>
          </cell>
          <cell r="I16">
            <v>19100000.000002183</v>
          </cell>
        </row>
        <row r="17">
          <cell r="C17">
            <v>12924000</v>
          </cell>
          <cell r="D17">
            <v>1000</v>
          </cell>
          <cell r="E17">
            <v>6000000</v>
          </cell>
          <cell r="F17">
            <v>12110000</v>
          </cell>
          <cell r="G17">
            <v>0</v>
          </cell>
          <cell r="H17">
            <v>12576000</v>
          </cell>
          <cell r="I17">
            <v>17799999.999999274</v>
          </cell>
        </row>
        <row r="18">
          <cell r="C18">
            <v>9432000</v>
          </cell>
          <cell r="D18">
            <v>0</v>
          </cell>
          <cell r="E18">
            <v>5000000</v>
          </cell>
          <cell r="F18">
            <v>12110000</v>
          </cell>
          <cell r="G18">
            <v>0</v>
          </cell>
          <cell r="H18">
            <v>9144000</v>
          </cell>
          <cell r="I18">
            <v>17799999.999999274</v>
          </cell>
        </row>
        <row r="19">
          <cell r="C19">
            <v>9777000</v>
          </cell>
          <cell r="D19">
            <v>0</v>
          </cell>
          <cell r="E19">
            <v>5000000</v>
          </cell>
          <cell r="F19">
            <v>14640000</v>
          </cell>
          <cell r="G19">
            <v>0</v>
          </cell>
          <cell r="H19">
            <v>9603000</v>
          </cell>
          <cell r="I19">
            <v>19600000.000002183</v>
          </cell>
        </row>
        <row r="20">
          <cell r="C20">
            <v>12165000</v>
          </cell>
          <cell r="D20">
            <v>1000</v>
          </cell>
          <cell r="E20">
            <v>5000000</v>
          </cell>
          <cell r="F20">
            <v>17600000</v>
          </cell>
          <cell r="G20">
            <v>0</v>
          </cell>
          <cell r="H20">
            <v>11760000</v>
          </cell>
          <cell r="I20">
            <v>22799999.999999274</v>
          </cell>
        </row>
        <row r="21">
          <cell r="C21">
            <v>13012000</v>
          </cell>
          <cell r="D21">
            <v>0</v>
          </cell>
          <cell r="E21">
            <v>6000000</v>
          </cell>
          <cell r="F21">
            <v>16710000</v>
          </cell>
          <cell r="G21">
            <v>0</v>
          </cell>
          <cell r="H21">
            <v>12666000</v>
          </cell>
          <cell r="I21">
            <v>22700000.000000726</v>
          </cell>
        </row>
        <row r="22">
          <cell r="C22">
            <v>12027000</v>
          </cell>
          <cell r="D22">
            <v>0</v>
          </cell>
          <cell r="E22">
            <v>5000000</v>
          </cell>
          <cell r="F22">
            <v>18010000</v>
          </cell>
          <cell r="G22">
            <v>0</v>
          </cell>
          <cell r="H22">
            <v>11853000</v>
          </cell>
          <cell r="I22">
            <v>22799999.999999274</v>
          </cell>
        </row>
        <row r="23">
          <cell r="C23">
            <v>11716000</v>
          </cell>
          <cell r="D23">
            <v>0</v>
          </cell>
          <cell r="E23">
            <v>6000000</v>
          </cell>
          <cell r="F23">
            <v>17410000</v>
          </cell>
          <cell r="G23">
            <v>0</v>
          </cell>
          <cell r="H23">
            <v>11309000</v>
          </cell>
          <cell r="I23">
            <v>23500000</v>
          </cell>
        </row>
        <row r="24">
          <cell r="C24">
            <v>11929000</v>
          </cell>
          <cell r="D24">
            <v>0</v>
          </cell>
          <cell r="E24">
            <v>5000000</v>
          </cell>
          <cell r="F24">
            <v>18280000</v>
          </cell>
          <cell r="G24">
            <v>0</v>
          </cell>
          <cell r="H24">
            <v>11461000</v>
          </cell>
          <cell r="I24">
            <v>23700000.000000726</v>
          </cell>
        </row>
        <row r="25">
          <cell r="C25">
            <v>11602000</v>
          </cell>
          <cell r="D25">
            <v>0</v>
          </cell>
          <cell r="E25">
            <v>5000000</v>
          </cell>
          <cell r="F25">
            <v>16050000</v>
          </cell>
          <cell r="G25">
            <v>0</v>
          </cell>
          <cell r="H25">
            <v>11199000</v>
          </cell>
          <cell r="I25">
            <v>21500000</v>
          </cell>
        </row>
        <row r="26">
          <cell r="C26">
            <v>12622000</v>
          </cell>
          <cell r="D26">
            <v>0</v>
          </cell>
          <cell r="E26">
            <v>5000000</v>
          </cell>
          <cell r="F26">
            <v>17710000</v>
          </cell>
          <cell r="G26">
            <v>0</v>
          </cell>
          <cell r="H26">
            <v>12449000</v>
          </cell>
          <cell r="I26">
            <v>22899999.999997817</v>
          </cell>
        </row>
        <row r="27">
          <cell r="C27">
            <v>13163000</v>
          </cell>
          <cell r="D27">
            <v>0</v>
          </cell>
          <cell r="E27">
            <v>5000000</v>
          </cell>
          <cell r="F27">
            <v>18450000</v>
          </cell>
          <cell r="G27">
            <v>0</v>
          </cell>
          <cell r="H27">
            <v>12874000</v>
          </cell>
          <cell r="I27">
            <v>24600000.000002183</v>
          </cell>
        </row>
        <row r="28">
          <cell r="C28">
            <v>11311000</v>
          </cell>
          <cell r="D28">
            <v>0</v>
          </cell>
          <cell r="E28">
            <v>6000000</v>
          </cell>
          <cell r="F28">
            <v>17960000</v>
          </cell>
          <cell r="G28">
            <v>0</v>
          </cell>
          <cell r="H28">
            <v>10964000</v>
          </cell>
          <cell r="I28">
            <v>23599999.999998543</v>
          </cell>
        </row>
        <row r="29">
          <cell r="C29">
            <v>8156000</v>
          </cell>
          <cell r="D29">
            <v>0</v>
          </cell>
          <cell r="E29">
            <v>5000000</v>
          </cell>
          <cell r="F29">
            <v>13190000</v>
          </cell>
          <cell r="G29">
            <v>0</v>
          </cell>
          <cell r="H29">
            <v>7805999.9999999981</v>
          </cell>
          <cell r="I29">
            <v>18500000</v>
          </cell>
        </row>
        <row r="30">
          <cell r="C30">
            <v>13101000</v>
          </cell>
          <cell r="D30">
            <v>0</v>
          </cell>
          <cell r="E30">
            <v>5000000</v>
          </cell>
          <cell r="F30">
            <v>17890000</v>
          </cell>
          <cell r="G30">
            <v>0</v>
          </cell>
          <cell r="H30">
            <v>12927000</v>
          </cell>
          <cell r="I30">
            <v>23099999.999998543</v>
          </cell>
        </row>
        <row r="31">
          <cell r="C31">
            <v>12786000</v>
          </cell>
          <cell r="D31">
            <v>0</v>
          </cell>
          <cell r="E31">
            <v>5000000</v>
          </cell>
          <cell r="F31">
            <v>11460000</v>
          </cell>
          <cell r="G31">
            <v>0</v>
          </cell>
          <cell r="H31">
            <v>12435000</v>
          </cell>
          <cell r="I31">
            <v>15800000.000002909</v>
          </cell>
        </row>
        <row r="32">
          <cell r="C32">
            <v>11625000</v>
          </cell>
          <cell r="D32">
            <v>0</v>
          </cell>
          <cell r="E32">
            <v>4000000</v>
          </cell>
          <cell r="F32">
            <v>8199999.9999999991</v>
          </cell>
          <cell r="G32">
            <v>0</v>
          </cell>
          <cell r="H32">
            <v>11219000</v>
          </cell>
          <cell r="I32">
            <v>12799999.999999272</v>
          </cell>
        </row>
        <row r="33">
          <cell r="C33">
            <v>12045000</v>
          </cell>
          <cell r="D33">
            <v>0</v>
          </cell>
          <cell r="E33">
            <v>5000000</v>
          </cell>
          <cell r="F33">
            <v>12260000</v>
          </cell>
          <cell r="G33">
            <v>0</v>
          </cell>
          <cell r="H33">
            <v>11696000</v>
          </cell>
          <cell r="I33">
            <v>17599999.999998543</v>
          </cell>
        </row>
        <row r="34">
          <cell r="C34">
            <v>11296000</v>
          </cell>
          <cell r="D34">
            <v>0</v>
          </cell>
          <cell r="E34">
            <v>5000000</v>
          </cell>
          <cell r="F34">
            <v>11960000</v>
          </cell>
          <cell r="G34">
            <v>0</v>
          </cell>
          <cell r="H34">
            <v>10945000</v>
          </cell>
          <cell r="I34">
            <v>16700000.000000728</v>
          </cell>
        </row>
        <row r="259">
          <cell r="D259">
            <v>576000.00000000012</v>
          </cell>
          <cell r="H259">
            <v>1779855</v>
          </cell>
        </row>
        <row r="260">
          <cell r="D260">
            <v>182999.99999999983</v>
          </cell>
          <cell r="H260">
            <v>1993359</v>
          </cell>
        </row>
        <row r="261">
          <cell r="D261">
            <v>245999.99999999956</v>
          </cell>
          <cell r="H261">
            <v>203581</v>
          </cell>
        </row>
        <row r="262">
          <cell r="D262">
            <v>393000.0000000007</v>
          </cell>
          <cell r="H262">
            <v>2200089</v>
          </cell>
        </row>
        <row r="263">
          <cell r="D263">
            <v>250000</v>
          </cell>
          <cell r="H263">
            <v>1973933</v>
          </cell>
        </row>
        <row r="264">
          <cell r="D264">
            <v>246999.99999999988</v>
          </cell>
          <cell r="H264">
            <v>2112358</v>
          </cell>
        </row>
        <row r="265">
          <cell r="D265">
            <v>178999.99999999939</v>
          </cell>
          <cell r="H265">
            <v>2239267</v>
          </cell>
        </row>
        <row r="266">
          <cell r="D266">
            <v>551000.00000000012</v>
          </cell>
          <cell r="H266">
            <v>1932574</v>
          </cell>
        </row>
        <row r="267">
          <cell r="D267">
            <v>376000.00000000035</v>
          </cell>
          <cell r="H267">
            <v>1845740</v>
          </cell>
        </row>
        <row r="268">
          <cell r="D268">
            <v>434999.99999999959</v>
          </cell>
          <cell r="H268">
            <v>2371414</v>
          </cell>
        </row>
        <row r="269">
          <cell r="D269">
            <v>459999.99999999994</v>
          </cell>
          <cell r="H269">
            <v>-95125015</v>
          </cell>
        </row>
        <row r="270">
          <cell r="D270">
            <v>308000.0000000007</v>
          </cell>
          <cell r="H270">
            <v>1587627</v>
          </cell>
        </row>
        <row r="271">
          <cell r="D271">
            <v>314000.00000000006</v>
          </cell>
          <cell r="H271">
            <v>21404</v>
          </cell>
        </row>
        <row r="272">
          <cell r="D272">
            <v>348999.9999999993</v>
          </cell>
          <cell r="H272">
            <v>1394209</v>
          </cell>
        </row>
        <row r="273">
          <cell r="D273">
            <v>288000.00000000023</v>
          </cell>
          <cell r="H273">
            <v>1417471</v>
          </cell>
        </row>
        <row r="274">
          <cell r="D274">
            <v>173999.99999999948</v>
          </cell>
          <cell r="H274">
            <v>1616322</v>
          </cell>
        </row>
        <row r="275">
          <cell r="D275">
            <v>406000.00000000058</v>
          </cell>
          <cell r="H275">
            <v>1831896</v>
          </cell>
        </row>
        <row r="276">
          <cell r="D276">
            <v>346000.00000000006</v>
          </cell>
          <cell r="H276">
            <v>1781672</v>
          </cell>
        </row>
        <row r="277">
          <cell r="D277">
            <v>173999.99999999948</v>
          </cell>
          <cell r="H277">
            <v>1881171</v>
          </cell>
        </row>
        <row r="278">
          <cell r="D278">
            <v>407000</v>
          </cell>
          <cell r="H278">
            <v>1845546</v>
          </cell>
        </row>
        <row r="279">
          <cell r="D279">
            <v>468000</v>
          </cell>
          <cell r="H279">
            <v>1861471</v>
          </cell>
        </row>
        <row r="280">
          <cell r="D280">
            <v>403000.00000000047</v>
          </cell>
          <cell r="H280">
            <v>1823204</v>
          </cell>
        </row>
        <row r="281">
          <cell r="D281">
            <v>173000.00000000003</v>
          </cell>
          <cell r="H281">
            <v>1945774</v>
          </cell>
        </row>
        <row r="282">
          <cell r="D282">
            <v>288999.99999999971</v>
          </cell>
          <cell r="H282">
            <v>1943957</v>
          </cell>
        </row>
        <row r="283">
          <cell r="D283">
            <v>346999.99999999953</v>
          </cell>
          <cell r="H283">
            <v>1945682</v>
          </cell>
        </row>
        <row r="284">
          <cell r="D284">
            <v>350000.0000000014</v>
          </cell>
          <cell r="H284">
            <v>1528817</v>
          </cell>
        </row>
        <row r="285">
          <cell r="D285">
            <v>173999.99999999948</v>
          </cell>
          <cell r="H285">
            <v>1837708</v>
          </cell>
        </row>
        <row r="286">
          <cell r="D286">
            <v>350999.99999999907</v>
          </cell>
          <cell r="H286">
            <v>1369215</v>
          </cell>
        </row>
        <row r="287">
          <cell r="D287">
            <v>406000.00000000058</v>
          </cell>
          <cell r="H287">
            <v>1136239</v>
          </cell>
        </row>
        <row r="288">
          <cell r="D288" t="e">
            <v>#REF!</v>
          </cell>
          <cell r="H288" t="e">
            <v>#REF!</v>
          </cell>
        </row>
        <row r="289">
          <cell r="D289" t="e">
            <v>#REF!</v>
          </cell>
          <cell r="H289" t="e">
            <v>#REF!</v>
          </cell>
        </row>
      </sheetData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August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12745000</v>
          </cell>
          <cell r="D4">
            <v>0</v>
          </cell>
          <cell r="E4">
            <v>5000000</v>
          </cell>
          <cell r="F4">
            <v>13360000</v>
          </cell>
          <cell r="H4">
            <v>12512999.999999998</v>
          </cell>
          <cell r="I4">
            <v>19200000.000000726</v>
          </cell>
        </row>
        <row r="5">
          <cell r="C5">
            <v>13201000</v>
          </cell>
          <cell r="D5">
            <v>0</v>
          </cell>
          <cell r="E5">
            <v>5000000</v>
          </cell>
          <cell r="F5">
            <v>17690000</v>
          </cell>
          <cell r="H5">
            <v>12793000</v>
          </cell>
          <cell r="I5">
            <v>22099999.999998543</v>
          </cell>
        </row>
        <row r="6">
          <cell r="C6">
            <v>9939000</v>
          </cell>
          <cell r="D6">
            <v>0</v>
          </cell>
          <cell r="E6">
            <v>5000000</v>
          </cell>
          <cell r="F6">
            <v>15840000</v>
          </cell>
          <cell r="H6">
            <v>9705000</v>
          </cell>
          <cell r="I6">
            <v>21500000</v>
          </cell>
        </row>
        <row r="7">
          <cell r="C7">
            <v>10947000</v>
          </cell>
          <cell r="D7">
            <v>0</v>
          </cell>
          <cell r="E7">
            <v>6000000</v>
          </cell>
          <cell r="F7">
            <v>11780000</v>
          </cell>
          <cell r="H7">
            <v>10536000</v>
          </cell>
          <cell r="I7">
            <v>17600000.000002183</v>
          </cell>
        </row>
        <row r="8">
          <cell r="C8">
            <v>12113000</v>
          </cell>
          <cell r="D8">
            <v>0</v>
          </cell>
          <cell r="E8">
            <v>5000000</v>
          </cell>
          <cell r="F8">
            <v>10660000</v>
          </cell>
          <cell r="H8">
            <v>11761000</v>
          </cell>
          <cell r="I8">
            <v>16599999.999998545</v>
          </cell>
        </row>
        <row r="9">
          <cell r="C9">
            <v>12805000</v>
          </cell>
          <cell r="D9">
            <v>0</v>
          </cell>
          <cell r="E9">
            <v>5000000</v>
          </cell>
          <cell r="F9">
            <v>11560000</v>
          </cell>
          <cell r="H9">
            <v>12454000</v>
          </cell>
          <cell r="I9">
            <v>19200000.000000726</v>
          </cell>
        </row>
        <row r="10">
          <cell r="C10">
            <v>11171000</v>
          </cell>
          <cell r="D10">
            <v>0</v>
          </cell>
          <cell r="E10">
            <v>6000000</v>
          </cell>
          <cell r="F10">
            <v>15480000</v>
          </cell>
          <cell r="H10">
            <v>10734000</v>
          </cell>
          <cell r="I10">
            <v>18200000.000000726</v>
          </cell>
        </row>
        <row r="11">
          <cell r="C11">
            <v>11458000</v>
          </cell>
          <cell r="D11">
            <v>0</v>
          </cell>
          <cell r="E11">
            <v>5000000</v>
          </cell>
          <cell r="F11">
            <v>13580000</v>
          </cell>
          <cell r="H11">
            <v>11097000</v>
          </cell>
          <cell r="I11">
            <v>19199999.999997091</v>
          </cell>
        </row>
        <row r="12">
          <cell r="C12">
            <v>10418000</v>
          </cell>
          <cell r="D12">
            <v>0</v>
          </cell>
          <cell r="E12">
            <v>4000000</v>
          </cell>
          <cell r="F12">
            <v>9870000.0000000019</v>
          </cell>
          <cell r="H12">
            <v>10043000</v>
          </cell>
          <cell r="I12">
            <v>14700000.000000728</v>
          </cell>
        </row>
        <row r="13">
          <cell r="C13">
            <v>12829000</v>
          </cell>
          <cell r="D13">
            <v>0</v>
          </cell>
          <cell r="E13">
            <v>5000000</v>
          </cell>
          <cell r="F13">
            <v>15640000</v>
          </cell>
          <cell r="H13">
            <v>12276000</v>
          </cell>
          <cell r="I13">
            <v>21000000</v>
          </cell>
        </row>
        <row r="14">
          <cell r="C14">
            <v>11753000</v>
          </cell>
          <cell r="D14">
            <v>0</v>
          </cell>
          <cell r="E14">
            <v>5000000</v>
          </cell>
          <cell r="F14">
            <v>14500000</v>
          </cell>
          <cell r="H14">
            <v>11340000</v>
          </cell>
          <cell r="I14">
            <v>18700000.000000726</v>
          </cell>
        </row>
        <row r="15">
          <cell r="C15">
            <v>9169000</v>
          </cell>
          <cell r="D15">
            <v>0</v>
          </cell>
          <cell r="E15">
            <v>5000000</v>
          </cell>
          <cell r="F15">
            <v>18390000</v>
          </cell>
          <cell r="H15">
            <v>8897000.0000000019</v>
          </cell>
          <cell r="I15">
            <v>24400000.000001457</v>
          </cell>
        </row>
        <row r="16">
          <cell r="C16">
            <v>6988000</v>
          </cell>
          <cell r="D16">
            <v>0</v>
          </cell>
          <cell r="E16">
            <v>5000000</v>
          </cell>
          <cell r="F16">
            <v>11650000</v>
          </cell>
          <cell r="H16">
            <v>6707000.0000000009</v>
          </cell>
          <cell r="I16">
            <v>16599999.999998545</v>
          </cell>
        </row>
        <row r="17">
          <cell r="C17">
            <v>11186000</v>
          </cell>
          <cell r="D17">
            <v>0</v>
          </cell>
          <cell r="E17">
            <v>10000000</v>
          </cell>
          <cell r="F17">
            <v>13080000</v>
          </cell>
          <cell r="H17">
            <v>10788999.999999998</v>
          </cell>
          <cell r="I17">
            <v>22599999.999998543</v>
          </cell>
        </row>
        <row r="18">
          <cell r="C18">
            <v>13254000</v>
          </cell>
          <cell r="D18">
            <v>0</v>
          </cell>
          <cell r="E18">
            <v>9000000</v>
          </cell>
          <cell r="F18">
            <v>9650000</v>
          </cell>
          <cell r="H18">
            <v>12929000</v>
          </cell>
          <cell r="I18">
            <v>18400000.000001457</v>
          </cell>
        </row>
        <row r="19">
          <cell r="C19">
            <v>13118000</v>
          </cell>
          <cell r="D19">
            <v>0</v>
          </cell>
          <cell r="E19">
            <v>9000000</v>
          </cell>
          <cell r="F19">
            <v>11970000</v>
          </cell>
          <cell r="H19">
            <v>12626000</v>
          </cell>
          <cell r="I19">
            <v>20900000.000001457</v>
          </cell>
        </row>
        <row r="20">
          <cell r="C20">
            <v>11607000</v>
          </cell>
          <cell r="D20">
            <v>0</v>
          </cell>
          <cell r="E20">
            <v>10000000</v>
          </cell>
          <cell r="F20">
            <v>15020000</v>
          </cell>
          <cell r="H20">
            <v>11052000</v>
          </cell>
          <cell r="I20">
            <v>24000000</v>
          </cell>
        </row>
        <row r="21">
          <cell r="C21">
            <v>11426000</v>
          </cell>
          <cell r="D21">
            <v>0</v>
          </cell>
          <cell r="E21">
            <v>9000000</v>
          </cell>
          <cell r="F21">
            <v>15030000.000000002</v>
          </cell>
          <cell r="H21">
            <v>10933000</v>
          </cell>
          <cell r="I21">
            <v>24599999.999998543</v>
          </cell>
        </row>
        <row r="22">
          <cell r="C22">
            <v>11701000</v>
          </cell>
          <cell r="D22">
            <v>0</v>
          </cell>
          <cell r="E22">
            <v>10000000</v>
          </cell>
          <cell r="F22">
            <v>11020000</v>
          </cell>
          <cell r="H22">
            <v>11209000</v>
          </cell>
          <cell r="I22">
            <v>20599999.999998543</v>
          </cell>
        </row>
        <row r="23">
          <cell r="C23">
            <v>12825000</v>
          </cell>
          <cell r="D23">
            <v>0</v>
          </cell>
          <cell r="E23">
            <v>10000000</v>
          </cell>
          <cell r="F23">
            <v>11880000</v>
          </cell>
          <cell r="H23">
            <v>12453000</v>
          </cell>
          <cell r="I23">
            <v>22300000.000002909</v>
          </cell>
        </row>
        <row r="24">
          <cell r="C24">
            <v>11248000</v>
          </cell>
          <cell r="D24">
            <v>0</v>
          </cell>
          <cell r="E24">
            <v>10000000</v>
          </cell>
          <cell r="F24">
            <v>15530000.000000002</v>
          </cell>
          <cell r="H24">
            <v>10878000</v>
          </cell>
          <cell r="I24">
            <v>24699999.999997091</v>
          </cell>
        </row>
        <row r="25">
          <cell r="C25">
            <v>8746000</v>
          </cell>
          <cell r="D25">
            <v>0</v>
          </cell>
          <cell r="E25">
            <v>8000000</v>
          </cell>
          <cell r="F25">
            <v>9000000</v>
          </cell>
          <cell r="H25">
            <v>8391000</v>
          </cell>
          <cell r="I25">
            <v>16700000.000000728</v>
          </cell>
        </row>
        <row r="26">
          <cell r="C26">
            <v>11498000</v>
          </cell>
          <cell r="D26">
            <v>0</v>
          </cell>
          <cell r="E26">
            <v>5000000</v>
          </cell>
          <cell r="F26">
            <v>11630000</v>
          </cell>
          <cell r="H26">
            <v>11109000</v>
          </cell>
          <cell r="I26">
            <v>16799999.999999274</v>
          </cell>
        </row>
        <row r="27">
          <cell r="C27">
            <v>10782000</v>
          </cell>
          <cell r="D27">
            <v>0</v>
          </cell>
          <cell r="E27">
            <v>4000000</v>
          </cell>
          <cell r="F27">
            <v>13690000</v>
          </cell>
          <cell r="H27">
            <v>10420000</v>
          </cell>
          <cell r="I27">
            <v>18000000</v>
          </cell>
        </row>
        <row r="28">
          <cell r="C28">
            <v>9961000</v>
          </cell>
          <cell r="D28">
            <v>0</v>
          </cell>
          <cell r="E28">
            <v>4000000</v>
          </cell>
          <cell r="F28">
            <v>13290000</v>
          </cell>
          <cell r="H28">
            <v>9469000</v>
          </cell>
          <cell r="I28">
            <v>17900000.000001457</v>
          </cell>
        </row>
        <row r="29">
          <cell r="C29">
            <v>10104000</v>
          </cell>
          <cell r="D29">
            <v>0</v>
          </cell>
          <cell r="E29">
            <v>4000000</v>
          </cell>
          <cell r="F29">
            <v>16090000</v>
          </cell>
          <cell r="H29">
            <v>9793000</v>
          </cell>
          <cell r="I29">
            <v>20400000.000001457</v>
          </cell>
        </row>
        <row r="30">
          <cell r="C30">
            <v>10085000</v>
          </cell>
          <cell r="D30">
            <v>0</v>
          </cell>
          <cell r="E30">
            <v>4000000</v>
          </cell>
          <cell r="F30">
            <v>15500000</v>
          </cell>
          <cell r="H30">
            <v>9710000</v>
          </cell>
          <cell r="I30">
            <v>20199999.999997091</v>
          </cell>
        </row>
        <row r="31">
          <cell r="C31">
            <v>10704000</v>
          </cell>
          <cell r="D31">
            <v>0</v>
          </cell>
          <cell r="E31">
            <v>5000000</v>
          </cell>
          <cell r="F31">
            <v>15150000</v>
          </cell>
          <cell r="H31">
            <v>10337000</v>
          </cell>
          <cell r="I31">
            <v>21000000</v>
          </cell>
        </row>
        <row r="32">
          <cell r="C32">
            <v>12841000</v>
          </cell>
          <cell r="D32">
            <v>0</v>
          </cell>
          <cell r="E32">
            <v>5000000</v>
          </cell>
          <cell r="F32">
            <v>15110000</v>
          </cell>
          <cell r="H32">
            <v>12348000</v>
          </cell>
          <cell r="I32">
            <v>20300000.000002909</v>
          </cell>
        </row>
        <row r="33">
          <cell r="C33">
            <v>13423000</v>
          </cell>
          <cell r="D33">
            <v>0</v>
          </cell>
          <cell r="E33">
            <v>5000000</v>
          </cell>
          <cell r="F33">
            <v>17220000</v>
          </cell>
          <cell r="H33">
            <v>12987000</v>
          </cell>
          <cell r="I33">
            <v>23000000</v>
          </cell>
        </row>
        <row r="34">
          <cell r="C34">
            <v>10330000</v>
          </cell>
          <cell r="D34">
            <v>0</v>
          </cell>
          <cell r="E34">
            <v>5000000</v>
          </cell>
          <cell r="F34">
            <v>16980000</v>
          </cell>
          <cell r="H34">
            <v>10076000</v>
          </cell>
          <cell r="I34">
            <v>22699999.999997091</v>
          </cell>
        </row>
        <row r="259">
          <cell r="D259">
            <v>232000.00000000111</v>
          </cell>
          <cell r="H259">
            <v>1449042</v>
          </cell>
        </row>
        <row r="260">
          <cell r="D260">
            <v>407999.99999999948</v>
          </cell>
          <cell r="H260">
            <v>1758736</v>
          </cell>
        </row>
        <row r="261">
          <cell r="D261">
            <v>234000</v>
          </cell>
          <cell r="H261">
            <v>1738057</v>
          </cell>
        </row>
        <row r="262">
          <cell r="D262">
            <v>410999.99999999959</v>
          </cell>
          <cell r="H262">
            <v>1496624</v>
          </cell>
        </row>
        <row r="263">
          <cell r="D263">
            <v>352000.00000000029</v>
          </cell>
          <cell r="H263">
            <v>1300118</v>
          </cell>
        </row>
        <row r="264">
          <cell r="D264">
            <v>351000.00000000087</v>
          </cell>
          <cell r="H264">
            <v>1489789</v>
          </cell>
        </row>
        <row r="265">
          <cell r="D265">
            <v>436999.99999999942</v>
          </cell>
          <cell r="H265">
            <v>1441052</v>
          </cell>
        </row>
        <row r="266">
          <cell r="D266">
            <v>361000.00000000064</v>
          </cell>
          <cell r="H266">
            <v>1523413</v>
          </cell>
        </row>
        <row r="267">
          <cell r="D267">
            <v>375000</v>
          </cell>
          <cell r="H267">
            <v>1347417</v>
          </cell>
        </row>
        <row r="268">
          <cell r="D268">
            <v>553000.00000000081</v>
          </cell>
          <cell r="H268">
            <v>1751913</v>
          </cell>
        </row>
        <row r="269">
          <cell r="D269">
            <v>413000.00000000023</v>
          </cell>
          <cell r="H269">
            <v>1613803</v>
          </cell>
        </row>
        <row r="270">
          <cell r="D270">
            <v>271999.99999999849</v>
          </cell>
          <cell r="H270">
            <v>1932446</v>
          </cell>
        </row>
        <row r="271">
          <cell r="D271">
            <v>280999.99999999878</v>
          </cell>
          <cell r="H271">
            <v>1436599</v>
          </cell>
        </row>
        <row r="272">
          <cell r="D272">
            <v>397000.00000000204</v>
          </cell>
          <cell r="H272">
            <v>1849068</v>
          </cell>
        </row>
        <row r="273">
          <cell r="D273">
            <v>324999.9999999993</v>
          </cell>
          <cell r="H273">
            <v>551217002</v>
          </cell>
        </row>
        <row r="274">
          <cell r="D274">
            <v>492000</v>
          </cell>
          <cell r="H274">
            <v>1665039</v>
          </cell>
        </row>
        <row r="275">
          <cell r="D275">
            <v>554999.99999999988</v>
          </cell>
          <cell r="H275">
            <v>1959413</v>
          </cell>
        </row>
        <row r="276">
          <cell r="D276">
            <v>493000.00000000012</v>
          </cell>
          <cell r="H276">
            <v>1891174</v>
          </cell>
        </row>
        <row r="277">
          <cell r="D277">
            <v>492000</v>
          </cell>
          <cell r="H277">
            <v>1610033</v>
          </cell>
        </row>
        <row r="278">
          <cell r="D278">
            <v>371999.99999999988</v>
          </cell>
          <cell r="H278">
            <v>64024002</v>
          </cell>
        </row>
        <row r="279">
          <cell r="D279">
            <v>370000.00000000012</v>
          </cell>
          <cell r="H279">
            <v>1971989</v>
          </cell>
        </row>
        <row r="280">
          <cell r="D280">
            <v>355000</v>
          </cell>
          <cell r="H280">
            <v>1465026</v>
          </cell>
        </row>
        <row r="281">
          <cell r="D281">
            <v>389000.00000000023</v>
          </cell>
          <cell r="H281">
            <v>1531747</v>
          </cell>
        </row>
        <row r="282">
          <cell r="D282">
            <v>362000.00000000012</v>
          </cell>
          <cell r="H282">
            <v>1505026</v>
          </cell>
        </row>
        <row r="283">
          <cell r="D283">
            <v>492000</v>
          </cell>
          <cell r="H283">
            <v>1408670</v>
          </cell>
        </row>
        <row r="284">
          <cell r="D284">
            <v>310999.99999999994</v>
          </cell>
          <cell r="H284">
            <v>1734856</v>
          </cell>
        </row>
        <row r="285">
          <cell r="D285">
            <v>375000</v>
          </cell>
          <cell r="H285">
            <v>1604407</v>
          </cell>
        </row>
        <row r="286">
          <cell r="D286">
            <v>367000</v>
          </cell>
          <cell r="H286">
            <v>1676709</v>
          </cell>
        </row>
        <row r="287">
          <cell r="D287">
            <v>492999.99999999942</v>
          </cell>
          <cell r="H287">
            <v>1671734</v>
          </cell>
        </row>
        <row r="288">
          <cell r="D288" t="e">
            <v>#REF!</v>
          </cell>
          <cell r="H288" t="e">
            <v>#REF!</v>
          </cell>
        </row>
        <row r="289">
          <cell r="D289" t="e">
            <v>#REF!</v>
          </cell>
          <cell r="H289" t="e">
            <v>#REF!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September Prod"/>
      <sheetName val="Sep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C4">
            <v>8194000</v>
          </cell>
          <cell r="D4">
            <v>0</v>
          </cell>
          <cell r="E4">
            <v>5000000</v>
          </cell>
          <cell r="F4">
            <v>17020000</v>
          </cell>
          <cell r="H4">
            <v>7885000</v>
          </cell>
          <cell r="I4">
            <v>22900000.000001457</v>
          </cell>
        </row>
        <row r="5">
          <cell r="C5">
            <v>10966000</v>
          </cell>
          <cell r="D5">
            <v>0</v>
          </cell>
          <cell r="E5">
            <v>5000000</v>
          </cell>
          <cell r="F5">
            <v>16960000</v>
          </cell>
          <cell r="H5">
            <v>10609000</v>
          </cell>
          <cell r="I5">
            <v>22799999.999999274</v>
          </cell>
        </row>
        <row r="6">
          <cell r="C6">
            <v>9255000</v>
          </cell>
          <cell r="D6">
            <v>0</v>
          </cell>
          <cell r="E6">
            <v>4000000</v>
          </cell>
          <cell r="F6">
            <v>15390000</v>
          </cell>
          <cell r="H6">
            <v>8907000.0000000019</v>
          </cell>
          <cell r="I6">
            <v>20400000.000001457</v>
          </cell>
        </row>
        <row r="7">
          <cell r="C7">
            <v>6952000</v>
          </cell>
          <cell r="D7">
            <v>0</v>
          </cell>
          <cell r="E7">
            <v>6000000</v>
          </cell>
          <cell r="F7">
            <v>23230000</v>
          </cell>
          <cell r="H7">
            <v>6663000</v>
          </cell>
          <cell r="I7">
            <v>31099999.999998543</v>
          </cell>
        </row>
        <row r="8">
          <cell r="C8">
            <v>10448000</v>
          </cell>
          <cell r="D8">
            <v>0</v>
          </cell>
          <cell r="E8">
            <v>5000000</v>
          </cell>
          <cell r="F8">
            <v>16900000</v>
          </cell>
          <cell r="H8">
            <v>10215000</v>
          </cell>
          <cell r="I8">
            <v>22400000.000001457</v>
          </cell>
        </row>
        <row r="9">
          <cell r="C9">
            <v>10307000</v>
          </cell>
          <cell r="D9">
            <v>0</v>
          </cell>
          <cell r="E9">
            <v>5000000</v>
          </cell>
          <cell r="F9">
            <v>16559999.999999998</v>
          </cell>
          <cell r="H9">
            <v>9626000</v>
          </cell>
          <cell r="I9">
            <v>22000000</v>
          </cell>
        </row>
        <row r="10">
          <cell r="C10">
            <v>12245000</v>
          </cell>
          <cell r="D10">
            <v>0</v>
          </cell>
          <cell r="E10">
            <v>1000000</v>
          </cell>
          <cell r="F10">
            <v>17640000</v>
          </cell>
          <cell r="H10">
            <v>11899000</v>
          </cell>
          <cell r="I10">
            <v>20399999.999997817</v>
          </cell>
        </row>
        <row r="11">
          <cell r="C11">
            <v>13144000</v>
          </cell>
          <cell r="D11">
            <v>0</v>
          </cell>
          <cell r="E11">
            <v>0</v>
          </cell>
          <cell r="F11">
            <v>23110000</v>
          </cell>
          <cell r="H11">
            <v>12566000</v>
          </cell>
          <cell r="I11">
            <v>24400000.000001457</v>
          </cell>
        </row>
        <row r="12">
          <cell r="C12">
            <v>10276000</v>
          </cell>
          <cell r="D12">
            <v>0</v>
          </cell>
          <cell r="E12">
            <v>0</v>
          </cell>
          <cell r="F12">
            <v>17510000</v>
          </cell>
          <cell r="H12">
            <v>9813000</v>
          </cell>
          <cell r="I12">
            <v>18700000.000000726</v>
          </cell>
        </row>
        <row r="13">
          <cell r="C13">
            <v>8049000</v>
          </cell>
          <cell r="D13">
            <v>0</v>
          </cell>
          <cell r="E13">
            <v>1000000</v>
          </cell>
          <cell r="F13">
            <v>14830000</v>
          </cell>
          <cell r="H13">
            <v>7528999.9999999981</v>
          </cell>
          <cell r="I13">
            <v>16000000</v>
          </cell>
        </row>
        <row r="14">
          <cell r="C14">
            <v>5538000</v>
          </cell>
          <cell r="D14">
            <v>0</v>
          </cell>
          <cell r="E14">
            <v>0</v>
          </cell>
          <cell r="F14">
            <v>7820000</v>
          </cell>
          <cell r="H14">
            <v>5077000.0000000019</v>
          </cell>
          <cell r="I14">
            <v>9000000</v>
          </cell>
        </row>
        <row r="15">
          <cell r="C15">
            <v>6542000</v>
          </cell>
          <cell r="D15">
            <v>0</v>
          </cell>
          <cell r="E15">
            <v>0</v>
          </cell>
          <cell r="F15">
            <v>6750000</v>
          </cell>
          <cell r="H15">
            <v>6312000</v>
          </cell>
          <cell r="I15">
            <v>7000000</v>
          </cell>
        </row>
        <row r="16">
          <cell r="C16">
            <v>11422000</v>
          </cell>
          <cell r="D16">
            <v>0</v>
          </cell>
          <cell r="E16">
            <v>0</v>
          </cell>
          <cell r="F16">
            <v>7960000</v>
          </cell>
          <cell r="H16">
            <v>11016000</v>
          </cell>
          <cell r="I16">
            <v>8200000.0000007274</v>
          </cell>
        </row>
        <row r="17">
          <cell r="C17">
            <v>1526000</v>
          </cell>
          <cell r="D17">
            <v>0</v>
          </cell>
          <cell r="E17">
            <v>0</v>
          </cell>
          <cell r="F17">
            <v>13080000</v>
          </cell>
          <cell r="H17">
            <v>1378000.0000000002</v>
          </cell>
          <cell r="I17">
            <v>13599999.999998545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14880000</v>
          </cell>
          <cell r="H18">
            <v>0</v>
          </cell>
          <cell r="I18">
            <v>14099999.999998545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11390000</v>
          </cell>
          <cell r="H19">
            <v>0</v>
          </cell>
          <cell r="I19">
            <v>12100000.000002183</v>
          </cell>
        </row>
        <row r="20">
          <cell r="C20">
            <v>0</v>
          </cell>
          <cell r="D20">
            <v>0</v>
          </cell>
          <cell r="E20">
            <v>0</v>
          </cell>
          <cell r="F20">
            <v>13390000</v>
          </cell>
          <cell r="H20">
            <v>-271000.00000000081</v>
          </cell>
          <cell r="I20">
            <v>14099999.999998545</v>
          </cell>
        </row>
        <row r="21">
          <cell r="C21">
            <v>1153000</v>
          </cell>
          <cell r="D21">
            <v>0</v>
          </cell>
          <cell r="E21">
            <v>0</v>
          </cell>
          <cell r="F21">
            <v>14790000</v>
          </cell>
          <cell r="H21">
            <v>845000.00000000023</v>
          </cell>
          <cell r="I21">
            <v>15299999.999999272</v>
          </cell>
        </row>
        <row r="22">
          <cell r="C22">
            <v>3064000</v>
          </cell>
          <cell r="D22">
            <v>0</v>
          </cell>
          <cell r="E22">
            <v>0</v>
          </cell>
          <cell r="F22">
            <v>14630000</v>
          </cell>
          <cell r="H22">
            <v>2898000.0000000014</v>
          </cell>
          <cell r="I22">
            <v>15300000.000002909</v>
          </cell>
        </row>
        <row r="23">
          <cell r="C23">
            <v>4614000</v>
          </cell>
          <cell r="D23">
            <v>0</v>
          </cell>
          <cell r="E23">
            <v>0</v>
          </cell>
          <cell r="F23">
            <v>11760000</v>
          </cell>
          <cell r="H23">
            <v>4321999.9999999981</v>
          </cell>
          <cell r="I23">
            <v>12699999.999997091</v>
          </cell>
        </row>
        <row r="24">
          <cell r="C24">
            <v>4782000</v>
          </cell>
          <cell r="D24">
            <v>0</v>
          </cell>
          <cell r="E24">
            <v>0</v>
          </cell>
          <cell r="F24">
            <v>10860000</v>
          </cell>
          <cell r="H24">
            <v>4609000</v>
          </cell>
          <cell r="I24">
            <v>11200000.000000728</v>
          </cell>
        </row>
        <row r="25">
          <cell r="C25">
            <v>4571000</v>
          </cell>
          <cell r="D25">
            <v>0</v>
          </cell>
          <cell r="E25">
            <v>0</v>
          </cell>
          <cell r="F25">
            <v>13680000</v>
          </cell>
          <cell r="H25">
            <v>4397000.0000000009</v>
          </cell>
          <cell r="I25">
            <v>15100000.000002183</v>
          </cell>
        </row>
        <row r="26">
          <cell r="C26">
            <v>4791000</v>
          </cell>
          <cell r="D26">
            <v>0</v>
          </cell>
          <cell r="E26">
            <v>0</v>
          </cell>
          <cell r="F26">
            <v>14140000</v>
          </cell>
          <cell r="H26">
            <v>4618000</v>
          </cell>
          <cell r="I26">
            <v>14199999.999997091</v>
          </cell>
        </row>
        <row r="27">
          <cell r="C27">
            <v>4713000</v>
          </cell>
          <cell r="D27">
            <v>0</v>
          </cell>
          <cell r="E27">
            <v>1000000</v>
          </cell>
          <cell r="F27">
            <v>7600000.0000000009</v>
          </cell>
          <cell r="H27">
            <v>4540000</v>
          </cell>
          <cell r="I27">
            <v>9700000.0000007283</v>
          </cell>
        </row>
        <row r="28">
          <cell r="C28">
            <v>5263000</v>
          </cell>
          <cell r="D28">
            <v>0</v>
          </cell>
          <cell r="E28">
            <v>2000000</v>
          </cell>
          <cell r="F28">
            <v>8029999.9999999991</v>
          </cell>
          <cell r="H28">
            <v>5032000</v>
          </cell>
          <cell r="I28">
            <v>10900000.000001455</v>
          </cell>
        </row>
        <row r="29">
          <cell r="C29">
            <v>4188000</v>
          </cell>
          <cell r="D29">
            <v>0</v>
          </cell>
          <cell r="E29">
            <v>0</v>
          </cell>
          <cell r="F29">
            <v>10440000</v>
          </cell>
          <cell r="H29">
            <v>3957000</v>
          </cell>
          <cell r="I29">
            <v>10599999.999998545</v>
          </cell>
        </row>
        <row r="30">
          <cell r="C30">
            <v>3229000</v>
          </cell>
          <cell r="D30">
            <v>0</v>
          </cell>
          <cell r="E30">
            <v>2000000</v>
          </cell>
          <cell r="F30">
            <v>15550000</v>
          </cell>
          <cell r="H30">
            <v>2811000.0000000009</v>
          </cell>
          <cell r="I30">
            <v>18799999.999999274</v>
          </cell>
        </row>
        <row r="31">
          <cell r="C31">
            <v>4736000</v>
          </cell>
          <cell r="D31">
            <v>0</v>
          </cell>
          <cell r="E31">
            <v>3000000</v>
          </cell>
          <cell r="F31">
            <v>9070000</v>
          </cell>
          <cell r="H31">
            <v>4563000</v>
          </cell>
          <cell r="I31">
            <v>12000000</v>
          </cell>
        </row>
        <row r="32">
          <cell r="C32">
            <v>4631000</v>
          </cell>
          <cell r="D32">
            <v>0</v>
          </cell>
          <cell r="E32">
            <v>3000000</v>
          </cell>
          <cell r="F32">
            <v>8890000</v>
          </cell>
          <cell r="H32">
            <v>4456999.9999999991</v>
          </cell>
          <cell r="I32">
            <v>12300000.000002909</v>
          </cell>
        </row>
        <row r="33">
          <cell r="C33">
            <v>4708000</v>
          </cell>
          <cell r="D33">
            <v>0</v>
          </cell>
          <cell r="E33">
            <v>3000000</v>
          </cell>
          <cell r="F33">
            <v>7280000</v>
          </cell>
          <cell r="H33">
            <v>4331000.0000000009</v>
          </cell>
          <cell r="I33">
            <v>10799999.999999272</v>
          </cell>
        </row>
        <row r="252">
          <cell r="D252">
            <v>309000.00000000017</v>
          </cell>
          <cell r="H252">
            <v>1847812</v>
          </cell>
        </row>
        <row r="253">
          <cell r="D253">
            <v>357000.00000000023</v>
          </cell>
          <cell r="H253">
            <v>1862002</v>
          </cell>
        </row>
        <row r="254">
          <cell r="D254">
            <v>347999.99999999895</v>
          </cell>
          <cell r="H254">
            <v>1716954</v>
          </cell>
        </row>
        <row r="255">
          <cell r="D255">
            <v>288999.99999999971</v>
          </cell>
          <cell r="H255">
            <v>2314323</v>
          </cell>
        </row>
        <row r="256">
          <cell r="D256">
            <v>233000.00000000055</v>
          </cell>
          <cell r="H256">
            <v>1801909</v>
          </cell>
        </row>
        <row r="257">
          <cell r="D257">
            <v>681000.00000000093</v>
          </cell>
          <cell r="H257">
            <v>1759848</v>
          </cell>
        </row>
        <row r="258">
          <cell r="D258">
            <v>346000.00000000006</v>
          </cell>
          <cell r="H258">
            <v>1671243</v>
          </cell>
        </row>
        <row r="259">
          <cell r="D259">
            <v>577999.99999999942</v>
          </cell>
          <cell r="H259">
            <v>1888414</v>
          </cell>
        </row>
        <row r="260">
          <cell r="D260">
            <v>462999.99999999919</v>
          </cell>
          <cell r="H260">
            <v>1538201</v>
          </cell>
        </row>
        <row r="261">
          <cell r="D261">
            <v>520000.00000000134</v>
          </cell>
          <cell r="H261">
            <v>1374386</v>
          </cell>
        </row>
        <row r="262">
          <cell r="D262">
            <v>460999.99999999854</v>
          </cell>
          <cell r="H262">
            <v>706445</v>
          </cell>
        </row>
        <row r="263">
          <cell r="D263">
            <v>230000.00000000044</v>
          </cell>
          <cell r="H263">
            <v>588819</v>
          </cell>
        </row>
        <row r="264">
          <cell r="D264">
            <v>406000.00000000058</v>
          </cell>
          <cell r="H264">
            <v>6846607</v>
          </cell>
        </row>
        <row r="265">
          <cell r="D265">
            <v>147999.99999999968</v>
          </cell>
          <cell r="H265">
            <v>1462643</v>
          </cell>
        </row>
        <row r="266">
          <cell r="D266">
            <v>0</v>
          </cell>
          <cell r="H266">
            <v>2022673</v>
          </cell>
        </row>
        <row r="267">
          <cell r="D267">
            <v>0</v>
          </cell>
          <cell r="H267">
            <v>1065530</v>
          </cell>
        </row>
        <row r="268">
          <cell r="D268">
            <v>271000.00000000081</v>
          </cell>
          <cell r="H268">
            <v>1181104</v>
          </cell>
        </row>
        <row r="269">
          <cell r="D269">
            <v>307999.99999999983</v>
          </cell>
          <cell r="H269">
            <v>1245925</v>
          </cell>
        </row>
        <row r="270">
          <cell r="D270">
            <v>165999.9999999986</v>
          </cell>
          <cell r="H270">
            <v>1226843</v>
          </cell>
        </row>
        <row r="271">
          <cell r="D271">
            <v>292000.00000000157</v>
          </cell>
          <cell r="H271">
            <v>1030678</v>
          </cell>
        </row>
        <row r="272">
          <cell r="D272">
            <v>173000.00000000003</v>
          </cell>
          <cell r="H272">
            <v>963347</v>
          </cell>
        </row>
        <row r="273">
          <cell r="D273">
            <v>173999.99999999948</v>
          </cell>
          <cell r="H273">
            <v>1222439</v>
          </cell>
        </row>
        <row r="274">
          <cell r="D274">
            <v>173000.00000000003</v>
          </cell>
          <cell r="H274">
            <v>1257774</v>
          </cell>
        </row>
        <row r="275">
          <cell r="D275">
            <v>173000.00000000003</v>
          </cell>
          <cell r="H275">
            <v>784289</v>
          </cell>
        </row>
        <row r="276">
          <cell r="D276">
            <v>230999.99999999988</v>
          </cell>
          <cell r="H276">
            <v>918476</v>
          </cell>
        </row>
        <row r="277">
          <cell r="D277">
            <v>230999.99999999988</v>
          </cell>
          <cell r="H277">
            <v>873776</v>
          </cell>
        </row>
        <row r="278">
          <cell r="D278">
            <v>417999.99999999924</v>
          </cell>
          <cell r="H278">
            <v>1471355</v>
          </cell>
        </row>
        <row r="279">
          <cell r="D279">
            <v>173000.00000000003</v>
          </cell>
          <cell r="H279">
            <v>1043206</v>
          </cell>
        </row>
        <row r="280">
          <cell r="D280">
            <v>174000.00000000125</v>
          </cell>
          <cell r="H280">
            <v>1039040</v>
          </cell>
        </row>
        <row r="281">
          <cell r="D281">
            <v>376999.99999999889</v>
          </cell>
          <cell r="H281">
            <v>946083</v>
          </cell>
        </row>
      </sheetData>
      <sheetData sheetId="3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Oct Pro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4">
          <cell r="C4">
            <v>4647000</v>
          </cell>
          <cell r="D4">
            <v>0</v>
          </cell>
          <cell r="E4">
            <v>3000000</v>
          </cell>
          <cell r="F4">
            <v>8910000</v>
          </cell>
          <cell r="H4">
            <v>4378999.9999999991</v>
          </cell>
          <cell r="I4">
            <v>12000000</v>
          </cell>
        </row>
        <row r="5">
          <cell r="C5">
            <v>4780000</v>
          </cell>
          <cell r="D5">
            <v>0</v>
          </cell>
          <cell r="E5">
            <v>3000000</v>
          </cell>
          <cell r="F5">
            <v>11890000</v>
          </cell>
          <cell r="H5">
            <v>4456000.0000000019</v>
          </cell>
          <cell r="I5">
            <v>15899999.999997817</v>
          </cell>
        </row>
        <row r="6">
          <cell r="C6">
            <v>4646000</v>
          </cell>
          <cell r="D6">
            <v>0</v>
          </cell>
          <cell r="E6">
            <v>3000000</v>
          </cell>
          <cell r="F6">
            <v>10560000</v>
          </cell>
          <cell r="H6">
            <v>4394999.9999999991</v>
          </cell>
          <cell r="I6">
            <v>13300000.000002909</v>
          </cell>
        </row>
        <row r="7">
          <cell r="C7">
            <v>4745000</v>
          </cell>
          <cell r="D7">
            <v>0</v>
          </cell>
          <cell r="E7">
            <v>1000000</v>
          </cell>
          <cell r="F7">
            <v>7170000</v>
          </cell>
          <cell r="H7">
            <v>4466000</v>
          </cell>
          <cell r="I7">
            <v>8000000</v>
          </cell>
        </row>
        <row r="8">
          <cell r="C8">
            <v>4653000</v>
          </cell>
          <cell r="D8">
            <v>0</v>
          </cell>
          <cell r="E8">
            <v>0</v>
          </cell>
          <cell r="F8">
            <v>6090000</v>
          </cell>
          <cell r="H8">
            <v>4368000</v>
          </cell>
          <cell r="I8">
            <v>6899999.999997817</v>
          </cell>
        </row>
        <row r="9">
          <cell r="C9">
            <v>4734000</v>
          </cell>
          <cell r="D9">
            <v>0</v>
          </cell>
          <cell r="E9">
            <v>1000000</v>
          </cell>
          <cell r="F9">
            <v>7070000</v>
          </cell>
          <cell r="H9">
            <v>4232999.9999999991</v>
          </cell>
          <cell r="I9">
            <v>8500000</v>
          </cell>
        </row>
        <row r="10">
          <cell r="C10">
            <v>203000</v>
          </cell>
          <cell r="D10">
            <v>0</v>
          </cell>
          <cell r="E10">
            <v>3000000</v>
          </cell>
          <cell r="F10">
            <v>11910000</v>
          </cell>
          <cell r="H10">
            <v>203000</v>
          </cell>
          <cell r="I10">
            <v>15799999.999999272</v>
          </cell>
        </row>
        <row r="11">
          <cell r="C11">
            <v>0</v>
          </cell>
          <cell r="D11">
            <v>0</v>
          </cell>
          <cell r="E11">
            <v>4000000</v>
          </cell>
          <cell r="F11">
            <v>11800000</v>
          </cell>
          <cell r="H11">
            <v>0</v>
          </cell>
          <cell r="I11">
            <v>15400000.000001455</v>
          </cell>
        </row>
        <row r="12">
          <cell r="C12">
            <v>0</v>
          </cell>
          <cell r="D12">
            <v>0</v>
          </cell>
          <cell r="E12">
            <v>3000000</v>
          </cell>
          <cell r="F12">
            <v>9650000</v>
          </cell>
          <cell r="H12">
            <v>0</v>
          </cell>
          <cell r="I12">
            <v>12299999.999999272</v>
          </cell>
        </row>
        <row r="13">
          <cell r="C13">
            <v>0</v>
          </cell>
          <cell r="D13">
            <v>0</v>
          </cell>
          <cell r="E13">
            <v>3000000</v>
          </cell>
          <cell r="F13">
            <v>13630000</v>
          </cell>
          <cell r="H13">
            <v>0</v>
          </cell>
          <cell r="I13">
            <v>17799999.999999274</v>
          </cell>
        </row>
        <row r="14">
          <cell r="C14">
            <v>0</v>
          </cell>
          <cell r="D14">
            <v>0</v>
          </cell>
          <cell r="E14">
            <v>3000000</v>
          </cell>
          <cell r="F14">
            <v>9750000</v>
          </cell>
          <cell r="H14">
            <v>0</v>
          </cell>
          <cell r="I14">
            <v>12800000.000002909</v>
          </cell>
        </row>
        <row r="15">
          <cell r="C15">
            <v>0</v>
          </cell>
          <cell r="D15">
            <v>0</v>
          </cell>
          <cell r="E15">
            <v>3000000</v>
          </cell>
          <cell r="F15">
            <v>9910000</v>
          </cell>
          <cell r="H15">
            <v>0</v>
          </cell>
          <cell r="I15">
            <v>13000000</v>
          </cell>
        </row>
        <row r="16">
          <cell r="C16">
            <v>0</v>
          </cell>
          <cell r="D16">
            <v>0</v>
          </cell>
          <cell r="E16">
            <v>3000000</v>
          </cell>
          <cell r="F16">
            <v>11220000</v>
          </cell>
          <cell r="H16">
            <v>0</v>
          </cell>
          <cell r="I16">
            <v>14699999.999997091</v>
          </cell>
        </row>
        <row r="17">
          <cell r="C17">
            <v>0</v>
          </cell>
          <cell r="D17">
            <v>0</v>
          </cell>
          <cell r="E17">
            <v>3000000</v>
          </cell>
          <cell r="F17">
            <v>9900000</v>
          </cell>
          <cell r="H17">
            <v>0</v>
          </cell>
          <cell r="I17">
            <v>13300000.000002909</v>
          </cell>
        </row>
        <row r="18">
          <cell r="C18">
            <v>0</v>
          </cell>
          <cell r="D18">
            <v>0</v>
          </cell>
          <cell r="E18">
            <v>3000000</v>
          </cell>
          <cell r="F18">
            <v>6720000</v>
          </cell>
          <cell r="H18">
            <v>0</v>
          </cell>
          <cell r="I18">
            <v>9799999.9999992717</v>
          </cell>
        </row>
        <row r="19">
          <cell r="C19">
            <v>0</v>
          </cell>
          <cell r="D19">
            <v>0</v>
          </cell>
          <cell r="E19">
            <v>3000000</v>
          </cell>
          <cell r="F19">
            <v>8990000</v>
          </cell>
          <cell r="H19">
            <v>0</v>
          </cell>
          <cell r="I19">
            <v>12200000.000000728</v>
          </cell>
        </row>
        <row r="20">
          <cell r="C20">
            <v>0</v>
          </cell>
          <cell r="D20">
            <v>0</v>
          </cell>
          <cell r="E20">
            <v>3000000</v>
          </cell>
          <cell r="F20">
            <v>9880000</v>
          </cell>
          <cell r="H20">
            <v>0</v>
          </cell>
          <cell r="I20">
            <v>13199999.999997091</v>
          </cell>
        </row>
        <row r="21">
          <cell r="C21">
            <v>0</v>
          </cell>
          <cell r="D21">
            <v>0</v>
          </cell>
          <cell r="E21">
            <v>3000000</v>
          </cell>
          <cell r="F21">
            <v>8950000.0000000019</v>
          </cell>
          <cell r="H21">
            <v>0</v>
          </cell>
          <cell r="I21">
            <v>11800000.000002909</v>
          </cell>
        </row>
        <row r="22">
          <cell r="C22">
            <v>0</v>
          </cell>
          <cell r="D22">
            <v>0</v>
          </cell>
          <cell r="E22">
            <v>3000000</v>
          </cell>
          <cell r="F22">
            <v>9090000</v>
          </cell>
          <cell r="H22">
            <v>0</v>
          </cell>
          <cell r="I22">
            <v>12000000</v>
          </cell>
        </row>
        <row r="23">
          <cell r="C23">
            <v>0</v>
          </cell>
          <cell r="D23">
            <v>0</v>
          </cell>
          <cell r="E23">
            <v>3000000</v>
          </cell>
          <cell r="F23">
            <v>8880000</v>
          </cell>
          <cell r="H23">
            <v>0</v>
          </cell>
          <cell r="I23">
            <v>12000000</v>
          </cell>
        </row>
        <row r="24">
          <cell r="C24">
            <v>0</v>
          </cell>
          <cell r="D24">
            <v>0</v>
          </cell>
          <cell r="E24">
            <v>3000000</v>
          </cell>
          <cell r="F24">
            <v>9090000</v>
          </cell>
          <cell r="H24">
            <v>0</v>
          </cell>
          <cell r="I24">
            <v>12299999.999999272</v>
          </cell>
        </row>
        <row r="25">
          <cell r="C25">
            <v>0</v>
          </cell>
          <cell r="D25">
            <v>0</v>
          </cell>
          <cell r="E25">
            <v>3000000</v>
          </cell>
          <cell r="F25">
            <v>9010000</v>
          </cell>
          <cell r="H25">
            <v>0</v>
          </cell>
          <cell r="I25">
            <v>11700000.000000728</v>
          </cell>
        </row>
        <row r="26">
          <cell r="C26">
            <v>0</v>
          </cell>
          <cell r="D26">
            <v>0</v>
          </cell>
          <cell r="E26">
            <v>3000000</v>
          </cell>
          <cell r="F26">
            <v>8920000</v>
          </cell>
          <cell r="H26">
            <v>0</v>
          </cell>
          <cell r="I26">
            <v>11899999.999997817</v>
          </cell>
        </row>
        <row r="27">
          <cell r="C27">
            <v>0</v>
          </cell>
          <cell r="D27">
            <v>0</v>
          </cell>
          <cell r="E27">
            <v>3000000</v>
          </cell>
          <cell r="F27">
            <v>8370000.0000000009</v>
          </cell>
          <cell r="H27">
            <v>0</v>
          </cell>
          <cell r="I27">
            <v>11500000</v>
          </cell>
        </row>
        <row r="28">
          <cell r="C28">
            <v>0</v>
          </cell>
          <cell r="D28">
            <v>0</v>
          </cell>
          <cell r="E28">
            <v>3000000</v>
          </cell>
          <cell r="F28">
            <v>8040000.0000000009</v>
          </cell>
          <cell r="H28">
            <v>0</v>
          </cell>
          <cell r="I28">
            <v>11100000.000002183</v>
          </cell>
        </row>
        <row r="29">
          <cell r="C29">
            <v>0</v>
          </cell>
          <cell r="D29">
            <v>0</v>
          </cell>
          <cell r="E29">
            <v>3000000</v>
          </cell>
          <cell r="F29">
            <v>8960000</v>
          </cell>
          <cell r="H29">
            <v>0</v>
          </cell>
          <cell r="I29">
            <v>11899999.999997817</v>
          </cell>
        </row>
        <row r="30">
          <cell r="C30">
            <v>0</v>
          </cell>
          <cell r="D30">
            <v>0</v>
          </cell>
          <cell r="E30">
            <v>3000000</v>
          </cell>
          <cell r="F30">
            <v>8990000</v>
          </cell>
          <cell r="H30">
            <v>0</v>
          </cell>
          <cell r="I30">
            <v>12600000.000002183</v>
          </cell>
        </row>
        <row r="31">
          <cell r="C31">
            <v>0</v>
          </cell>
          <cell r="D31">
            <v>0</v>
          </cell>
          <cell r="E31">
            <v>3000000</v>
          </cell>
          <cell r="F31">
            <v>9120000.0000000019</v>
          </cell>
          <cell r="H31">
            <v>0</v>
          </cell>
          <cell r="I31">
            <v>12399999.999997817</v>
          </cell>
        </row>
        <row r="32">
          <cell r="C32">
            <v>0</v>
          </cell>
          <cell r="D32">
            <v>0</v>
          </cell>
          <cell r="E32">
            <v>3000000</v>
          </cell>
          <cell r="F32">
            <v>9030000</v>
          </cell>
          <cell r="H32">
            <v>0</v>
          </cell>
          <cell r="I32">
            <v>12100000.000002183</v>
          </cell>
        </row>
        <row r="33">
          <cell r="C33">
            <v>0</v>
          </cell>
          <cell r="D33">
            <v>0</v>
          </cell>
          <cell r="E33">
            <v>3000000</v>
          </cell>
          <cell r="F33">
            <v>8109999.9999999991</v>
          </cell>
          <cell r="H33">
            <v>0</v>
          </cell>
          <cell r="I33">
            <v>11199999.999997091</v>
          </cell>
        </row>
        <row r="34">
          <cell r="C34">
            <v>172000</v>
          </cell>
          <cell r="D34">
            <v>0</v>
          </cell>
          <cell r="E34">
            <v>3000000</v>
          </cell>
          <cell r="F34">
            <v>7940000</v>
          </cell>
          <cell r="H34">
            <v>0</v>
          </cell>
          <cell r="I34">
            <v>11100000.000002183</v>
          </cell>
        </row>
        <row r="259">
          <cell r="D259">
            <v>268000.0000000007</v>
          </cell>
          <cell r="H259">
            <v>1113470</v>
          </cell>
        </row>
        <row r="260">
          <cell r="D260">
            <v>323999.99999999808</v>
          </cell>
          <cell r="H260">
            <v>1324435</v>
          </cell>
        </row>
        <row r="261">
          <cell r="D261">
            <v>251000.00000000122</v>
          </cell>
          <cell r="H261">
            <v>1241720</v>
          </cell>
        </row>
        <row r="262">
          <cell r="D262">
            <v>278999.99999999994</v>
          </cell>
          <cell r="H262">
            <v>709581</v>
          </cell>
        </row>
        <row r="263">
          <cell r="D263">
            <v>285000.00000000012</v>
          </cell>
          <cell r="H263">
            <v>601467</v>
          </cell>
        </row>
        <row r="264">
          <cell r="D264">
            <v>501000.00000000122</v>
          </cell>
          <cell r="H264">
            <v>817746</v>
          </cell>
        </row>
        <row r="265">
          <cell r="D265">
            <v>0</v>
          </cell>
          <cell r="H265">
            <v>1578185</v>
          </cell>
        </row>
        <row r="266">
          <cell r="D266">
            <v>0</v>
          </cell>
          <cell r="H266">
            <v>1384218</v>
          </cell>
        </row>
        <row r="267">
          <cell r="D267">
            <v>154999.99999999758</v>
          </cell>
          <cell r="H267">
            <v>1093587</v>
          </cell>
        </row>
        <row r="268">
          <cell r="D268">
            <v>-999.99999999766942</v>
          </cell>
          <cell r="H268">
            <v>1427980</v>
          </cell>
        </row>
        <row r="269">
          <cell r="D269">
            <v>532999.99999999767</v>
          </cell>
          <cell r="H269">
            <v>1090414</v>
          </cell>
        </row>
        <row r="270">
          <cell r="D270">
            <v>73000.000000000393</v>
          </cell>
          <cell r="H270">
            <v>1117590</v>
          </cell>
        </row>
        <row r="271">
          <cell r="D271">
            <v>0</v>
          </cell>
          <cell r="H271">
            <v>1212770</v>
          </cell>
        </row>
        <row r="272">
          <cell r="D272">
            <v>0</v>
          </cell>
          <cell r="H272">
            <v>1191791</v>
          </cell>
        </row>
        <row r="273">
          <cell r="D273">
            <v>0</v>
          </cell>
          <cell r="H273">
            <v>942682</v>
          </cell>
        </row>
        <row r="274">
          <cell r="D274">
            <v>0</v>
          </cell>
          <cell r="H274">
            <v>1080600</v>
          </cell>
        </row>
        <row r="275">
          <cell r="D275">
            <v>0</v>
          </cell>
          <cell r="H275">
            <v>1155708</v>
          </cell>
        </row>
        <row r="276">
          <cell r="D276">
            <v>0</v>
          </cell>
          <cell r="H276">
            <v>996533</v>
          </cell>
        </row>
        <row r="277">
          <cell r="D277">
            <v>0</v>
          </cell>
          <cell r="H277">
            <v>950242</v>
          </cell>
        </row>
        <row r="278">
          <cell r="D278">
            <v>0</v>
          </cell>
          <cell r="H278">
            <v>1191118</v>
          </cell>
        </row>
        <row r="279">
          <cell r="D279">
            <v>0</v>
          </cell>
          <cell r="H279">
            <v>1144787</v>
          </cell>
        </row>
        <row r="280">
          <cell r="D280">
            <v>0</v>
          </cell>
          <cell r="H280">
            <v>1165853</v>
          </cell>
        </row>
        <row r="281">
          <cell r="D281">
            <v>444000.00000000262</v>
          </cell>
          <cell r="H281">
            <v>1204381</v>
          </cell>
        </row>
        <row r="282">
          <cell r="D282">
            <v>36999.999999999032</v>
          </cell>
          <cell r="H282">
            <v>1102756</v>
          </cell>
        </row>
        <row r="283">
          <cell r="D283">
            <v>73000.000000000393</v>
          </cell>
          <cell r="H283">
            <v>1069737</v>
          </cell>
        </row>
        <row r="284">
          <cell r="D284">
            <v>0</v>
          </cell>
          <cell r="H284">
            <v>1033760</v>
          </cell>
        </row>
        <row r="285">
          <cell r="D285">
            <v>0</v>
          </cell>
          <cell r="H285">
            <v>993842</v>
          </cell>
        </row>
        <row r="286">
          <cell r="D286">
            <v>239000.00000000076</v>
          </cell>
          <cell r="H286">
            <v>1063361</v>
          </cell>
        </row>
        <row r="287">
          <cell r="D287">
            <v>0</v>
          </cell>
          <cell r="H287">
            <v>1106636</v>
          </cell>
        </row>
        <row r="288">
          <cell r="D288">
            <v>0</v>
          </cell>
          <cell r="H288">
            <v>944219</v>
          </cell>
        </row>
        <row r="289">
          <cell r="D289">
            <v>0</v>
          </cell>
          <cell r="H289">
            <v>891446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36"/>
  <sheetViews>
    <sheetView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H10" sqref="H10"/>
    </sheetView>
  </sheetViews>
  <sheetFormatPr defaultRowHeight="12.75" x14ac:dyDescent="0.2"/>
  <cols>
    <col min="2" max="2" width="12" customWidth="1"/>
    <col min="5" max="5" width="11.28515625" customWidth="1"/>
    <col min="8" max="8" width="15.42578125" bestFit="1" customWidth="1"/>
    <col min="11" max="11" width="13.85546875" customWidth="1"/>
    <col min="12" max="12" width="10.7109375" customWidth="1"/>
    <col min="15" max="15" width="11" customWidth="1"/>
    <col min="18" max="18" width="10.7109375" customWidth="1"/>
    <col min="21" max="21" width="11.7109375" bestFit="1" customWidth="1"/>
    <col min="22" max="22" width="10.7109375" customWidth="1"/>
    <col min="28" max="28" width="12.7109375" customWidth="1"/>
  </cols>
  <sheetData>
    <row r="1" spans="1:30" x14ac:dyDescent="0.2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5" thickBot="1" x14ac:dyDescent="0.25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8</v>
      </c>
      <c r="AC3" s="66"/>
      <c r="AD3" s="67"/>
    </row>
    <row r="4" spans="1:30" x14ac:dyDescent="0.2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2">
      <c r="A5" s="1">
        <v>38292</v>
      </c>
      <c r="B5" s="7">
        <f>'[1]Nov Prod'!I4</f>
        <v>0</v>
      </c>
      <c r="C5" s="8">
        <f t="shared" ref="C5:C34" si="0">B5/1000000</f>
        <v>0</v>
      </c>
      <c r="D5" s="10">
        <f t="shared" ref="D5:D34" si="1">C5*3.07</f>
        <v>0</v>
      </c>
      <c r="E5" s="7">
        <f>'[1]Nov Prod'!E4</f>
        <v>0</v>
      </c>
      <c r="F5" s="8">
        <f t="shared" ref="F5:F34" si="2">E5/1000000</f>
        <v>0</v>
      </c>
      <c r="G5" s="10">
        <f t="shared" ref="G5:G34" si="3">F5*3.07</f>
        <v>0</v>
      </c>
      <c r="H5" s="47">
        <f>'[1]Nov Prod'!F4</f>
        <v>731000000</v>
      </c>
      <c r="I5" s="8">
        <f>H5/100000000</f>
        <v>7.31</v>
      </c>
      <c r="J5" s="10">
        <f t="shared" ref="J5:J34" si="4">I5*3.07</f>
        <v>22.441699999999997</v>
      </c>
      <c r="K5" s="7">
        <f>'[1]Nov Prod'!$H252*10</f>
        <v>0</v>
      </c>
      <c r="L5" s="8">
        <f t="shared" ref="L5:L7" si="5">K5/10000000</f>
        <v>0</v>
      </c>
      <c r="M5" s="10">
        <f t="shared" ref="M5:M34" si="6">L5*3.07</f>
        <v>0</v>
      </c>
      <c r="N5" s="21"/>
      <c r="O5" s="7">
        <f>'[1]Nov Prod'!H4</f>
        <v>10781000.000000004</v>
      </c>
      <c r="P5" s="8">
        <f t="shared" ref="P5:P16" si="7">O5/1000000</f>
        <v>10.781000000000004</v>
      </c>
      <c r="Q5" s="10">
        <f t="shared" ref="Q5:Q34" si="8">P5*3.07</f>
        <v>33.097670000000008</v>
      </c>
      <c r="R5" s="7">
        <f>'[1]Nov Prod'!C4</f>
        <v>10920000</v>
      </c>
      <c r="S5" s="8">
        <f t="shared" ref="S5:S17" si="9">R5/1000000</f>
        <v>10.92</v>
      </c>
      <c r="T5" s="10">
        <f t="shared" ref="T5:T34" si="10">S5*3.07</f>
        <v>33.5244</v>
      </c>
      <c r="U5" s="7">
        <f>'[1]Nov Prod'!D4</f>
        <v>0</v>
      </c>
      <c r="V5" s="8">
        <f t="shared" ref="V5:V34" si="11">U5/1000000</f>
        <v>0</v>
      </c>
      <c r="W5" s="10">
        <f t="shared" ref="W5:W34" si="12">V5*3.07</f>
        <v>0</v>
      </c>
      <c r="X5" s="7">
        <f>'[1]Nov Prod'!$D252</f>
        <v>138999.99999999578</v>
      </c>
      <c r="Y5" s="8">
        <f t="shared" ref="Y5:Y34" si="13">X5/1000000</f>
        <v>0.13899999999999579</v>
      </c>
      <c r="Z5" s="10">
        <f t="shared" ref="Z5:Z34" si="14">Y5*3.07</f>
        <v>0.42672999999998706</v>
      </c>
      <c r="AA5" s="15"/>
      <c r="AB5" s="7">
        <f>B5+O5</f>
        <v>10781000.000000004</v>
      </c>
      <c r="AC5" s="8">
        <f>C5+P5</f>
        <v>10.781000000000004</v>
      </c>
      <c r="AD5" s="8">
        <f>D5+Q5</f>
        <v>33.097670000000008</v>
      </c>
    </row>
    <row r="6" spans="1:30" x14ac:dyDescent="0.2">
      <c r="A6" s="1">
        <v>38293</v>
      </c>
      <c r="B6" s="7">
        <f>'[1]Nov Prod'!I5</f>
        <v>0</v>
      </c>
      <c r="C6" s="8">
        <f t="shared" si="0"/>
        <v>0</v>
      </c>
      <c r="D6" s="10">
        <f t="shared" si="1"/>
        <v>0</v>
      </c>
      <c r="E6" s="7">
        <f>'[1]Nov Prod'!E5</f>
        <v>0</v>
      </c>
      <c r="F6" s="8">
        <f t="shared" si="2"/>
        <v>0</v>
      </c>
      <c r="G6" s="10">
        <f t="shared" si="3"/>
        <v>0</v>
      </c>
      <c r="H6" s="47">
        <f>'[1]Nov Prod'!F5</f>
        <v>1129000000</v>
      </c>
      <c r="I6" s="8">
        <f t="shared" ref="I6:I34" si="15">H6/100000000</f>
        <v>11.29</v>
      </c>
      <c r="J6" s="10">
        <f t="shared" si="4"/>
        <v>34.660299999999992</v>
      </c>
      <c r="K6" s="7">
        <f>'[1]Nov Prod'!$H253*10</f>
        <v>0</v>
      </c>
      <c r="L6" s="8">
        <f t="shared" si="5"/>
        <v>0</v>
      </c>
      <c r="M6" s="10">
        <f t="shared" si="6"/>
        <v>0</v>
      </c>
      <c r="N6" s="21"/>
      <c r="O6" s="7">
        <f>'[1]Nov Prod'!H5</f>
        <v>13208000</v>
      </c>
      <c r="P6" s="8">
        <f t="shared" si="7"/>
        <v>13.208</v>
      </c>
      <c r="Q6" s="10">
        <f t="shared" si="8"/>
        <v>40.548560000000002</v>
      </c>
      <c r="R6" s="7">
        <f>'[1]Nov Prod'!C5</f>
        <v>13348000</v>
      </c>
      <c r="S6" s="8">
        <f t="shared" si="9"/>
        <v>13.348000000000001</v>
      </c>
      <c r="T6" s="10">
        <f t="shared" si="10"/>
        <v>40.978360000000002</v>
      </c>
      <c r="U6" s="7">
        <f>'[1]Nov Prod'!D5</f>
        <v>0</v>
      </c>
      <c r="V6" s="8">
        <f t="shared" si="11"/>
        <v>0</v>
      </c>
      <c r="W6" s="10">
        <f t="shared" si="12"/>
        <v>0</v>
      </c>
      <c r="X6" s="7">
        <f>'[1]Nov Prod'!$D253</f>
        <v>140000.00000000058</v>
      </c>
      <c r="Y6" s="8">
        <f t="shared" si="13"/>
        <v>0.14000000000000057</v>
      </c>
      <c r="Z6" s="10">
        <f t="shared" si="14"/>
        <v>0.42980000000000174</v>
      </c>
      <c r="AA6" s="15"/>
      <c r="AB6" s="7">
        <f t="shared" ref="AB6:AD35" si="16">B6+O6</f>
        <v>13208000</v>
      </c>
      <c r="AC6" s="8">
        <f t="shared" si="16"/>
        <v>13.208</v>
      </c>
      <c r="AD6" s="8">
        <f t="shared" si="16"/>
        <v>40.548560000000002</v>
      </c>
    </row>
    <row r="7" spans="1:30" x14ac:dyDescent="0.2">
      <c r="A7" s="1">
        <v>38294</v>
      </c>
      <c r="B7" s="7">
        <f>'[1]Nov Prod'!I6</f>
        <v>0</v>
      </c>
      <c r="C7" s="8">
        <f t="shared" si="0"/>
        <v>0</v>
      </c>
      <c r="D7" s="10">
        <f t="shared" si="1"/>
        <v>0</v>
      </c>
      <c r="E7" s="7">
        <f>'[1]Nov Prod'!E6</f>
        <v>0</v>
      </c>
      <c r="F7" s="8">
        <f t="shared" si="2"/>
        <v>0</v>
      </c>
      <c r="G7" s="10">
        <f t="shared" si="3"/>
        <v>0</v>
      </c>
      <c r="H7" s="47">
        <f>'[1]Nov Prod'!F6</f>
        <v>1177000000</v>
      </c>
      <c r="I7" s="8">
        <f t="shared" si="15"/>
        <v>11.77</v>
      </c>
      <c r="J7" s="10">
        <f t="shared" si="4"/>
        <v>36.133899999999997</v>
      </c>
      <c r="K7" s="7">
        <f>'[1]Nov Prod'!$H254*10</f>
        <v>0</v>
      </c>
      <c r="L7" s="8">
        <f t="shared" si="5"/>
        <v>0</v>
      </c>
      <c r="M7" s="10">
        <f t="shared" si="6"/>
        <v>0</v>
      </c>
      <c r="N7" s="21"/>
      <c r="O7" s="7">
        <f>'[1]Nov Prod'!H6</f>
        <v>14087999.999999998</v>
      </c>
      <c r="P7" s="8">
        <f t="shared" si="7"/>
        <v>14.087999999999997</v>
      </c>
      <c r="Q7" s="10">
        <f t="shared" si="8"/>
        <v>43.250159999999987</v>
      </c>
      <c r="R7" s="7">
        <f>'[1]Nov Prod'!C6</f>
        <v>14261000</v>
      </c>
      <c r="S7" s="8">
        <f t="shared" si="9"/>
        <v>14.260999999999999</v>
      </c>
      <c r="T7" s="10">
        <f t="shared" si="10"/>
        <v>43.781269999999992</v>
      </c>
      <c r="U7" s="7">
        <f>'[1]Nov Prod'!D6</f>
        <v>0</v>
      </c>
      <c r="V7" s="8">
        <f t="shared" si="11"/>
        <v>0</v>
      </c>
      <c r="W7" s="10">
        <f t="shared" si="12"/>
        <v>0</v>
      </c>
      <c r="X7" s="7">
        <f>'[1]Nov Prod'!$D254</f>
        <v>173000.0000000018</v>
      </c>
      <c r="Y7" s="8">
        <f t="shared" si="13"/>
        <v>0.17300000000000179</v>
      </c>
      <c r="Z7" s="10">
        <f t="shared" si="14"/>
        <v>0.53111000000000552</v>
      </c>
      <c r="AA7" s="15"/>
      <c r="AB7" s="7">
        <f t="shared" si="16"/>
        <v>14087999.999999998</v>
      </c>
      <c r="AC7" s="8">
        <f t="shared" si="16"/>
        <v>14.087999999999997</v>
      </c>
      <c r="AD7" s="8">
        <f t="shared" si="16"/>
        <v>43.250159999999987</v>
      </c>
    </row>
    <row r="8" spans="1:30" x14ac:dyDescent="0.2">
      <c r="A8" s="1">
        <v>38295</v>
      </c>
      <c r="B8" s="7">
        <f>'[1]Nov Prod'!I7</f>
        <v>0</v>
      </c>
      <c r="C8" s="8">
        <f t="shared" si="0"/>
        <v>0</v>
      </c>
      <c r="D8" s="10">
        <f t="shared" si="1"/>
        <v>0</v>
      </c>
      <c r="E8" s="7">
        <f>'[1]Nov Prod'!E7</f>
        <v>0</v>
      </c>
      <c r="F8" s="8">
        <f t="shared" si="2"/>
        <v>0</v>
      </c>
      <c r="G8" s="10">
        <f t="shared" si="3"/>
        <v>0</v>
      </c>
      <c r="H8" s="47">
        <f>'[1]Nov Prod'!F7</f>
        <v>1105000000</v>
      </c>
      <c r="I8" s="8">
        <f t="shared" si="15"/>
        <v>11.05</v>
      </c>
      <c r="J8" s="10">
        <f t="shared" si="4"/>
        <v>33.923499999999997</v>
      </c>
      <c r="K8" s="7">
        <f>'[1]Nov Prod'!$H255*10</f>
        <v>0</v>
      </c>
      <c r="L8" s="8">
        <f>K8/10000000</f>
        <v>0</v>
      </c>
      <c r="M8" s="10">
        <f t="shared" si="6"/>
        <v>0</v>
      </c>
      <c r="N8" s="21"/>
      <c r="O8" s="7">
        <f>'[1]Nov Prod'!H7</f>
        <v>13592000.000000009</v>
      </c>
      <c r="P8" s="8">
        <f t="shared" si="7"/>
        <v>13.592000000000009</v>
      </c>
      <c r="Q8" s="10">
        <f t="shared" si="8"/>
        <v>41.72744000000003</v>
      </c>
      <c r="R8" s="7">
        <f>'[1]Nov Prod'!C7</f>
        <v>13736000</v>
      </c>
      <c r="S8" s="8">
        <f t="shared" si="9"/>
        <v>13.736000000000001</v>
      </c>
      <c r="T8" s="10">
        <f t="shared" si="10"/>
        <v>42.169519999999999</v>
      </c>
      <c r="U8" s="7">
        <f>'[1]Nov Prod'!D7</f>
        <v>0</v>
      </c>
      <c r="V8" s="8">
        <f t="shared" si="11"/>
        <v>0</v>
      </c>
      <c r="W8" s="10">
        <f t="shared" si="12"/>
        <v>0</v>
      </c>
      <c r="X8" s="7">
        <f>'[1]Nov Prod'!$D255</f>
        <v>143999.99999999124</v>
      </c>
      <c r="Y8" s="8">
        <f t="shared" si="13"/>
        <v>0.14399999999999125</v>
      </c>
      <c r="Z8" s="10">
        <f t="shared" si="14"/>
        <v>0.44207999999997311</v>
      </c>
      <c r="AA8" s="15"/>
      <c r="AB8" s="7">
        <f t="shared" si="16"/>
        <v>13592000.000000009</v>
      </c>
      <c r="AC8" s="8">
        <f t="shared" si="16"/>
        <v>13.592000000000009</v>
      </c>
      <c r="AD8" s="8">
        <f>D8+Q8</f>
        <v>41.72744000000003</v>
      </c>
    </row>
    <row r="9" spans="1:30" x14ac:dyDescent="0.2">
      <c r="A9" s="1">
        <v>38296</v>
      </c>
      <c r="B9" s="7">
        <f>'[1]Nov Prod'!I8</f>
        <v>0</v>
      </c>
      <c r="C9" s="8">
        <f t="shared" si="0"/>
        <v>0</v>
      </c>
      <c r="D9" s="10">
        <f t="shared" si="1"/>
        <v>0</v>
      </c>
      <c r="E9" s="7">
        <f>'[1]Nov Prod'!E8</f>
        <v>0</v>
      </c>
      <c r="F9" s="8">
        <f t="shared" si="2"/>
        <v>0</v>
      </c>
      <c r="G9" s="10">
        <f t="shared" si="3"/>
        <v>0</v>
      </c>
      <c r="H9" s="47">
        <f>'[1]Nov Prod'!F8</f>
        <v>1229000000</v>
      </c>
      <c r="I9" s="8">
        <f t="shared" si="15"/>
        <v>12.29</v>
      </c>
      <c r="J9" s="10">
        <f t="shared" si="4"/>
        <v>37.730299999999993</v>
      </c>
      <c r="K9" s="7">
        <f>'[1]Nov Prod'!$H256*10</f>
        <v>0</v>
      </c>
      <c r="L9" s="8">
        <f t="shared" ref="L9:L34" si="17">K9/10000000</f>
        <v>0</v>
      </c>
      <c r="M9" s="10">
        <f t="shared" si="6"/>
        <v>0</v>
      </c>
      <c r="N9" s="21"/>
      <c r="O9" s="7">
        <f>'[1]Nov Prod'!H8</f>
        <v>13984169.999999998</v>
      </c>
      <c r="P9" s="8">
        <f t="shared" si="7"/>
        <v>13.984169999999999</v>
      </c>
      <c r="Q9" s="10">
        <f t="shared" si="8"/>
        <v>42.931401899999997</v>
      </c>
      <c r="R9" s="7">
        <f>'[1]Nov Prod'!C8</f>
        <v>14154000</v>
      </c>
      <c r="S9" s="8">
        <f t="shared" si="9"/>
        <v>14.154</v>
      </c>
      <c r="T9" s="10">
        <f t="shared" si="10"/>
        <v>43.452779999999997</v>
      </c>
      <c r="U9" s="7">
        <f>'[1]Nov Prod'!D8</f>
        <v>0</v>
      </c>
      <c r="V9" s="8">
        <f t="shared" si="11"/>
        <v>0</v>
      </c>
      <c r="W9" s="10">
        <f t="shared" si="12"/>
        <v>0</v>
      </c>
      <c r="X9" s="7">
        <f>'[1]Nov Prod'!$D256</f>
        <v>170000.00000000172</v>
      </c>
      <c r="Y9" s="8">
        <f t="shared" si="13"/>
        <v>0.17000000000000171</v>
      </c>
      <c r="Z9" s="10">
        <f t="shared" si="14"/>
        <v>0.52190000000000525</v>
      </c>
      <c r="AA9" s="15"/>
      <c r="AB9" s="7">
        <f t="shared" si="16"/>
        <v>13984169.999999998</v>
      </c>
      <c r="AC9" s="8">
        <f t="shared" si="16"/>
        <v>13.984169999999999</v>
      </c>
      <c r="AD9" s="8">
        <f t="shared" si="16"/>
        <v>42.931401899999997</v>
      </c>
    </row>
    <row r="10" spans="1:30" x14ac:dyDescent="0.2">
      <c r="A10" s="1">
        <v>38297</v>
      </c>
      <c r="B10" s="7">
        <f>'[1]Nov Prod'!I9</f>
        <v>0</v>
      </c>
      <c r="C10" s="8">
        <f t="shared" si="0"/>
        <v>0</v>
      </c>
      <c r="D10" s="10">
        <f t="shared" si="1"/>
        <v>0</v>
      </c>
      <c r="E10" s="7">
        <f>'[1]Nov Prod'!E9</f>
        <v>0</v>
      </c>
      <c r="F10" s="8">
        <f t="shared" si="2"/>
        <v>0</v>
      </c>
      <c r="G10" s="10">
        <f t="shared" si="3"/>
        <v>0</v>
      </c>
      <c r="H10" s="47">
        <f>'[1]Nov Prod'!F9</f>
        <v>1140000000</v>
      </c>
      <c r="I10" s="8">
        <f t="shared" si="15"/>
        <v>11.4</v>
      </c>
      <c r="J10" s="10">
        <f t="shared" si="4"/>
        <v>34.997999999999998</v>
      </c>
      <c r="K10" s="7">
        <f>'[1]Nov Prod'!$H257*10</f>
        <v>0</v>
      </c>
      <c r="L10" s="8">
        <f t="shared" si="17"/>
        <v>0</v>
      </c>
      <c r="M10" s="10">
        <f t="shared" si="6"/>
        <v>0</v>
      </c>
      <c r="N10" s="21"/>
      <c r="O10" s="7">
        <f>'[1]Nov Prod'!H9</f>
        <v>11844999.999999991</v>
      </c>
      <c r="P10" s="8">
        <f t="shared" si="7"/>
        <v>11.84499999999999</v>
      </c>
      <c r="Q10" s="10">
        <f t="shared" si="8"/>
        <v>36.364149999999967</v>
      </c>
      <c r="R10" s="7">
        <f>'[1]Nov Prod'!C9</f>
        <v>12085000</v>
      </c>
      <c r="S10" s="8">
        <f t="shared" si="9"/>
        <v>12.085000000000001</v>
      </c>
      <c r="T10" s="10">
        <f t="shared" si="10"/>
        <v>37.100949999999997</v>
      </c>
      <c r="U10" s="7">
        <f>'[1]Nov Prod'!D9</f>
        <v>0</v>
      </c>
      <c r="V10" s="8">
        <f t="shared" si="11"/>
        <v>0</v>
      </c>
      <c r="W10" s="10">
        <f t="shared" si="12"/>
        <v>0</v>
      </c>
      <c r="X10" s="7">
        <f>'[1]Nov Prod'!$D257</f>
        <v>240000.00000000908</v>
      </c>
      <c r="Y10" s="8">
        <f t="shared" si="13"/>
        <v>0.24000000000000907</v>
      </c>
      <c r="Z10" s="10">
        <f t="shared" si="14"/>
        <v>0.73680000000002777</v>
      </c>
      <c r="AA10" s="15"/>
      <c r="AB10" s="7">
        <f t="shared" si="16"/>
        <v>11844999.999999991</v>
      </c>
      <c r="AC10" s="8">
        <f t="shared" si="16"/>
        <v>11.84499999999999</v>
      </c>
      <c r="AD10" s="8">
        <f t="shared" si="16"/>
        <v>36.364149999999967</v>
      </c>
    </row>
    <row r="11" spans="1:30" x14ac:dyDescent="0.2">
      <c r="A11" s="1">
        <v>38298</v>
      </c>
      <c r="B11" s="7">
        <f>'[1]Nov Prod'!I10</f>
        <v>0</v>
      </c>
      <c r="C11" s="8">
        <f t="shared" si="0"/>
        <v>0</v>
      </c>
      <c r="D11" s="10">
        <f t="shared" si="1"/>
        <v>0</v>
      </c>
      <c r="E11" s="7">
        <f>'[1]Nov Prod'!E10</f>
        <v>0</v>
      </c>
      <c r="F11" s="8">
        <f t="shared" si="2"/>
        <v>0</v>
      </c>
      <c r="G11" s="10">
        <f t="shared" si="3"/>
        <v>0</v>
      </c>
      <c r="H11" s="47">
        <f>'[1]Nov Prod'!F10</f>
        <v>1147000000</v>
      </c>
      <c r="I11" s="8">
        <f t="shared" si="15"/>
        <v>11.47</v>
      </c>
      <c r="J11" s="10">
        <f t="shared" si="4"/>
        <v>35.212899999999998</v>
      </c>
      <c r="K11" s="7">
        <f>'[1]Nov Prod'!$H258*10</f>
        <v>372480</v>
      </c>
      <c r="L11" s="8">
        <f t="shared" si="17"/>
        <v>3.7248000000000003E-2</v>
      </c>
      <c r="M11" s="10">
        <f t="shared" si="6"/>
        <v>0.11435136</v>
      </c>
      <c r="N11" s="21"/>
      <c r="O11" s="7">
        <f>'[1]Nov Prod'!H10</f>
        <v>12144000.000000004</v>
      </c>
      <c r="P11" s="8">
        <f t="shared" si="7"/>
        <v>12.144000000000004</v>
      </c>
      <c r="Q11" s="10">
        <f t="shared" si="8"/>
        <v>37.282080000000008</v>
      </c>
      <c r="R11" s="7">
        <f>'[1]Nov Prod'!C10</f>
        <v>12277000</v>
      </c>
      <c r="S11" s="8">
        <f t="shared" si="9"/>
        <v>12.276999999999999</v>
      </c>
      <c r="T11" s="10">
        <f t="shared" si="10"/>
        <v>37.690389999999994</v>
      </c>
      <c r="U11" s="7">
        <f>'[1]Nov Prod'!D10</f>
        <v>0</v>
      </c>
      <c r="V11" s="8">
        <f t="shared" si="11"/>
        <v>0</v>
      </c>
      <c r="W11" s="10">
        <f t="shared" si="12"/>
        <v>0</v>
      </c>
      <c r="X11" s="7">
        <f>'[1]Nov Prod'!$D258</f>
        <v>132999.99999999558</v>
      </c>
      <c r="Y11" s="8">
        <f t="shared" si="13"/>
        <v>0.13299999999999557</v>
      </c>
      <c r="Z11" s="10">
        <f t="shared" si="14"/>
        <v>0.40830999999998635</v>
      </c>
      <c r="AA11" s="15"/>
      <c r="AB11" s="7">
        <f t="shared" si="16"/>
        <v>12144000.000000004</v>
      </c>
      <c r="AC11" s="8">
        <f t="shared" si="16"/>
        <v>12.144000000000004</v>
      </c>
      <c r="AD11" s="8">
        <f t="shared" si="16"/>
        <v>37.282080000000008</v>
      </c>
    </row>
    <row r="12" spans="1:30" x14ac:dyDescent="0.2">
      <c r="A12" s="1">
        <v>38299</v>
      </c>
      <c r="B12" s="7">
        <f>'[1]Nov Prod'!I11</f>
        <v>0</v>
      </c>
      <c r="C12" s="8">
        <f t="shared" si="0"/>
        <v>0</v>
      </c>
      <c r="D12" s="10">
        <f t="shared" si="1"/>
        <v>0</v>
      </c>
      <c r="E12" s="7">
        <f>'[1]Nov Prod'!E11</f>
        <v>0</v>
      </c>
      <c r="F12" s="8">
        <f t="shared" si="2"/>
        <v>0</v>
      </c>
      <c r="G12" s="10">
        <f t="shared" si="3"/>
        <v>0</v>
      </c>
      <c r="H12" s="47">
        <f>'[1]Nov Prod'!F11</f>
        <v>636000000</v>
      </c>
      <c r="I12" s="8">
        <f t="shared" si="15"/>
        <v>6.36</v>
      </c>
      <c r="J12" s="10">
        <f t="shared" si="4"/>
        <v>19.525200000000002</v>
      </c>
      <c r="K12" s="7">
        <f>'[1]Nov Prod'!$H259*10</f>
        <v>0</v>
      </c>
      <c r="L12" s="8">
        <f t="shared" si="17"/>
        <v>0</v>
      </c>
      <c r="M12" s="10">
        <f t="shared" si="6"/>
        <v>0</v>
      </c>
      <c r="N12" s="21"/>
      <c r="O12" s="7">
        <f>'[1]Nov Prod'!H11</f>
        <v>12895999.999999998</v>
      </c>
      <c r="P12" s="8">
        <f t="shared" si="7"/>
        <v>12.895999999999999</v>
      </c>
      <c r="Q12" s="10">
        <f t="shared" si="8"/>
        <v>39.590719999999997</v>
      </c>
      <c r="R12" s="7">
        <f>'[1]Nov Prod'!C11</f>
        <v>12935000</v>
      </c>
      <c r="S12" s="8">
        <f t="shared" si="9"/>
        <v>12.935</v>
      </c>
      <c r="T12" s="10">
        <f t="shared" si="10"/>
        <v>39.710450000000002</v>
      </c>
      <c r="U12" s="7">
        <f>'[1]Nov Prod'!D11</f>
        <v>0</v>
      </c>
      <c r="V12" s="8">
        <f t="shared" si="11"/>
        <v>0</v>
      </c>
      <c r="W12" s="10">
        <f t="shared" si="12"/>
        <v>0</v>
      </c>
      <c r="X12" s="7">
        <f>'[1]Nov Prod'!$D259</f>
        <v>39000.000000001477</v>
      </c>
      <c r="Y12" s="8">
        <f t="shared" si="13"/>
        <v>3.9000000000001478E-2</v>
      </c>
      <c r="Z12" s="10">
        <f t="shared" si="14"/>
        <v>0.11973000000000453</v>
      </c>
      <c r="AA12" s="15"/>
      <c r="AB12" s="7">
        <f t="shared" si="16"/>
        <v>12895999.999999998</v>
      </c>
      <c r="AC12" s="8">
        <f t="shared" si="16"/>
        <v>12.895999999999999</v>
      </c>
      <c r="AD12" s="8">
        <f t="shared" si="16"/>
        <v>39.590719999999997</v>
      </c>
    </row>
    <row r="13" spans="1:30" x14ac:dyDescent="0.2">
      <c r="A13" s="1">
        <v>38300</v>
      </c>
      <c r="B13" s="7">
        <f>'[1]Nov Prod'!I12</f>
        <v>0</v>
      </c>
      <c r="C13" s="8">
        <f t="shared" si="0"/>
        <v>0</v>
      </c>
      <c r="D13" s="10">
        <f t="shared" si="1"/>
        <v>0</v>
      </c>
      <c r="E13" s="7">
        <f>'[1]Nov Prod'!E12</f>
        <v>0</v>
      </c>
      <c r="F13" s="8">
        <f t="shared" si="2"/>
        <v>0</v>
      </c>
      <c r="G13" s="10">
        <f t="shared" si="3"/>
        <v>0</v>
      </c>
      <c r="H13" s="7">
        <f>'[1]Nov Prod'!F12</f>
        <v>0</v>
      </c>
      <c r="I13" s="8">
        <f t="shared" si="15"/>
        <v>0</v>
      </c>
      <c r="J13" s="10">
        <f t="shared" si="4"/>
        <v>0</v>
      </c>
      <c r="K13" s="7">
        <f>'[1]Nov Prod'!$H260*10</f>
        <v>364420</v>
      </c>
      <c r="L13" s="8">
        <f t="shared" si="17"/>
        <v>3.6442000000000002E-2</v>
      </c>
      <c r="M13" s="10">
        <f t="shared" si="6"/>
        <v>0.11187693999999999</v>
      </c>
      <c r="N13" s="21"/>
      <c r="O13" s="7">
        <f>'[1]Nov Prod'!H12</f>
        <v>12811000.000000007</v>
      </c>
      <c r="P13" s="8">
        <f t="shared" si="7"/>
        <v>12.811000000000007</v>
      </c>
      <c r="Q13" s="10">
        <f t="shared" si="8"/>
        <v>39.329770000000018</v>
      </c>
      <c r="R13" s="7">
        <f>'[1]Nov Prod'!C12</f>
        <v>12863000</v>
      </c>
      <c r="S13" s="8">
        <f t="shared" si="9"/>
        <v>12.863</v>
      </c>
      <c r="T13" s="10">
        <f t="shared" si="10"/>
        <v>39.489409999999999</v>
      </c>
      <c r="U13" s="7">
        <f>'[1]Nov Prod'!D12</f>
        <v>0</v>
      </c>
      <c r="V13" s="8">
        <f t="shared" si="11"/>
        <v>0</v>
      </c>
      <c r="W13" s="10">
        <f t="shared" si="12"/>
        <v>0</v>
      </c>
      <c r="X13" s="7">
        <f>'[1]Nov Prod'!$D260</f>
        <v>51999.999999992498</v>
      </c>
      <c r="Y13" s="8">
        <f t="shared" si="13"/>
        <v>5.1999999999992497E-2</v>
      </c>
      <c r="Z13" s="10">
        <f t="shared" si="14"/>
        <v>0.15963999999997697</v>
      </c>
      <c r="AA13" s="15"/>
      <c r="AB13" s="7">
        <f t="shared" si="16"/>
        <v>12811000.000000007</v>
      </c>
      <c r="AC13" s="8">
        <f t="shared" si="16"/>
        <v>12.811000000000007</v>
      </c>
      <c r="AD13" s="8">
        <f t="shared" si="16"/>
        <v>39.329770000000018</v>
      </c>
    </row>
    <row r="14" spans="1:30" x14ac:dyDescent="0.2">
      <c r="A14" s="1">
        <v>38301</v>
      </c>
      <c r="B14" s="7">
        <f>'[1]Nov Prod'!I13</f>
        <v>0</v>
      </c>
      <c r="C14" s="8">
        <f t="shared" si="0"/>
        <v>0</v>
      </c>
      <c r="D14" s="10">
        <f t="shared" si="1"/>
        <v>0</v>
      </c>
      <c r="E14" s="7">
        <f>'[1]Nov Prod'!E13</f>
        <v>0</v>
      </c>
      <c r="F14" s="8">
        <f t="shared" si="2"/>
        <v>0</v>
      </c>
      <c r="G14" s="10">
        <f t="shared" si="3"/>
        <v>0</v>
      </c>
      <c r="H14" s="7">
        <f>'[1]Nov Prod'!F13</f>
        <v>0</v>
      </c>
      <c r="I14" s="8">
        <f t="shared" si="15"/>
        <v>0</v>
      </c>
      <c r="J14" s="10">
        <f t="shared" si="4"/>
        <v>0</v>
      </c>
      <c r="K14" s="7">
        <f>'[1]Nov Prod'!$H261*10</f>
        <v>0</v>
      </c>
      <c r="L14" s="8">
        <f t="shared" si="17"/>
        <v>0</v>
      </c>
      <c r="M14" s="10">
        <f t="shared" si="6"/>
        <v>0</v>
      </c>
      <c r="N14" s="21"/>
      <c r="O14" s="7">
        <f>'[1]Nov Prod'!H13</f>
        <v>13169999.999999998</v>
      </c>
      <c r="P14" s="8">
        <f t="shared" si="7"/>
        <v>13.169999999999998</v>
      </c>
      <c r="Q14" s="10">
        <f t="shared" si="8"/>
        <v>40.431899999999992</v>
      </c>
      <c r="R14" s="7">
        <f>'[1]Nov Prod'!C13</f>
        <v>13218000</v>
      </c>
      <c r="S14" s="8">
        <f t="shared" si="9"/>
        <v>13.218</v>
      </c>
      <c r="T14" s="10">
        <f t="shared" si="10"/>
        <v>40.579259999999998</v>
      </c>
      <c r="U14" s="7">
        <f>'[1]Nov Prod'!D13</f>
        <v>0</v>
      </c>
      <c r="V14" s="8">
        <f t="shared" si="11"/>
        <v>0</v>
      </c>
      <c r="W14" s="10">
        <f t="shared" si="12"/>
        <v>0</v>
      </c>
      <c r="X14" s="7">
        <f>'[1]Nov Prod'!$D261</f>
        <v>48000.000000001819</v>
      </c>
      <c r="Y14" s="8">
        <f t="shared" si="13"/>
        <v>4.8000000000001819E-2</v>
      </c>
      <c r="Z14" s="10">
        <f t="shared" si="14"/>
        <v>0.14736000000000557</v>
      </c>
      <c r="AA14" s="15"/>
      <c r="AB14" s="7">
        <f t="shared" si="16"/>
        <v>13169999.999999998</v>
      </c>
      <c r="AC14" s="8">
        <f t="shared" si="16"/>
        <v>13.169999999999998</v>
      </c>
      <c r="AD14" s="8">
        <f t="shared" si="16"/>
        <v>40.431899999999992</v>
      </c>
    </row>
    <row r="15" spans="1:30" x14ac:dyDescent="0.2">
      <c r="A15" s="1">
        <v>38302</v>
      </c>
      <c r="B15" s="7">
        <f>'[1]Nov Prod'!I14</f>
        <v>0</v>
      </c>
      <c r="C15" s="8">
        <f t="shared" si="0"/>
        <v>0</v>
      </c>
      <c r="D15" s="10">
        <f t="shared" si="1"/>
        <v>0</v>
      </c>
      <c r="E15" s="7">
        <f>'[1]Nov Prod'!E14</f>
        <v>0</v>
      </c>
      <c r="F15" s="8">
        <f t="shared" si="2"/>
        <v>0</v>
      </c>
      <c r="G15" s="10">
        <f t="shared" si="3"/>
        <v>0</v>
      </c>
      <c r="H15" s="7">
        <f>'[1]Nov Prod'!F14</f>
        <v>0</v>
      </c>
      <c r="I15" s="8">
        <f t="shared" si="15"/>
        <v>0</v>
      </c>
      <c r="J15" s="10">
        <f t="shared" si="4"/>
        <v>0</v>
      </c>
      <c r="K15" s="7">
        <f>'[1]Nov Prod'!$H262*10</f>
        <v>0</v>
      </c>
      <c r="L15" s="8">
        <f t="shared" si="17"/>
        <v>0</v>
      </c>
      <c r="M15" s="10">
        <f t="shared" si="6"/>
        <v>0</v>
      </c>
      <c r="N15" s="21"/>
      <c r="O15" s="7">
        <f>'[1]Nov Prod'!H14</f>
        <v>12831999.999999998</v>
      </c>
      <c r="P15" s="8">
        <f t="shared" si="7"/>
        <v>12.831999999999999</v>
      </c>
      <c r="Q15" s="10">
        <f t="shared" si="8"/>
        <v>39.394239999999996</v>
      </c>
      <c r="R15" s="7">
        <f>'[1]Nov Prod'!C14</f>
        <v>12886000</v>
      </c>
      <c r="S15" s="8">
        <f t="shared" si="9"/>
        <v>12.885999999999999</v>
      </c>
      <c r="T15" s="10">
        <f t="shared" si="10"/>
        <v>39.560019999999994</v>
      </c>
      <c r="U15" s="7">
        <f>'[1]Nov Prod'!D14</f>
        <v>0</v>
      </c>
      <c r="V15" s="8">
        <f t="shared" si="11"/>
        <v>0</v>
      </c>
      <c r="W15" s="10">
        <f t="shared" si="12"/>
        <v>0</v>
      </c>
      <c r="X15" s="7">
        <f>'[1]Nov Prod'!$D262</f>
        <v>54000.000000002045</v>
      </c>
      <c r="Y15" s="8">
        <f t="shared" si="13"/>
        <v>5.4000000000002046E-2</v>
      </c>
      <c r="Z15" s="10">
        <f t="shared" si="14"/>
        <v>0.16578000000000628</v>
      </c>
      <c r="AA15" s="15"/>
      <c r="AB15" s="7">
        <f t="shared" si="16"/>
        <v>12831999.999999998</v>
      </c>
      <c r="AC15" s="8">
        <f t="shared" si="16"/>
        <v>12.831999999999999</v>
      </c>
      <c r="AD15" s="8">
        <f t="shared" si="16"/>
        <v>39.394239999999996</v>
      </c>
    </row>
    <row r="16" spans="1:30" x14ac:dyDescent="0.2">
      <c r="A16" s="1">
        <v>38303</v>
      </c>
      <c r="B16" s="7">
        <f>'[1]Nov Prod'!I15</f>
        <v>0</v>
      </c>
      <c r="C16" s="8">
        <f t="shared" si="0"/>
        <v>0</v>
      </c>
      <c r="D16" s="10">
        <f t="shared" si="1"/>
        <v>0</v>
      </c>
      <c r="E16" s="7">
        <f>'[1]Nov Prod'!E15</f>
        <v>0</v>
      </c>
      <c r="F16" s="8">
        <f t="shared" si="2"/>
        <v>0</v>
      </c>
      <c r="G16" s="10">
        <f t="shared" si="3"/>
        <v>0</v>
      </c>
      <c r="H16" s="7">
        <f>'[1]Nov Prod'!F15</f>
        <v>0</v>
      </c>
      <c r="I16" s="8">
        <f t="shared" si="15"/>
        <v>0</v>
      </c>
      <c r="J16" s="10">
        <f t="shared" si="4"/>
        <v>0</v>
      </c>
      <c r="K16" s="7">
        <f>'[1]Nov Prod'!$H263*10</f>
        <v>0</v>
      </c>
      <c r="L16" s="8">
        <f t="shared" si="17"/>
        <v>0</v>
      </c>
      <c r="M16" s="10">
        <f t="shared" si="6"/>
        <v>0</v>
      </c>
      <c r="N16" s="21"/>
      <c r="O16" s="7">
        <f>'[1]Nov Prod'!H15</f>
        <v>12916999.999999993</v>
      </c>
      <c r="P16" s="8">
        <f t="shared" si="7"/>
        <v>12.916999999999993</v>
      </c>
      <c r="Q16" s="10">
        <f t="shared" si="8"/>
        <v>39.655189999999976</v>
      </c>
      <c r="R16" s="7">
        <f>'[1]Nov Prod'!C15</f>
        <v>12972000</v>
      </c>
      <c r="S16" s="8">
        <f t="shared" si="9"/>
        <v>12.972</v>
      </c>
      <c r="T16" s="10">
        <f t="shared" si="10"/>
        <v>39.824039999999997</v>
      </c>
      <c r="U16" s="7">
        <f>'[1]Nov Prod'!D15</f>
        <v>0</v>
      </c>
      <c r="V16" s="8">
        <f t="shared" si="11"/>
        <v>0</v>
      </c>
      <c r="W16" s="10">
        <f t="shared" si="12"/>
        <v>0</v>
      </c>
      <c r="X16" s="7">
        <f>'[1]Nov Prod'!$D263</f>
        <v>55000.000000006825</v>
      </c>
      <c r="Y16" s="8">
        <f t="shared" si="13"/>
        <v>5.5000000000006828E-2</v>
      </c>
      <c r="Z16" s="10">
        <f t="shared" si="14"/>
        <v>0.16885000000002096</v>
      </c>
      <c r="AA16" s="15"/>
      <c r="AB16" s="7">
        <f t="shared" si="16"/>
        <v>12916999.999999993</v>
      </c>
      <c r="AC16" s="8">
        <f t="shared" si="16"/>
        <v>12.916999999999993</v>
      </c>
      <c r="AD16" s="8">
        <f t="shared" si="16"/>
        <v>39.655189999999976</v>
      </c>
    </row>
    <row r="17" spans="1:30" x14ac:dyDescent="0.2">
      <c r="A17" s="1">
        <v>38304</v>
      </c>
      <c r="B17" s="7">
        <f>'[1]Nov Prod'!I16</f>
        <v>0</v>
      </c>
      <c r="C17" s="8">
        <f t="shared" si="0"/>
        <v>0</v>
      </c>
      <c r="D17" s="10">
        <f t="shared" si="1"/>
        <v>0</v>
      </c>
      <c r="E17" s="7">
        <f>'[1]Nov Prod'!E16</f>
        <v>0</v>
      </c>
      <c r="F17" s="8">
        <f t="shared" si="2"/>
        <v>0</v>
      </c>
      <c r="G17" s="10">
        <f t="shared" si="3"/>
        <v>0</v>
      </c>
      <c r="H17" s="7">
        <f>'[1]Nov Prod'!F16</f>
        <v>0</v>
      </c>
      <c r="I17" s="8">
        <f t="shared" si="15"/>
        <v>0</v>
      </c>
      <c r="J17" s="10">
        <f t="shared" si="4"/>
        <v>0</v>
      </c>
      <c r="K17" s="7">
        <f>'[1]Nov Prod'!$H264*10</f>
        <v>0</v>
      </c>
      <c r="L17" s="8">
        <f t="shared" si="17"/>
        <v>0</v>
      </c>
      <c r="M17" s="10">
        <f t="shared" si="6"/>
        <v>0</v>
      </c>
      <c r="N17" s="21"/>
      <c r="O17" s="7">
        <f>'[1]Nov Prod'!H16</f>
        <v>12705000.000000007</v>
      </c>
      <c r="P17" s="8">
        <f t="shared" ref="P17:P34" si="18">O17/1000000</f>
        <v>12.705000000000007</v>
      </c>
      <c r="Q17" s="10">
        <f t="shared" si="8"/>
        <v>39.004350000000017</v>
      </c>
      <c r="R17" s="7">
        <f>'[1]Nov Prod'!C16</f>
        <v>12748000</v>
      </c>
      <c r="S17" s="8">
        <f t="shared" si="9"/>
        <v>12.747999999999999</v>
      </c>
      <c r="T17" s="10">
        <f t="shared" si="10"/>
        <v>39.136359999999996</v>
      </c>
      <c r="U17" s="7">
        <f>'[1]Nov Prod'!D16</f>
        <v>0</v>
      </c>
      <c r="V17" s="8">
        <f t="shared" si="11"/>
        <v>0</v>
      </c>
      <c r="W17" s="10">
        <f t="shared" si="12"/>
        <v>0</v>
      </c>
      <c r="X17" s="7">
        <f>'[1]Nov Prod'!$D264</f>
        <v>42999.999999992157</v>
      </c>
      <c r="Y17" s="8">
        <f t="shared" si="13"/>
        <v>4.2999999999992156E-2</v>
      </c>
      <c r="Z17" s="10">
        <f t="shared" si="14"/>
        <v>0.13200999999997592</v>
      </c>
      <c r="AA17" s="15"/>
      <c r="AB17" s="7">
        <f t="shared" si="16"/>
        <v>12705000.000000007</v>
      </c>
      <c r="AC17" s="8">
        <f t="shared" si="16"/>
        <v>12.705000000000007</v>
      </c>
      <c r="AD17" s="8">
        <f t="shared" si="16"/>
        <v>39.004350000000017</v>
      </c>
    </row>
    <row r="18" spans="1:30" x14ac:dyDescent="0.2">
      <c r="A18" s="1">
        <v>38305</v>
      </c>
      <c r="B18" s="7">
        <f>'[1]Nov Prod'!I17</f>
        <v>0</v>
      </c>
      <c r="C18" s="8">
        <f t="shared" si="0"/>
        <v>0</v>
      </c>
      <c r="D18" s="10">
        <f t="shared" si="1"/>
        <v>0</v>
      </c>
      <c r="E18" s="7">
        <f>'[1]Nov Prod'!E17</f>
        <v>0</v>
      </c>
      <c r="F18" s="8">
        <f t="shared" si="2"/>
        <v>0</v>
      </c>
      <c r="G18" s="10">
        <f t="shared" si="3"/>
        <v>0</v>
      </c>
      <c r="H18" s="7">
        <f>'[1]Nov Prod'!F17</f>
        <v>0</v>
      </c>
      <c r="I18" s="8">
        <f t="shared" si="15"/>
        <v>0</v>
      </c>
      <c r="J18" s="10">
        <f t="shared" si="4"/>
        <v>0</v>
      </c>
      <c r="K18" s="7">
        <f>'[1]Nov Prod'!$H265*10</f>
        <v>0</v>
      </c>
      <c r="L18" s="8">
        <f t="shared" si="17"/>
        <v>0</v>
      </c>
      <c r="M18" s="10">
        <f t="shared" si="6"/>
        <v>0</v>
      </c>
      <c r="N18" s="21"/>
      <c r="O18" s="7">
        <f>'[1]Nov Prod'!H17</f>
        <v>12844000.000000002</v>
      </c>
      <c r="P18" s="8">
        <f t="shared" si="18"/>
        <v>12.844000000000001</v>
      </c>
      <c r="Q18" s="10">
        <f t="shared" si="8"/>
        <v>39.431080000000001</v>
      </c>
      <c r="R18" s="7">
        <f>'[1]Nov Prod'!C17</f>
        <v>12903000</v>
      </c>
      <c r="S18" s="8">
        <f t="shared" ref="S18:S34" si="19">R18/1000000</f>
        <v>12.903</v>
      </c>
      <c r="T18" s="10">
        <f t="shared" si="10"/>
        <v>39.612209999999997</v>
      </c>
      <c r="U18" s="7">
        <f>'[1]Nov Prod'!D17</f>
        <v>0</v>
      </c>
      <c r="V18" s="8">
        <f t="shared" si="11"/>
        <v>0</v>
      </c>
      <c r="W18" s="10">
        <f t="shared" si="12"/>
        <v>0</v>
      </c>
      <c r="X18" s="7">
        <f>'[1]Nov Prod'!$D265</f>
        <v>58999.999999997497</v>
      </c>
      <c r="Y18" s="8">
        <f t="shared" si="13"/>
        <v>5.8999999999997499E-2</v>
      </c>
      <c r="Z18" s="10">
        <f t="shared" si="14"/>
        <v>0.18112999999999232</v>
      </c>
      <c r="AA18" s="15"/>
      <c r="AB18" s="7">
        <f t="shared" si="16"/>
        <v>12844000.000000002</v>
      </c>
      <c r="AC18" s="8">
        <f t="shared" si="16"/>
        <v>12.844000000000001</v>
      </c>
      <c r="AD18" s="8">
        <f t="shared" si="16"/>
        <v>39.431080000000001</v>
      </c>
    </row>
    <row r="19" spans="1:30" x14ac:dyDescent="0.2">
      <c r="A19" s="1">
        <v>38306</v>
      </c>
      <c r="B19" s="7">
        <f>'[1]Nov Prod'!I18</f>
        <v>0</v>
      </c>
      <c r="C19" s="8">
        <f t="shared" si="0"/>
        <v>0</v>
      </c>
      <c r="D19" s="10">
        <f t="shared" si="1"/>
        <v>0</v>
      </c>
      <c r="E19" s="7">
        <f>'[1]Nov Prod'!E18</f>
        <v>0</v>
      </c>
      <c r="F19" s="8">
        <f t="shared" si="2"/>
        <v>0</v>
      </c>
      <c r="G19" s="10">
        <f t="shared" si="3"/>
        <v>0</v>
      </c>
      <c r="H19" s="7">
        <f>'[1]Nov Prod'!F18</f>
        <v>0</v>
      </c>
      <c r="I19" s="8">
        <f t="shared" si="15"/>
        <v>0</v>
      </c>
      <c r="J19" s="10">
        <f t="shared" si="4"/>
        <v>0</v>
      </c>
      <c r="K19" s="7">
        <f>'[1]Nov Prod'!$H266*10</f>
        <v>0</v>
      </c>
      <c r="L19" s="8">
        <f t="shared" si="17"/>
        <v>0</v>
      </c>
      <c r="M19" s="10">
        <f t="shared" si="6"/>
        <v>0</v>
      </c>
      <c r="N19" s="21"/>
      <c r="O19" s="7">
        <f>'[1]Nov Prod'!H18</f>
        <v>12166999.999999998</v>
      </c>
      <c r="P19" s="8">
        <f t="shared" si="18"/>
        <v>12.166999999999998</v>
      </c>
      <c r="Q19" s="10">
        <f t="shared" si="8"/>
        <v>37.352689999999996</v>
      </c>
      <c r="R19" s="7">
        <f>'[1]Nov Prod'!C18</f>
        <v>12206000</v>
      </c>
      <c r="S19" s="8">
        <f t="shared" si="19"/>
        <v>12.206</v>
      </c>
      <c r="T19" s="10">
        <f t="shared" si="10"/>
        <v>37.47242</v>
      </c>
      <c r="U19" s="7">
        <f>'[1]Nov Prod'!D18</f>
        <v>0</v>
      </c>
      <c r="V19" s="8">
        <f t="shared" si="11"/>
        <v>0</v>
      </c>
      <c r="W19" s="10">
        <f t="shared" si="12"/>
        <v>0</v>
      </c>
      <c r="X19" s="7">
        <f>'[1]Nov Prod'!$D266</f>
        <v>39000.000000001477</v>
      </c>
      <c r="Y19" s="8">
        <f t="shared" si="13"/>
        <v>3.9000000000001478E-2</v>
      </c>
      <c r="Z19" s="10">
        <f t="shared" si="14"/>
        <v>0.11973000000000453</v>
      </c>
      <c r="AA19" s="15"/>
      <c r="AB19" s="7">
        <f t="shared" si="16"/>
        <v>12166999.999999998</v>
      </c>
      <c r="AC19" s="8">
        <f t="shared" si="16"/>
        <v>12.166999999999998</v>
      </c>
      <c r="AD19" s="8">
        <f>D19+Q19</f>
        <v>37.352689999999996</v>
      </c>
    </row>
    <row r="20" spans="1:30" x14ac:dyDescent="0.2">
      <c r="A20" s="1">
        <v>38307</v>
      </c>
      <c r="B20" s="7">
        <f>'[1]Nov Prod'!I19</f>
        <v>0</v>
      </c>
      <c r="C20" s="8">
        <f t="shared" si="0"/>
        <v>0</v>
      </c>
      <c r="D20" s="10">
        <f t="shared" si="1"/>
        <v>0</v>
      </c>
      <c r="E20" s="7">
        <f>'[1]Nov Prod'!E19</f>
        <v>0</v>
      </c>
      <c r="F20" s="8">
        <f t="shared" si="2"/>
        <v>0</v>
      </c>
      <c r="G20" s="10">
        <f t="shared" si="3"/>
        <v>0</v>
      </c>
      <c r="H20" s="7">
        <f>'[1]Nov Prod'!F19</f>
        <v>0</v>
      </c>
      <c r="I20" s="8">
        <f t="shared" si="15"/>
        <v>0</v>
      </c>
      <c r="J20" s="10">
        <f t="shared" si="4"/>
        <v>0</v>
      </c>
      <c r="K20" s="7">
        <f>'[1]Nov Prod'!$H267*10</f>
        <v>0</v>
      </c>
      <c r="L20" s="8">
        <f t="shared" si="17"/>
        <v>0</v>
      </c>
      <c r="M20" s="10">
        <f t="shared" si="6"/>
        <v>0</v>
      </c>
      <c r="N20" s="21"/>
      <c r="O20" s="7">
        <f>'[1]Nov Prod'!H19</f>
        <v>12419999.999999993</v>
      </c>
      <c r="P20" s="8">
        <f t="shared" si="18"/>
        <v>12.419999999999993</v>
      </c>
      <c r="Q20" s="10">
        <f t="shared" si="8"/>
        <v>38.129399999999976</v>
      </c>
      <c r="R20" s="7">
        <f>'[1]Nov Prod'!C19</f>
        <v>12463000</v>
      </c>
      <c r="S20" s="8">
        <f t="shared" si="19"/>
        <v>12.462999999999999</v>
      </c>
      <c r="T20" s="10">
        <f t="shared" si="10"/>
        <v>38.261409999999998</v>
      </c>
      <c r="U20" s="7">
        <f>'[1]Nov Prod'!D19</f>
        <v>0</v>
      </c>
      <c r="V20" s="8">
        <f t="shared" si="11"/>
        <v>0</v>
      </c>
      <c r="W20" s="10">
        <f t="shared" si="12"/>
        <v>0</v>
      </c>
      <c r="X20" s="7">
        <f>'[1]Nov Prod'!$D267</f>
        <v>43000.000000006366</v>
      </c>
      <c r="Y20" s="8">
        <f t="shared" si="13"/>
        <v>4.3000000000006366E-2</v>
      </c>
      <c r="Z20" s="10">
        <f t="shared" si="14"/>
        <v>0.13201000000001953</v>
      </c>
      <c r="AA20" s="15"/>
      <c r="AB20" s="7">
        <f t="shared" si="16"/>
        <v>12419999.999999993</v>
      </c>
      <c r="AC20" s="8">
        <f t="shared" si="16"/>
        <v>12.419999999999993</v>
      </c>
      <c r="AD20" s="8">
        <f t="shared" si="16"/>
        <v>38.129399999999976</v>
      </c>
    </row>
    <row r="21" spans="1:30" x14ac:dyDescent="0.2">
      <c r="A21" s="1">
        <v>38308</v>
      </c>
      <c r="B21" s="7">
        <f>'[1]Nov Prod'!I20</f>
        <v>0</v>
      </c>
      <c r="C21" s="8">
        <f t="shared" si="0"/>
        <v>0</v>
      </c>
      <c r="D21" s="10">
        <f t="shared" si="1"/>
        <v>0</v>
      </c>
      <c r="E21" s="7">
        <f>'[1]Nov Prod'!E20</f>
        <v>0</v>
      </c>
      <c r="F21" s="8">
        <f t="shared" si="2"/>
        <v>0</v>
      </c>
      <c r="G21" s="10">
        <f t="shared" si="3"/>
        <v>0</v>
      </c>
      <c r="H21" s="7">
        <f>'[1]Nov Prod'!F20</f>
        <v>0</v>
      </c>
      <c r="I21" s="8">
        <f t="shared" si="15"/>
        <v>0</v>
      </c>
      <c r="J21" s="10">
        <f t="shared" si="4"/>
        <v>0</v>
      </c>
      <c r="K21" s="7">
        <f>'[1]Nov Prod'!$H268*10</f>
        <v>0</v>
      </c>
      <c r="L21" s="8">
        <f t="shared" si="17"/>
        <v>0</v>
      </c>
      <c r="M21" s="10">
        <f t="shared" si="6"/>
        <v>0</v>
      </c>
      <c r="N21" s="21"/>
      <c r="O21" s="7">
        <f>'[1]Nov Prod'!H20</f>
        <v>12470000.000000007</v>
      </c>
      <c r="P21" s="8">
        <f t="shared" si="18"/>
        <v>12.470000000000008</v>
      </c>
      <c r="Q21" s="10">
        <f t="shared" si="8"/>
        <v>38.282900000000019</v>
      </c>
      <c r="R21" s="7">
        <f>'[1]Nov Prod'!C20</f>
        <v>12507000</v>
      </c>
      <c r="S21" s="8">
        <f t="shared" si="19"/>
        <v>12.507</v>
      </c>
      <c r="T21" s="10">
        <f t="shared" si="10"/>
        <v>38.39649</v>
      </c>
      <c r="U21" s="7">
        <f>'[1]Nov Prod'!D20</f>
        <v>0</v>
      </c>
      <c r="V21" s="8">
        <f t="shared" si="11"/>
        <v>0</v>
      </c>
      <c r="W21" s="10">
        <f t="shared" si="12"/>
        <v>0</v>
      </c>
      <c r="X21" s="7">
        <f>'[1]Nov Prod'!$D268</f>
        <v>36999.999999991931</v>
      </c>
      <c r="Y21" s="8">
        <f t="shared" si="13"/>
        <v>3.6999999999991928E-2</v>
      </c>
      <c r="Z21" s="10">
        <f t="shared" si="14"/>
        <v>0.11358999999997521</v>
      </c>
      <c r="AA21" s="15"/>
      <c r="AB21" s="7">
        <f t="shared" si="16"/>
        <v>12470000.000000007</v>
      </c>
      <c r="AC21" s="8">
        <f t="shared" si="16"/>
        <v>12.470000000000008</v>
      </c>
      <c r="AD21" s="8">
        <f t="shared" si="16"/>
        <v>38.282900000000019</v>
      </c>
    </row>
    <row r="22" spans="1:30" x14ac:dyDescent="0.2">
      <c r="A22" s="1">
        <v>38309</v>
      </c>
      <c r="B22" s="7">
        <f>'[1]Nov Prod'!I21</f>
        <v>0</v>
      </c>
      <c r="C22" s="8">
        <f t="shared" si="0"/>
        <v>0</v>
      </c>
      <c r="D22" s="10">
        <f t="shared" si="1"/>
        <v>0</v>
      </c>
      <c r="E22" s="7">
        <f>'[1]Nov Prod'!E21</f>
        <v>0</v>
      </c>
      <c r="F22" s="8">
        <f t="shared" si="2"/>
        <v>0</v>
      </c>
      <c r="G22" s="10">
        <f t="shared" si="3"/>
        <v>0</v>
      </c>
      <c r="H22" s="7">
        <f>'[1]Nov Prod'!F21</f>
        <v>0</v>
      </c>
      <c r="I22" s="8">
        <f t="shared" si="15"/>
        <v>0</v>
      </c>
      <c r="J22" s="10">
        <f t="shared" si="4"/>
        <v>0</v>
      </c>
      <c r="K22" s="7">
        <f>'[1]Nov Prod'!$H269*10</f>
        <v>373030</v>
      </c>
      <c r="L22" s="8">
        <f t="shared" si="17"/>
        <v>3.7303000000000003E-2</v>
      </c>
      <c r="M22" s="10">
        <f t="shared" si="6"/>
        <v>0.11452021</v>
      </c>
      <c r="N22" s="21"/>
      <c r="O22" s="7">
        <f>'[1]Nov Prod'!H21</f>
        <v>13021000</v>
      </c>
      <c r="P22" s="8">
        <f t="shared" si="18"/>
        <v>13.021000000000001</v>
      </c>
      <c r="Q22" s="10">
        <f t="shared" si="8"/>
        <v>39.974470000000004</v>
      </c>
      <c r="R22" s="7">
        <f>'[1]Nov Prod'!C21</f>
        <v>13045000</v>
      </c>
      <c r="S22" s="8">
        <f t="shared" si="19"/>
        <v>13.045</v>
      </c>
      <c r="T22" s="10">
        <f t="shared" si="10"/>
        <v>40.04815</v>
      </c>
      <c r="U22" s="7">
        <f>'[1]Nov Prod'!D21</f>
        <v>0</v>
      </c>
      <c r="V22" s="8">
        <f t="shared" si="11"/>
        <v>0</v>
      </c>
      <c r="W22" s="10">
        <f t="shared" si="12"/>
        <v>0</v>
      </c>
      <c r="X22" s="7">
        <f>'[1]Nov Prod'!$D269</f>
        <v>24000.000000000909</v>
      </c>
      <c r="Y22" s="8">
        <f t="shared" si="13"/>
        <v>2.4000000000000909E-2</v>
      </c>
      <c r="Z22" s="10">
        <f t="shared" si="14"/>
        <v>7.3680000000002785E-2</v>
      </c>
      <c r="AA22" s="15"/>
      <c r="AB22" s="7">
        <f t="shared" si="16"/>
        <v>13021000</v>
      </c>
      <c r="AC22" s="8">
        <f t="shared" si="16"/>
        <v>13.021000000000001</v>
      </c>
      <c r="AD22" s="8">
        <f t="shared" si="16"/>
        <v>39.974470000000004</v>
      </c>
    </row>
    <row r="23" spans="1:30" x14ac:dyDescent="0.2">
      <c r="A23" s="1">
        <v>38310</v>
      </c>
      <c r="B23" s="7">
        <f>'[1]Nov Prod'!I22</f>
        <v>0</v>
      </c>
      <c r="C23" s="8">
        <f t="shared" si="0"/>
        <v>0</v>
      </c>
      <c r="D23" s="10">
        <f t="shared" si="1"/>
        <v>0</v>
      </c>
      <c r="E23" s="7">
        <f>'[1]Nov Prod'!E22</f>
        <v>0</v>
      </c>
      <c r="F23" s="8">
        <f t="shared" si="2"/>
        <v>0</v>
      </c>
      <c r="G23" s="10">
        <f t="shared" si="3"/>
        <v>0</v>
      </c>
      <c r="H23" s="7">
        <f>'[1]Nov Prod'!F22</f>
        <v>0</v>
      </c>
      <c r="I23" s="8">
        <f t="shared" si="15"/>
        <v>0</v>
      </c>
      <c r="J23" s="10">
        <f t="shared" si="4"/>
        <v>0</v>
      </c>
      <c r="K23" s="7">
        <f>'[1]Nov Prod'!$H270*10</f>
        <v>0</v>
      </c>
      <c r="L23" s="8">
        <f t="shared" si="17"/>
        <v>0</v>
      </c>
      <c r="M23" s="10">
        <f t="shared" si="6"/>
        <v>0</v>
      </c>
      <c r="N23" s="21"/>
      <c r="O23" s="7">
        <f>'[1]Nov Prod'!H22</f>
        <v>13293999.999999989</v>
      </c>
      <c r="P23" s="8">
        <f t="shared" si="18"/>
        <v>13.293999999999988</v>
      </c>
      <c r="Q23" s="10">
        <f t="shared" si="8"/>
        <v>40.812579999999961</v>
      </c>
      <c r="R23" s="7">
        <f>'[1]Nov Prod'!C22</f>
        <v>13326000</v>
      </c>
      <c r="S23" s="8">
        <f t="shared" si="19"/>
        <v>13.326000000000001</v>
      </c>
      <c r="T23" s="10">
        <f t="shared" si="10"/>
        <v>40.910820000000001</v>
      </c>
      <c r="U23" s="7">
        <f>'[1]Nov Prod'!D22</f>
        <v>0</v>
      </c>
      <c r="V23" s="8">
        <f t="shared" si="11"/>
        <v>0</v>
      </c>
      <c r="W23" s="10">
        <f t="shared" si="12"/>
        <v>0</v>
      </c>
      <c r="X23" s="7">
        <f>'[1]Nov Prod'!$D270</f>
        <v>32000.000000010688</v>
      </c>
      <c r="Y23" s="8">
        <f t="shared" si="13"/>
        <v>3.2000000000010687E-2</v>
      </c>
      <c r="Z23" s="10">
        <f t="shared" si="14"/>
        <v>9.8240000000032801E-2</v>
      </c>
      <c r="AA23" s="15"/>
      <c r="AB23" s="7">
        <f t="shared" si="16"/>
        <v>13293999.999999989</v>
      </c>
      <c r="AC23" s="8">
        <f t="shared" si="16"/>
        <v>13.293999999999988</v>
      </c>
      <c r="AD23" s="8">
        <f t="shared" si="16"/>
        <v>40.812579999999961</v>
      </c>
    </row>
    <row r="24" spans="1:30" x14ac:dyDescent="0.2">
      <c r="A24" s="1">
        <v>38311</v>
      </c>
      <c r="B24" s="7">
        <f>'[1]Nov Prod'!I23</f>
        <v>0</v>
      </c>
      <c r="C24" s="8">
        <f t="shared" si="0"/>
        <v>0</v>
      </c>
      <c r="D24" s="10">
        <f t="shared" si="1"/>
        <v>0</v>
      </c>
      <c r="E24" s="7">
        <f>'[1]Nov Prod'!E23</f>
        <v>0</v>
      </c>
      <c r="F24" s="8">
        <f t="shared" si="2"/>
        <v>0</v>
      </c>
      <c r="G24" s="10">
        <f t="shared" si="3"/>
        <v>0</v>
      </c>
      <c r="H24" s="7">
        <f>'[1]Nov Prod'!F23</f>
        <v>0</v>
      </c>
      <c r="I24" s="8">
        <f t="shared" si="15"/>
        <v>0</v>
      </c>
      <c r="J24" s="10">
        <f t="shared" si="4"/>
        <v>0</v>
      </c>
      <c r="K24" s="7">
        <f>'[1]Nov Prod'!$H271*10</f>
        <v>0</v>
      </c>
      <c r="L24" s="8">
        <f t="shared" si="17"/>
        <v>0</v>
      </c>
      <c r="M24" s="10">
        <f t="shared" si="6"/>
        <v>0</v>
      </c>
      <c r="N24" s="21"/>
      <c r="O24" s="7">
        <f>'[1]Nov Prod'!H23</f>
        <v>12912000.000000013</v>
      </c>
      <c r="P24" s="8">
        <f t="shared" si="18"/>
        <v>12.912000000000013</v>
      </c>
      <c r="Q24" s="10">
        <f t="shared" si="8"/>
        <v>39.639840000000035</v>
      </c>
      <c r="R24" s="7">
        <f>'[1]Nov Prod'!C23</f>
        <v>12966000</v>
      </c>
      <c r="S24" s="8">
        <f t="shared" si="19"/>
        <v>12.965999999999999</v>
      </c>
      <c r="T24" s="10">
        <f t="shared" si="10"/>
        <v>39.805619999999998</v>
      </c>
      <c r="U24" s="7">
        <f>'[1]Nov Prod'!D23</f>
        <v>0</v>
      </c>
      <c r="V24" s="8">
        <f t="shared" si="11"/>
        <v>0</v>
      </c>
      <c r="W24" s="10">
        <f t="shared" si="12"/>
        <v>0</v>
      </c>
      <c r="X24" s="7">
        <f>'[1]Nov Prod'!$D271</f>
        <v>53999.999999987835</v>
      </c>
      <c r="Y24" s="8">
        <f t="shared" si="13"/>
        <v>5.3999999999987836E-2</v>
      </c>
      <c r="Z24" s="10">
        <f t="shared" si="14"/>
        <v>0.16577999999996265</v>
      </c>
      <c r="AA24" s="15"/>
      <c r="AB24" s="7">
        <f t="shared" si="16"/>
        <v>12912000.000000013</v>
      </c>
      <c r="AC24" s="8">
        <f t="shared" si="16"/>
        <v>12.912000000000013</v>
      </c>
      <c r="AD24" s="8">
        <f>D24+Q24</f>
        <v>39.639840000000035</v>
      </c>
    </row>
    <row r="25" spans="1:30" x14ac:dyDescent="0.2">
      <c r="A25" s="1">
        <v>38312</v>
      </c>
      <c r="B25" s="7">
        <f>'[1]Nov Prod'!I24</f>
        <v>0</v>
      </c>
      <c r="C25" s="8">
        <f t="shared" si="0"/>
        <v>0</v>
      </c>
      <c r="D25" s="10">
        <f t="shared" si="1"/>
        <v>0</v>
      </c>
      <c r="E25" s="7">
        <f>'[1]Nov Prod'!E24</f>
        <v>0</v>
      </c>
      <c r="F25" s="8">
        <f t="shared" si="2"/>
        <v>0</v>
      </c>
      <c r="G25" s="10">
        <f t="shared" si="3"/>
        <v>0</v>
      </c>
      <c r="H25" s="7">
        <f>'[1]Nov Prod'!F24</f>
        <v>0</v>
      </c>
      <c r="I25" s="8">
        <f t="shared" si="15"/>
        <v>0</v>
      </c>
      <c r="J25" s="10">
        <f t="shared" si="4"/>
        <v>0</v>
      </c>
      <c r="K25" s="7">
        <f>'[1]Nov Prod'!$H272*10</f>
        <v>0</v>
      </c>
      <c r="L25" s="8">
        <f t="shared" si="17"/>
        <v>0</v>
      </c>
      <c r="M25" s="10">
        <f t="shared" si="6"/>
        <v>0</v>
      </c>
      <c r="N25" s="21"/>
      <c r="O25" s="7">
        <f>'[1]Nov Prod'!H24</f>
        <v>12647999.999999993</v>
      </c>
      <c r="P25" s="8">
        <f t="shared" si="18"/>
        <v>12.647999999999993</v>
      </c>
      <c r="Q25" s="10">
        <f t="shared" si="8"/>
        <v>38.829359999999973</v>
      </c>
      <c r="R25" s="7">
        <f>'[1]Nov Prod'!C24</f>
        <v>12691000</v>
      </c>
      <c r="S25" s="8">
        <f t="shared" si="19"/>
        <v>12.691000000000001</v>
      </c>
      <c r="T25" s="10">
        <f t="shared" si="10"/>
        <v>38.961370000000002</v>
      </c>
      <c r="U25" s="7">
        <f>'[1]Nov Prod'!D24</f>
        <v>0</v>
      </c>
      <c r="V25" s="8">
        <f t="shared" si="11"/>
        <v>0</v>
      </c>
      <c r="W25" s="10">
        <f t="shared" si="12"/>
        <v>0</v>
      </c>
      <c r="X25" s="7">
        <f>'[1]Nov Prod'!$D272</f>
        <v>43000.000000006366</v>
      </c>
      <c r="Y25" s="8">
        <f t="shared" si="13"/>
        <v>4.3000000000006366E-2</v>
      </c>
      <c r="Z25" s="10">
        <f t="shared" si="14"/>
        <v>0.13201000000001953</v>
      </c>
      <c r="AA25" s="15"/>
      <c r="AB25" s="7">
        <f t="shared" si="16"/>
        <v>12647999.999999993</v>
      </c>
      <c r="AC25" s="8">
        <f t="shared" si="16"/>
        <v>12.647999999999993</v>
      </c>
      <c r="AD25" s="8">
        <f t="shared" si="16"/>
        <v>38.829359999999973</v>
      </c>
    </row>
    <row r="26" spans="1:30" x14ac:dyDescent="0.2">
      <c r="A26" s="1">
        <v>38313</v>
      </c>
      <c r="B26" s="7">
        <f>'[1]Nov Prod'!I25</f>
        <v>0</v>
      </c>
      <c r="C26" s="8">
        <f t="shared" si="0"/>
        <v>0</v>
      </c>
      <c r="D26" s="10">
        <f t="shared" si="1"/>
        <v>0</v>
      </c>
      <c r="E26" s="7">
        <f>'[1]Nov Prod'!E25</f>
        <v>0</v>
      </c>
      <c r="F26" s="8">
        <f t="shared" si="2"/>
        <v>0</v>
      </c>
      <c r="G26" s="10">
        <f t="shared" si="3"/>
        <v>0</v>
      </c>
      <c r="H26" s="7">
        <f>'[1]Nov Prod'!F25</f>
        <v>0</v>
      </c>
      <c r="I26" s="8">
        <f t="shared" si="15"/>
        <v>0</v>
      </c>
      <c r="J26" s="10">
        <f t="shared" si="4"/>
        <v>0</v>
      </c>
      <c r="K26" s="7">
        <f>'[1]Nov Prod'!$H273*10</f>
        <v>0</v>
      </c>
      <c r="L26" s="8">
        <f t="shared" si="17"/>
        <v>0</v>
      </c>
      <c r="M26" s="10">
        <f t="shared" si="6"/>
        <v>0</v>
      </c>
      <c r="N26" s="21"/>
      <c r="O26" s="7">
        <f>'[1]Nov Prod'!H25</f>
        <v>12796000.000000004</v>
      </c>
      <c r="P26" s="8">
        <f t="shared" si="18"/>
        <v>12.796000000000003</v>
      </c>
      <c r="Q26" s="10">
        <f t="shared" si="8"/>
        <v>39.28372000000001</v>
      </c>
      <c r="R26" s="7">
        <f>'[1]Nov Prod'!C25</f>
        <v>12849000</v>
      </c>
      <c r="S26" s="8">
        <f t="shared" si="19"/>
        <v>12.849</v>
      </c>
      <c r="T26" s="10">
        <f t="shared" si="10"/>
        <v>39.446429999999999</v>
      </c>
      <c r="U26" s="7">
        <f>'[1]Nov Prod'!D25</f>
        <v>0</v>
      </c>
      <c r="V26" s="8">
        <f t="shared" si="11"/>
        <v>0</v>
      </c>
      <c r="W26" s="10">
        <f t="shared" si="12"/>
        <v>0</v>
      </c>
      <c r="X26" s="7">
        <f>'[1]Nov Prod'!$D273</f>
        <v>52999.999999997272</v>
      </c>
      <c r="Y26" s="8">
        <f t="shared" si="13"/>
        <v>5.2999999999997272E-2</v>
      </c>
      <c r="Z26" s="10">
        <f t="shared" si="14"/>
        <v>0.16270999999999161</v>
      </c>
      <c r="AA26" s="15"/>
      <c r="AB26" s="7">
        <f t="shared" si="16"/>
        <v>12796000.000000004</v>
      </c>
      <c r="AC26" s="8">
        <f t="shared" si="16"/>
        <v>12.796000000000003</v>
      </c>
      <c r="AD26" s="8">
        <f t="shared" si="16"/>
        <v>39.28372000000001</v>
      </c>
    </row>
    <row r="27" spans="1:30" x14ac:dyDescent="0.2">
      <c r="A27" s="1">
        <v>38314</v>
      </c>
      <c r="B27" s="7">
        <f>'[1]Nov Prod'!I26</f>
        <v>0</v>
      </c>
      <c r="C27" s="8">
        <f t="shared" si="0"/>
        <v>0</v>
      </c>
      <c r="D27" s="10">
        <f t="shared" si="1"/>
        <v>0</v>
      </c>
      <c r="E27" s="7">
        <f>'[1]Nov Prod'!E26</f>
        <v>0</v>
      </c>
      <c r="F27" s="8">
        <f t="shared" si="2"/>
        <v>0</v>
      </c>
      <c r="G27" s="10">
        <f t="shared" si="3"/>
        <v>0</v>
      </c>
      <c r="H27" s="7">
        <f>'[1]Nov Prod'!F26</f>
        <v>0</v>
      </c>
      <c r="I27" s="8">
        <f t="shared" si="15"/>
        <v>0</v>
      </c>
      <c r="J27" s="10">
        <f t="shared" si="4"/>
        <v>0</v>
      </c>
      <c r="K27" s="7">
        <f>'[1]Nov Prod'!$H274*10</f>
        <v>0</v>
      </c>
      <c r="L27" s="8">
        <f t="shared" si="17"/>
        <v>0</v>
      </c>
      <c r="M27" s="10">
        <f t="shared" si="6"/>
        <v>0</v>
      </c>
      <c r="N27" s="21"/>
      <c r="O27" s="7">
        <f>'[1]Nov Prod'!H26</f>
        <v>12876000.000000004</v>
      </c>
      <c r="P27" s="8">
        <f t="shared" si="18"/>
        <v>12.876000000000003</v>
      </c>
      <c r="Q27" s="10">
        <f t="shared" si="8"/>
        <v>39.529320000000006</v>
      </c>
      <c r="R27" s="7">
        <f>'[1]Nov Prod'!C26</f>
        <v>12923000</v>
      </c>
      <c r="S27" s="8">
        <f t="shared" si="19"/>
        <v>12.923</v>
      </c>
      <c r="T27" s="10">
        <f t="shared" si="10"/>
        <v>39.673609999999996</v>
      </c>
      <c r="U27" s="7">
        <f>'[1]Nov Prod'!D26</f>
        <v>0</v>
      </c>
      <c r="V27" s="8">
        <f t="shared" si="11"/>
        <v>0</v>
      </c>
      <c r="W27" s="10">
        <f t="shared" si="12"/>
        <v>0</v>
      </c>
      <c r="X27" s="7">
        <f>'[1]Nov Prod'!$D274</f>
        <v>46999.999999997046</v>
      </c>
      <c r="Y27" s="8">
        <f t="shared" si="13"/>
        <v>4.6999999999997044E-2</v>
      </c>
      <c r="Z27" s="10">
        <f t="shared" si="14"/>
        <v>0.14428999999999093</v>
      </c>
      <c r="AA27" s="15"/>
      <c r="AB27" s="7">
        <f t="shared" si="16"/>
        <v>12876000.000000004</v>
      </c>
      <c r="AC27" s="8">
        <f t="shared" si="16"/>
        <v>12.876000000000003</v>
      </c>
      <c r="AD27" s="8">
        <f t="shared" si="16"/>
        <v>39.529320000000006</v>
      </c>
    </row>
    <row r="28" spans="1:30" x14ac:dyDescent="0.2">
      <c r="A28" s="1">
        <v>38315</v>
      </c>
      <c r="B28" s="7">
        <f>'[1]Nov Prod'!I27</f>
        <v>0</v>
      </c>
      <c r="C28" s="8">
        <f t="shared" si="0"/>
        <v>0</v>
      </c>
      <c r="D28" s="10">
        <f t="shared" si="1"/>
        <v>0</v>
      </c>
      <c r="E28" s="7">
        <f>'[1]Nov Prod'!E27</f>
        <v>0</v>
      </c>
      <c r="F28" s="8">
        <f t="shared" si="2"/>
        <v>0</v>
      </c>
      <c r="G28" s="10">
        <f t="shared" si="3"/>
        <v>0</v>
      </c>
      <c r="H28" s="7">
        <f>'[1]Nov Prod'!F27</f>
        <v>0</v>
      </c>
      <c r="I28" s="8">
        <f t="shared" si="15"/>
        <v>0</v>
      </c>
      <c r="J28" s="10">
        <f t="shared" si="4"/>
        <v>0</v>
      </c>
      <c r="K28" s="7">
        <f>'[1]Nov Prod'!$H275*10</f>
        <v>0</v>
      </c>
      <c r="L28" s="8">
        <f t="shared" si="17"/>
        <v>0</v>
      </c>
      <c r="M28" s="10">
        <f t="shared" si="6"/>
        <v>0</v>
      </c>
      <c r="N28" s="21"/>
      <c r="O28" s="7">
        <f>'[1]Nov Prod'!H27</f>
        <v>12932999.999999989</v>
      </c>
      <c r="P28" s="8">
        <f t="shared" si="18"/>
        <v>12.932999999999989</v>
      </c>
      <c r="Q28" s="10">
        <f t="shared" si="8"/>
        <v>39.704309999999964</v>
      </c>
      <c r="R28" s="7">
        <f>'[1]Nov Prod'!C27</f>
        <v>12977000</v>
      </c>
      <c r="S28" s="8">
        <f t="shared" si="19"/>
        <v>12.977</v>
      </c>
      <c r="T28" s="10">
        <f t="shared" si="10"/>
        <v>39.839390000000002</v>
      </c>
      <c r="U28" s="7">
        <f>'[1]Nov Prod'!D27</f>
        <v>0</v>
      </c>
      <c r="V28" s="8">
        <f t="shared" si="11"/>
        <v>0</v>
      </c>
      <c r="W28" s="10">
        <f t="shared" si="12"/>
        <v>0</v>
      </c>
      <c r="X28" s="7">
        <f>'[1]Nov Prod'!$D275</f>
        <v>44000.000000011139</v>
      </c>
      <c r="Y28" s="8">
        <f t="shared" si="13"/>
        <v>4.4000000000011141E-2</v>
      </c>
      <c r="Z28" s="10">
        <f t="shared" si="14"/>
        <v>0.1350800000000342</v>
      </c>
      <c r="AA28" s="15"/>
      <c r="AB28" s="7">
        <f t="shared" si="16"/>
        <v>12932999.999999989</v>
      </c>
      <c r="AC28" s="8">
        <f t="shared" si="16"/>
        <v>12.932999999999989</v>
      </c>
      <c r="AD28" s="8">
        <f t="shared" si="16"/>
        <v>39.704309999999964</v>
      </c>
    </row>
    <row r="29" spans="1:30" x14ac:dyDescent="0.2">
      <c r="A29" s="1">
        <v>38316</v>
      </c>
      <c r="B29" s="7">
        <f>'[1]Nov Prod'!I28</f>
        <v>0</v>
      </c>
      <c r="C29" s="8">
        <f t="shared" si="0"/>
        <v>0</v>
      </c>
      <c r="D29" s="10">
        <f t="shared" si="1"/>
        <v>0</v>
      </c>
      <c r="E29" s="7">
        <f>'[1]Nov Prod'!E28</f>
        <v>0</v>
      </c>
      <c r="F29" s="8">
        <f t="shared" si="2"/>
        <v>0</v>
      </c>
      <c r="G29" s="10">
        <f t="shared" si="3"/>
        <v>0</v>
      </c>
      <c r="H29" s="7">
        <f>'[1]Nov Prod'!F28</f>
        <v>0</v>
      </c>
      <c r="I29" s="8">
        <f t="shared" si="15"/>
        <v>0</v>
      </c>
      <c r="J29" s="10">
        <f t="shared" si="4"/>
        <v>0</v>
      </c>
      <c r="K29" s="7">
        <f>'[1]Nov Prod'!$H276*10</f>
        <v>0</v>
      </c>
      <c r="L29" s="8">
        <f t="shared" si="17"/>
        <v>0</v>
      </c>
      <c r="M29" s="10">
        <f t="shared" si="6"/>
        <v>0</v>
      </c>
      <c r="N29" s="21"/>
      <c r="O29" s="7">
        <f>'[1]Nov Prod'!H28</f>
        <v>12331000.000000007</v>
      </c>
      <c r="P29" s="8">
        <f t="shared" si="18"/>
        <v>12.331000000000007</v>
      </c>
      <c r="Q29" s="10">
        <f t="shared" si="8"/>
        <v>37.85617000000002</v>
      </c>
      <c r="R29" s="7">
        <f>'[1]Nov Prod'!C28</f>
        <v>12389000</v>
      </c>
      <c r="S29" s="8">
        <f t="shared" si="19"/>
        <v>12.388999999999999</v>
      </c>
      <c r="T29" s="10">
        <f t="shared" si="10"/>
        <v>38.034229999999994</v>
      </c>
      <c r="U29" s="7">
        <f>'[1]Nov Prod'!D28</f>
        <v>0</v>
      </c>
      <c r="V29" s="8">
        <f t="shared" si="11"/>
        <v>0</v>
      </c>
      <c r="W29" s="10">
        <f t="shared" si="12"/>
        <v>0</v>
      </c>
      <c r="X29" s="7">
        <f>'[1]Nov Prod'!$D276</f>
        <v>57999.999999992724</v>
      </c>
      <c r="Y29" s="8">
        <f t="shared" si="13"/>
        <v>5.7999999999992724E-2</v>
      </c>
      <c r="Z29" s="10">
        <f t="shared" si="14"/>
        <v>0.17805999999997765</v>
      </c>
      <c r="AA29" s="15"/>
      <c r="AB29" s="7">
        <f t="shared" si="16"/>
        <v>12331000.000000007</v>
      </c>
      <c r="AC29" s="8">
        <f t="shared" si="16"/>
        <v>12.331000000000007</v>
      </c>
      <c r="AD29" s="8">
        <f t="shared" si="16"/>
        <v>37.85617000000002</v>
      </c>
    </row>
    <row r="30" spans="1:30" x14ac:dyDescent="0.2">
      <c r="A30" s="1">
        <v>38317</v>
      </c>
      <c r="B30" s="7">
        <f>'[1]Nov Prod'!I29</f>
        <v>0</v>
      </c>
      <c r="C30" s="8">
        <f t="shared" si="0"/>
        <v>0</v>
      </c>
      <c r="D30" s="10">
        <f t="shared" si="1"/>
        <v>0</v>
      </c>
      <c r="E30" s="7">
        <f>'[1]Nov Prod'!E29</f>
        <v>0</v>
      </c>
      <c r="F30" s="8">
        <f t="shared" si="2"/>
        <v>0</v>
      </c>
      <c r="G30" s="10">
        <f t="shared" si="3"/>
        <v>0</v>
      </c>
      <c r="H30" s="7">
        <f>'[1]Nov Prod'!F29</f>
        <v>0</v>
      </c>
      <c r="I30" s="8">
        <f t="shared" si="15"/>
        <v>0</v>
      </c>
      <c r="J30" s="10">
        <f t="shared" si="4"/>
        <v>0</v>
      </c>
      <c r="K30" s="7">
        <f>'[1]Nov Prod'!$H277*10</f>
        <v>0</v>
      </c>
      <c r="L30" s="8">
        <f t="shared" si="17"/>
        <v>0</v>
      </c>
      <c r="M30" s="10">
        <f t="shared" si="6"/>
        <v>0</v>
      </c>
      <c r="N30" s="21"/>
      <c r="O30" s="7">
        <f>'[1]Nov Prod'!H29</f>
        <v>11950000.000000002</v>
      </c>
      <c r="P30" s="8">
        <f t="shared" si="18"/>
        <v>11.950000000000001</v>
      </c>
      <c r="Q30" s="10">
        <f t="shared" si="8"/>
        <v>36.686500000000002</v>
      </c>
      <c r="R30" s="7">
        <f>'[1]Nov Prod'!C29</f>
        <v>12006000</v>
      </c>
      <c r="S30" s="8">
        <f t="shared" si="19"/>
        <v>12.006</v>
      </c>
      <c r="T30" s="10">
        <f t="shared" si="10"/>
        <v>36.858419999999995</v>
      </c>
      <c r="U30" s="7">
        <f>'[1]Nov Prod'!D29</f>
        <v>0</v>
      </c>
      <c r="V30" s="8">
        <f t="shared" si="11"/>
        <v>0</v>
      </c>
      <c r="W30" s="10">
        <f t="shared" si="12"/>
        <v>0</v>
      </c>
      <c r="X30" s="7">
        <f>'[1]Nov Prod'!$D277</f>
        <v>55999.999999997388</v>
      </c>
      <c r="Y30" s="8">
        <f t="shared" si="13"/>
        <v>5.5999999999997385E-2</v>
      </c>
      <c r="Z30" s="10">
        <f t="shared" si="14"/>
        <v>0.17191999999999197</v>
      </c>
      <c r="AA30" s="15"/>
      <c r="AB30" s="7">
        <f t="shared" si="16"/>
        <v>11950000.000000002</v>
      </c>
      <c r="AC30" s="8">
        <f t="shared" si="16"/>
        <v>11.950000000000001</v>
      </c>
      <c r="AD30" s="8">
        <f>D30+Q30</f>
        <v>36.686500000000002</v>
      </c>
    </row>
    <row r="31" spans="1:30" x14ac:dyDescent="0.2">
      <c r="A31" s="1">
        <v>38318</v>
      </c>
      <c r="B31" s="7">
        <f>'[1]Nov Prod'!I30</f>
        <v>0</v>
      </c>
      <c r="C31" s="8">
        <f t="shared" si="0"/>
        <v>0</v>
      </c>
      <c r="D31" s="10">
        <f t="shared" si="1"/>
        <v>0</v>
      </c>
      <c r="E31" s="7">
        <f>'[1]Nov Prod'!E30</f>
        <v>0</v>
      </c>
      <c r="F31" s="8">
        <f t="shared" si="2"/>
        <v>0</v>
      </c>
      <c r="G31" s="10">
        <f t="shared" si="3"/>
        <v>0</v>
      </c>
      <c r="H31" s="7">
        <f>'[1]Nov Prod'!F30</f>
        <v>0</v>
      </c>
      <c r="I31" s="8">
        <f t="shared" si="15"/>
        <v>0</v>
      </c>
      <c r="J31" s="10">
        <f t="shared" si="4"/>
        <v>0</v>
      </c>
      <c r="K31" s="7">
        <f>'[1]Nov Prod'!$H278*10</f>
        <v>0</v>
      </c>
      <c r="L31" s="8">
        <f t="shared" si="17"/>
        <v>0</v>
      </c>
      <c r="M31" s="10">
        <f t="shared" si="6"/>
        <v>0</v>
      </c>
      <c r="N31" s="21"/>
      <c r="O31" s="7">
        <f>'[1]Nov Prod'!H30</f>
        <v>12090999.999999998</v>
      </c>
      <c r="P31" s="8">
        <f t="shared" si="18"/>
        <v>12.090999999999998</v>
      </c>
      <c r="Q31" s="10">
        <f t="shared" si="8"/>
        <v>37.119369999999989</v>
      </c>
      <c r="R31" s="7">
        <f>'[1]Nov Prod'!C30</f>
        <v>12139000</v>
      </c>
      <c r="S31" s="8">
        <f t="shared" si="19"/>
        <v>12.138999999999999</v>
      </c>
      <c r="T31" s="10">
        <f t="shared" si="10"/>
        <v>37.266729999999995</v>
      </c>
      <c r="U31" s="7">
        <f>'[1]Nov Prod'!D30</f>
        <v>0</v>
      </c>
      <c r="V31" s="8">
        <f t="shared" si="11"/>
        <v>0</v>
      </c>
      <c r="W31" s="10">
        <f t="shared" si="12"/>
        <v>0</v>
      </c>
      <c r="X31" s="7">
        <f>'[1]Nov Prod'!$D278</f>
        <v>48000.000000001819</v>
      </c>
      <c r="Y31" s="8">
        <f t="shared" si="13"/>
        <v>4.8000000000001819E-2</v>
      </c>
      <c r="Z31" s="10">
        <f t="shared" si="14"/>
        <v>0.14736000000000557</v>
      </c>
      <c r="AA31" s="15"/>
      <c r="AB31" s="7">
        <f t="shared" si="16"/>
        <v>12090999.999999998</v>
      </c>
      <c r="AC31" s="8">
        <f t="shared" si="16"/>
        <v>12.090999999999998</v>
      </c>
      <c r="AD31" s="8">
        <f t="shared" si="16"/>
        <v>37.119369999999989</v>
      </c>
    </row>
    <row r="32" spans="1:30" x14ac:dyDescent="0.2">
      <c r="A32" s="1">
        <v>38319</v>
      </c>
      <c r="B32" s="7">
        <f>'[1]Nov Prod'!I31</f>
        <v>0</v>
      </c>
      <c r="C32" s="8">
        <f t="shared" si="0"/>
        <v>0</v>
      </c>
      <c r="D32" s="10">
        <f t="shared" si="1"/>
        <v>0</v>
      </c>
      <c r="E32" s="7">
        <f>'[1]Nov Prod'!E31</f>
        <v>0</v>
      </c>
      <c r="F32" s="8">
        <f t="shared" si="2"/>
        <v>0</v>
      </c>
      <c r="G32" s="10">
        <f t="shared" si="3"/>
        <v>0</v>
      </c>
      <c r="H32" s="7">
        <f>'[1]Nov Prod'!F31</f>
        <v>0</v>
      </c>
      <c r="I32" s="8">
        <f t="shared" si="15"/>
        <v>0</v>
      </c>
      <c r="J32" s="10">
        <f t="shared" si="4"/>
        <v>0</v>
      </c>
      <c r="K32" s="7">
        <f>'[1]Nov Prod'!$H279*10</f>
        <v>0</v>
      </c>
      <c r="L32" s="8">
        <f t="shared" si="17"/>
        <v>0</v>
      </c>
      <c r="M32" s="10">
        <f t="shared" si="6"/>
        <v>0</v>
      </c>
      <c r="N32" s="21"/>
      <c r="O32" s="7">
        <f>'[1]Nov Prod'!H31</f>
        <v>12158999.999999993</v>
      </c>
      <c r="P32" s="8">
        <f t="shared" si="18"/>
        <v>12.158999999999992</v>
      </c>
      <c r="Q32" s="10">
        <f t="shared" si="8"/>
        <v>37.328129999999973</v>
      </c>
      <c r="R32" s="7">
        <f>'[1]Nov Prod'!C31</f>
        <v>12229000</v>
      </c>
      <c r="S32" s="8">
        <f t="shared" si="19"/>
        <v>12.228999999999999</v>
      </c>
      <c r="T32" s="10">
        <f t="shared" si="10"/>
        <v>37.543029999999995</v>
      </c>
      <c r="U32" s="7">
        <f>'[1]Nov Prod'!D31</f>
        <v>0</v>
      </c>
      <c r="V32" s="8">
        <f t="shared" si="11"/>
        <v>0</v>
      </c>
      <c r="W32" s="10">
        <f t="shared" si="12"/>
        <v>0</v>
      </c>
      <c r="X32" s="7">
        <f>'[1]Nov Prod'!$D279</f>
        <v>70000.000000007392</v>
      </c>
      <c r="Y32" s="8">
        <f t="shared" si="13"/>
        <v>7.000000000000739E-2</v>
      </c>
      <c r="Z32" s="10">
        <f t="shared" si="14"/>
        <v>0.21490000000002268</v>
      </c>
      <c r="AA32" s="15"/>
      <c r="AB32" s="7">
        <f t="shared" si="16"/>
        <v>12158999.999999993</v>
      </c>
      <c r="AC32" s="8">
        <f t="shared" si="16"/>
        <v>12.158999999999992</v>
      </c>
      <c r="AD32" s="8">
        <f t="shared" si="16"/>
        <v>37.328129999999973</v>
      </c>
    </row>
    <row r="33" spans="1:30" x14ac:dyDescent="0.2">
      <c r="A33" s="1">
        <v>38320</v>
      </c>
      <c r="B33" s="7">
        <f>'[1]Nov Prod'!I32</f>
        <v>0</v>
      </c>
      <c r="C33" s="8">
        <f t="shared" si="0"/>
        <v>0</v>
      </c>
      <c r="D33" s="10">
        <f t="shared" si="1"/>
        <v>0</v>
      </c>
      <c r="E33" s="7">
        <f>'[1]Nov Prod'!E32</f>
        <v>0</v>
      </c>
      <c r="F33" s="8">
        <f t="shared" si="2"/>
        <v>0</v>
      </c>
      <c r="G33" s="10">
        <f t="shared" si="3"/>
        <v>0</v>
      </c>
      <c r="H33" s="7">
        <f>'[1]Nov Prod'!F32</f>
        <v>0</v>
      </c>
      <c r="I33" s="8">
        <f t="shared" si="15"/>
        <v>0</v>
      </c>
      <c r="J33" s="10">
        <f t="shared" si="4"/>
        <v>0</v>
      </c>
      <c r="K33" s="7">
        <f>'[1]Nov Prod'!$H280*10</f>
        <v>0</v>
      </c>
      <c r="L33" s="8">
        <f t="shared" si="17"/>
        <v>0</v>
      </c>
      <c r="M33" s="10">
        <f t="shared" si="6"/>
        <v>0</v>
      </c>
      <c r="N33" s="21"/>
      <c r="O33" s="7">
        <f>'[1]Nov Prod'!H32</f>
        <v>12912999.999999998</v>
      </c>
      <c r="P33" s="8">
        <f t="shared" si="18"/>
        <v>12.912999999999998</v>
      </c>
      <c r="Q33" s="10">
        <f t="shared" si="8"/>
        <v>39.642909999999993</v>
      </c>
      <c r="R33" s="7">
        <f>'[1]Nov Prod'!C32</f>
        <v>12955000</v>
      </c>
      <c r="S33" s="8">
        <f t="shared" si="19"/>
        <v>12.955</v>
      </c>
      <c r="T33" s="10">
        <f t="shared" si="10"/>
        <v>39.771850000000001</v>
      </c>
      <c r="U33" s="7">
        <f>'[1]Nov Prod'!D32</f>
        <v>0</v>
      </c>
      <c r="V33" s="8">
        <f t="shared" si="11"/>
        <v>0</v>
      </c>
      <c r="W33" s="10">
        <f t="shared" si="12"/>
        <v>0</v>
      </c>
      <c r="X33" s="7">
        <f>'[1]Nov Prod'!$D280</f>
        <v>42000.000000001593</v>
      </c>
      <c r="Y33" s="8">
        <f t="shared" si="13"/>
        <v>4.2000000000001592E-2</v>
      </c>
      <c r="Z33" s="10">
        <f t="shared" si="14"/>
        <v>0.12894000000000488</v>
      </c>
      <c r="AA33" s="15"/>
      <c r="AB33" s="7">
        <f t="shared" si="16"/>
        <v>12912999.999999998</v>
      </c>
      <c r="AC33" s="8">
        <f t="shared" si="16"/>
        <v>12.912999999999998</v>
      </c>
      <c r="AD33" s="8">
        <f t="shared" si="16"/>
        <v>39.642909999999993</v>
      </c>
    </row>
    <row r="34" spans="1:30" ht="13.5" thickBot="1" x14ac:dyDescent="0.25">
      <c r="A34" s="1">
        <v>38321</v>
      </c>
      <c r="B34" s="7">
        <f>'[1]Nov Prod'!I33</f>
        <v>0</v>
      </c>
      <c r="C34" s="8">
        <f t="shared" si="0"/>
        <v>0</v>
      </c>
      <c r="D34" s="10">
        <f t="shared" si="1"/>
        <v>0</v>
      </c>
      <c r="E34" s="7">
        <f>'[1]Nov Prod'!E33</f>
        <v>0</v>
      </c>
      <c r="F34" s="8">
        <f t="shared" si="2"/>
        <v>0</v>
      </c>
      <c r="G34" s="10">
        <f t="shared" si="3"/>
        <v>0</v>
      </c>
      <c r="H34" s="7">
        <f>'[1]Nov Prod'!F33</f>
        <v>0</v>
      </c>
      <c r="I34" s="8">
        <f t="shared" si="15"/>
        <v>0</v>
      </c>
      <c r="J34" s="10">
        <f t="shared" si="4"/>
        <v>0</v>
      </c>
      <c r="K34" s="7">
        <f>'[1]Nov Prod'!$H281*10</f>
        <v>0</v>
      </c>
      <c r="L34" s="8">
        <f t="shared" si="17"/>
        <v>0</v>
      </c>
      <c r="M34" s="10">
        <f t="shared" si="6"/>
        <v>0</v>
      </c>
      <c r="N34" s="21"/>
      <c r="O34" s="7">
        <f>'[1]Nov Prod'!H33</f>
        <v>12515000.000000004</v>
      </c>
      <c r="P34" s="8">
        <f t="shared" si="18"/>
        <v>12.515000000000004</v>
      </c>
      <c r="Q34" s="10">
        <f t="shared" si="8"/>
        <v>38.421050000000008</v>
      </c>
      <c r="R34" s="7">
        <f>'[1]Nov Prod'!C33</f>
        <v>12550000</v>
      </c>
      <c r="S34" s="8">
        <f t="shared" si="19"/>
        <v>12.55</v>
      </c>
      <c r="T34" s="10">
        <f t="shared" si="10"/>
        <v>38.528500000000001</v>
      </c>
      <c r="U34" s="7">
        <f>'[1]Nov Prod'!D33</f>
        <v>0</v>
      </c>
      <c r="V34" s="8">
        <f t="shared" si="11"/>
        <v>0</v>
      </c>
      <c r="W34" s="10">
        <f t="shared" si="12"/>
        <v>0</v>
      </c>
      <c r="X34" s="7">
        <f>'[1]Nov Prod'!$D281</f>
        <v>34999.999999996588</v>
      </c>
      <c r="Y34" s="8">
        <f t="shared" si="13"/>
        <v>3.4999999999996589E-2</v>
      </c>
      <c r="Z34" s="10">
        <f t="shared" si="14"/>
        <v>0.10744999999998953</v>
      </c>
      <c r="AA34" s="15"/>
      <c r="AB34" s="7">
        <f t="shared" si="16"/>
        <v>12515000.000000004</v>
      </c>
      <c r="AC34" s="8">
        <f t="shared" si="16"/>
        <v>12.515000000000004</v>
      </c>
      <c r="AD34" s="8">
        <f t="shared" si="16"/>
        <v>38.421050000000008</v>
      </c>
    </row>
    <row r="35" spans="1:30" ht="13.5" thickBot="1" x14ac:dyDescent="0.25">
      <c r="A35" s="20"/>
      <c r="B35" s="39"/>
      <c r="C35" s="40">
        <f>SUM(C5:C34)</f>
        <v>0</v>
      </c>
      <c r="D35" s="40">
        <f>SUM(D5:D34)</f>
        <v>0</v>
      </c>
      <c r="E35" s="39"/>
      <c r="F35" s="40">
        <f>SUM(F5:F34)</f>
        <v>0</v>
      </c>
      <c r="G35" s="40">
        <f>SUM(G5:G34)</f>
        <v>0</v>
      </c>
      <c r="H35" s="39"/>
      <c r="I35" s="40">
        <f>SUM(I5:I34)</f>
        <v>82.94</v>
      </c>
      <c r="J35" s="40">
        <f>SUM(J5:J34)</f>
        <v>254.62579999999997</v>
      </c>
      <c r="K35" s="39"/>
      <c r="L35" s="40">
        <f>SUM(L5:L34)</f>
        <v>0.11099300000000001</v>
      </c>
      <c r="M35" s="40">
        <f>SUM(M5:M34)</f>
        <v>0.34074851</v>
      </c>
      <c r="N35" s="14"/>
      <c r="O35" s="39"/>
      <c r="P35" s="40">
        <f>SUM(P5:P34)</f>
        <v>381.31316999999996</v>
      </c>
      <c r="Q35" s="40">
        <f>SUM(Q5:Q34)</f>
        <v>1170.6314318999996</v>
      </c>
      <c r="R35" s="39"/>
      <c r="S35" s="40">
        <f>SUM(S5:S34)</f>
        <v>383.52699999999987</v>
      </c>
      <c r="T35" s="40">
        <f>SUM(T5:T34)</f>
        <v>1177.4278899999995</v>
      </c>
      <c r="U35" s="39"/>
      <c r="V35" s="40">
        <f>SUM(V5:V34)</f>
        <v>0</v>
      </c>
      <c r="W35" s="40">
        <f>SUM(W5:W34)</f>
        <v>0</v>
      </c>
      <c r="X35" s="39"/>
      <c r="Y35" s="40">
        <f>SUM(Y5:Y34)</f>
        <v>2.2139999999999986</v>
      </c>
      <c r="Z35" s="40">
        <f>SUM(Z5:Z34)</f>
        <v>6.7969799999999951</v>
      </c>
      <c r="AA35" s="14"/>
      <c r="AB35" s="39">
        <f t="shared" si="16"/>
        <v>0</v>
      </c>
      <c r="AC35" s="40">
        <f t="shared" si="16"/>
        <v>381.31316999999996</v>
      </c>
      <c r="AD35" s="40">
        <f t="shared" si="16"/>
        <v>1170.6314318999996</v>
      </c>
    </row>
    <row r="36" spans="1:30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1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pageSetup scale="78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37"/>
  <sheetViews>
    <sheetView workbookViewId="0">
      <pane xSplit="1" ySplit="4" topLeftCell="B19" activePane="bottomRight" state="frozen"/>
      <selection pane="topRight" activeCell="B1" sqref="B1"/>
      <selection pane="bottomLeft" activeCell="A5" sqref="A5"/>
      <selection pane="bottomRight" activeCell="B40" sqref="B40"/>
    </sheetView>
  </sheetViews>
  <sheetFormatPr defaultRowHeight="12.75" x14ac:dyDescent="0.2"/>
  <cols>
    <col min="2" max="2" width="11" customWidth="1"/>
    <col min="5" max="5" width="11.28515625" customWidth="1"/>
    <col min="8" max="8" width="16.7109375" customWidth="1"/>
    <col min="11" max="11" width="10" customWidth="1"/>
    <col min="12" max="12" width="10.7109375" customWidth="1"/>
    <col min="15" max="15" width="11" customWidth="1"/>
    <col min="18" max="18" width="10.7109375" customWidth="1"/>
    <col min="21" max="21" width="11.7109375" bestFit="1" customWidth="1"/>
    <col min="22" max="22" width="10.7109375" customWidth="1"/>
    <col min="28" max="28" width="12.7109375" customWidth="1"/>
  </cols>
  <sheetData>
    <row r="1" spans="1:30" x14ac:dyDescent="0.2">
      <c r="B1" s="41"/>
      <c r="C1" s="26"/>
      <c r="D1" s="26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3.5" thickBot="1" x14ac:dyDescent="0.25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8</v>
      </c>
      <c r="AC3" s="66"/>
      <c r="AD3" s="67"/>
    </row>
    <row r="4" spans="1:30" x14ac:dyDescent="0.2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2">
      <c r="A5" s="1">
        <v>38322</v>
      </c>
      <c r="B5" s="7">
        <f>'[2]Dec Prod'!I4</f>
        <v>0</v>
      </c>
      <c r="C5" s="8">
        <f t="shared" ref="C5:C35" si="0">B5/1000000</f>
        <v>0</v>
      </c>
      <c r="D5" s="10">
        <f t="shared" ref="D5:D35" si="1">C5*3.07</f>
        <v>0</v>
      </c>
      <c r="E5" s="7">
        <f>'[2]Dec Prod'!E4</f>
        <v>0</v>
      </c>
      <c r="F5" s="8">
        <f t="shared" ref="F5:F35" si="2">E5/1000000</f>
        <v>0</v>
      </c>
      <c r="G5" s="10">
        <f t="shared" ref="G5:G35" si="3">F5*3.07</f>
        <v>0</v>
      </c>
      <c r="H5" s="7">
        <f>'[2]Dec Prod'!F4</f>
        <v>0</v>
      </c>
      <c r="I5" s="8">
        <f t="shared" ref="I5:I33" si="4">H5/1000000</f>
        <v>0</v>
      </c>
      <c r="J5" s="10">
        <f t="shared" ref="J5:J35" si="5">I5*3.07</f>
        <v>0</v>
      </c>
      <c r="K5" s="7">
        <f>'[2]Dec Prod'!H259</f>
        <v>0</v>
      </c>
      <c r="L5" s="8">
        <f t="shared" ref="L5:L35" si="6">K5/1000000</f>
        <v>0</v>
      </c>
      <c r="M5" s="10">
        <f t="shared" ref="M5:M35" si="7">L5*3.07</f>
        <v>0</v>
      </c>
      <c r="N5" s="21"/>
      <c r="O5" s="7">
        <f>'[2]Dec Prod'!H4</f>
        <v>11894000.000000007</v>
      </c>
      <c r="P5" s="8">
        <f t="shared" ref="P5:P35" si="8">O5/1000000</f>
        <v>11.894000000000007</v>
      </c>
      <c r="Q5" s="10">
        <f t="shared" ref="Q5:Q35" si="9">P5*3.07</f>
        <v>36.514580000000024</v>
      </c>
      <c r="R5" s="7">
        <f>'[2]Dec Prod'!C4</f>
        <v>11937000</v>
      </c>
      <c r="S5" s="8">
        <f t="shared" ref="S5:S35" si="10">R5/1000000</f>
        <v>11.936999999999999</v>
      </c>
      <c r="T5" s="10">
        <f t="shared" ref="T5:T35" si="11">S5*3.07</f>
        <v>36.646589999999996</v>
      </c>
      <c r="U5" s="7">
        <f>'[2]Dec Prod'!D4</f>
        <v>0</v>
      </c>
      <c r="V5" s="8">
        <f t="shared" ref="V5:V35" si="12">U5/1000000</f>
        <v>0</v>
      </c>
      <c r="W5" s="10">
        <f t="shared" ref="W5:W35" si="13">V5*3.07</f>
        <v>0</v>
      </c>
      <c r="X5" s="7">
        <f>'[2]Dec Prod'!D259</f>
        <v>42999.999999992157</v>
      </c>
      <c r="Y5" s="8">
        <f t="shared" ref="Y5:Y35" si="14">X5/1000000</f>
        <v>4.2999999999992156E-2</v>
      </c>
      <c r="Z5" s="10">
        <f t="shared" ref="Z5:Z35" si="15">Y5*3.07</f>
        <v>0.13200999999997592</v>
      </c>
      <c r="AA5" s="15"/>
      <c r="AB5" s="7">
        <f>B5+O5</f>
        <v>11894000.000000007</v>
      </c>
      <c r="AC5" s="8">
        <f>C5+P5</f>
        <v>11.894000000000007</v>
      </c>
      <c r="AD5" s="8">
        <f>D5+Q5</f>
        <v>36.514580000000024</v>
      </c>
    </row>
    <row r="6" spans="1:30" x14ac:dyDescent="0.2">
      <c r="A6" s="1">
        <v>38323</v>
      </c>
      <c r="B6" s="7">
        <f>'[2]Dec Prod'!I5</f>
        <v>0</v>
      </c>
      <c r="C6" s="8">
        <f t="shared" si="0"/>
        <v>0</v>
      </c>
      <c r="D6" s="10">
        <f t="shared" si="1"/>
        <v>0</v>
      </c>
      <c r="E6" s="7">
        <f>'[2]Dec Prod'!E5</f>
        <v>0</v>
      </c>
      <c r="F6" s="8">
        <f t="shared" si="2"/>
        <v>0</v>
      </c>
      <c r="G6" s="10">
        <f t="shared" si="3"/>
        <v>0</v>
      </c>
      <c r="H6" s="7">
        <f>'[2]Dec Prod'!F5</f>
        <v>0</v>
      </c>
      <c r="I6" s="8">
        <f t="shared" si="4"/>
        <v>0</v>
      </c>
      <c r="J6" s="10">
        <f t="shared" si="5"/>
        <v>0</v>
      </c>
      <c r="K6" s="7">
        <f>'[2]Dec Prod'!H260</f>
        <v>0</v>
      </c>
      <c r="L6" s="8">
        <f t="shared" si="6"/>
        <v>0</v>
      </c>
      <c r="M6" s="10">
        <f t="shared" si="7"/>
        <v>0</v>
      </c>
      <c r="N6" s="21"/>
      <c r="O6" s="7">
        <f>'[2]Dec Prod'!H5</f>
        <v>12921999.999999993</v>
      </c>
      <c r="P6" s="8">
        <f t="shared" si="8"/>
        <v>12.921999999999992</v>
      </c>
      <c r="Q6" s="10">
        <f t="shared" si="9"/>
        <v>39.670539999999974</v>
      </c>
      <c r="R6" s="7">
        <f>'[2]Dec Prod'!C5</f>
        <v>12980000</v>
      </c>
      <c r="S6" s="8">
        <f t="shared" si="10"/>
        <v>12.98</v>
      </c>
      <c r="T6" s="10">
        <f t="shared" si="11"/>
        <v>39.848599999999998</v>
      </c>
      <c r="U6" s="7">
        <f>'[2]Dec Prod'!D5</f>
        <v>0</v>
      </c>
      <c r="V6" s="8">
        <f t="shared" si="12"/>
        <v>0</v>
      </c>
      <c r="W6" s="10">
        <f t="shared" si="13"/>
        <v>0</v>
      </c>
      <c r="X6" s="7">
        <f>'[2]Dec Prod'!D260</f>
        <v>58000.000000006934</v>
      </c>
      <c r="Y6" s="8">
        <f t="shared" si="14"/>
        <v>5.8000000000006935E-2</v>
      </c>
      <c r="Z6" s="10">
        <f t="shared" si="15"/>
        <v>0.17806000000002128</v>
      </c>
      <c r="AA6" s="15"/>
      <c r="AB6" s="7">
        <f t="shared" ref="AB6:AD35" si="16">B6+O6</f>
        <v>12921999.999999993</v>
      </c>
      <c r="AC6" s="8">
        <f t="shared" si="16"/>
        <v>12.921999999999992</v>
      </c>
      <c r="AD6" s="8">
        <f t="shared" si="16"/>
        <v>39.670539999999974</v>
      </c>
    </row>
    <row r="7" spans="1:30" x14ac:dyDescent="0.2">
      <c r="A7" s="1">
        <v>38324</v>
      </c>
      <c r="B7" s="7">
        <f>'[2]Dec Prod'!I6</f>
        <v>0</v>
      </c>
      <c r="C7" s="8">
        <f t="shared" si="0"/>
        <v>0</v>
      </c>
      <c r="D7" s="10">
        <f t="shared" si="1"/>
        <v>0</v>
      </c>
      <c r="E7" s="7">
        <f>'[2]Dec Prod'!E6</f>
        <v>0</v>
      </c>
      <c r="F7" s="8">
        <f t="shared" si="2"/>
        <v>0</v>
      </c>
      <c r="G7" s="10">
        <f t="shared" si="3"/>
        <v>0</v>
      </c>
      <c r="H7" s="7">
        <f>'[2]Dec Prod'!F6</f>
        <v>530000</v>
      </c>
      <c r="I7" s="8">
        <f t="shared" si="4"/>
        <v>0.53</v>
      </c>
      <c r="J7" s="10">
        <f t="shared" si="5"/>
        <v>1.6271</v>
      </c>
      <c r="K7" s="7">
        <f>'[2]Dec Prod'!H261</f>
        <v>0</v>
      </c>
      <c r="L7" s="8">
        <f t="shared" si="6"/>
        <v>0</v>
      </c>
      <c r="M7" s="10">
        <f t="shared" si="7"/>
        <v>0</v>
      </c>
      <c r="N7" s="21"/>
      <c r="O7" s="7">
        <f>'[2]Dec Prod'!H6</f>
        <v>14087999.999999998</v>
      </c>
      <c r="P7" s="8">
        <f t="shared" si="8"/>
        <v>14.087999999999997</v>
      </c>
      <c r="Q7" s="10">
        <f t="shared" si="9"/>
        <v>43.250159999999987</v>
      </c>
      <c r="R7" s="7">
        <f>'[2]Dec Prod'!C6</f>
        <v>14145000</v>
      </c>
      <c r="S7" s="8">
        <f t="shared" si="10"/>
        <v>14.145</v>
      </c>
      <c r="T7" s="10">
        <f t="shared" si="11"/>
        <v>43.425149999999995</v>
      </c>
      <c r="U7" s="7">
        <f>'[2]Dec Prod'!D6</f>
        <v>0</v>
      </c>
      <c r="V7" s="8">
        <f t="shared" si="12"/>
        <v>0</v>
      </c>
      <c r="W7" s="10">
        <f t="shared" si="13"/>
        <v>0</v>
      </c>
      <c r="X7" s="7">
        <f>'[2]Dec Prod'!D261</f>
        <v>57000.000000002161</v>
      </c>
      <c r="Y7" s="8">
        <f t="shared" si="14"/>
        <v>5.700000000000216E-2</v>
      </c>
      <c r="Z7" s="10">
        <f t="shared" si="15"/>
        <v>0.17499000000000661</v>
      </c>
      <c r="AA7" s="15"/>
      <c r="AB7" s="7">
        <f t="shared" si="16"/>
        <v>14087999.999999998</v>
      </c>
      <c r="AC7" s="8">
        <f t="shared" si="16"/>
        <v>14.087999999999997</v>
      </c>
      <c r="AD7" s="8">
        <f t="shared" si="16"/>
        <v>43.250159999999987</v>
      </c>
    </row>
    <row r="8" spans="1:30" x14ac:dyDescent="0.2">
      <c r="A8" s="1">
        <v>38325</v>
      </c>
      <c r="B8" s="7">
        <f>'[2]Dec Prod'!I7</f>
        <v>0</v>
      </c>
      <c r="C8" s="8">
        <f t="shared" si="0"/>
        <v>0</v>
      </c>
      <c r="D8" s="10">
        <f t="shared" si="1"/>
        <v>0</v>
      </c>
      <c r="E8" s="7">
        <f>'[2]Dec Prod'!E7</f>
        <v>0</v>
      </c>
      <c r="F8" s="8">
        <f t="shared" si="2"/>
        <v>0</v>
      </c>
      <c r="G8" s="10">
        <f t="shared" si="3"/>
        <v>0</v>
      </c>
      <c r="H8" s="7">
        <f>'[2]Dec Prod'!F7</f>
        <v>3190000</v>
      </c>
      <c r="I8" s="8">
        <f t="shared" si="4"/>
        <v>3.19</v>
      </c>
      <c r="J8" s="10">
        <f t="shared" si="5"/>
        <v>9.7932999999999986</v>
      </c>
      <c r="K8" s="7">
        <f>'[2]Dec Prod'!H262</f>
        <v>0</v>
      </c>
      <c r="L8" s="8">
        <f t="shared" si="6"/>
        <v>0</v>
      </c>
      <c r="M8" s="10">
        <f t="shared" si="7"/>
        <v>0</v>
      </c>
      <c r="N8" s="21"/>
      <c r="O8" s="7">
        <f>'[2]Dec Prod'!H7</f>
        <v>13289000.000000007</v>
      </c>
      <c r="P8" s="8">
        <f t="shared" si="8"/>
        <v>13.289000000000007</v>
      </c>
      <c r="Q8" s="10">
        <f t="shared" si="9"/>
        <v>40.79723000000002</v>
      </c>
      <c r="R8" s="7">
        <f>'[2]Dec Prod'!C7</f>
        <v>13329000</v>
      </c>
      <c r="S8" s="8">
        <f t="shared" si="10"/>
        <v>13.329000000000001</v>
      </c>
      <c r="T8" s="10">
        <f t="shared" si="11"/>
        <v>40.920029999999997</v>
      </c>
      <c r="U8" s="7">
        <f>'[2]Dec Prod'!D7</f>
        <v>0</v>
      </c>
      <c r="V8" s="8">
        <f t="shared" si="12"/>
        <v>0</v>
      </c>
      <c r="W8" s="10">
        <f t="shared" si="13"/>
        <v>0</v>
      </c>
      <c r="X8" s="7">
        <f>'[2]Dec Prod'!D262</f>
        <v>39999.99999999204</v>
      </c>
      <c r="Y8" s="8">
        <f t="shared" si="14"/>
        <v>3.9999999999992042E-2</v>
      </c>
      <c r="Z8" s="10">
        <f t="shared" si="15"/>
        <v>0.12279999999997557</v>
      </c>
      <c r="AA8" s="15"/>
      <c r="AB8" s="7">
        <f t="shared" si="16"/>
        <v>13289000.000000007</v>
      </c>
      <c r="AC8" s="8">
        <f t="shared" si="16"/>
        <v>13.289000000000007</v>
      </c>
      <c r="AD8" s="8">
        <f>D8+Q8</f>
        <v>40.79723000000002</v>
      </c>
    </row>
    <row r="9" spans="1:30" x14ac:dyDescent="0.2">
      <c r="A9" s="1">
        <v>38326</v>
      </c>
      <c r="B9" s="7">
        <f>'[2]Dec Prod'!I8</f>
        <v>0</v>
      </c>
      <c r="C9" s="8">
        <f t="shared" si="0"/>
        <v>0</v>
      </c>
      <c r="D9" s="10">
        <f t="shared" si="1"/>
        <v>0</v>
      </c>
      <c r="E9" s="7">
        <f>'[2]Dec Prod'!E8</f>
        <v>0</v>
      </c>
      <c r="F9" s="8">
        <f t="shared" si="2"/>
        <v>0</v>
      </c>
      <c r="G9" s="10">
        <f t="shared" si="3"/>
        <v>0</v>
      </c>
      <c r="H9" s="7">
        <f>'[2]Dec Prod'!F8</f>
        <v>4630000</v>
      </c>
      <c r="I9" s="8">
        <f t="shared" si="4"/>
        <v>4.63</v>
      </c>
      <c r="J9" s="10">
        <f t="shared" si="5"/>
        <v>14.214099999999998</v>
      </c>
      <c r="K9" s="7">
        <f>'[2]Dec Prod'!H263</f>
        <v>37336</v>
      </c>
      <c r="L9" s="8">
        <f t="shared" si="6"/>
        <v>3.7336000000000001E-2</v>
      </c>
      <c r="M9" s="10">
        <f t="shared" si="7"/>
        <v>0.11462151999999999</v>
      </c>
      <c r="N9" s="21"/>
      <c r="O9" s="7">
        <f>'[2]Dec Prod'!H8</f>
        <v>12328999.999999993</v>
      </c>
      <c r="P9" s="8">
        <f t="shared" si="8"/>
        <v>12.328999999999992</v>
      </c>
      <c r="Q9" s="10">
        <f t="shared" si="9"/>
        <v>37.850029999999975</v>
      </c>
      <c r="R9" s="7">
        <f>'[2]Dec Prod'!C8</f>
        <v>12375000</v>
      </c>
      <c r="S9" s="8">
        <f t="shared" si="10"/>
        <v>12.375</v>
      </c>
      <c r="T9" s="10">
        <f t="shared" si="11"/>
        <v>37.991250000000001</v>
      </c>
      <c r="U9" s="7">
        <f>'[2]Dec Prod'!D8</f>
        <v>0</v>
      </c>
      <c r="V9" s="8">
        <f t="shared" si="12"/>
        <v>0</v>
      </c>
      <c r="W9" s="10">
        <f t="shared" si="13"/>
        <v>0</v>
      </c>
      <c r="X9" s="7">
        <f>'[2]Dec Prod'!D263</f>
        <v>46000.000000006483</v>
      </c>
      <c r="Y9" s="8">
        <f t="shared" si="14"/>
        <v>4.600000000000648E-2</v>
      </c>
      <c r="Z9" s="10">
        <f t="shared" si="15"/>
        <v>0.14122000000001989</v>
      </c>
      <c r="AA9" s="15"/>
      <c r="AB9" s="7">
        <f t="shared" si="16"/>
        <v>12328999.999999993</v>
      </c>
      <c r="AC9" s="8">
        <f t="shared" si="16"/>
        <v>12.328999999999992</v>
      </c>
      <c r="AD9" s="8">
        <f t="shared" si="16"/>
        <v>37.850029999999975</v>
      </c>
    </row>
    <row r="10" spans="1:30" x14ac:dyDescent="0.2">
      <c r="A10" s="1">
        <v>38327</v>
      </c>
      <c r="B10" s="7">
        <f>'[2]Dec Prod'!I9</f>
        <v>0</v>
      </c>
      <c r="C10" s="8">
        <f t="shared" si="0"/>
        <v>0</v>
      </c>
      <c r="D10" s="10">
        <f t="shared" si="1"/>
        <v>0</v>
      </c>
      <c r="E10" s="7">
        <f>'[2]Dec Prod'!E9</f>
        <v>0</v>
      </c>
      <c r="F10" s="8">
        <f t="shared" si="2"/>
        <v>0</v>
      </c>
      <c r="G10" s="10">
        <f t="shared" si="3"/>
        <v>0</v>
      </c>
      <c r="H10" s="7">
        <f>'[2]Dec Prod'!F9</f>
        <v>3070000.0000000005</v>
      </c>
      <c r="I10" s="8">
        <f t="shared" si="4"/>
        <v>3.0700000000000003</v>
      </c>
      <c r="J10" s="10">
        <f t="shared" si="5"/>
        <v>9.4249000000000009</v>
      </c>
      <c r="K10" s="7">
        <f>'[2]Dec Prod'!H264</f>
        <v>470022</v>
      </c>
      <c r="L10" s="8">
        <f t="shared" si="6"/>
        <v>0.470022</v>
      </c>
      <c r="M10" s="10">
        <f t="shared" si="7"/>
        <v>1.4429675399999999</v>
      </c>
      <c r="N10" s="21"/>
      <c r="O10" s="7">
        <f>'[2]Dec Prod'!H9</f>
        <v>11086000.000000007</v>
      </c>
      <c r="P10" s="8">
        <f t="shared" si="8"/>
        <v>11.086000000000007</v>
      </c>
      <c r="Q10" s="10">
        <f t="shared" si="9"/>
        <v>34.034020000000019</v>
      </c>
      <c r="R10" s="7">
        <f>'[2]Dec Prod'!C9</f>
        <v>11123000</v>
      </c>
      <c r="S10" s="8">
        <f t="shared" si="10"/>
        <v>11.122999999999999</v>
      </c>
      <c r="T10" s="10">
        <f t="shared" si="11"/>
        <v>34.147609999999993</v>
      </c>
      <c r="U10" s="7">
        <f>'[2]Dec Prod'!D9</f>
        <v>0</v>
      </c>
      <c r="V10" s="8">
        <f t="shared" si="12"/>
        <v>0</v>
      </c>
      <c r="W10" s="10">
        <f t="shared" si="13"/>
        <v>0</v>
      </c>
      <c r="X10" s="7">
        <f>'[2]Dec Prod'!D264</f>
        <v>36999.999999991931</v>
      </c>
      <c r="Y10" s="8">
        <f t="shared" si="14"/>
        <v>3.6999999999991928E-2</v>
      </c>
      <c r="Z10" s="10">
        <f t="shared" si="15"/>
        <v>0.11358999999997521</v>
      </c>
      <c r="AA10" s="15"/>
      <c r="AB10" s="7">
        <f t="shared" si="16"/>
        <v>11086000.000000007</v>
      </c>
      <c r="AC10" s="8">
        <f t="shared" si="16"/>
        <v>11.086000000000007</v>
      </c>
      <c r="AD10" s="8">
        <f t="shared" si="16"/>
        <v>34.034020000000019</v>
      </c>
    </row>
    <row r="11" spans="1:30" x14ac:dyDescent="0.2">
      <c r="A11" s="1">
        <v>38328</v>
      </c>
      <c r="B11" s="7">
        <f>'[2]Dec Prod'!I10</f>
        <v>2899999.999997817</v>
      </c>
      <c r="C11" s="8">
        <f t="shared" si="0"/>
        <v>2.8999999999978168</v>
      </c>
      <c r="D11" s="10">
        <f t="shared" si="1"/>
        <v>8.9029999999932965</v>
      </c>
      <c r="E11" s="7">
        <f>'[2]Dec Prod'!E10</f>
        <v>0</v>
      </c>
      <c r="F11" s="8">
        <f t="shared" si="2"/>
        <v>0</v>
      </c>
      <c r="G11" s="10">
        <f t="shared" si="3"/>
        <v>0</v>
      </c>
      <c r="H11" s="7">
        <f>'[2]Dec Prod'!F10</f>
        <v>3550000.0000000005</v>
      </c>
      <c r="I11" s="8">
        <f t="shared" si="4"/>
        <v>3.5500000000000003</v>
      </c>
      <c r="J11" s="10">
        <f t="shared" si="5"/>
        <v>10.8985</v>
      </c>
      <c r="K11" s="7">
        <f>'[2]Dec Prod'!H265</f>
        <v>0</v>
      </c>
      <c r="L11" s="8">
        <f t="shared" si="6"/>
        <v>0</v>
      </c>
      <c r="M11" s="10">
        <f t="shared" si="7"/>
        <v>0</v>
      </c>
      <c r="N11" s="21"/>
      <c r="O11" s="7">
        <f>'[2]Dec Prod'!H10</f>
        <v>9536999.9999999944</v>
      </c>
      <c r="P11" s="8">
        <f t="shared" si="8"/>
        <v>9.5369999999999937</v>
      </c>
      <c r="Q11" s="10">
        <f t="shared" si="9"/>
        <v>29.27858999999998</v>
      </c>
      <c r="R11" s="7">
        <f>'[2]Dec Prod'!C10</f>
        <v>9568000</v>
      </c>
      <c r="S11" s="8">
        <f t="shared" si="10"/>
        <v>9.5679999999999996</v>
      </c>
      <c r="T11" s="10">
        <f t="shared" si="11"/>
        <v>29.373759999999997</v>
      </c>
      <c r="U11" s="7">
        <f>'[2]Dec Prod'!D10</f>
        <v>0</v>
      </c>
      <c r="V11" s="8">
        <f t="shared" si="12"/>
        <v>0</v>
      </c>
      <c r="W11" s="10">
        <f t="shared" si="13"/>
        <v>0</v>
      </c>
      <c r="X11" s="7">
        <f>'[2]Dec Prod'!D265</f>
        <v>31000.000000005912</v>
      </c>
      <c r="Y11" s="8">
        <f t="shared" si="14"/>
        <v>3.1000000000005912E-2</v>
      </c>
      <c r="Z11" s="10">
        <f t="shared" si="15"/>
        <v>9.5170000000018143E-2</v>
      </c>
      <c r="AA11" s="15"/>
      <c r="AB11" s="7">
        <f t="shared" si="16"/>
        <v>12436999.999997811</v>
      </c>
      <c r="AC11" s="8">
        <f t="shared" si="16"/>
        <v>12.436999999997811</v>
      </c>
      <c r="AD11" s="8">
        <f t="shared" si="16"/>
        <v>38.181589999993278</v>
      </c>
    </row>
    <row r="12" spans="1:30" x14ac:dyDescent="0.2">
      <c r="A12" s="1">
        <v>38329</v>
      </c>
      <c r="B12" s="7">
        <f>'[2]Dec Prod'!I11</f>
        <v>7000000</v>
      </c>
      <c r="C12" s="8">
        <f t="shared" si="0"/>
        <v>7</v>
      </c>
      <c r="D12" s="10">
        <f t="shared" si="1"/>
        <v>21.49</v>
      </c>
      <c r="E12" s="7">
        <f>'[2]Dec Prod'!E11</f>
        <v>0</v>
      </c>
      <c r="F12" s="8">
        <f t="shared" si="2"/>
        <v>0</v>
      </c>
      <c r="G12" s="10">
        <f t="shared" si="3"/>
        <v>0</v>
      </c>
      <c r="H12" s="7">
        <f>'[2]Dec Prod'!F11</f>
        <v>6520000</v>
      </c>
      <c r="I12" s="8">
        <f t="shared" si="4"/>
        <v>6.52</v>
      </c>
      <c r="J12" s="10">
        <f t="shared" si="5"/>
        <v>20.016399999999997</v>
      </c>
      <c r="K12" s="7">
        <f>'[2]Dec Prod'!H266</f>
        <v>7016</v>
      </c>
      <c r="L12" s="8">
        <f t="shared" si="6"/>
        <v>7.0159999999999997E-3</v>
      </c>
      <c r="M12" s="10">
        <f t="shared" si="7"/>
        <v>2.1539119999999998E-2</v>
      </c>
      <c r="N12" s="21"/>
      <c r="O12" s="7">
        <f>'[2]Dec Prod'!H11</f>
        <v>5922999.9999999981</v>
      </c>
      <c r="P12" s="8">
        <f t="shared" si="8"/>
        <v>5.9229999999999983</v>
      </c>
      <c r="Q12" s="10">
        <f t="shared" si="9"/>
        <v>18.183609999999994</v>
      </c>
      <c r="R12" s="7">
        <f>'[2]Dec Prod'!C11</f>
        <v>5971000</v>
      </c>
      <c r="S12" s="8">
        <f t="shared" si="10"/>
        <v>5.9710000000000001</v>
      </c>
      <c r="T12" s="10">
        <f t="shared" si="11"/>
        <v>18.330970000000001</v>
      </c>
      <c r="U12" s="7">
        <f>'[2]Dec Prod'!D11</f>
        <v>0</v>
      </c>
      <c r="V12" s="8">
        <f t="shared" si="12"/>
        <v>0</v>
      </c>
      <c r="W12" s="10">
        <f t="shared" si="13"/>
        <v>0</v>
      </c>
      <c r="X12" s="7">
        <f>'[2]Dec Prod'!D266</f>
        <v>48000.000000001819</v>
      </c>
      <c r="Y12" s="8">
        <f t="shared" si="14"/>
        <v>4.8000000000001819E-2</v>
      </c>
      <c r="Z12" s="10">
        <f t="shared" si="15"/>
        <v>0.14736000000000557</v>
      </c>
      <c r="AA12" s="15"/>
      <c r="AB12" s="7">
        <f t="shared" si="16"/>
        <v>12922999.999999998</v>
      </c>
      <c r="AC12" s="8">
        <f t="shared" si="16"/>
        <v>12.922999999999998</v>
      </c>
      <c r="AD12" s="8">
        <f t="shared" si="16"/>
        <v>39.673609999999996</v>
      </c>
    </row>
    <row r="13" spans="1:30" x14ac:dyDescent="0.2">
      <c r="A13" s="1">
        <v>38330</v>
      </c>
      <c r="B13" s="7">
        <f>'[2]Dec Prod'!I12</f>
        <v>7600000.000002183</v>
      </c>
      <c r="C13" s="8">
        <f t="shared" si="0"/>
        <v>7.6000000000021828</v>
      </c>
      <c r="D13" s="10">
        <f t="shared" si="1"/>
        <v>23.332000000006701</v>
      </c>
      <c r="E13" s="7">
        <f>'[2]Dec Prod'!E12</f>
        <v>0</v>
      </c>
      <c r="F13" s="8">
        <f t="shared" si="2"/>
        <v>0</v>
      </c>
      <c r="G13" s="10">
        <f t="shared" si="3"/>
        <v>0</v>
      </c>
      <c r="H13" s="7">
        <f>'[2]Dec Prod'!F12</f>
        <v>8060000.0000000009</v>
      </c>
      <c r="I13" s="8">
        <f t="shared" si="4"/>
        <v>8.06</v>
      </c>
      <c r="J13" s="10">
        <f t="shared" si="5"/>
        <v>24.744199999999999</v>
      </c>
      <c r="K13" s="7">
        <f>'[2]Dec Prod'!H267</f>
        <v>21077</v>
      </c>
      <c r="L13" s="8">
        <f t="shared" si="6"/>
        <v>2.1076999999999999E-2</v>
      </c>
      <c r="M13" s="10">
        <f t="shared" si="7"/>
        <v>6.4706389999999989E-2</v>
      </c>
      <c r="N13" s="21"/>
      <c r="O13" s="7">
        <f>'[2]Dec Prod'!H12</f>
        <v>7010000.0000000084</v>
      </c>
      <c r="P13" s="8">
        <f t="shared" si="8"/>
        <v>7.0100000000000087</v>
      </c>
      <c r="Q13" s="10">
        <f t="shared" si="9"/>
        <v>21.520700000000026</v>
      </c>
      <c r="R13" s="7">
        <f>'[2]Dec Prod'!C12</f>
        <v>7053000</v>
      </c>
      <c r="S13" s="8">
        <f t="shared" si="10"/>
        <v>7.0529999999999999</v>
      </c>
      <c r="T13" s="10">
        <f t="shared" si="11"/>
        <v>21.652709999999999</v>
      </c>
      <c r="U13" s="7">
        <f>'[2]Dec Prod'!D12</f>
        <v>0</v>
      </c>
      <c r="V13" s="8">
        <f t="shared" si="12"/>
        <v>0</v>
      </c>
      <c r="W13" s="10">
        <f t="shared" si="13"/>
        <v>0</v>
      </c>
      <c r="X13" s="7">
        <f>'[2]Dec Prod'!D267</f>
        <v>42999.999999992157</v>
      </c>
      <c r="Y13" s="8">
        <f t="shared" si="14"/>
        <v>4.2999999999992156E-2</v>
      </c>
      <c r="Z13" s="10">
        <f t="shared" si="15"/>
        <v>0.13200999999997592</v>
      </c>
      <c r="AA13" s="15"/>
      <c r="AB13" s="7">
        <f t="shared" si="16"/>
        <v>14610000.00000219</v>
      </c>
      <c r="AC13" s="8">
        <f t="shared" si="16"/>
        <v>14.610000000002191</v>
      </c>
      <c r="AD13" s="8">
        <f t="shared" si="16"/>
        <v>44.852700000006728</v>
      </c>
    </row>
    <row r="14" spans="1:30" x14ac:dyDescent="0.2">
      <c r="A14" s="1">
        <v>38331</v>
      </c>
      <c r="B14" s="7">
        <f>'[2]Dec Prod'!I13</f>
        <v>6000000</v>
      </c>
      <c r="C14" s="8">
        <f t="shared" si="0"/>
        <v>6</v>
      </c>
      <c r="D14" s="10">
        <f t="shared" si="1"/>
        <v>18.419999999999998</v>
      </c>
      <c r="E14" s="7">
        <f>'[2]Dec Prod'!E13</f>
        <v>0</v>
      </c>
      <c r="F14" s="8">
        <f t="shared" si="2"/>
        <v>0</v>
      </c>
      <c r="G14" s="10">
        <f t="shared" si="3"/>
        <v>0</v>
      </c>
      <c r="H14" s="7">
        <f>'[2]Dec Prod'!F13</f>
        <v>5460000</v>
      </c>
      <c r="I14" s="8">
        <f t="shared" si="4"/>
        <v>5.46</v>
      </c>
      <c r="J14" s="10">
        <f t="shared" si="5"/>
        <v>16.7622</v>
      </c>
      <c r="K14" s="7">
        <f>'[2]Dec Prod'!H268</f>
        <v>44006</v>
      </c>
      <c r="L14" s="8">
        <f t="shared" si="6"/>
        <v>4.4006000000000003E-2</v>
      </c>
      <c r="M14" s="10">
        <f t="shared" si="7"/>
        <v>0.13509842</v>
      </c>
      <c r="N14" s="21"/>
      <c r="O14" s="7">
        <f>'[2]Dec Prod'!H13</f>
        <v>5419999.9999999888</v>
      </c>
      <c r="P14" s="8">
        <f t="shared" si="8"/>
        <v>5.4199999999999884</v>
      </c>
      <c r="Q14" s="10">
        <f t="shared" si="9"/>
        <v>16.639399999999963</v>
      </c>
      <c r="R14" s="7">
        <f>'[2]Dec Prod'!C13</f>
        <v>5467000</v>
      </c>
      <c r="S14" s="8">
        <f t="shared" si="10"/>
        <v>5.4669999999999996</v>
      </c>
      <c r="T14" s="10">
        <f t="shared" si="11"/>
        <v>16.783689999999996</v>
      </c>
      <c r="U14" s="7">
        <f>'[2]Dec Prod'!D13</f>
        <v>0</v>
      </c>
      <c r="V14" s="8">
        <f t="shared" si="12"/>
        <v>0</v>
      </c>
      <c r="W14" s="10">
        <f t="shared" si="13"/>
        <v>0</v>
      </c>
      <c r="X14" s="7">
        <f>'[2]Dec Prod'!D268</f>
        <v>47000.000000011256</v>
      </c>
      <c r="Y14" s="8">
        <f t="shared" si="14"/>
        <v>4.7000000000011255E-2</v>
      </c>
      <c r="Z14" s="10">
        <f t="shared" si="15"/>
        <v>0.14429000000003456</v>
      </c>
      <c r="AA14" s="15"/>
      <c r="AB14" s="7">
        <f t="shared" si="16"/>
        <v>11419999.999999989</v>
      </c>
      <c r="AC14" s="8">
        <f t="shared" si="16"/>
        <v>11.419999999999987</v>
      </c>
      <c r="AD14" s="8">
        <f t="shared" si="16"/>
        <v>35.059399999999961</v>
      </c>
    </row>
    <row r="15" spans="1:30" x14ac:dyDescent="0.2">
      <c r="A15" s="1">
        <v>38332</v>
      </c>
      <c r="B15" s="7">
        <f>'[2]Dec Prod'!I14</f>
        <v>5500000</v>
      </c>
      <c r="C15" s="8">
        <f t="shared" si="0"/>
        <v>5.5</v>
      </c>
      <c r="D15" s="10">
        <f t="shared" si="1"/>
        <v>16.884999999999998</v>
      </c>
      <c r="E15" s="7">
        <f>'[2]Dec Prod'!E14</f>
        <v>0</v>
      </c>
      <c r="F15" s="8">
        <f t="shared" si="2"/>
        <v>0</v>
      </c>
      <c r="G15" s="10">
        <f t="shared" si="3"/>
        <v>0</v>
      </c>
      <c r="H15" s="7">
        <f>'[2]Dec Prod'!F14</f>
        <v>5670000</v>
      </c>
      <c r="I15" s="8">
        <f t="shared" si="4"/>
        <v>5.67</v>
      </c>
      <c r="J15" s="10">
        <f t="shared" si="5"/>
        <v>17.4069</v>
      </c>
      <c r="K15" s="7">
        <f>'[2]Dec Prod'!H269</f>
        <v>79000</v>
      </c>
      <c r="L15" s="8">
        <f t="shared" si="6"/>
        <v>7.9000000000000001E-2</v>
      </c>
      <c r="M15" s="10">
        <f t="shared" si="7"/>
        <v>0.24253</v>
      </c>
      <c r="N15" s="21"/>
      <c r="O15" s="7">
        <f>'[2]Dec Prod'!H14</f>
        <v>5255000.0000000037</v>
      </c>
      <c r="P15" s="8">
        <f t="shared" si="8"/>
        <v>5.2550000000000034</v>
      </c>
      <c r="Q15" s="10">
        <f t="shared" si="9"/>
        <v>16.132850000000008</v>
      </c>
      <c r="R15" s="7">
        <f>'[2]Dec Prod'!C14</f>
        <v>5293000</v>
      </c>
      <c r="S15" s="8">
        <f t="shared" si="10"/>
        <v>5.2930000000000001</v>
      </c>
      <c r="T15" s="10">
        <f t="shared" si="11"/>
        <v>16.249510000000001</v>
      </c>
      <c r="U15" s="7">
        <f>'[2]Dec Prod'!D14</f>
        <v>0</v>
      </c>
      <c r="V15" s="8">
        <f t="shared" si="12"/>
        <v>0</v>
      </c>
      <c r="W15" s="10">
        <f t="shared" si="13"/>
        <v>0</v>
      </c>
      <c r="X15" s="7">
        <f>'[2]Dec Prod'!D269</f>
        <v>37999.999999996704</v>
      </c>
      <c r="Y15" s="8">
        <f t="shared" si="14"/>
        <v>3.7999999999996703E-2</v>
      </c>
      <c r="Z15" s="10">
        <f t="shared" si="15"/>
        <v>0.11665999999998987</v>
      </c>
      <c r="AA15" s="15"/>
      <c r="AB15" s="7">
        <f t="shared" si="16"/>
        <v>10755000.000000004</v>
      </c>
      <c r="AC15" s="8">
        <f t="shared" si="16"/>
        <v>10.755000000000003</v>
      </c>
      <c r="AD15" s="8">
        <f t="shared" si="16"/>
        <v>33.01785000000001</v>
      </c>
    </row>
    <row r="16" spans="1:30" x14ac:dyDescent="0.2">
      <c r="A16" s="1">
        <v>38333</v>
      </c>
      <c r="B16" s="7">
        <f>'[2]Dec Prod'!I15</f>
        <v>7699999.9999970896</v>
      </c>
      <c r="C16" s="8">
        <f t="shared" si="0"/>
        <v>7.6999999999970896</v>
      </c>
      <c r="D16" s="10">
        <f t="shared" si="1"/>
        <v>23.638999999991064</v>
      </c>
      <c r="E16" s="7">
        <f>'[2]Dec Prod'!E15</f>
        <v>0</v>
      </c>
      <c r="F16" s="8">
        <f t="shared" si="2"/>
        <v>0</v>
      </c>
      <c r="G16" s="10">
        <f t="shared" si="3"/>
        <v>0</v>
      </c>
      <c r="H16" s="7">
        <f>'[2]Dec Prod'!F15</f>
        <v>8550000</v>
      </c>
      <c r="I16" s="8">
        <f t="shared" si="4"/>
        <v>8.5500000000000007</v>
      </c>
      <c r="J16" s="10">
        <f t="shared" si="5"/>
        <v>26.2485</v>
      </c>
      <c r="K16" s="7">
        <f>'[2]Dec Prod'!H270</f>
        <v>43155</v>
      </c>
      <c r="L16" s="8">
        <f t="shared" si="6"/>
        <v>4.3154999999999999E-2</v>
      </c>
      <c r="M16" s="10">
        <f t="shared" si="7"/>
        <v>0.13248584999999999</v>
      </c>
      <c r="N16" s="21"/>
      <c r="O16" s="7">
        <f>'[2]Dec Prod'!H15</f>
        <v>6220000.0000000037</v>
      </c>
      <c r="P16" s="8">
        <f t="shared" si="8"/>
        <v>6.2200000000000033</v>
      </c>
      <c r="Q16" s="10">
        <f t="shared" si="9"/>
        <v>19.095400000000009</v>
      </c>
      <c r="R16" s="7">
        <f>'[2]Dec Prod'!C15</f>
        <v>6255000</v>
      </c>
      <c r="S16" s="8">
        <f t="shared" si="10"/>
        <v>6.2549999999999999</v>
      </c>
      <c r="T16" s="10">
        <f t="shared" si="11"/>
        <v>19.202849999999998</v>
      </c>
      <c r="U16" s="7">
        <f>'[2]Dec Prod'!D15</f>
        <v>0</v>
      </c>
      <c r="V16" s="8">
        <f t="shared" si="12"/>
        <v>0</v>
      </c>
      <c r="W16" s="10">
        <f t="shared" si="13"/>
        <v>0</v>
      </c>
      <c r="X16" s="7">
        <f>'[2]Dec Prod'!D270</f>
        <v>34999.999999996588</v>
      </c>
      <c r="Y16" s="8">
        <f t="shared" si="14"/>
        <v>3.4999999999996589E-2</v>
      </c>
      <c r="Z16" s="10">
        <f t="shared" si="15"/>
        <v>0.10744999999998953</v>
      </c>
      <c r="AA16" s="15"/>
      <c r="AB16" s="7">
        <f t="shared" si="16"/>
        <v>13919999.999997094</v>
      </c>
      <c r="AC16" s="8">
        <f t="shared" si="16"/>
        <v>13.919999999997092</v>
      </c>
      <c r="AD16" s="8">
        <f t="shared" si="16"/>
        <v>42.734399999991069</v>
      </c>
    </row>
    <row r="17" spans="1:30" x14ac:dyDescent="0.2">
      <c r="A17" s="1">
        <v>38334</v>
      </c>
      <c r="B17" s="7">
        <f>'[2]Dec Prod'!I16</f>
        <v>7600000.000002183</v>
      </c>
      <c r="C17" s="8">
        <f t="shared" si="0"/>
        <v>7.6000000000021828</v>
      </c>
      <c r="D17" s="10">
        <f t="shared" si="1"/>
        <v>23.332000000006701</v>
      </c>
      <c r="E17" s="7">
        <f>'[2]Dec Prod'!E16</f>
        <v>0</v>
      </c>
      <c r="F17" s="8">
        <f t="shared" si="2"/>
        <v>0</v>
      </c>
      <c r="G17" s="10">
        <f t="shared" si="3"/>
        <v>0</v>
      </c>
      <c r="H17" s="7">
        <f>'[2]Dec Prod'!F16</f>
        <v>7440000</v>
      </c>
      <c r="I17" s="8">
        <f t="shared" si="4"/>
        <v>7.44</v>
      </c>
      <c r="J17" s="10">
        <f t="shared" si="5"/>
        <v>22.840800000000002</v>
      </c>
      <c r="K17" s="7">
        <f>'[2]Dec Prod'!H271</f>
        <v>43247</v>
      </c>
      <c r="L17" s="8">
        <f t="shared" si="6"/>
        <v>4.3247000000000001E-2</v>
      </c>
      <c r="M17" s="10">
        <f t="shared" si="7"/>
        <v>0.13276828999999998</v>
      </c>
      <c r="N17" s="21"/>
      <c r="O17" s="7">
        <f>'[2]Dec Prod'!H16</f>
        <v>5290999.9999999935</v>
      </c>
      <c r="P17" s="8">
        <f t="shared" si="8"/>
        <v>5.2909999999999933</v>
      </c>
      <c r="Q17" s="10">
        <f t="shared" si="9"/>
        <v>16.243369999999977</v>
      </c>
      <c r="R17" s="7">
        <f>'[2]Dec Prod'!C16</f>
        <v>5340000</v>
      </c>
      <c r="S17" s="8">
        <f t="shared" si="10"/>
        <v>5.34</v>
      </c>
      <c r="T17" s="10">
        <f t="shared" si="11"/>
        <v>16.393799999999999</v>
      </c>
      <c r="U17" s="7">
        <f>'[2]Dec Prod'!D16</f>
        <v>0</v>
      </c>
      <c r="V17" s="8">
        <f t="shared" si="12"/>
        <v>0</v>
      </c>
      <c r="W17" s="10">
        <f t="shared" si="13"/>
        <v>0</v>
      </c>
      <c r="X17" s="7">
        <f>'[2]Dec Prod'!D271</f>
        <v>49000.000000006592</v>
      </c>
      <c r="Y17" s="8">
        <f t="shared" si="14"/>
        <v>4.9000000000006594E-2</v>
      </c>
      <c r="Z17" s="10">
        <f t="shared" si="15"/>
        <v>0.15043000000002024</v>
      </c>
      <c r="AA17" s="15"/>
      <c r="AB17" s="7">
        <f t="shared" si="16"/>
        <v>12891000.000002176</v>
      </c>
      <c r="AC17" s="8">
        <f t="shared" si="16"/>
        <v>12.891000000002176</v>
      </c>
      <c r="AD17" s="8">
        <f t="shared" si="16"/>
        <v>39.575370000006679</v>
      </c>
    </row>
    <row r="18" spans="1:30" x14ac:dyDescent="0.2">
      <c r="A18" s="1">
        <v>38335</v>
      </c>
      <c r="B18" s="7">
        <f>'[2]Dec Prod'!I17</f>
        <v>6599999.9999985453</v>
      </c>
      <c r="C18" s="8">
        <f t="shared" si="0"/>
        <v>6.5999999999985457</v>
      </c>
      <c r="D18" s="10">
        <f t="shared" si="1"/>
        <v>20.261999999995535</v>
      </c>
      <c r="E18" s="7">
        <f>'[2]Dec Prod'!E17</f>
        <v>0</v>
      </c>
      <c r="F18" s="8">
        <f t="shared" si="2"/>
        <v>0</v>
      </c>
      <c r="G18" s="10">
        <f t="shared" si="3"/>
        <v>0</v>
      </c>
      <c r="H18" s="7">
        <f>'[2]Dec Prod'!F17</f>
        <v>6630000</v>
      </c>
      <c r="I18" s="8">
        <f t="shared" si="4"/>
        <v>6.63</v>
      </c>
      <c r="J18" s="10">
        <f t="shared" si="5"/>
        <v>20.354099999999999</v>
      </c>
      <c r="K18" s="7">
        <f>'[2]Dec Prod'!H272</f>
        <v>43277</v>
      </c>
      <c r="L18" s="8">
        <f t="shared" si="6"/>
        <v>4.3277000000000003E-2</v>
      </c>
      <c r="M18" s="10">
        <f t="shared" si="7"/>
        <v>0.13286038999999999</v>
      </c>
      <c r="N18" s="21"/>
      <c r="O18" s="7">
        <f>'[2]Dec Prod'!H17</f>
        <v>5371000</v>
      </c>
      <c r="P18" s="8">
        <f t="shared" si="8"/>
        <v>5.3710000000000004</v>
      </c>
      <c r="Q18" s="10">
        <f t="shared" si="9"/>
        <v>16.488970000000002</v>
      </c>
      <c r="R18" s="7">
        <f>'[2]Dec Prod'!C17</f>
        <v>5374000</v>
      </c>
      <c r="S18" s="8">
        <f t="shared" si="10"/>
        <v>5.3739999999999997</v>
      </c>
      <c r="T18" s="10">
        <f t="shared" si="11"/>
        <v>16.498179999999998</v>
      </c>
      <c r="U18" s="7">
        <f>'[2]Dec Prod'!D17</f>
        <v>0</v>
      </c>
      <c r="V18" s="8">
        <f t="shared" si="12"/>
        <v>0</v>
      </c>
      <c r="W18" s="10">
        <f t="shared" si="13"/>
        <v>0</v>
      </c>
      <c r="X18" s="7">
        <f>'[2]Dec Prod'!D272</f>
        <v>3000.0000000001137</v>
      </c>
      <c r="Y18" s="8">
        <f t="shared" si="14"/>
        <v>3.0000000000001137E-3</v>
      </c>
      <c r="Z18" s="10">
        <f t="shared" si="15"/>
        <v>9.2100000000003481E-3</v>
      </c>
      <c r="AA18" s="15"/>
      <c r="AB18" s="7">
        <f t="shared" si="16"/>
        <v>11970999.999998545</v>
      </c>
      <c r="AC18" s="8">
        <f t="shared" si="16"/>
        <v>11.970999999998547</v>
      </c>
      <c r="AD18" s="8">
        <f t="shared" si="16"/>
        <v>36.750969999995533</v>
      </c>
    </row>
    <row r="19" spans="1:30" x14ac:dyDescent="0.2">
      <c r="A19" s="1">
        <v>38336</v>
      </c>
      <c r="B19" s="7">
        <f>'[2]Dec Prod'!I18</f>
        <v>6600000.000002183</v>
      </c>
      <c r="C19" s="8">
        <f t="shared" si="0"/>
        <v>6.6000000000021828</v>
      </c>
      <c r="D19" s="10">
        <f t="shared" si="1"/>
        <v>20.262000000006701</v>
      </c>
      <c r="E19" s="7">
        <f>'[2]Dec Prod'!E18</f>
        <v>0</v>
      </c>
      <c r="F19" s="8">
        <f t="shared" si="2"/>
        <v>0</v>
      </c>
      <c r="G19" s="10">
        <f t="shared" si="3"/>
        <v>0</v>
      </c>
      <c r="H19" s="7">
        <f>'[2]Dec Prod'!F18</f>
        <v>6010000</v>
      </c>
      <c r="I19" s="8">
        <f t="shared" si="4"/>
        <v>6.01</v>
      </c>
      <c r="J19" s="10">
        <f t="shared" si="5"/>
        <v>18.450699999999998</v>
      </c>
      <c r="K19" s="7">
        <f>'[2]Dec Prod'!H273</f>
        <v>43122</v>
      </c>
      <c r="L19" s="8">
        <f t="shared" si="6"/>
        <v>4.3122000000000001E-2</v>
      </c>
      <c r="M19" s="10">
        <f t="shared" si="7"/>
        <v>0.13238453999999999</v>
      </c>
      <c r="N19" s="21"/>
      <c r="O19" s="7">
        <f>'[2]Dec Prod'!H18</f>
        <v>5185000.0000000019</v>
      </c>
      <c r="P19" s="8">
        <f t="shared" si="8"/>
        <v>5.1850000000000023</v>
      </c>
      <c r="Q19" s="10">
        <f t="shared" si="9"/>
        <v>15.917950000000006</v>
      </c>
      <c r="R19" s="7">
        <f>'[2]Dec Prod'!C18</f>
        <v>5253000</v>
      </c>
      <c r="S19" s="8">
        <f t="shared" si="10"/>
        <v>5.2530000000000001</v>
      </c>
      <c r="T19" s="10">
        <f t="shared" si="11"/>
        <v>16.126709999999999</v>
      </c>
      <c r="U19" s="7">
        <f>'[2]Dec Prod'!D18</f>
        <v>0</v>
      </c>
      <c r="V19" s="8">
        <f t="shared" si="12"/>
        <v>0</v>
      </c>
      <c r="W19" s="10">
        <f t="shared" si="13"/>
        <v>0</v>
      </c>
      <c r="X19" s="7">
        <f>'[2]Dec Prod'!D273</f>
        <v>67999.999999997846</v>
      </c>
      <c r="Y19" s="8">
        <f t="shared" si="14"/>
        <v>6.799999999999784E-2</v>
      </c>
      <c r="Z19" s="10">
        <f t="shared" si="15"/>
        <v>0.20875999999999337</v>
      </c>
      <c r="AA19" s="15"/>
      <c r="AB19" s="7">
        <f t="shared" si="16"/>
        <v>11785000.000002185</v>
      </c>
      <c r="AC19" s="8">
        <f t="shared" si="16"/>
        <v>11.785000000002185</v>
      </c>
      <c r="AD19" s="8">
        <f>D19+Q19</f>
        <v>36.179950000006706</v>
      </c>
    </row>
    <row r="20" spans="1:30" x14ac:dyDescent="0.2">
      <c r="A20" s="1">
        <v>38337</v>
      </c>
      <c r="B20" s="7">
        <f>'[2]Dec Prod'!I19</f>
        <v>6500000</v>
      </c>
      <c r="C20" s="8">
        <f t="shared" si="0"/>
        <v>6.5</v>
      </c>
      <c r="D20" s="10">
        <f t="shared" si="1"/>
        <v>19.954999999999998</v>
      </c>
      <c r="E20" s="7">
        <f>'[2]Dec Prod'!E19</f>
        <v>0</v>
      </c>
      <c r="F20" s="8">
        <f t="shared" si="2"/>
        <v>0</v>
      </c>
      <c r="G20" s="10">
        <f t="shared" si="3"/>
        <v>0</v>
      </c>
      <c r="H20" s="7">
        <f>'[2]Dec Prod'!F19</f>
        <v>6210000</v>
      </c>
      <c r="I20" s="8">
        <f t="shared" si="4"/>
        <v>6.21</v>
      </c>
      <c r="J20" s="10">
        <f t="shared" si="5"/>
        <v>19.064699999999998</v>
      </c>
      <c r="K20" s="7">
        <f>'[2]Dec Prod'!H274</f>
        <v>43944</v>
      </c>
      <c r="L20" s="8">
        <f t="shared" si="6"/>
        <v>4.3943999999999997E-2</v>
      </c>
      <c r="M20" s="10">
        <f t="shared" si="7"/>
        <v>0.13490807999999999</v>
      </c>
      <c r="N20" s="21"/>
      <c r="O20" s="7">
        <f>'[2]Dec Prod'!H19</f>
        <v>5642999.9999999991</v>
      </c>
      <c r="P20" s="8">
        <f t="shared" si="8"/>
        <v>5.6429999999999989</v>
      </c>
      <c r="Q20" s="10">
        <f t="shared" si="9"/>
        <v>17.324009999999994</v>
      </c>
      <c r="R20" s="7">
        <f>'[2]Dec Prod'!C19</f>
        <v>5676000</v>
      </c>
      <c r="S20" s="8">
        <f t="shared" si="10"/>
        <v>5.6760000000000002</v>
      </c>
      <c r="T20" s="10">
        <f t="shared" si="11"/>
        <v>17.425319999999999</v>
      </c>
      <c r="U20" s="7">
        <f>'[2]Dec Prod'!D19</f>
        <v>0</v>
      </c>
      <c r="V20" s="8">
        <f t="shared" si="12"/>
        <v>0</v>
      </c>
      <c r="W20" s="10">
        <f t="shared" si="13"/>
        <v>0</v>
      </c>
      <c r="X20" s="7">
        <f>'[2]Dec Prod'!D274</f>
        <v>33000.000000001251</v>
      </c>
      <c r="Y20" s="8">
        <f t="shared" si="14"/>
        <v>3.3000000000001251E-2</v>
      </c>
      <c r="Z20" s="10">
        <f t="shared" si="15"/>
        <v>0.10131000000000383</v>
      </c>
      <c r="AA20" s="15"/>
      <c r="AB20" s="7">
        <f t="shared" si="16"/>
        <v>12143000</v>
      </c>
      <c r="AC20" s="8">
        <f t="shared" si="16"/>
        <v>12.142999999999999</v>
      </c>
      <c r="AD20" s="8">
        <f t="shared" si="16"/>
        <v>37.279009999999992</v>
      </c>
    </row>
    <row r="21" spans="1:30" x14ac:dyDescent="0.2">
      <c r="A21" s="1">
        <v>38338</v>
      </c>
      <c r="B21" s="7">
        <f>'[2]Dec Prod'!I20</f>
        <v>7000000</v>
      </c>
      <c r="C21" s="8">
        <f t="shared" si="0"/>
        <v>7</v>
      </c>
      <c r="D21" s="10">
        <f t="shared" si="1"/>
        <v>21.49</v>
      </c>
      <c r="E21" s="7">
        <f>'[2]Dec Prod'!E20</f>
        <v>0</v>
      </c>
      <c r="F21" s="8">
        <f t="shared" si="2"/>
        <v>0</v>
      </c>
      <c r="G21" s="10">
        <f t="shared" si="3"/>
        <v>0</v>
      </c>
      <c r="H21" s="7">
        <f>'[2]Dec Prod'!F20</f>
        <v>7620000</v>
      </c>
      <c r="I21" s="8">
        <f t="shared" si="4"/>
        <v>7.62</v>
      </c>
      <c r="J21" s="10">
        <f t="shared" si="5"/>
        <v>23.3934</v>
      </c>
      <c r="K21" s="7">
        <f>'[2]Dec Prod'!H275</f>
        <v>44137</v>
      </c>
      <c r="L21" s="8">
        <f t="shared" si="6"/>
        <v>4.4137000000000003E-2</v>
      </c>
      <c r="M21" s="10">
        <f t="shared" si="7"/>
        <v>0.13550059</v>
      </c>
      <c r="N21" s="21"/>
      <c r="O21" s="7">
        <f>'[2]Dec Prod'!H20</f>
        <v>7001000.0000000037</v>
      </c>
      <c r="P21" s="8">
        <f t="shared" si="8"/>
        <v>7.0010000000000039</v>
      </c>
      <c r="Q21" s="10">
        <f t="shared" si="9"/>
        <v>21.49307000000001</v>
      </c>
      <c r="R21" s="7">
        <f>'[2]Dec Prod'!C20</f>
        <v>7036000</v>
      </c>
      <c r="S21" s="8">
        <f t="shared" si="10"/>
        <v>7.0359999999999996</v>
      </c>
      <c r="T21" s="10">
        <f t="shared" si="11"/>
        <v>21.600519999999996</v>
      </c>
      <c r="U21" s="7">
        <f>'[2]Dec Prod'!D20</f>
        <v>0</v>
      </c>
      <c r="V21" s="8">
        <f t="shared" si="12"/>
        <v>0</v>
      </c>
      <c r="W21" s="10">
        <f t="shared" si="13"/>
        <v>0</v>
      </c>
      <c r="X21" s="7">
        <f>'[2]Dec Prod'!D275</f>
        <v>34999.999999996588</v>
      </c>
      <c r="Y21" s="8">
        <f t="shared" si="14"/>
        <v>3.4999999999996589E-2</v>
      </c>
      <c r="Z21" s="10">
        <f t="shared" si="15"/>
        <v>0.10744999999998953</v>
      </c>
      <c r="AA21" s="15"/>
      <c r="AB21" s="7">
        <f t="shared" si="16"/>
        <v>14001000.000000004</v>
      </c>
      <c r="AC21" s="8">
        <f t="shared" si="16"/>
        <v>14.001000000000005</v>
      </c>
      <c r="AD21" s="8">
        <f t="shared" si="16"/>
        <v>42.983070000000012</v>
      </c>
    </row>
    <row r="22" spans="1:30" x14ac:dyDescent="0.2">
      <c r="A22" s="1">
        <v>38339</v>
      </c>
      <c r="B22" s="7">
        <f>'[2]Dec Prod'!I21</f>
        <v>9299999.9999992717</v>
      </c>
      <c r="C22" s="8">
        <f t="shared" si="0"/>
        <v>9.2999999999992724</v>
      </c>
      <c r="D22" s="10">
        <f t="shared" si="1"/>
        <v>28.550999999997764</v>
      </c>
      <c r="E22" s="7">
        <f>'[2]Dec Prod'!E21</f>
        <v>0</v>
      </c>
      <c r="F22" s="8">
        <f t="shared" si="2"/>
        <v>0</v>
      </c>
      <c r="G22" s="10">
        <f t="shared" si="3"/>
        <v>0</v>
      </c>
      <c r="H22" s="7">
        <f>'[2]Dec Prod'!F21</f>
        <v>10660000</v>
      </c>
      <c r="I22" s="8">
        <f t="shared" si="4"/>
        <v>10.66</v>
      </c>
      <c r="J22" s="10">
        <f t="shared" si="5"/>
        <v>32.726199999999999</v>
      </c>
      <c r="K22" s="7">
        <f>'[2]Dec Prod'!H276</f>
        <v>43297</v>
      </c>
      <c r="L22" s="8">
        <f t="shared" si="6"/>
        <v>4.3297000000000002E-2</v>
      </c>
      <c r="M22" s="10">
        <f t="shared" si="7"/>
        <v>0.13292179000000001</v>
      </c>
      <c r="N22" s="21"/>
      <c r="O22" s="7">
        <f>'[2]Dec Prod'!H21</f>
        <v>3182000.0000000075</v>
      </c>
      <c r="P22" s="8">
        <f t="shared" si="8"/>
        <v>3.1820000000000075</v>
      </c>
      <c r="Q22" s="10">
        <f t="shared" si="9"/>
        <v>9.7687400000000224</v>
      </c>
      <c r="R22" s="7">
        <f>'[2]Dec Prod'!C21</f>
        <v>3234000</v>
      </c>
      <c r="S22" s="8">
        <f t="shared" si="10"/>
        <v>3.234</v>
      </c>
      <c r="T22" s="10">
        <f t="shared" si="11"/>
        <v>9.9283799999999989</v>
      </c>
      <c r="U22" s="7">
        <f>'[2]Dec Prod'!D21</f>
        <v>0</v>
      </c>
      <c r="V22" s="8">
        <f t="shared" si="12"/>
        <v>0</v>
      </c>
      <c r="W22" s="10">
        <f t="shared" si="13"/>
        <v>0</v>
      </c>
      <c r="X22" s="7">
        <f>'[2]Dec Prod'!D276</f>
        <v>51999.999999992498</v>
      </c>
      <c r="Y22" s="8">
        <f t="shared" si="14"/>
        <v>5.1999999999992497E-2</v>
      </c>
      <c r="Z22" s="10">
        <f t="shared" si="15"/>
        <v>0.15963999999997697</v>
      </c>
      <c r="AA22" s="15"/>
      <c r="AB22" s="7">
        <f t="shared" si="16"/>
        <v>12481999.999999279</v>
      </c>
      <c r="AC22" s="8">
        <f t="shared" si="16"/>
        <v>12.48199999999928</v>
      </c>
      <c r="AD22" s="8">
        <f t="shared" si="16"/>
        <v>38.319739999997786</v>
      </c>
    </row>
    <row r="23" spans="1:30" x14ac:dyDescent="0.2">
      <c r="A23" s="1">
        <v>38340</v>
      </c>
      <c r="B23" s="7">
        <f>'[2]Dec Prod'!I22</f>
        <v>11599999.999998545</v>
      </c>
      <c r="C23" s="8">
        <f t="shared" si="0"/>
        <v>11.599999999998545</v>
      </c>
      <c r="D23" s="10">
        <f t="shared" si="1"/>
        <v>35.611999999995533</v>
      </c>
      <c r="E23" s="7">
        <f>'[2]Dec Prod'!E22</f>
        <v>0</v>
      </c>
      <c r="F23" s="8">
        <f t="shared" si="2"/>
        <v>0</v>
      </c>
      <c r="G23" s="10">
        <f t="shared" si="3"/>
        <v>0</v>
      </c>
      <c r="H23" s="7">
        <f>'[2]Dec Prod'!F22</f>
        <v>11540000</v>
      </c>
      <c r="I23" s="8">
        <f t="shared" si="4"/>
        <v>11.54</v>
      </c>
      <c r="J23" s="10">
        <f t="shared" si="5"/>
        <v>35.427799999999998</v>
      </c>
      <c r="K23" s="7">
        <f>'[2]Dec Prod'!H277</f>
        <v>43830</v>
      </c>
      <c r="L23" s="8">
        <f t="shared" si="6"/>
        <v>4.3830000000000001E-2</v>
      </c>
      <c r="M23" s="10">
        <f t="shared" si="7"/>
        <v>0.13455809999999999</v>
      </c>
      <c r="N23" s="21"/>
      <c r="O23" s="7">
        <f>'[2]Dec Prod'!H22</f>
        <v>0</v>
      </c>
      <c r="P23" s="8">
        <f t="shared" si="8"/>
        <v>0</v>
      </c>
      <c r="Q23" s="10">
        <f t="shared" si="9"/>
        <v>0</v>
      </c>
      <c r="R23" s="7">
        <f>'[2]Dec Prod'!C22</f>
        <v>0</v>
      </c>
      <c r="S23" s="8">
        <f t="shared" si="10"/>
        <v>0</v>
      </c>
      <c r="T23" s="10">
        <f t="shared" si="11"/>
        <v>0</v>
      </c>
      <c r="U23" s="7">
        <f>'[2]Dec Prod'!D22</f>
        <v>0</v>
      </c>
      <c r="V23" s="8">
        <f t="shared" si="12"/>
        <v>0</v>
      </c>
      <c r="W23" s="10">
        <f t="shared" si="13"/>
        <v>0</v>
      </c>
      <c r="X23" s="7">
        <f>'[2]Dec Prod'!D277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11599999.999998545</v>
      </c>
      <c r="AC23" s="8">
        <f t="shared" si="16"/>
        <v>11.599999999998545</v>
      </c>
      <c r="AD23" s="8">
        <f t="shared" si="16"/>
        <v>35.611999999995533</v>
      </c>
    </row>
    <row r="24" spans="1:30" x14ac:dyDescent="0.2">
      <c r="A24" s="1">
        <v>38341</v>
      </c>
      <c r="B24" s="7">
        <f>'[2]Dec Prod'!I23</f>
        <v>11799999.999999272</v>
      </c>
      <c r="C24" s="8">
        <f t="shared" si="0"/>
        <v>11.799999999999272</v>
      </c>
      <c r="D24" s="10">
        <f t="shared" si="1"/>
        <v>36.225999999997761</v>
      </c>
      <c r="E24" s="7">
        <f>'[2]Dec Prod'!E23</f>
        <v>0</v>
      </c>
      <c r="F24" s="8">
        <f t="shared" si="2"/>
        <v>0</v>
      </c>
      <c r="G24" s="10">
        <f t="shared" si="3"/>
        <v>0</v>
      </c>
      <c r="H24" s="7">
        <f>'[2]Dec Prod'!F23</f>
        <v>12090000</v>
      </c>
      <c r="I24" s="8">
        <f t="shared" si="4"/>
        <v>12.09</v>
      </c>
      <c r="J24" s="10">
        <f t="shared" si="5"/>
        <v>37.116299999999995</v>
      </c>
      <c r="K24" s="7">
        <f>'[2]Dec Prod'!H278</f>
        <v>44776</v>
      </c>
      <c r="L24" s="8">
        <f t="shared" si="6"/>
        <v>4.4776000000000003E-2</v>
      </c>
      <c r="M24" s="10">
        <f t="shared" si="7"/>
        <v>0.13746232</v>
      </c>
      <c r="N24" s="21"/>
      <c r="O24" s="7">
        <f>'[2]Dec Prod'!H23</f>
        <v>0</v>
      </c>
      <c r="P24" s="8">
        <f t="shared" si="8"/>
        <v>0</v>
      </c>
      <c r="Q24" s="10">
        <f t="shared" si="9"/>
        <v>0</v>
      </c>
      <c r="R24" s="7">
        <f>'[2]Dec Prod'!C23</f>
        <v>0</v>
      </c>
      <c r="S24" s="8">
        <f t="shared" si="10"/>
        <v>0</v>
      </c>
      <c r="T24" s="10">
        <f t="shared" si="11"/>
        <v>0</v>
      </c>
      <c r="U24" s="7">
        <f>'[2]Dec Prod'!D23</f>
        <v>0</v>
      </c>
      <c r="V24" s="8">
        <f t="shared" si="12"/>
        <v>0</v>
      </c>
      <c r="W24" s="10">
        <f t="shared" si="13"/>
        <v>0</v>
      </c>
      <c r="X24" s="7">
        <f>'[2]Dec Prod'!D278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11799999.999999272</v>
      </c>
      <c r="AC24" s="8">
        <f t="shared" si="16"/>
        <v>11.799999999999272</v>
      </c>
      <c r="AD24" s="8">
        <f>D24+Q24</f>
        <v>36.225999999997761</v>
      </c>
    </row>
    <row r="25" spans="1:30" x14ac:dyDescent="0.2">
      <c r="A25" s="1">
        <v>38342</v>
      </c>
      <c r="B25" s="7">
        <f>'[2]Dec Prod'!I24</f>
        <v>12400000.000001455</v>
      </c>
      <c r="C25" s="8">
        <f t="shared" si="0"/>
        <v>12.400000000001455</v>
      </c>
      <c r="D25" s="10">
        <f t="shared" si="1"/>
        <v>38.068000000004467</v>
      </c>
      <c r="E25" s="7">
        <f>'[2]Dec Prod'!E24</f>
        <v>0</v>
      </c>
      <c r="F25" s="8">
        <f t="shared" si="2"/>
        <v>0</v>
      </c>
      <c r="G25" s="10">
        <f t="shared" si="3"/>
        <v>0</v>
      </c>
      <c r="H25" s="7">
        <f>'[2]Dec Prod'!F24</f>
        <v>12220000</v>
      </c>
      <c r="I25" s="8">
        <f t="shared" si="4"/>
        <v>12.22</v>
      </c>
      <c r="J25" s="10">
        <f t="shared" si="5"/>
        <v>37.5154</v>
      </c>
      <c r="K25" s="7">
        <f>'[2]Dec Prod'!H279</f>
        <v>71096</v>
      </c>
      <c r="L25" s="8">
        <f t="shared" si="6"/>
        <v>7.1096000000000006E-2</v>
      </c>
      <c r="M25" s="10">
        <f t="shared" si="7"/>
        <v>0.21826472</v>
      </c>
      <c r="N25" s="21"/>
      <c r="O25" s="7">
        <f>'[2]Dec Prod'!H24</f>
        <v>0</v>
      </c>
      <c r="P25" s="8">
        <f t="shared" si="8"/>
        <v>0</v>
      </c>
      <c r="Q25" s="10">
        <f t="shared" si="9"/>
        <v>0</v>
      </c>
      <c r="R25" s="7">
        <f>'[2]Dec Prod'!C24</f>
        <v>0</v>
      </c>
      <c r="S25" s="8">
        <f t="shared" si="10"/>
        <v>0</v>
      </c>
      <c r="T25" s="10">
        <f t="shared" si="11"/>
        <v>0</v>
      </c>
      <c r="U25" s="7">
        <f>'[2]Dec Prod'!D24</f>
        <v>0</v>
      </c>
      <c r="V25" s="8">
        <f t="shared" si="12"/>
        <v>0</v>
      </c>
      <c r="W25" s="10">
        <f t="shared" si="13"/>
        <v>0</v>
      </c>
      <c r="X25" s="7">
        <f>'[2]Dec Prod'!D279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12400000.000001455</v>
      </c>
      <c r="AC25" s="8">
        <f t="shared" si="16"/>
        <v>12.400000000001455</v>
      </c>
      <c r="AD25" s="8">
        <f t="shared" si="16"/>
        <v>38.068000000004467</v>
      </c>
    </row>
    <row r="26" spans="1:30" x14ac:dyDescent="0.2">
      <c r="A26" s="1">
        <v>38343</v>
      </c>
      <c r="B26" s="7">
        <f>'[2]Dec Prod'!I25</f>
        <v>13000000</v>
      </c>
      <c r="C26" s="8">
        <f t="shared" si="0"/>
        <v>13</v>
      </c>
      <c r="D26" s="10">
        <f t="shared" si="1"/>
        <v>39.909999999999997</v>
      </c>
      <c r="E26" s="7">
        <f>'[2]Dec Prod'!E25</f>
        <v>0</v>
      </c>
      <c r="F26" s="8">
        <f t="shared" si="2"/>
        <v>0</v>
      </c>
      <c r="G26" s="10">
        <f t="shared" si="3"/>
        <v>0</v>
      </c>
      <c r="H26" s="7">
        <f>'[2]Dec Prod'!F25</f>
        <v>12990000</v>
      </c>
      <c r="I26" s="8">
        <f t="shared" si="4"/>
        <v>12.99</v>
      </c>
      <c r="J26" s="10">
        <f t="shared" si="5"/>
        <v>39.879300000000001</v>
      </c>
      <c r="K26" s="7">
        <f>'[2]Dec Prod'!H280</f>
        <v>68529</v>
      </c>
      <c r="L26" s="8">
        <f t="shared" si="6"/>
        <v>6.8529000000000007E-2</v>
      </c>
      <c r="M26" s="10">
        <f t="shared" si="7"/>
        <v>0.21038403</v>
      </c>
      <c r="N26" s="21"/>
      <c r="O26" s="7">
        <f>'[2]Dec Prod'!H25</f>
        <v>0</v>
      </c>
      <c r="P26" s="8">
        <f t="shared" si="8"/>
        <v>0</v>
      </c>
      <c r="Q26" s="10">
        <f t="shared" si="9"/>
        <v>0</v>
      </c>
      <c r="R26" s="7">
        <f>'[2]Dec Prod'!C25</f>
        <v>0</v>
      </c>
      <c r="S26" s="8">
        <f t="shared" si="10"/>
        <v>0</v>
      </c>
      <c r="T26" s="10">
        <f t="shared" si="11"/>
        <v>0</v>
      </c>
      <c r="U26" s="7">
        <f>'[2]Dec Prod'!D25</f>
        <v>0</v>
      </c>
      <c r="V26" s="8">
        <f t="shared" si="12"/>
        <v>0</v>
      </c>
      <c r="W26" s="10">
        <f t="shared" si="13"/>
        <v>0</v>
      </c>
      <c r="X26" s="7">
        <f>'[2]Dec Prod'!D280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13000000</v>
      </c>
      <c r="AC26" s="8">
        <f t="shared" si="16"/>
        <v>13</v>
      </c>
      <c r="AD26" s="8">
        <f t="shared" si="16"/>
        <v>39.909999999999997</v>
      </c>
    </row>
    <row r="27" spans="1:30" x14ac:dyDescent="0.2">
      <c r="A27" s="1">
        <v>38344</v>
      </c>
      <c r="B27" s="7">
        <f>'[2]Dec Prod'!I26</f>
        <v>12200000.000000728</v>
      </c>
      <c r="C27" s="8">
        <f t="shared" si="0"/>
        <v>12.200000000000728</v>
      </c>
      <c r="D27" s="10">
        <f t="shared" si="1"/>
        <v>37.454000000002232</v>
      </c>
      <c r="E27" s="7">
        <f>'[2]Dec Prod'!E26</f>
        <v>0</v>
      </c>
      <c r="F27" s="8">
        <f t="shared" si="2"/>
        <v>0</v>
      </c>
      <c r="G27" s="10">
        <f t="shared" si="3"/>
        <v>0</v>
      </c>
      <c r="H27" s="7">
        <f>'[2]Dec Prod'!F26</f>
        <v>12830000</v>
      </c>
      <c r="I27" s="8">
        <f t="shared" si="4"/>
        <v>12.83</v>
      </c>
      <c r="J27" s="10">
        <f t="shared" si="5"/>
        <v>39.388100000000001</v>
      </c>
      <c r="K27" s="7">
        <f>'[2]Dec Prod'!H281</f>
        <v>79126</v>
      </c>
      <c r="L27" s="8">
        <f t="shared" si="6"/>
        <v>7.9126000000000002E-2</v>
      </c>
      <c r="M27" s="10">
        <f t="shared" si="7"/>
        <v>0.24291682000000001</v>
      </c>
      <c r="N27" s="21"/>
      <c r="O27" s="7">
        <f>'[2]Dec Prod'!H26</f>
        <v>0</v>
      </c>
      <c r="P27" s="8">
        <f t="shared" si="8"/>
        <v>0</v>
      </c>
      <c r="Q27" s="10">
        <f t="shared" si="9"/>
        <v>0</v>
      </c>
      <c r="R27" s="7">
        <f>'[2]Dec Prod'!C26</f>
        <v>0</v>
      </c>
      <c r="S27" s="8">
        <f t="shared" si="10"/>
        <v>0</v>
      </c>
      <c r="T27" s="10">
        <f t="shared" si="11"/>
        <v>0</v>
      </c>
      <c r="U27" s="7">
        <f>'[2]Dec Prod'!D26</f>
        <v>0</v>
      </c>
      <c r="V27" s="8">
        <f t="shared" si="12"/>
        <v>0</v>
      </c>
      <c r="W27" s="10">
        <f t="shared" si="13"/>
        <v>0</v>
      </c>
      <c r="X27" s="7">
        <f>'[2]Dec Prod'!D281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12200000.000000728</v>
      </c>
      <c r="AC27" s="8">
        <f t="shared" si="16"/>
        <v>12.200000000000728</v>
      </c>
      <c r="AD27" s="8">
        <f t="shared" si="16"/>
        <v>37.454000000002232</v>
      </c>
    </row>
    <row r="28" spans="1:30" x14ac:dyDescent="0.2">
      <c r="A28" s="1">
        <v>38345</v>
      </c>
      <c r="B28" s="7">
        <f>'[2]Dec Prod'!I27</f>
        <v>11799999.999999272</v>
      </c>
      <c r="C28" s="8">
        <f t="shared" si="0"/>
        <v>11.799999999999272</v>
      </c>
      <c r="D28" s="10">
        <f t="shared" si="1"/>
        <v>36.225999999997761</v>
      </c>
      <c r="E28" s="7">
        <f>'[2]Dec Prod'!E27</f>
        <v>0</v>
      </c>
      <c r="F28" s="8">
        <f t="shared" si="2"/>
        <v>0</v>
      </c>
      <c r="G28" s="10">
        <f t="shared" si="3"/>
        <v>0</v>
      </c>
      <c r="H28" s="7">
        <f>'[2]Dec Prod'!F27</f>
        <v>11750000</v>
      </c>
      <c r="I28" s="8">
        <f t="shared" si="4"/>
        <v>11.75</v>
      </c>
      <c r="J28" s="10">
        <f t="shared" si="5"/>
        <v>36.072499999999998</v>
      </c>
      <c r="K28" s="7">
        <f>'[2]Dec Prod'!H282</f>
        <v>41711</v>
      </c>
      <c r="L28" s="8">
        <f t="shared" si="6"/>
        <v>4.1710999999999998E-2</v>
      </c>
      <c r="M28" s="10">
        <f t="shared" si="7"/>
        <v>0.12805276999999998</v>
      </c>
      <c r="N28" s="21"/>
      <c r="O28" s="7">
        <f>'[2]Dec Prod'!H27</f>
        <v>0</v>
      </c>
      <c r="P28" s="8">
        <f t="shared" si="8"/>
        <v>0</v>
      </c>
      <c r="Q28" s="10">
        <f t="shared" si="9"/>
        <v>0</v>
      </c>
      <c r="R28" s="7">
        <f>'[2]Dec Prod'!C27</f>
        <v>6000</v>
      </c>
      <c r="S28" s="8">
        <f t="shared" si="10"/>
        <v>6.0000000000000001E-3</v>
      </c>
      <c r="T28" s="10">
        <f t="shared" si="11"/>
        <v>1.8419999999999999E-2</v>
      </c>
      <c r="U28" s="7">
        <f>'[2]Dec Prod'!D27</f>
        <v>0</v>
      </c>
      <c r="V28" s="8">
        <f t="shared" si="12"/>
        <v>0</v>
      </c>
      <c r="W28" s="10">
        <f t="shared" si="13"/>
        <v>0</v>
      </c>
      <c r="X28" s="7">
        <f>'[2]Dec Prod'!D282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11799999.999999272</v>
      </c>
      <c r="AC28" s="8">
        <f t="shared" si="16"/>
        <v>11.799999999999272</v>
      </c>
      <c r="AD28" s="8">
        <f t="shared" si="16"/>
        <v>36.225999999997761</v>
      </c>
    </row>
    <row r="29" spans="1:30" x14ac:dyDescent="0.2">
      <c r="A29" s="1">
        <v>38346</v>
      </c>
      <c r="B29" s="7">
        <f>'[2]Dec Prod'!I28</f>
        <v>10900000.000001455</v>
      </c>
      <c r="C29" s="8">
        <f t="shared" si="0"/>
        <v>10.900000000001455</v>
      </c>
      <c r="D29" s="10">
        <f t="shared" si="1"/>
        <v>33.463000000004463</v>
      </c>
      <c r="E29" s="7">
        <f>'[2]Dec Prod'!E28</f>
        <v>0</v>
      </c>
      <c r="F29" s="8">
        <f t="shared" si="2"/>
        <v>0</v>
      </c>
      <c r="G29" s="10">
        <f t="shared" si="3"/>
        <v>0</v>
      </c>
      <c r="H29" s="7">
        <f>'[2]Dec Prod'!F28</f>
        <v>11290000</v>
      </c>
      <c r="I29" s="8">
        <f t="shared" si="4"/>
        <v>11.29</v>
      </c>
      <c r="J29" s="10">
        <f t="shared" si="5"/>
        <v>34.660299999999992</v>
      </c>
      <c r="K29" s="7">
        <f>'[2]Dec Prod'!H283</f>
        <v>45283</v>
      </c>
      <c r="L29" s="8">
        <f t="shared" si="6"/>
        <v>4.5282999999999997E-2</v>
      </c>
      <c r="M29" s="10">
        <f t="shared" si="7"/>
        <v>0.13901880999999999</v>
      </c>
      <c r="N29" s="21"/>
      <c r="O29" s="7">
        <f>'[2]Dec Prod'!H28</f>
        <v>0</v>
      </c>
      <c r="P29" s="8">
        <f t="shared" si="8"/>
        <v>0</v>
      </c>
      <c r="Q29" s="10">
        <f t="shared" si="9"/>
        <v>0</v>
      </c>
      <c r="R29" s="7">
        <f>'[2]Dec Prod'!C28</f>
        <v>0</v>
      </c>
      <c r="S29" s="8">
        <f t="shared" si="10"/>
        <v>0</v>
      </c>
      <c r="T29" s="10">
        <f t="shared" si="11"/>
        <v>0</v>
      </c>
      <c r="U29" s="7">
        <f>'[2]Dec Prod'!D28</f>
        <v>0</v>
      </c>
      <c r="V29" s="8">
        <f t="shared" si="12"/>
        <v>0</v>
      </c>
      <c r="W29" s="10">
        <f t="shared" si="13"/>
        <v>0</v>
      </c>
      <c r="X29" s="7">
        <f>'[2]Dec Prod'!D283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10900000.000001455</v>
      </c>
      <c r="AC29" s="8">
        <f t="shared" si="16"/>
        <v>10.900000000001455</v>
      </c>
      <c r="AD29" s="8">
        <f t="shared" si="16"/>
        <v>33.463000000004463</v>
      </c>
    </row>
    <row r="30" spans="1:30" x14ac:dyDescent="0.2">
      <c r="A30" s="1">
        <v>38347</v>
      </c>
      <c r="B30" s="7">
        <f>'[2]Dec Prod'!I29</f>
        <v>12199999.999997091</v>
      </c>
      <c r="C30" s="8">
        <f t="shared" si="0"/>
        <v>12.199999999997091</v>
      </c>
      <c r="D30" s="10">
        <f t="shared" si="1"/>
        <v>37.453999999991069</v>
      </c>
      <c r="E30" s="7">
        <f>'[2]Dec Prod'!E29</f>
        <v>1000000</v>
      </c>
      <c r="F30" s="8">
        <f t="shared" si="2"/>
        <v>1</v>
      </c>
      <c r="G30" s="10">
        <f t="shared" si="3"/>
        <v>3.07</v>
      </c>
      <c r="H30" s="7">
        <f>'[2]Dec Prod'!F29</f>
        <v>11540000</v>
      </c>
      <c r="I30" s="8">
        <f>H30/100000000</f>
        <v>0.1154</v>
      </c>
      <c r="J30" s="10">
        <f t="shared" si="5"/>
        <v>0.35427799999999998</v>
      </c>
      <c r="K30" s="7">
        <f>'[2]Dec Prod'!H284</f>
        <v>46801</v>
      </c>
      <c r="L30" s="8">
        <f t="shared" si="6"/>
        <v>4.6801000000000002E-2</v>
      </c>
      <c r="M30" s="10">
        <f t="shared" si="7"/>
        <v>0.14367906999999999</v>
      </c>
      <c r="N30" s="21"/>
      <c r="O30" s="7">
        <f>'[2]Dec Prod'!H29</f>
        <v>0</v>
      </c>
      <c r="P30" s="8">
        <f t="shared" si="8"/>
        <v>0</v>
      </c>
      <c r="Q30" s="10">
        <f t="shared" si="9"/>
        <v>0</v>
      </c>
      <c r="R30" s="7">
        <f>'[2]Dec Prod'!C29</f>
        <v>260000</v>
      </c>
      <c r="S30" s="8">
        <f t="shared" si="10"/>
        <v>0.26</v>
      </c>
      <c r="T30" s="10">
        <f t="shared" si="11"/>
        <v>0.79820000000000002</v>
      </c>
      <c r="U30" s="7">
        <f>'[2]Dec Prod'!D29</f>
        <v>0</v>
      </c>
      <c r="V30" s="8">
        <f t="shared" si="12"/>
        <v>0</v>
      </c>
      <c r="W30" s="10">
        <f t="shared" si="13"/>
        <v>0</v>
      </c>
      <c r="X30" s="7">
        <f>'[2]Dec Prod'!D284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12199999.999997091</v>
      </c>
      <c r="AC30" s="8">
        <f t="shared" si="16"/>
        <v>12.199999999997091</v>
      </c>
      <c r="AD30" s="8">
        <f>D30+Q30</f>
        <v>37.453999999991069</v>
      </c>
    </row>
    <row r="31" spans="1:30" x14ac:dyDescent="0.2">
      <c r="A31" s="1">
        <v>38348</v>
      </c>
      <c r="B31" s="7">
        <f>'[2]Dec Prod'!I30</f>
        <v>12300000.000002909</v>
      </c>
      <c r="C31" s="8">
        <f t="shared" si="0"/>
        <v>12.300000000002909</v>
      </c>
      <c r="D31" s="10">
        <f t="shared" si="1"/>
        <v>37.761000000008927</v>
      </c>
      <c r="E31" s="7">
        <f>'[2]Dec Prod'!E30</f>
        <v>4000000</v>
      </c>
      <c r="F31" s="8">
        <f t="shared" si="2"/>
        <v>4</v>
      </c>
      <c r="G31" s="10">
        <f t="shared" si="3"/>
        <v>12.28</v>
      </c>
      <c r="H31" s="7">
        <f>'[2]Dec Prod'!F30</f>
        <v>8780000</v>
      </c>
      <c r="I31" s="8">
        <f t="shared" si="4"/>
        <v>8.7799999999999994</v>
      </c>
      <c r="J31" s="10">
        <f t="shared" si="5"/>
        <v>26.954599999999996</v>
      </c>
      <c r="K31" s="7">
        <f>'[2]Dec Prod'!H285</f>
        <v>49963</v>
      </c>
      <c r="L31" s="8">
        <f t="shared" si="6"/>
        <v>4.9963E-2</v>
      </c>
      <c r="M31" s="10">
        <f t="shared" si="7"/>
        <v>0.15338641</v>
      </c>
      <c r="N31" s="21"/>
      <c r="O31" s="7">
        <f>'[2]Dec Prod'!H30</f>
        <v>0</v>
      </c>
      <c r="P31" s="8">
        <f t="shared" si="8"/>
        <v>0</v>
      </c>
      <c r="Q31" s="10">
        <f t="shared" si="9"/>
        <v>0</v>
      </c>
      <c r="R31" s="7">
        <f>'[2]Dec Prod'!C30</f>
        <v>148000</v>
      </c>
      <c r="S31" s="8">
        <f t="shared" si="10"/>
        <v>0.14799999999999999</v>
      </c>
      <c r="T31" s="10">
        <f t="shared" si="11"/>
        <v>0.45435999999999993</v>
      </c>
      <c r="U31" s="7">
        <f>'[2]Dec Prod'!D30</f>
        <v>0</v>
      </c>
      <c r="V31" s="8">
        <f t="shared" si="12"/>
        <v>0</v>
      </c>
      <c r="W31" s="10">
        <f t="shared" si="13"/>
        <v>0</v>
      </c>
      <c r="X31" s="7">
        <f>'[2]Dec Prod'!D285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12300000.000002909</v>
      </c>
      <c r="AC31" s="8">
        <f t="shared" si="16"/>
        <v>12.300000000002909</v>
      </c>
      <c r="AD31" s="8">
        <f t="shared" si="16"/>
        <v>37.761000000008927</v>
      </c>
    </row>
    <row r="32" spans="1:30" x14ac:dyDescent="0.2">
      <c r="A32" s="1">
        <v>38349</v>
      </c>
      <c r="B32" s="7">
        <f>'[2]Dec Prod'!I31</f>
        <v>12799999.999999272</v>
      </c>
      <c r="C32" s="8">
        <f t="shared" si="0"/>
        <v>12.799999999999272</v>
      </c>
      <c r="D32" s="10">
        <f t="shared" si="1"/>
        <v>39.295999999997761</v>
      </c>
      <c r="E32" s="7">
        <f>'[2]Dec Prod'!E31</f>
        <v>5000000</v>
      </c>
      <c r="F32" s="8">
        <f t="shared" si="2"/>
        <v>5</v>
      </c>
      <c r="G32" s="10">
        <f t="shared" si="3"/>
        <v>15.35</v>
      </c>
      <c r="H32" s="7">
        <f>'[2]Dec Prod'!F31</f>
        <v>7910000</v>
      </c>
      <c r="I32" s="8">
        <f t="shared" si="4"/>
        <v>7.91</v>
      </c>
      <c r="J32" s="10">
        <f t="shared" si="5"/>
        <v>24.2837</v>
      </c>
      <c r="K32" s="7">
        <f>'[2]Dec Prod'!H286</f>
        <v>46337</v>
      </c>
      <c r="L32" s="8">
        <f t="shared" si="6"/>
        <v>4.6337000000000003E-2</v>
      </c>
      <c r="M32" s="10">
        <f t="shared" si="7"/>
        <v>0.14225459000000001</v>
      </c>
      <c r="N32" s="21"/>
      <c r="O32" s="7">
        <f>'[2]Dec Prod'!H31</f>
        <v>0</v>
      </c>
      <c r="P32" s="8">
        <f t="shared" si="8"/>
        <v>0</v>
      </c>
      <c r="Q32" s="10">
        <f t="shared" si="9"/>
        <v>0</v>
      </c>
      <c r="R32" s="7">
        <f>'[2]Dec Prod'!C31</f>
        <v>0</v>
      </c>
      <c r="S32" s="8">
        <f t="shared" si="10"/>
        <v>0</v>
      </c>
      <c r="T32" s="10">
        <f t="shared" si="11"/>
        <v>0</v>
      </c>
      <c r="U32" s="7">
        <f>'[2]Dec Prod'!D31</f>
        <v>39000</v>
      </c>
      <c r="V32" s="8">
        <f t="shared" si="12"/>
        <v>3.9E-2</v>
      </c>
      <c r="W32" s="10">
        <f t="shared" si="13"/>
        <v>0.11972999999999999</v>
      </c>
      <c r="X32" s="7">
        <f>'[2]Dec Prod'!D286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12799999.999999272</v>
      </c>
      <c r="AC32" s="8">
        <f t="shared" si="16"/>
        <v>12.799999999999272</v>
      </c>
      <c r="AD32" s="8">
        <f t="shared" si="16"/>
        <v>39.295999999997761</v>
      </c>
    </row>
    <row r="33" spans="1:30" x14ac:dyDescent="0.2">
      <c r="A33" s="1">
        <v>38350</v>
      </c>
      <c r="B33" s="7">
        <f>'[2]Dec Prod'!I32</f>
        <v>12700000.000000728</v>
      </c>
      <c r="C33" s="8">
        <f t="shared" si="0"/>
        <v>12.700000000000728</v>
      </c>
      <c r="D33" s="10">
        <f t="shared" si="1"/>
        <v>38.989000000002228</v>
      </c>
      <c r="E33" s="7">
        <f>'[2]Dec Prod'!E32</f>
        <v>6000000</v>
      </c>
      <c r="F33" s="8">
        <f t="shared" si="2"/>
        <v>6</v>
      </c>
      <c r="G33" s="10">
        <f t="shared" si="3"/>
        <v>18.419999999999998</v>
      </c>
      <c r="H33" s="7">
        <f>'[2]Dec Prod'!F32</f>
        <v>8010000</v>
      </c>
      <c r="I33" s="8">
        <f t="shared" si="4"/>
        <v>8.01</v>
      </c>
      <c r="J33" s="10">
        <f t="shared" si="5"/>
        <v>24.590699999999998</v>
      </c>
      <c r="K33" s="7">
        <f>'[2]Dec Prod'!H287</f>
        <v>45088</v>
      </c>
      <c r="L33" s="8">
        <f t="shared" si="6"/>
        <v>4.5088000000000003E-2</v>
      </c>
      <c r="M33" s="10">
        <f t="shared" si="7"/>
        <v>0.13842016000000001</v>
      </c>
      <c r="N33" s="21"/>
      <c r="O33" s="7">
        <f>'[2]Dec Prod'!H32</f>
        <v>0</v>
      </c>
      <c r="P33" s="8">
        <f t="shared" si="8"/>
        <v>0</v>
      </c>
      <c r="Q33" s="10">
        <f t="shared" si="9"/>
        <v>0</v>
      </c>
      <c r="R33" s="7">
        <f>'[2]Dec Prod'!C32</f>
        <v>0</v>
      </c>
      <c r="S33" s="8">
        <f t="shared" si="10"/>
        <v>0</v>
      </c>
      <c r="T33" s="10">
        <f t="shared" si="11"/>
        <v>0</v>
      </c>
      <c r="U33" s="7">
        <f>'[2]Dec Prod'!D32</f>
        <v>0</v>
      </c>
      <c r="V33" s="8">
        <f t="shared" si="12"/>
        <v>0</v>
      </c>
      <c r="W33" s="10">
        <f t="shared" si="13"/>
        <v>0</v>
      </c>
      <c r="X33" s="7">
        <f>'[2]Dec Prod'!D287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12700000.000000728</v>
      </c>
      <c r="AC33" s="8">
        <f t="shared" si="16"/>
        <v>12.700000000000728</v>
      </c>
      <c r="AD33" s="8">
        <f t="shared" si="16"/>
        <v>38.989000000002228</v>
      </c>
    </row>
    <row r="34" spans="1:30" x14ac:dyDescent="0.2">
      <c r="A34" s="1">
        <v>38351</v>
      </c>
      <c r="B34" s="7">
        <f>'[2]Dec Prod'!I33</f>
        <v>13299999.999999272</v>
      </c>
      <c r="C34" s="8">
        <f t="shared" si="0"/>
        <v>13.299999999999272</v>
      </c>
      <c r="D34" s="10">
        <f t="shared" si="1"/>
        <v>40.830999999997765</v>
      </c>
      <c r="E34" s="7">
        <f>'[2]Dec Prod'!E33</f>
        <v>7000000</v>
      </c>
      <c r="F34" s="8">
        <f t="shared" si="2"/>
        <v>7</v>
      </c>
      <c r="G34" s="10">
        <f t="shared" si="3"/>
        <v>21.49</v>
      </c>
      <c r="H34" s="7">
        <f>'[2]Dec Prod'!F33</f>
        <v>7850000</v>
      </c>
      <c r="I34" s="8">
        <f>H34/100000000</f>
        <v>7.85E-2</v>
      </c>
      <c r="J34" s="10">
        <f t="shared" si="5"/>
        <v>0.24099499999999999</v>
      </c>
      <c r="K34" s="7">
        <f>'[2]Dec Prod'!H288</f>
        <v>63669</v>
      </c>
      <c r="L34" s="8">
        <f t="shared" si="6"/>
        <v>6.3669000000000003E-2</v>
      </c>
      <c r="M34" s="10">
        <f t="shared" si="7"/>
        <v>0.19546383000000001</v>
      </c>
      <c r="N34" s="21"/>
      <c r="O34" s="7">
        <f>'[2]Dec Prod'!H33</f>
        <v>0</v>
      </c>
      <c r="P34" s="8">
        <f t="shared" si="8"/>
        <v>0</v>
      </c>
      <c r="Q34" s="10">
        <f t="shared" si="9"/>
        <v>0</v>
      </c>
      <c r="R34" s="7">
        <f>'[2]Dec Prod'!C33</f>
        <v>0</v>
      </c>
      <c r="S34" s="8">
        <f t="shared" si="10"/>
        <v>0</v>
      </c>
      <c r="T34" s="10">
        <f t="shared" si="11"/>
        <v>0</v>
      </c>
      <c r="U34" s="7">
        <f>'[2]Dec Prod'!D33</f>
        <v>0</v>
      </c>
      <c r="V34" s="8">
        <f t="shared" si="12"/>
        <v>0</v>
      </c>
      <c r="W34" s="10">
        <f t="shared" si="13"/>
        <v>0</v>
      </c>
      <c r="X34" s="7">
        <f>'[2]Dec Prod'!D288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13299999.999999272</v>
      </c>
      <c r="AC34" s="8">
        <f t="shared" si="16"/>
        <v>13.299999999999272</v>
      </c>
      <c r="AD34" s="8">
        <f t="shared" si="16"/>
        <v>40.830999999997765</v>
      </c>
    </row>
    <row r="35" spans="1:30" ht="13.5" thickBot="1" x14ac:dyDescent="0.25">
      <c r="A35" s="1">
        <v>38352</v>
      </c>
      <c r="B35" s="30">
        <f>'[2]Dec Prod'!I34</f>
        <v>13399999.999997817</v>
      </c>
      <c r="C35" s="9">
        <f t="shared" si="0"/>
        <v>13.399999999997817</v>
      </c>
      <c r="D35" s="11">
        <f t="shared" si="1"/>
        <v>41.137999999993298</v>
      </c>
      <c r="E35" s="7">
        <f>'[2]Dec Prod'!E34</f>
        <v>6000000</v>
      </c>
      <c r="F35" s="9">
        <f t="shared" si="2"/>
        <v>6</v>
      </c>
      <c r="G35" s="11">
        <f t="shared" si="3"/>
        <v>18.419999999999998</v>
      </c>
      <c r="H35" s="7">
        <f>'[2]Dec Prod'!F34</f>
        <v>8010000</v>
      </c>
      <c r="I35" s="9">
        <f>H35/100000000</f>
        <v>8.0100000000000005E-2</v>
      </c>
      <c r="J35" s="11">
        <f t="shared" si="5"/>
        <v>0.24590700000000001</v>
      </c>
      <c r="K35" s="7">
        <f>'[2]Dec Prod'!H289</f>
        <v>90511</v>
      </c>
      <c r="L35" s="9">
        <f t="shared" si="6"/>
        <v>9.0510999999999994E-2</v>
      </c>
      <c r="M35" s="11">
        <f t="shared" si="7"/>
        <v>0.27786876999999999</v>
      </c>
      <c r="N35" s="21"/>
      <c r="O35" s="7">
        <f>'[2]Dec Prod'!H34</f>
        <v>0</v>
      </c>
      <c r="P35" s="9">
        <f t="shared" si="8"/>
        <v>0</v>
      </c>
      <c r="Q35" s="11">
        <f t="shared" si="9"/>
        <v>0</v>
      </c>
      <c r="R35" s="7">
        <f>'[2]Dec Prod'!C34</f>
        <v>0</v>
      </c>
      <c r="S35" s="9">
        <f t="shared" si="10"/>
        <v>0</v>
      </c>
      <c r="T35" s="11">
        <f t="shared" si="11"/>
        <v>0</v>
      </c>
      <c r="U35" s="7">
        <f>'[2]Dec Prod'!D34</f>
        <v>0</v>
      </c>
      <c r="V35" s="9">
        <f t="shared" si="12"/>
        <v>0</v>
      </c>
      <c r="W35" s="11">
        <f t="shared" si="13"/>
        <v>0</v>
      </c>
      <c r="X35" s="7">
        <f>'[2]Dec Prod'!D289</f>
        <v>0</v>
      </c>
      <c r="Y35" s="9">
        <f t="shared" si="14"/>
        <v>0</v>
      </c>
      <c r="Z35" s="11">
        <f t="shared" si="15"/>
        <v>0</v>
      </c>
      <c r="AA35" s="15"/>
      <c r="AB35" s="7">
        <f t="shared" si="16"/>
        <v>13399999.999997817</v>
      </c>
      <c r="AC35" s="8">
        <f t="shared" si="16"/>
        <v>13.399999999997817</v>
      </c>
      <c r="AD35" s="8">
        <f t="shared" si="16"/>
        <v>41.137999999993298</v>
      </c>
    </row>
    <row r="36" spans="1:30" ht="13.5" thickBot="1" x14ac:dyDescent="0.25">
      <c r="A36" s="20"/>
      <c r="B36" s="39"/>
      <c r="C36" s="40">
        <f>SUM(C5:C35)</f>
        <v>240.69999999999709</v>
      </c>
      <c r="D36" s="40">
        <f>SUM(D5:D35)</f>
        <v>738.94899999999109</v>
      </c>
      <c r="E36" s="39"/>
      <c r="F36" s="40">
        <f>SUM(F5:F35)</f>
        <v>29</v>
      </c>
      <c r="G36" s="40">
        <f>SUM(G5:G35)</f>
        <v>89.03</v>
      </c>
      <c r="H36" s="39"/>
      <c r="I36" s="40">
        <f>SUM(I5:I35)</f>
        <v>203.48399999999998</v>
      </c>
      <c r="J36" s="40">
        <f>SUM(J5:J35)</f>
        <v>624.69587999999999</v>
      </c>
      <c r="K36" s="39"/>
      <c r="L36" s="40">
        <f>SUM(L5:L35)</f>
        <v>1.6993560000000001</v>
      </c>
      <c r="M36" s="40">
        <f>SUM(M5:M35)</f>
        <v>5.2170229199999998</v>
      </c>
      <c r="N36" s="14"/>
      <c r="O36" s="39"/>
      <c r="P36" s="40">
        <f>SUM(P5:P35)</f>
        <v>146.64600000000002</v>
      </c>
      <c r="Q36" s="40">
        <f>SUM(Q5:Q35)</f>
        <v>450.20321999999993</v>
      </c>
      <c r="R36" s="39"/>
      <c r="S36" s="40">
        <f>SUM(S5:S35)</f>
        <v>147.82299999999998</v>
      </c>
      <c r="T36" s="40">
        <f>SUM(T5:T35)</f>
        <v>453.81660999999997</v>
      </c>
      <c r="U36" s="39"/>
      <c r="V36" s="40">
        <f>SUM(V5:V35)</f>
        <v>3.9E-2</v>
      </c>
      <c r="W36" s="40">
        <f>SUM(W5:W35)</f>
        <v>0.11972999999999999</v>
      </c>
      <c r="X36" s="39"/>
      <c r="Y36" s="40">
        <f>SUM(Y5:Y35)</f>
        <v>0.76299999999999102</v>
      </c>
      <c r="Z36" s="40">
        <f>SUM(Z5:Z35)</f>
        <v>2.3424099999999726</v>
      </c>
      <c r="AA36" s="14"/>
      <c r="AB36" s="39"/>
      <c r="AC36" s="40">
        <f>SUM(AC5:AC35)</f>
        <v>387.3459999999971</v>
      </c>
      <c r="AD36" s="40">
        <f>SUM(AD5:AD35)</f>
        <v>1189.1522199999911</v>
      </c>
    </row>
    <row r="37" spans="1:30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D36"/>
  <sheetViews>
    <sheetView workbookViewId="0">
      <pane xSplit="1" ySplit="4" topLeftCell="B20" activePane="bottomRight" state="frozen"/>
      <selection pane="topRight" activeCell="B1" sqref="B1"/>
      <selection pane="bottomLeft" activeCell="A5" sqref="A5"/>
      <selection pane="bottomRight" activeCell="E5" sqref="E5"/>
    </sheetView>
  </sheetViews>
  <sheetFormatPr defaultRowHeight="12.75" x14ac:dyDescent="0.2"/>
  <cols>
    <col min="2" max="2" width="10.85546875" customWidth="1"/>
    <col min="3" max="3" width="7.7109375" style="18" customWidth="1"/>
    <col min="5" max="5" width="13.42578125" style="3" bestFit="1" customWidth="1"/>
    <col min="6" max="6" width="8.28515625" style="3" customWidth="1"/>
    <col min="7" max="7" width="9.140625" style="3"/>
    <col min="8" max="8" width="11.7109375" style="3" customWidth="1"/>
    <col min="9" max="10" width="9.140625" style="3"/>
    <col min="11" max="11" width="11.85546875" style="14" customWidth="1"/>
    <col min="12" max="12" width="11" style="3" customWidth="1"/>
    <col min="13" max="13" width="11.140625" style="3" bestFit="1" customWidth="1"/>
    <col min="14" max="14" width="9.140625" style="3"/>
    <col min="15" max="15" width="13.42578125" style="3" bestFit="1" customWidth="1"/>
    <col min="16" max="17" width="9.140625" style="3"/>
    <col min="18" max="18" width="11.7109375" style="3" bestFit="1" customWidth="1"/>
    <col min="19" max="21" width="9.140625" style="3"/>
    <col min="22" max="22" width="11.7109375" bestFit="1" customWidth="1"/>
    <col min="28" max="28" width="12.7109375" customWidth="1"/>
  </cols>
  <sheetData>
    <row r="1" spans="1:30" ht="13.5" customHeight="1" x14ac:dyDescent="0.2">
      <c r="A1" s="25"/>
      <c r="B1" s="41"/>
      <c r="C1" s="26"/>
      <c r="D1" s="26"/>
      <c r="E1" s="26"/>
      <c r="F1" s="26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8</v>
      </c>
      <c r="AC3" s="66"/>
      <c r="AD3" s="67"/>
    </row>
    <row r="4" spans="1:30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2">
      <c r="A5" s="28">
        <v>38353</v>
      </c>
      <c r="B5" s="7">
        <f>'[3]Jan Prod'!I4</f>
        <v>13100000.000002183</v>
      </c>
      <c r="C5" s="8">
        <f>B5/1000000</f>
        <v>13.100000000002183</v>
      </c>
      <c r="D5" s="10">
        <f>C5*3.07</f>
        <v>40.217000000006699</v>
      </c>
      <c r="E5" s="7">
        <f>'[3]Jan Prod'!E4</f>
        <v>7000000</v>
      </c>
      <c r="F5" s="8">
        <f>E5/1000000</f>
        <v>7</v>
      </c>
      <c r="G5" s="10">
        <f>F5*3.07</f>
        <v>21.49</v>
      </c>
      <c r="H5" s="7">
        <f>'[3]Jan Prod'!F4</f>
        <v>7910000</v>
      </c>
      <c r="I5" s="8">
        <f>H5/1000000</f>
        <v>7.91</v>
      </c>
      <c r="J5" s="10">
        <f>I5*3.07</f>
        <v>24.2837</v>
      </c>
      <c r="K5" s="7">
        <f>'[3]Jan Prod'!H259</f>
        <v>110619</v>
      </c>
      <c r="L5" s="8">
        <f>K5/1000000</f>
        <v>0.110619</v>
      </c>
      <c r="M5" s="10">
        <f>L5*3.07</f>
        <v>0.33960032999999995</v>
      </c>
      <c r="N5" s="21"/>
      <c r="O5" s="7">
        <f>'[3]Jan Prod'!H4</f>
        <v>0</v>
      </c>
      <c r="P5" s="8">
        <f>O5/1000000</f>
        <v>0</v>
      </c>
      <c r="Q5" s="10">
        <f>P5*3.07</f>
        <v>0</v>
      </c>
      <c r="R5" s="7">
        <f>'[3]Jan Prod'!C4</f>
        <v>0</v>
      </c>
      <c r="S5" s="8">
        <f>R5/1000000</f>
        <v>0</v>
      </c>
      <c r="T5" s="10">
        <f>S5*3.07</f>
        <v>0</v>
      </c>
      <c r="U5" s="7">
        <f>'[3]Jan Prod'!D4</f>
        <v>0</v>
      </c>
      <c r="V5" s="8">
        <f>U5/1000000</f>
        <v>0</v>
      </c>
      <c r="W5" s="10">
        <f>V5*3.07</f>
        <v>0</v>
      </c>
      <c r="X5" s="7">
        <f>'[3]Jan Prod'!D259</f>
        <v>0</v>
      </c>
      <c r="Y5" s="8">
        <f>X5/1000000</f>
        <v>0</v>
      </c>
      <c r="Z5" s="10">
        <f>Y5*3.07</f>
        <v>0</v>
      </c>
      <c r="AA5" s="15"/>
      <c r="AB5" s="7">
        <f>B5+O5</f>
        <v>13100000.000002183</v>
      </c>
      <c r="AC5" s="8">
        <f>C5+P5</f>
        <v>13.100000000002183</v>
      </c>
      <c r="AD5" s="8">
        <f>D5+Q5</f>
        <v>40.217000000006699</v>
      </c>
    </row>
    <row r="6" spans="1:30" x14ac:dyDescent="0.2">
      <c r="A6" s="28">
        <v>38354</v>
      </c>
      <c r="B6" s="7">
        <f>'[3]Jan Prod'!I5</f>
        <v>11700000.000000728</v>
      </c>
      <c r="C6" s="8">
        <f t="shared" ref="C6:C35" si="0">B6/1000000</f>
        <v>11.700000000000728</v>
      </c>
      <c r="D6" s="10">
        <f t="shared" ref="D6:D35" si="1">C6*3.07</f>
        <v>35.919000000002235</v>
      </c>
      <c r="E6" s="7">
        <f>'[3]Jan Prod'!E5</f>
        <v>6000000</v>
      </c>
      <c r="F6" s="8">
        <f t="shared" ref="F6:F35" si="2">E6/1000000</f>
        <v>6</v>
      </c>
      <c r="G6" s="10">
        <f t="shared" ref="G6:G35" si="3">F6*3.07</f>
        <v>18.419999999999998</v>
      </c>
      <c r="H6" s="7">
        <f>'[3]Jan Prod'!F5</f>
        <v>6500000</v>
      </c>
      <c r="I6" s="8">
        <f t="shared" ref="I6:I35" si="4">H6/1000000</f>
        <v>6.5</v>
      </c>
      <c r="J6" s="10">
        <f t="shared" ref="J6:J35" si="5">I6*3.07</f>
        <v>19.954999999999998</v>
      </c>
      <c r="K6" s="7">
        <f>'[3]Jan Prod'!H260</f>
        <v>70786</v>
      </c>
      <c r="L6" s="8">
        <f t="shared" ref="L6:L35" si="6">K6/1000000</f>
        <v>7.0786000000000002E-2</v>
      </c>
      <c r="M6" s="10">
        <f t="shared" ref="M6:M35" si="7">L6*3.07</f>
        <v>0.21731302</v>
      </c>
      <c r="N6" s="21"/>
      <c r="O6" s="7">
        <f>'[3]Jan Prod'!H5</f>
        <v>0</v>
      </c>
      <c r="P6" s="8">
        <f t="shared" ref="P6:P35" si="8">O6/1000000</f>
        <v>0</v>
      </c>
      <c r="Q6" s="10">
        <f t="shared" ref="Q6:Q35" si="9">P6*3.07</f>
        <v>0</v>
      </c>
      <c r="R6" s="7">
        <f>'[3]Jan Prod'!C5</f>
        <v>0</v>
      </c>
      <c r="S6" s="8">
        <f t="shared" ref="S6:S35" si="10">R6/1000000</f>
        <v>0</v>
      </c>
      <c r="T6" s="10">
        <f t="shared" ref="T6:T35" si="11">S6*3.07</f>
        <v>0</v>
      </c>
      <c r="U6" s="7">
        <f>'[3]Jan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'[3]Jan Prod'!D260</f>
        <v>0</v>
      </c>
      <c r="Y6" s="8">
        <f t="shared" ref="Y6:Y35" si="14">X6/1000000</f>
        <v>0</v>
      </c>
      <c r="Z6" s="10">
        <f t="shared" ref="Z6:Z35" si="15">Y6*3.07</f>
        <v>0</v>
      </c>
      <c r="AA6" s="15"/>
      <c r="AB6" s="7">
        <f t="shared" ref="AB6:AD35" si="16">B6+O6</f>
        <v>11700000.000000728</v>
      </c>
      <c r="AC6" s="8">
        <f t="shared" si="16"/>
        <v>11.700000000000728</v>
      </c>
      <c r="AD6" s="8">
        <f t="shared" si="16"/>
        <v>35.919000000002235</v>
      </c>
    </row>
    <row r="7" spans="1:30" x14ac:dyDescent="0.2">
      <c r="A7" s="28">
        <v>38355</v>
      </c>
      <c r="B7" s="7">
        <f>'[3]Jan Prod'!I6</f>
        <v>11500000</v>
      </c>
      <c r="C7" s="8">
        <f t="shared" si="0"/>
        <v>11.5</v>
      </c>
      <c r="D7" s="10">
        <f t="shared" si="1"/>
        <v>35.305</v>
      </c>
      <c r="E7" s="7">
        <f>'[3]Jan Prod'!E6</f>
        <v>7000000</v>
      </c>
      <c r="F7" s="8">
        <f t="shared" si="2"/>
        <v>7</v>
      </c>
      <c r="G7" s="10">
        <f t="shared" si="3"/>
        <v>21.49</v>
      </c>
      <c r="H7" s="7">
        <f>'[3]Jan Prod'!F6</f>
        <v>6980000</v>
      </c>
      <c r="I7" s="8">
        <f t="shared" si="4"/>
        <v>6.98</v>
      </c>
      <c r="J7" s="10">
        <f t="shared" si="5"/>
        <v>21.428599999999999</v>
      </c>
      <c r="K7" s="7">
        <f>'[3]Jan Prod'!H261</f>
        <v>128333</v>
      </c>
      <c r="L7" s="8">
        <f t="shared" si="6"/>
        <v>0.128333</v>
      </c>
      <c r="M7" s="10">
        <f t="shared" si="7"/>
        <v>0.39398231</v>
      </c>
      <c r="N7" s="21"/>
      <c r="O7" s="7">
        <f>'[3]Jan Prod'!H6</f>
        <v>0</v>
      </c>
      <c r="P7" s="8">
        <f t="shared" si="8"/>
        <v>0</v>
      </c>
      <c r="Q7" s="10">
        <f t="shared" si="9"/>
        <v>0</v>
      </c>
      <c r="R7" s="7">
        <f>'[3]Jan Prod'!C6</f>
        <v>0</v>
      </c>
      <c r="S7" s="8">
        <f t="shared" si="10"/>
        <v>0</v>
      </c>
      <c r="T7" s="10">
        <f t="shared" si="11"/>
        <v>0</v>
      </c>
      <c r="U7" s="7">
        <f>'[3]Jan Prod'!D6</f>
        <v>0</v>
      </c>
      <c r="V7" s="8">
        <f t="shared" si="12"/>
        <v>0</v>
      </c>
      <c r="W7" s="10">
        <f t="shared" si="13"/>
        <v>0</v>
      </c>
      <c r="X7" s="7">
        <f>'[3]Jan Prod'!D261</f>
        <v>0</v>
      </c>
      <c r="Y7" s="8">
        <f t="shared" si="14"/>
        <v>0</v>
      </c>
      <c r="Z7" s="10">
        <f t="shared" si="15"/>
        <v>0</v>
      </c>
      <c r="AA7" s="15"/>
      <c r="AB7" s="7">
        <f t="shared" si="16"/>
        <v>11500000</v>
      </c>
      <c r="AC7" s="8">
        <f t="shared" si="16"/>
        <v>11.5</v>
      </c>
      <c r="AD7" s="8">
        <f t="shared" si="16"/>
        <v>35.305</v>
      </c>
    </row>
    <row r="8" spans="1:30" x14ac:dyDescent="0.2">
      <c r="A8" s="28">
        <v>38356</v>
      </c>
      <c r="B8" s="7">
        <f>'[3]Jan Prod'!I7</f>
        <v>12799999.999999272</v>
      </c>
      <c r="C8" s="8">
        <f t="shared" si="0"/>
        <v>12.799999999999272</v>
      </c>
      <c r="D8" s="10">
        <f t="shared" si="1"/>
        <v>39.295999999997761</v>
      </c>
      <c r="E8" s="7">
        <f>'[3]Jan Prod'!E7</f>
        <v>8000000</v>
      </c>
      <c r="F8" s="8">
        <f t="shared" si="2"/>
        <v>8</v>
      </c>
      <c r="G8" s="10">
        <f t="shared" si="3"/>
        <v>24.56</v>
      </c>
      <c r="H8" s="7">
        <f>'[3]Jan Prod'!F7</f>
        <v>7040000</v>
      </c>
      <c r="I8" s="8">
        <f t="shared" si="4"/>
        <v>7.04</v>
      </c>
      <c r="J8" s="10">
        <f t="shared" si="5"/>
        <v>21.6128</v>
      </c>
      <c r="K8" s="7">
        <f>'[3]Jan Prod'!H262</f>
        <v>75626</v>
      </c>
      <c r="L8" s="8">
        <f t="shared" si="6"/>
        <v>7.5625999999999999E-2</v>
      </c>
      <c r="M8" s="10">
        <f t="shared" si="7"/>
        <v>0.23217181999999997</v>
      </c>
      <c r="N8" s="21"/>
      <c r="O8" s="7">
        <f>'[3]Jan Prod'!H7</f>
        <v>0</v>
      </c>
      <c r="P8" s="8">
        <f t="shared" si="8"/>
        <v>0</v>
      </c>
      <c r="Q8" s="10">
        <f t="shared" si="9"/>
        <v>0</v>
      </c>
      <c r="R8" s="7">
        <f>'[3]Jan Prod'!C7</f>
        <v>0</v>
      </c>
      <c r="S8" s="8">
        <f t="shared" si="10"/>
        <v>0</v>
      </c>
      <c r="T8" s="10">
        <f t="shared" si="11"/>
        <v>0</v>
      </c>
      <c r="U8" s="7">
        <f>'[3]Jan Prod'!D7</f>
        <v>0</v>
      </c>
      <c r="V8" s="8">
        <f t="shared" si="12"/>
        <v>0</v>
      </c>
      <c r="W8" s="10">
        <f t="shared" si="13"/>
        <v>0</v>
      </c>
      <c r="X8" s="7">
        <f>'[3]Jan Prod'!D262</f>
        <v>0</v>
      </c>
      <c r="Y8" s="8">
        <f t="shared" si="14"/>
        <v>0</v>
      </c>
      <c r="Z8" s="10">
        <f t="shared" si="15"/>
        <v>0</v>
      </c>
      <c r="AA8" s="15"/>
      <c r="AB8" s="7">
        <f t="shared" si="16"/>
        <v>12799999.999999272</v>
      </c>
      <c r="AC8" s="8">
        <f t="shared" si="16"/>
        <v>12.799999999999272</v>
      </c>
      <c r="AD8" s="8">
        <f>D8+Q8</f>
        <v>39.295999999997761</v>
      </c>
    </row>
    <row r="9" spans="1:30" x14ac:dyDescent="0.2">
      <c r="A9" s="28">
        <v>38357</v>
      </c>
      <c r="B9" s="7">
        <f>'[3]Jan Prod'!I8</f>
        <v>13799999.999999272</v>
      </c>
      <c r="C9" s="8">
        <f t="shared" si="0"/>
        <v>13.799999999999272</v>
      </c>
      <c r="D9" s="10">
        <f t="shared" si="1"/>
        <v>42.365999999997761</v>
      </c>
      <c r="E9" s="7">
        <f>'[3]Jan Prod'!E8</f>
        <v>7000000</v>
      </c>
      <c r="F9" s="8">
        <f t="shared" si="2"/>
        <v>7</v>
      </c>
      <c r="G9" s="10">
        <f t="shared" si="3"/>
        <v>21.49</v>
      </c>
      <c r="H9" s="7">
        <f>'[3]Jan Prod'!F8</f>
        <v>7050000</v>
      </c>
      <c r="I9" s="8">
        <f t="shared" si="4"/>
        <v>7.05</v>
      </c>
      <c r="J9" s="10">
        <f t="shared" si="5"/>
        <v>21.6435</v>
      </c>
      <c r="K9" s="7">
        <f>'[3]Jan Prod'!H263</f>
        <v>41202</v>
      </c>
      <c r="L9" s="8">
        <f t="shared" si="6"/>
        <v>4.1202000000000003E-2</v>
      </c>
      <c r="M9" s="10">
        <f t="shared" si="7"/>
        <v>0.12649014</v>
      </c>
      <c r="N9" s="21"/>
      <c r="O9" s="7">
        <f>'[3]Jan Prod'!H8</f>
        <v>0</v>
      </c>
      <c r="P9" s="8">
        <f t="shared" si="8"/>
        <v>0</v>
      </c>
      <c r="Q9" s="10">
        <f t="shared" si="9"/>
        <v>0</v>
      </c>
      <c r="R9" s="7">
        <f>'[3]Jan Prod'!C8</f>
        <v>0</v>
      </c>
      <c r="S9" s="8">
        <f t="shared" si="10"/>
        <v>0</v>
      </c>
      <c r="T9" s="10">
        <f t="shared" si="11"/>
        <v>0</v>
      </c>
      <c r="U9" s="7">
        <f>'[3]Jan Prod'!D8</f>
        <v>0</v>
      </c>
      <c r="V9" s="8">
        <f t="shared" si="12"/>
        <v>0</v>
      </c>
      <c r="W9" s="10">
        <f t="shared" si="13"/>
        <v>0</v>
      </c>
      <c r="X9" s="7">
        <f>'[3]Jan Prod'!D263</f>
        <v>0</v>
      </c>
      <c r="Y9" s="8">
        <f t="shared" si="14"/>
        <v>0</v>
      </c>
      <c r="Z9" s="10">
        <f t="shared" si="15"/>
        <v>0</v>
      </c>
      <c r="AA9" s="15"/>
      <c r="AB9" s="7">
        <f t="shared" si="16"/>
        <v>13799999.999999272</v>
      </c>
      <c r="AC9" s="8">
        <f t="shared" si="16"/>
        <v>13.799999999999272</v>
      </c>
      <c r="AD9" s="8">
        <f t="shared" si="16"/>
        <v>42.365999999997761</v>
      </c>
    </row>
    <row r="10" spans="1:30" x14ac:dyDescent="0.2">
      <c r="A10" s="28">
        <v>38358</v>
      </c>
      <c r="B10" s="7">
        <f>'[3]Jan Prod'!I9</f>
        <v>12900000.000001455</v>
      </c>
      <c r="C10" s="8">
        <f t="shared" si="0"/>
        <v>12.900000000001455</v>
      </c>
      <c r="D10" s="10">
        <f t="shared" si="1"/>
        <v>39.603000000004464</v>
      </c>
      <c r="E10" s="7">
        <f>'[3]Jan Prod'!E9</f>
        <v>3000000</v>
      </c>
      <c r="F10" s="8">
        <f t="shared" si="2"/>
        <v>3</v>
      </c>
      <c r="G10" s="10">
        <f t="shared" si="3"/>
        <v>9.2099999999999991</v>
      </c>
      <c r="H10" s="7">
        <f>'[3]Jan Prod'!F9</f>
        <v>10790000</v>
      </c>
      <c r="I10" s="8">
        <f t="shared" si="4"/>
        <v>10.79</v>
      </c>
      <c r="J10" s="10">
        <f t="shared" si="5"/>
        <v>33.125299999999996</v>
      </c>
      <c r="K10" s="7">
        <f>'[3]Jan Prod'!H264</f>
        <v>121513</v>
      </c>
      <c r="L10" s="8">
        <f t="shared" si="6"/>
        <v>0.121513</v>
      </c>
      <c r="M10" s="10">
        <f t="shared" si="7"/>
        <v>0.37304490999999995</v>
      </c>
      <c r="N10" s="21"/>
      <c r="O10" s="7">
        <f>'[3]Jan Prod'!H9</f>
        <v>0</v>
      </c>
      <c r="P10" s="8">
        <f t="shared" si="8"/>
        <v>0</v>
      </c>
      <c r="Q10" s="10">
        <f t="shared" si="9"/>
        <v>0</v>
      </c>
      <c r="R10" s="7">
        <f>'[3]Jan Prod'!C9</f>
        <v>0</v>
      </c>
      <c r="S10" s="8">
        <f t="shared" si="10"/>
        <v>0</v>
      </c>
      <c r="T10" s="10">
        <f t="shared" si="11"/>
        <v>0</v>
      </c>
      <c r="U10" s="7">
        <f>'[3]Jan Prod'!D9</f>
        <v>0</v>
      </c>
      <c r="V10" s="8">
        <f t="shared" si="12"/>
        <v>0</v>
      </c>
      <c r="W10" s="10">
        <f t="shared" si="13"/>
        <v>0</v>
      </c>
      <c r="X10" s="7">
        <f>'[3]Jan Prod'!D264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12900000.000001455</v>
      </c>
      <c r="AC10" s="8">
        <f t="shared" si="16"/>
        <v>12.900000000001455</v>
      </c>
      <c r="AD10" s="8">
        <f t="shared" si="16"/>
        <v>39.603000000004464</v>
      </c>
    </row>
    <row r="11" spans="1:30" x14ac:dyDescent="0.2">
      <c r="A11" s="28">
        <v>38359</v>
      </c>
      <c r="B11" s="7">
        <f>'[3]Jan Prod'!I10</f>
        <v>12199999.999997091</v>
      </c>
      <c r="C11" s="8">
        <f t="shared" si="0"/>
        <v>12.199999999997091</v>
      </c>
      <c r="D11" s="10">
        <f t="shared" si="1"/>
        <v>37.453999999991069</v>
      </c>
      <c r="E11" s="7">
        <f>'[3]Jan Prod'!E10</f>
        <v>5600000</v>
      </c>
      <c r="F11" s="8">
        <f t="shared" si="2"/>
        <v>5.6</v>
      </c>
      <c r="G11" s="10">
        <f t="shared" si="3"/>
        <v>17.191999999999997</v>
      </c>
      <c r="H11" s="7">
        <f>'[3]Jan Prod'!F10</f>
        <v>7780000</v>
      </c>
      <c r="I11" s="8">
        <f t="shared" si="4"/>
        <v>7.78</v>
      </c>
      <c r="J11" s="10">
        <f t="shared" si="5"/>
        <v>23.884599999999999</v>
      </c>
      <c r="K11" s="7">
        <f>'[3]Jan Prod'!H265</f>
        <v>36022</v>
      </c>
      <c r="L11" s="8">
        <f t="shared" si="6"/>
        <v>3.6021999999999998E-2</v>
      </c>
      <c r="M11" s="10">
        <f t="shared" si="7"/>
        <v>0.11058753999999998</v>
      </c>
      <c r="N11" s="21"/>
      <c r="O11" s="7">
        <f>'[3]Jan Prod'!H10</f>
        <v>0</v>
      </c>
      <c r="P11" s="8">
        <f t="shared" si="8"/>
        <v>0</v>
      </c>
      <c r="Q11" s="10">
        <f t="shared" si="9"/>
        <v>0</v>
      </c>
      <c r="R11" s="7">
        <f>'[3]Jan Prod'!C10</f>
        <v>0</v>
      </c>
      <c r="S11" s="8">
        <f t="shared" si="10"/>
        <v>0</v>
      </c>
      <c r="T11" s="10">
        <f t="shared" si="11"/>
        <v>0</v>
      </c>
      <c r="U11" s="7">
        <f>'[3]Jan Prod'!D10</f>
        <v>0</v>
      </c>
      <c r="V11" s="8">
        <f t="shared" si="12"/>
        <v>0</v>
      </c>
      <c r="W11" s="10">
        <f t="shared" si="13"/>
        <v>0</v>
      </c>
      <c r="X11" s="7">
        <f>'[3]Jan Prod'!D265</f>
        <v>0</v>
      </c>
      <c r="Y11" s="8">
        <f t="shared" si="14"/>
        <v>0</v>
      </c>
      <c r="Z11" s="10">
        <f t="shared" si="15"/>
        <v>0</v>
      </c>
      <c r="AA11" s="15"/>
      <c r="AB11" s="7">
        <f t="shared" si="16"/>
        <v>12199999.999997091</v>
      </c>
      <c r="AC11" s="8">
        <f t="shared" si="16"/>
        <v>12.199999999997091</v>
      </c>
      <c r="AD11" s="8">
        <f t="shared" si="16"/>
        <v>37.453999999991069</v>
      </c>
    </row>
    <row r="12" spans="1:30" x14ac:dyDescent="0.2">
      <c r="A12" s="28">
        <v>38360</v>
      </c>
      <c r="B12" s="7">
        <f>'[3]Jan Prod'!I11</f>
        <v>12300000.000002909</v>
      </c>
      <c r="C12" s="8">
        <f t="shared" si="0"/>
        <v>12.300000000002909</v>
      </c>
      <c r="D12" s="10">
        <f t="shared" si="1"/>
        <v>37.761000000008927</v>
      </c>
      <c r="E12" s="7">
        <f>'[3]Jan Prod'!E11</f>
        <v>5500000</v>
      </c>
      <c r="F12" s="8">
        <f t="shared" si="2"/>
        <v>5.5</v>
      </c>
      <c r="G12" s="10">
        <f t="shared" si="3"/>
        <v>16.884999999999998</v>
      </c>
      <c r="H12" s="7">
        <f>'[3]Jan Prod'!F11</f>
        <v>7550000</v>
      </c>
      <c r="I12" s="8">
        <f t="shared" si="4"/>
        <v>7.55</v>
      </c>
      <c r="J12" s="10">
        <f t="shared" si="5"/>
        <v>23.1785</v>
      </c>
      <c r="K12" s="7">
        <f>'[3]Jan Prod'!H266</f>
        <v>42600</v>
      </c>
      <c r="L12" s="8">
        <f t="shared" si="6"/>
        <v>4.2599999999999999E-2</v>
      </c>
      <c r="M12" s="10">
        <f t="shared" si="7"/>
        <v>0.13078199999999998</v>
      </c>
      <c r="N12" s="21"/>
      <c r="O12" s="7">
        <f>'[3]Jan Prod'!H11</f>
        <v>0</v>
      </c>
      <c r="P12" s="8">
        <f t="shared" si="8"/>
        <v>0</v>
      </c>
      <c r="Q12" s="10">
        <f t="shared" si="9"/>
        <v>0</v>
      </c>
      <c r="R12" s="7">
        <f>'[3]Jan Prod'!C11</f>
        <v>0</v>
      </c>
      <c r="S12" s="8">
        <f t="shared" si="10"/>
        <v>0</v>
      </c>
      <c r="T12" s="10">
        <f t="shared" si="11"/>
        <v>0</v>
      </c>
      <c r="U12" s="7">
        <f>'[3]Jan Prod'!D11</f>
        <v>0</v>
      </c>
      <c r="V12" s="8">
        <f t="shared" si="12"/>
        <v>0</v>
      </c>
      <c r="W12" s="10">
        <f t="shared" si="13"/>
        <v>0</v>
      </c>
      <c r="X12" s="7">
        <f>'[3]Jan Prod'!D266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12300000.000002909</v>
      </c>
      <c r="AC12" s="8">
        <f t="shared" si="16"/>
        <v>12.300000000002909</v>
      </c>
      <c r="AD12" s="8">
        <f t="shared" si="16"/>
        <v>37.761000000008927</v>
      </c>
    </row>
    <row r="13" spans="1:30" x14ac:dyDescent="0.2">
      <c r="A13" s="28">
        <v>38361</v>
      </c>
      <c r="B13" s="7">
        <f>'[3]Jan Prod'!I12</f>
        <v>11599999.999998545</v>
      </c>
      <c r="C13" s="8">
        <f t="shared" si="0"/>
        <v>11.599999999998545</v>
      </c>
      <c r="D13" s="10">
        <f t="shared" si="1"/>
        <v>35.611999999995533</v>
      </c>
      <c r="E13" s="7">
        <f>'[3]Jan Prod'!E12</f>
        <v>5600000</v>
      </c>
      <c r="F13" s="8">
        <f t="shared" si="2"/>
        <v>5.6</v>
      </c>
      <c r="G13" s="10">
        <f t="shared" si="3"/>
        <v>17.191999999999997</v>
      </c>
      <c r="H13" s="7">
        <f>'[3]Jan Prod'!F12</f>
        <v>7010000</v>
      </c>
      <c r="I13" s="8">
        <f t="shared" si="4"/>
        <v>7.01</v>
      </c>
      <c r="J13" s="10">
        <f t="shared" si="5"/>
        <v>21.520699999999998</v>
      </c>
      <c r="K13" s="7">
        <f>'[3]Jan Prod'!H267</f>
        <v>64407</v>
      </c>
      <c r="L13" s="8">
        <f t="shared" si="6"/>
        <v>6.4407000000000006E-2</v>
      </c>
      <c r="M13" s="10">
        <f t="shared" si="7"/>
        <v>0.19772949000000001</v>
      </c>
      <c r="N13" s="21"/>
      <c r="O13" s="7">
        <f>'[3]Jan Prod'!H12</f>
        <v>0</v>
      </c>
      <c r="P13" s="8">
        <f t="shared" si="8"/>
        <v>0</v>
      </c>
      <c r="Q13" s="10">
        <f t="shared" si="9"/>
        <v>0</v>
      </c>
      <c r="R13" s="7">
        <f>'[3]Jan Prod'!C12</f>
        <v>0</v>
      </c>
      <c r="S13" s="8">
        <f t="shared" si="10"/>
        <v>0</v>
      </c>
      <c r="T13" s="10">
        <f t="shared" si="11"/>
        <v>0</v>
      </c>
      <c r="U13" s="7">
        <f>'[3]Jan Prod'!D12</f>
        <v>0</v>
      </c>
      <c r="V13" s="8">
        <f t="shared" si="12"/>
        <v>0</v>
      </c>
      <c r="W13" s="10">
        <f t="shared" si="13"/>
        <v>0</v>
      </c>
      <c r="X13" s="7">
        <f>'[3]Jan Prod'!D267</f>
        <v>0</v>
      </c>
      <c r="Y13" s="8">
        <f t="shared" si="14"/>
        <v>0</v>
      </c>
      <c r="Z13" s="10">
        <f t="shared" si="15"/>
        <v>0</v>
      </c>
      <c r="AA13" s="15"/>
      <c r="AB13" s="7">
        <f t="shared" si="16"/>
        <v>11599999.999998545</v>
      </c>
      <c r="AC13" s="8">
        <f t="shared" si="16"/>
        <v>11.599999999998545</v>
      </c>
      <c r="AD13" s="8">
        <f t="shared" si="16"/>
        <v>35.611999999995533</v>
      </c>
    </row>
    <row r="14" spans="1:30" x14ac:dyDescent="0.2">
      <c r="A14" s="28">
        <v>38362</v>
      </c>
      <c r="B14" s="7">
        <f>'[3]Jan Prod'!I13</f>
        <v>11700000.000000728</v>
      </c>
      <c r="C14" s="8">
        <f t="shared" si="0"/>
        <v>11.700000000000728</v>
      </c>
      <c r="D14" s="10">
        <f t="shared" si="1"/>
        <v>35.919000000002235</v>
      </c>
      <c r="E14" s="7">
        <f>'[3]Jan Prod'!E13</f>
        <v>5000000</v>
      </c>
      <c r="F14" s="8">
        <f t="shared" si="2"/>
        <v>5</v>
      </c>
      <c r="G14" s="10">
        <f t="shared" si="3"/>
        <v>15.35</v>
      </c>
      <c r="H14" s="7">
        <f>'[3]Jan Prod'!F13</f>
        <v>7040000</v>
      </c>
      <c r="I14" s="8">
        <f t="shared" si="4"/>
        <v>7.04</v>
      </c>
      <c r="J14" s="10">
        <f t="shared" si="5"/>
        <v>21.6128</v>
      </c>
      <c r="K14" s="7">
        <f>'[3]Jan Prod'!H268</f>
        <v>44167</v>
      </c>
      <c r="L14" s="8">
        <f t="shared" si="6"/>
        <v>4.4166999999999998E-2</v>
      </c>
      <c r="M14" s="10">
        <f t="shared" si="7"/>
        <v>0.13559268999999999</v>
      </c>
      <c r="N14" s="21"/>
      <c r="O14" s="7">
        <f>'[3]Jan Prod'!H13</f>
        <v>0</v>
      </c>
      <c r="P14" s="8">
        <f t="shared" si="8"/>
        <v>0</v>
      </c>
      <c r="Q14" s="10">
        <f t="shared" si="9"/>
        <v>0</v>
      </c>
      <c r="R14" s="7">
        <f>'[3]Jan Prod'!C13</f>
        <v>0</v>
      </c>
      <c r="S14" s="8">
        <f t="shared" si="10"/>
        <v>0</v>
      </c>
      <c r="T14" s="10">
        <f t="shared" si="11"/>
        <v>0</v>
      </c>
      <c r="U14" s="7">
        <f>'[3]Jan Prod'!D13</f>
        <v>0</v>
      </c>
      <c r="V14" s="8">
        <f t="shared" si="12"/>
        <v>0</v>
      </c>
      <c r="W14" s="10">
        <f t="shared" si="13"/>
        <v>0</v>
      </c>
      <c r="X14" s="7">
        <f>'[3]Jan Prod'!D268</f>
        <v>0</v>
      </c>
      <c r="Y14" s="8">
        <f t="shared" si="14"/>
        <v>0</v>
      </c>
      <c r="Z14" s="10">
        <f t="shared" si="15"/>
        <v>0</v>
      </c>
      <c r="AA14" s="15"/>
      <c r="AB14" s="7">
        <f t="shared" si="16"/>
        <v>11700000.000000728</v>
      </c>
      <c r="AC14" s="8">
        <f t="shared" si="16"/>
        <v>11.700000000000728</v>
      </c>
      <c r="AD14" s="8">
        <f t="shared" si="16"/>
        <v>35.919000000002235</v>
      </c>
    </row>
    <row r="15" spans="1:30" x14ac:dyDescent="0.2">
      <c r="A15" s="28">
        <v>38363</v>
      </c>
      <c r="B15" s="7">
        <f>'[3]Jan Prod'!I14</f>
        <v>10700000.000000728</v>
      </c>
      <c r="C15" s="8">
        <f t="shared" si="0"/>
        <v>10.700000000000728</v>
      </c>
      <c r="D15" s="10">
        <f t="shared" si="1"/>
        <v>32.849000000002235</v>
      </c>
      <c r="E15" s="7">
        <f>'[3]Jan Prod'!E14</f>
        <v>5000000</v>
      </c>
      <c r="F15" s="8">
        <f t="shared" si="2"/>
        <v>5</v>
      </c>
      <c r="G15" s="10">
        <f t="shared" si="3"/>
        <v>15.35</v>
      </c>
      <c r="H15" s="7">
        <f>'[3]Jan Prod'!F14</f>
        <v>6370000</v>
      </c>
      <c r="I15" s="8">
        <f t="shared" si="4"/>
        <v>6.37</v>
      </c>
      <c r="J15" s="10">
        <f t="shared" si="5"/>
        <v>19.555899999999998</v>
      </c>
      <c r="K15" s="7">
        <f>'[3]Jan Prod'!H269</f>
        <v>42281</v>
      </c>
      <c r="L15" s="8">
        <f t="shared" si="6"/>
        <v>4.2280999999999999E-2</v>
      </c>
      <c r="M15" s="10">
        <f t="shared" si="7"/>
        <v>0.12980266999999998</v>
      </c>
      <c r="N15" s="21"/>
      <c r="O15" s="7">
        <f>'[3]Jan Prod'!H14</f>
        <v>0</v>
      </c>
      <c r="P15" s="8">
        <f t="shared" si="8"/>
        <v>0</v>
      </c>
      <c r="Q15" s="10">
        <f t="shared" si="9"/>
        <v>0</v>
      </c>
      <c r="R15" s="7">
        <f>'[3]Jan Prod'!C14</f>
        <v>0</v>
      </c>
      <c r="S15" s="8">
        <f t="shared" si="10"/>
        <v>0</v>
      </c>
      <c r="T15" s="10">
        <f t="shared" si="11"/>
        <v>0</v>
      </c>
      <c r="U15" s="7">
        <f>'[3]Jan Prod'!D14</f>
        <v>0</v>
      </c>
      <c r="V15" s="8">
        <f t="shared" si="12"/>
        <v>0</v>
      </c>
      <c r="W15" s="10">
        <f t="shared" si="13"/>
        <v>0</v>
      </c>
      <c r="X15" s="7">
        <f>'[3]Jan Prod'!D269</f>
        <v>0</v>
      </c>
      <c r="Y15" s="8">
        <f t="shared" si="14"/>
        <v>0</v>
      </c>
      <c r="Z15" s="10">
        <f t="shared" si="15"/>
        <v>0</v>
      </c>
      <c r="AA15" s="15"/>
      <c r="AB15" s="7">
        <f t="shared" si="16"/>
        <v>10700000.000000728</v>
      </c>
      <c r="AC15" s="8">
        <f t="shared" si="16"/>
        <v>10.700000000000728</v>
      </c>
      <c r="AD15" s="8">
        <f t="shared" si="16"/>
        <v>32.849000000002235</v>
      </c>
    </row>
    <row r="16" spans="1:30" x14ac:dyDescent="0.2">
      <c r="A16" s="28">
        <v>38364</v>
      </c>
      <c r="B16" s="7">
        <f>'[3]Jan Prod'!I15</f>
        <v>10199999.999997091</v>
      </c>
      <c r="C16" s="8">
        <f t="shared" si="0"/>
        <v>10.199999999997091</v>
      </c>
      <c r="D16" s="10">
        <f t="shared" si="1"/>
        <v>31.313999999991069</v>
      </c>
      <c r="E16" s="7">
        <f>'[3]Jan Prod'!E15</f>
        <v>5000000.0000000037</v>
      </c>
      <c r="F16" s="8">
        <f t="shared" si="2"/>
        <v>5.0000000000000036</v>
      </c>
      <c r="G16" s="10">
        <f t="shared" si="3"/>
        <v>15.35000000000001</v>
      </c>
      <c r="H16" s="7">
        <f>'[3]Jan Prod'!F15</f>
        <v>5980000</v>
      </c>
      <c r="I16" s="8">
        <f t="shared" si="4"/>
        <v>5.98</v>
      </c>
      <c r="J16" s="10">
        <f t="shared" si="5"/>
        <v>18.358599999999999</v>
      </c>
      <c r="K16" s="7">
        <f>'[3]Jan Prod'!H270</f>
        <v>38635</v>
      </c>
      <c r="L16" s="8">
        <f t="shared" si="6"/>
        <v>3.8635000000000003E-2</v>
      </c>
      <c r="M16" s="10">
        <f t="shared" si="7"/>
        <v>0.11860945000000001</v>
      </c>
      <c r="N16" s="21"/>
      <c r="O16" s="7">
        <f>'[3]Jan Prod'!H15</f>
        <v>0</v>
      </c>
      <c r="P16" s="8">
        <f t="shared" si="8"/>
        <v>0</v>
      </c>
      <c r="Q16" s="10">
        <f t="shared" si="9"/>
        <v>0</v>
      </c>
      <c r="R16" s="7">
        <f>'[3]Jan Prod'!C15</f>
        <v>0</v>
      </c>
      <c r="S16" s="8">
        <f t="shared" si="10"/>
        <v>0</v>
      </c>
      <c r="T16" s="10">
        <f t="shared" si="11"/>
        <v>0</v>
      </c>
      <c r="U16" s="7">
        <f>'[3]Jan Prod'!D15</f>
        <v>0</v>
      </c>
      <c r="V16" s="8">
        <f t="shared" si="12"/>
        <v>0</v>
      </c>
      <c r="W16" s="10">
        <f t="shared" si="13"/>
        <v>0</v>
      </c>
      <c r="X16" s="7">
        <f>'[3]Jan Prod'!D270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10199999.999997091</v>
      </c>
      <c r="AC16" s="8">
        <f t="shared" si="16"/>
        <v>10.199999999997091</v>
      </c>
      <c r="AD16" s="8">
        <f t="shared" si="16"/>
        <v>31.313999999991069</v>
      </c>
    </row>
    <row r="17" spans="1:30" x14ac:dyDescent="0.2">
      <c r="A17" s="28">
        <v>38365</v>
      </c>
      <c r="B17" s="7">
        <f>'[3]Jan Prod'!I16</f>
        <v>12000000</v>
      </c>
      <c r="C17" s="8">
        <f t="shared" si="0"/>
        <v>12</v>
      </c>
      <c r="D17" s="10">
        <f t="shared" si="1"/>
        <v>36.839999999999996</v>
      </c>
      <c r="E17" s="7">
        <f>'[3]Jan Prod'!E16</f>
        <v>6000000</v>
      </c>
      <c r="F17" s="8">
        <f t="shared" si="2"/>
        <v>6</v>
      </c>
      <c r="G17" s="10">
        <f t="shared" si="3"/>
        <v>18.419999999999998</v>
      </c>
      <c r="H17" s="7">
        <f>'[3]Jan Prod'!F16</f>
        <v>6420000</v>
      </c>
      <c r="I17" s="8">
        <f t="shared" si="4"/>
        <v>6.42</v>
      </c>
      <c r="J17" s="10">
        <f t="shared" si="5"/>
        <v>19.709399999999999</v>
      </c>
      <c r="K17" s="7">
        <f>'[3]Jan Prod'!H271</f>
        <v>43915</v>
      </c>
      <c r="L17" s="8">
        <f t="shared" si="6"/>
        <v>4.3915000000000003E-2</v>
      </c>
      <c r="M17" s="10">
        <f t="shared" si="7"/>
        <v>0.13481905</v>
      </c>
      <c r="N17" s="21"/>
      <c r="O17" s="7">
        <f>'[3]Jan Prod'!H16</f>
        <v>0</v>
      </c>
      <c r="P17" s="8">
        <f t="shared" si="8"/>
        <v>0</v>
      </c>
      <c r="Q17" s="10">
        <f t="shared" si="9"/>
        <v>0</v>
      </c>
      <c r="R17" s="7">
        <f>'[3]Jan Prod'!C16</f>
        <v>0</v>
      </c>
      <c r="S17" s="8">
        <f t="shared" si="10"/>
        <v>0</v>
      </c>
      <c r="T17" s="10">
        <f t="shared" si="11"/>
        <v>0</v>
      </c>
      <c r="U17" s="7">
        <f>'[3]Jan Prod'!D16</f>
        <v>0</v>
      </c>
      <c r="V17" s="8">
        <f t="shared" si="12"/>
        <v>0</v>
      </c>
      <c r="W17" s="10">
        <f t="shared" si="13"/>
        <v>0</v>
      </c>
      <c r="X17" s="7">
        <f>'[3]Jan Prod'!D271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12000000</v>
      </c>
      <c r="AC17" s="8">
        <f t="shared" si="16"/>
        <v>12</v>
      </c>
      <c r="AD17" s="8">
        <f t="shared" si="16"/>
        <v>36.839999999999996</v>
      </c>
    </row>
    <row r="18" spans="1:30" x14ac:dyDescent="0.2">
      <c r="A18" s="28">
        <v>38366</v>
      </c>
      <c r="B18" s="7">
        <f>'[3]Jan Prod'!I17</f>
        <v>11800000.000002909</v>
      </c>
      <c r="C18" s="8">
        <f t="shared" si="0"/>
        <v>11.800000000002909</v>
      </c>
      <c r="D18" s="10">
        <f t="shared" si="1"/>
        <v>36.226000000008931</v>
      </c>
      <c r="E18" s="7">
        <f>'[3]Jan Prod'!E17</f>
        <v>8299999.9999999972</v>
      </c>
      <c r="F18" s="8">
        <f t="shared" si="2"/>
        <v>8.2999999999999972</v>
      </c>
      <c r="G18" s="10">
        <f t="shared" si="3"/>
        <v>25.480999999999991</v>
      </c>
      <c r="H18" s="7">
        <f>'[3]Jan Prod'!F17</f>
        <v>6370000</v>
      </c>
      <c r="I18" s="8">
        <f t="shared" si="4"/>
        <v>6.37</v>
      </c>
      <c r="J18" s="10">
        <f t="shared" si="5"/>
        <v>19.555899999999998</v>
      </c>
      <c r="K18" s="7">
        <f>'[3]Jan Prod'!H272</f>
        <v>80721</v>
      </c>
      <c r="L18" s="8">
        <f t="shared" si="6"/>
        <v>8.0721000000000001E-2</v>
      </c>
      <c r="M18" s="10">
        <f t="shared" si="7"/>
        <v>0.24781346999999998</v>
      </c>
      <c r="N18" s="21"/>
      <c r="O18" s="7">
        <f>'[3]Jan Prod'!H17</f>
        <v>0</v>
      </c>
      <c r="P18" s="8">
        <f t="shared" si="8"/>
        <v>0</v>
      </c>
      <c r="Q18" s="10">
        <f t="shared" si="9"/>
        <v>0</v>
      </c>
      <c r="R18" s="7">
        <f>'[3]Jan Prod'!C17</f>
        <v>0</v>
      </c>
      <c r="S18" s="8">
        <f t="shared" si="10"/>
        <v>0</v>
      </c>
      <c r="T18" s="10">
        <f t="shared" si="11"/>
        <v>0</v>
      </c>
      <c r="U18" s="7">
        <f>'[3]Jan Prod'!D17</f>
        <v>0</v>
      </c>
      <c r="V18" s="8">
        <f t="shared" si="12"/>
        <v>0</v>
      </c>
      <c r="W18" s="10">
        <f t="shared" si="13"/>
        <v>0</v>
      </c>
      <c r="X18" s="7">
        <f>'[3]Jan Prod'!D272</f>
        <v>0</v>
      </c>
      <c r="Y18" s="8">
        <f t="shared" si="14"/>
        <v>0</v>
      </c>
      <c r="Z18" s="10">
        <f t="shared" si="15"/>
        <v>0</v>
      </c>
      <c r="AA18" s="15"/>
      <c r="AB18" s="7">
        <f t="shared" si="16"/>
        <v>11800000.000002909</v>
      </c>
      <c r="AC18" s="8">
        <f t="shared" si="16"/>
        <v>11.800000000002909</v>
      </c>
      <c r="AD18" s="8">
        <f t="shared" si="16"/>
        <v>36.226000000008931</v>
      </c>
    </row>
    <row r="19" spans="1:30" x14ac:dyDescent="0.2">
      <c r="A19" s="28">
        <v>38367</v>
      </c>
      <c r="B19" s="7">
        <f>'[3]Jan Prod'!I18</f>
        <v>13099999.999998545</v>
      </c>
      <c r="C19" s="8">
        <f t="shared" si="0"/>
        <v>13.099999999998545</v>
      </c>
      <c r="D19" s="10">
        <f t="shared" si="1"/>
        <v>40.216999999995529</v>
      </c>
      <c r="E19" s="7">
        <f>'[3]Jan Prod'!E18</f>
        <v>7000000</v>
      </c>
      <c r="F19" s="8">
        <f t="shared" si="2"/>
        <v>7</v>
      </c>
      <c r="G19" s="10">
        <f t="shared" si="3"/>
        <v>21.49</v>
      </c>
      <c r="H19" s="7">
        <f>'[3]Jan Prod'!F18</f>
        <v>5470000</v>
      </c>
      <c r="I19" s="8">
        <f t="shared" si="4"/>
        <v>5.47</v>
      </c>
      <c r="J19" s="10">
        <f t="shared" si="5"/>
        <v>16.792899999999999</v>
      </c>
      <c r="K19" s="7">
        <f>'[3]Jan Prod'!H273</f>
        <v>43142</v>
      </c>
      <c r="L19" s="8">
        <f t="shared" si="6"/>
        <v>4.3142E-2</v>
      </c>
      <c r="M19" s="10">
        <f t="shared" si="7"/>
        <v>0.13244593999999998</v>
      </c>
      <c r="N19" s="21"/>
      <c r="O19" s="7">
        <f>'[3]Jan Prod'!H18</f>
        <v>0</v>
      </c>
      <c r="P19" s="8">
        <f t="shared" si="8"/>
        <v>0</v>
      </c>
      <c r="Q19" s="10">
        <f t="shared" si="9"/>
        <v>0</v>
      </c>
      <c r="R19" s="7">
        <f>'[3]Jan Prod'!C18</f>
        <v>0</v>
      </c>
      <c r="S19" s="8">
        <f t="shared" si="10"/>
        <v>0</v>
      </c>
      <c r="T19" s="10">
        <f t="shared" si="11"/>
        <v>0</v>
      </c>
      <c r="U19" s="7">
        <f>'[3]Jan Prod'!D18</f>
        <v>0</v>
      </c>
      <c r="V19" s="8">
        <f t="shared" si="12"/>
        <v>0</v>
      </c>
      <c r="W19" s="10">
        <f t="shared" si="13"/>
        <v>0</v>
      </c>
      <c r="X19" s="7">
        <f>'[3]Jan Prod'!D273</f>
        <v>17000.000000010117</v>
      </c>
      <c r="Y19" s="8">
        <f t="shared" si="14"/>
        <v>1.7000000000010118E-2</v>
      </c>
      <c r="Z19" s="10">
        <f t="shared" si="15"/>
        <v>5.2190000000031059E-2</v>
      </c>
      <c r="AA19" s="15"/>
      <c r="AB19" s="7">
        <f t="shared" si="16"/>
        <v>13099999.999998545</v>
      </c>
      <c r="AC19" s="8">
        <f t="shared" si="16"/>
        <v>13.099999999998545</v>
      </c>
      <c r="AD19" s="8">
        <f>D19+Q19</f>
        <v>40.216999999995529</v>
      </c>
    </row>
    <row r="20" spans="1:30" x14ac:dyDescent="0.2">
      <c r="A20" s="28">
        <v>38368</v>
      </c>
      <c r="B20" s="7">
        <f>'[3]Jan Prod'!I19</f>
        <v>11299999.999999272</v>
      </c>
      <c r="C20" s="8">
        <f t="shared" si="0"/>
        <v>11.299999999999272</v>
      </c>
      <c r="D20" s="10">
        <f t="shared" si="1"/>
        <v>34.690999999997764</v>
      </c>
      <c r="E20" s="7">
        <f>'[3]Jan Prod'!E19</f>
        <v>8000000</v>
      </c>
      <c r="F20" s="8">
        <f t="shared" si="2"/>
        <v>8</v>
      </c>
      <c r="G20" s="10">
        <f t="shared" si="3"/>
        <v>24.56</v>
      </c>
      <c r="H20" s="7">
        <f>'[3]Jan Prod'!F19</f>
        <v>4900000</v>
      </c>
      <c r="I20" s="8">
        <f t="shared" si="4"/>
        <v>4.9000000000000004</v>
      </c>
      <c r="J20" s="10">
        <f t="shared" si="5"/>
        <v>15.043000000000001</v>
      </c>
      <c r="K20" s="7">
        <f>'[3]Jan Prod'!H274</f>
        <v>42939</v>
      </c>
      <c r="L20" s="8">
        <f t="shared" si="6"/>
        <v>4.2938999999999998E-2</v>
      </c>
      <c r="M20" s="10">
        <f t="shared" si="7"/>
        <v>0.13182273</v>
      </c>
      <c r="N20" s="21"/>
      <c r="O20" s="7">
        <f>'[3]Jan Prod'!H19</f>
        <v>0</v>
      </c>
      <c r="P20" s="8">
        <f t="shared" si="8"/>
        <v>0</v>
      </c>
      <c r="Q20" s="10">
        <f t="shared" si="9"/>
        <v>0</v>
      </c>
      <c r="R20" s="7">
        <f>'[3]Jan Prod'!C19</f>
        <v>0</v>
      </c>
      <c r="S20" s="8">
        <f t="shared" si="10"/>
        <v>0</v>
      </c>
      <c r="T20" s="10">
        <f t="shared" si="11"/>
        <v>0</v>
      </c>
      <c r="U20" s="7">
        <f>'[3]Jan Prod'!D19</f>
        <v>0</v>
      </c>
      <c r="V20" s="8">
        <f t="shared" si="12"/>
        <v>0</v>
      </c>
      <c r="W20" s="10">
        <f t="shared" si="13"/>
        <v>0</v>
      </c>
      <c r="X20" s="7">
        <f>'[3]Jan Prod'!D274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11299999.999999272</v>
      </c>
      <c r="AC20" s="8">
        <f t="shared" si="16"/>
        <v>11.299999999999272</v>
      </c>
      <c r="AD20" s="8">
        <f t="shared" si="16"/>
        <v>34.690999999997764</v>
      </c>
    </row>
    <row r="21" spans="1:30" x14ac:dyDescent="0.2">
      <c r="A21" s="28">
        <v>38369</v>
      </c>
      <c r="B21" s="7">
        <f>'[3]Jan Prod'!I20</f>
        <v>10600000.000002183</v>
      </c>
      <c r="C21" s="8">
        <f t="shared" si="0"/>
        <v>10.600000000002183</v>
      </c>
      <c r="D21" s="10">
        <f t="shared" si="1"/>
        <v>32.542000000006702</v>
      </c>
      <c r="E21" s="7">
        <f>'[3]Jan Prod'!E20</f>
        <v>6000000</v>
      </c>
      <c r="F21" s="8">
        <f t="shared" si="2"/>
        <v>6</v>
      </c>
      <c r="G21" s="10">
        <f t="shared" si="3"/>
        <v>18.419999999999998</v>
      </c>
      <c r="H21" s="7">
        <f>'[3]Jan Prod'!F20</f>
        <v>4810000.0000000009</v>
      </c>
      <c r="I21" s="8">
        <f t="shared" si="4"/>
        <v>4.8100000000000005</v>
      </c>
      <c r="J21" s="10">
        <f t="shared" si="5"/>
        <v>14.7667</v>
      </c>
      <c r="K21" s="7">
        <f>'[3]Jan Prod'!H275</f>
        <v>0</v>
      </c>
      <c r="L21" s="8">
        <f t="shared" si="6"/>
        <v>0</v>
      </c>
      <c r="M21" s="10">
        <f t="shared" si="7"/>
        <v>0</v>
      </c>
      <c r="N21" s="21"/>
      <c r="O21" s="7">
        <f>'[3]Jan Prod'!H20</f>
        <v>0</v>
      </c>
      <c r="P21" s="8">
        <f t="shared" si="8"/>
        <v>0</v>
      </c>
      <c r="Q21" s="10">
        <f t="shared" si="9"/>
        <v>0</v>
      </c>
      <c r="R21" s="7">
        <f>'[3]Jan Prod'!C20</f>
        <v>0</v>
      </c>
      <c r="S21" s="8">
        <f t="shared" si="10"/>
        <v>0</v>
      </c>
      <c r="T21" s="10">
        <f t="shared" si="11"/>
        <v>0</v>
      </c>
      <c r="U21" s="7">
        <f>'[3]Jan Prod'!D20</f>
        <v>0</v>
      </c>
      <c r="V21" s="8">
        <f t="shared" si="12"/>
        <v>0</v>
      </c>
      <c r="W21" s="10">
        <f t="shared" si="13"/>
        <v>0</v>
      </c>
      <c r="X21" s="7">
        <f>'[3]Jan Prod'!D275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10600000.000002183</v>
      </c>
      <c r="AC21" s="8">
        <f t="shared" si="16"/>
        <v>10.600000000002183</v>
      </c>
      <c r="AD21" s="8">
        <f t="shared" si="16"/>
        <v>32.542000000006702</v>
      </c>
    </row>
    <row r="22" spans="1:30" x14ac:dyDescent="0.2">
      <c r="A22" s="28">
        <v>38370</v>
      </c>
      <c r="B22" s="7">
        <f>'[3]Jan Prod'!I21</f>
        <v>11099999.999998545</v>
      </c>
      <c r="C22" s="8">
        <f t="shared" si="0"/>
        <v>11.099999999998545</v>
      </c>
      <c r="D22" s="10">
        <f t="shared" si="1"/>
        <v>34.076999999995529</v>
      </c>
      <c r="E22" s="7">
        <f>'[3]Jan Prod'!E21</f>
        <v>9000000</v>
      </c>
      <c r="F22" s="8">
        <f t="shared" si="2"/>
        <v>9</v>
      </c>
      <c r="G22" s="10">
        <f t="shared" si="3"/>
        <v>27.63</v>
      </c>
      <c r="H22" s="7">
        <f>'[3]Jan Prod'!F21</f>
        <v>5130000</v>
      </c>
      <c r="I22" s="8">
        <f t="shared" si="4"/>
        <v>5.13</v>
      </c>
      <c r="J22" s="10">
        <f t="shared" si="5"/>
        <v>15.749099999999999</v>
      </c>
      <c r="K22" s="7">
        <f>'[3]Jan Prod'!H276</f>
        <v>50903</v>
      </c>
      <c r="L22" s="8">
        <f t="shared" si="6"/>
        <v>5.0902999999999997E-2</v>
      </c>
      <c r="M22" s="10">
        <f t="shared" si="7"/>
        <v>0.15627220999999999</v>
      </c>
      <c r="N22" s="21"/>
      <c r="O22" s="7">
        <f>'[3]Jan Prod'!H21</f>
        <v>0</v>
      </c>
      <c r="P22" s="8">
        <f t="shared" si="8"/>
        <v>0</v>
      </c>
      <c r="Q22" s="10">
        <f t="shared" si="9"/>
        <v>0</v>
      </c>
      <c r="R22" s="7">
        <f>'[3]Jan Prod'!C21</f>
        <v>0</v>
      </c>
      <c r="S22" s="8">
        <f t="shared" si="10"/>
        <v>0</v>
      </c>
      <c r="T22" s="10">
        <f t="shared" si="11"/>
        <v>0</v>
      </c>
      <c r="U22" s="7">
        <f>'[3]Jan Prod'!D21</f>
        <v>0</v>
      </c>
      <c r="V22" s="8">
        <f t="shared" si="12"/>
        <v>0</v>
      </c>
      <c r="W22" s="10">
        <f t="shared" si="13"/>
        <v>0</v>
      </c>
      <c r="X22" s="7">
        <f>'[3]Jan Prod'!D276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11099999.999998545</v>
      </c>
      <c r="AC22" s="8">
        <f t="shared" si="16"/>
        <v>11.099999999998545</v>
      </c>
      <c r="AD22" s="8">
        <f t="shared" si="16"/>
        <v>34.076999999995529</v>
      </c>
    </row>
    <row r="23" spans="1:30" x14ac:dyDescent="0.2">
      <c r="A23" s="28">
        <v>38371</v>
      </c>
      <c r="B23" s="7">
        <f>'[3]Jan Prod'!I22</f>
        <v>13000000</v>
      </c>
      <c r="C23" s="8">
        <f t="shared" si="0"/>
        <v>13</v>
      </c>
      <c r="D23" s="10">
        <f t="shared" si="1"/>
        <v>39.909999999999997</v>
      </c>
      <c r="E23" s="7">
        <f>'[3]Jan Prod'!E22</f>
        <v>8000000</v>
      </c>
      <c r="F23" s="8">
        <f t="shared" si="2"/>
        <v>8</v>
      </c>
      <c r="G23" s="10">
        <f t="shared" si="3"/>
        <v>24.56</v>
      </c>
      <c r="H23" s="7">
        <f>'[3]Jan Prod'!F22</f>
        <v>5000000</v>
      </c>
      <c r="I23" s="8">
        <f t="shared" si="4"/>
        <v>5</v>
      </c>
      <c r="J23" s="10">
        <f t="shared" si="5"/>
        <v>15.35</v>
      </c>
      <c r="K23" s="7">
        <f>'[3]Jan Prod'!H277</f>
        <v>59864</v>
      </c>
      <c r="L23" s="8">
        <f t="shared" si="6"/>
        <v>5.9864000000000001E-2</v>
      </c>
      <c r="M23" s="10">
        <f t="shared" si="7"/>
        <v>0.18378248</v>
      </c>
      <c r="N23" s="21"/>
      <c r="O23" s="7">
        <f>'[3]Jan Prod'!H22</f>
        <v>0</v>
      </c>
      <c r="P23" s="8">
        <f t="shared" si="8"/>
        <v>0</v>
      </c>
      <c r="Q23" s="10">
        <f t="shared" si="9"/>
        <v>0</v>
      </c>
      <c r="R23" s="7">
        <f>'[3]Jan Prod'!C22</f>
        <v>0</v>
      </c>
      <c r="S23" s="8">
        <f t="shared" si="10"/>
        <v>0</v>
      </c>
      <c r="T23" s="10">
        <f t="shared" si="11"/>
        <v>0</v>
      </c>
      <c r="U23" s="7">
        <f>'[3]Jan Prod'!D22</f>
        <v>0</v>
      </c>
      <c r="V23" s="8">
        <f t="shared" si="12"/>
        <v>0</v>
      </c>
      <c r="W23" s="10">
        <f t="shared" si="13"/>
        <v>0</v>
      </c>
      <c r="X23" s="7">
        <f>'[3]Jan Prod'!D277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13000000</v>
      </c>
      <c r="AC23" s="8">
        <f t="shared" si="16"/>
        <v>13</v>
      </c>
      <c r="AD23" s="8">
        <f t="shared" si="16"/>
        <v>39.909999999999997</v>
      </c>
    </row>
    <row r="24" spans="1:30" x14ac:dyDescent="0.2">
      <c r="A24" s="28">
        <v>38372</v>
      </c>
      <c r="B24" s="7">
        <f>'[3]Jan Prod'!I23</f>
        <v>12000000</v>
      </c>
      <c r="C24" s="8">
        <f t="shared" si="0"/>
        <v>12</v>
      </c>
      <c r="D24" s="10">
        <f t="shared" si="1"/>
        <v>36.839999999999996</v>
      </c>
      <c r="E24" s="7">
        <f>'[3]Jan Prod'!E23</f>
        <v>8000000</v>
      </c>
      <c r="F24" s="8">
        <f t="shared" si="2"/>
        <v>8</v>
      </c>
      <c r="G24" s="10">
        <f t="shared" si="3"/>
        <v>24.56</v>
      </c>
      <c r="H24" s="7">
        <f>'[3]Jan Prod'!F23</f>
        <v>4950000</v>
      </c>
      <c r="I24" s="8">
        <f t="shared" si="4"/>
        <v>4.95</v>
      </c>
      <c r="J24" s="10">
        <f t="shared" si="5"/>
        <v>15.1965</v>
      </c>
      <c r="K24" s="7">
        <f>'[3]Jan Prod'!H278</f>
        <v>40595</v>
      </c>
      <c r="L24" s="8">
        <f t="shared" si="6"/>
        <v>4.0594999999999999E-2</v>
      </c>
      <c r="M24" s="10">
        <f t="shared" si="7"/>
        <v>0.12462664999999999</v>
      </c>
      <c r="N24" s="21"/>
      <c r="O24" s="7">
        <f>'[3]Jan Prod'!H23</f>
        <v>0</v>
      </c>
      <c r="P24" s="8">
        <f t="shared" si="8"/>
        <v>0</v>
      </c>
      <c r="Q24" s="10">
        <f t="shared" si="9"/>
        <v>0</v>
      </c>
      <c r="R24" s="7">
        <f>'[3]Jan Prod'!C23</f>
        <v>0</v>
      </c>
      <c r="S24" s="8">
        <f t="shared" si="10"/>
        <v>0</v>
      </c>
      <c r="T24" s="10">
        <f t="shared" si="11"/>
        <v>0</v>
      </c>
      <c r="U24" s="7">
        <f>'[3]Jan Prod'!D23</f>
        <v>0</v>
      </c>
      <c r="V24" s="8">
        <f t="shared" si="12"/>
        <v>0</v>
      </c>
      <c r="W24" s="10">
        <f t="shared" si="13"/>
        <v>0</v>
      </c>
      <c r="X24" s="7">
        <f>'[3]Jan Prod'!D278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12000000</v>
      </c>
      <c r="AC24" s="8">
        <f t="shared" si="16"/>
        <v>12</v>
      </c>
      <c r="AD24" s="8">
        <f>D24+Q24</f>
        <v>36.839999999999996</v>
      </c>
    </row>
    <row r="25" spans="1:30" x14ac:dyDescent="0.2">
      <c r="A25" s="28">
        <v>38373</v>
      </c>
      <c r="B25" s="7">
        <f>'[3]Jan Prod'!I24</f>
        <v>11500000</v>
      </c>
      <c r="C25" s="8">
        <f t="shared" si="0"/>
        <v>11.5</v>
      </c>
      <c r="D25" s="10">
        <f t="shared" si="1"/>
        <v>35.305</v>
      </c>
      <c r="E25" s="7">
        <f>'[3]Jan Prod'!E24</f>
        <v>8000000</v>
      </c>
      <c r="F25" s="8">
        <f t="shared" si="2"/>
        <v>8</v>
      </c>
      <c r="G25" s="10">
        <f t="shared" si="3"/>
        <v>24.56</v>
      </c>
      <c r="H25" s="7">
        <f>'[3]Jan Prod'!F24</f>
        <v>4960000</v>
      </c>
      <c r="I25" s="8">
        <f t="shared" si="4"/>
        <v>4.96</v>
      </c>
      <c r="J25" s="10">
        <f t="shared" si="5"/>
        <v>15.2272</v>
      </c>
      <c r="K25" s="7">
        <f>'[3]Jan Prod'!H279</f>
        <v>32465</v>
      </c>
      <c r="L25" s="8">
        <f t="shared" si="6"/>
        <v>3.2465000000000001E-2</v>
      </c>
      <c r="M25" s="10">
        <f t="shared" si="7"/>
        <v>9.9667549999999994E-2</v>
      </c>
      <c r="N25" s="21"/>
      <c r="O25" s="7">
        <f>'[3]Jan Prod'!H24</f>
        <v>0</v>
      </c>
      <c r="P25" s="8">
        <f t="shared" si="8"/>
        <v>0</v>
      </c>
      <c r="Q25" s="10">
        <f t="shared" si="9"/>
        <v>0</v>
      </c>
      <c r="R25" s="7">
        <f>'[3]Jan Prod'!C24</f>
        <v>0</v>
      </c>
      <c r="S25" s="8">
        <f t="shared" si="10"/>
        <v>0</v>
      </c>
      <c r="T25" s="10">
        <f t="shared" si="11"/>
        <v>0</v>
      </c>
      <c r="U25" s="7">
        <f>'[3]Jan Prod'!D24</f>
        <v>0</v>
      </c>
      <c r="V25" s="8">
        <f t="shared" si="12"/>
        <v>0</v>
      </c>
      <c r="W25" s="10">
        <f t="shared" si="13"/>
        <v>0</v>
      </c>
      <c r="X25" s="7">
        <f>'[3]Jan Prod'!D279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11500000</v>
      </c>
      <c r="AC25" s="8">
        <f t="shared" si="16"/>
        <v>11.5</v>
      </c>
      <c r="AD25" s="8">
        <f t="shared" si="16"/>
        <v>35.305</v>
      </c>
    </row>
    <row r="26" spans="1:30" x14ac:dyDescent="0.2">
      <c r="A26" s="28">
        <v>38374</v>
      </c>
      <c r="B26" s="7">
        <f>'[3]Jan Prod'!I25</f>
        <v>11599999.999998545</v>
      </c>
      <c r="C26" s="8">
        <f t="shared" si="0"/>
        <v>11.599999999998545</v>
      </c>
      <c r="D26" s="10">
        <f t="shared" si="1"/>
        <v>35.611999999995533</v>
      </c>
      <c r="E26" s="7">
        <f>'[3]Jan Prod'!E25</f>
        <v>7000000</v>
      </c>
      <c r="F26" s="8">
        <f t="shared" si="2"/>
        <v>7</v>
      </c>
      <c r="G26" s="10">
        <f t="shared" si="3"/>
        <v>21.49</v>
      </c>
      <c r="H26" s="7">
        <f>'[3]Jan Prod'!F25</f>
        <v>5560000.0000000009</v>
      </c>
      <c r="I26" s="8">
        <f t="shared" si="4"/>
        <v>5.5600000000000005</v>
      </c>
      <c r="J26" s="10">
        <f t="shared" si="5"/>
        <v>17.069200000000002</v>
      </c>
      <c r="K26" s="7">
        <f>'[3]Jan Prod'!H280</f>
        <v>41927</v>
      </c>
      <c r="L26" s="8">
        <f t="shared" si="6"/>
        <v>4.1926999999999999E-2</v>
      </c>
      <c r="M26" s="10">
        <f t="shared" si="7"/>
        <v>0.12871589</v>
      </c>
      <c r="N26" s="21"/>
      <c r="O26" s="7">
        <f>'[3]Jan Prod'!H25</f>
        <v>0</v>
      </c>
      <c r="P26" s="8">
        <f t="shared" si="8"/>
        <v>0</v>
      </c>
      <c r="Q26" s="10">
        <f t="shared" si="9"/>
        <v>0</v>
      </c>
      <c r="R26" s="7">
        <f>'[3]Jan Prod'!C25</f>
        <v>0</v>
      </c>
      <c r="S26" s="8">
        <f t="shared" si="10"/>
        <v>0</v>
      </c>
      <c r="T26" s="10">
        <f t="shared" si="11"/>
        <v>0</v>
      </c>
      <c r="U26" s="7">
        <f>'[3]Jan Prod'!D25</f>
        <v>0</v>
      </c>
      <c r="V26" s="8">
        <f t="shared" si="12"/>
        <v>0</v>
      </c>
      <c r="W26" s="10">
        <f t="shared" si="13"/>
        <v>0</v>
      </c>
      <c r="X26" s="7">
        <f>'[3]Jan Prod'!D280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11599999.999998545</v>
      </c>
      <c r="AC26" s="8">
        <f t="shared" si="16"/>
        <v>11.599999999998545</v>
      </c>
      <c r="AD26" s="8">
        <f t="shared" si="16"/>
        <v>35.611999999995533</v>
      </c>
    </row>
    <row r="27" spans="1:30" x14ac:dyDescent="0.2">
      <c r="A27" s="28">
        <v>38375</v>
      </c>
      <c r="B27" s="7">
        <f>'[3]Jan Prod'!I26</f>
        <v>11800000.000002909</v>
      </c>
      <c r="C27" s="8">
        <f t="shared" si="0"/>
        <v>11.800000000002909</v>
      </c>
      <c r="D27" s="10">
        <f t="shared" si="1"/>
        <v>36.226000000008931</v>
      </c>
      <c r="E27" s="7">
        <f>'[3]Jan Prod'!E26</f>
        <v>7000000</v>
      </c>
      <c r="F27" s="8">
        <f t="shared" si="2"/>
        <v>7</v>
      </c>
      <c r="G27" s="10">
        <f t="shared" si="3"/>
        <v>21.49</v>
      </c>
      <c r="H27" s="7">
        <f>'[3]Jan Prod'!F26</f>
        <v>6090000</v>
      </c>
      <c r="I27" s="8">
        <f t="shared" si="4"/>
        <v>6.09</v>
      </c>
      <c r="J27" s="10">
        <f t="shared" si="5"/>
        <v>18.696299999999997</v>
      </c>
      <c r="K27" s="7">
        <f>'[3]Jan Prod'!H281</f>
        <v>69743</v>
      </c>
      <c r="L27" s="8">
        <f t="shared" si="6"/>
        <v>6.9742999999999999E-2</v>
      </c>
      <c r="M27" s="10">
        <f t="shared" si="7"/>
        <v>0.21411100999999999</v>
      </c>
      <c r="N27" s="21"/>
      <c r="O27" s="7">
        <f>'[3]Jan Prod'!H26</f>
        <v>0</v>
      </c>
      <c r="P27" s="8">
        <f t="shared" si="8"/>
        <v>0</v>
      </c>
      <c r="Q27" s="10">
        <f t="shared" si="9"/>
        <v>0</v>
      </c>
      <c r="R27" s="7">
        <f>'[3]Jan Prod'!C26</f>
        <v>0</v>
      </c>
      <c r="S27" s="8">
        <f t="shared" si="10"/>
        <v>0</v>
      </c>
      <c r="T27" s="10">
        <f t="shared" si="11"/>
        <v>0</v>
      </c>
      <c r="U27" s="7">
        <f>'[3]Jan Prod'!D26</f>
        <v>0</v>
      </c>
      <c r="V27" s="8">
        <f t="shared" si="12"/>
        <v>0</v>
      </c>
      <c r="W27" s="10">
        <f t="shared" si="13"/>
        <v>0</v>
      </c>
      <c r="X27" s="7">
        <f>'[3]Jan Prod'!D281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11800000.000002909</v>
      </c>
      <c r="AC27" s="8">
        <f t="shared" si="16"/>
        <v>11.800000000002909</v>
      </c>
      <c r="AD27" s="8">
        <f t="shared" si="16"/>
        <v>36.226000000008931</v>
      </c>
    </row>
    <row r="28" spans="1:30" x14ac:dyDescent="0.2">
      <c r="A28" s="28">
        <v>38376</v>
      </c>
      <c r="B28" s="7">
        <f>'[3]Jan Prod'!I27</f>
        <v>11699999.999997091</v>
      </c>
      <c r="C28" s="8">
        <f t="shared" si="0"/>
        <v>11.699999999997091</v>
      </c>
      <c r="D28" s="10">
        <f t="shared" si="1"/>
        <v>35.918999999991065</v>
      </c>
      <c r="E28" s="7">
        <f>'[3]Jan Prod'!E27</f>
        <v>7000000</v>
      </c>
      <c r="F28" s="8">
        <f t="shared" si="2"/>
        <v>7</v>
      </c>
      <c r="G28" s="10">
        <f t="shared" si="3"/>
        <v>21.49</v>
      </c>
      <c r="H28" s="7">
        <f>'[3]Jan Prod'!F27</f>
        <v>5850000.0000000009</v>
      </c>
      <c r="I28" s="8">
        <f t="shared" si="4"/>
        <v>5.8500000000000005</v>
      </c>
      <c r="J28" s="10">
        <f t="shared" si="5"/>
        <v>17.959500000000002</v>
      </c>
      <c r="K28" s="7">
        <f>'[3]Jan Prod'!H282</f>
        <v>77061</v>
      </c>
      <c r="L28" s="8">
        <f t="shared" si="6"/>
        <v>7.7061000000000004E-2</v>
      </c>
      <c r="M28" s="10">
        <f t="shared" si="7"/>
        <v>0.23657727000000001</v>
      </c>
      <c r="N28" s="21"/>
      <c r="O28" s="7">
        <f>'[3]Jan Prod'!H27</f>
        <v>0</v>
      </c>
      <c r="P28" s="8">
        <f t="shared" si="8"/>
        <v>0</v>
      </c>
      <c r="Q28" s="10">
        <f t="shared" si="9"/>
        <v>0</v>
      </c>
      <c r="R28" s="7">
        <f>'[3]Jan Prod'!C27</f>
        <v>0</v>
      </c>
      <c r="S28" s="8">
        <f t="shared" si="10"/>
        <v>0</v>
      </c>
      <c r="T28" s="10">
        <f t="shared" si="11"/>
        <v>0</v>
      </c>
      <c r="U28" s="7">
        <f>'[3]Jan Prod'!D27</f>
        <v>0</v>
      </c>
      <c r="V28" s="8">
        <f t="shared" si="12"/>
        <v>0</v>
      </c>
      <c r="W28" s="10">
        <f t="shared" si="13"/>
        <v>0</v>
      </c>
      <c r="X28" s="7">
        <f>'[3]Jan Prod'!D282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11699999.999997091</v>
      </c>
      <c r="AC28" s="8">
        <f t="shared" si="16"/>
        <v>11.699999999997091</v>
      </c>
      <c r="AD28" s="8">
        <f t="shared" si="16"/>
        <v>35.918999999991065</v>
      </c>
    </row>
    <row r="29" spans="1:30" x14ac:dyDescent="0.2">
      <c r="A29" s="28">
        <v>38377</v>
      </c>
      <c r="B29" s="7">
        <f>'[3]Jan Prod'!I28</f>
        <v>11600000.000002183</v>
      </c>
      <c r="C29" s="8">
        <f t="shared" si="0"/>
        <v>11.600000000002183</v>
      </c>
      <c r="D29" s="10">
        <f t="shared" si="1"/>
        <v>35.612000000006702</v>
      </c>
      <c r="E29" s="7">
        <f>'[3]Jan Prod'!E28</f>
        <v>7000000</v>
      </c>
      <c r="F29" s="8">
        <f t="shared" si="2"/>
        <v>7</v>
      </c>
      <c r="G29" s="10">
        <f t="shared" si="3"/>
        <v>21.49</v>
      </c>
      <c r="H29" s="7">
        <f>'[3]Jan Prod'!F28</f>
        <v>5270000</v>
      </c>
      <c r="I29" s="8">
        <f t="shared" si="4"/>
        <v>5.27</v>
      </c>
      <c r="J29" s="10">
        <f t="shared" si="5"/>
        <v>16.178899999999999</v>
      </c>
      <c r="K29" s="7">
        <f>'[3]Jan Prod'!H283</f>
        <v>34335</v>
      </c>
      <c r="L29" s="8">
        <f t="shared" si="6"/>
        <v>3.4334999999999997E-2</v>
      </c>
      <c r="M29" s="10">
        <f t="shared" si="7"/>
        <v>0.10540844999999999</v>
      </c>
      <c r="N29" s="21"/>
      <c r="O29" s="7">
        <f>'[3]Jan Prod'!H28</f>
        <v>-3000.0000000001137</v>
      </c>
      <c r="P29" s="8">
        <f t="shared" si="8"/>
        <v>-3.0000000000001137E-3</v>
      </c>
      <c r="Q29" s="10">
        <f t="shared" si="9"/>
        <v>-9.2100000000003481E-3</v>
      </c>
      <c r="R29" s="7">
        <f>'[3]Jan Prod'!C28</f>
        <v>0</v>
      </c>
      <c r="S29" s="8">
        <f t="shared" si="10"/>
        <v>0</v>
      </c>
      <c r="T29" s="10">
        <f t="shared" si="11"/>
        <v>0</v>
      </c>
      <c r="U29" s="7">
        <f>'[3]Jan Prod'!D28</f>
        <v>0</v>
      </c>
      <c r="V29" s="8">
        <f t="shared" si="12"/>
        <v>0</v>
      </c>
      <c r="W29" s="10">
        <f t="shared" si="13"/>
        <v>0</v>
      </c>
      <c r="X29" s="7">
        <f>'[3]Jan Prod'!D283</f>
        <v>3000.0000000001137</v>
      </c>
      <c r="Y29" s="8">
        <f t="shared" si="14"/>
        <v>3.0000000000001137E-3</v>
      </c>
      <c r="Z29" s="10">
        <f t="shared" si="15"/>
        <v>9.2100000000003481E-3</v>
      </c>
      <c r="AA29" s="15"/>
      <c r="AB29" s="7">
        <f t="shared" si="16"/>
        <v>11597000.000002183</v>
      </c>
      <c r="AC29" s="8">
        <f t="shared" si="16"/>
        <v>11.597000000002183</v>
      </c>
      <c r="AD29" s="8">
        <f t="shared" si="16"/>
        <v>35.602790000006699</v>
      </c>
    </row>
    <row r="30" spans="1:30" x14ac:dyDescent="0.2">
      <c r="A30" s="28">
        <v>38378</v>
      </c>
      <c r="B30" s="7">
        <f>'[3]Jan Prod'!I29</f>
        <v>10399999.999997817</v>
      </c>
      <c r="C30" s="8">
        <f t="shared" si="0"/>
        <v>10.399999999997817</v>
      </c>
      <c r="D30" s="10">
        <f t="shared" si="1"/>
        <v>31.927999999993297</v>
      </c>
      <c r="E30" s="7">
        <f>'[3]Jan Prod'!E29</f>
        <v>6000000</v>
      </c>
      <c r="F30" s="8">
        <f t="shared" si="2"/>
        <v>6</v>
      </c>
      <c r="G30" s="10">
        <f t="shared" si="3"/>
        <v>18.419999999999998</v>
      </c>
      <c r="H30" s="7">
        <f>'[3]Jan Prod'!F29</f>
        <v>4970000</v>
      </c>
      <c r="I30" s="8">
        <f t="shared" si="4"/>
        <v>4.97</v>
      </c>
      <c r="J30" s="10">
        <f t="shared" si="5"/>
        <v>15.257899999999998</v>
      </c>
      <c r="K30" s="7">
        <f>'[3]Jan Prod'!H284</f>
        <v>43603</v>
      </c>
      <c r="L30" s="8">
        <f t="shared" si="6"/>
        <v>4.3603000000000003E-2</v>
      </c>
      <c r="M30" s="10">
        <f t="shared" si="7"/>
        <v>0.13386121000000001</v>
      </c>
      <c r="N30" s="21"/>
      <c r="O30" s="7">
        <f>'[3]Jan Prod'!H29</f>
        <v>-9999.9999999909051</v>
      </c>
      <c r="P30" s="8">
        <f t="shared" si="8"/>
        <v>-9.9999999999909051E-3</v>
      </c>
      <c r="Q30" s="10">
        <f t="shared" si="9"/>
        <v>-3.0699999999972076E-2</v>
      </c>
      <c r="R30" s="7">
        <f>'[3]Jan Prod'!C29</f>
        <v>0</v>
      </c>
      <c r="S30" s="8">
        <f t="shared" si="10"/>
        <v>0</v>
      </c>
      <c r="T30" s="10">
        <f t="shared" si="11"/>
        <v>0</v>
      </c>
      <c r="U30" s="7">
        <f>'[3]Jan Prod'!D29</f>
        <v>0</v>
      </c>
      <c r="V30" s="8">
        <f t="shared" si="12"/>
        <v>0</v>
      </c>
      <c r="W30" s="10">
        <f t="shared" si="13"/>
        <v>0</v>
      </c>
      <c r="X30" s="7">
        <f>'[3]Jan Prod'!D284</f>
        <v>9999.9999999909051</v>
      </c>
      <c r="Y30" s="8">
        <f t="shared" si="14"/>
        <v>9.9999999999909051E-3</v>
      </c>
      <c r="Z30" s="10">
        <f t="shared" si="15"/>
        <v>3.0699999999972076E-2</v>
      </c>
      <c r="AA30" s="15"/>
      <c r="AB30" s="7">
        <f t="shared" si="16"/>
        <v>10389999.999997826</v>
      </c>
      <c r="AC30" s="8">
        <f t="shared" si="16"/>
        <v>10.389999999997826</v>
      </c>
      <c r="AD30" s="8">
        <f>D30+Q30</f>
        <v>31.897299999993326</v>
      </c>
    </row>
    <row r="31" spans="1:30" x14ac:dyDescent="0.2">
      <c r="A31" s="28">
        <v>38379</v>
      </c>
      <c r="B31" s="7">
        <f>'[3]Jan Prod'!I30</f>
        <v>11600000.000002183</v>
      </c>
      <c r="C31" s="8">
        <f t="shared" si="0"/>
        <v>11.600000000002183</v>
      </c>
      <c r="D31" s="10">
        <f t="shared" si="1"/>
        <v>35.612000000006702</v>
      </c>
      <c r="E31" s="7">
        <f>'[3]Jan Prod'!E30</f>
        <v>7000000</v>
      </c>
      <c r="F31" s="8">
        <f t="shared" si="2"/>
        <v>7</v>
      </c>
      <c r="G31" s="10">
        <f t="shared" si="3"/>
        <v>21.49</v>
      </c>
      <c r="H31" s="7">
        <f>'[3]Jan Prod'!F30</f>
        <v>5020000</v>
      </c>
      <c r="I31" s="8">
        <f t="shared" si="4"/>
        <v>5.0199999999999996</v>
      </c>
      <c r="J31" s="10">
        <f t="shared" si="5"/>
        <v>15.411399999999999</v>
      </c>
      <c r="K31" s="7">
        <f>'[3]Jan Prod'!H285</f>
        <v>33628</v>
      </c>
      <c r="L31" s="8">
        <f t="shared" si="6"/>
        <v>3.3627999999999998E-2</v>
      </c>
      <c r="M31" s="10">
        <f t="shared" si="7"/>
        <v>0.10323795999999999</v>
      </c>
      <c r="N31" s="21"/>
      <c r="O31" s="7">
        <f>'[3]Jan Prod'!H30</f>
        <v>0</v>
      </c>
      <c r="P31" s="8">
        <f t="shared" si="8"/>
        <v>0</v>
      </c>
      <c r="Q31" s="10">
        <f t="shared" si="9"/>
        <v>0</v>
      </c>
      <c r="R31" s="7">
        <f>'[3]Jan Prod'!C30</f>
        <v>0</v>
      </c>
      <c r="S31" s="8">
        <f t="shared" si="10"/>
        <v>0</v>
      </c>
      <c r="T31" s="10">
        <f t="shared" si="11"/>
        <v>0</v>
      </c>
      <c r="U31" s="7">
        <f>'[3]Jan Prod'!D30</f>
        <v>0</v>
      </c>
      <c r="V31" s="8">
        <f t="shared" si="12"/>
        <v>0</v>
      </c>
      <c r="W31" s="10">
        <f t="shared" si="13"/>
        <v>0</v>
      </c>
      <c r="X31" s="7">
        <f>'[3]Jan Prod'!D285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11600000.000002183</v>
      </c>
      <c r="AC31" s="8">
        <f t="shared" si="16"/>
        <v>11.600000000002183</v>
      </c>
      <c r="AD31" s="8">
        <f t="shared" si="16"/>
        <v>35.612000000006702</v>
      </c>
    </row>
    <row r="32" spans="1:30" x14ac:dyDescent="0.2">
      <c r="A32" s="28">
        <v>38380</v>
      </c>
      <c r="B32" s="7">
        <f>'[3]Jan Prod'!I31</f>
        <v>11700000.000000728</v>
      </c>
      <c r="C32" s="8">
        <f t="shared" si="0"/>
        <v>11.700000000000728</v>
      </c>
      <c r="D32" s="10">
        <f t="shared" si="1"/>
        <v>35.919000000002235</v>
      </c>
      <c r="E32" s="7">
        <f>'[3]Jan Prod'!E31</f>
        <v>9000000</v>
      </c>
      <c r="F32" s="8">
        <f t="shared" si="2"/>
        <v>9</v>
      </c>
      <c r="G32" s="10">
        <f t="shared" si="3"/>
        <v>27.63</v>
      </c>
      <c r="H32" s="7">
        <f>'[3]Jan Prod'!F31</f>
        <v>5040000</v>
      </c>
      <c r="I32" s="8">
        <f t="shared" si="4"/>
        <v>5.04</v>
      </c>
      <c r="J32" s="10">
        <f t="shared" si="5"/>
        <v>15.472799999999999</v>
      </c>
      <c r="K32" s="7">
        <f>'[3]Jan Prod'!H286</f>
        <v>79762</v>
      </c>
      <c r="L32" s="8">
        <f t="shared" si="6"/>
        <v>7.9762E-2</v>
      </c>
      <c r="M32" s="10">
        <f t="shared" si="7"/>
        <v>0.24486933999999999</v>
      </c>
      <c r="N32" s="21"/>
      <c r="O32" s="7">
        <f>'[3]Jan Prod'!H31</f>
        <v>0</v>
      </c>
      <c r="P32" s="8">
        <f t="shared" si="8"/>
        <v>0</v>
      </c>
      <c r="Q32" s="10">
        <f t="shared" si="9"/>
        <v>0</v>
      </c>
      <c r="R32" s="7">
        <f>'[3]Jan Prod'!C31</f>
        <v>0</v>
      </c>
      <c r="S32" s="8">
        <f t="shared" si="10"/>
        <v>0</v>
      </c>
      <c r="T32" s="10">
        <f t="shared" si="11"/>
        <v>0</v>
      </c>
      <c r="U32" s="7">
        <f>'[3]Jan Prod'!D31</f>
        <v>0</v>
      </c>
      <c r="V32" s="8">
        <f t="shared" si="12"/>
        <v>0</v>
      </c>
      <c r="W32" s="10">
        <f t="shared" si="13"/>
        <v>0</v>
      </c>
      <c r="X32" s="7">
        <f>'[3]Jan Prod'!D286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11700000.000000728</v>
      </c>
      <c r="AC32" s="8">
        <f t="shared" si="16"/>
        <v>11.700000000000728</v>
      </c>
      <c r="AD32" s="8">
        <f t="shared" si="16"/>
        <v>35.919000000002235</v>
      </c>
    </row>
    <row r="33" spans="1:30" x14ac:dyDescent="0.2">
      <c r="A33" s="28">
        <v>38381</v>
      </c>
      <c r="B33" s="7">
        <f>'[3]Jan Prod'!I32</f>
        <v>12299999.999999272</v>
      </c>
      <c r="C33" s="8">
        <f t="shared" si="0"/>
        <v>12.299999999999272</v>
      </c>
      <c r="D33" s="10">
        <f t="shared" si="1"/>
        <v>37.760999999997765</v>
      </c>
      <c r="E33" s="7">
        <f>'[3]Jan Prod'!E32</f>
        <v>8000000</v>
      </c>
      <c r="F33" s="8">
        <f t="shared" si="2"/>
        <v>8</v>
      </c>
      <c r="G33" s="10">
        <f t="shared" si="3"/>
        <v>24.56</v>
      </c>
      <c r="H33" s="7">
        <f>'[3]Jan Prod'!F32</f>
        <v>4980000</v>
      </c>
      <c r="I33" s="8">
        <f t="shared" si="4"/>
        <v>4.9800000000000004</v>
      </c>
      <c r="J33" s="10">
        <f t="shared" si="5"/>
        <v>15.288600000000001</v>
      </c>
      <c r="K33" s="7">
        <f>'[3]Jan Prod'!H287</f>
        <v>73271</v>
      </c>
      <c r="L33" s="8">
        <f t="shared" si="6"/>
        <v>7.3271000000000003E-2</v>
      </c>
      <c r="M33" s="10">
        <f t="shared" si="7"/>
        <v>0.22494196999999999</v>
      </c>
      <c r="N33" s="21"/>
      <c r="O33" s="7">
        <f>'[3]Jan Prod'!H32</f>
        <v>0</v>
      </c>
      <c r="P33" s="8">
        <f t="shared" si="8"/>
        <v>0</v>
      </c>
      <c r="Q33" s="10">
        <f t="shared" si="9"/>
        <v>0</v>
      </c>
      <c r="R33" s="7">
        <f>'[3]Jan Prod'!C32</f>
        <v>0</v>
      </c>
      <c r="S33" s="8">
        <f t="shared" si="10"/>
        <v>0</v>
      </c>
      <c r="T33" s="10">
        <f t="shared" si="11"/>
        <v>0</v>
      </c>
      <c r="U33" s="7">
        <f>'[3]Jan Prod'!D32</f>
        <v>0</v>
      </c>
      <c r="V33" s="8">
        <f t="shared" si="12"/>
        <v>0</v>
      </c>
      <c r="W33" s="10">
        <f t="shared" si="13"/>
        <v>0</v>
      </c>
      <c r="X33" s="7">
        <f>'[3]Jan Prod'!D287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12299999.999999272</v>
      </c>
      <c r="AC33" s="8">
        <f t="shared" si="16"/>
        <v>12.299999999999272</v>
      </c>
      <c r="AD33" s="8">
        <f t="shared" si="16"/>
        <v>37.760999999997765</v>
      </c>
    </row>
    <row r="34" spans="1:30" x14ac:dyDescent="0.2">
      <c r="A34" s="28">
        <v>38382</v>
      </c>
      <c r="B34" s="7">
        <f>'[3]Jan Prod'!I33</f>
        <v>10500000</v>
      </c>
      <c r="C34" s="8">
        <f t="shared" si="0"/>
        <v>10.5</v>
      </c>
      <c r="D34" s="10">
        <f t="shared" si="1"/>
        <v>32.234999999999999</v>
      </c>
      <c r="E34" s="7">
        <f>'[3]Jan Prod'!E33</f>
        <v>7000000</v>
      </c>
      <c r="F34" s="8">
        <f t="shared" si="2"/>
        <v>7</v>
      </c>
      <c r="G34" s="10">
        <f t="shared" si="3"/>
        <v>21.49</v>
      </c>
      <c r="H34" s="7">
        <f>'[3]Jan Prod'!F33</f>
        <v>4780000</v>
      </c>
      <c r="I34" s="8">
        <f t="shared" si="4"/>
        <v>4.78</v>
      </c>
      <c r="J34" s="10">
        <f t="shared" si="5"/>
        <v>14.6746</v>
      </c>
      <c r="K34" s="7">
        <f>'[3]Jan Prod'!H288</f>
        <v>34638</v>
      </c>
      <c r="L34" s="8">
        <f t="shared" si="6"/>
        <v>3.4638000000000002E-2</v>
      </c>
      <c r="M34" s="10">
        <f t="shared" si="7"/>
        <v>0.10633866</v>
      </c>
      <c r="N34" s="21"/>
      <c r="O34" s="7">
        <f>'[3]Jan Prod'!H33</f>
        <v>0</v>
      </c>
      <c r="P34" s="8">
        <f t="shared" si="8"/>
        <v>0</v>
      </c>
      <c r="Q34" s="10">
        <f t="shared" si="9"/>
        <v>0</v>
      </c>
      <c r="R34" s="7">
        <f>'[3]Jan Prod'!C33</f>
        <v>0</v>
      </c>
      <c r="S34" s="8">
        <f t="shared" si="10"/>
        <v>0</v>
      </c>
      <c r="T34" s="10">
        <f t="shared" si="11"/>
        <v>0</v>
      </c>
      <c r="U34" s="7">
        <f>'[3]Jan Prod'!D33</f>
        <v>0</v>
      </c>
      <c r="V34" s="8">
        <f t="shared" si="12"/>
        <v>0</v>
      </c>
      <c r="W34" s="10">
        <f t="shared" si="13"/>
        <v>0</v>
      </c>
      <c r="X34" s="7">
        <f>'[3]Jan Prod'!D288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10500000</v>
      </c>
      <c r="AC34" s="8">
        <f t="shared" si="16"/>
        <v>10.5</v>
      </c>
      <c r="AD34" s="8">
        <f t="shared" si="16"/>
        <v>32.234999999999999</v>
      </c>
    </row>
    <row r="35" spans="1:30" ht="13.5" thickBot="1" x14ac:dyDescent="0.25">
      <c r="A35" s="28">
        <v>38383</v>
      </c>
      <c r="B35" s="7">
        <f>'[3]Jan Prod'!I34</f>
        <v>11599999.999998545</v>
      </c>
      <c r="C35" s="8">
        <f t="shared" si="0"/>
        <v>11.599999999998545</v>
      </c>
      <c r="D35" s="10">
        <f t="shared" si="1"/>
        <v>35.611999999995533</v>
      </c>
      <c r="E35" s="7">
        <f>'[3]Jan Prod'!E34</f>
        <v>7000000</v>
      </c>
      <c r="F35" s="8">
        <f t="shared" si="2"/>
        <v>7</v>
      </c>
      <c r="G35" s="10">
        <f t="shared" si="3"/>
        <v>21.49</v>
      </c>
      <c r="H35" s="7">
        <f>'[3]Jan Prod'!F34</f>
        <v>5000000</v>
      </c>
      <c r="I35" s="8">
        <f t="shared" si="4"/>
        <v>5</v>
      </c>
      <c r="J35" s="10">
        <f t="shared" si="5"/>
        <v>15.35</v>
      </c>
      <c r="K35" s="7">
        <f>'[3]Jan Prod'!H289</f>
        <v>2052</v>
      </c>
      <c r="L35" s="8">
        <f t="shared" si="6"/>
        <v>2.052E-3</v>
      </c>
      <c r="M35" s="10">
        <f t="shared" si="7"/>
        <v>6.2996399999999996E-3</v>
      </c>
      <c r="N35" s="21"/>
      <c r="O35" s="7">
        <f>'[3]Jan Prod'!H34</f>
        <v>0</v>
      </c>
      <c r="P35" s="8">
        <f t="shared" si="8"/>
        <v>0</v>
      </c>
      <c r="Q35" s="10">
        <f t="shared" si="9"/>
        <v>0</v>
      </c>
      <c r="R35" s="7">
        <f>'[3]Jan Prod'!C34</f>
        <v>0</v>
      </c>
      <c r="S35" s="8">
        <f t="shared" si="10"/>
        <v>0</v>
      </c>
      <c r="T35" s="10">
        <f t="shared" si="11"/>
        <v>0</v>
      </c>
      <c r="U35" s="7">
        <f>'[3]Jan Prod'!D34</f>
        <v>0</v>
      </c>
      <c r="V35" s="8">
        <f t="shared" si="12"/>
        <v>0</v>
      </c>
      <c r="W35" s="10">
        <f t="shared" si="13"/>
        <v>0</v>
      </c>
      <c r="X35" s="7">
        <f>'[3]Jan Prod'!D289</f>
        <v>0</v>
      </c>
      <c r="Y35" s="8">
        <f t="shared" si="14"/>
        <v>0</v>
      </c>
      <c r="Z35" s="10">
        <f t="shared" si="15"/>
        <v>0</v>
      </c>
      <c r="AA35" s="15"/>
      <c r="AB35" s="7">
        <f t="shared" si="16"/>
        <v>11599999.999998545</v>
      </c>
      <c r="AC35" s="8">
        <f t="shared" si="16"/>
        <v>11.599999999998545</v>
      </c>
      <c r="AD35" s="8">
        <f t="shared" si="16"/>
        <v>35.611999999995533</v>
      </c>
    </row>
    <row r="36" spans="1:30" s="18" customFormat="1" ht="13.5" thickBot="1" x14ac:dyDescent="0.25">
      <c r="A36" s="15"/>
      <c r="B36" s="39"/>
      <c r="C36" s="40">
        <f t="shared" ref="C36:W36" si="17">SUM(C5:C35)</f>
        <v>365.70000000000073</v>
      </c>
      <c r="D36" s="40">
        <f t="shared" si="17"/>
        <v>1122.6990000000021</v>
      </c>
      <c r="E36" s="39"/>
      <c r="F36" s="40">
        <f t="shared" si="17"/>
        <v>210</v>
      </c>
      <c r="G36" s="40">
        <f t="shared" si="17"/>
        <v>644.69999999999993</v>
      </c>
      <c r="H36" s="39"/>
      <c r="I36" s="40">
        <f t="shared" si="17"/>
        <v>188.57000000000002</v>
      </c>
      <c r="J36" s="40">
        <f t="shared" si="17"/>
        <v>578.90990000000011</v>
      </c>
      <c r="K36" s="39"/>
      <c r="L36" s="40">
        <f>SUM(L5:L35)</f>
        <v>1.7007549999999998</v>
      </c>
      <c r="M36" s="40">
        <f>SUM(M5:M35)</f>
        <v>5.2213178500000001</v>
      </c>
      <c r="N36" s="14"/>
      <c r="O36" s="39"/>
      <c r="P36" s="40">
        <f t="shared" si="17"/>
        <v>-1.2999999999991019E-2</v>
      </c>
      <c r="Q36" s="40">
        <f t="shared" si="17"/>
        <v>-3.9909999999972426E-2</v>
      </c>
      <c r="R36" s="39"/>
      <c r="S36" s="40">
        <f t="shared" si="17"/>
        <v>0</v>
      </c>
      <c r="T36" s="40">
        <f t="shared" si="17"/>
        <v>0</v>
      </c>
      <c r="U36" s="39"/>
      <c r="V36" s="40">
        <f t="shared" si="17"/>
        <v>0</v>
      </c>
      <c r="W36" s="40">
        <f t="shared" si="17"/>
        <v>0</v>
      </c>
      <c r="X36" s="39"/>
      <c r="Y36" s="40">
        <f>SUM(Y5:Y35)</f>
        <v>3.0000000000001137E-2</v>
      </c>
      <c r="Z36" s="40">
        <f>SUM(Z5:Z35)</f>
        <v>9.2100000000003485E-2</v>
      </c>
      <c r="AA36" s="14"/>
      <c r="AB36" s="39"/>
      <c r="AC36" s="40">
        <f>SUM(AC5:AC35)</f>
        <v>365.68700000000075</v>
      </c>
      <c r="AD36" s="40">
        <f>AC36*3.07</f>
        <v>1122.6590900000022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D37"/>
  <sheetViews>
    <sheetView workbookViewId="0">
      <pane xSplit="1" ySplit="4" topLeftCell="N17" activePane="bottomRight" state="frozen"/>
      <selection pane="topRight" activeCell="B1" sqref="B1"/>
      <selection pane="bottomLeft" activeCell="A5" sqref="A5"/>
      <selection pane="bottomRight" activeCell="K19" sqref="K19"/>
    </sheetView>
  </sheetViews>
  <sheetFormatPr defaultRowHeight="12.75" x14ac:dyDescent="0.2"/>
  <cols>
    <col min="2" max="2" width="11.7109375" customWidth="1"/>
    <col min="5" max="5" width="11.42578125" customWidth="1"/>
    <col min="8" max="8" width="11.7109375" customWidth="1"/>
    <col min="11" max="11" width="14.85546875" bestFit="1" customWidth="1"/>
    <col min="12" max="12" width="11.5703125" customWidth="1"/>
    <col min="15" max="15" width="11.42578125" customWidth="1"/>
    <col min="18" max="18" width="11.5703125" customWidth="1"/>
    <col min="22" max="22" width="11" customWidth="1"/>
    <col min="24" max="24" width="13.7109375" customWidth="1"/>
    <col min="28" max="28" width="14.42578125" bestFit="1" customWidth="1"/>
  </cols>
  <sheetData>
    <row r="1" spans="1:30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8</v>
      </c>
      <c r="AC3" s="66"/>
      <c r="AD3" s="67"/>
    </row>
    <row r="4" spans="1:30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2">
      <c r="A5" s="28">
        <v>41306</v>
      </c>
      <c r="B5" s="7">
        <f>'[4]Feb Prod'!I4</f>
        <v>11799999.999999272</v>
      </c>
      <c r="C5" s="8">
        <f>B5/1000000</f>
        <v>11.799999999999272</v>
      </c>
      <c r="D5" s="10">
        <f>C5*3.07</f>
        <v>36.225999999997761</v>
      </c>
      <c r="E5" s="7">
        <f>'[4]Feb Prod'!E4</f>
        <v>8000000</v>
      </c>
      <c r="F5" s="8">
        <f>E5/1000000</f>
        <v>8</v>
      </c>
      <c r="G5" s="10">
        <f>F5*3.07</f>
        <v>24.56</v>
      </c>
      <c r="H5" s="7">
        <f>'[4]Feb Prod'!F4</f>
        <v>5100000.0000000009</v>
      </c>
      <c r="I5" s="8">
        <f>H5/1000000</f>
        <v>5.1000000000000005</v>
      </c>
      <c r="J5" s="10">
        <f>I5*3.07</f>
        <v>15.657</v>
      </c>
      <c r="K5" s="7">
        <f>'[4]Feb Prod'!H245</f>
        <v>33</v>
      </c>
      <c r="L5" s="8">
        <f>K5/1000000</f>
        <v>3.3000000000000003E-5</v>
      </c>
      <c r="M5" s="10">
        <f>L5*3.07</f>
        <v>1.0131E-4</v>
      </c>
      <c r="N5" s="21"/>
      <c r="O5" s="7">
        <f>'[4]Feb Prod'!H4</f>
        <v>0</v>
      </c>
      <c r="P5" s="8">
        <f>O5/1000000</f>
        <v>0</v>
      </c>
      <c r="Q5" s="10">
        <f>P5*3.07</f>
        <v>0</v>
      </c>
      <c r="R5" s="7">
        <f>'[4]Feb Prod'!C4</f>
        <v>0</v>
      </c>
      <c r="S5" s="8">
        <f>R5/1000000</f>
        <v>0</v>
      </c>
      <c r="T5" s="10">
        <f>S5*3.07</f>
        <v>0</v>
      </c>
      <c r="U5" s="7">
        <f>'[4]Feb Prod'!D4</f>
        <v>0</v>
      </c>
      <c r="V5" s="8">
        <f>U5/1000000</f>
        <v>0</v>
      </c>
      <c r="W5" s="10">
        <f>V5*3.07</f>
        <v>0</v>
      </c>
      <c r="X5" s="7">
        <f>'[4]Feb Prod'!D245</f>
        <v>1166.7000000000407</v>
      </c>
      <c r="Y5" s="8">
        <f>X5/1000000</f>
        <v>1.1667000000000407E-3</v>
      </c>
      <c r="Z5" s="10">
        <f>Y5*3.07</f>
        <v>3.5817690000001247E-3</v>
      </c>
      <c r="AA5" s="15"/>
      <c r="AB5" s="7">
        <f>B5+O5</f>
        <v>11799999.999999272</v>
      </c>
      <c r="AC5" s="8">
        <f>C5+P5</f>
        <v>11.799999999999272</v>
      </c>
      <c r="AD5" s="8">
        <f>D5+Q5</f>
        <v>36.225999999997761</v>
      </c>
    </row>
    <row r="6" spans="1:30" x14ac:dyDescent="0.2">
      <c r="A6" s="28">
        <v>41307</v>
      </c>
      <c r="B6" s="7">
        <f>'[4]Feb Prod'!I5</f>
        <v>11600000.000002183</v>
      </c>
      <c r="C6" s="8">
        <f t="shared" ref="C6:C32" si="0">B6/1000000</f>
        <v>11.600000000002183</v>
      </c>
      <c r="D6" s="10">
        <f t="shared" ref="D6:D32" si="1">C6*3.07</f>
        <v>35.612000000006702</v>
      </c>
      <c r="E6" s="7">
        <f>'[4]Feb Prod'!E5</f>
        <v>9000000</v>
      </c>
      <c r="F6" s="8">
        <f t="shared" ref="F6:F32" si="2">E6/1000000</f>
        <v>9</v>
      </c>
      <c r="G6" s="10">
        <f t="shared" ref="G6:G32" si="3">F6*3.07</f>
        <v>27.63</v>
      </c>
      <c r="H6" s="7">
        <f>'[4]Feb Prod'!F5</f>
        <v>4990000</v>
      </c>
      <c r="I6" s="8">
        <f t="shared" ref="I6:I32" si="4">H6/1000000</f>
        <v>4.99</v>
      </c>
      <c r="J6" s="10">
        <f t="shared" ref="J6:J32" si="5">I6*3.07</f>
        <v>15.3193</v>
      </c>
      <c r="K6" s="7">
        <f>'[4]Feb Prod'!H246</f>
        <v>36</v>
      </c>
      <c r="L6" s="8">
        <f t="shared" ref="L6:L13" si="6">K6/1000000</f>
        <v>3.6000000000000001E-5</v>
      </c>
      <c r="M6" s="10">
        <f t="shared" ref="M6:M32" si="7">L6*3.07</f>
        <v>1.1051999999999999E-4</v>
      </c>
      <c r="N6" s="21"/>
      <c r="O6" s="7">
        <f>'[4]Feb Prod'!H5</f>
        <v>0</v>
      </c>
      <c r="P6" s="8">
        <f t="shared" ref="P6:P32" si="8">O6/1000000</f>
        <v>0</v>
      </c>
      <c r="Q6" s="10">
        <f t="shared" ref="Q6:Q32" si="9">P6*3.07</f>
        <v>0</v>
      </c>
      <c r="R6" s="7">
        <f>'[4]Feb Prod'!C5</f>
        <v>0</v>
      </c>
      <c r="S6" s="8">
        <f t="shared" ref="S6:S32" si="10">R6/1000000</f>
        <v>0</v>
      </c>
      <c r="T6" s="10">
        <f t="shared" ref="T6:T32" si="11">S6*3.07</f>
        <v>0</v>
      </c>
      <c r="U6" s="7">
        <f>'[4]Feb Prod'!D5</f>
        <v>0</v>
      </c>
      <c r="V6" s="8">
        <f t="shared" ref="V6:V32" si="12">U6/1000000</f>
        <v>0</v>
      </c>
      <c r="W6" s="10">
        <f t="shared" ref="W6:W32" si="13">V6*3.07</f>
        <v>0</v>
      </c>
      <c r="X6" s="7">
        <f>'[4]Feb Prod'!D246</f>
        <v>596.69999999998254</v>
      </c>
      <c r="Y6" s="8">
        <f t="shared" ref="Y6:Y32" si="14">X6/1000000</f>
        <v>5.9669999999998257E-4</v>
      </c>
      <c r="Z6" s="10">
        <f t="shared" ref="Z6:Z32" si="15">Y6*3.07</f>
        <v>1.8318689999999465E-3</v>
      </c>
      <c r="AA6" s="15"/>
      <c r="AB6" s="7">
        <f t="shared" ref="AB6:AB17" si="16">B6+O6</f>
        <v>11600000.000002183</v>
      </c>
      <c r="AC6" s="8">
        <f t="shared" ref="AB6:AD34" si="17">C6+P6</f>
        <v>11.600000000002183</v>
      </c>
      <c r="AD6" s="8">
        <f t="shared" si="17"/>
        <v>35.612000000006702</v>
      </c>
    </row>
    <row r="7" spans="1:30" x14ac:dyDescent="0.2">
      <c r="A7" s="28">
        <v>41308</v>
      </c>
      <c r="B7" s="7">
        <f>'[4]Feb Prod'!I6</f>
        <v>12899999.999997817</v>
      </c>
      <c r="C7" s="8">
        <f t="shared" si="0"/>
        <v>12.899999999997817</v>
      </c>
      <c r="D7" s="10">
        <f t="shared" si="1"/>
        <v>39.602999999993294</v>
      </c>
      <c r="E7" s="7">
        <f>'[4]Feb Prod'!E6</f>
        <v>8000000</v>
      </c>
      <c r="F7" s="8">
        <f t="shared" si="2"/>
        <v>8</v>
      </c>
      <c r="G7" s="10">
        <f t="shared" si="3"/>
        <v>24.56</v>
      </c>
      <c r="H7" s="7">
        <f>'[4]Feb Prod'!F6</f>
        <v>5000000</v>
      </c>
      <c r="I7" s="8">
        <f t="shared" si="4"/>
        <v>5</v>
      </c>
      <c r="J7" s="10">
        <f t="shared" si="5"/>
        <v>15.35</v>
      </c>
      <c r="K7" s="7">
        <f>'[4]Feb Prod'!H247</f>
        <v>43</v>
      </c>
      <c r="L7" s="8">
        <f t="shared" si="6"/>
        <v>4.3000000000000002E-5</v>
      </c>
      <c r="M7" s="10">
        <f t="shared" si="7"/>
        <v>1.3201E-4</v>
      </c>
      <c r="N7" s="21"/>
      <c r="O7" s="7">
        <f>'[4]Feb Prod'!H6</f>
        <v>0</v>
      </c>
      <c r="P7" s="8">
        <f t="shared" si="8"/>
        <v>0</v>
      </c>
      <c r="Q7" s="10">
        <f t="shared" si="9"/>
        <v>0</v>
      </c>
      <c r="R7" s="7">
        <f>'[4]Feb Prod'!C6</f>
        <v>0</v>
      </c>
      <c r="S7" s="8">
        <f t="shared" si="10"/>
        <v>0</v>
      </c>
      <c r="T7" s="10">
        <f t="shared" si="11"/>
        <v>0</v>
      </c>
      <c r="U7" s="7">
        <f>'[4]Feb Prod'!D6</f>
        <v>0</v>
      </c>
      <c r="V7" s="8">
        <f t="shared" si="12"/>
        <v>0</v>
      </c>
      <c r="W7" s="10">
        <f t="shared" si="13"/>
        <v>0</v>
      </c>
      <c r="X7" s="7">
        <f>'[4]Feb Prod'!D247</f>
        <v>664.70000000001164</v>
      </c>
      <c r="Y7" s="8">
        <f t="shared" si="14"/>
        <v>6.6470000000001166E-4</v>
      </c>
      <c r="Z7" s="10">
        <f t="shared" si="15"/>
        <v>2.0406290000000355E-3</v>
      </c>
      <c r="AA7" s="15"/>
      <c r="AB7" s="7">
        <f t="shared" si="16"/>
        <v>12899999.999997817</v>
      </c>
      <c r="AC7" s="8">
        <f t="shared" si="17"/>
        <v>12.899999999997817</v>
      </c>
      <c r="AD7" s="8">
        <f t="shared" si="17"/>
        <v>39.602999999993294</v>
      </c>
    </row>
    <row r="8" spans="1:30" x14ac:dyDescent="0.2">
      <c r="A8" s="28">
        <v>41309</v>
      </c>
      <c r="B8" s="7">
        <f>'[4]Feb Prod'!I7</f>
        <v>10200000.000000728</v>
      </c>
      <c r="C8" s="8">
        <f t="shared" si="0"/>
        <v>10.200000000000728</v>
      </c>
      <c r="D8" s="10">
        <f t="shared" si="1"/>
        <v>31.314000000002231</v>
      </c>
      <c r="E8" s="7">
        <f>'[4]Feb Prod'!E7</f>
        <v>6000000</v>
      </c>
      <c r="F8" s="8">
        <f t="shared" si="2"/>
        <v>6</v>
      </c>
      <c r="G8" s="10">
        <f t="shared" si="3"/>
        <v>18.419999999999998</v>
      </c>
      <c r="H8" s="7">
        <f>'[4]Feb Prod'!F7</f>
        <v>4160000</v>
      </c>
      <c r="I8" s="8">
        <f t="shared" si="4"/>
        <v>4.16</v>
      </c>
      <c r="J8" s="10">
        <f t="shared" si="5"/>
        <v>12.7712</v>
      </c>
      <c r="K8" s="7">
        <f>'[4]Feb Prod'!H248</f>
        <v>44</v>
      </c>
      <c r="L8" s="8">
        <f t="shared" si="6"/>
        <v>4.3999999999999999E-5</v>
      </c>
      <c r="M8" s="10">
        <f t="shared" si="7"/>
        <v>1.3507999999999999E-4</v>
      </c>
      <c r="N8" s="21"/>
      <c r="O8" s="7">
        <f>'[4]Feb Prod'!H7</f>
        <v>0</v>
      </c>
      <c r="P8" s="8">
        <f t="shared" si="8"/>
        <v>0</v>
      </c>
      <c r="Q8" s="10">
        <f t="shared" si="9"/>
        <v>0</v>
      </c>
      <c r="R8" s="7">
        <f>'[4]Feb Prod'!C7</f>
        <v>0</v>
      </c>
      <c r="S8" s="8">
        <f t="shared" si="10"/>
        <v>0</v>
      </c>
      <c r="T8" s="10">
        <f t="shared" si="11"/>
        <v>0</v>
      </c>
      <c r="U8" s="7">
        <f>'[4]Feb Prod'!D7</f>
        <v>0</v>
      </c>
      <c r="V8" s="8">
        <f t="shared" si="12"/>
        <v>0</v>
      </c>
      <c r="W8" s="10">
        <f t="shared" si="13"/>
        <v>0</v>
      </c>
      <c r="X8" s="7">
        <f>'[4]Feb Prod'!D248</f>
        <v>615.79999999998836</v>
      </c>
      <c r="Y8" s="8">
        <f t="shared" si="14"/>
        <v>6.1579999999998841E-4</v>
      </c>
      <c r="Z8" s="10">
        <f t="shared" si="15"/>
        <v>1.8905059999999644E-3</v>
      </c>
      <c r="AA8" s="15"/>
      <c r="AB8" s="7">
        <f t="shared" si="16"/>
        <v>10200000.000000728</v>
      </c>
      <c r="AC8" s="8">
        <f t="shared" si="17"/>
        <v>10.200000000000728</v>
      </c>
      <c r="AD8" s="8">
        <f>D8+Q8</f>
        <v>31.314000000002231</v>
      </c>
    </row>
    <row r="9" spans="1:30" x14ac:dyDescent="0.2">
      <c r="A9" s="28">
        <v>41310</v>
      </c>
      <c r="B9" s="7">
        <f>'[4]Feb Prod'!I8</f>
        <v>10299999.999999272</v>
      </c>
      <c r="C9" s="8">
        <f t="shared" si="0"/>
        <v>10.299999999999272</v>
      </c>
      <c r="D9" s="10">
        <f t="shared" si="1"/>
        <v>31.620999999997764</v>
      </c>
      <c r="E9" s="7">
        <f>'[4]Feb Prod'!E8</f>
        <v>7000000</v>
      </c>
      <c r="F9" s="8">
        <f t="shared" si="2"/>
        <v>7</v>
      </c>
      <c r="G9" s="10">
        <f t="shared" si="3"/>
        <v>21.49</v>
      </c>
      <c r="H9" s="7">
        <f>'[4]Feb Prod'!F8</f>
        <v>5010000</v>
      </c>
      <c r="I9" s="8">
        <f t="shared" si="4"/>
        <v>5.01</v>
      </c>
      <c r="J9" s="10">
        <f t="shared" si="5"/>
        <v>15.380699999999999</v>
      </c>
      <c r="K9" s="7">
        <f>'[4]Feb Prod'!H249</f>
        <v>34</v>
      </c>
      <c r="L9" s="8">
        <f t="shared" si="6"/>
        <v>3.4E-5</v>
      </c>
      <c r="M9" s="10">
        <f t="shared" si="7"/>
        <v>1.0438E-4</v>
      </c>
      <c r="N9" s="21"/>
      <c r="O9" s="7">
        <f>'[4]Feb Prod'!H8</f>
        <v>0</v>
      </c>
      <c r="P9" s="8">
        <f t="shared" si="8"/>
        <v>0</v>
      </c>
      <c r="Q9" s="10">
        <f t="shared" si="9"/>
        <v>0</v>
      </c>
      <c r="R9" s="7">
        <f>'[4]Feb Prod'!C8</f>
        <v>0</v>
      </c>
      <c r="S9" s="8">
        <f t="shared" si="10"/>
        <v>0</v>
      </c>
      <c r="T9" s="10">
        <f t="shared" si="11"/>
        <v>0</v>
      </c>
      <c r="U9" s="7">
        <f>'[4]Feb Prod'!D8</f>
        <v>0</v>
      </c>
      <c r="V9" s="8">
        <f t="shared" si="12"/>
        <v>0</v>
      </c>
      <c r="W9" s="10">
        <f t="shared" si="13"/>
        <v>0</v>
      </c>
      <c r="X9" s="7">
        <f>'[4]Feb Prod'!D249</f>
        <v>557.10000000003492</v>
      </c>
      <c r="Y9" s="8">
        <f t="shared" si="14"/>
        <v>5.5710000000003495E-4</v>
      </c>
      <c r="Z9" s="10">
        <f t="shared" si="15"/>
        <v>1.7102970000001073E-3</v>
      </c>
      <c r="AA9" s="15"/>
      <c r="AB9" s="7">
        <f t="shared" si="16"/>
        <v>10299999.999999272</v>
      </c>
      <c r="AC9" s="8">
        <f t="shared" si="17"/>
        <v>10.299999999999272</v>
      </c>
      <c r="AD9" s="8">
        <f t="shared" si="17"/>
        <v>31.620999999997764</v>
      </c>
    </row>
    <row r="10" spans="1:30" x14ac:dyDescent="0.2">
      <c r="A10" s="28">
        <v>41311</v>
      </c>
      <c r="B10" s="7">
        <f>'[4]Feb Prod'!I9</f>
        <v>10300000.000002909</v>
      </c>
      <c r="C10" s="8">
        <f t="shared" si="0"/>
        <v>10.300000000002909</v>
      </c>
      <c r="D10" s="10">
        <f t="shared" si="1"/>
        <v>31.621000000008927</v>
      </c>
      <c r="E10" s="7">
        <f>'[4]Feb Prod'!E9</f>
        <v>6000000</v>
      </c>
      <c r="F10" s="8">
        <f t="shared" si="2"/>
        <v>6</v>
      </c>
      <c r="G10" s="10">
        <f t="shared" si="3"/>
        <v>18.419999999999998</v>
      </c>
      <c r="H10" s="7">
        <f>'[4]Feb Prod'!F9</f>
        <v>5000000</v>
      </c>
      <c r="I10" s="8">
        <f t="shared" si="4"/>
        <v>5</v>
      </c>
      <c r="J10" s="10">
        <f t="shared" si="5"/>
        <v>15.35</v>
      </c>
      <c r="K10" s="7">
        <f>'[4]Feb Prod'!H250</f>
        <v>38</v>
      </c>
      <c r="L10" s="8">
        <f t="shared" si="6"/>
        <v>3.8000000000000002E-5</v>
      </c>
      <c r="M10" s="10">
        <f t="shared" si="7"/>
        <v>1.1666E-4</v>
      </c>
      <c r="N10" s="21"/>
      <c r="O10" s="7">
        <f>'[4]Feb Prod'!H9</f>
        <v>0</v>
      </c>
      <c r="P10" s="8">
        <f t="shared" si="8"/>
        <v>0</v>
      </c>
      <c r="Q10" s="10">
        <f t="shared" si="9"/>
        <v>0</v>
      </c>
      <c r="R10" s="7">
        <f>'[4]Feb Prod'!C9</f>
        <v>0</v>
      </c>
      <c r="S10" s="8">
        <f t="shared" si="10"/>
        <v>0</v>
      </c>
      <c r="T10" s="10">
        <f t="shared" si="11"/>
        <v>0</v>
      </c>
      <c r="U10" s="7">
        <f>'[4]Feb Prod'!D9</f>
        <v>0</v>
      </c>
      <c r="V10" s="8">
        <f t="shared" si="12"/>
        <v>0</v>
      </c>
      <c r="W10" s="10">
        <f t="shared" si="13"/>
        <v>0</v>
      </c>
      <c r="X10" s="7">
        <f>'[4]Feb Prod'!D250</f>
        <v>605.79999999998836</v>
      </c>
      <c r="Y10" s="8">
        <f t="shared" si="14"/>
        <v>6.0579999999998838E-4</v>
      </c>
      <c r="Z10" s="10">
        <f t="shared" si="15"/>
        <v>1.8598059999999643E-3</v>
      </c>
      <c r="AA10" s="15"/>
      <c r="AB10" s="7">
        <f t="shared" si="16"/>
        <v>10300000.000002909</v>
      </c>
      <c r="AC10" s="8">
        <f t="shared" si="17"/>
        <v>10.300000000002909</v>
      </c>
      <c r="AD10" s="8">
        <f t="shared" si="17"/>
        <v>31.621000000008927</v>
      </c>
    </row>
    <row r="11" spans="1:30" x14ac:dyDescent="0.2">
      <c r="A11" s="28">
        <v>41312</v>
      </c>
      <c r="B11" s="7">
        <f>'[4]Feb Prod'!I10</f>
        <v>11599999.999998545</v>
      </c>
      <c r="C11" s="8">
        <f t="shared" si="0"/>
        <v>11.599999999998545</v>
      </c>
      <c r="D11" s="10">
        <f t="shared" si="1"/>
        <v>35.611999999995533</v>
      </c>
      <c r="E11" s="7">
        <f>'[4]Feb Prod'!E10</f>
        <v>6000000</v>
      </c>
      <c r="F11" s="8">
        <f t="shared" si="2"/>
        <v>6</v>
      </c>
      <c r="G11" s="10">
        <f t="shared" si="3"/>
        <v>18.419999999999998</v>
      </c>
      <c r="H11" s="7">
        <f>'[4]Feb Prod'!F10</f>
        <v>5040000</v>
      </c>
      <c r="I11" s="8">
        <f t="shared" si="4"/>
        <v>5.04</v>
      </c>
      <c r="J11" s="10">
        <f t="shared" si="5"/>
        <v>15.472799999999999</v>
      </c>
      <c r="K11" s="7">
        <f>'[4]Feb Prod'!H251</f>
        <v>-2328</v>
      </c>
      <c r="L11" s="8">
        <f t="shared" si="6"/>
        <v>-2.3280000000000002E-3</v>
      </c>
      <c r="M11" s="10">
        <f t="shared" si="7"/>
        <v>-7.1469599999999999E-3</v>
      </c>
      <c r="N11" s="21"/>
      <c r="O11" s="7">
        <f>'[4]Feb Prod'!H10</f>
        <v>0</v>
      </c>
      <c r="P11" s="8">
        <f t="shared" si="8"/>
        <v>0</v>
      </c>
      <c r="Q11" s="10">
        <f t="shared" si="9"/>
        <v>0</v>
      </c>
      <c r="R11" s="7">
        <f>'[4]Feb Prod'!C10</f>
        <v>0</v>
      </c>
      <c r="S11" s="8">
        <f t="shared" si="10"/>
        <v>0</v>
      </c>
      <c r="T11" s="10">
        <f t="shared" si="11"/>
        <v>0</v>
      </c>
      <c r="U11" s="7">
        <f>'[4]Feb Prod'!D10</f>
        <v>0</v>
      </c>
      <c r="V11" s="8">
        <f t="shared" si="12"/>
        <v>0</v>
      </c>
      <c r="W11" s="10">
        <f t="shared" si="13"/>
        <v>0</v>
      </c>
      <c r="X11" s="7">
        <f>'[4]Feb Prod'!D251</f>
        <v>-566507.10000000009</v>
      </c>
      <c r="Y11" s="8">
        <f t="shared" si="14"/>
        <v>-0.56650710000000004</v>
      </c>
      <c r="Z11" s="10">
        <f t="shared" si="15"/>
        <v>-1.7391767970000001</v>
      </c>
      <c r="AA11" s="15"/>
      <c r="AB11" s="7">
        <f t="shared" si="16"/>
        <v>11599999.999998545</v>
      </c>
      <c r="AC11" s="8">
        <f t="shared" si="17"/>
        <v>11.599999999998545</v>
      </c>
      <c r="AD11" s="8">
        <f t="shared" si="17"/>
        <v>35.611999999995533</v>
      </c>
    </row>
    <row r="12" spans="1:30" x14ac:dyDescent="0.2">
      <c r="A12" s="28">
        <v>41313</v>
      </c>
      <c r="B12" s="7">
        <f>'[4]Feb Prod'!I11</f>
        <v>9900000.0000014547</v>
      </c>
      <c r="C12" s="8">
        <f t="shared" si="0"/>
        <v>9.9000000000014552</v>
      </c>
      <c r="D12" s="10">
        <f t="shared" si="1"/>
        <v>30.393000000004466</v>
      </c>
      <c r="E12" s="7">
        <f>'[4]Feb Prod'!E11</f>
        <v>5000000</v>
      </c>
      <c r="F12" s="8">
        <f t="shared" si="2"/>
        <v>5</v>
      </c>
      <c r="G12" s="10">
        <f t="shared" si="3"/>
        <v>15.35</v>
      </c>
      <c r="H12" s="7">
        <f>'[4]Feb Prod'!F11</f>
        <v>5000000</v>
      </c>
      <c r="I12" s="8">
        <f t="shared" si="4"/>
        <v>5</v>
      </c>
      <c r="J12" s="10">
        <f t="shared" si="5"/>
        <v>15.35</v>
      </c>
      <c r="K12" s="7">
        <f>'[4]Feb Prod'!H252</f>
        <v>0</v>
      </c>
      <c r="L12" s="8">
        <f t="shared" si="6"/>
        <v>0</v>
      </c>
      <c r="M12" s="10">
        <f t="shared" si="7"/>
        <v>0</v>
      </c>
      <c r="N12" s="21"/>
      <c r="O12" s="7">
        <f>'[4]Feb Prod'!H11</f>
        <v>0</v>
      </c>
      <c r="P12" s="8">
        <f t="shared" si="8"/>
        <v>0</v>
      </c>
      <c r="Q12" s="10">
        <f t="shared" si="9"/>
        <v>0</v>
      </c>
      <c r="R12" s="7">
        <f>'[4]Feb Prod'!C11</f>
        <v>0</v>
      </c>
      <c r="S12" s="8">
        <f t="shared" si="10"/>
        <v>0</v>
      </c>
      <c r="T12" s="10">
        <f t="shared" si="11"/>
        <v>0</v>
      </c>
      <c r="U12" s="7">
        <f>'[4]Feb Prod'!D11</f>
        <v>0</v>
      </c>
      <c r="V12" s="8">
        <f t="shared" si="12"/>
        <v>0</v>
      </c>
      <c r="W12" s="10">
        <f t="shared" si="13"/>
        <v>0</v>
      </c>
      <c r="X12" s="7">
        <f>'[4]Feb Prod'!D252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9900000.0000014547</v>
      </c>
      <c r="AC12" s="8">
        <f t="shared" si="17"/>
        <v>9.9000000000014552</v>
      </c>
      <c r="AD12" s="8">
        <f t="shared" si="17"/>
        <v>30.393000000004466</v>
      </c>
    </row>
    <row r="13" spans="1:30" x14ac:dyDescent="0.2">
      <c r="A13" s="28">
        <v>41314</v>
      </c>
      <c r="B13" s="7">
        <f>'[4]Feb Prod'!I12</f>
        <v>8699999.9999970905</v>
      </c>
      <c r="C13" s="8">
        <f t="shared" si="0"/>
        <v>8.6999999999970914</v>
      </c>
      <c r="D13" s="10">
        <f t="shared" si="1"/>
        <v>26.708999999991068</v>
      </c>
      <c r="E13" s="7">
        <f>'[4]Feb Prod'!E12</f>
        <v>4000000</v>
      </c>
      <c r="F13" s="8">
        <f t="shared" si="2"/>
        <v>4</v>
      </c>
      <c r="G13" s="10">
        <f t="shared" si="3"/>
        <v>12.28</v>
      </c>
      <c r="H13" s="7">
        <f>'[4]Feb Prod'!F12</f>
        <v>4900000</v>
      </c>
      <c r="I13" s="8">
        <f t="shared" si="4"/>
        <v>4.9000000000000004</v>
      </c>
      <c r="J13" s="10">
        <f t="shared" si="5"/>
        <v>15.043000000000001</v>
      </c>
      <c r="K13" s="7">
        <f>'[4]Feb Prod'!H253</f>
        <v>0</v>
      </c>
      <c r="L13" s="8">
        <f t="shared" si="6"/>
        <v>0</v>
      </c>
      <c r="M13" s="10">
        <f t="shared" si="7"/>
        <v>0</v>
      </c>
      <c r="N13" s="21"/>
      <c r="O13" s="7">
        <f>'[4]Feb Prod'!H12</f>
        <v>0</v>
      </c>
      <c r="P13" s="8">
        <f t="shared" si="8"/>
        <v>0</v>
      </c>
      <c r="Q13" s="10">
        <f t="shared" si="9"/>
        <v>0</v>
      </c>
      <c r="R13" s="7">
        <f>'[4]Feb Prod'!C12</f>
        <v>0</v>
      </c>
      <c r="S13" s="8">
        <f t="shared" si="10"/>
        <v>0</v>
      </c>
      <c r="T13" s="10">
        <f t="shared" si="11"/>
        <v>0</v>
      </c>
      <c r="U13" s="7">
        <f>'[4]Feb Prod'!D12</f>
        <v>0</v>
      </c>
      <c r="V13" s="8">
        <f t="shared" si="12"/>
        <v>0</v>
      </c>
      <c r="W13" s="10">
        <f t="shared" si="13"/>
        <v>0</v>
      </c>
      <c r="X13" s="7">
        <f>'[4]Feb Prod'!D253</f>
        <v>0</v>
      </c>
      <c r="Y13" s="8">
        <f t="shared" si="14"/>
        <v>0</v>
      </c>
      <c r="Z13" s="10">
        <f t="shared" si="15"/>
        <v>0</v>
      </c>
      <c r="AA13" s="15"/>
      <c r="AB13" s="7">
        <f t="shared" si="16"/>
        <v>8699999.9999970905</v>
      </c>
      <c r="AC13" s="8">
        <f t="shared" si="17"/>
        <v>8.6999999999970914</v>
      </c>
      <c r="AD13" s="8">
        <f t="shared" si="17"/>
        <v>26.708999999991068</v>
      </c>
    </row>
    <row r="14" spans="1:30" x14ac:dyDescent="0.2">
      <c r="A14" s="28">
        <v>41315</v>
      </c>
      <c r="B14" s="7">
        <f>'[4]Feb Prod'!I13</f>
        <v>11000000</v>
      </c>
      <c r="C14" s="8">
        <f t="shared" si="0"/>
        <v>11</v>
      </c>
      <c r="D14" s="10">
        <f t="shared" si="1"/>
        <v>33.769999999999996</v>
      </c>
      <c r="E14" s="7">
        <f>'[4]Feb Prod'!E13</f>
        <v>6000000</v>
      </c>
      <c r="F14" s="8">
        <f t="shared" si="2"/>
        <v>6</v>
      </c>
      <c r="G14" s="10">
        <f t="shared" si="3"/>
        <v>18.419999999999998</v>
      </c>
      <c r="H14" s="7">
        <f>'[4]Feb Prod'!F13</f>
        <v>5080000</v>
      </c>
      <c r="I14" s="8">
        <f t="shared" si="4"/>
        <v>5.08</v>
      </c>
      <c r="J14" s="10">
        <f t="shared" si="5"/>
        <v>15.595599999999999</v>
      </c>
      <c r="K14" s="7">
        <f>'[4]Feb Prod'!H254</f>
        <v>-1175</v>
      </c>
      <c r="L14" s="8">
        <f t="shared" ref="L14:L24" si="18">K14/1000000</f>
        <v>-1.175E-3</v>
      </c>
      <c r="M14" s="10">
        <f t="shared" ref="M14:M24" si="19">L14*3.07</f>
        <v>-3.6072499999999998E-3</v>
      </c>
      <c r="N14" s="21"/>
      <c r="O14" s="7">
        <f>'[4]Feb Prod'!H13</f>
        <v>0</v>
      </c>
      <c r="P14" s="8">
        <f t="shared" si="8"/>
        <v>0</v>
      </c>
      <c r="Q14" s="10">
        <f t="shared" si="9"/>
        <v>0</v>
      </c>
      <c r="R14" s="7">
        <f>'[4]Feb Prod'!C13</f>
        <v>0</v>
      </c>
      <c r="S14" s="8">
        <f t="shared" si="10"/>
        <v>0</v>
      </c>
      <c r="T14" s="10">
        <f t="shared" si="11"/>
        <v>0</v>
      </c>
      <c r="U14" s="7">
        <f>'[4]Feb Prod'!D13</f>
        <v>0</v>
      </c>
      <c r="V14" s="8">
        <f t="shared" si="12"/>
        <v>0</v>
      </c>
      <c r="W14" s="10">
        <f t="shared" si="13"/>
        <v>0</v>
      </c>
      <c r="X14" s="7">
        <f>'[4]Feb Prod'!D254</f>
        <v>-548048.70000000007</v>
      </c>
      <c r="Y14" s="8">
        <f t="shared" si="14"/>
        <v>-0.54804870000000006</v>
      </c>
      <c r="Z14" s="10">
        <f t="shared" si="15"/>
        <v>-1.6825095090000002</v>
      </c>
      <c r="AA14" s="15"/>
      <c r="AB14" s="7">
        <f t="shared" si="16"/>
        <v>11000000</v>
      </c>
      <c r="AC14" s="8">
        <f t="shared" si="17"/>
        <v>11</v>
      </c>
      <c r="AD14" s="8">
        <f t="shared" si="17"/>
        <v>33.769999999999996</v>
      </c>
    </row>
    <row r="15" spans="1:30" x14ac:dyDescent="0.2">
      <c r="A15" s="28">
        <v>41316</v>
      </c>
      <c r="B15" s="7">
        <f>'[4]Feb Prod'!I14</f>
        <v>11500000</v>
      </c>
      <c r="C15" s="8">
        <f t="shared" si="0"/>
        <v>11.5</v>
      </c>
      <c r="D15" s="10">
        <f t="shared" si="1"/>
        <v>35.305</v>
      </c>
      <c r="E15" s="7">
        <f>'[4]Feb Prod'!E14</f>
        <v>7000000</v>
      </c>
      <c r="F15" s="8">
        <f t="shared" si="2"/>
        <v>7</v>
      </c>
      <c r="G15" s="10">
        <f t="shared" si="3"/>
        <v>21.49</v>
      </c>
      <c r="H15" s="7">
        <f>'[4]Feb Prod'!F14</f>
        <v>5010000</v>
      </c>
      <c r="I15" s="8">
        <f t="shared" si="4"/>
        <v>5.01</v>
      </c>
      <c r="J15" s="10">
        <f t="shared" si="5"/>
        <v>15.380699999999999</v>
      </c>
      <c r="K15" s="7">
        <f>'[4]Feb Prod'!H255</f>
        <v>0</v>
      </c>
      <c r="L15" s="8">
        <f t="shared" si="18"/>
        <v>0</v>
      </c>
      <c r="M15" s="10">
        <f t="shared" si="19"/>
        <v>0</v>
      </c>
      <c r="N15" s="21"/>
      <c r="O15" s="7">
        <f>'[4]Feb Prod'!H14</f>
        <v>0</v>
      </c>
      <c r="P15" s="8">
        <f t="shared" si="8"/>
        <v>0</v>
      </c>
      <c r="Q15" s="10">
        <f t="shared" si="9"/>
        <v>0</v>
      </c>
      <c r="R15" s="7">
        <f>'[4]Feb Prod'!C14</f>
        <v>0</v>
      </c>
      <c r="S15" s="8">
        <f t="shared" si="10"/>
        <v>0</v>
      </c>
      <c r="T15" s="10">
        <f t="shared" si="11"/>
        <v>0</v>
      </c>
      <c r="U15" s="7">
        <f>'[4]Feb Prod'!D14</f>
        <v>0</v>
      </c>
      <c r="V15" s="8">
        <f t="shared" si="12"/>
        <v>0</v>
      </c>
      <c r="W15" s="10">
        <f t="shared" si="13"/>
        <v>0</v>
      </c>
      <c r="X15" s="7">
        <f>'[4]Feb Prod'!D255</f>
        <v>0</v>
      </c>
      <c r="Y15" s="8">
        <f t="shared" si="14"/>
        <v>0</v>
      </c>
      <c r="Z15" s="10">
        <f t="shared" si="15"/>
        <v>0</v>
      </c>
      <c r="AA15" s="15"/>
      <c r="AB15" s="7">
        <f t="shared" si="16"/>
        <v>11500000</v>
      </c>
      <c r="AC15" s="8">
        <f t="shared" si="17"/>
        <v>11.5</v>
      </c>
      <c r="AD15" s="8">
        <f t="shared" si="17"/>
        <v>35.305</v>
      </c>
    </row>
    <row r="16" spans="1:30" x14ac:dyDescent="0.2">
      <c r="A16" s="28">
        <v>41317</v>
      </c>
      <c r="B16" s="7">
        <f>'[4]Feb Prod'!I15</f>
        <v>11500000</v>
      </c>
      <c r="C16" s="8">
        <f t="shared" si="0"/>
        <v>11.5</v>
      </c>
      <c r="D16" s="10">
        <f t="shared" si="1"/>
        <v>35.305</v>
      </c>
      <c r="E16" s="7">
        <f>'[4]Feb Prod'!E15</f>
        <v>7000000</v>
      </c>
      <c r="F16" s="8">
        <f t="shared" si="2"/>
        <v>7</v>
      </c>
      <c r="G16" s="10">
        <f t="shared" si="3"/>
        <v>21.49</v>
      </c>
      <c r="H16" s="7">
        <f>'[4]Feb Prod'!F15</f>
        <v>4960000</v>
      </c>
      <c r="I16" s="8">
        <f t="shared" si="4"/>
        <v>4.96</v>
      </c>
      <c r="J16" s="10">
        <f t="shared" si="5"/>
        <v>15.2272</v>
      </c>
      <c r="K16" s="7">
        <f>'[4]Feb Prod'!H256</f>
        <v>0</v>
      </c>
      <c r="L16" s="8">
        <f t="shared" si="18"/>
        <v>0</v>
      </c>
      <c r="M16" s="10">
        <f t="shared" si="19"/>
        <v>0</v>
      </c>
      <c r="N16" s="21"/>
      <c r="O16" s="7">
        <f>'[4]Feb Prod'!H15</f>
        <v>0</v>
      </c>
      <c r="P16" s="8">
        <f t="shared" si="8"/>
        <v>0</v>
      </c>
      <c r="Q16" s="10">
        <f t="shared" si="9"/>
        <v>0</v>
      </c>
      <c r="R16" s="7">
        <f>'[4]Feb Prod'!C15</f>
        <v>0</v>
      </c>
      <c r="S16" s="8">
        <f t="shared" si="10"/>
        <v>0</v>
      </c>
      <c r="T16" s="10">
        <f t="shared" si="11"/>
        <v>0</v>
      </c>
      <c r="U16" s="7">
        <f>'[4]Feb Prod'!D15</f>
        <v>0</v>
      </c>
      <c r="V16" s="8">
        <f t="shared" si="12"/>
        <v>0</v>
      </c>
      <c r="W16" s="10">
        <f t="shared" si="13"/>
        <v>0</v>
      </c>
      <c r="X16" s="7">
        <f>'[4]Feb Prod'!D256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11500000</v>
      </c>
      <c r="AC16" s="8">
        <f t="shared" si="17"/>
        <v>11.5</v>
      </c>
      <c r="AD16" s="8">
        <f t="shared" si="17"/>
        <v>35.305</v>
      </c>
    </row>
    <row r="17" spans="1:30" x14ac:dyDescent="0.2">
      <c r="A17" s="28">
        <v>41318</v>
      </c>
      <c r="B17" s="7">
        <f>'[4]Feb Prod'!I16</f>
        <v>10100000.000002183</v>
      </c>
      <c r="C17" s="8">
        <f t="shared" si="0"/>
        <v>10.100000000002183</v>
      </c>
      <c r="D17" s="10">
        <f t="shared" si="1"/>
        <v>31.007000000006698</v>
      </c>
      <c r="E17" s="7">
        <f>'[4]Feb Prod'!E16</f>
        <v>6000000</v>
      </c>
      <c r="F17" s="8">
        <f t="shared" si="2"/>
        <v>6</v>
      </c>
      <c r="G17" s="10">
        <f t="shared" si="3"/>
        <v>18.419999999999998</v>
      </c>
      <c r="H17" s="7">
        <f>'[4]Feb Prod'!F16</f>
        <v>5020000</v>
      </c>
      <c r="I17" s="8">
        <f t="shared" si="4"/>
        <v>5.0199999999999996</v>
      </c>
      <c r="J17" s="10">
        <f t="shared" si="5"/>
        <v>15.411399999999999</v>
      </c>
      <c r="K17" s="7">
        <f>'[4]Feb Prod'!H257</f>
        <v>0</v>
      </c>
      <c r="L17" s="8">
        <f t="shared" si="18"/>
        <v>0</v>
      </c>
      <c r="M17" s="10">
        <f t="shared" si="19"/>
        <v>0</v>
      </c>
      <c r="N17" s="21"/>
      <c r="O17" s="7">
        <f>'[4]Feb Prod'!H16</f>
        <v>0</v>
      </c>
      <c r="P17" s="8">
        <f t="shared" si="8"/>
        <v>0</v>
      </c>
      <c r="Q17" s="10">
        <f t="shared" si="9"/>
        <v>0</v>
      </c>
      <c r="R17" s="7">
        <f>'[4]Feb Prod'!C16</f>
        <v>0</v>
      </c>
      <c r="S17" s="8">
        <f t="shared" si="10"/>
        <v>0</v>
      </c>
      <c r="T17" s="10">
        <f t="shared" si="11"/>
        <v>0</v>
      </c>
      <c r="U17" s="7">
        <f>'[4]Feb Prod'!D16</f>
        <v>0</v>
      </c>
      <c r="V17" s="8">
        <f t="shared" si="12"/>
        <v>0</v>
      </c>
      <c r="W17" s="10">
        <f t="shared" si="13"/>
        <v>0</v>
      </c>
      <c r="X17" s="7">
        <f>'[4]Feb Prod'!D257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10100000.000002183</v>
      </c>
      <c r="AC17" s="8">
        <f t="shared" si="17"/>
        <v>10.100000000002183</v>
      </c>
      <c r="AD17" s="8">
        <f t="shared" si="17"/>
        <v>31.007000000006698</v>
      </c>
    </row>
    <row r="18" spans="1:30" x14ac:dyDescent="0.2">
      <c r="A18" s="28">
        <v>41319</v>
      </c>
      <c r="B18" s="7">
        <f>'[4]Feb Prod'!I17</f>
        <v>10500000</v>
      </c>
      <c r="C18" s="8">
        <f t="shared" si="0"/>
        <v>10.5</v>
      </c>
      <c r="D18" s="10">
        <f t="shared" si="1"/>
        <v>32.234999999999999</v>
      </c>
      <c r="E18" s="7">
        <f>'[4]Feb Prod'!E17</f>
        <v>5000000</v>
      </c>
      <c r="F18" s="8">
        <f t="shared" si="2"/>
        <v>5</v>
      </c>
      <c r="G18" s="10">
        <f t="shared" si="3"/>
        <v>15.35</v>
      </c>
      <c r="H18" s="7">
        <f>'[4]Feb Prod'!F17</f>
        <v>5110000</v>
      </c>
      <c r="I18" s="8">
        <f t="shared" si="4"/>
        <v>5.1100000000000003</v>
      </c>
      <c r="J18" s="10">
        <f t="shared" si="5"/>
        <v>15.6877</v>
      </c>
      <c r="K18" s="44">
        <v>0</v>
      </c>
      <c r="L18" s="45">
        <f t="shared" si="18"/>
        <v>0</v>
      </c>
      <c r="M18" s="46">
        <f t="shared" si="19"/>
        <v>0</v>
      </c>
      <c r="N18" s="21"/>
      <c r="O18" s="7">
        <f>'[4]Feb Prod'!H17</f>
        <v>0</v>
      </c>
      <c r="P18" s="8">
        <f t="shared" si="8"/>
        <v>0</v>
      </c>
      <c r="Q18" s="10">
        <f t="shared" si="9"/>
        <v>0</v>
      </c>
      <c r="R18" s="7">
        <f>'[4]Feb Prod'!C17</f>
        <v>0</v>
      </c>
      <c r="S18" s="8">
        <f t="shared" si="10"/>
        <v>0</v>
      </c>
      <c r="T18" s="10">
        <f t="shared" si="11"/>
        <v>0</v>
      </c>
      <c r="U18" s="7">
        <f>'[4]Feb Prod'!D17</f>
        <v>0</v>
      </c>
      <c r="V18" s="8">
        <f t="shared" si="12"/>
        <v>0</v>
      </c>
      <c r="W18" s="10">
        <f t="shared" si="13"/>
        <v>0</v>
      </c>
      <c r="X18" s="44">
        <v>0</v>
      </c>
      <c r="Y18" s="45">
        <f t="shared" si="14"/>
        <v>0</v>
      </c>
      <c r="Z18" s="46">
        <f t="shared" si="15"/>
        <v>0</v>
      </c>
      <c r="AA18" s="15"/>
      <c r="AB18" s="7">
        <f t="shared" si="17"/>
        <v>10500000</v>
      </c>
      <c r="AC18" s="8">
        <f t="shared" si="17"/>
        <v>10.5</v>
      </c>
      <c r="AD18" s="8">
        <f t="shared" si="17"/>
        <v>32.234999999999999</v>
      </c>
    </row>
    <row r="19" spans="1:30" x14ac:dyDescent="0.2">
      <c r="A19" s="28">
        <v>41320</v>
      </c>
      <c r="B19" s="7">
        <f>'[4]Feb Prod'!I18</f>
        <v>9700000.0000007283</v>
      </c>
      <c r="C19" s="8">
        <f t="shared" si="0"/>
        <v>9.7000000000007276</v>
      </c>
      <c r="D19" s="10">
        <f t="shared" si="1"/>
        <v>29.779000000002231</v>
      </c>
      <c r="E19" s="7">
        <f>'[4]Feb Prod'!E18</f>
        <v>5000000</v>
      </c>
      <c r="F19" s="8">
        <f t="shared" si="2"/>
        <v>5</v>
      </c>
      <c r="G19" s="10">
        <f t="shared" si="3"/>
        <v>15.35</v>
      </c>
      <c r="H19" s="7">
        <f>'[4]Feb Prod'!F18</f>
        <v>4900000</v>
      </c>
      <c r="I19" s="8">
        <f t="shared" si="4"/>
        <v>4.9000000000000004</v>
      </c>
      <c r="J19" s="10">
        <f t="shared" si="5"/>
        <v>15.043000000000001</v>
      </c>
      <c r="K19" s="7">
        <f>'[4]Feb Prod'!H259</f>
        <v>139362</v>
      </c>
      <c r="L19" s="8">
        <f t="shared" si="18"/>
        <v>0.13936200000000001</v>
      </c>
      <c r="M19" s="10">
        <f t="shared" si="19"/>
        <v>0.42784134000000001</v>
      </c>
      <c r="N19" s="21"/>
      <c r="O19" s="7">
        <f>'[4]Feb Prod'!H18</f>
        <v>0</v>
      </c>
      <c r="P19" s="8">
        <f t="shared" si="8"/>
        <v>0</v>
      </c>
      <c r="Q19" s="10">
        <f t="shared" si="9"/>
        <v>0</v>
      </c>
      <c r="R19" s="7">
        <f>'[4]Feb Prod'!C18</f>
        <v>0</v>
      </c>
      <c r="S19" s="8">
        <f t="shared" si="10"/>
        <v>0</v>
      </c>
      <c r="T19" s="10">
        <f t="shared" si="11"/>
        <v>0</v>
      </c>
      <c r="U19" s="7">
        <f>'[4]Feb Prod'!D18</f>
        <v>0</v>
      </c>
      <c r="V19" s="8">
        <f t="shared" si="12"/>
        <v>0</v>
      </c>
      <c r="W19" s="10">
        <f t="shared" si="13"/>
        <v>0</v>
      </c>
      <c r="X19" s="7">
        <f>'[4]Feb Prod'!D259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7"/>
        <v>9700000.0000007283</v>
      </c>
      <c r="AC19" s="8">
        <f t="shared" si="17"/>
        <v>9.7000000000007276</v>
      </c>
      <c r="AD19" s="8">
        <f>D19+Q19</f>
        <v>29.779000000002231</v>
      </c>
    </row>
    <row r="20" spans="1:30" x14ac:dyDescent="0.2">
      <c r="A20" s="28">
        <v>41321</v>
      </c>
      <c r="B20" s="7">
        <f>'[4]Feb Prod'!I19</f>
        <v>10299999.999999272</v>
      </c>
      <c r="C20" s="8">
        <f t="shared" si="0"/>
        <v>10.299999999999272</v>
      </c>
      <c r="D20" s="10">
        <f t="shared" si="1"/>
        <v>31.620999999997764</v>
      </c>
      <c r="E20" s="7">
        <f>'[4]Feb Prod'!E19</f>
        <v>7000000</v>
      </c>
      <c r="F20" s="8">
        <f t="shared" si="2"/>
        <v>7</v>
      </c>
      <c r="G20" s="10">
        <f t="shared" si="3"/>
        <v>21.49</v>
      </c>
      <c r="H20" s="7">
        <f>'[4]Feb Prod'!F19</f>
        <v>4950000</v>
      </c>
      <c r="I20" s="8">
        <f t="shared" si="4"/>
        <v>4.95</v>
      </c>
      <c r="J20" s="10">
        <f t="shared" si="5"/>
        <v>15.1965</v>
      </c>
      <c r="K20" s="7">
        <f>'[4]Feb Prod'!H260</f>
        <v>69391</v>
      </c>
      <c r="L20" s="8">
        <f t="shared" si="18"/>
        <v>6.9390999999999994E-2</v>
      </c>
      <c r="M20" s="10">
        <f t="shared" si="19"/>
        <v>0.21303036999999997</v>
      </c>
      <c r="N20" s="21"/>
      <c r="O20" s="7">
        <f>'[4]Feb Prod'!H19</f>
        <v>0</v>
      </c>
      <c r="P20" s="8">
        <f t="shared" si="8"/>
        <v>0</v>
      </c>
      <c r="Q20" s="10">
        <f t="shared" si="9"/>
        <v>0</v>
      </c>
      <c r="R20" s="7">
        <f>'[4]Feb Prod'!C19</f>
        <v>0</v>
      </c>
      <c r="S20" s="8">
        <f t="shared" si="10"/>
        <v>0</v>
      </c>
      <c r="T20" s="10">
        <f t="shared" si="11"/>
        <v>0</v>
      </c>
      <c r="U20" s="7">
        <f>'[4]Feb Prod'!D19</f>
        <v>0</v>
      </c>
      <c r="V20" s="8">
        <f t="shared" si="12"/>
        <v>0</v>
      </c>
      <c r="W20" s="10">
        <f t="shared" si="13"/>
        <v>0</v>
      </c>
      <c r="X20" s="7">
        <f>'[4]Feb Prod'!D260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7"/>
        <v>10299999.999999272</v>
      </c>
      <c r="AC20" s="8">
        <f t="shared" si="17"/>
        <v>10.299999999999272</v>
      </c>
      <c r="AD20" s="8">
        <f t="shared" si="17"/>
        <v>31.620999999997764</v>
      </c>
    </row>
    <row r="21" spans="1:30" x14ac:dyDescent="0.2">
      <c r="A21" s="28">
        <v>41322</v>
      </c>
      <c r="B21" s="7">
        <f>'[4]Feb Prod'!I20</f>
        <v>11399999.999997817</v>
      </c>
      <c r="C21" s="8">
        <f t="shared" si="0"/>
        <v>11.399999999997817</v>
      </c>
      <c r="D21" s="10">
        <f t="shared" si="1"/>
        <v>34.997999999993297</v>
      </c>
      <c r="E21" s="7">
        <f>'[4]Feb Prod'!E20</f>
        <v>6000000</v>
      </c>
      <c r="F21" s="8">
        <f t="shared" si="2"/>
        <v>6</v>
      </c>
      <c r="G21" s="10">
        <f t="shared" si="3"/>
        <v>18.419999999999998</v>
      </c>
      <c r="H21" s="7">
        <f>'[4]Feb Prod'!F20</f>
        <v>5020000</v>
      </c>
      <c r="I21" s="8">
        <f t="shared" si="4"/>
        <v>5.0199999999999996</v>
      </c>
      <c r="J21" s="10">
        <f t="shared" si="5"/>
        <v>15.411399999999999</v>
      </c>
      <c r="K21" s="7">
        <f>'[4]Feb Prod'!H261</f>
        <v>75016</v>
      </c>
      <c r="L21" s="8">
        <f t="shared" si="18"/>
        <v>7.5015999999999999E-2</v>
      </c>
      <c r="M21" s="10">
        <f t="shared" si="19"/>
        <v>0.23029912</v>
      </c>
      <c r="N21" s="21"/>
      <c r="O21" s="7">
        <f>'[4]Feb Prod'!H20</f>
        <v>0</v>
      </c>
      <c r="P21" s="8">
        <f t="shared" si="8"/>
        <v>0</v>
      </c>
      <c r="Q21" s="10">
        <f t="shared" si="9"/>
        <v>0</v>
      </c>
      <c r="R21" s="7">
        <f>'[4]Feb Prod'!C20</f>
        <v>0</v>
      </c>
      <c r="S21" s="8">
        <f t="shared" si="10"/>
        <v>0</v>
      </c>
      <c r="T21" s="10">
        <f t="shared" si="11"/>
        <v>0</v>
      </c>
      <c r="U21" s="7">
        <f>'[4]Feb Prod'!D20</f>
        <v>0</v>
      </c>
      <c r="V21" s="8">
        <f t="shared" si="12"/>
        <v>0</v>
      </c>
      <c r="W21" s="10">
        <f t="shared" si="13"/>
        <v>0</v>
      </c>
      <c r="X21" s="7">
        <f>'[4]Feb Prod'!D261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7"/>
        <v>11399999.999997817</v>
      </c>
      <c r="AC21" s="8">
        <f t="shared" si="17"/>
        <v>11.399999999997817</v>
      </c>
      <c r="AD21" s="8">
        <f t="shared" si="17"/>
        <v>34.997999999993297</v>
      </c>
    </row>
    <row r="22" spans="1:30" x14ac:dyDescent="0.2">
      <c r="A22" s="28">
        <v>41323</v>
      </c>
      <c r="B22" s="7">
        <f>'[4]Feb Prod'!I21</f>
        <v>11600000.000002183</v>
      </c>
      <c r="C22" s="8">
        <f t="shared" si="0"/>
        <v>11.600000000002183</v>
      </c>
      <c r="D22" s="10">
        <f t="shared" si="1"/>
        <v>35.612000000006702</v>
      </c>
      <c r="E22" s="7">
        <f>'[4]Feb Prod'!E21</f>
        <v>7000000</v>
      </c>
      <c r="F22" s="8">
        <f t="shared" si="2"/>
        <v>7</v>
      </c>
      <c r="G22" s="10">
        <f t="shared" si="3"/>
        <v>21.49</v>
      </c>
      <c r="H22" s="7">
        <f>'[4]Feb Prod'!F21</f>
        <v>5130000</v>
      </c>
      <c r="I22" s="8">
        <f t="shared" si="4"/>
        <v>5.13</v>
      </c>
      <c r="J22" s="10">
        <f t="shared" si="5"/>
        <v>15.749099999999999</v>
      </c>
      <c r="K22" s="7">
        <f>'[4]Feb Prod'!H262</f>
        <v>41514</v>
      </c>
      <c r="L22" s="8">
        <f t="shared" si="18"/>
        <v>4.1514000000000002E-2</v>
      </c>
      <c r="M22" s="10">
        <f t="shared" si="19"/>
        <v>0.12744797999999999</v>
      </c>
      <c r="N22" s="21"/>
      <c r="O22" s="7">
        <f>'[4]Feb Prod'!H21</f>
        <v>0</v>
      </c>
      <c r="P22" s="8">
        <f t="shared" si="8"/>
        <v>0</v>
      </c>
      <c r="Q22" s="10">
        <f t="shared" si="9"/>
        <v>0</v>
      </c>
      <c r="R22" s="7">
        <f>'[4]Feb Prod'!C21</f>
        <v>0</v>
      </c>
      <c r="S22" s="8">
        <f t="shared" si="10"/>
        <v>0</v>
      </c>
      <c r="T22" s="10">
        <f t="shared" si="11"/>
        <v>0</v>
      </c>
      <c r="U22" s="7">
        <f>'[4]Feb Prod'!D21</f>
        <v>0</v>
      </c>
      <c r="V22" s="8">
        <f t="shared" si="12"/>
        <v>0</v>
      </c>
      <c r="W22" s="10">
        <f t="shared" si="13"/>
        <v>0</v>
      </c>
      <c r="X22" s="7">
        <f>'[4]Feb Prod'!D262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7"/>
        <v>11600000.000002183</v>
      </c>
      <c r="AC22" s="8">
        <f t="shared" si="17"/>
        <v>11.600000000002183</v>
      </c>
      <c r="AD22" s="8">
        <f t="shared" si="17"/>
        <v>35.612000000006702</v>
      </c>
    </row>
    <row r="23" spans="1:30" x14ac:dyDescent="0.2">
      <c r="A23" s="28">
        <v>41324</v>
      </c>
      <c r="B23" s="7">
        <f>'[4]Feb Prod'!I22</f>
        <v>11099999.999998545</v>
      </c>
      <c r="C23" s="8">
        <f t="shared" si="0"/>
        <v>11.099999999998545</v>
      </c>
      <c r="D23" s="10">
        <f t="shared" si="1"/>
        <v>34.076999999995529</v>
      </c>
      <c r="E23" s="7">
        <f>'[4]Feb Prod'!E22</f>
        <v>6000000</v>
      </c>
      <c r="F23" s="8">
        <f t="shared" si="2"/>
        <v>6</v>
      </c>
      <c r="G23" s="10">
        <f t="shared" si="3"/>
        <v>18.419999999999998</v>
      </c>
      <c r="H23" s="7">
        <f>'[4]Feb Prod'!F22</f>
        <v>4880000</v>
      </c>
      <c r="I23" s="8">
        <f t="shared" si="4"/>
        <v>4.88</v>
      </c>
      <c r="J23" s="10">
        <f t="shared" si="5"/>
        <v>14.981599999999998</v>
      </c>
      <c r="K23" s="7">
        <f>'[4]Feb Prod'!H263</f>
        <v>57100</v>
      </c>
      <c r="L23" s="8">
        <f t="shared" si="18"/>
        <v>5.7099999999999998E-2</v>
      </c>
      <c r="M23" s="10">
        <f t="shared" si="19"/>
        <v>0.17529699999999998</v>
      </c>
      <c r="N23" s="21"/>
      <c r="O23" s="7">
        <f>'[4]Feb Prod'!H22</f>
        <v>0</v>
      </c>
      <c r="P23" s="8">
        <f t="shared" si="8"/>
        <v>0</v>
      </c>
      <c r="Q23" s="10">
        <f t="shared" si="9"/>
        <v>0</v>
      </c>
      <c r="R23" s="7">
        <f>'[4]Feb Prod'!C22</f>
        <v>0</v>
      </c>
      <c r="S23" s="8">
        <f t="shared" si="10"/>
        <v>0</v>
      </c>
      <c r="T23" s="10">
        <f t="shared" si="11"/>
        <v>0</v>
      </c>
      <c r="U23" s="7">
        <f>'[4]Feb Prod'!D22</f>
        <v>0</v>
      </c>
      <c r="V23" s="8">
        <f t="shared" si="12"/>
        <v>0</v>
      </c>
      <c r="W23" s="10">
        <f t="shared" si="13"/>
        <v>0</v>
      </c>
      <c r="X23" s="7">
        <f>'[4]Feb Prod'!D263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7"/>
        <v>11099999.999998545</v>
      </c>
      <c r="AC23" s="8">
        <f t="shared" si="17"/>
        <v>11.099999999998545</v>
      </c>
      <c r="AD23" s="8">
        <f t="shared" si="17"/>
        <v>34.076999999995529</v>
      </c>
    </row>
    <row r="24" spans="1:30" x14ac:dyDescent="0.2">
      <c r="A24" s="28">
        <v>41325</v>
      </c>
      <c r="B24" s="7">
        <f>'[4]Feb Prod'!I23</f>
        <v>9600000.000002183</v>
      </c>
      <c r="C24" s="8">
        <f t="shared" si="0"/>
        <v>9.6000000000021828</v>
      </c>
      <c r="D24" s="10">
        <f t="shared" si="1"/>
        <v>29.472000000006698</v>
      </c>
      <c r="E24" s="7">
        <f>'[4]Feb Prod'!E23</f>
        <v>6000000</v>
      </c>
      <c r="F24" s="8">
        <f t="shared" si="2"/>
        <v>6</v>
      </c>
      <c r="G24" s="10">
        <f t="shared" si="3"/>
        <v>18.419999999999998</v>
      </c>
      <c r="H24" s="7">
        <f>'[4]Feb Prod'!F23</f>
        <v>4900000</v>
      </c>
      <c r="I24" s="8">
        <f t="shared" si="4"/>
        <v>4.9000000000000004</v>
      </c>
      <c r="J24" s="10">
        <f t="shared" si="5"/>
        <v>15.043000000000001</v>
      </c>
      <c r="K24" s="7">
        <f>'[4]Feb Prod'!H264</f>
        <v>42221</v>
      </c>
      <c r="L24" s="8">
        <f t="shared" si="18"/>
        <v>4.2221000000000002E-2</v>
      </c>
      <c r="M24" s="10">
        <f t="shared" si="19"/>
        <v>0.12961846999999999</v>
      </c>
      <c r="N24" s="21"/>
      <c r="O24" s="7">
        <f>'[4]Feb Prod'!H23</f>
        <v>0</v>
      </c>
      <c r="P24" s="8">
        <f t="shared" si="8"/>
        <v>0</v>
      </c>
      <c r="Q24" s="10">
        <f t="shared" si="9"/>
        <v>0</v>
      </c>
      <c r="R24" s="7">
        <f>'[4]Feb Prod'!C23</f>
        <v>0</v>
      </c>
      <c r="S24" s="8">
        <f t="shared" si="10"/>
        <v>0</v>
      </c>
      <c r="T24" s="10">
        <f t="shared" si="11"/>
        <v>0</v>
      </c>
      <c r="U24" s="7">
        <f>'[4]Feb Prod'!D23</f>
        <v>0</v>
      </c>
      <c r="V24" s="8">
        <f t="shared" si="12"/>
        <v>0</v>
      </c>
      <c r="W24" s="10">
        <f t="shared" si="13"/>
        <v>0</v>
      </c>
      <c r="X24" s="7">
        <f>'[4]Feb Prod'!D264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7"/>
        <v>9600000.000002183</v>
      </c>
      <c r="AC24" s="8">
        <f t="shared" si="17"/>
        <v>9.6000000000021828</v>
      </c>
      <c r="AD24" s="8">
        <f>D24+Q24</f>
        <v>29.472000000006698</v>
      </c>
    </row>
    <row r="25" spans="1:30" x14ac:dyDescent="0.2">
      <c r="A25" s="28">
        <v>41326</v>
      </c>
      <c r="B25" s="7">
        <f>'[4]Feb Prod'!I24</f>
        <v>11599999.999998545</v>
      </c>
      <c r="C25" s="8">
        <f t="shared" si="0"/>
        <v>11.599999999998545</v>
      </c>
      <c r="D25" s="10">
        <f t="shared" si="1"/>
        <v>35.611999999995533</v>
      </c>
      <c r="E25" s="7">
        <f>'[4]Feb Prod'!E24</f>
        <v>6000000</v>
      </c>
      <c r="F25" s="8">
        <f t="shared" si="2"/>
        <v>6</v>
      </c>
      <c r="G25" s="10">
        <f t="shared" si="3"/>
        <v>18.419999999999998</v>
      </c>
      <c r="H25" s="7">
        <f>'[4]Feb Prod'!F24</f>
        <v>5020000</v>
      </c>
      <c r="I25" s="8">
        <f t="shared" si="4"/>
        <v>5.0199999999999996</v>
      </c>
      <c r="J25" s="10">
        <f t="shared" si="5"/>
        <v>15.411399999999999</v>
      </c>
      <c r="K25" s="7">
        <f>'[4]Feb Prod'!H265</f>
        <v>0</v>
      </c>
      <c r="L25" s="8">
        <f t="shared" ref="L25:L28" si="20">K25/1000000</f>
        <v>0</v>
      </c>
      <c r="M25" s="10">
        <f t="shared" ref="M25:M28" si="21">L25*3.07</f>
        <v>0</v>
      </c>
      <c r="N25" s="21"/>
      <c r="O25" s="7">
        <f>'[4]Feb Prod'!H24</f>
        <v>0</v>
      </c>
      <c r="P25" s="8">
        <f t="shared" si="8"/>
        <v>0</v>
      </c>
      <c r="Q25" s="10">
        <f t="shared" si="9"/>
        <v>0</v>
      </c>
      <c r="R25" s="7">
        <f>'[4]Feb Prod'!C24</f>
        <v>0</v>
      </c>
      <c r="S25" s="8">
        <f t="shared" si="10"/>
        <v>0</v>
      </c>
      <c r="T25" s="10">
        <f t="shared" si="11"/>
        <v>0</v>
      </c>
      <c r="U25" s="7">
        <f>'[4]Feb Prod'!D24</f>
        <v>0</v>
      </c>
      <c r="V25" s="8">
        <f t="shared" si="12"/>
        <v>0</v>
      </c>
      <c r="W25" s="10">
        <f t="shared" si="13"/>
        <v>0</v>
      </c>
      <c r="X25" s="7">
        <f>'[4]Feb Prod'!D265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7"/>
        <v>11599999.999998545</v>
      </c>
      <c r="AC25" s="8">
        <f t="shared" si="17"/>
        <v>11.599999999998545</v>
      </c>
      <c r="AD25" s="8">
        <f t="shared" si="17"/>
        <v>35.611999999995533</v>
      </c>
    </row>
    <row r="26" spans="1:30" x14ac:dyDescent="0.2">
      <c r="A26" s="28">
        <v>41327</v>
      </c>
      <c r="B26" s="7">
        <f>'[4]Feb Prod'!I25</f>
        <v>10400000.000001455</v>
      </c>
      <c r="C26" s="8">
        <f t="shared" si="0"/>
        <v>10.400000000001455</v>
      </c>
      <c r="D26" s="10">
        <f t="shared" si="1"/>
        <v>31.928000000004467</v>
      </c>
      <c r="E26" s="7">
        <f>'[4]Feb Prod'!E25</f>
        <v>6000000</v>
      </c>
      <c r="F26" s="8">
        <f t="shared" si="2"/>
        <v>6</v>
      </c>
      <c r="G26" s="10">
        <f t="shared" si="3"/>
        <v>18.419999999999998</v>
      </c>
      <c r="H26" s="7">
        <f>'[4]Feb Prod'!F25</f>
        <v>5100000.0000000009</v>
      </c>
      <c r="I26" s="8">
        <f t="shared" si="4"/>
        <v>5.1000000000000005</v>
      </c>
      <c r="J26" s="10">
        <f t="shared" si="5"/>
        <v>15.657</v>
      </c>
      <c r="K26" s="7">
        <f>'[4]Feb Prod'!H266</f>
        <v>800000</v>
      </c>
      <c r="L26" s="8">
        <f t="shared" si="20"/>
        <v>0.8</v>
      </c>
      <c r="M26" s="10">
        <f t="shared" si="21"/>
        <v>2.456</v>
      </c>
      <c r="N26" s="21"/>
      <c r="O26" s="7">
        <f>'[4]Feb Prod'!H25</f>
        <v>0</v>
      </c>
      <c r="P26" s="8">
        <f t="shared" si="8"/>
        <v>0</v>
      </c>
      <c r="Q26" s="10">
        <f t="shared" si="9"/>
        <v>0</v>
      </c>
      <c r="R26" s="7">
        <f>'[4]Feb Prod'!C25</f>
        <v>0</v>
      </c>
      <c r="S26" s="8">
        <f t="shared" si="10"/>
        <v>0</v>
      </c>
      <c r="T26" s="10">
        <f t="shared" si="11"/>
        <v>0</v>
      </c>
      <c r="U26" s="7">
        <f>'[4]Feb Prod'!D25</f>
        <v>0</v>
      </c>
      <c r="V26" s="8">
        <f t="shared" si="12"/>
        <v>0</v>
      </c>
      <c r="W26" s="10">
        <f t="shared" si="13"/>
        <v>0</v>
      </c>
      <c r="X26" s="7">
        <f>'[4]Feb Prod'!D266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7"/>
        <v>10400000.000001455</v>
      </c>
      <c r="AC26" s="8">
        <f t="shared" si="17"/>
        <v>10.400000000001455</v>
      </c>
      <c r="AD26" s="8">
        <f t="shared" si="17"/>
        <v>31.928000000004467</v>
      </c>
    </row>
    <row r="27" spans="1:30" x14ac:dyDescent="0.2">
      <c r="A27" s="28">
        <v>41328</v>
      </c>
      <c r="B27" s="7">
        <f>'[4]Feb Prod'!I26</f>
        <v>9699999.9999970905</v>
      </c>
      <c r="C27" s="8">
        <f t="shared" si="0"/>
        <v>9.6999999999970914</v>
      </c>
      <c r="D27" s="10">
        <f t="shared" si="1"/>
        <v>29.778999999991068</v>
      </c>
      <c r="E27" s="7">
        <f>'[4]Feb Prod'!E26</f>
        <v>5000000</v>
      </c>
      <c r="F27" s="8">
        <f t="shared" si="2"/>
        <v>5</v>
      </c>
      <c r="G27" s="10">
        <f t="shared" si="3"/>
        <v>15.35</v>
      </c>
      <c r="H27" s="7">
        <f>'[4]Feb Prod'!F26</f>
        <v>4950000</v>
      </c>
      <c r="I27" s="8">
        <f t="shared" si="4"/>
        <v>4.95</v>
      </c>
      <c r="J27" s="10">
        <f t="shared" si="5"/>
        <v>15.1965</v>
      </c>
      <c r="K27" s="7">
        <f>'[4]Feb Prod'!H267</f>
        <v>873659</v>
      </c>
      <c r="L27" s="8">
        <f t="shared" si="20"/>
        <v>0.87365899999999996</v>
      </c>
      <c r="M27" s="10">
        <f t="shared" si="21"/>
        <v>2.6821331299999995</v>
      </c>
      <c r="N27" s="21"/>
      <c r="O27" s="7">
        <f>'[4]Feb Prod'!H26</f>
        <v>0</v>
      </c>
      <c r="P27" s="8">
        <f t="shared" si="8"/>
        <v>0</v>
      </c>
      <c r="Q27" s="10">
        <f t="shared" si="9"/>
        <v>0</v>
      </c>
      <c r="R27" s="7">
        <f>'[4]Feb Prod'!C26</f>
        <v>0</v>
      </c>
      <c r="S27" s="8">
        <f t="shared" si="10"/>
        <v>0</v>
      </c>
      <c r="T27" s="10">
        <f t="shared" si="11"/>
        <v>0</v>
      </c>
      <c r="U27" s="7">
        <f>'[4]Feb Prod'!D26</f>
        <v>0</v>
      </c>
      <c r="V27" s="8">
        <f t="shared" si="12"/>
        <v>0</v>
      </c>
      <c r="W27" s="10">
        <f t="shared" si="13"/>
        <v>0</v>
      </c>
      <c r="X27" s="7">
        <f>'[4]Feb Prod'!D267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7"/>
        <v>9699999.9999970905</v>
      </c>
      <c r="AC27" s="8">
        <f t="shared" si="17"/>
        <v>9.6999999999970914</v>
      </c>
      <c r="AD27" s="8">
        <f t="shared" si="17"/>
        <v>29.778999999991068</v>
      </c>
    </row>
    <row r="28" spans="1:30" x14ac:dyDescent="0.2">
      <c r="A28" s="28">
        <v>41329</v>
      </c>
      <c r="B28" s="7">
        <f>'[4]Feb Prod'!I27</f>
        <v>10700000.000000728</v>
      </c>
      <c r="C28" s="8">
        <f t="shared" si="0"/>
        <v>10.700000000000728</v>
      </c>
      <c r="D28" s="10">
        <f t="shared" si="1"/>
        <v>32.849000000002235</v>
      </c>
      <c r="E28" s="7">
        <f>'[4]Feb Prod'!E27</f>
        <v>5000000</v>
      </c>
      <c r="F28" s="8">
        <f t="shared" si="2"/>
        <v>5</v>
      </c>
      <c r="G28" s="10">
        <f t="shared" si="3"/>
        <v>15.35</v>
      </c>
      <c r="H28" s="7">
        <f>'[4]Feb Prod'!F27</f>
        <v>4930000</v>
      </c>
      <c r="I28" s="8">
        <f t="shared" si="4"/>
        <v>4.93</v>
      </c>
      <c r="J28" s="10">
        <f t="shared" si="5"/>
        <v>15.135099999999998</v>
      </c>
      <c r="K28" s="7">
        <f>'[4]Feb Prod'!H268</f>
        <v>970470</v>
      </c>
      <c r="L28" s="8">
        <f t="shared" si="20"/>
        <v>0.97047000000000005</v>
      </c>
      <c r="M28" s="10">
        <f t="shared" si="21"/>
        <v>2.9793428999999998</v>
      </c>
      <c r="N28" s="21"/>
      <c r="O28" s="7">
        <f>'[4]Feb Prod'!H27</f>
        <v>0</v>
      </c>
      <c r="P28" s="8">
        <f t="shared" si="8"/>
        <v>0</v>
      </c>
      <c r="Q28" s="10">
        <f t="shared" si="9"/>
        <v>0</v>
      </c>
      <c r="R28" s="7">
        <f>'[4]Feb Prod'!C27</f>
        <v>0</v>
      </c>
      <c r="S28" s="8">
        <f t="shared" si="10"/>
        <v>0</v>
      </c>
      <c r="T28" s="10">
        <f t="shared" si="11"/>
        <v>0</v>
      </c>
      <c r="U28" s="7">
        <f>'[4]Feb Prod'!D27</f>
        <v>0</v>
      </c>
      <c r="V28" s="8">
        <f t="shared" si="12"/>
        <v>0</v>
      </c>
      <c r="W28" s="10">
        <f t="shared" si="13"/>
        <v>0</v>
      </c>
      <c r="X28" s="7">
        <f>'[4]Feb Prod'!D268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7"/>
        <v>10700000.000000728</v>
      </c>
      <c r="AC28" s="8">
        <f t="shared" si="17"/>
        <v>10.700000000000728</v>
      </c>
      <c r="AD28" s="8">
        <f t="shared" si="17"/>
        <v>32.849000000002235</v>
      </c>
    </row>
    <row r="29" spans="1:30" x14ac:dyDescent="0.2">
      <c r="A29" s="28">
        <v>41330</v>
      </c>
      <c r="B29" s="7">
        <f>'[4]Feb Prod'!I28</f>
        <v>11200000.000000728</v>
      </c>
      <c r="C29" s="8">
        <f t="shared" si="0"/>
        <v>11.200000000000728</v>
      </c>
      <c r="D29" s="10">
        <f t="shared" si="1"/>
        <v>34.384000000002231</v>
      </c>
      <c r="E29" s="7">
        <f>'[4]Feb Prod'!E28</f>
        <v>7000000</v>
      </c>
      <c r="F29" s="8">
        <f t="shared" si="2"/>
        <v>7</v>
      </c>
      <c r="G29" s="10">
        <f t="shared" si="3"/>
        <v>21.49</v>
      </c>
      <c r="H29" s="7">
        <f>'[4]Feb Prod'!F28</f>
        <v>5050000</v>
      </c>
      <c r="I29" s="8">
        <f t="shared" si="4"/>
        <v>5.05</v>
      </c>
      <c r="J29" s="10">
        <f t="shared" si="5"/>
        <v>15.503499999999999</v>
      </c>
      <c r="K29" s="7">
        <f>'[4]Feb Prod'!H269</f>
        <v>892567</v>
      </c>
      <c r="L29" s="8">
        <f t="shared" ref="L29:L32" si="22">K29/1000000</f>
        <v>0.892567</v>
      </c>
      <c r="M29" s="10">
        <f t="shared" si="7"/>
        <v>2.7401806899999999</v>
      </c>
      <c r="N29" s="21"/>
      <c r="O29" s="7">
        <f>'[4]Feb Prod'!H28</f>
        <v>0</v>
      </c>
      <c r="P29" s="8">
        <f t="shared" si="8"/>
        <v>0</v>
      </c>
      <c r="Q29" s="10">
        <f t="shared" si="9"/>
        <v>0</v>
      </c>
      <c r="R29" s="7">
        <f>'[4]Feb Prod'!C28</f>
        <v>0</v>
      </c>
      <c r="S29" s="8">
        <f t="shared" si="10"/>
        <v>0</v>
      </c>
      <c r="T29" s="10">
        <f t="shared" si="11"/>
        <v>0</v>
      </c>
      <c r="U29" s="7">
        <f>'[4]Feb Prod'!D28</f>
        <v>0</v>
      </c>
      <c r="V29" s="8">
        <f t="shared" si="12"/>
        <v>0</v>
      </c>
      <c r="W29" s="10">
        <f t="shared" si="13"/>
        <v>0</v>
      </c>
      <c r="X29" s="7">
        <f>'[4]Feb Prod'!D269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7"/>
        <v>11200000.000000728</v>
      </c>
      <c r="AC29" s="8">
        <f t="shared" si="17"/>
        <v>11.200000000000728</v>
      </c>
      <c r="AD29" s="8">
        <f t="shared" si="17"/>
        <v>34.384000000002231</v>
      </c>
    </row>
    <row r="30" spans="1:30" x14ac:dyDescent="0.2">
      <c r="A30" s="28">
        <v>41331</v>
      </c>
      <c r="B30" s="7">
        <f>'[4]Feb Prod'!I29</f>
        <v>11700000.000000728</v>
      </c>
      <c r="C30" s="8">
        <f t="shared" si="0"/>
        <v>11.700000000000728</v>
      </c>
      <c r="D30" s="10">
        <f t="shared" si="1"/>
        <v>35.919000000002235</v>
      </c>
      <c r="E30" s="7">
        <f>'[4]Feb Prod'!E29</f>
        <v>6000000</v>
      </c>
      <c r="F30" s="8">
        <f t="shared" si="2"/>
        <v>6</v>
      </c>
      <c r="G30" s="10">
        <f t="shared" si="3"/>
        <v>18.419999999999998</v>
      </c>
      <c r="H30" s="7">
        <f>'[4]Feb Prod'!F29</f>
        <v>4980000</v>
      </c>
      <c r="I30" s="8">
        <f t="shared" si="4"/>
        <v>4.9800000000000004</v>
      </c>
      <c r="J30" s="10">
        <f t="shared" si="5"/>
        <v>15.288600000000001</v>
      </c>
      <c r="K30" s="7">
        <f>'[4]Feb Prod'!H270</f>
        <v>995072</v>
      </c>
      <c r="L30" s="8">
        <f t="shared" si="22"/>
        <v>0.99507199999999996</v>
      </c>
      <c r="M30" s="10">
        <f t="shared" si="7"/>
        <v>3.0548710399999996</v>
      </c>
      <c r="N30" s="21"/>
      <c r="O30" s="7">
        <f>'[4]Feb Prod'!H29</f>
        <v>0</v>
      </c>
      <c r="P30" s="8">
        <f t="shared" si="8"/>
        <v>0</v>
      </c>
      <c r="Q30" s="10">
        <f t="shared" si="9"/>
        <v>0</v>
      </c>
      <c r="R30" s="7">
        <f>'[4]Feb Prod'!C29</f>
        <v>0</v>
      </c>
      <c r="S30" s="8">
        <f t="shared" si="10"/>
        <v>0</v>
      </c>
      <c r="T30" s="10">
        <f t="shared" si="11"/>
        <v>0</v>
      </c>
      <c r="U30" s="7">
        <f>'[4]Feb Prod'!D29</f>
        <v>0</v>
      </c>
      <c r="V30" s="8">
        <f t="shared" si="12"/>
        <v>0</v>
      </c>
      <c r="W30" s="10">
        <f t="shared" si="13"/>
        <v>0</v>
      </c>
      <c r="X30" s="7">
        <f>'[4]Feb Prod'!D270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7"/>
        <v>11700000.000000728</v>
      </c>
      <c r="AC30" s="8">
        <f t="shared" si="17"/>
        <v>11.700000000000728</v>
      </c>
      <c r="AD30" s="8">
        <f>D30+Q30</f>
        <v>35.919000000002235</v>
      </c>
    </row>
    <row r="31" spans="1:30" x14ac:dyDescent="0.2">
      <c r="A31" s="28">
        <v>41332</v>
      </c>
      <c r="B31" s="7">
        <f>'[4]Feb Prod'!I30</f>
        <v>9099999.9999985453</v>
      </c>
      <c r="C31" s="8">
        <f t="shared" si="0"/>
        <v>9.0999999999985448</v>
      </c>
      <c r="D31" s="10">
        <f t="shared" si="1"/>
        <v>27.936999999995532</v>
      </c>
      <c r="E31" s="7">
        <f>'[4]Feb Prod'!E30</f>
        <v>5000000</v>
      </c>
      <c r="F31" s="8">
        <f t="shared" si="2"/>
        <v>5</v>
      </c>
      <c r="G31" s="10">
        <f t="shared" si="3"/>
        <v>15.35</v>
      </c>
      <c r="H31" s="7">
        <f>'[4]Feb Prod'!F30</f>
        <v>4490000</v>
      </c>
      <c r="I31" s="8">
        <f t="shared" si="4"/>
        <v>4.49</v>
      </c>
      <c r="J31" s="10">
        <f t="shared" si="5"/>
        <v>13.7843</v>
      </c>
      <c r="K31" s="7">
        <f>'[4]Feb Prod'!H271</f>
        <v>901149</v>
      </c>
      <c r="L31" s="8">
        <f t="shared" si="22"/>
        <v>0.90114899999999998</v>
      </c>
      <c r="M31" s="10">
        <f t="shared" si="7"/>
        <v>2.76652743</v>
      </c>
      <c r="N31" s="21"/>
      <c r="O31" s="7">
        <f>'[4]Feb Prod'!H30</f>
        <v>0</v>
      </c>
      <c r="P31" s="8">
        <f t="shared" si="8"/>
        <v>0</v>
      </c>
      <c r="Q31" s="10">
        <f t="shared" si="9"/>
        <v>0</v>
      </c>
      <c r="R31" s="7">
        <f>'[4]Feb Prod'!C30</f>
        <v>0</v>
      </c>
      <c r="S31" s="8">
        <f t="shared" si="10"/>
        <v>0</v>
      </c>
      <c r="T31" s="10">
        <f t="shared" si="11"/>
        <v>0</v>
      </c>
      <c r="U31" s="7">
        <f>'[4]Feb Prod'!D30</f>
        <v>0</v>
      </c>
      <c r="V31" s="8">
        <f t="shared" si="12"/>
        <v>0</v>
      </c>
      <c r="W31" s="10">
        <f t="shared" si="13"/>
        <v>0</v>
      </c>
      <c r="X31" s="7">
        <f>'[4]Feb Prod'!D271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7"/>
        <v>9099999.9999985453</v>
      </c>
      <c r="AC31" s="8">
        <f t="shared" si="17"/>
        <v>9.0999999999985448</v>
      </c>
      <c r="AD31" s="8">
        <f t="shared" si="17"/>
        <v>27.936999999995532</v>
      </c>
    </row>
    <row r="32" spans="1:30" x14ac:dyDescent="0.2">
      <c r="A32" s="28">
        <v>41333</v>
      </c>
      <c r="B32" s="7">
        <f>'[4]Feb Prod'!I31</f>
        <v>9900000.0000014547</v>
      </c>
      <c r="C32" s="8">
        <f t="shared" si="0"/>
        <v>9.9000000000014552</v>
      </c>
      <c r="D32" s="10">
        <f t="shared" si="1"/>
        <v>30.393000000004466</v>
      </c>
      <c r="E32" s="7">
        <f>'[4]Feb Prod'!E31</f>
        <v>6000000</v>
      </c>
      <c r="F32" s="8">
        <f t="shared" si="2"/>
        <v>6</v>
      </c>
      <c r="G32" s="10">
        <f t="shared" si="3"/>
        <v>18.419999999999998</v>
      </c>
      <c r="H32" s="7">
        <f>'[4]Feb Prod'!F31</f>
        <v>5010000</v>
      </c>
      <c r="I32" s="8">
        <f t="shared" si="4"/>
        <v>5.01</v>
      </c>
      <c r="J32" s="10">
        <f t="shared" si="5"/>
        <v>15.380699999999999</v>
      </c>
      <c r="K32" s="7">
        <f>'[4]Feb Prod'!H272</f>
        <v>1068195</v>
      </c>
      <c r="L32" s="8">
        <f t="shared" si="22"/>
        <v>1.068195</v>
      </c>
      <c r="M32" s="10">
        <f t="shared" si="7"/>
        <v>3.2793586499999998</v>
      </c>
      <c r="N32" s="21"/>
      <c r="O32" s="7">
        <f>'[4]Feb Prod'!H31</f>
        <v>0</v>
      </c>
      <c r="P32" s="8">
        <f t="shared" si="8"/>
        <v>0</v>
      </c>
      <c r="Q32" s="10">
        <f t="shared" si="9"/>
        <v>0</v>
      </c>
      <c r="R32" s="7">
        <f>'[4]Feb Prod'!C31</f>
        <v>0</v>
      </c>
      <c r="S32" s="8">
        <f t="shared" si="10"/>
        <v>0</v>
      </c>
      <c r="T32" s="10">
        <f t="shared" si="11"/>
        <v>0</v>
      </c>
      <c r="U32" s="7">
        <f>'[4]Feb Prod'!D31</f>
        <v>0</v>
      </c>
      <c r="V32" s="8">
        <f t="shared" si="12"/>
        <v>0</v>
      </c>
      <c r="W32" s="10">
        <f t="shared" si="13"/>
        <v>0</v>
      </c>
      <c r="X32" s="7">
        <f>'[4]Feb Prod'!D272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7"/>
        <v>9900000.0000014547</v>
      </c>
      <c r="AC32" s="8">
        <f t="shared" si="17"/>
        <v>9.9000000000014552</v>
      </c>
      <c r="AD32" s="8">
        <f t="shared" si="17"/>
        <v>30.393000000004466</v>
      </c>
    </row>
    <row r="33" spans="1:30" ht="13.5" thickBot="1" x14ac:dyDescent="0.25">
      <c r="A33" s="28"/>
      <c r="B33" s="7"/>
      <c r="C33" s="8"/>
      <c r="D33" s="10"/>
      <c r="E33" s="7"/>
      <c r="F33" s="8"/>
      <c r="G33" s="10"/>
      <c r="H33" s="7"/>
      <c r="I33" s="8"/>
      <c r="J33" s="10"/>
      <c r="K33" s="7"/>
      <c r="L33" s="8"/>
      <c r="M33" s="10"/>
      <c r="N33" s="21"/>
      <c r="O33" s="7"/>
      <c r="P33" s="8"/>
      <c r="Q33" s="10"/>
      <c r="R33" s="7"/>
      <c r="S33" s="8"/>
      <c r="T33" s="10"/>
      <c r="U33" s="7"/>
      <c r="V33" s="8"/>
      <c r="W33" s="10"/>
      <c r="X33" s="7"/>
      <c r="Y33" s="8"/>
      <c r="Z33" s="10"/>
      <c r="AA33" s="15"/>
      <c r="AB33" s="7"/>
      <c r="AC33" s="8"/>
      <c r="AD33" s="8"/>
    </row>
    <row r="34" spans="1:30" ht="13.5" thickBot="1" x14ac:dyDescent="0.25">
      <c r="A34" s="29"/>
      <c r="B34" s="39"/>
      <c r="C34" s="40">
        <f>SUM(C5:C33)</f>
        <v>299.90000000000146</v>
      </c>
      <c r="D34" s="40">
        <f t="shared" ref="D34:J34" si="23">SUM(D5:D33)</f>
        <v>920.69300000000453</v>
      </c>
      <c r="E34" s="39"/>
      <c r="F34" s="40">
        <f t="shared" si="23"/>
        <v>173</v>
      </c>
      <c r="G34" s="40">
        <f t="shared" si="23"/>
        <v>531.11000000000013</v>
      </c>
      <c r="H34" s="39"/>
      <c r="I34" s="40">
        <f t="shared" si="23"/>
        <v>138.69</v>
      </c>
      <c r="J34" s="40">
        <f t="shared" si="23"/>
        <v>425.77829999999994</v>
      </c>
      <c r="K34" s="39"/>
      <c r="L34" s="40">
        <f>SUM(L5:L33)</f>
        <v>6.9224410000000001</v>
      </c>
      <c r="M34" s="40">
        <f>SUM(M5:M33)</f>
        <v>21.251893869999996</v>
      </c>
      <c r="N34" s="14"/>
      <c r="O34" s="39"/>
      <c r="P34" s="40">
        <f>SUM(P5:P33)</f>
        <v>0</v>
      </c>
      <c r="Q34" s="40">
        <f>SUM(Q5:Q33)</f>
        <v>0</v>
      </c>
      <c r="R34" s="39"/>
      <c r="S34" s="40">
        <f>SUM(S5:S33)</f>
        <v>0</v>
      </c>
      <c r="T34" s="40">
        <f>SUM(T5:T33)</f>
        <v>0</v>
      </c>
      <c r="U34" s="39"/>
      <c r="V34" s="40">
        <f>SUM(V5:V33)</f>
        <v>0</v>
      </c>
      <c r="W34" s="40">
        <f>SUM(W5:W33)</f>
        <v>0</v>
      </c>
      <c r="X34" s="39"/>
      <c r="Y34" s="40">
        <f>SUM(Y5:Y33)</f>
        <v>-1.110349</v>
      </c>
      <c r="Z34" s="40">
        <f>SUM(Z5:Z33)</f>
        <v>-3.4087714299999998</v>
      </c>
      <c r="AA34" s="14"/>
      <c r="AB34" s="39">
        <f t="shared" si="17"/>
        <v>0</v>
      </c>
      <c r="AC34" s="40">
        <f t="shared" si="17"/>
        <v>299.90000000000146</v>
      </c>
      <c r="AD34" s="40">
        <f t="shared" si="17"/>
        <v>920.69300000000453</v>
      </c>
    </row>
    <row r="35" spans="1:30" x14ac:dyDescent="0.2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2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86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F37"/>
  <sheetViews>
    <sheetView workbookViewId="0">
      <pane xSplit="1" ySplit="4" topLeftCell="B20" activePane="bottomRight" state="frozen"/>
      <selection pane="topRight" activeCell="B1" sqref="B1"/>
      <selection pane="bottomLeft" activeCell="A5" sqref="A5"/>
      <selection pane="bottomRight" activeCell="C29" sqref="C29"/>
    </sheetView>
  </sheetViews>
  <sheetFormatPr defaultRowHeight="12.75" x14ac:dyDescent="0.2"/>
  <cols>
    <col min="2" max="2" width="12.7109375" customWidth="1"/>
    <col min="5" max="5" width="11.28515625" customWidth="1"/>
    <col min="8" max="8" width="16.140625" customWidth="1"/>
    <col min="10" max="10" width="10.7109375" customWidth="1"/>
    <col min="11" max="11" width="12.5703125" customWidth="1"/>
    <col min="12" max="12" width="10.5703125" customWidth="1"/>
    <col min="15" max="15" width="10.5703125" customWidth="1"/>
    <col min="18" max="18" width="10.85546875" customWidth="1"/>
    <col min="22" max="22" width="11.85546875" customWidth="1"/>
    <col min="28" max="28" width="13.42578125" bestFit="1" customWidth="1"/>
  </cols>
  <sheetData>
    <row r="1" spans="1:32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8</v>
      </c>
      <c r="AC3" s="66"/>
      <c r="AD3" s="67"/>
      <c r="AF3" s="35" t="s">
        <v>9</v>
      </c>
    </row>
    <row r="4" spans="1:32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2">
      <c r="A5" s="28">
        <v>38412</v>
      </c>
      <c r="B5" s="7">
        <f>'[5]March Prod'!I4</f>
        <v>11799999.999999272</v>
      </c>
      <c r="C5" s="8">
        <f>B5/1000000</f>
        <v>11.799999999999272</v>
      </c>
      <c r="D5" s="10">
        <f t="shared" ref="D5:D35" si="0">C5*3.07</f>
        <v>36.225999999997761</v>
      </c>
      <c r="E5" s="7">
        <f>'[5]March Prod'!E4</f>
        <v>6000000</v>
      </c>
      <c r="F5" s="8">
        <f>E5/1000000</f>
        <v>6</v>
      </c>
      <c r="G5" s="10">
        <f>F5*3.07</f>
        <v>18.419999999999998</v>
      </c>
      <c r="H5" s="7">
        <f>'[5]March Prod'!F4</f>
        <v>4960000</v>
      </c>
      <c r="I5" s="8">
        <f>H5/1000000</f>
        <v>4.96</v>
      </c>
      <c r="J5" s="10">
        <f>I5*3.07</f>
        <v>15.2272</v>
      </c>
      <c r="K5" s="7">
        <f>'[5]March Prod'!H259</f>
        <v>923151</v>
      </c>
      <c r="L5" s="8">
        <f>K5/1000000</f>
        <v>0.92315100000000005</v>
      </c>
      <c r="M5" s="10">
        <f>L5*3.07</f>
        <v>2.8340735700000002</v>
      </c>
      <c r="N5" s="21"/>
      <c r="O5" s="7">
        <f>'[5]March Prod'!H4</f>
        <v>0</v>
      </c>
      <c r="P5" s="8">
        <f>O5/1000000</f>
        <v>0</v>
      </c>
      <c r="Q5" s="10">
        <f>P5*3.07</f>
        <v>0</v>
      </c>
      <c r="R5" s="7">
        <f>'[5]March Prod'!C4</f>
        <v>0</v>
      </c>
      <c r="S5" s="8">
        <f>R5/1000000</f>
        <v>0</v>
      </c>
      <c r="T5" s="10">
        <f>S5*3.07</f>
        <v>0</v>
      </c>
      <c r="U5" s="7">
        <f>'[5]March Prod'!D4</f>
        <v>0</v>
      </c>
      <c r="V5" s="8">
        <f>U5/1000000</f>
        <v>0</v>
      </c>
      <c r="W5" s="10">
        <f>V5*3.07</f>
        <v>0</v>
      </c>
      <c r="X5" s="7">
        <f>'[5]March Prod'!D259</f>
        <v>0</v>
      </c>
      <c r="Y5" s="8">
        <f>X5/1000000</f>
        <v>0</v>
      </c>
      <c r="Z5" s="10">
        <f>Y5*3.07</f>
        <v>0</v>
      </c>
      <c r="AA5" s="15"/>
      <c r="AB5" s="7">
        <f>B5+O5</f>
        <v>11799999.999999272</v>
      </c>
      <c r="AC5" s="8">
        <f>C5+P5</f>
        <v>11.799999999999272</v>
      </c>
      <c r="AD5" s="8">
        <f>D5+Q5</f>
        <v>36.225999999997761</v>
      </c>
      <c r="AF5" s="8">
        <f>T5-Q5-Z5</f>
        <v>0</v>
      </c>
    </row>
    <row r="6" spans="1:32" x14ac:dyDescent="0.2">
      <c r="A6" s="28">
        <v>38413</v>
      </c>
      <c r="B6" s="7">
        <f>'[5]March Prod'!I5</f>
        <v>11299999.999999272</v>
      </c>
      <c r="C6" s="8">
        <f t="shared" ref="C6:C35" si="1">B6/1000000</f>
        <v>11.299999999999272</v>
      </c>
      <c r="D6" s="10">
        <f t="shared" si="0"/>
        <v>34.690999999997764</v>
      </c>
      <c r="E6" s="7">
        <f>'[5]March Prod'!E5</f>
        <v>7000000</v>
      </c>
      <c r="F6" s="8">
        <f t="shared" ref="F6:F35" si="2">E6/1000000</f>
        <v>7</v>
      </c>
      <c r="G6" s="10">
        <f t="shared" ref="G6:G35" si="3">F6*3.07</f>
        <v>21.49</v>
      </c>
      <c r="H6" s="7">
        <f>'[5]March Prod'!F5</f>
        <v>4970000</v>
      </c>
      <c r="I6" s="8">
        <f t="shared" ref="I6:I35" si="4">H6/1000000</f>
        <v>4.97</v>
      </c>
      <c r="J6" s="10">
        <f t="shared" ref="J6:J35" si="5">I6*3.07</f>
        <v>15.257899999999998</v>
      </c>
      <c r="K6" s="7">
        <f>'[5]March Prod'!H260</f>
        <v>1066881</v>
      </c>
      <c r="L6" s="8">
        <f t="shared" ref="L6:L35" si="6">K6/1000000</f>
        <v>1.066881</v>
      </c>
      <c r="M6" s="10">
        <f t="shared" ref="M6:M35" si="7">L6*3.07</f>
        <v>3.2753246699999998</v>
      </c>
      <c r="N6" s="21"/>
      <c r="O6" s="7">
        <f>'[5]March Prod'!H5</f>
        <v>0</v>
      </c>
      <c r="P6" s="8">
        <f t="shared" ref="P6:P35" si="8">O6/1000000</f>
        <v>0</v>
      </c>
      <c r="Q6" s="10">
        <f t="shared" ref="Q6:Q35" si="9">P6*3.07</f>
        <v>0</v>
      </c>
      <c r="R6" s="7">
        <f>'[5]March Prod'!C5</f>
        <v>0</v>
      </c>
      <c r="S6" s="8">
        <f t="shared" ref="S6:S35" si="10">R6/1000000</f>
        <v>0</v>
      </c>
      <c r="T6" s="10">
        <f t="shared" ref="T6:T35" si="11">S6*3.07</f>
        <v>0</v>
      </c>
      <c r="U6" s="7">
        <f>'[5]March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'[5]March Prod'!D260</f>
        <v>0</v>
      </c>
      <c r="Y6" s="8">
        <f t="shared" ref="Y6:Y35" si="14">X6/1000000</f>
        <v>0</v>
      </c>
      <c r="Z6" s="10">
        <f t="shared" ref="Z6:Z35" si="15">Y6*3.07</f>
        <v>0</v>
      </c>
      <c r="AA6" s="15"/>
      <c r="AB6" s="7">
        <f t="shared" ref="AB6:AD35" si="16">B6+O6</f>
        <v>11299999.999999272</v>
      </c>
      <c r="AC6" s="8">
        <f t="shared" si="16"/>
        <v>11.299999999999272</v>
      </c>
      <c r="AD6" s="8">
        <f t="shared" si="16"/>
        <v>34.690999999997764</v>
      </c>
      <c r="AF6" s="8">
        <f>T6-Q6-Z6</f>
        <v>0</v>
      </c>
    </row>
    <row r="7" spans="1:32" x14ac:dyDescent="0.2">
      <c r="A7" s="28">
        <v>38414</v>
      </c>
      <c r="B7" s="7">
        <f>'[5]March Prod'!I6</f>
        <v>12000000</v>
      </c>
      <c r="C7" s="8">
        <f t="shared" si="1"/>
        <v>12</v>
      </c>
      <c r="D7" s="10">
        <f t="shared" si="0"/>
        <v>36.839999999999996</v>
      </c>
      <c r="E7" s="7">
        <f>'[5]March Prod'!E6</f>
        <v>7000000</v>
      </c>
      <c r="F7" s="8">
        <f t="shared" si="2"/>
        <v>7</v>
      </c>
      <c r="G7" s="10">
        <f t="shared" si="3"/>
        <v>21.49</v>
      </c>
      <c r="H7" s="7">
        <f>'[5]March Prod'!F6</f>
        <v>5020000</v>
      </c>
      <c r="I7" s="8">
        <f t="shared" si="4"/>
        <v>5.0199999999999996</v>
      </c>
      <c r="J7" s="10">
        <f t="shared" si="5"/>
        <v>15.411399999999999</v>
      </c>
      <c r="K7" s="7">
        <f>'[5]March Prod'!H261</f>
        <v>991794</v>
      </c>
      <c r="L7" s="8">
        <f t="shared" si="6"/>
        <v>0.99179399999999995</v>
      </c>
      <c r="M7" s="10">
        <f t="shared" si="7"/>
        <v>3.0448075799999996</v>
      </c>
      <c r="N7" s="21"/>
      <c r="O7" s="7">
        <f>'[5]March Prod'!H6</f>
        <v>0</v>
      </c>
      <c r="P7" s="8">
        <f t="shared" si="8"/>
        <v>0</v>
      </c>
      <c r="Q7" s="10">
        <f t="shared" si="9"/>
        <v>0</v>
      </c>
      <c r="R7" s="7">
        <f>'[5]March Prod'!C6</f>
        <v>0</v>
      </c>
      <c r="S7" s="8">
        <f t="shared" si="10"/>
        <v>0</v>
      </c>
      <c r="T7" s="10">
        <f t="shared" si="11"/>
        <v>0</v>
      </c>
      <c r="U7" s="7">
        <f>'[5]March Prod'!D6</f>
        <v>0</v>
      </c>
      <c r="V7" s="8">
        <f t="shared" si="12"/>
        <v>0</v>
      </c>
      <c r="W7" s="10">
        <f t="shared" si="13"/>
        <v>0</v>
      </c>
      <c r="X7" s="7">
        <f>'[5]March Prod'!D261</f>
        <v>0</v>
      </c>
      <c r="Y7" s="8">
        <f t="shared" si="14"/>
        <v>0</v>
      </c>
      <c r="Z7" s="10">
        <f t="shared" si="15"/>
        <v>0</v>
      </c>
      <c r="AA7" s="15"/>
      <c r="AB7" s="7">
        <f t="shared" si="16"/>
        <v>12000000</v>
      </c>
      <c r="AC7" s="8">
        <f t="shared" si="16"/>
        <v>12</v>
      </c>
      <c r="AD7" s="8">
        <f t="shared" si="16"/>
        <v>36.839999999999996</v>
      </c>
      <c r="AF7" s="8">
        <f t="shared" ref="AF7:AF14" si="17">T7-Q7-Z7</f>
        <v>0</v>
      </c>
    </row>
    <row r="8" spans="1:32" x14ac:dyDescent="0.2">
      <c r="A8" s="28">
        <v>38415</v>
      </c>
      <c r="B8" s="7">
        <f>'[5]March Prod'!I7</f>
        <v>11600000.000002183</v>
      </c>
      <c r="C8" s="8">
        <f t="shared" si="1"/>
        <v>11.600000000002183</v>
      </c>
      <c r="D8" s="10">
        <f t="shared" si="0"/>
        <v>35.612000000006702</v>
      </c>
      <c r="E8" s="7">
        <f>'[5]March Prod'!E7</f>
        <v>6000000</v>
      </c>
      <c r="F8" s="8">
        <f t="shared" si="2"/>
        <v>6</v>
      </c>
      <c r="G8" s="10">
        <f t="shared" si="3"/>
        <v>18.419999999999998</v>
      </c>
      <c r="H8" s="7">
        <f>'[5]March Prod'!F7</f>
        <v>4930000</v>
      </c>
      <c r="I8" s="8">
        <f t="shared" si="4"/>
        <v>4.93</v>
      </c>
      <c r="J8" s="10">
        <f t="shared" si="5"/>
        <v>15.135099999999998</v>
      </c>
      <c r="K8" s="7">
        <f>'[5]March Prod'!H262</f>
        <v>999626</v>
      </c>
      <c r="L8" s="8">
        <f t="shared" si="6"/>
        <v>0.99962600000000001</v>
      </c>
      <c r="M8" s="10">
        <f t="shared" si="7"/>
        <v>3.0688518199999999</v>
      </c>
      <c r="N8" s="21"/>
      <c r="O8" s="7">
        <f>'[5]March Prod'!H7</f>
        <v>0</v>
      </c>
      <c r="P8" s="8">
        <f t="shared" si="8"/>
        <v>0</v>
      </c>
      <c r="Q8" s="10">
        <f t="shared" si="9"/>
        <v>0</v>
      </c>
      <c r="R8" s="7">
        <f>'[5]March Prod'!C7</f>
        <v>0</v>
      </c>
      <c r="S8" s="8">
        <f t="shared" si="10"/>
        <v>0</v>
      </c>
      <c r="T8" s="10">
        <f t="shared" si="11"/>
        <v>0</v>
      </c>
      <c r="U8" s="7">
        <f>'[5]March Prod'!D7</f>
        <v>0</v>
      </c>
      <c r="V8" s="8">
        <f t="shared" si="12"/>
        <v>0</v>
      </c>
      <c r="W8" s="10">
        <f t="shared" si="13"/>
        <v>0</v>
      </c>
      <c r="X8" s="7">
        <f>'[5]March Prod'!D262</f>
        <v>0</v>
      </c>
      <c r="Y8" s="8">
        <f t="shared" si="14"/>
        <v>0</v>
      </c>
      <c r="Z8" s="10">
        <f t="shared" si="15"/>
        <v>0</v>
      </c>
      <c r="AA8" s="15"/>
      <c r="AB8" s="7">
        <f t="shared" si="16"/>
        <v>11600000.000002183</v>
      </c>
      <c r="AC8" s="8">
        <f t="shared" si="16"/>
        <v>11.600000000002183</v>
      </c>
      <c r="AD8" s="8">
        <f>D8+Q8</f>
        <v>35.612000000006702</v>
      </c>
      <c r="AF8" s="8">
        <f t="shared" si="17"/>
        <v>0</v>
      </c>
    </row>
    <row r="9" spans="1:32" x14ac:dyDescent="0.2">
      <c r="A9" s="28">
        <v>38416</v>
      </c>
      <c r="B9" s="7">
        <f>'[5]March Prod'!I8</f>
        <v>10000000</v>
      </c>
      <c r="C9" s="8">
        <f t="shared" si="1"/>
        <v>10</v>
      </c>
      <c r="D9" s="10">
        <f t="shared" si="0"/>
        <v>30.7</v>
      </c>
      <c r="E9" s="7">
        <f>'[5]March Prod'!E8</f>
        <v>4000000</v>
      </c>
      <c r="F9" s="8">
        <f t="shared" si="2"/>
        <v>4</v>
      </c>
      <c r="G9" s="10">
        <f t="shared" si="3"/>
        <v>12.28</v>
      </c>
      <c r="H9" s="7">
        <f>'[5]March Prod'!F8</f>
        <v>5660000</v>
      </c>
      <c r="I9" s="8">
        <f t="shared" si="4"/>
        <v>5.66</v>
      </c>
      <c r="J9" s="10">
        <f t="shared" si="5"/>
        <v>17.376200000000001</v>
      </c>
      <c r="K9" s="7">
        <f>'[5]March Prod'!H263</f>
        <v>824365</v>
      </c>
      <c r="L9" s="8">
        <f t="shared" si="6"/>
        <v>0.82436500000000001</v>
      </c>
      <c r="M9" s="10">
        <f t="shared" si="7"/>
        <v>2.5308005499999999</v>
      </c>
      <c r="N9" s="21"/>
      <c r="O9" s="7">
        <f>'[5]March Prod'!H8</f>
        <v>0</v>
      </c>
      <c r="P9" s="8">
        <f t="shared" si="8"/>
        <v>0</v>
      </c>
      <c r="Q9" s="10">
        <f t="shared" si="9"/>
        <v>0</v>
      </c>
      <c r="R9" s="7">
        <f>'[5]March Prod'!C8</f>
        <v>0</v>
      </c>
      <c r="S9" s="8">
        <f t="shared" si="10"/>
        <v>0</v>
      </c>
      <c r="T9" s="10">
        <f t="shared" si="11"/>
        <v>0</v>
      </c>
      <c r="U9" s="7">
        <f>'[5]March Prod'!D8</f>
        <v>0</v>
      </c>
      <c r="V9" s="8">
        <f t="shared" si="12"/>
        <v>0</v>
      </c>
      <c r="W9" s="10">
        <f t="shared" si="13"/>
        <v>0</v>
      </c>
      <c r="X9" s="7">
        <f>'[5]March Prod'!D263</f>
        <v>0</v>
      </c>
      <c r="Y9" s="8">
        <f t="shared" si="14"/>
        <v>0</v>
      </c>
      <c r="Z9" s="10">
        <f t="shared" si="15"/>
        <v>0</v>
      </c>
      <c r="AA9" s="15"/>
      <c r="AB9" s="7">
        <f t="shared" si="16"/>
        <v>10000000</v>
      </c>
      <c r="AC9" s="8">
        <f t="shared" si="16"/>
        <v>10</v>
      </c>
      <c r="AD9" s="8">
        <f t="shared" si="16"/>
        <v>30.7</v>
      </c>
      <c r="AF9" s="8">
        <f t="shared" si="17"/>
        <v>0</v>
      </c>
    </row>
    <row r="10" spans="1:32" x14ac:dyDescent="0.2">
      <c r="A10" s="28">
        <v>38417</v>
      </c>
      <c r="B10" s="7">
        <f>'[5]March Prod'!I9</f>
        <v>10699999.999997091</v>
      </c>
      <c r="C10" s="8">
        <f t="shared" si="1"/>
        <v>10.699999999997091</v>
      </c>
      <c r="D10" s="10">
        <f t="shared" si="0"/>
        <v>32.848999999991072</v>
      </c>
      <c r="E10" s="7">
        <f>'[5]March Prod'!E9</f>
        <v>4000000</v>
      </c>
      <c r="F10" s="8">
        <f t="shared" si="2"/>
        <v>4</v>
      </c>
      <c r="G10" s="10">
        <f t="shared" si="3"/>
        <v>12.28</v>
      </c>
      <c r="H10" s="7">
        <f>'[5]March Prod'!F9</f>
        <v>6840000</v>
      </c>
      <c r="I10" s="8">
        <f t="shared" si="4"/>
        <v>6.84</v>
      </c>
      <c r="J10" s="10">
        <f t="shared" si="5"/>
        <v>20.998799999999999</v>
      </c>
      <c r="K10" s="7">
        <f>'[5]March Prod'!H264</f>
        <v>884810</v>
      </c>
      <c r="L10" s="8">
        <f t="shared" si="6"/>
        <v>0.88480999999999999</v>
      </c>
      <c r="M10" s="10">
        <f t="shared" si="7"/>
        <v>2.7163667</v>
      </c>
      <c r="N10" s="21"/>
      <c r="O10" s="7">
        <f>'[5]March Prod'!H9</f>
        <v>0</v>
      </c>
      <c r="P10" s="8">
        <f t="shared" si="8"/>
        <v>0</v>
      </c>
      <c r="Q10" s="10">
        <f t="shared" si="9"/>
        <v>0</v>
      </c>
      <c r="R10" s="7">
        <f>'[5]March Prod'!C9</f>
        <v>0</v>
      </c>
      <c r="S10" s="8">
        <f t="shared" si="10"/>
        <v>0</v>
      </c>
      <c r="T10" s="10">
        <f t="shared" si="11"/>
        <v>0</v>
      </c>
      <c r="U10" s="7">
        <f>'[5]March Prod'!D9</f>
        <v>0</v>
      </c>
      <c r="V10" s="8">
        <f t="shared" si="12"/>
        <v>0</v>
      </c>
      <c r="W10" s="10">
        <f t="shared" si="13"/>
        <v>0</v>
      </c>
      <c r="X10" s="7">
        <f>'[5]March Prod'!D264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10699999.999997091</v>
      </c>
      <c r="AC10" s="8">
        <f t="shared" si="16"/>
        <v>10.699999999997091</v>
      </c>
      <c r="AD10" s="8">
        <f t="shared" si="16"/>
        <v>32.848999999991072</v>
      </c>
      <c r="AF10" s="8">
        <f t="shared" si="17"/>
        <v>0</v>
      </c>
    </row>
    <row r="11" spans="1:32" x14ac:dyDescent="0.2">
      <c r="A11" s="28">
        <v>38418</v>
      </c>
      <c r="B11" s="7">
        <f>'[5]March Prod'!I10</f>
        <v>12000000</v>
      </c>
      <c r="C11" s="8">
        <f t="shared" si="1"/>
        <v>12</v>
      </c>
      <c r="D11" s="10">
        <f t="shared" si="0"/>
        <v>36.839999999999996</v>
      </c>
      <c r="E11" s="7">
        <f>'[5]March Prod'!E10</f>
        <v>4000000</v>
      </c>
      <c r="F11" s="8">
        <f t="shared" si="2"/>
        <v>4</v>
      </c>
      <c r="G11" s="10">
        <f t="shared" si="3"/>
        <v>12.28</v>
      </c>
      <c r="H11" s="7">
        <f>'[5]March Prod'!F10</f>
        <v>8090000</v>
      </c>
      <c r="I11" s="8">
        <f t="shared" si="4"/>
        <v>8.09</v>
      </c>
      <c r="J11" s="10">
        <f t="shared" si="5"/>
        <v>24.836299999999998</v>
      </c>
      <c r="K11" s="7">
        <f>'[5]March Prod'!H265</f>
        <v>903546</v>
      </c>
      <c r="L11" s="8">
        <f t="shared" si="6"/>
        <v>0.90354599999999996</v>
      </c>
      <c r="M11" s="10">
        <f t="shared" si="7"/>
        <v>2.7738862199999996</v>
      </c>
      <c r="N11" s="21"/>
      <c r="O11" s="7">
        <f>'[5]March Prod'!H10</f>
        <v>0</v>
      </c>
      <c r="P11" s="8">
        <f t="shared" si="8"/>
        <v>0</v>
      </c>
      <c r="Q11" s="10">
        <f t="shared" si="9"/>
        <v>0</v>
      </c>
      <c r="R11" s="7">
        <f>'[5]March Prod'!C10</f>
        <v>0</v>
      </c>
      <c r="S11" s="8">
        <f t="shared" si="10"/>
        <v>0</v>
      </c>
      <c r="T11" s="10">
        <f t="shared" si="11"/>
        <v>0</v>
      </c>
      <c r="U11" s="7">
        <f>'[5]March Prod'!D10</f>
        <v>0</v>
      </c>
      <c r="V11" s="8">
        <f t="shared" si="12"/>
        <v>0</v>
      </c>
      <c r="W11" s="10">
        <f t="shared" si="13"/>
        <v>0</v>
      </c>
      <c r="X11" s="7">
        <f>'[5]March Prod'!D265</f>
        <v>0</v>
      </c>
      <c r="Y11" s="8">
        <f t="shared" si="14"/>
        <v>0</v>
      </c>
      <c r="Z11" s="10">
        <f t="shared" si="15"/>
        <v>0</v>
      </c>
      <c r="AA11" s="15"/>
      <c r="AB11" s="7">
        <f t="shared" si="16"/>
        <v>12000000</v>
      </c>
      <c r="AC11" s="8">
        <f t="shared" si="16"/>
        <v>12</v>
      </c>
      <c r="AD11" s="8">
        <f t="shared" si="16"/>
        <v>36.839999999999996</v>
      </c>
      <c r="AF11" s="8">
        <f t="shared" si="17"/>
        <v>0</v>
      </c>
    </row>
    <row r="12" spans="1:32" x14ac:dyDescent="0.2">
      <c r="A12" s="28">
        <v>38419</v>
      </c>
      <c r="B12" s="7">
        <f>'[5]March Prod'!I11</f>
        <v>10100000.000002183</v>
      </c>
      <c r="C12" s="8">
        <f t="shared" si="1"/>
        <v>10.100000000002183</v>
      </c>
      <c r="D12" s="10">
        <f t="shared" si="0"/>
        <v>31.007000000006698</v>
      </c>
      <c r="E12" s="7">
        <f>'[5]March Prod'!E11</f>
        <v>3000000</v>
      </c>
      <c r="F12" s="8">
        <f t="shared" si="2"/>
        <v>3</v>
      </c>
      <c r="G12" s="10">
        <f t="shared" si="3"/>
        <v>9.2099999999999991</v>
      </c>
      <c r="H12" s="7">
        <f>'[5]March Prod'!F11</f>
        <v>7040000</v>
      </c>
      <c r="I12" s="8">
        <f t="shared" si="4"/>
        <v>7.04</v>
      </c>
      <c r="J12" s="10">
        <f t="shared" si="5"/>
        <v>21.6128</v>
      </c>
      <c r="K12" s="7">
        <f>'[5]March Prod'!H266</f>
        <v>942025</v>
      </c>
      <c r="L12" s="8">
        <f t="shared" si="6"/>
        <v>0.942025</v>
      </c>
      <c r="M12" s="10">
        <f t="shared" si="7"/>
        <v>2.8920167499999998</v>
      </c>
      <c r="N12" s="21"/>
      <c r="O12" s="7">
        <f>'[5]March Prod'!H11</f>
        <v>0</v>
      </c>
      <c r="P12" s="8">
        <f t="shared" si="8"/>
        <v>0</v>
      </c>
      <c r="Q12" s="10">
        <f t="shared" si="9"/>
        <v>0</v>
      </c>
      <c r="R12" s="7">
        <f>'[5]March Prod'!C11</f>
        <v>0</v>
      </c>
      <c r="S12" s="8">
        <f t="shared" si="10"/>
        <v>0</v>
      </c>
      <c r="T12" s="10">
        <f t="shared" si="11"/>
        <v>0</v>
      </c>
      <c r="U12" s="7">
        <f>'[5]March Prod'!D11</f>
        <v>0</v>
      </c>
      <c r="V12" s="8">
        <f t="shared" si="12"/>
        <v>0</v>
      </c>
      <c r="W12" s="10">
        <f t="shared" si="13"/>
        <v>0</v>
      </c>
      <c r="X12" s="7">
        <f>'[5]March Prod'!D266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10100000.000002183</v>
      </c>
      <c r="AC12" s="8">
        <f t="shared" si="16"/>
        <v>10.100000000002183</v>
      </c>
      <c r="AD12" s="8">
        <f t="shared" si="16"/>
        <v>31.007000000006698</v>
      </c>
      <c r="AF12" s="8">
        <f t="shared" si="17"/>
        <v>0</v>
      </c>
    </row>
    <row r="13" spans="1:32" x14ac:dyDescent="0.2">
      <c r="A13" s="28">
        <v>38420</v>
      </c>
      <c r="B13" s="7">
        <f>'[5]March Prod'!I12</f>
        <v>9000000</v>
      </c>
      <c r="C13" s="8">
        <f t="shared" si="1"/>
        <v>9</v>
      </c>
      <c r="D13" s="10">
        <f t="shared" si="0"/>
        <v>27.63</v>
      </c>
      <c r="E13" s="7">
        <f>'[5]March Prod'!E12</f>
        <v>1000000</v>
      </c>
      <c r="F13" s="8">
        <f t="shared" si="2"/>
        <v>1</v>
      </c>
      <c r="G13" s="10">
        <f t="shared" si="3"/>
        <v>3.07</v>
      </c>
      <c r="H13" s="7">
        <f>'[5]March Prod'!F12</f>
        <v>6950000</v>
      </c>
      <c r="I13" s="8">
        <f t="shared" si="4"/>
        <v>6.95</v>
      </c>
      <c r="J13" s="10">
        <f t="shared" si="5"/>
        <v>21.336500000000001</v>
      </c>
      <c r="K13" s="7">
        <f>'[5]March Prod'!H267</f>
        <v>698458</v>
      </c>
      <c r="L13" s="8">
        <f t="shared" si="6"/>
        <v>0.69845800000000002</v>
      </c>
      <c r="M13" s="10">
        <f t="shared" si="7"/>
        <v>2.1442660600000001</v>
      </c>
      <c r="N13" s="21"/>
      <c r="O13" s="7">
        <f>'[5]March Prod'!H12</f>
        <v>0</v>
      </c>
      <c r="P13" s="8">
        <f t="shared" si="8"/>
        <v>0</v>
      </c>
      <c r="Q13" s="10">
        <f t="shared" si="9"/>
        <v>0</v>
      </c>
      <c r="R13" s="7">
        <f>'[5]March Prod'!C12</f>
        <v>0</v>
      </c>
      <c r="S13" s="8">
        <f t="shared" si="10"/>
        <v>0</v>
      </c>
      <c r="T13" s="10">
        <f t="shared" si="11"/>
        <v>0</v>
      </c>
      <c r="U13" s="7">
        <f>'[5]March Prod'!D12</f>
        <v>0</v>
      </c>
      <c r="V13" s="8">
        <f t="shared" si="12"/>
        <v>0</v>
      </c>
      <c r="W13" s="10">
        <f t="shared" si="13"/>
        <v>0</v>
      </c>
      <c r="X13" s="7">
        <f>'[5]March Prod'!D267</f>
        <v>0</v>
      </c>
      <c r="Y13" s="8">
        <f t="shared" si="14"/>
        <v>0</v>
      </c>
      <c r="Z13" s="10">
        <f t="shared" si="15"/>
        <v>0</v>
      </c>
      <c r="AA13" s="15"/>
      <c r="AB13" s="7">
        <f t="shared" si="16"/>
        <v>9000000</v>
      </c>
      <c r="AC13" s="8">
        <f t="shared" si="16"/>
        <v>9</v>
      </c>
      <c r="AD13" s="8">
        <f>D13+Q13</f>
        <v>27.63</v>
      </c>
      <c r="AF13" s="8">
        <f t="shared" si="17"/>
        <v>0</v>
      </c>
    </row>
    <row r="14" spans="1:32" x14ac:dyDescent="0.2">
      <c r="A14" s="28">
        <v>38421</v>
      </c>
      <c r="B14" s="7">
        <f>'[5]March Prod'!I13</f>
        <v>9899999.999997817</v>
      </c>
      <c r="C14" s="8">
        <f t="shared" si="1"/>
        <v>9.8999999999978172</v>
      </c>
      <c r="D14" s="10">
        <f t="shared" si="0"/>
        <v>30.392999999993297</v>
      </c>
      <c r="E14" s="7">
        <f>'[5]March Prod'!E13</f>
        <v>4000000</v>
      </c>
      <c r="F14" s="8">
        <f t="shared" si="2"/>
        <v>4</v>
      </c>
      <c r="G14" s="10">
        <f t="shared" si="3"/>
        <v>12.28</v>
      </c>
      <c r="H14" s="7">
        <f>'[5]March Prod'!F13</f>
        <v>6700000</v>
      </c>
      <c r="I14" s="8">
        <f t="shared" si="4"/>
        <v>6.7</v>
      </c>
      <c r="J14" s="10">
        <f t="shared" si="5"/>
        <v>20.568999999999999</v>
      </c>
      <c r="K14" s="7">
        <f>'[5]March Prod'!H268</f>
        <v>914821</v>
      </c>
      <c r="L14" s="8">
        <f t="shared" si="6"/>
        <v>0.914821</v>
      </c>
      <c r="M14" s="10">
        <f t="shared" si="7"/>
        <v>2.8085004699999998</v>
      </c>
      <c r="N14" s="21"/>
      <c r="O14" s="7">
        <f>'[5]March Prod'!H13</f>
        <v>0</v>
      </c>
      <c r="P14" s="8">
        <f t="shared" si="8"/>
        <v>0</v>
      </c>
      <c r="Q14" s="10">
        <f t="shared" si="9"/>
        <v>0</v>
      </c>
      <c r="R14" s="7">
        <f>'[5]March Prod'!C13</f>
        <v>0</v>
      </c>
      <c r="S14" s="8">
        <f t="shared" si="10"/>
        <v>0</v>
      </c>
      <c r="T14" s="10">
        <f t="shared" si="11"/>
        <v>0</v>
      </c>
      <c r="U14" s="7">
        <f>'[5]March Prod'!D13</f>
        <v>0</v>
      </c>
      <c r="V14" s="8">
        <f t="shared" si="12"/>
        <v>0</v>
      </c>
      <c r="W14" s="10">
        <f t="shared" si="13"/>
        <v>0</v>
      </c>
      <c r="X14" s="7">
        <f>'[5]March Prod'!D268</f>
        <v>0</v>
      </c>
      <c r="Y14" s="8">
        <f t="shared" si="14"/>
        <v>0</v>
      </c>
      <c r="Z14" s="10">
        <f t="shared" si="15"/>
        <v>0</v>
      </c>
      <c r="AA14" s="15"/>
      <c r="AB14" s="7">
        <f t="shared" si="16"/>
        <v>9899999.999997817</v>
      </c>
      <c r="AC14" s="8">
        <f t="shared" si="16"/>
        <v>9.8999999999978172</v>
      </c>
      <c r="AD14" s="8">
        <f t="shared" si="16"/>
        <v>30.392999999993297</v>
      </c>
      <c r="AF14" s="8">
        <f t="shared" si="17"/>
        <v>0</v>
      </c>
    </row>
    <row r="15" spans="1:32" x14ac:dyDescent="0.2">
      <c r="A15" s="28">
        <v>38422</v>
      </c>
      <c r="B15" s="7">
        <f>'[5]March Prod'!I14</f>
        <v>11900000.000001455</v>
      </c>
      <c r="C15" s="8">
        <f t="shared" si="1"/>
        <v>11.900000000001455</v>
      </c>
      <c r="D15" s="10">
        <f t="shared" si="0"/>
        <v>36.533000000004463</v>
      </c>
      <c r="E15" s="7">
        <f>'[5]March Prod'!E14</f>
        <v>4000000</v>
      </c>
      <c r="F15" s="8">
        <f t="shared" si="2"/>
        <v>4</v>
      </c>
      <c r="G15" s="10">
        <f t="shared" si="3"/>
        <v>12.28</v>
      </c>
      <c r="H15" s="7">
        <f>'[5]March Prod'!F14</f>
        <v>7050000</v>
      </c>
      <c r="I15" s="8">
        <f t="shared" si="4"/>
        <v>7.05</v>
      </c>
      <c r="J15" s="10">
        <f t="shared" si="5"/>
        <v>21.6435</v>
      </c>
      <c r="K15" s="7">
        <f>'[5]March Prod'!H269</f>
        <v>924461</v>
      </c>
      <c r="L15" s="8">
        <f t="shared" si="6"/>
        <v>0.92446099999999998</v>
      </c>
      <c r="M15" s="10">
        <f t="shared" si="7"/>
        <v>2.8380952699999997</v>
      </c>
      <c r="N15" s="21"/>
      <c r="O15" s="7">
        <f>'[5]March Prod'!H14</f>
        <v>0</v>
      </c>
      <c r="P15" s="8">
        <f t="shared" si="8"/>
        <v>0</v>
      </c>
      <c r="Q15" s="10">
        <f t="shared" si="9"/>
        <v>0</v>
      </c>
      <c r="R15" s="7">
        <f>'[5]March Prod'!C14</f>
        <v>0</v>
      </c>
      <c r="S15" s="8">
        <f t="shared" si="10"/>
        <v>0</v>
      </c>
      <c r="T15" s="10">
        <f t="shared" si="11"/>
        <v>0</v>
      </c>
      <c r="U15" s="7">
        <f>'[5]March Prod'!D14</f>
        <v>0</v>
      </c>
      <c r="V15" s="8">
        <f t="shared" si="12"/>
        <v>0</v>
      </c>
      <c r="W15" s="10">
        <f t="shared" si="13"/>
        <v>0</v>
      </c>
      <c r="X15" s="7">
        <f>'[5]March Prod'!D269</f>
        <v>0</v>
      </c>
      <c r="Y15" s="8">
        <f t="shared" si="14"/>
        <v>0</v>
      </c>
      <c r="Z15" s="10">
        <f t="shared" si="15"/>
        <v>0</v>
      </c>
      <c r="AA15" s="15"/>
      <c r="AB15" s="7">
        <f t="shared" si="16"/>
        <v>11900000.000001455</v>
      </c>
      <c r="AC15" s="8">
        <f t="shared" si="16"/>
        <v>11.900000000001455</v>
      </c>
      <c r="AD15" s="8">
        <f t="shared" si="16"/>
        <v>36.533000000004463</v>
      </c>
      <c r="AF15" s="8">
        <f>T15-Q15-Z15</f>
        <v>0</v>
      </c>
    </row>
    <row r="16" spans="1:32" x14ac:dyDescent="0.2">
      <c r="A16" s="28">
        <v>38423</v>
      </c>
      <c r="B16" s="7">
        <f>'[5]March Prod'!I15</f>
        <v>12099999.999998545</v>
      </c>
      <c r="C16" s="8">
        <f t="shared" si="1"/>
        <v>12.099999999998545</v>
      </c>
      <c r="D16" s="10">
        <f t="shared" si="0"/>
        <v>37.146999999995529</v>
      </c>
      <c r="E16" s="7">
        <f>'[5]March Prod'!E15</f>
        <v>5000000</v>
      </c>
      <c r="F16" s="8">
        <f t="shared" si="2"/>
        <v>5</v>
      </c>
      <c r="G16" s="10">
        <f t="shared" si="3"/>
        <v>15.35</v>
      </c>
      <c r="H16" s="7">
        <f>'[5]March Prod'!F15</f>
        <v>7100000.0000000009</v>
      </c>
      <c r="I16" s="8">
        <f t="shared" si="4"/>
        <v>7.1000000000000005</v>
      </c>
      <c r="J16" s="10">
        <f t="shared" si="5"/>
        <v>21.797000000000001</v>
      </c>
      <c r="K16" s="7">
        <f>'[5]March Prod'!H270</f>
        <v>934880</v>
      </c>
      <c r="L16" s="8">
        <f t="shared" si="6"/>
        <v>0.93488000000000004</v>
      </c>
      <c r="M16" s="10">
        <f t="shared" si="7"/>
        <v>2.8700815999999998</v>
      </c>
      <c r="N16" s="21"/>
      <c r="O16" s="7">
        <f>'[5]March Prod'!H15</f>
        <v>0</v>
      </c>
      <c r="P16" s="8">
        <f t="shared" si="8"/>
        <v>0</v>
      </c>
      <c r="Q16" s="10">
        <f t="shared" si="9"/>
        <v>0</v>
      </c>
      <c r="R16" s="7">
        <f>'[5]March Prod'!C15</f>
        <v>0</v>
      </c>
      <c r="S16" s="8">
        <f t="shared" si="10"/>
        <v>0</v>
      </c>
      <c r="T16" s="10">
        <f t="shared" si="11"/>
        <v>0</v>
      </c>
      <c r="U16" s="7">
        <f>'[5]March Prod'!D15</f>
        <v>0</v>
      </c>
      <c r="V16" s="8">
        <f t="shared" si="12"/>
        <v>0</v>
      </c>
      <c r="W16" s="10">
        <f t="shared" si="13"/>
        <v>0</v>
      </c>
      <c r="X16" s="7">
        <f>'[5]March Prod'!D270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12099999.999998545</v>
      </c>
      <c r="AC16" s="8">
        <f t="shared" si="16"/>
        <v>12.099999999998545</v>
      </c>
      <c r="AD16" s="8">
        <f t="shared" si="16"/>
        <v>37.146999999995529</v>
      </c>
      <c r="AF16" s="8">
        <f>T16-Q16-Z16</f>
        <v>0</v>
      </c>
    </row>
    <row r="17" spans="1:32" x14ac:dyDescent="0.2">
      <c r="A17" s="28">
        <v>38424</v>
      </c>
      <c r="B17" s="7">
        <f>'[5]March Prod'!I16</f>
        <v>10200000.000000728</v>
      </c>
      <c r="C17" s="8">
        <f t="shared" si="1"/>
        <v>10.200000000000728</v>
      </c>
      <c r="D17" s="10">
        <f t="shared" si="0"/>
        <v>31.314000000002231</v>
      </c>
      <c r="E17" s="7">
        <f>'[5]March Prod'!E16</f>
        <v>4000000</v>
      </c>
      <c r="F17" s="8">
        <f t="shared" si="2"/>
        <v>4</v>
      </c>
      <c r="G17" s="10">
        <f t="shared" si="3"/>
        <v>12.28</v>
      </c>
      <c r="H17" s="7">
        <f>'[5]March Prod'!F16</f>
        <v>6440000</v>
      </c>
      <c r="I17" s="8">
        <f t="shared" si="4"/>
        <v>6.44</v>
      </c>
      <c r="J17" s="10">
        <f t="shared" si="5"/>
        <v>19.770800000000001</v>
      </c>
      <c r="K17" s="7">
        <f>'[5]March Prod'!H271</f>
        <v>1073542</v>
      </c>
      <c r="L17" s="8">
        <f t="shared" si="6"/>
        <v>1.073542</v>
      </c>
      <c r="M17" s="10">
        <f t="shared" si="7"/>
        <v>3.2957739399999997</v>
      </c>
      <c r="N17" s="21"/>
      <c r="O17" s="7">
        <f>'[5]March Prod'!H16</f>
        <v>0</v>
      </c>
      <c r="P17" s="8">
        <f t="shared" si="8"/>
        <v>0</v>
      </c>
      <c r="Q17" s="10">
        <f t="shared" si="9"/>
        <v>0</v>
      </c>
      <c r="R17" s="7">
        <f>'[5]March Prod'!C16</f>
        <v>0</v>
      </c>
      <c r="S17" s="8">
        <f t="shared" si="10"/>
        <v>0</v>
      </c>
      <c r="T17" s="10">
        <f t="shared" si="11"/>
        <v>0</v>
      </c>
      <c r="U17" s="7">
        <f>'[5]March Prod'!D16</f>
        <v>0</v>
      </c>
      <c r="V17" s="8">
        <f t="shared" si="12"/>
        <v>0</v>
      </c>
      <c r="W17" s="10">
        <f t="shared" si="13"/>
        <v>0</v>
      </c>
      <c r="X17" s="7">
        <f>'[5]March Prod'!D271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10200000.000000728</v>
      </c>
      <c r="AC17" s="8">
        <f t="shared" si="16"/>
        <v>10.200000000000728</v>
      </c>
      <c r="AD17" s="8">
        <f t="shared" si="16"/>
        <v>31.314000000002231</v>
      </c>
      <c r="AF17" s="8">
        <f>T17-Q17-Z17</f>
        <v>0</v>
      </c>
    </row>
    <row r="18" spans="1:32" x14ac:dyDescent="0.2">
      <c r="A18" s="28">
        <v>38425</v>
      </c>
      <c r="B18" s="7">
        <f>'[5]March Prod'!I17</f>
        <v>10900000.000001455</v>
      </c>
      <c r="C18" s="8">
        <f t="shared" si="1"/>
        <v>10.900000000001455</v>
      </c>
      <c r="D18" s="10">
        <f t="shared" si="0"/>
        <v>33.463000000004463</v>
      </c>
      <c r="E18" s="7">
        <f>'[5]March Prod'!E17</f>
        <v>4000000</v>
      </c>
      <c r="F18" s="8">
        <f t="shared" si="2"/>
        <v>4</v>
      </c>
      <c r="G18" s="10">
        <f t="shared" si="3"/>
        <v>12.28</v>
      </c>
      <c r="H18" s="7">
        <f>'[5]March Prod'!F17</f>
        <v>6010000</v>
      </c>
      <c r="I18" s="8">
        <f t="shared" si="4"/>
        <v>6.01</v>
      </c>
      <c r="J18" s="10">
        <f t="shared" si="5"/>
        <v>18.450699999999998</v>
      </c>
      <c r="K18" s="7">
        <f>'[5]March Prod'!H272</f>
        <v>919610</v>
      </c>
      <c r="L18" s="8">
        <f t="shared" si="6"/>
        <v>0.91961000000000004</v>
      </c>
      <c r="M18" s="10">
        <f t="shared" si="7"/>
        <v>2.8232027</v>
      </c>
      <c r="N18" s="21"/>
      <c r="O18" s="7">
        <f>'[5]March Prod'!H17</f>
        <v>0</v>
      </c>
      <c r="P18" s="8">
        <f t="shared" si="8"/>
        <v>0</v>
      </c>
      <c r="Q18" s="10">
        <f t="shared" si="9"/>
        <v>0</v>
      </c>
      <c r="R18" s="7">
        <f>'[5]March Prod'!C17</f>
        <v>0</v>
      </c>
      <c r="S18" s="8">
        <f t="shared" si="10"/>
        <v>0</v>
      </c>
      <c r="T18" s="10">
        <f t="shared" si="11"/>
        <v>0</v>
      </c>
      <c r="U18" s="7">
        <f>'[5]March Prod'!D17</f>
        <v>0</v>
      </c>
      <c r="V18" s="8">
        <f t="shared" si="12"/>
        <v>0</v>
      </c>
      <c r="W18" s="10">
        <f t="shared" si="13"/>
        <v>0</v>
      </c>
      <c r="X18" s="7">
        <f>'[5]March Prod'!D272</f>
        <v>0</v>
      </c>
      <c r="Y18" s="8">
        <f t="shared" si="14"/>
        <v>0</v>
      </c>
      <c r="Z18" s="10">
        <f t="shared" si="15"/>
        <v>0</v>
      </c>
      <c r="AA18" s="15"/>
      <c r="AB18" s="7">
        <f t="shared" si="16"/>
        <v>10900000.000001455</v>
      </c>
      <c r="AC18" s="8">
        <f t="shared" si="16"/>
        <v>10.900000000001455</v>
      </c>
      <c r="AD18" s="8">
        <f t="shared" si="16"/>
        <v>33.463000000004463</v>
      </c>
      <c r="AF18" s="8">
        <f>T18-Q18-Z18</f>
        <v>0</v>
      </c>
    </row>
    <row r="19" spans="1:32" x14ac:dyDescent="0.2">
      <c r="A19" s="28">
        <v>38426</v>
      </c>
      <c r="B19" s="7">
        <f>'[5]March Prod'!I18</f>
        <v>10299999.999999272</v>
      </c>
      <c r="C19" s="8">
        <f t="shared" si="1"/>
        <v>10.299999999999272</v>
      </c>
      <c r="D19" s="10">
        <f t="shared" si="0"/>
        <v>31.620999999997764</v>
      </c>
      <c r="E19" s="7">
        <f>'[5]March Prod'!E18</f>
        <v>5000000</v>
      </c>
      <c r="F19" s="8">
        <f t="shared" si="2"/>
        <v>5</v>
      </c>
      <c r="G19" s="10">
        <f t="shared" si="3"/>
        <v>15.35</v>
      </c>
      <c r="H19" s="7">
        <f>'[5]March Prod'!F18</f>
        <v>6030000</v>
      </c>
      <c r="I19" s="8">
        <f t="shared" si="4"/>
        <v>6.03</v>
      </c>
      <c r="J19" s="10">
        <f t="shared" si="5"/>
        <v>18.5121</v>
      </c>
      <c r="K19" s="7">
        <f>'[5]March Prod'!H273</f>
        <v>892116</v>
      </c>
      <c r="L19" s="8">
        <f t="shared" si="6"/>
        <v>0.89211600000000002</v>
      </c>
      <c r="M19" s="10">
        <f t="shared" si="7"/>
        <v>2.7387961199999999</v>
      </c>
      <c r="N19" s="21"/>
      <c r="O19" s="7">
        <f>'[5]March Prod'!H18</f>
        <v>0</v>
      </c>
      <c r="P19" s="8">
        <f t="shared" si="8"/>
        <v>0</v>
      </c>
      <c r="Q19" s="10">
        <f t="shared" si="9"/>
        <v>0</v>
      </c>
      <c r="R19" s="7">
        <f>'[5]March Prod'!C18</f>
        <v>0</v>
      </c>
      <c r="S19" s="8">
        <f t="shared" si="10"/>
        <v>0</v>
      </c>
      <c r="T19" s="10">
        <f t="shared" si="11"/>
        <v>0</v>
      </c>
      <c r="U19" s="7">
        <f>'[5]March Prod'!D18</f>
        <v>0</v>
      </c>
      <c r="V19" s="8">
        <f t="shared" si="12"/>
        <v>0</v>
      </c>
      <c r="W19" s="10">
        <f t="shared" si="13"/>
        <v>0</v>
      </c>
      <c r="X19" s="7">
        <f>'[5]March Prod'!D273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6"/>
        <v>10299999.999999272</v>
      </c>
      <c r="AC19" s="8">
        <f t="shared" si="16"/>
        <v>10.299999999999272</v>
      </c>
      <c r="AD19" s="8">
        <f>D19+Q19</f>
        <v>31.620999999997764</v>
      </c>
      <c r="AF19" s="8">
        <f>T19-Q19-Z19</f>
        <v>0</v>
      </c>
    </row>
    <row r="20" spans="1:32" x14ac:dyDescent="0.2">
      <c r="A20" s="28">
        <v>38427</v>
      </c>
      <c r="B20" s="7">
        <f>'[5]March Prod'!I19</f>
        <v>10299999.999999272</v>
      </c>
      <c r="C20" s="8">
        <f t="shared" si="1"/>
        <v>10.299999999999272</v>
      </c>
      <c r="D20" s="10">
        <f t="shared" si="0"/>
        <v>31.620999999997764</v>
      </c>
      <c r="E20" s="7">
        <f>'[5]March Prod'!E19</f>
        <v>4000000</v>
      </c>
      <c r="F20" s="8">
        <f t="shared" si="2"/>
        <v>4</v>
      </c>
      <c r="G20" s="10">
        <f t="shared" si="3"/>
        <v>12.28</v>
      </c>
      <c r="H20" s="7">
        <f>'[5]March Prod'!F19</f>
        <v>5980000</v>
      </c>
      <c r="I20" s="8">
        <f t="shared" si="4"/>
        <v>5.98</v>
      </c>
      <c r="J20" s="10">
        <f t="shared" si="5"/>
        <v>18.358599999999999</v>
      </c>
      <c r="K20" s="7">
        <f>'[5]March Prod'!H274</f>
        <v>803139</v>
      </c>
      <c r="L20" s="8">
        <f t="shared" si="6"/>
        <v>0.80313900000000005</v>
      </c>
      <c r="M20" s="10">
        <f t="shared" si="7"/>
        <v>2.4656367299999999</v>
      </c>
      <c r="N20" s="21"/>
      <c r="O20" s="7">
        <f>'[5]March Prod'!H19</f>
        <v>0</v>
      </c>
      <c r="P20" s="8">
        <f t="shared" si="8"/>
        <v>0</v>
      </c>
      <c r="Q20" s="10">
        <f t="shared" si="9"/>
        <v>0</v>
      </c>
      <c r="R20" s="7">
        <f>'[5]March Prod'!C19</f>
        <v>0</v>
      </c>
      <c r="S20" s="8">
        <f t="shared" si="10"/>
        <v>0</v>
      </c>
      <c r="T20" s="10">
        <f t="shared" si="11"/>
        <v>0</v>
      </c>
      <c r="U20" s="7">
        <f>'[5]March Prod'!D19</f>
        <v>0</v>
      </c>
      <c r="V20" s="8">
        <f t="shared" si="12"/>
        <v>0</v>
      </c>
      <c r="W20" s="10">
        <f t="shared" si="13"/>
        <v>0</v>
      </c>
      <c r="X20" s="7">
        <f>'[5]March Prod'!D274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10299999.999999272</v>
      </c>
      <c r="AC20" s="8">
        <f t="shared" si="16"/>
        <v>10.299999999999272</v>
      </c>
      <c r="AD20" s="8">
        <f t="shared" si="16"/>
        <v>31.620999999997764</v>
      </c>
      <c r="AF20" s="8">
        <f t="shared" ref="AF20:AF35" si="18">T20-Q20-Z20</f>
        <v>0</v>
      </c>
    </row>
    <row r="21" spans="1:32" x14ac:dyDescent="0.2">
      <c r="A21" s="28">
        <v>38428</v>
      </c>
      <c r="B21" s="7">
        <f>'[5]March Prod'!I20</f>
        <v>11600000.000002183</v>
      </c>
      <c r="C21" s="8">
        <f t="shared" si="1"/>
        <v>11.600000000002183</v>
      </c>
      <c r="D21" s="10">
        <f t="shared" si="0"/>
        <v>35.612000000006702</v>
      </c>
      <c r="E21" s="7">
        <f>'[5]March Prod'!E20</f>
        <v>6000000</v>
      </c>
      <c r="F21" s="8">
        <f t="shared" si="2"/>
        <v>6</v>
      </c>
      <c r="G21" s="10">
        <f t="shared" si="3"/>
        <v>18.419999999999998</v>
      </c>
      <c r="H21" s="7">
        <f>'[5]March Prod'!F20</f>
        <v>5990000</v>
      </c>
      <c r="I21" s="8">
        <f t="shared" si="4"/>
        <v>5.99</v>
      </c>
      <c r="J21" s="10">
        <f t="shared" si="5"/>
        <v>18.389299999999999</v>
      </c>
      <c r="K21" s="7">
        <f>'[5]March Prod'!H275</f>
        <v>949445</v>
      </c>
      <c r="L21" s="8">
        <f t="shared" si="6"/>
        <v>0.94944499999999998</v>
      </c>
      <c r="M21" s="10">
        <f t="shared" si="7"/>
        <v>2.9147961499999999</v>
      </c>
      <c r="N21" s="21"/>
      <c r="O21" s="7">
        <f>'[5]March Prod'!H20</f>
        <v>0</v>
      </c>
      <c r="P21" s="8">
        <f t="shared" si="8"/>
        <v>0</v>
      </c>
      <c r="Q21" s="10">
        <f t="shared" si="9"/>
        <v>0</v>
      </c>
      <c r="R21" s="7">
        <f>'[5]March Prod'!C20</f>
        <v>0</v>
      </c>
      <c r="S21" s="8">
        <f t="shared" si="10"/>
        <v>0</v>
      </c>
      <c r="T21" s="10">
        <f t="shared" si="11"/>
        <v>0</v>
      </c>
      <c r="U21" s="7">
        <f>'[5]March Prod'!D20</f>
        <v>0</v>
      </c>
      <c r="V21" s="8">
        <f t="shared" si="12"/>
        <v>0</v>
      </c>
      <c r="W21" s="10">
        <f t="shared" si="13"/>
        <v>0</v>
      </c>
      <c r="X21" s="7">
        <f>'[5]March Prod'!D275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11600000.000002183</v>
      </c>
      <c r="AC21" s="8">
        <f t="shared" si="16"/>
        <v>11.600000000002183</v>
      </c>
      <c r="AD21" s="8">
        <f t="shared" si="16"/>
        <v>35.612000000006702</v>
      </c>
      <c r="AF21" s="8">
        <f t="shared" si="18"/>
        <v>0</v>
      </c>
    </row>
    <row r="22" spans="1:32" x14ac:dyDescent="0.2">
      <c r="A22" s="28">
        <v>38429</v>
      </c>
      <c r="B22" s="7">
        <f>'[5]March Prod'!I21</f>
        <v>10699999.999997091</v>
      </c>
      <c r="C22" s="8">
        <f t="shared" si="1"/>
        <v>10.699999999997091</v>
      </c>
      <c r="D22" s="10">
        <f t="shared" si="0"/>
        <v>32.848999999991072</v>
      </c>
      <c r="E22" s="7">
        <f>'[5]March Prod'!E21</f>
        <v>6000000</v>
      </c>
      <c r="F22" s="8">
        <f t="shared" si="2"/>
        <v>6</v>
      </c>
      <c r="G22" s="10">
        <f t="shared" si="3"/>
        <v>18.419999999999998</v>
      </c>
      <c r="H22" s="7">
        <f>'[5]March Prod'!F21</f>
        <v>5940000</v>
      </c>
      <c r="I22" s="8">
        <f t="shared" si="4"/>
        <v>5.94</v>
      </c>
      <c r="J22" s="10">
        <f t="shared" si="5"/>
        <v>18.235800000000001</v>
      </c>
      <c r="K22" s="7">
        <f>'[5]March Prod'!H276</f>
        <v>982584</v>
      </c>
      <c r="L22" s="8">
        <f t="shared" si="6"/>
        <v>0.98258400000000001</v>
      </c>
      <c r="M22" s="10">
        <f t="shared" si="7"/>
        <v>3.0165328799999997</v>
      </c>
      <c r="N22" s="21"/>
      <c r="O22" s="7">
        <f>'[5]March Prod'!H21</f>
        <v>0</v>
      </c>
      <c r="P22" s="8">
        <f t="shared" si="8"/>
        <v>0</v>
      </c>
      <c r="Q22" s="10">
        <f t="shared" si="9"/>
        <v>0</v>
      </c>
      <c r="R22" s="7">
        <f>'[5]March Prod'!C21</f>
        <v>0</v>
      </c>
      <c r="S22" s="8">
        <f t="shared" si="10"/>
        <v>0</v>
      </c>
      <c r="T22" s="10">
        <f t="shared" si="11"/>
        <v>0</v>
      </c>
      <c r="U22" s="7">
        <f>'[5]March Prod'!D21</f>
        <v>0</v>
      </c>
      <c r="V22" s="8">
        <f t="shared" si="12"/>
        <v>0</v>
      </c>
      <c r="W22" s="10">
        <f t="shared" si="13"/>
        <v>0</v>
      </c>
      <c r="X22" s="7">
        <f>'[5]March Prod'!D276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10699999.999997091</v>
      </c>
      <c r="AC22" s="8">
        <f t="shared" si="16"/>
        <v>10.699999999997091</v>
      </c>
      <c r="AD22" s="8">
        <f t="shared" si="16"/>
        <v>32.848999999991072</v>
      </c>
      <c r="AF22" s="8">
        <f t="shared" si="18"/>
        <v>0</v>
      </c>
    </row>
    <row r="23" spans="1:32" x14ac:dyDescent="0.2">
      <c r="A23" s="28">
        <v>38430</v>
      </c>
      <c r="B23" s="7">
        <f>'[5]March Prod'!I22</f>
        <v>10900000.000001455</v>
      </c>
      <c r="C23" s="8">
        <f t="shared" si="1"/>
        <v>10.900000000001455</v>
      </c>
      <c r="D23" s="10">
        <f t="shared" si="0"/>
        <v>33.463000000004463</v>
      </c>
      <c r="E23" s="7">
        <f>'[5]March Prod'!E22</f>
        <v>5000000</v>
      </c>
      <c r="F23" s="8">
        <f t="shared" si="2"/>
        <v>5</v>
      </c>
      <c r="G23" s="10">
        <f t="shared" si="3"/>
        <v>15.35</v>
      </c>
      <c r="H23" s="7">
        <f>'[5]March Prod'!F22</f>
        <v>6030000</v>
      </c>
      <c r="I23" s="8">
        <f t="shared" si="4"/>
        <v>6.03</v>
      </c>
      <c r="J23" s="10">
        <f t="shared" si="5"/>
        <v>18.5121</v>
      </c>
      <c r="K23" s="7">
        <f>'[5]March Prod'!H277</f>
        <v>914084</v>
      </c>
      <c r="L23" s="8">
        <f t="shared" si="6"/>
        <v>0.91408400000000001</v>
      </c>
      <c r="M23" s="10">
        <f t="shared" si="7"/>
        <v>2.8062378799999999</v>
      </c>
      <c r="N23" s="21"/>
      <c r="O23" s="7">
        <f>'[5]March Prod'!H22</f>
        <v>0</v>
      </c>
      <c r="P23" s="8">
        <f t="shared" si="8"/>
        <v>0</v>
      </c>
      <c r="Q23" s="10">
        <f t="shared" si="9"/>
        <v>0</v>
      </c>
      <c r="R23" s="7">
        <f>'[5]March Prod'!C22</f>
        <v>0</v>
      </c>
      <c r="S23" s="8">
        <f t="shared" si="10"/>
        <v>0</v>
      </c>
      <c r="T23" s="10">
        <f t="shared" si="11"/>
        <v>0</v>
      </c>
      <c r="U23" s="7">
        <f>'[5]March Prod'!D22</f>
        <v>0</v>
      </c>
      <c r="V23" s="8">
        <f t="shared" si="12"/>
        <v>0</v>
      </c>
      <c r="W23" s="10">
        <f t="shared" si="13"/>
        <v>0</v>
      </c>
      <c r="X23" s="7">
        <f>'[5]March Prod'!D277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10900000.000001455</v>
      </c>
      <c r="AC23" s="8">
        <f t="shared" si="16"/>
        <v>10.900000000001455</v>
      </c>
      <c r="AD23" s="8">
        <f t="shared" si="16"/>
        <v>33.463000000004463</v>
      </c>
      <c r="AF23" s="8">
        <f t="shared" si="18"/>
        <v>0</v>
      </c>
    </row>
    <row r="24" spans="1:32" x14ac:dyDescent="0.2">
      <c r="A24" s="28">
        <v>38431</v>
      </c>
      <c r="B24" s="7">
        <f>'[5]March Prod'!I23</f>
        <v>11200000.000000728</v>
      </c>
      <c r="C24" s="8">
        <f t="shared" si="1"/>
        <v>11.200000000000728</v>
      </c>
      <c r="D24" s="10">
        <f t="shared" si="0"/>
        <v>34.384000000002231</v>
      </c>
      <c r="E24" s="7">
        <f>'[5]March Prod'!E23</f>
        <v>5000000</v>
      </c>
      <c r="F24" s="8">
        <f t="shared" si="2"/>
        <v>5</v>
      </c>
      <c r="G24" s="10">
        <f t="shared" si="3"/>
        <v>15.35</v>
      </c>
      <c r="H24" s="7">
        <f>'[5]March Prod'!F23</f>
        <v>6010000</v>
      </c>
      <c r="I24" s="8">
        <f t="shared" si="4"/>
        <v>6.01</v>
      </c>
      <c r="J24" s="10">
        <f t="shared" si="5"/>
        <v>18.450699999999998</v>
      </c>
      <c r="K24" s="7">
        <f>'[5]March Prod'!H278</f>
        <v>922665</v>
      </c>
      <c r="L24" s="8">
        <f t="shared" si="6"/>
        <v>0.92266499999999996</v>
      </c>
      <c r="M24" s="10">
        <f t="shared" si="7"/>
        <v>2.8325815499999996</v>
      </c>
      <c r="N24" s="21"/>
      <c r="O24" s="7">
        <f>'[5]March Prod'!H23</f>
        <v>0</v>
      </c>
      <c r="P24" s="8">
        <f t="shared" si="8"/>
        <v>0</v>
      </c>
      <c r="Q24" s="10">
        <f t="shared" si="9"/>
        <v>0</v>
      </c>
      <c r="R24" s="7">
        <f>'[5]March Prod'!C23</f>
        <v>0</v>
      </c>
      <c r="S24" s="8">
        <f t="shared" si="10"/>
        <v>0</v>
      </c>
      <c r="T24" s="10">
        <f t="shared" si="11"/>
        <v>0</v>
      </c>
      <c r="U24" s="7">
        <f>'[5]March Prod'!D23</f>
        <v>0</v>
      </c>
      <c r="V24" s="8">
        <f t="shared" si="12"/>
        <v>0</v>
      </c>
      <c r="W24" s="10">
        <f t="shared" si="13"/>
        <v>0</v>
      </c>
      <c r="X24" s="7">
        <f>'[5]March Prod'!D278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11200000.000000728</v>
      </c>
      <c r="AC24" s="8">
        <f t="shared" si="16"/>
        <v>11.200000000000728</v>
      </c>
      <c r="AD24" s="8">
        <f>D24+Q24</f>
        <v>34.384000000002231</v>
      </c>
      <c r="AF24" s="8">
        <f t="shared" si="18"/>
        <v>0</v>
      </c>
    </row>
    <row r="25" spans="1:32" x14ac:dyDescent="0.2">
      <c r="A25" s="28">
        <v>38432</v>
      </c>
      <c r="B25" s="7">
        <f>'[5]March Prod'!I24</f>
        <v>9200000.0000007283</v>
      </c>
      <c r="C25" s="8">
        <f t="shared" si="1"/>
        <v>9.2000000000007276</v>
      </c>
      <c r="D25" s="10">
        <f t="shared" si="0"/>
        <v>28.244000000002231</v>
      </c>
      <c r="E25" s="7">
        <f>'[5]March Prod'!E24</f>
        <v>4000000</v>
      </c>
      <c r="F25" s="8">
        <f t="shared" si="2"/>
        <v>4</v>
      </c>
      <c r="G25" s="10">
        <f t="shared" si="3"/>
        <v>12.28</v>
      </c>
      <c r="H25" s="7">
        <f>'[5]March Prod'!F24</f>
        <v>6070000</v>
      </c>
      <c r="I25" s="8">
        <f t="shared" si="4"/>
        <v>6.07</v>
      </c>
      <c r="J25" s="10">
        <f t="shared" si="5"/>
        <v>18.634899999999998</v>
      </c>
      <c r="K25" s="7">
        <f>'[5]March Prod'!H279</f>
        <v>956804</v>
      </c>
      <c r="L25" s="8">
        <f t="shared" si="6"/>
        <v>0.95680399999999999</v>
      </c>
      <c r="M25" s="10">
        <f t="shared" si="7"/>
        <v>2.93738828</v>
      </c>
      <c r="N25" s="21"/>
      <c r="O25" s="7">
        <f>'[5]March Prod'!H24</f>
        <v>0</v>
      </c>
      <c r="P25" s="8">
        <f t="shared" si="8"/>
        <v>0</v>
      </c>
      <c r="Q25" s="10">
        <f t="shared" si="9"/>
        <v>0</v>
      </c>
      <c r="R25" s="7">
        <f>'[5]March Prod'!C24</f>
        <v>0</v>
      </c>
      <c r="S25" s="8">
        <f t="shared" si="10"/>
        <v>0</v>
      </c>
      <c r="T25" s="10">
        <f t="shared" si="11"/>
        <v>0</v>
      </c>
      <c r="U25" s="7">
        <f>'[5]March Prod'!D24</f>
        <v>0</v>
      </c>
      <c r="V25" s="8">
        <f t="shared" si="12"/>
        <v>0</v>
      </c>
      <c r="W25" s="10">
        <f t="shared" si="13"/>
        <v>0</v>
      </c>
      <c r="X25" s="7">
        <f>'[5]March Prod'!D279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9200000.0000007283</v>
      </c>
      <c r="AC25" s="8">
        <f t="shared" si="16"/>
        <v>9.2000000000007276</v>
      </c>
      <c r="AD25" s="8">
        <f t="shared" si="16"/>
        <v>28.244000000002231</v>
      </c>
      <c r="AF25" s="8">
        <f t="shared" si="18"/>
        <v>0</v>
      </c>
    </row>
    <row r="26" spans="1:32" x14ac:dyDescent="0.2">
      <c r="A26" s="28">
        <v>38433</v>
      </c>
      <c r="B26" s="7">
        <f>'[5]March Prod'!I25</f>
        <v>11500000</v>
      </c>
      <c r="C26" s="8">
        <f t="shared" si="1"/>
        <v>11.5</v>
      </c>
      <c r="D26" s="10">
        <f t="shared" si="0"/>
        <v>35.305</v>
      </c>
      <c r="E26" s="7">
        <f>'[5]March Prod'!E25</f>
        <v>5000000</v>
      </c>
      <c r="F26" s="8">
        <f t="shared" si="2"/>
        <v>5</v>
      </c>
      <c r="G26" s="10">
        <f t="shared" si="3"/>
        <v>15.35</v>
      </c>
      <c r="H26" s="7">
        <f>'[5]March Prod'!F25</f>
        <v>5970000</v>
      </c>
      <c r="I26" s="8">
        <f t="shared" si="4"/>
        <v>5.97</v>
      </c>
      <c r="J26" s="10">
        <f t="shared" si="5"/>
        <v>18.3279</v>
      </c>
      <c r="K26" s="7">
        <f>'[5]March Prod'!H280</f>
        <v>830757</v>
      </c>
      <c r="L26" s="8">
        <f t="shared" si="6"/>
        <v>0.83075699999999997</v>
      </c>
      <c r="M26" s="10">
        <f t="shared" si="7"/>
        <v>2.5504239899999996</v>
      </c>
      <c r="N26" s="21"/>
      <c r="O26" s="7">
        <f>'[5]March Prod'!H25</f>
        <v>0</v>
      </c>
      <c r="P26" s="8">
        <f t="shared" si="8"/>
        <v>0</v>
      </c>
      <c r="Q26" s="10">
        <f t="shared" si="9"/>
        <v>0</v>
      </c>
      <c r="R26" s="7">
        <f>'[5]March Prod'!C25</f>
        <v>0</v>
      </c>
      <c r="S26" s="8">
        <f t="shared" si="10"/>
        <v>0</v>
      </c>
      <c r="T26" s="10">
        <f t="shared" si="11"/>
        <v>0</v>
      </c>
      <c r="U26" s="7">
        <f>'[5]March Prod'!D25</f>
        <v>0</v>
      </c>
      <c r="V26" s="8">
        <f t="shared" si="12"/>
        <v>0</v>
      </c>
      <c r="W26" s="10">
        <f t="shared" si="13"/>
        <v>0</v>
      </c>
      <c r="X26" s="7">
        <f>'[5]March Prod'!D280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11500000</v>
      </c>
      <c r="AC26" s="8">
        <f t="shared" si="16"/>
        <v>11.5</v>
      </c>
      <c r="AD26" s="8">
        <f t="shared" si="16"/>
        <v>35.305</v>
      </c>
      <c r="AF26" s="8">
        <f t="shared" si="18"/>
        <v>0</v>
      </c>
    </row>
    <row r="27" spans="1:32" x14ac:dyDescent="0.2">
      <c r="A27" s="28">
        <v>38434</v>
      </c>
      <c r="B27" s="7">
        <f>'[5]March Prod'!I26</f>
        <v>8899999.999997817</v>
      </c>
      <c r="C27" s="8">
        <f t="shared" si="1"/>
        <v>8.8999999999978172</v>
      </c>
      <c r="D27" s="10">
        <f t="shared" si="0"/>
        <v>27.322999999993296</v>
      </c>
      <c r="E27" s="7">
        <f>'[5]March Prod'!E26</f>
        <v>2000000</v>
      </c>
      <c r="F27" s="8">
        <f t="shared" si="2"/>
        <v>2</v>
      </c>
      <c r="G27" s="10">
        <f t="shared" si="3"/>
        <v>6.14</v>
      </c>
      <c r="H27" s="7">
        <f>'[5]March Prod'!F26</f>
        <v>5950000</v>
      </c>
      <c r="I27" s="8">
        <f t="shared" si="4"/>
        <v>5.95</v>
      </c>
      <c r="J27" s="10">
        <f t="shared" si="5"/>
        <v>18.266500000000001</v>
      </c>
      <c r="K27" s="7">
        <f>'[5]March Prod'!H281</f>
        <v>751183</v>
      </c>
      <c r="L27" s="8">
        <f t="shared" si="6"/>
        <v>0.75118300000000005</v>
      </c>
      <c r="M27" s="10">
        <f t="shared" si="7"/>
        <v>2.3061318100000001</v>
      </c>
      <c r="N27" s="21"/>
      <c r="O27" s="7">
        <f>'[5]March Prod'!H26</f>
        <v>0</v>
      </c>
      <c r="P27" s="8">
        <f t="shared" si="8"/>
        <v>0</v>
      </c>
      <c r="Q27" s="10">
        <f t="shared" si="9"/>
        <v>0</v>
      </c>
      <c r="R27" s="7">
        <f>'[5]March Prod'!C26</f>
        <v>0</v>
      </c>
      <c r="S27" s="8">
        <f t="shared" si="10"/>
        <v>0</v>
      </c>
      <c r="T27" s="10">
        <f t="shared" si="11"/>
        <v>0</v>
      </c>
      <c r="U27" s="7">
        <f>'[5]March Prod'!D26</f>
        <v>0</v>
      </c>
      <c r="V27" s="8">
        <f t="shared" si="12"/>
        <v>0</v>
      </c>
      <c r="W27" s="10">
        <f t="shared" si="13"/>
        <v>0</v>
      </c>
      <c r="X27" s="7">
        <f>'[5]March Prod'!D281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8899999.999997817</v>
      </c>
      <c r="AC27" s="8">
        <f t="shared" si="16"/>
        <v>8.8999999999978172</v>
      </c>
      <c r="AD27" s="8">
        <f t="shared" si="16"/>
        <v>27.322999999993296</v>
      </c>
      <c r="AF27" s="8">
        <f t="shared" si="18"/>
        <v>0</v>
      </c>
    </row>
    <row r="28" spans="1:32" x14ac:dyDescent="0.2">
      <c r="A28" s="28">
        <v>38435</v>
      </c>
      <c r="B28" s="7">
        <f>'[5]March Prod'!I27</f>
        <v>10000000</v>
      </c>
      <c r="C28" s="8">
        <f t="shared" si="1"/>
        <v>10</v>
      </c>
      <c r="D28" s="10">
        <f t="shared" si="0"/>
        <v>30.7</v>
      </c>
      <c r="E28" s="7">
        <f>'[5]March Prod'!E27</f>
        <v>5000000</v>
      </c>
      <c r="F28" s="8">
        <f t="shared" si="2"/>
        <v>5</v>
      </c>
      <c r="G28" s="10">
        <f t="shared" si="3"/>
        <v>15.35</v>
      </c>
      <c r="H28" s="7">
        <f>'[5]March Prod'!F27</f>
        <v>6020000</v>
      </c>
      <c r="I28" s="8">
        <f t="shared" si="4"/>
        <v>6.02</v>
      </c>
      <c r="J28" s="10">
        <f t="shared" si="5"/>
        <v>18.481399999999997</v>
      </c>
      <c r="K28" s="7">
        <f>'[5]March Prod'!H282</f>
        <v>853005</v>
      </c>
      <c r="L28" s="8">
        <f t="shared" si="6"/>
        <v>0.85300500000000001</v>
      </c>
      <c r="M28" s="10">
        <f t="shared" si="7"/>
        <v>2.6187253500000001</v>
      </c>
      <c r="N28" s="21"/>
      <c r="O28" s="7">
        <f>'[5]March Prod'!H27</f>
        <v>0</v>
      </c>
      <c r="P28" s="8">
        <f t="shared" si="8"/>
        <v>0</v>
      </c>
      <c r="Q28" s="10">
        <f t="shared" si="9"/>
        <v>0</v>
      </c>
      <c r="R28" s="7">
        <f>'[5]March Prod'!C27</f>
        <v>0</v>
      </c>
      <c r="S28" s="8">
        <f t="shared" si="10"/>
        <v>0</v>
      </c>
      <c r="T28" s="10">
        <f t="shared" si="11"/>
        <v>0</v>
      </c>
      <c r="U28" s="7">
        <f>'[5]March Prod'!D27</f>
        <v>0</v>
      </c>
      <c r="V28" s="8">
        <f t="shared" si="12"/>
        <v>0</v>
      </c>
      <c r="W28" s="10">
        <f t="shared" si="13"/>
        <v>0</v>
      </c>
      <c r="X28" s="7">
        <f>'[5]March Prod'!D282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10000000</v>
      </c>
      <c r="AC28" s="8">
        <f t="shared" si="16"/>
        <v>10</v>
      </c>
      <c r="AD28" s="8">
        <f t="shared" si="16"/>
        <v>30.7</v>
      </c>
      <c r="AF28" s="8">
        <f t="shared" si="18"/>
        <v>0</v>
      </c>
    </row>
    <row r="29" spans="1:32" x14ac:dyDescent="0.2">
      <c r="A29" s="28">
        <v>38436</v>
      </c>
      <c r="B29" s="7">
        <f>'[5]March Prod'!I28</f>
        <v>11400000.000001455</v>
      </c>
      <c r="C29" s="8">
        <f t="shared" si="1"/>
        <v>11.400000000001455</v>
      </c>
      <c r="D29" s="10">
        <f t="shared" si="0"/>
        <v>34.998000000004467</v>
      </c>
      <c r="E29" s="7">
        <f>'[5]March Prod'!E28</f>
        <v>5000000</v>
      </c>
      <c r="F29" s="8">
        <f t="shared" si="2"/>
        <v>5</v>
      </c>
      <c r="G29" s="10">
        <f t="shared" si="3"/>
        <v>15.35</v>
      </c>
      <c r="H29" s="7">
        <f>'[5]March Prod'!F28</f>
        <v>6090000</v>
      </c>
      <c r="I29" s="8">
        <f t="shared" si="4"/>
        <v>6.09</v>
      </c>
      <c r="J29" s="10">
        <f t="shared" si="5"/>
        <v>18.696299999999997</v>
      </c>
      <c r="K29" s="7">
        <f>'[5]March Prod'!H283</f>
        <v>917878</v>
      </c>
      <c r="L29" s="8">
        <f t="shared" si="6"/>
        <v>0.91787799999999997</v>
      </c>
      <c r="M29" s="10">
        <f t="shared" si="7"/>
        <v>2.8178854599999998</v>
      </c>
      <c r="N29" s="21"/>
      <c r="O29" s="7">
        <f>'[5]March Prod'!H28</f>
        <v>0</v>
      </c>
      <c r="P29" s="8">
        <f t="shared" si="8"/>
        <v>0</v>
      </c>
      <c r="Q29" s="10">
        <f t="shared" si="9"/>
        <v>0</v>
      </c>
      <c r="R29" s="7">
        <f>'[5]March Prod'!C28</f>
        <v>0</v>
      </c>
      <c r="S29" s="8">
        <f t="shared" si="10"/>
        <v>0</v>
      </c>
      <c r="T29" s="10">
        <f t="shared" si="11"/>
        <v>0</v>
      </c>
      <c r="U29" s="7">
        <f>'[5]March Prod'!D28</f>
        <v>0</v>
      </c>
      <c r="V29" s="8">
        <f t="shared" si="12"/>
        <v>0</v>
      </c>
      <c r="W29" s="10">
        <f t="shared" si="13"/>
        <v>0</v>
      </c>
      <c r="X29" s="7">
        <f>'[5]March Prod'!D283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11400000.000001455</v>
      </c>
      <c r="AC29" s="8">
        <f t="shared" si="16"/>
        <v>11.400000000001455</v>
      </c>
      <c r="AD29" s="8">
        <f t="shared" si="16"/>
        <v>34.998000000004467</v>
      </c>
      <c r="AF29" s="8">
        <f t="shared" si="18"/>
        <v>0</v>
      </c>
    </row>
    <row r="30" spans="1:32" x14ac:dyDescent="0.2">
      <c r="A30" s="28">
        <v>38437</v>
      </c>
      <c r="B30" s="7">
        <f>'[5]March Prod'!I29</f>
        <v>10200000.000000728</v>
      </c>
      <c r="C30" s="8">
        <f t="shared" si="1"/>
        <v>10.200000000000728</v>
      </c>
      <c r="D30" s="10">
        <f t="shared" si="0"/>
        <v>31.314000000002231</v>
      </c>
      <c r="E30" s="7">
        <f>'[5]March Prod'!E29</f>
        <v>5000000</v>
      </c>
      <c r="F30" s="8">
        <f t="shared" si="2"/>
        <v>5</v>
      </c>
      <c r="G30" s="10">
        <f t="shared" si="3"/>
        <v>15.35</v>
      </c>
      <c r="H30" s="7">
        <f>'[5]March Prod'!F29</f>
        <v>6120000</v>
      </c>
      <c r="I30" s="8">
        <f t="shared" si="4"/>
        <v>6.12</v>
      </c>
      <c r="J30" s="10">
        <f t="shared" si="5"/>
        <v>18.788399999999999</v>
      </c>
      <c r="K30" s="7">
        <f>'[5]March Prod'!H284</f>
        <v>1003114</v>
      </c>
      <c r="L30" s="8">
        <f t="shared" si="6"/>
        <v>1.0031140000000001</v>
      </c>
      <c r="M30" s="10">
        <f t="shared" si="7"/>
        <v>3.07955998</v>
      </c>
      <c r="N30" s="21"/>
      <c r="O30" s="7">
        <f>'[5]March Prod'!H29</f>
        <v>0</v>
      </c>
      <c r="P30" s="8">
        <f t="shared" si="8"/>
        <v>0</v>
      </c>
      <c r="Q30" s="10">
        <f t="shared" si="9"/>
        <v>0</v>
      </c>
      <c r="R30" s="7">
        <f>'[5]March Prod'!C29</f>
        <v>0</v>
      </c>
      <c r="S30" s="8">
        <f t="shared" si="10"/>
        <v>0</v>
      </c>
      <c r="T30" s="10">
        <f t="shared" si="11"/>
        <v>0</v>
      </c>
      <c r="U30" s="7">
        <f>'[5]March Prod'!D29</f>
        <v>0</v>
      </c>
      <c r="V30" s="8">
        <f t="shared" si="12"/>
        <v>0</v>
      </c>
      <c r="W30" s="10">
        <f t="shared" si="13"/>
        <v>0</v>
      </c>
      <c r="X30" s="7">
        <f>'[5]March Prod'!D284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10200000.000000728</v>
      </c>
      <c r="AC30" s="8">
        <f t="shared" si="16"/>
        <v>10.200000000000728</v>
      </c>
      <c r="AD30" s="8">
        <f>D30+Q30</f>
        <v>31.314000000002231</v>
      </c>
      <c r="AF30" s="8">
        <f t="shared" si="18"/>
        <v>0</v>
      </c>
    </row>
    <row r="31" spans="1:32" x14ac:dyDescent="0.2">
      <c r="A31" s="28">
        <v>38438</v>
      </c>
      <c r="B31" s="7">
        <f>'[5]March Prod'!I30</f>
        <v>10299999.999999272</v>
      </c>
      <c r="C31" s="8">
        <f t="shared" si="1"/>
        <v>10.299999999999272</v>
      </c>
      <c r="D31" s="10">
        <f t="shared" si="0"/>
        <v>31.620999999997764</v>
      </c>
      <c r="E31" s="7">
        <f>'[5]March Prod'!E30</f>
        <v>5000000</v>
      </c>
      <c r="F31" s="8">
        <f t="shared" si="2"/>
        <v>5</v>
      </c>
      <c r="G31" s="10">
        <f t="shared" si="3"/>
        <v>15.35</v>
      </c>
      <c r="H31" s="7">
        <f>'[5]March Prod'!F30</f>
        <v>5790000</v>
      </c>
      <c r="I31" s="8">
        <f t="shared" si="4"/>
        <v>5.79</v>
      </c>
      <c r="J31" s="10">
        <f t="shared" si="5"/>
        <v>17.775299999999998</v>
      </c>
      <c r="K31" s="7">
        <f>'[5]March Prod'!H285</f>
        <v>906383</v>
      </c>
      <c r="L31" s="8">
        <f t="shared" si="6"/>
        <v>0.90638300000000005</v>
      </c>
      <c r="M31" s="10">
        <f t="shared" si="7"/>
        <v>2.7825958100000001</v>
      </c>
      <c r="N31" s="21"/>
      <c r="O31" s="7">
        <f>'[5]March Prod'!H30</f>
        <v>0</v>
      </c>
      <c r="P31" s="8">
        <f t="shared" si="8"/>
        <v>0</v>
      </c>
      <c r="Q31" s="10">
        <f t="shared" si="9"/>
        <v>0</v>
      </c>
      <c r="R31" s="7">
        <f>'[5]March Prod'!C30</f>
        <v>0</v>
      </c>
      <c r="S31" s="8">
        <f t="shared" si="10"/>
        <v>0</v>
      </c>
      <c r="T31" s="10">
        <f t="shared" si="11"/>
        <v>0</v>
      </c>
      <c r="U31" s="7">
        <f>'[5]March Prod'!D30</f>
        <v>0</v>
      </c>
      <c r="V31" s="8">
        <f t="shared" si="12"/>
        <v>0</v>
      </c>
      <c r="W31" s="10">
        <f t="shared" si="13"/>
        <v>0</v>
      </c>
      <c r="X31" s="7">
        <f>'[5]March Prod'!D285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10299999.999999272</v>
      </c>
      <c r="AC31" s="8">
        <f t="shared" si="16"/>
        <v>10.299999999999272</v>
      </c>
      <c r="AD31" s="8">
        <f t="shared" si="16"/>
        <v>31.620999999997764</v>
      </c>
      <c r="AF31" s="8">
        <f>T31-Q31-Z31</f>
        <v>0</v>
      </c>
    </row>
    <row r="32" spans="1:32" x14ac:dyDescent="0.2">
      <c r="A32" s="28">
        <v>38439</v>
      </c>
      <c r="B32" s="7">
        <f>'[5]March Prod'!I31</f>
        <v>10399999.999997817</v>
      </c>
      <c r="C32" s="8">
        <f t="shared" si="1"/>
        <v>10.399999999997817</v>
      </c>
      <c r="D32" s="10">
        <f t="shared" si="0"/>
        <v>31.927999999993297</v>
      </c>
      <c r="E32" s="7">
        <f>'[5]March Prod'!E31</f>
        <v>4000000</v>
      </c>
      <c r="F32" s="8">
        <f t="shared" si="2"/>
        <v>4</v>
      </c>
      <c r="G32" s="10">
        <f t="shared" si="3"/>
        <v>12.28</v>
      </c>
      <c r="H32" s="7">
        <f>'[5]March Prod'!F31</f>
        <v>6010000</v>
      </c>
      <c r="I32" s="8">
        <f t="shared" si="4"/>
        <v>6.01</v>
      </c>
      <c r="J32" s="10">
        <f t="shared" si="5"/>
        <v>18.450699999999998</v>
      </c>
      <c r="K32" s="7">
        <f>'[5]March Prod'!H286</f>
        <v>1036021</v>
      </c>
      <c r="L32" s="8">
        <f t="shared" si="6"/>
        <v>1.0360210000000001</v>
      </c>
      <c r="M32" s="10">
        <f t="shared" si="7"/>
        <v>3.1805844699999999</v>
      </c>
      <c r="N32" s="21"/>
      <c r="O32" s="7">
        <f>'[5]March Prod'!H31</f>
        <v>0</v>
      </c>
      <c r="P32" s="8">
        <f t="shared" si="8"/>
        <v>0</v>
      </c>
      <c r="Q32" s="10">
        <f t="shared" si="9"/>
        <v>0</v>
      </c>
      <c r="R32" s="7">
        <f>'[5]March Prod'!C31</f>
        <v>0</v>
      </c>
      <c r="S32" s="8">
        <f t="shared" si="10"/>
        <v>0</v>
      </c>
      <c r="T32" s="10">
        <f t="shared" si="11"/>
        <v>0</v>
      </c>
      <c r="U32" s="7">
        <f>'[5]March Prod'!D31</f>
        <v>0</v>
      </c>
      <c r="V32" s="8">
        <f t="shared" si="12"/>
        <v>0</v>
      </c>
      <c r="W32" s="10">
        <f t="shared" si="13"/>
        <v>0</v>
      </c>
      <c r="X32" s="7">
        <f>'[5]March Prod'!D286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10399999.999997817</v>
      </c>
      <c r="AC32" s="8">
        <f t="shared" si="16"/>
        <v>10.399999999997817</v>
      </c>
      <c r="AD32" s="8">
        <f t="shared" si="16"/>
        <v>31.927999999993297</v>
      </c>
      <c r="AF32" s="8">
        <f t="shared" si="18"/>
        <v>0</v>
      </c>
    </row>
    <row r="33" spans="1:32" x14ac:dyDescent="0.2">
      <c r="A33" s="28">
        <v>38440</v>
      </c>
      <c r="B33" s="7">
        <f>'[5]March Prod'!I32</f>
        <v>10000000</v>
      </c>
      <c r="C33" s="8">
        <f t="shared" si="1"/>
        <v>10</v>
      </c>
      <c r="D33" s="10">
        <f t="shared" si="0"/>
        <v>30.7</v>
      </c>
      <c r="E33" s="7">
        <f>'[5]March Prod'!E32</f>
        <v>4000000</v>
      </c>
      <c r="F33" s="8">
        <f t="shared" si="2"/>
        <v>4</v>
      </c>
      <c r="G33" s="10">
        <f t="shared" si="3"/>
        <v>12.28</v>
      </c>
      <c r="H33" s="7">
        <f>'[5]March Prod'!F32</f>
        <v>6030000</v>
      </c>
      <c r="I33" s="8">
        <f t="shared" si="4"/>
        <v>6.03</v>
      </c>
      <c r="J33" s="10">
        <f t="shared" si="5"/>
        <v>18.5121</v>
      </c>
      <c r="K33" s="7">
        <f>'[5]March Prod'!H287</f>
        <v>924972</v>
      </c>
      <c r="L33" s="8">
        <f t="shared" si="6"/>
        <v>0.92497200000000002</v>
      </c>
      <c r="M33" s="10">
        <f t="shared" si="7"/>
        <v>2.8396640399999997</v>
      </c>
      <c r="N33" s="21"/>
      <c r="O33" s="7">
        <f>'[5]March Prod'!H32</f>
        <v>0</v>
      </c>
      <c r="P33" s="8">
        <f t="shared" si="8"/>
        <v>0</v>
      </c>
      <c r="Q33" s="10">
        <f t="shared" si="9"/>
        <v>0</v>
      </c>
      <c r="R33" s="7">
        <f>'[5]March Prod'!C32</f>
        <v>0</v>
      </c>
      <c r="S33" s="8">
        <f t="shared" si="10"/>
        <v>0</v>
      </c>
      <c r="T33" s="10">
        <f t="shared" si="11"/>
        <v>0</v>
      </c>
      <c r="U33" s="7">
        <f>'[5]March Prod'!D32</f>
        <v>0</v>
      </c>
      <c r="V33" s="8">
        <f t="shared" si="12"/>
        <v>0</v>
      </c>
      <c r="W33" s="10">
        <f t="shared" si="13"/>
        <v>0</v>
      </c>
      <c r="X33" s="7">
        <f>'[5]March Prod'!D287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10000000</v>
      </c>
      <c r="AC33" s="8">
        <f t="shared" si="16"/>
        <v>10</v>
      </c>
      <c r="AD33" s="8">
        <f t="shared" si="16"/>
        <v>30.7</v>
      </c>
      <c r="AF33" s="8">
        <f t="shared" si="18"/>
        <v>0</v>
      </c>
    </row>
    <row r="34" spans="1:32" x14ac:dyDescent="0.2">
      <c r="A34" s="28">
        <v>38441</v>
      </c>
      <c r="B34" s="7">
        <f>'[5]March Prod'!I33</f>
        <v>10500000</v>
      </c>
      <c r="C34" s="8">
        <f t="shared" si="1"/>
        <v>10.5</v>
      </c>
      <c r="D34" s="10">
        <f t="shared" si="0"/>
        <v>32.234999999999999</v>
      </c>
      <c r="E34" s="7">
        <f>'[5]March Prod'!E33</f>
        <v>6000000</v>
      </c>
      <c r="F34" s="8">
        <f t="shared" si="2"/>
        <v>6</v>
      </c>
      <c r="G34" s="10">
        <f t="shared" si="3"/>
        <v>18.419999999999998</v>
      </c>
      <c r="H34" s="7">
        <f>'[5]March Prod'!F33</f>
        <v>6040000</v>
      </c>
      <c r="I34" s="8">
        <f t="shared" si="4"/>
        <v>6.04</v>
      </c>
      <c r="J34" s="10">
        <f t="shared" si="5"/>
        <v>18.5428</v>
      </c>
      <c r="K34" s="7">
        <f>'[5]March Prod'!H288</f>
        <v>894335</v>
      </c>
      <c r="L34" s="8">
        <f t="shared" si="6"/>
        <v>0.89433499999999999</v>
      </c>
      <c r="M34" s="10">
        <f t="shared" si="7"/>
        <v>2.7456084499999998</v>
      </c>
      <c r="N34" s="21"/>
      <c r="O34" s="7">
        <f>'[5]March Prod'!H33</f>
        <v>0</v>
      </c>
      <c r="P34" s="8">
        <f t="shared" si="8"/>
        <v>0</v>
      </c>
      <c r="Q34" s="10">
        <f t="shared" si="9"/>
        <v>0</v>
      </c>
      <c r="R34" s="7">
        <f>'[5]March Prod'!C33</f>
        <v>0</v>
      </c>
      <c r="S34" s="8">
        <f t="shared" si="10"/>
        <v>0</v>
      </c>
      <c r="T34" s="10">
        <f t="shared" si="11"/>
        <v>0</v>
      </c>
      <c r="U34" s="7">
        <f>'[5]March Prod'!D33</f>
        <v>0</v>
      </c>
      <c r="V34" s="8">
        <f t="shared" si="12"/>
        <v>0</v>
      </c>
      <c r="W34" s="10">
        <f t="shared" si="13"/>
        <v>0</v>
      </c>
      <c r="X34" s="7">
        <f>'[5]March Prod'!D288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10500000</v>
      </c>
      <c r="AC34" s="8">
        <f t="shared" si="16"/>
        <v>10.5</v>
      </c>
      <c r="AD34" s="8">
        <f t="shared" si="16"/>
        <v>32.234999999999999</v>
      </c>
      <c r="AF34" s="8">
        <f t="shared" si="18"/>
        <v>0</v>
      </c>
    </row>
    <row r="35" spans="1:32" ht="13.5" thickBot="1" x14ac:dyDescent="0.25">
      <c r="A35" s="28">
        <v>38442</v>
      </c>
      <c r="B35" s="7">
        <f>'[5]March Prod'!I34</f>
        <v>12000000</v>
      </c>
      <c r="C35" s="8">
        <f t="shared" si="1"/>
        <v>12</v>
      </c>
      <c r="D35" s="10">
        <f t="shared" si="0"/>
        <v>36.839999999999996</v>
      </c>
      <c r="E35" s="7">
        <f>'[5]March Prod'!E34</f>
        <v>5000000</v>
      </c>
      <c r="F35" s="8">
        <f t="shared" si="2"/>
        <v>5</v>
      </c>
      <c r="G35" s="10">
        <f t="shared" si="3"/>
        <v>15.35</v>
      </c>
      <c r="H35" s="7">
        <f>'[5]March Prod'!F34</f>
        <v>5940000</v>
      </c>
      <c r="I35" s="8">
        <f t="shared" si="4"/>
        <v>5.94</v>
      </c>
      <c r="J35" s="10">
        <f t="shared" si="5"/>
        <v>18.235800000000001</v>
      </c>
      <c r="K35" s="7">
        <f>'[5]March Prod'!H289</f>
        <v>1018139</v>
      </c>
      <c r="L35" s="8">
        <f t="shared" si="6"/>
        <v>1.0181389999999999</v>
      </c>
      <c r="M35" s="10">
        <f t="shared" si="7"/>
        <v>3.1256867299999995</v>
      </c>
      <c r="N35" s="21"/>
      <c r="O35" s="7">
        <f>'[5]March Prod'!H34</f>
        <v>0</v>
      </c>
      <c r="P35" s="8">
        <f t="shared" si="8"/>
        <v>0</v>
      </c>
      <c r="Q35" s="10">
        <f t="shared" si="9"/>
        <v>0</v>
      </c>
      <c r="R35" s="7">
        <f>'[5]March Prod'!C34</f>
        <v>0</v>
      </c>
      <c r="S35" s="8">
        <f t="shared" si="10"/>
        <v>0</v>
      </c>
      <c r="T35" s="10">
        <f t="shared" si="11"/>
        <v>0</v>
      </c>
      <c r="U35" s="7">
        <f>'[5]March Prod'!D34</f>
        <v>0</v>
      </c>
      <c r="V35" s="8">
        <f t="shared" si="12"/>
        <v>0</v>
      </c>
      <c r="W35" s="10">
        <f t="shared" si="13"/>
        <v>0</v>
      </c>
      <c r="X35" s="7">
        <f>'[5]March Prod'!D289</f>
        <v>0</v>
      </c>
      <c r="Y35" s="8">
        <f t="shared" si="14"/>
        <v>0</v>
      </c>
      <c r="Z35" s="10">
        <f t="shared" si="15"/>
        <v>0</v>
      </c>
      <c r="AA35" s="15"/>
      <c r="AB35" s="7">
        <f t="shared" si="16"/>
        <v>12000000</v>
      </c>
      <c r="AC35" s="8">
        <f t="shared" si="16"/>
        <v>12</v>
      </c>
      <c r="AD35" s="8">
        <f t="shared" si="16"/>
        <v>36.839999999999996</v>
      </c>
      <c r="AF35" s="8">
        <f t="shared" si="18"/>
        <v>0</v>
      </c>
    </row>
    <row r="36" spans="1:32" ht="13.5" thickBot="1" x14ac:dyDescent="0.25">
      <c r="A36" s="14"/>
      <c r="B36" s="39"/>
      <c r="C36" s="40">
        <f>SUM(C5:C35)</f>
        <v>332.89999999999782</v>
      </c>
      <c r="D36" s="40">
        <f t="shared" ref="D36:J36" si="19">SUM(D5:D35)</f>
        <v>1022.0029999999933</v>
      </c>
      <c r="E36" s="39"/>
      <c r="F36" s="40">
        <f t="shared" si="19"/>
        <v>144</v>
      </c>
      <c r="G36" s="40">
        <f t="shared" si="19"/>
        <v>442.0800000000001</v>
      </c>
      <c r="H36" s="39"/>
      <c r="I36" s="40">
        <f t="shared" si="19"/>
        <v>189.76999999999998</v>
      </c>
      <c r="J36" s="40">
        <f t="shared" si="19"/>
        <v>582.59389999999996</v>
      </c>
      <c r="K36" s="39"/>
      <c r="L36" s="40">
        <f>SUM(L5:L35)</f>
        <v>28.558594000000006</v>
      </c>
      <c r="M36" s="40">
        <f>SUM(M5:M35)</f>
        <v>87.674883580000014</v>
      </c>
      <c r="N36" s="14"/>
      <c r="O36" s="39"/>
      <c r="P36" s="40">
        <f>SUM(P5:P35)</f>
        <v>0</v>
      </c>
      <c r="Q36" s="40">
        <f>SUM(Q5:Q35)</f>
        <v>0</v>
      </c>
      <c r="R36" s="39"/>
      <c r="S36" s="40">
        <f>SUM(S5:S35)</f>
        <v>0</v>
      </c>
      <c r="T36" s="40">
        <f>SUM(T5:T35)</f>
        <v>0</v>
      </c>
      <c r="U36" s="39"/>
      <c r="V36" s="40">
        <f>SUM(V5:V35)</f>
        <v>0</v>
      </c>
      <c r="W36" s="40">
        <f>SUM(W5:W35)</f>
        <v>0</v>
      </c>
      <c r="X36" s="39"/>
      <c r="Y36" s="40">
        <f>SUM(Y5:Y35)</f>
        <v>0</v>
      </c>
      <c r="Z36" s="40">
        <f>SUM(Z5:Z35)</f>
        <v>0</v>
      </c>
      <c r="AA36" s="14"/>
      <c r="AB36" s="39"/>
      <c r="AC36" s="40">
        <f>SUM(AC5:AC35)</f>
        <v>332.89999999999782</v>
      </c>
      <c r="AD36" s="40">
        <f>AC36*3.07</f>
        <v>1022.0029999999932</v>
      </c>
      <c r="AF36" s="40">
        <f>SUM(AF5:AF35)</f>
        <v>0</v>
      </c>
    </row>
    <row r="37" spans="1:32" x14ac:dyDescent="0.2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36"/>
  <sheetViews>
    <sheetView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R28" sqref="R28"/>
    </sheetView>
  </sheetViews>
  <sheetFormatPr defaultRowHeight="12.75" x14ac:dyDescent="0.2"/>
  <cols>
    <col min="2" max="2" width="13.28515625" customWidth="1"/>
    <col min="5" max="5" width="13.140625" customWidth="1"/>
    <col min="8" max="8" width="15.140625" customWidth="1"/>
    <col min="11" max="11" width="10.28515625" customWidth="1"/>
    <col min="12" max="12" width="11.7109375" bestFit="1" customWidth="1"/>
    <col min="15" max="15" width="10.7109375" customWidth="1"/>
    <col min="18" max="18" width="10.7109375" customWidth="1"/>
    <col min="21" max="21" width="10.42578125" customWidth="1"/>
    <col min="22" max="22" width="10.85546875" customWidth="1"/>
    <col min="24" max="24" width="12.140625" customWidth="1"/>
    <col min="28" max="28" width="13.140625" customWidth="1"/>
  </cols>
  <sheetData>
    <row r="1" spans="1:30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8</v>
      </c>
      <c r="AC3" s="66"/>
      <c r="AD3" s="67"/>
    </row>
    <row r="4" spans="1:30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6" t="s">
        <v>0</v>
      </c>
      <c r="AC4" s="37" t="s">
        <v>1</v>
      </c>
      <c r="AD4" s="38" t="s">
        <v>2</v>
      </c>
    </row>
    <row r="5" spans="1:30" x14ac:dyDescent="0.2">
      <c r="A5" s="28">
        <v>38443</v>
      </c>
      <c r="B5" s="7">
        <f>'[6]April Prod'!I4</f>
        <v>10600000.000002183</v>
      </c>
      <c r="C5" s="8">
        <f>B5/1000000</f>
        <v>10.600000000002183</v>
      </c>
      <c r="D5" s="10">
        <f>C5*3.07</f>
        <v>32.542000000006702</v>
      </c>
      <c r="E5" s="7">
        <f>'[6]April Prod'!E4</f>
        <v>6000000</v>
      </c>
      <c r="F5" s="8">
        <f>E5/1000000</f>
        <v>6</v>
      </c>
      <c r="G5" s="10">
        <f>F5*3.07</f>
        <v>18.419999999999998</v>
      </c>
      <c r="H5" s="7">
        <f>'[6]April Prod'!F4</f>
        <v>6080000</v>
      </c>
      <c r="I5" s="8">
        <f t="shared" ref="I5:I34" si="0">H5/1000000</f>
        <v>6.08</v>
      </c>
      <c r="J5" s="10">
        <f>I5*3.07</f>
        <v>18.665599999999998</v>
      </c>
      <c r="K5" s="7">
        <f>'[6]April Prod'!H259</f>
        <v>1006093</v>
      </c>
      <c r="L5" s="8">
        <f>K5/1000000</f>
        <v>1.0060929999999999</v>
      </c>
      <c r="M5" s="10">
        <f>L5*3.07</f>
        <v>3.0887055099999996</v>
      </c>
      <c r="N5" s="21"/>
      <c r="O5" s="7">
        <f>'[6]April Prod'!H4</f>
        <v>0</v>
      </c>
      <c r="P5" s="8">
        <f>O5/1000000</f>
        <v>0</v>
      </c>
      <c r="Q5" s="10">
        <f>P5*3.07</f>
        <v>0</v>
      </c>
      <c r="R5" s="7">
        <f>'[6]April Prod'!C4</f>
        <v>0</v>
      </c>
      <c r="S5" s="8">
        <f>R5/1000000</f>
        <v>0</v>
      </c>
      <c r="T5" s="10">
        <f>S5*3.07</f>
        <v>0</v>
      </c>
      <c r="U5" s="7">
        <f>'[6]April Prod'!D4</f>
        <v>0</v>
      </c>
      <c r="V5" s="8">
        <f>U5/1000000</f>
        <v>0</v>
      </c>
      <c r="W5" s="10">
        <f>V5*3.07</f>
        <v>0</v>
      </c>
      <c r="X5" s="7">
        <f>'[6]April Prod'!D259</f>
        <v>0</v>
      </c>
      <c r="Y5" s="8">
        <f>X5/1000000</f>
        <v>0</v>
      </c>
      <c r="Z5" s="10">
        <f>Y5*3.07</f>
        <v>0</v>
      </c>
      <c r="AA5" s="15"/>
      <c r="AB5" s="7">
        <f>B5+O5</f>
        <v>10600000.000002183</v>
      </c>
      <c r="AC5" s="8">
        <f>C5+P5</f>
        <v>10.600000000002183</v>
      </c>
      <c r="AD5" s="8">
        <f>D5+Q5</f>
        <v>32.542000000006702</v>
      </c>
    </row>
    <row r="6" spans="1:30" x14ac:dyDescent="0.2">
      <c r="A6" s="28">
        <v>38444</v>
      </c>
      <c r="B6" s="7">
        <f>'[6]April Prod'!I5</f>
        <v>11000000</v>
      </c>
      <c r="C6" s="8">
        <f t="shared" ref="C6:C34" si="1">B6/1000000</f>
        <v>11</v>
      </c>
      <c r="D6" s="10">
        <f t="shared" ref="D6:D34" si="2">C6*3.07</f>
        <v>33.769999999999996</v>
      </c>
      <c r="E6" s="7">
        <f>'[6]April Prod'!E5</f>
        <v>5000000</v>
      </c>
      <c r="F6" s="8">
        <f t="shared" ref="F6:F34" si="3">E6/1000000</f>
        <v>5</v>
      </c>
      <c r="G6" s="10">
        <f t="shared" ref="G6:G34" si="4">F6*3.07</f>
        <v>15.35</v>
      </c>
      <c r="H6" s="7">
        <f>'[6]April Prod'!F5</f>
        <v>5970000</v>
      </c>
      <c r="I6" s="8">
        <f t="shared" si="0"/>
        <v>5.97</v>
      </c>
      <c r="J6" s="10">
        <f t="shared" ref="J6:J34" si="5">I6*3.07</f>
        <v>18.3279</v>
      </c>
      <c r="K6" s="7">
        <f>'[6]April Prod'!H260</f>
        <v>1020598</v>
      </c>
      <c r="L6" s="8">
        <f t="shared" ref="L6:L34" si="6">K6/1000000</f>
        <v>1.0205979999999999</v>
      </c>
      <c r="M6" s="10">
        <f t="shared" ref="M6:M34" si="7">L6*3.07</f>
        <v>3.1332358599999997</v>
      </c>
      <c r="N6" s="21"/>
      <c r="O6" s="7">
        <f>'[6]April Prod'!H5</f>
        <v>0</v>
      </c>
      <c r="P6" s="8">
        <f t="shared" ref="P6:P34" si="8">O6/1000000</f>
        <v>0</v>
      </c>
      <c r="Q6" s="10">
        <f t="shared" ref="Q6:Q34" si="9">P6*3.07</f>
        <v>0</v>
      </c>
      <c r="R6" s="7">
        <f>'[6]April Prod'!C5</f>
        <v>0</v>
      </c>
      <c r="S6" s="8">
        <f t="shared" ref="S6:S34" si="10">R6/1000000</f>
        <v>0</v>
      </c>
      <c r="T6" s="10">
        <f t="shared" ref="T6:T34" si="11">S6*3.07</f>
        <v>0</v>
      </c>
      <c r="U6" s="7">
        <f>'[6]April Prod'!D5</f>
        <v>0</v>
      </c>
      <c r="V6" s="8">
        <f t="shared" ref="V6:V34" si="12">U6/1000000</f>
        <v>0</v>
      </c>
      <c r="W6" s="10">
        <f t="shared" ref="W6:W34" si="13">V6*3.07</f>
        <v>0</v>
      </c>
      <c r="X6" s="7">
        <f>'[6]April Prod'!D260</f>
        <v>0</v>
      </c>
      <c r="Y6" s="8">
        <f t="shared" ref="Y6:Y34" si="14">X6/1000000</f>
        <v>0</v>
      </c>
      <c r="Z6" s="10">
        <f t="shared" ref="Z6:Z34" si="15">Y6*3.07</f>
        <v>0</v>
      </c>
      <c r="AA6" s="15"/>
      <c r="AB6" s="7">
        <f t="shared" ref="AB6:AD35" si="16">B6+O6</f>
        <v>11000000</v>
      </c>
      <c r="AC6" s="8">
        <f t="shared" si="16"/>
        <v>11</v>
      </c>
      <c r="AD6" s="8">
        <f t="shared" si="16"/>
        <v>33.769999999999996</v>
      </c>
    </row>
    <row r="7" spans="1:30" x14ac:dyDescent="0.2">
      <c r="A7" s="28">
        <v>38445</v>
      </c>
      <c r="B7" s="7">
        <f>'[6]April Prod'!I6</f>
        <v>10399999.999997817</v>
      </c>
      <c r="C7" s="8">
        <f t="shared" si="1"/>
        <v>10.399999999997817</v>
      </c>
      <c r="D7" s="10">
        <f t="shared" si="2"/>
        <v>31.927999999993297</v>
      </c>
      <c r="E7" s="7">
        <f>'[6]April Prod'!E6</f>
        <v>4000000</v>
      </c>
      <c r="F7" s="8">
        <f t="shared" si="3"/>
        <v>4</v>
      </c>
      <c r="G7" s="10">
        <f t="shared" si="4"/>
        <v>12.28</v>
      </c>
      <c r="H7" s="7">
        <f>'[6]April Prod'!F6</f>
        <v>6020000</v>
      </c>
      <c r="I7" s="8">
        <f t="shared" si="0"/>
        <v>6.02</v>
      </c>
      <c r="J7" s="10">
        <f t="shared" si="5"/>
        <v>18.481399999999997</v>
      </c>
      <c r="K7" s="7">
        <f>'[6]April Prod'!H261</f>
        <v>853251</v>
      </c>
      <c r="L7" s="8">
        <f t="shared" si="6"/>
        <v>0.85325099999999998</v>
      </c>
      <c r="M7" s="10">
        <f t="shared" si="7"/>
        <v>2.6194805699999999</v>
      </c>
      <c r="N7" s="21"/>
      <c r="O7" s="7">
        <f>'[6]April Prod'!H6</f>
        <v>0</v>
      </c>
      <c r="P7" s="8">
        <f t="shared" si="8"/>
        <v>0</v>
      </c>
      <c r="Q7" s="10">
        <f t="shared" si="9"/>
        <v>0</v>
      </c>
      <c r="R7" s="7">
        <f>'[6]April Prod'!C6</f>
        <v>0</v>
      </c>
      <c r="S7" s="8">
        <f t="shared" si="10"/>
        <v>0</v>
      </c>
      <c r="T7" s="10">
        <f t="shared" si="11"/>
        <v>0</v>
      </c>
      <c r="U7" s="7">
        <f>'[6]April Prod'!D6</f>
        <v>0</v>
      </c>
      <c r="V7" s="8">
        <f t="shared" si="12"/>
        <v>0</v>
      </c>
      <c r="W7" s="10">
        <f t="shared" si="13"/>
        <v>0</v>
      </c>
      <c r="X7" s="7">
        <f>'[6]April Prod'!D261</f>
        <v>0</v>
      </c>
      <c r="Y7" s="8">
        <f t="shared" si="14"/>
        <v>0</v>
      </c>
      <c r="Z7" s="10">
        <f t="shared" si="15"/>
        <v>0</v>
      </c>
      <c r="AA7" s="15"/>
      <c r="AB7" s="7">
        <f t="shared" si="16"/>
        <v>10399999.999997817</v>
      </c>
      <c r="AC7" s="8">
        <f t="shared" si="16"/>
        <v>10.399999999997817</v>
      </c>
      <c r="AD7" s="8">
        <f t="shared" si="16"/>
        <v>31.927999999993297</v>
      </c>
    </row>
    <row r="8" spans="1:30" x14ac:dyDescent="0.2">
      <c r="A8" s="28">
        <v>38446</v>
      </c>
      <c r="B8" s="7">
        <f>'[6]April Prod'!I7</f>
        <v>10900000.000001455</v>
      </c>
      <c r="C8" s="8">
        <f t="shared" si="1"/>
        <v>10.900000000001455</v>
      </c>
      <c r="D8" s="10">
        <f t="shared" si="2"/>
        <v>33.463000000004463</v>
      </c>
      <c r="E8" s="7">
        <f>'[6]April Prod'!E7</f>
        <v>5000000</v>
      </c>
      <c r="F8" s="8">
        <f t="shared" si="3"/>
        <v>5</v>
      </c>
      <c r="G8" s="10">
        <f t="shared" si="4"/>
        <v>15.35</v>
      </c>
      <c r="H8" s="7">
        <f>'[6]April Prod'!F7</f>
        <v>6080000</v>
      </c>
      <c r="I8" s="8">
        <f t="shared" si="0"/>
        <v>6.08</v>
      </c>
      <c r="J8" s="10">
        <f t="shared" si="5"/>
        <v>18.665599999999998</v>
      </c>
      <c r="K8" s="7">
        <f>'[6]April Prod'!H262</f>
        <v>970045</v>
      </c>
      <c r="L8" s="8">
        <f t="shared" si="6"/>
        <v>0.97004500000000005</v>
      </c>
      <c r="M8" s="10">
        <f t="shared" si="7"/>
        <v>2.9780381500000002</v>
      </c>
      <c r="N8" s="21"/>
      <c r="O8" s="7">
        <f>'[6]April Prod'!H7</f>
        <v>0</v>
      </c>
      <c r="P8" s="8">
        <f t="shared" si="8"/>
        <v>0</v>
      </c>
      <c r="Q8" s="10">
        <f t="shared" si="9"/>
        <v>0</v>
      </c>
      <c r="R8" s="7">
        <f>'[6]April Prod'!C7</f>
        <v>0</v>
      </c>
      <c r="S8" s="8">
        <f t="shared" ref="S8:S16" si="17">R8/1000000</f>
        <v>0</v>
      </c>
      <c r="T8" s="10">
        <f t="shared" ref="T8:T16" si="18">S8*3.07</f>
        <v>0</v>
      </c>
      <c r="U8" s="7">
        <f>'[6]April Prod'!D7</f>
        <v>0</v>
      </c>
      <c r="V8" s="8">
        <f t="shared" si="12"/>
        <v>0</v>
      </c>
      <c r="W8" s="10">
        <f t="shared" si="13"/>
        <v>0</v>
      </c>
      <c r="X8" s="7">
        <f>'[6]April Prod'!D262</f>
        <v>0</v>
      </c>
      <c r="Y8" s="8">
        <f t="shared" si="14"/>
        <v>0</v>
      </c>
      <c r="Z8" s="10">
        <f t="shared" si="15"/>
        <v>0</v>
      </c>
      <c r="AA8" s="15"/>
      <c r="AB8" s="7">
        <f t="shared" si="16"/>
        <v>10900000.000001455</v>
      </c>
      <c r="AC8" s="8">
        <f t="shared" si="16"/>
        <v>10.900000000001455</v>
      </c>
      <c r="AD8" s="8">
        <f>D8+Q8</f>
        <v>33.463000000004463</v>
      </c>
    </row>
    <row r="9" spans="1:30" x14ac:dyDescent="0.2">
      <c r="A9" s="28">
        <v>38447</v>
      </c>
      <c r="B9" s="7">
        <f>'[6]April Prod'!I8</f>
        <v>10000000</v>
      </c>
      <c r="C9" s="8">
        <f t="shared" si="1"/>
        <v>10</v>
      </c>
      <c r="D9" s="10">
        <f t="shared" si="2"/>
        <v>30.7</v>
      </c>
      <c r="E9" s="7">
        <f>'[6]April Prod'!E8</f>
        <v>5000000</v>
      </c>
      <c r="F9" s="8">
        <f t="shared" si="3"/>
        <v>5</v>
      </c>
      <c r="G9" s="10">
        <f t="shared" si="4"/>
        <v>15.35</v>
      </c>
      <c r="H9" s="7">
        <f>'[6]April Prod'!F8</f>
        <v>5900000</v>
      </c>
      <c r="I9" s="8">
        <f t="shared" si="0"/>
        <v>5.9</v>
      </c>
      <c r="J9" s="10">
        <f t="shared" si="5"/>
        <v>18.113</v>
      </c>
      <c r="K9" s="7">
        <f>'[6]April Prod'!H263</f>
        <v>1090049</v>
      </c>
      <c r="L9" s="8">
        <f t="shared" si="6"/>
        <v>1.090049</v>
      </c>
      <c r="M9" s="10">
        <f t="shared" si="7"/>
        <v>3.34645043</v>
      </c>
      <c r="N9" s="21"/>
      <c r="O9" s="7">
        <f>'[6]April Prod'!H8</f>
        <v>0</v>
      </c>
      <c r="P9" s="8">
        <f t="shared" ref="P9:P13" si="19">O9/1000000</f>
        <v>0</v>
      </c>
      <c r="Q9" s="10">
        <f t="shared" ref="Q9:Q13" si="20">P9*3.07</f>
        <v>0</v>
      </c>
      <c r="R9" s="7">
        <f>'[6]April Prod'!C8</f>
        <v>0</v>
      </c>
      <c r="S9" s="8">
        <f t="shared" si="17"/>
        <v>0</v>
      </c>
      <c r="T9" s="10">
        <f t="shared" si="18"/>
        <v>0</v>
      </c>
      <c r="U9" s="7">
        <f>'[6]April Prod'!D8</f>
        <v>0</v>
      </c>
      <c r="V9" s="8">
        <f t="shared" si="12"/>
        <v>0</v>
      </c>
      <c r="W9" s="10">
        <f t="shared" si="13"/>
        <v>0</v>
      </c>
      <c r="X9" s="7">
        <f>'[6]April Prod'!D263</f>
        <v>0</v>
      </c>
      <c r="Y9" s="8">
        <f t="shared" si="14"/>
        <v>0</v>
      </c>
      <c r="Z9" s="10">
        <f t="shared" si="15"/>
        <v>0</v>
      </c>
      <c r="AA9" s="15"/>
      <c r="AB9" s="7">
        <f t="shared" si="16"/>
        <v>10000000</v>
      </c>
      <c r="AC9" s="8">
        <f t="shared" si="16"/>
        <v>10</v>
      </c>
      <c r="AD9" s="8">
        <f t="shared" si="16"/>
        <v>30.7</v>
      </c>
    </row>
    <row r="10" spans="1:30" x14ac:dyDescent="0.2">
      <c r="A10" s="28">
        <v>38448</v>
      </c>
      <c r="B10" s="7">
        <f>'[6]April Prod'!I9</f>
        <v>11299999.999999272</v>
      </c>
      <c r="C10" s="8">
        <f t="shared" si="1"/>
        <v>11.299999999999272</v>
      </c>
      <c r="D10" s="10">
        <f t="shared" si="2"/>
        <v>34.690999999997764</v>
      </c>
      <c r="E10" s="7">
        <f>'[6]April Prod'!E9</f>
        <v>4000000</v>
      </c>
      <c r="F10" s="8">
        <f t="shared" si="3"/>
        <v>4</v>
      </c>
      <c r="G10" s="10">
        <f t="shared" si="4"/>
        <v>12.28</v>
      </c>
      <c r="H10" s="7">
        <f>'[6]April Prod'!F9</f>
        <v>6070000</v>
      </c>
      <c r="I10" s="8">
        <f t="shared" si="0"/>
        <v>6.07</v>
      </c>
      <c r="J10" s="10">
        <f t="shared" si="5"/>
        <v>18.634899999999998</v>
      </c>
      <c r="K10" s="7">
        <f>'[6]April Prod'!H264</f>
        <v>940925</v>
      </c>
      <c r="L10" s="8">
        <f t="shared" si="6"/>
        <v>0.94092500000000001</v>
      </c>
      <c r="M10" s="10">
        <f t="shared" si="7"/>
        <v>2.8886397499999998</v>
      </c>
      <c r="N10" s="21"/>
      <c r="O10" s="7">
        <f>'[6]April Prod'!H9</f>
        <v>0</v>
      </c>
      <c r="P10" s="8">
        <f t="shared" si="19"/>
        <v>0</v>
      </c>
      <c r="Q10" s="10">
        <f t="shared" si="20"/>
        <v>0</v>
      </c>
      <c r="R10" s="7">
        <f>'[6]April Prod'!C9</f>
        <v>0</v>
      </c>
      <c r="S10" s="8">
        <f t="shared" si="17"/>
        <v>0</v>
      </c>
      <c r="T10" s="10">
        <f t="shared" si="18"/>
        <v>0</v>
      </c>
      <c r="U10" s="7">
        <f>'[6]April Prod'!D9</f>
        <v>0</v>
      </c>
      <c r="V10" s="8">
        <f t="shared" si="12"/>
        <v>0</v>
      </c>
      <c r="W10" s="10">
        <f t="shared" si="13"/>
        <v>0</v>
      </c>
      <c r="X10" s="7">
        <f>'[6]April Prod'!D264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11299999.999999272</v>
      </c>
      <c r="AC10" s="8">
        <f t="shared" si="16"/>
        <v>11.299999999999272</v>
      </c>
      <c r="AD10" s="8">
        <f t="shared" si="16"/>
        <v>34.690999999997764</v>
      </c>
    </row>
    <row r="11" spans="1:30" x14ac:dyDescent="0.2">
      <c r="A11" s="28">
        <v>38449</v>
      </c>
      <c r="B11" s="7">
        <f>'[6]April Prod'!I10</f>
        <v>11400000.000001455</v>
      </c>
      <c r="C11" s="8">
        <f t="shared" si="1"/>
        <v>11.400000000001455</v>
      </c>
      <c r="D11" s="10">
        <f t="shared" si="2"/>
        <v>34.998000000004467</v>
      </c>
      <c r="E11" s="7">
        <f>'[6]April Prod'!E10</f>
        <v>6000000</v>
      </c>
      <c r="F11" s="8">
        <f t="shared" si="3"/>
        <v>6</v>
      </c>
      <c r="G11" s="10">
        <f t="shared" si="4"/>
        <v>18.419999999999998</v>
      </c>
      <c r="H11" s="7">
        <f>'[6]April Prod'!F10</f>
        <v>5910000</v>
      </c>
      <c r="I11" s="8">
        <f t="shared" si="0"/>
        <v>5.91</v>
      </c>
      <c r="J11" s="10">
        <f t="shared" si="5"/>
        <v>18.143699999999999</v>
      </c>
      <c r="K11" s="7">
        <f>'[6]April Prod'!H265</f>
        <v>1038652</v>
      </c>
      <c r="L11" s="8">
        <f t="shared" ref="L11:L12" si="21">K11/1000000</f>
        <v>1.0386519999999999</v>
      </c>
      <c r="M11" s="10">
        <f t="shared" ref="M11:M12" si="22">L11*3.07</f>
        <v>3.1886616399999994</v>
      </c>
      <c r="N11" s="21"/>
      <c r="O11" s="7">
        <f>'[6]April Prod'!H10</f>
        <v>0</v>
      </c>
      <c r="P11" s="8">
        <f t="shared" si="19"/>
        <v>0</v>
      </c>
      <c r="Q11" s="10">
        <f t="shared" si="20"/>
        <v>0</v>
      </c>
      <c r="R11" s="7">
        <f>'[6]April Prod'!C10</f>
        <v>0</v>
      </c>
      <c r="S11" s="8">
        <f t="shared" si="17"/>
        <v>0</v>
      </c>
      <c r="T11" s="10">
        <f t="shared" si="18"/>
        <v>0</v>
      </c>
      <c r="U11" s="7">
        <f>'[6]April Prod'!D10</f>
        <v>0</v>
      </c>
      <c r="V11" s="8">
        <f t="shared" si="12"/>
        <v>0</v>
      </c>
      <c r="W11" s="10">
        <f t="shared" si="13"/>
        <v>0</v>
      </c>
      <c r="X11" s="7">
        <f>'[6]April Prod'!D265</f>
        <v>0</v>
      </c>
      <c r="Y11" s="8">
        <f t="shared" si="14"/>
        <v>0</v>
      </c>
      <c r="Z11" s="10">
        <f t="shared" si="15"/>
        <v>0</v>
      </c>
      <c r="AA11" s="15"/>
      <c r="AB11" s="7">
        <f t="shared" si="16"/>
        <v>11400000.000001455</v>
      </c>
      <c r="AC11" s="8">
        <f t="shared" si="16"/>
        <v>11.400000000001455</v>
      </c>
      <c r="AD11" s="8">
        <f t="shared" si="16"/>
        <v>34.998000000004467</v>
      </c>
    </row>
    <row r="12" spans="1:30" x14ac:dyDescent="0.2">
      <c r="A12" s="28">
        <v>38450</v>
      </c>
      <c r="B12" s="7">
        <f>'[6]April Prod'!I11</f>
        <v>12299999.999999272</v>
      </c>
      <c r="C12" s="8">
        <f t="shared" si="1"/>
        <v>12.299999999999272</v>
      </c>
      <c r="D12" s="10">
        <f t="shared" si="2"/>
        <v>37.760999999997765</v>
      </c>
      <c r="E12" s="7">
        <f>'[6]April Prod'!E11</f>
        <v>7000000</v>
      </c>
      <c r="F12" s="8">
        <f t="shared" si="3"/>
        <v>7</v>
      </c>
      <c r="G12" s="10">
        <f t="shared" si="4"/>
        <v>21.49</v>
      </c>
      <c r="H12" s="7">
        <f>'[6]April Prod'!F11</f>
        <v>5970000</v>
      </c>
      <c r="I12" s="8">
        <f t="shared" si="0"/>
        <v>5.97</v>
      </c>
      <c r="J12" s="10">
        <f t="shared" si="5"/>
        <v>18.3279</v>
      </c>
      <c r="K12" s="7">
        <f>'[6]April Prod'!H266</f>
        <v>1035194</v>
      </c>
      <c r="L12" s="8">
        <f t="shared" si="21"/>
        <v>1.0351939999999999</v>
      </c>
      <c r="M12" s="10">
        <f t="shared" si="22"/>
        <v>3.1780455799999996</v>
      </c>
      <c r="N12" s="21"/>
      <c r="O12" s="7">
        <f>'[6]April Prod'!H11</f>
        <v>0</v>
      </c>
      <c r="P12" s="8">
        <f t="shared" si="19"/>
        <v>0</v>
      </c>
      <c r="Q12" s="10">
        <f t="shared" si="20"/>
        <v>0</v>
      </c>
      <c r="R12" s="7">
        <f>'[6]April Prod'!C11</f>
        <v>0</v>
      </c>
      <c r="S12" s="8">
        <f t="shared" si="17"/>
        <v>0</v>
      </c>
      <c r="T12" s="10">
        <f t="shared" si="18"/>
        <v>0</v>
      </c>
      <c r="U12" s="7">
        <f>'[6]April Prod'!D11</f>
        <v>0</v>
      </c>
      <c r="V12" s="8">
        <f t="shared" si="12"/>
        <v>0</v>
      </c>
      <c r="W12" s="10">
        <f t="shared" si="13"/>
        <v>0</v>
      </c>
      <c r="X12" s="7">
        <f>'[6]April Prod'!D266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12299999.999999272</v>
      </c>
      <c r="AC12" s="8">
        <f t="shared" si="16"/>
        <v>12.299999999999272</v>
      </c>
      <c r="AD12" s="8">
        <f t="shared" si="16"/>
        <v>37.760999999997765</v>
      </c>
    </row>
    <row r="13" spans="1:30" x14ac:dyDescent="0.2">
      <c r="A13" s="28">
        <v>38451</v>
      </c>
      <c r="B13" s="7">
        <f>'[6]April Prod'!I12</f>
        <v>11799999.999999272</v>
      </c>
      <c r="C13" s="8">
        <f t="shared" si="1"/>
        <v>11.799999999999272</v>
      </c>
      <c r="D13" s="10">
        <f t="shared" si="2"/>
        <v>36.225999999997761</v>
      </c>
      <c r="E13" s="7">
        <f>'[6]April Prod'!E12</f>
        <v>5000000</v>
      </c>
      <c r="F13" s="8">
        <f t="shared" si="3"/>
        <v>5</v>
      </c>
      <c r="G13" s="10">
        <f t="shared" si="4"/>
        <v>15.35</v>
      </c>
      <c r="H13" s="7">
        <f>'[6]April Prod'!F12</f>
        <v>6050000</v>
      </c>
      <c r="I13" s="8">
        <f t="shared" si="0"/>
        <v>6.05</v>
      </c>
      <c r="J13" s="10">
        <f t="shared" si="5"/>
        <v>18.573499999999999</v>
      </c>
      <c r="K13" s="7">
        <f>'[6]April Prod'!H267</f>
        <v>894376</v>
      </c>
      <c r="L13" s="8">
        <f t="shared" si="6"/>
        <v>0.89437599999999995</v>
      </c>
      <c r="M13" s="10">
        <f t="shared" si="7"/>
        <v>2.7457343199999995</v>
      </c>
      <c r="N13" s="21"/>
      <c r="O13" s="7">
        <f>'[6]April Prod'!H12</f>
        <v>0</v>
      </c>
      <c r="P13" s="8">
        <f t="shared" si="19"/>
        <v>0</v>
      </c>
      <c r="Q13" s="10">
        <f t="shared" si="20"/>
        <v>0</v>
      </c>
      <c r="R13" s="7">
        <f>'[6]April Prod'!C12</f>
        <v>0</v>
      </c>
      <c r="S13" s="8">
        <f t="shared" si="17"/>
        <v>0</v>
      </c>
      <c r="T13" s="10">
        <f t="shared" si="18"/>
        <v>0</v>
      </c>
      <c r="U13" s="7">
        <f>'[6]April Prod'!D12</f>
        <v>0</v>
      </c>
      <c r="V13" s="8">
        <f t="shared" si="12"/>
        <v>0</v>
      </c>
      <c r="W13" s="10">
        <f t="shared" si="13"/>
        <v>0</v>
      </c>
      <c r="X13" s="7">
        <f>'[6]April Prod'!D267</f>
        <v>0</v>
      </c>
      <c r="Y13" s="8">
        <f t="shared" si="14"/>
        <v>0</v>
      </c>
      <c r="Z13" s="10">
        <f t="shared" si="15"/>
        <v>0</v>
      </c>
      <c r="AA13" s="15"/>
      <c r="AB13" s="7">
        <f t="shared" si="16"/>
        <v>11799999.999999272</v>
      </c>
      <c r="AC13" s="8">
        <f t="shared" si="16"/>
        <v>11.799999999999272</v>
      </c>
      <c r="AD13" s="8">
        <f t="shared" si="16"/>
        <v>36.225999999997761</v>
      </c>
    </row>
    <row r="14" spans="1:30" x14ac:dyDescent="0.2">
      <c r="A14" s="28">
        <v>38452</v>
      </c>
      <c r="B14" s="7">
        <f>'[6]April Prod'!I13</f>
        <v>9299999.9999992717</v>
      </c>
      <c r="C14" s="8">
        <f t="shared" si="1"/>
        <v>9.2999999999992724</v>
      </c>
      <c r="D14" s="10">
        <f t="shared" si="2"/>
        <v>28.550999999997764</v>
      </c>
      <c r="E14" s="7">
        <f>'[6]April Prod'!E13</f>
        <v>5000000</v>
      </c>
      <c r="F14" s="8">
        <f t="shared" si="3"/>
        <v>5</v>
      </c>
      <c r="G14" s="10">
        <f t="shared" si="4"/>
        <v>15.35</v>
      </c>
      <c r="H14" s="7">
        <f>'[6]April Prod'!F13</f>
        <v>6060000.0000000009</v>
      </c>
      <c r="I14" s="8">
        <f t="shared" si="0"/>
        <v>6.0600000000000005</v>
      </c>
      <c r="J14" s="10">
        <f t="shared" si="5"/>
        <v>18.604200000000002</v>
      </c>
      <c r="K14" s="7">
        <f>'[6]April Prod'!H268</f>
        <v>912376</v>
      </c>
      <c r="L14" s="8">
        <f t="shared" si="6"/>
        <v>0.91237599999999996</v>
      </c>
      <c r="M14" s="10">
        <f t="shared" si="7"/>
        <v>2.8009943199999996</v>
      </c>
      <c r="N14" s="21"/>
      <c r="O14" s="7">
        <f>'[6]April Prod'!H13</f>
        <v>0</v>
      </c>
      <c r="P14" s="8">
        <f t="shared" si="8"/>
        <v>0</v>
      </c>
      <c r="Q14" s="10">
        <f t="shared" si="9"/>
        <v>0</v>
      </c>
      <c r="R14" s="7">
        <f>'[6]April Prod'!C13</f>
        <v>0</v>
      </c>
      <c r="S14" s="8">
        <f t="shared" si="17"/>
        <v>0</v>
      </c>
      <c r="T14" s="10">
        <f t="shared" si="18"/>
        <v>0</v>
      </c>
      <c r="U14" s="7">
        <f>'[6]April Prod'!D13</f>
        <v>0</v>
      </c>
      <c r="V14" s="8">
        <f t="shared" si="12"/>
        <v>0</v>
      </c>
      <c r="W14" s="10">
        <f t="shared" si="13"/>
        <v>0</v>
      </c>
      <c r="X14" s="7">
        <f>'[6]April Prod'!D268</f>
        <v>0</v>
      </c>
      <c r="Y14" s="8">
        <f t="shared" si="14"/>
        <v>0</v>
      </c>
      <c r="Z14" s="10">
        <f t="shared" si="15"/>
        <v>0</v>
      </c>
      <c r="AA14" s="15"/>
      <c r="AB14" s="7">
        <f t="shared" si="16"/>
        <v>9299999.9999992717</v>
      </c>
      <c r="AC14" s="8">
        <f t="shared" si="16"/>
        <v>9.2999999999992724</v>
      </c>
      <c r="AD14" s="8">
        <f t="shared" si="16"/>
        <v>28.550999999997764</v>
      </c>
    </row>
    <row r="15" spans="1:30" x14ac:dyDescent="0.2">
      <c r="A15" s="28">
        <v>38453</v>
      </c>
      <c r="B15" s="7">
        <f>'[6]April Prod'!I14</f>
        <v>10000000</v>
      </c>
      <c r="C15" s="8">
        <f t="shared" si="1"/>
        <v>10</v>
      </c>
      <c r="D15" s="10">
        <f t="shared" si="2"/>
        <v>30.7</v>
      </c>
      <c r="E15" s="7">
        <f>'[6]April Prod'!E14</f>
        <v>3000000</v>
      </c>
      <c r="F15" s="8">
        <f t="shared" si="3"/>
        <v>3</v>
      </c>
      <c r="G15" s="10">
        <f t="shared" si="4"/>
        <v>9.2099999999999991</v>
      </c>
      <c r="H15" s="7">
        <f>'[6]April Prod'!F14</f>
        <v>5930000</v>
      </c>
      <c r="I15" s="8">
        <f t="shared" si="0"/>
        <v>5.93</v>
      </c>
      <c r="J15" s="10">
        <f t="shared" si="5"/>
        <v>18.205099999999998</v>
      </c>
      <c r="K15" s="7">
        <f>'[6]April Prod'!H269</f>
        <v>961710</v>
      </c>
      <c r="L15" s="8">
        <f t="shared" si="6"/>
        <v>0.96170999999999995</v>
      </c>
      <c r="M15" s="10">
        <f t="shared" si="7"/>
        <v>2.9524496999999998</v>
      </c>
      <c r="N15" s="21"/>
      <c r="O15" s="7">
        <f>'[6]April Prod'!H14</f>
        <v>0</v>
      </c>
      <c r="P15" s="8">
        <f t="shared" si="8"/>
        <v>0</v>
      </c>
      <c r="Q15" s="10">
        <f t="shared" si="9"/>
        <v>0</v>
      </c>
      <c r="R15" s="7">
        <f>'[6]April Prod'!C14</f>
        <v>0</v>
      </c>
      <c r="S15" s="8">
        <f t="shared" si="17"/>
        <v>0</v>
      </c>
      <c r="T15" s="10">
        <f t="shared" si="18"/>
        <v>0</v>
      </c>
      <c r="U15" s="7">
        <f>'[6]April Prod'!D14</f>
        <v>0</v>
      </c>
      <c r="V15" s="8">
        <f t="shared" si="12"/>
        <v>0</v>
      </c>
      <c r="W15" s="10">
        <f t="shared" si="13"/>
        <v>0</v>
      </c>
      <c r="X15" s="7">
        <f>'[6]April Prod'!D269</f>
        <v>0</v>
      </c>
      <c r="Y15" s="8">
        <f t="shared" si="14"/>
        <v>0</v>
      </c>
      <c r="Z15" s="10">
        <f t="shared" si="15"/>
        <v>0</v>
      </c>
      <c r="AA15" s="15"/>
      <c r="AB15" s="7">
        <f t="shared" si="16"/>
        <v>10000000</v>
      </c>
      <c r="AC15" s="8">
        <f t="shared" si="16"/>
        <v>10</v>
      </c>
      <c r="AD15" s="8">
        <f t="shared" si="16"/>
        <v>30.7</v>
      </c>
    </row>
    <row r="16" spans="1:30" x14ac:dyDescent="0.2">
      <c r="A16" s="28">
        <v>38454</v>
      </c>
      <c r="B16" s="7">
        <f>'[6]April Prod'!I15</f>
        <v>10300000.000002909</v>
      </c>
      <c r="C16" s="8">
        <f t="shared" si="1"/>
        <v>10.300000000002909</v>
      </c>
      <c r="D16" s="10">
        <f t="shared" si="2"/>
        <v>31.621000000008927</v>
      </c>
      <c r="E16" s="7">
        <f>'[6]April Prod'!E15</f>
        <v>5000000</v>
      </c>
      <c r="F16" s="8">
        <f t="shared" si="3"/>
        <v>5</v>
      </c>
      <c r="G16" s="10">
        <f t="shared" si="4"/>
        <v>15.35</v>
      </c>
      <c r="H16" s="7">
        <f>'[6]April Prod'!F15</f>
        <v>5970000</v>
      </c>
      <c r="I16" s="8">
        <f t="shared" si="0"/>
        <v>5.97</v>
      </c>
      <c r="J16" s="10">
        <f t="shared" si="5"/>
        <v>18.3279</v>
      </c>
      <c r="K16" s="7">
        <f>'[6]April Prod'!H270</f>
        <v>1002410</v>
      </c>
      <c r="L16" s="8">
        <f t="shared" si="6"/>
        <v>1.00241</v>
      </c>
      <c r="M16" s="10">
        <f t="shared" si="7"/>
        <v>3.0773986999999998</v>
      </c>
      <c r="N16" s="21"/>
      <c r="O16" s="7">
        <f>'[6]April Prod'!H15</f>
        <v>0</v>
      </c>
      <c r="P16" s="8">
        <f t="shared" si="8"/>
        <v>0</v>
      </c>
      <c r="Q16" s="10">
        <f t="shared" si="9"/>
        <v>0</v>
      </c>
      <c r="R16" s="7">
        <f>'[6]April Prod'!C15</f>
        <v>0</v>
      </c>
      <c r="S16" s="8">
        <f t="shared" si="17"/>
        <v>0</v>
      </c>
      <c r="T16" s="10">
        <f t="shared" si="18"/>
        <v>0</v>
      </c>
      <c r="U16" s="7">
        <f>'[6]April Prod'!D15</f>
        <v>0</v>
      </c>
      <c r="V16" s="8">
        <f t="shared" si="12"/>
        <v>0</v>
      </c>
      <c r="W16" s="10">
        <f t="shared" si="13"/>
        <v>0</v>
      </c>
      <c r="X16" s="7">
        <f>'[6]April Prod'!D270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10300000.000002909</v>
      </c>
      <c r="AC16" s="8">
        <f t="shared" si="16"/>
        <v>10.300000000002909</v>
      </c>
      <c r="AD16" s="8">
        <f t="shared" si="16"/>
        <v>31.621000000008927</v>
      </c>
    </row>
    <row r="17" spans="1:30" x14ac:dyDescent="0.2">
      <c r="A17" s="28">
        <v>38455</v>
      </c>
      <c r="B17" s="7">
        <f>'[6]April Prod'!I16</f>
        <v>10699999.999997091</v>
      </c>
      <c r="C17" s="8">
        <f t="shared" si="1"/>
        <v>10.699999999997091</v>
      </c>
      <c r="D17" s="10">
        <f t="shared" si="2"/>
        <v>32.848999999991072</v>
      </c>
      <c r="E17" s="7">
        <f>'[6]April Prod'!E16</f>
        <v>5000000</v>
      </c>
      <c r="F17" s="8">
        <f t="shared" si="3"/>
        <v>5</v>
      </c>
      <c r="G17" s="10">
        <f t="shared" si="4"/>
        <v>15.35</v>
      </c>
      <c r="H17" s="7">
        <f>'[6]April Prod'!F16</f>
        <v>5980000</v>
      </c>
      <c r="I17" s="8">
        <f t="shared" si="0"/>
        <v>5.98</v>
      </c>
      <c r="J17" s="10">
        <f t="shared" si="5"/>
        <v>18.358599999999999</v>
      </c>
      <c r="K17" s="7">
        <f>'[6]April Prod'!H271</f>
        <v>974866</v>
      </c>
      <c r="L17" s="8">
        <f t="shared" si="6"/>
        <v>0.97486600000000001</v>
      </c>
      <c r="M17" s="10">
        <f t="shared" si="7"/>
        <v>2.9928386199999997</v>
      </c>
      <c r="N17" s="21"/>
      <c r="O17" s="7">
        <f>'[6]April Prod'!H16</f>
        <v>0</v>
      </c>
      <c r="P17" s="8">
        <f t="shared" si="8"/>
        <v>0</v>
      </c>
      <c r="Q17" s="10">
        <f t="shared" si="9"/>
        <v>0</v>
      </c>
      <c r="R17" s="7">
        <f>'[6]April Prod'!C16</f>
        <v>0</v>
      </c>
      <c r="S17" s="8">
        <f t="shared" si="10"/>
        <v>0</v>
      </c>
      <c r="T17" s="10">
        <f t="shared" si="11"/>
        <v>0</v>
      </c>
      <c r="U17" s="7">
        <f>'[6]April Prod'!D16</f>
        <v>0</v>
      </c>
      <c r="V17" s="8">
        <f t="shared" si="12"/>
        <v>0</v>
      </c>
      <c r="W17" s="10">
        <f t="shared" si="13"/>
        <v>0</v>
      </c>
      <c r="X17" s="7">
        <f>'[6]April Prod'!D271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10699999.999997091</v>
      </c>
      <c r="AC17" s="8">
        <f t="shared" si="16"/>
        <v>10.699999999997091</v>
      </c>
      <c r="AD17" s="8">
        <f t="shared" si="16"/>
        <v>32.848999999991072</v>
      </c>
    </row>
    <row r="18" spans="1:30" x14ac:dyDescent="0.2">
      <c r="A18" s="28">
        <v>38456</v>
      </c>
      <c r="B18" s="7">
        <f>'[6]April Prod'!I17</f>
        <v>11300000.000002909</v>
      </c>
      <c r="C18" s="8">
        <f t="shared" si="1"/>
        <v>11.300000000002909</v>
      </c>
      <c r="D18" s="10">
        <f t="shared" si="2"/>
        <v>34.691000000008927</v>
      </c>
      <c r="E18" s="7">
        <f>'[6]April Prod'!E17</f>
        <v>6000000</v>
      </c>
      <c r="F18" s="8">
        <f t="shared" si="3"/>
        <v>6</v>
      </c>
      <c r="G18" s="10">
        <f t="shared" si="4"/>
        <v>18.419999999999998</v>
      </c>
      <c r="H18" s="7">
        <f>'[6]April Prod'!F17</f>
        <v>6000000</v>
      </c>
      <c r="I18" s="8">
        <f t="shared" si="0"/>
        <v>6</v>
      </c>
      <c r="J18" s="10">
        <f t="shared" si="5"/>
        <v>18.419999999999998</v>
      </c>
      <c r="K18" s="7">
        <f>'[6]April Prod'!H272</f>
        <v>960667</v>
      </c>
      <c r="L18" s="8">
        <f t="shared" si="6"/>
        <v>0.96066700000000005</v>
      </c>
      <c r="M18" s="10">
        <f t="shared" si="7"/>
        <v>2.94924769</v>
      </c>
      <c r="N18" s="21"/>
      <c r="O18" s="7">
        <f>'[6]April Prod'!H17</f>
        <v>0</v>
      </c>
      <c r="P18" s="8">
        <f t="shared" si="8"/>
        <v>0</v>
      </c>
      <c r="Q18" s="10">
        <f t="shared" si="9"/>
        <v>0</v>
      </c>
      <c r="R18" s="7">
        <f>'[6]April Prod'!C17</f>
        <v>0</v>
      </c>
      <c r="S18" s="8">
        <f t="shared" si="10"/>
        <v>0</v>
      </c>
      <c r="T18" s="10">
        <f t="shared" si="11"/>
        <v>0</v>
      </c>
      <c r="U18" s="7">
        <f>'[6]April Prod'!D17</f>
        <v>0</v>
      </c>
      <c r="V18" s="8">
        <f t="shared" si="12"/>
        <v>0</v>
      </c>
      <c r="W18" s="10">
        <f t="shared" si="13"/>
        <v>0</v>
      </c>
      <c r="X18" s="7">
        <f>'[6]April Prod'!D272</f>
        <v>0</v>
      </c>
      <c r="Y18" s="8">
        <f t="shared" si="14"/>
        <v>0</v>
      </c>
      <c r="Z18" s="10">
        <f t="shared" si="15"/>
        <v>0</v>
      </c>
      <c r="AA18" s="15"/>
      <c r="AB18" s="7">
        <f t="shared" si="16"/>
        <v>11300000.000002909</v>
      </c>
      <c r="AC18" s="8">
        <f t="shared" si="16"/>
        <v>11.300000000002909</v>
      </c>
      <c r="AD18" s="8">
        <f t="shared" si="16"/>
        <v>34.691000000008927</v>
      </c>
    </row>
    <row r="19" spans="1:30" x14ac:dyDescent="0.2">
      <c r="A19" s="28">
        <v>38457</v>
      </c>
      <c r="B19" s="7">
        <f>'[6]April Prod'!I18</f>
        <v>11199999.999997091</v>
      </c>
      <c r="C19" s="8">
        <f t="shared" si="1"/>
        <v>11.199999999997091</v>
      </c>
      <c r="D19" s="10">
        <f t="shared" si="2"/>
        <v>34.383999999991069</v>
      </c>
      <c r="E19" s="7">
        <f>'[6]April Prod'!E18</f>
        <v>6000000</v>
      </c>
      <c r="F19" s="8">
        <f t="shared" si="3"/>
        <v>6</v>
      </c>
      <c r="G19" s="10">
        <f t="shared" si="4"/>
        <v>18.419999999999998</v>
      </c>
      <c r="H19" s="7">
        <f>'[6]April Prod'!F18</f>
        <v>6020000</v>
      </c>
      <c r="I19" s="8">
        <f t="shared" si="0"/>
        <v>6.02</v>
      </c>
      <c r="J19" s="10">
        <f t="shared" si="5"/>
        <v>18.481399999999997</v>
      </c>
      <c r="K19" s="7">
        <f>'[6]April Prod'!H273</f>
        <v>1009394</v>
      </c>
      <c r="L19" s="8">
        <f t="shared" si="6"/>
        <v>1.0093939999999999</v>
      </c>
      <c r="M19" s="10">
        <f t="shared" si="7"/>
        <v>3.0988395799999995</v>
      </c>
      <c r="N19" s="21"/>
      <c r="O19" s="7">
        <f>'[6]April Prod'!H18</f>
        <v>0</v>
      </c>
      <c r="P19" s="8">
        <f t="shared" si="8"/>
        <v>0</v>
      </c>
      <c r="Q19" s="10">
        <f t="shared" si="9"/>
        <v>0</v>
      </c>
      <c r="R19" s="7">
        <f>'[6]April Prod'!C18</f>
        <v>0</v>
      </c>
      <c r="S19" s="8">
        <f t="shared" si="10"/>
        <v>0</v>
      </c>
      <c r="T19" s="10">
        <f t="shared" si="11"/>
        <v>0</v>
      </c>
      <c r="U19" s="7">
        <f>'[6]April Prod'!D18</f>
        <v>0</v>
      </c>
      <c r="V19" s="8">
        <f t="shared" si="12"/>
        <v>0</v>
      </c>
      <c r="W19" s="10">
        <f t="shared" si="13"/>
        <v>0</v>
      </c>
      <c r="X19" s="7">
        <f>'[6]April Prod'!D273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6"/>
        <v>11199999.999997091</v>
      </c>
      <c r="AC19" s="8">
        <f t="shared" si="16"/>
        <v>11.199999999997091</v>
      </c>
      <c r="AD19" s="8">
        <f>D19+Q19</f>
        <v>34.383999999991069</v>
      </c>
    </row>
    <row r="20" spans="1:30" x14ac:dyDescent="0.2">
      <c r="A20" s="28">
        <v>38458</v>
      </c>
      <c r="B20" s="7">
        <f>'[6]April Prod'!I19</f>
        <v>10400000.000001455</v>
      </c>
      <c r="C20" s="8">
        <f t="shared" si="1"/>
        <v>10.400000000001455</v>
      </c>
      <c r="D20" s="10">
        <f t="shared" si="2"/>
        <v>31.928000000004467</v>
      </c>
      <c r="E20" s="7">
        <f>'[6]April Prod'!E19</f>
        <v>4000000</v>
      </c>
      <c r="F20" s="8">
        <f t="shared" si="3"/>
        <v>4</v>
      </c>
      <c r="G20" s="10">
        <f t="shared" si="4"/>
        <v>12.28</v>
      </c>
      <c r="H20" s="7">
        <f>'[6]April Prod'!F19</f>
        <v>6010000</v>
      </c>
      <c r="I20" s="8">
        <f t="shared" si="0"/>
        <v>6.01</v>
      </c>
      <c r="J20" s="10">
        <f t="shared" si="5"/>
        <v>18.450699999999998</v>
      </c>
      <c r="K20" s="7">
        <f>'[6]April Prod'!H274</f>
        <v>923678</v>
      </c>
      <c r="L20" s="8">
        <f t="shared" si="6"/>
        <v>0.923678</v>
      </c>
      <c r="M20" s="10">
        <f t="shared" si="7"/>
        <v>2.8356914600000001</v>
      </c>
      <c r="N20" s="21"/>
      <c r="O20" s="7">
        <f>'[6]April Prod'!H19</f>
        <v>0</v>
      </c>
      <c r="P20" s="8">
        <f t="shared" si="8"/>
        <v>0</v>
      </c>
      <c r="Q20" s="10">
        <f t="shared" si="9"/>
        <v>0</v>
      </c>
      <c r="R20" s="7">
        <f>'[6]April Prod'!C19</f>
        <v>0</v>
      </c>
      <c r="S20" s="8">
        <f t="shared" si="10"/>
        <v>0</v>
      </c>
      <c r="T20" s="10">
        <f t="shared" si="11"/>
        <v>0</v>
      </c>
      <c r="U20" s="7">
        <f>'[6]April Prod'!D19</f>
        <v>0</v>
      </c>
      <c r="V20" s="8">
        <f t="shared" si="12"/>
        <v>0</v>
      </c>
      <c r="W20" s="10">
        <f t="shared" si="13"/>
        <v>0</v>
      </c>
      <c r="X20" s="7">
        <f>'[6]April Prod'!D274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10400000.000001455</v>
      </c>
      <c r="AC20" s="8">
        <f t="shared" si="16"/>
        <v>10.400000000001455</v>
      </c>
      <c r="AD20" s="8">
        <f t="shared" si="16"/>
        <v>31.928000000004467</v>
      </c>
    </row>
    <row r="21" spans="1:30" x14ac:dyDescent="0.2">
      <c r="A21" s="28">
        <v>38459</v>
      </c>
      <c r="B21" s="7">
        <f>'[6]April Prod'!I20</f>
        <v>9599999.9999985453</v>
      </c>
      <c r="C21" s="8">
        <f t="shared" si="1"/>
        <v>9.5999999999985448</v>
      </c>
      <c r="D21" s="10">
        <f t="shared" si="2"/>
        <v>29.471999999995532</v>
      </c>
      <c r="E21" s="7">
        <f>'[6]April Prod'!E20</f>
        <v>4000000</v>
      </c>
      <c r="F21" s="8">
        <f t="shared" si="3"/>
        <v>4</v>
      </c>
      <c r="G21" s="10">
        <f t="shared" si="4"/>
        <v>12.28</v>
      </c>
      <c r="H21" s="7">
        <f>'[6]April Prod'!F20</f>
        <v>5970000</v>
      </c>
      <c r="I21" s="8">
        <f t="shared" si="0"/>
        <v>5.97</v>
      </c>
      <c r="J21" s="10">
        <f t="shared" si="5"/>
        <v>18.3279</v>
      </c>
      <c r="K21" s="7">
        <f>'[6]April Prod'!H275</f>
        <v>796610</v>
      </c>
      <c r="L21" s="8">
        <f t="shared" si="6"/>
        <v>0.79661000000000004</v>
      </c>
      <c r="M21" s="10">
        <f t="shared" si="7"/>
        <v>2.4455927000000002</v>
      </c>
      <c r="N21" s="21"/>
      <c r="O21" s="7">
        <f>'[6]April Prod'!H20</f>
        <v>0</v>
      </c>
      <c r="P21" s="8">
        <f t="shared" si="8"/>
        <v>0</v>
      </c>
      <c r="Q21" s="10">
        <f t="shared" si="9"/>
        <v>0</v>
      </c>
      <c r="R21" s="7">
        <f>'[6]April Prod'!C20</f>
        <v>0</v>
      </c>
      <c r="S21" s="8">
        <f t="shared" si="10"/>
        <v>0</v>
      </c>
      <c r="T21" s="10">
        <f t="shared" si="11"/>
        <v>0</v>
      </c>
      <c r="U21" s="7">
        <f>'[6]April Prod'!D20</f>
        <v>0</v>
      </c>
      <c r="V21" s="8">
        <f t="shared" si="12"/>
        <v>0</v>
      </c>
      <c r="W21" s="10">
        <f t="shared" si="13"/>
        <v>0</v>
      </c>
      <c r="X21" s="7">
        <f>'[6]April Prod'!D275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9599999.9999985453</v>
      </c>
      <c r="AC21" s="8">
        <f t="shared" si="16"/>
        <v>9.5999999999985448</v>
      </c>
      <c r="AD21" s="8">
        <f t="shared" si="16"/>
        <v>29.471999999995532</v>
      </c>
    </row>
    <row r="22" spans="1:30" x14ac:dyDescent="0.2">
      <c r="A22" s="28">
        <v>38460</v>
      </c>
      <c r="B22" s="7">
        <f>'[6]April Prod'!I21</f>
        <v>10300000.000002909</v>
      </c>
      <c r="C22" s="8">
        <f t="shared" si="1"/>
        <v>10.300000000002909</v>
      </c>
      <c r="D22" s="10">
        <f t="shared" si="2"/>
        <v>31.621000000008927</v>
      </c>
      <c r="E22" s="7">
        <f>'[6]April Prod'!E21</f>
        <v>4000000</v>
      </c>
      <c r="F22" s="8">
        <f t="shared" si="3"/>
        <v>4</v>
      </c>
      <c r="G22" s="10">
        <f t="shared" si="4"/>
        <v>12.28</v>
      </c>
      <c r="H22" s="7">
        <f>'[6]April Prod'!F21</f>
        <v>6060000.0000000009</v>
      </c>
      <c r="I22" s="8">
        <f t="shared" si="0"/>
        <v>6.0600000000000005</v>
      </c>
      <c r="J22" s="10">
        <f t="shared" si="5"/>
        <v>18.604200000000002</v>
      </c>
      <c r="K22" s="7">
        <f>'[6]April Prod'!H276</f>
        <v>811692</v>
      </c>
      <c r="L22" s="8">
        <f t="shared" si="6"/>
        <v>0.81169199999999997</v>
      </c>
      <c r="M22" s="10">
        <f t="shared" si="7"/>
        <v>2.4918944399999998</v>
      </c>
      <c r="N22" s="21"/>
      <c r="O22" s="7">
        <f>'[6]April Prod'!H21</f>
        <v>0</v>
      </c>
      <c r="P22" s="8">
        <f t="shared" si="8"/>
        <v>0</v>
      </c>
      <c r="Q22" s="10">
        <f t="shared" si="9"/>
        <v>0</v>
      </c>
      <c r="R22" s="7">
        <f>'[6]April Prod'!C21</f>
        <v>0</v>
      </c>
      <c r="S22" s="8">
        <f t="shared" si="10"/>
        <v>0</v>
      </c>
      <c r="T22" s="10">
        <f t="shared" si="11"/>
        <v>0</v>
      </c>
      <c r="U22" s="7">
        <f>'[6]April Prod'!D21</f>
        <v>0</v>
      </c>
      <c r="V22" s="8">
        <f t="shared" si="12"/>
        <v>0</v>
      </c>
      <c r="W22" s="10">
        <f t="shared" si="13"/>
        <v>0</v>
      </c>
      <c r="X22" s="7">
        <f>'[6]April Prod'!D276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10300000.000002909</v>
      </c>
      <c r="AC22" s="8">
        <f t="shared" si="16"/>
        <v>10.300000000002909</v>
      </c>
      <c r="AD22" s="8">
        <f t="shared" si="16"/>
        <v>31.621000000008927</v>
      </c>
    </row>
    <row r="23" spans="1:30" x14ac:dyDescent="0.2">
      <c r="A23" s="28">
        <v>38461</v>
      </c>
      <c r="B23" s="7">
        <f>'[6]April Prod'!I22</f>
        <v>10000000</v>
      </c>
      <c r="C23" s="8">
        <f t="shared" si="1"/>
        <v>10</v>
      </c>
      <c r="D23" s="10">
        <f t="shared" si="2"/>
        <v>30.7</v>
      </c>
      <c r="E23" s="7">
        <f>'[6]April Prod'!E22</f>
        <v>4000000</v>
      </c>
      <c r="F23" s="8">
        <f t="shared" si="3"/>
        <v>4</v>
      </c>
      <c r="G23" s="10">
        <f t="shared" si="4"/>
        <v>12.28</v>
      </c>
      <c r="H23" s="7">
        <f>'[6]April Prod'!F22</f>
        <v>5970000</v>
      </c>
      <c r="I23" s="8">
        <f t="shared" si="0"/>
        <v>5.97</v>
      </c>
      <c r="J23" s="10">
        <f t="shared" si="5"/>
        <v>18.3279</v>
      </c>
      <c r="K23" s="7">
        <f>'[6]April Prod'!H277</f>
        <v>851039</v>
      </c>
      <c r="L23" s="8">
        <f t="shared" si="6"/>
        <v>0.85103899999999999</v>
      </c>
      <c r="M23" s="10">
        <f t="shared" si="7"/>
        <v>2.61268973</v>
      </c>
      <c r="N23" s="21"/>
      <c r="O23" s="7">
        <f>'[6]April Prod'!H22</f>
        <v>0</v>
      </c>
      <c r="P23" s="8">
        <f t="shared" si="8"/>
        <v>0</v>
      </c>
      <c r="Q23" s="10">
        <f t="shared" si="9"/>
        <v>0</v>
      </c>
      <c r="R23" s="7">
        <f>'[6]April Prod'!C22</f>
        <v>0</v>
      </c>
      <c r="S23" s="8">
        <f t="shared" si="10"/>
        <v>0</v>
      </c>
      <c r="T23" s="10">
        <f t="shared" si="11"/>
        <v>0</v>
      </c>
      <c r="U23" s="7">
        <f>'[6]April Prod'!D22</f>
        <v>0</v>
      </c>
      <c r="V23" s="8">
        <f t="shared" si="12"/>
        <v>0</v>
      </c>
      <c r="W23" s="10">
        <f t="shared" si="13"/>
        <v>0</v>
      </c>
      <c r="X23" s="7">
        <f>'[6]April Prod'!D277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10000000</v>
      </c>
      <c r="AC23" s="8">
        <f t="shared" si="16"/>
        <v>10</v>
      </c>
      <c r="AD23" s="8">
        <f t="shared" si="16"/>
        <v>30.7</v>
      </c>
    </row>
    <row r="24" spans="1:30" x14ac:dyDescent="0.2">
      <c r="A24" s="28">
        <v>38462</v>
      </c>
      <c r="B24" s="7">
        <f>'[6]April Prod'!I23</f>
        <v>10599999.999998545</v>
      </c>
      <c r="C24" s="8">
        <f t="shared" si="1"/>
        <v>10.599999999998545</v>
      </c>
      <c r="D24" s="10">
        <f t="shared" si="2"/>
        <v>32.541999999995532</v>
      </c>
      <c r="E24" s="7">
        <f>'[6]April Prod'!E23</f>
        <v>5000000</v>
      </c>
      <c r="F24" s="8">
        <f t="shared" si="3"/>
        <v>5</v>
      </c>
      <c r="G24" s="10">
        <f t="shared" si="4"/>
        <v>15.35</v>
      </c>
      <c r="H24" s="7">
        <f>'[6]April Prod'!F23</f>
        <v>6010000</v>
      </c>
      <c r="I24" s="8">
        <f t="shared" si="0"/>
        <v>6.01</v>
      </c>
      <c r="J24" s="10">
        <f t="shared" si="5"/>
        <v>18.450699999999998</v>
      </c>
      <c r="K24" s="7">
        <f>'[6]April Prod'!H278</f>
        <v>905441</v>
      </c>
      <c r="L24" s="8">
        <f t="shared" si="6"/>
        <v>0.90544100000000005</v>
      </c>
      <c r="M24" s="10">
        <f t="shared" si="7"/>
        <v>2.7797038700000001</v>
      </c>
      <c r="N24" s="21"/>
      <c r="O24" s="7">
        <f>'[6]April Prod'!H23</f>
        <v>0</v>
      </c>
      <c r="P24" s="8">
        <f t="shared" si="8"/>
        <v>0</v>
      </c>
      <c r="Q24" s="10">
        <f t="shared" si="9"/>
        <v>0</v>
      </c>
      <c r="R24" s="7">
        <f>'[6]April Prod'!C23</f>
        <v>0</v>
      </c>
      <c r="S24" s="8">
        <f t="shared" si="10"/>
        <v>0</v>
      </c>
      <c r="T24" s="10">
        <f t="shared" si="11"/>
        <v>0</v>
      </c>
      <c r="U24" s="7">
        <f>'[6]April Prod'!D23</f>
        <v>0</v>
      </c>
      <c r="V24" s="8">
        <f t="shared" si="12"/>
        <v>0</v>
      </c>
      <c r="W24" s="10">
        <f t="shared" si="13"/>
        <v>0</v>
      </c>
      <c r="X24" s="7">
        <f>'[6]April Prod'!D278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10599999.999998545</v>
      </c>
      <c r="AC24" s="8">
        <f t="shared" si="16"/>
        <v>10.599999999998545</v>
      </c>
      <c r="AD24" s="8">
        <f>D24+Q24</f>
        <v>32.541999999995532</v>
      </c>
    </row>
    <row r="25" spans="1:30" x14ac:dyDescent="0.2">
      <c r="A25" s="28">
        <v>38463</v>
      </c>
      <c r="B25" s="7">
        <f>'[6]April Prod'!I24</f>
        <v>11099999.999998545</v>
      </c>
      <c r="C25" s="8">
        <f t="shared" si="1"/>
        <v>11.099999999998545</v>
      </c>
      <c r="D25" s="10">
        <f t="shared" si="2"/>
        <v>34.076999999995529</v>
      </c>
      <c r="E25" s="7">
        <f>'[6]April Prod'!E24</f>
        <v>6000000</v>
      </c>
      <c r="F25" s="8">
        <f t="shared" si="3"/>
        <v>6</v>
      </c>
      <c r="G25" s="10">
        <f t="shared" si="4"/>
        <v>18.419999999999998</v>
      </c>
      <c r="H25" s="7">
        <f>'[6]April Prod'!F24</f>
        <v>5980000</v>
      </c>
      <c r="I25" s="8">
        <f t="shared" si="0"/>
        <v>5.98</v>
      </c>
      <c r="J25" s="10">
        <f t="shared" si="5"/>
        <v>18.358599999999999</v>
      </c>
      <c r="K25" s="7">
        <f>'[6]April Prod'!H279</f>
        <v>928888</v>
      </c>
      <c r="L25" s="8">
        <f t="shared" si="6"/>
        <v>0.92888800000000005</v>
      </c>
      <c r="M25" s="10">
        <f t="shared" si="7"/>
        <v>2.8516861599999999</v>
      </c>
      <c r="N25" s="21"/>
      <c r="O25" s="7">
        <f>'[6]April Prod'!H24</f>
        <v>0</v>
      </c>
      <c r="P25" s="8">
        <f t="shared" si="8"/>
        <v>0</v>
      </c>
      <c r="Q25" s="10">
        <f t="shared" si="9"/>
        <v>0</v>
      </c>
      <c r="R25" s="7">
        <f>'[6]April Prod'!C24</f>
        <v>0</v>
      </c>
      <c r="S25" s="8">
        <f t="shared" si="10"/>
        <v>0</v>
      </c>
      <c r="T25" s="10">
        <f t="shared" si="11"/>
        <v>0</v>
      </c>
      <c r="U25" s="7">
        <f>'[6]April Prod'!D24</f>
        <v>0</v>
      </c>
      <c r="V25" s="8">
        <f t="shared" si="12"/>
        <v>0</v>
      </c>
      <c r="W25" s="10">
        <f t="shared" si="13"/>
        <v>0</v>
      </c>
      <c r="X25" s="7">
        <f>'[6]April Prod'!D279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11099999.999998545</v>
      </c>
      <c r="AC25" s="8">
        <f t="shared" si="16"/>
        <v>11.099999999998545</v>
      </c>
      <c r="AD25" s="8">
        <f t="shared" si="16"/>
        <v>34.076999999995529</v>
      </c>
    </row>
    <row r="26" spans="1:30" x14ac:dyDescent="0.2">
      <c r="A26" s="28">
        <v>38464</v>
      </c>
      <c r="B26" s="7">
        <f>'[6]April Prod'!I25</f>
        <v>11600000.000002183</v>
      </c>
      <c r="C26" s="8">
        <f t="shared" si="1"/>
        <v>11.600000000002183</v>
      </c>
      <c r="D26" s="10">
        <f t="shared" si="2"/>
        <v>35.612000000006702</v>
      </c>
      <c r="E26" s="7">
        <f>'[6]April Prod'!E25</f>
        <v>6000000</v>
      </c>
      <c r="F26" s="8">
        <f t="shared" si="3"/>
        <v>6</v>
      </c>
      <c r="G26" s="10">
        <f t="shared" si="4"/>
        <v>18.419999999999998</v>
      </c>
      <c r="H26" s="7">
        <f>'[6]April Prod'!F25</f>
        <v>5980000</v>
      </c>
      <c r="I26" s="8">
        <f t="shared" si="0"/>
        <v>5.98</v>
      </c>
      <c r="J26" s="10">
        <f t="shared" si="5"/>
        <v>18.358599999999999</v>
      </c>
      <c r="K26" s="7">
        <f>'[6]April Prod'!H280</f>
        <v>952698</v>
      </c>
      <c r="L26" s="8">
        <f t="shared" si="6"/>
        <v>0.95269800000000004</v>
      </c>
      <c r="M26" s="10">
        <f t="shared" si="7"/>
        <v>2.9247828600000001</v>
      </c>
      <c r="N26" s="21"/>
      <c r="O26" s="7">
        <f>'[6]April Prod'!H25</f>
        <v>0</v>
      </c>
      <c r="P26" s="8">
        <f t="shared" si="8"/>
        <v>0</v>
      </c>
      <c r="Q26" s="10">
        <f t="shared" si="9"/>
        <v>0</v>
      </c>
      <c r="R26" s="7">
        <f>'[6]April Prod'!C25</f>
        <v>0</v>
      </c>
      <c r="S26" s="8">
        <f t="shared" si="10"/>
        <v>0</v>
      </c>
      <c r="T26" s="10">
        <f t="shared" si="11"/>
        <v>0</v>
      </c>
      <c r="U26" s="7">
        <f>'[6]April Prod'!D25</f>
        <v>0</v>
      </c>
      <c r="V26" s="8">
        <f t="shared" si="12"/>
        <v>0</v>
      </c>
      <c r="W26" s="10">
        <f t="shared" si="13"/>
        <v>0</v>
      </c>
      <c r="X26" s="7">
        <f>'[6]April Prod'!D280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11600000.000002183</v>
      </c>
      <c r="AC26" s="8">
        <f t="shared" si="16"/>
        <v>11.600000000002183</v>
      </c>
      <c r="AD26" s="8">
        <f t="shared" si="16"/>
        <v>35.612000000006702</v>
      </c>
    </row>
    <row r="27" spans="1:30" x14ac:dyDescent="0.2">
      <c r="A27" s="28">
        <v>38465</v>
      </c>
      <c r="B27" s="7">
        <f>'[6]April Prod'!I26</f>
        <v>11200000.000000728</v>
      </c>
      <c r="C27" s="8">
        <f t="shared" si="1"/>
        <v>11.200000000000728</v>
      </c>
      <c r="D27" s="10">
        <f t="shared" si="2"/>
        <v>34.384000000002231</v>
      </c>
      <c r="E27" s="7">
        <f>'[6]April Prod'!E26</f>
        <v>5000000</v>
      </c>
      <c r="F27" s="8">
        <f t="shared" si="3"/>
        <v>5</v>
      </c>
      <c r="G27" s="10">
        <f t="shared" si="4"/>
        <v>15.35</v>
      </c>
      <c r="H27" s="7">
        <f>'[6]April Prod'!F26</f>
        <v>6040000</v>
      </c>
      <c r="I27" s="8">
        <f t="shared" si="0"/>
        <v>6.04</v>
      </c>
      <c r="J27" s="10">
        <f t="shared" si="5"/>
        <v>18.5428</v>
      </c>
      <c r="K27" s="7">
        <f>'[6]April Prod'!H281</f>
        <v>1005408</v>
      </c>
      <c r="L27" s="8">
        <f t="shared" si="6"/>
        <v>1.0054080000000001</v>
      </c>
      <c r="M27" s="10">
        <f t="shared" si="7"/>
        <v>3.0866025600000002</v>
      </c>
      <c r="N27" s="21"/>
      <c r="O27" s="7">
        <f>'[6]April Prod'!H26</f>
        <v>0</v>
      </c>
      <c r="P27" s="8">
        <f t="shared" si="8"/>
        <v>0</v>
      </c>
      <c r="Q27" s="10">
        <f t="shared" si="9"/>
        <v>0</v>
      </c>
      <c r="R27" s="7">
        <f>'[6]April Prod'!C26</f>
        <v>0</v>
      </c>
      <c r="S27" s="8">
        <f t="shared" si="10"/>
        <v>0</v>
      </c>
      <c r="T27" s="10">
        <f t="shared" si="11"/>
        <v>0</v>
      </c>
      <c r="U27" s="7">
        <f>'[6]April Prod'!D26</f>
        <v>0</v>
      </c>
      <c r="V27" s="8">
        <f t="shared" si="12"/>
        <v>0</v>
      </c>
      <c r="W27" s="10">
        <f t="shared" si="13"/>
        <v>0</v>
      </c>
      <c r="X27" s="7">
        <f>'[6]April Prod'!D281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11200000.000000728</v>
      </c>
      <c r="AC27" s="8">
        <f t="shared" si="16"/>
        <v>11.200000000000728</v>
      </c>
      <c r="AD27" s="8">
        <f t="shared" si="16"/>
        <v>34.384000000002231</v>
      </c>
    </row>
    <row r="28" spans="1:30" x14ac:dyDescent="0.2">
      <c r="A28" s="28">
        <v>38466</v>
      </c>
      <c r="B28" s="7">
        <f>'[6]April Prod'!I27</f>
        <v>9699999.9999970905</v>
      </c>
      <c r="C28" s="8">
        <f t="shared" si="1"/>
        <v>9.6999999999970914</v>
      </c>
      <c r="D28" s="10">
        <f t="shared" si="2"/>
        <v>29.778999999991068</v>
      </c>
      <c r="E28" s="7">
        <f>'[6]April Prod'!E27</f>
        <v>5000000</v>
      </c>
      <c r="F28" s="8">
        <f t="shared" si="3"/>
        <v>5</v>
      </c>
      <c r="G28" s="10">
        <f t="shared" si="4"/>
        <v>15.35</v>
      </c>
      <c r="H28" s="7">
        <f>'[6]April Prod'!F27</f>
        <v>5960000</v>
      </c>
      <c r="I28" s="8">
        <f t="shared" si="0"/>
        <v>5.96</v>
      </c>
      <c r="J28" s="10">
        <f t="shared" si="5"/>
        <v>18.2972</v>
      </c>
      <c r="K28" s="7">
        <f>'[6]April Prod'!H282</f>
        <v>974247</v>
      </c>
      <c r="L28" s="8">
        <f t="shared" si="6"/>
        <v>0.97424699999999997</v>
      </c>
      <c r="M28" s="10">
        <f t="shared" si="7"/>
        <v>2.9909382899999999</v>
      </c>
      <c r="N28" s="21"/>
      <c r="O28" s="7">
        <f>'[6]April Prod'!H27</f>
        <v>0</v>
      </c>
      <c r="P28" s="8">
        <f t="shared" si="8"/>
        <v>0</v>
      </c>
      <c r="Q28" s="10">
        <f t="shared" si="9"/>
        <v>0</v>
      </c>
      <c r="R28" s="7">
        <f>'[6]April Prod'!C27</f>
        <v>0</v>
      </c>
      <c r="S28" s="8">
        <f t="shared" si="10"/>
        <v>0</v>
      </c>
      <c r="T28" s="10">
        <f t="shared" si="11"/>
        <v>0</v>
      </c>
      <c r="U28" s="7">
        <f>'[6]April Prod'!D27</f>
        <v>0</v>
      </c>
      <c r="V28" s="8">
        <f t="shared" si="12"/>
        <v>0</v>
      </c>
      <c r="W28" s="10">
        <f t="shared" si="13"/>
        <v>0</v>
      </c>
      <c r="X28" s="7">
        <f>'[6]April Prod'!D282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9699999.9999970905</v>
      </c>
      <c r="AC28" s="8">
        <f t="shared" si="16"/>
        <v>9.6999999999970914</v>
      </c>
      <c r="AD28" s="8">
        <f t="shared" si="16"/>
        <v>29.778999999991068</v>
      </c>
    </row>
    <row r="29" spans="1:30" x14ac:dyDescent="0.2">
      <c r="A29" s="28">
        <v>38467</v>
      </c>
      <c r="B29" s="7">
        <f>'[6]April Prod'!I28</f>
        <v>10800000.000002909</v>
      </c>
      <c r="C29" s="8">
        <f t="shared" si="1"/>
        <v>10.800000000002909</v>
      </c>
      <c r="D29" s="10">
        <f t="shared" si="2"/>
        <v>33.15600000000893</v>
      </c>
      <c r="E29" s="7">
        <f>'[6]April Prod'!E28</f>
        <v>5000000</v>
      </c>
      <c r="F29" s="8">
        <f t="shared" si="3"/>
        <v>5</v>
      </c>
      <c r="G29" s="10">
        <f t="shared" si="4"/>
        <v>15.35</v>
      </c>
      <c r="H29" s="7">
        <f>'[6]April Prod'!F28</f>
        <v>6030000</v>
      </c>
      <c r="I29" s="8">
        <f t="shared" si="0"/>
        <v>6.03</v>
      </c>
      <c r="J29" s="10">
        <f t="shared" si="5"/>
        <v>18.5121</v>
      </c>
      <c r="K29" s="7">
        <f>'[6]April Prod'!H283</f>
        <v>1030088</v>
      </c>
      <c r="L29" s="8">
        <f t="shared" si="6"/>
        <v>1.0300879999999999</v>
      </c>
      <c r="M29" s="10">
        <f t="shared" si="7"/>
        <v>3.1623701599999996</v>
      </c>
      <c r="N29" s="21"/>
      <c r="O29" s="7">
        <f>'[6]April Prod'!H28</f>
        <v>0</v>
      </c>
      <c r="P29" s="8">
        <f t="shared" si="8"/>
        <v>0</v>
      </c>
      <c r="Q29" s="10">
        <f t="shared" si="9"/>
        <v>0</v>
      </c>
      <c r="R29" s="7">
        <f>'[6]April Prod'!C28</f>
        <v>0</v>
      </c>
      <c r="S29" s="8">
        <f t="shared" si="10"/>
        <v>0</v>
      </c>
      <c r="T29" s="10">
        <f t="shared" si="11"/>
        <v>0</v>
      </c>
      <c r="U29" s="7">
        <f>'[6]April Prod'!D28</f>
        <v>0</v>
      </c>
      <c r="V29" s="8">
        <f t="shared" si="12"/>
        <v>0</v>
      </c>
      <c r="W29" s="10">
        <f t="shared" si="13"/>
        <v>0</v>
      </c>
      <c r="X29" s="7">
        <f>'[6]April Prod'!D283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10800000.000002909</v>
      </c>
      <c r="AC29" s="8">
        <f t="shared" si="16"/>
        <v>10.800000000002909</v>
      </c>
      <c r="AD29" s="8">
        <f t="shared" si="16"/>
        <v>33.15600000000893</v>
      </c>
    </row>
    <row r="30" spans="1:30" x14ac:dyDescent="0.2">
      <c r="A30" s="28">
        <v>38468</v>
      </c>
      <c r="B30" s="7">
        <f>'[6]April Prod'!I29</f>
        <v>11500000</v>
      </c>
      <c r="C30" s="8">
        <f t="shared" si="1"/>
        <v>11.5</v>
      </c>
      <c r="D30" s="10">
        <f t="shared" si="2"/>
        <v>35.305</v>
      </c>
      <c r="E30" s="7">
        <f>'[6]April Prod'!E29</f>
        <v>6000000</v>
      </c>
      <c r="F30" s="8">
        <f t="shared" si="3"/>
        <v>6</v>
      </c>
      <c r="G30" s="10">
        <f t="shared" si="4"/>
        <v>18.419999999999998</v>
      </c>
      <c r="H30" s="7">
        <f>'[6]April Prod'!F29</f>
        <v>5980000</v>
      </c>
      <c r="I30" s="8">
        <f t="shared" si="0"/>
        <v>5.98</v>
      </c>
      <c r="J30" s="10">
        <f t="shared" si="5"/>
        <v>18.358599999999999</v>
      </c>
      <c r="K30" s="7">
        <f>'[6]April Prod'!H284</f>
        <v>950640</v>
      </c>
      <c r="L30" s="8">
        <f t="shared" si="6"/>
        <v>0.95064000000000004</v>
      </c>
      <c r="M30" s="10">
        <f t="shared" si="7"/>
        <v>2.9184648000000002</v>
      </c>
      <c r="N30" s="21"/>
      <c r="O30" s="7">
        <f>'[6]April Prod'!H29</f>
        <v>0</v>
      </c>
      <c r="P30" s="8">
        <f t="shared" si="8"/>
        <v>0</v>
      </c>
      <c r="Q30" s="10">
        <f t="shared" si="9"/>
        <v>0</v>
      </c>
      <c r="R30" s="7">
        <f>'[6]April Prod'!C29</f>
        <v>0</v>
      </c>
      <c r="S30" s="8">
        <f t="shared" si="10"/>
        <v>0</v>
      </c>
      <c r="T30" s="10">
        <f t="shared" si="11"/>
        <v>0</v>
      </c>
      <c r="U30" s="7">
        <f>'[6]April Prod'!D29</f>
        <v>0</v>
      </c>
      <c r="V30" s="8">
        <f t="shared" si="12"/>
        <v>0</v>
      </c>
      <c r="W30" s="10">
        <f t="shared" si="13"/>
        <v>0</v>
      </c>
      <c r="X30" s="7">
        <f>'[6]April Prod'!D284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11500000</v>
      </c>
      <c r="AC30" s="8">
        <f t="shared" si="16"/>
        <v>11.5</v>
      </c>
      <c r="AD30" s="8">
        <f>D30+Q30</f>
        <v>35.305</v>
      </c>
    </row>
    <row r="31" spans="1:30" x14ac:dyDescent="0.2">
      <c r="A31" s="28">
        <v>38469</v>
      </c>
      <c r="B31" s="7">
        <f>'[6]April Prod'!I30</f>
        <v>12000000</v>
      </c>
      <c r="C31" s="8">
        <f t="shared" si="1"/>
        <v>12</v>
      </c>
      <c r="D31" s="10">
        <f t="shared" si="2"/>
        <v>36.839999999999996</v>
      </c>
      <c r="E31" s="7">
        <f>'[6]April Prod'!E30</f>
        <v>6000000</v>
      </c>
      <c r="F31" s="8">
        <f t="shared" si="3"/>
        <v>6</v>
      </c>
      <c r="G31" s="10">
        <f t="shared" si="4"/>
        <v>18.419999999999998</v>
      </c>
      <c r="H31" s="7">
        <f>'[6]April Prod'!F30</f>
        <v>5990000</v>
      </c>
      <c r="I31" s="8">
        <f t="shared" si="0"/>
        <v>5.99</v>
      </c>
      <c r="J31" s="10">
        <f t="shared" si="5"/>
        <v>18.389299999999999</v>
      </c>
      <c r="K31" s="7">
        <f>'[6]April Prod'!H285</f>
        <v>1021706</v>
      </c>
      <c r="L31" s="8">
        <f t="shared" si="6"/>
        <v>1.021706</v>
      </c>
      <c r="M31" s="10">
        <f t="shared" si="7"/>
        <v>3.13663742</v>
      </c>
      <c r="N31" s="21"/>
      <c r="O31" s="7">
        <f>'[6]April Prod'!H30</f>
        <v>0</v>
      </c>
      <c r="P31" s="8">
        <f t="shared" si="8"/>
        <v>0</v>
      </c>
      <c r="Q31" s="10">
        <f t="shared" si="9"/>
        <v>0</v>
      </c>
      <c r="R31" s="7">
        <f>'[6]April Prod'!C30</f>
        <v>0</v>
      </c>
      <c r="S31" s="8">
        <f t="shared" si="10"/>
        <v>0</v>
      </c>
      <c r="T31" s="10">
        <f t="shared" si="11"/>
        <v>0</v>
      </c>
      <c r="U31" s="7">
        <f>'[6]April Prod'!D30</f>
        <v>0</v>
      </c>
      <c r="V31" s="8">
        <f t="shared" si="12"/>
        <v>0</v>
      </c>
      <c r="W31" s="10">
        <f t="shared" si="13"/>
        <v>0</v>
      </c>
      <c r="X31" s="7">
        <f>'[6]April Prod'!D285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12000000</v>
      </c>
      <c r="AC31" s="8">
        <f t="shared" si="16"/>
        <v>12</v>
      </c>
      <c r="AD31" s="8">
        <f t="shared" si="16"/>
        <v>36.839999999999996</v>
      </c>
    </row>
    <row r="32" spans="1:30" x14ac:dyDescent="0.2">
      <c r="A32" s="28">
        <v>38470</v>
      </c>
      <c r="B32" s="7">
        <f>'[6]April Prod'!I31</f>
        <v>13399999.999997817</v>
      </c>
      <c r="C32" s="8">
        <f t="shared" si="1"/>
        <v>13.399999999997817</v>
      </c>
      <c r="D32" s="10">
        <f t="shared" si="2"/>
        <v>41.137999999993298</v>
      </c>
      <c r="E32" s="7">
        <f>'[6]April Prod'!E31</f>
        <v>8000000</v>
      </c>
      <c r="F32" s="8">
        <f t="shared" si="3"/>
        <v>8</v>
      </c>
      <c r="G32" s="10">
        <f t="shared" si="4"/>
        <v>24.56</v>
      </c>
      <c r="H32" s="7">
        <f>'[6]April Prod'!F31</f>
        <v>6010000</v>
      </c>
      <c r="I32" s="8">
        <f t="shared" si="0"/>
        <v>6.01</v>
      </c>
      <c r="J32" s="10">
        <f t="shared" si="5"/>
        <v>18.450699999999998</v>
      </c>
      <c r="K32" s="7">
        <f>'[6]April Prod'!H286</f>
        <v>1073589</v>
      </c>
      <c r="L32" s="8">
        <f t="shared" si="6"/>
        <v>1.0735889999999999</v>
      </c>
      <c r="M32" s="10">
        <f t="shared" si="7"/>
        <v>3.2959182299999994</v>
      </c>
      <c r="N32" s="21"/>
      <c r="O32" s="7">
        <f>'[6]April Prod'!H31</f>
        <v>0</v>
      </c>
      <c r="P32" s="8">
        <f t="shared" si="8"/>
        <v>0</v>
      </c>
      <c r="Q32" s="10">
        <f t="shared" si="9"/>
        <v>0</v>
      </c>
      <c r="R32" s="7">
        <f>'[6]April Prod'!C31</f>
        <v>0</v>
      </c>
      <c r="S32" s="8">
        <f t="shared" si="10"/>
        <v>0</v>
      </c>
      <c r="T32" s="10">
        <f t="shared" si="11"/>
        <v>0</v>
      </c>
      <c r="U32" s="7">
        <f>'[6]April Prod'!D31</f>
        <v>0</v>
      </c>
      <c r="V32" s="8">
        <f t="shared" si="12"/>
        <v>0</v>
      </c>
      <c r="W32" s="10">
        <f t="shared" si="13"/>
        <v>0</v>
      </c>
      <c r="X32" s="7">
        <f>'[6]April Prod'!D286</f>
        <v>0</v>
      </c>
      <c r="Y32" s="8">
        <f t="shared" si="14"/>
        <v>0</v>
      </c>
      <c r="Z32" s="10">
        <f t="shared" si="15"/>
        <v>0</v>
      </c>
      <c r="AA32" s="15"/>
      <c r="AB32" s="7">
        <f t="shared" si="16"/>
        <v>13399999.999997817</v>
      </c>
      <c r="AC32" s="8">
        <f t="shared" si="16"/>
        <v>13.399999999997817</v>
      </c>
      <c r="AD32" s="8">
        <f t="shared" si="16"/>
        <v>41.137999999993298</v>
      </c>
    </row>
    <row r="33" spans="1:32" x14ac:dyDescent="0.2">
      <c r="A33" s="28">
        <v>38471</v>
      </c>
      <c r="B33" s="7">
        <f>'[6]April Prod'!I32</f>
        <v>12900000.000001455</v>
      </c>
      <c r="C33" s="8">
        <f t="shared" si="1"/>
        <v>12.900000000001455</v>
      </c>
      <c r="D33" s="10">
        <f t="shared" si="2"/>
        <v>39.603000000004464</v>
      </c>
      <c r="E33" s="7">
        <f>'[6]April Prod'!E32</f>
        <v>8000000</v>
      </c>
      <c r="F33" s="8">
        <f t="shared" si="3"/>
        <v>8</v>
      </c>
      <c r="G33" s="10">
        <f t="shared" si="4"/>
        <v>24.56</v>
      </c>
      <c r="H33" s="7">
        <f>'[6]April Prod'!F32</f>
        <v>5950000</v>
      </c>
      <c r="I33" s="8">
        <f t="shared" si="0"/>
        <v>5.95</v>
      </c>
      <c r="J33" s="10">
        <f t="shared" si="5"/>
        <v>18.266500000000001</v>
      </c>
      <c r="K33" s="7">
        <f>'[6]April Prod'!H287</f>
        <v>1275253</v>
      </c>
      <c r="L33" s="45">
        <f t="shared" si="6"/>
        <v>1.275253</v>
      </c>
      <c r="M33" s="46">
        <f t="shared" si="7"/>
        <v>3.9150267099999998</v>
      </c>
      <c r="N33" s="21"/>
      <c r="O33" s="7">
        <f>'[6]April Prod'!H32</f>
        <v>0</v>
      </c>
      <c r="P33" s="8">
        <f t="shared" si="8"/>
        <v>0</v>
      </c>
      <c r="Q33" s="10">
        <f t="shared" si="9"/>
        <v>0</v>
      </c>
      <c r="R33" s="7">
        <f>'[6]April Prod'!C32</f>
        <v>0</v>
      </c>
      <c r="S33" s="8">
        <f t="shared" si="10"/>
        <v>0</v>
      </c>
      <c r="T33" s="10">
        <f t="shared" si="11"/>
        <v>0</v>
      </c>
      <c r="U33" s="7">
        <f>'[6]April Prod'!D32</f>
        <v>0</v>
      </c>
      <c r="V33" s="8">
        <f t="shared" si="12"/>
        <v>0</v>
      </c>
      <c r="W33" s="10">
        <f t="shared" si="13"/>
        <v>0</v>
      </c>
      <c r="X33" s="7">
        <f>'[6]April Prod'!D287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12900000.000001455</v>
      </c>
      <c r="AC33" s="8">
        <f t="shared" si="16"/>
        <v>12.900000000001455</v>
      </c>
      <c r="AD33" s="8">
        <f t="shared" si="16"/>
        <v>39.603000000004464</v>
      </c>
    </row>
    <row r="34" spans="1:32" ht="13.5" thickBot="1" x14ac:dyDescent="0.25">
      <c r="A34" s="28">
        <v>38472</v>
      </c>
      <c r="B34" s="7">
        <f>'[6]April Prod'!I33</f>
        <v>13899999.999997817</v>
      </c>
      <c r="C34" s="8">
        <f t="shared" si="1"/>
        <v>13.899999999997817</v>
      </c>
      <c r="D34" s="10">
        <f t="shared" si="2"/>
        <v>42.672999999993294</v>
      </c>
      <c r="E34" s="7">
        <f>'[6]April Prod'!E33</f>
        <v>9000000</v>
      </c>
      <c r="F34" s="8">
        <f t="shared" si="3"/>
        <v>9</v>
      </c>
      <c r="G34" s="10">
        <f t="shared" si="4"/>
        <v>27.63</v>
      </c>
      <c r="H34" s="7">
        <f>'[6]April Prod'!F33</f>
        <v>5520000</v>
      </c>
      <c r="I34" s="8">
        <f t="shared" si="0"/>
        <v>5.52</v>
      </c>
      <c r="J34" s="10">
        <f t="shared" si="5"/>
        <v>16.946399999999997</v>
      </c>
      <c r="K34" s="7">
        <f>'[6]April Prod'!H288</f>
        <v>1101298</v>
      </c>
      <c r="L34" s="8">
        <f t="shared" si="6"/>
        <v>1.1012980000000001</v>
      </c>
      <c r="M34" s="10">
        <f t="shared" si="7"/>
        <v>3.3809848600000003</v>
      </c>
      <c r="N34" s="21"/>
      <c r="O34" s="7">
        <f>'[6]April Prod'!H33</f>
        <v>0</v>
      </c>
      <c r="P34" s="8">
        <f t="shared" si="8"/>
        <v>0</v>
      </c>
      <c r="Q34" s="10">
        <f t="shared" si="9"/>
        <v>0</v>
      </c>
      <c r="R34" s="7">
        <f>'[6]April Prod'!C33</f>
        <v>0</v>
      </c>
      <c r="S34" s="8">
        <f t="shared" si="10"/>
        <v>0</v>
      </c>
      <c r="T34" s="10">
        <f t="shared" si="11"/>
        <v>0</v>
      </c>
      <c r="U34" s="7">
        <f>'[6]April Prod'!D33</f>
        <v>0</v>
      </c>
      <c r="V34" s="8">
        <f t="shared" si="12"/>
        <v>0</v>
      </c>
      <c r="W34" s="10">
        <f t="shared" si="13"/>
        <v>0</v>
      </c>
      <c r="X34" s="7">
        <f>'[6]April Prod'!D288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13899999.999997817</v>
      </c>
      <c r="AC34" s="8">
        <f t="shared" si="16"/>
        <v>13.899999999997817</v>
      </c>
      <c r="AD34" s="8">
        <f t="shared" si="16"/>
        <v>42.672999999993294</v>
      </c>
    </row>
    <row r="35" spans="1:32" ht="13.5" thickBot="1" x14ac:dyDescent="0.25">
      <c r="A35" s="3"/>
      <c r="B35" s="39"/>
      <c r="C35" s="40">
        <f>SUM(C5:C34)</f>
        <v>331.5</v>
      </c>
      <c r="D35" s="40">
        <f>SUM(D5:D34)</f>
        <v>1017.7049999999999</v>
      </c>
      <c r="E35" s="39"/>
      <c r="F35" s="40">
        <f>SUM(F5:F34)</f>
        <v>162</v>
      </c>
      <c r="G35" s="40">
        <f>SUM(G5:G34)</f>
        <v>497.34000000000003</v>
      </c>
      <c r="H35" s="39"/>
      <c r="I35" s="40">
        <f>SUM(I5:I34)</f>
        <v>179.47</v>
      </c>
      <c r="J35" s="40">
        <f>SUM(J5:J34)</f>
        <v>550.97289999999998</v>
      </c>
      <c r="K35" s="39"/>
      <c r="L35" s="40">
        <f>SUM(L5:L34)</f>
        <v>29.272880999999998</v>
      </c>
      <c r="M35" s="40">
        <f>SUM(M5:M34)</f>
        <v>89.867744669999993</v>
      </c>
      <c r="N35" s="14"/>
      <c r="O35" s="39"/>
      <c r="P35" s="40">
        <f>SUM(P5:P34)</f>
        <v>0</v>
      </c>
      <c r="Q35" s="40">
        <f>SUM(Q5:Q34)</f>
        <v>0</v>
      </c>
      <c r="R35" s="39"/>
      <c r="S35" s="40">
        <f>SUM(S5:S34)</f>
        <v>0</v>
      </c>
      <c r="T35" s="40">
        <f>SUM(T5:T34)</f>
        <v>0</v>
      </c>
      <c r="U35" s="39"/>
      <c r="V35" s="40">
        <f>SUM(V5:V34)</f>
        <v>0</v>
      </c>
      <c r="W35" s="40">
        <f>SUM(W5:W34)</f>
        <v>0</v>
      </c>
      <c r="X35" s="39"/>
      <c r="Y35" s="40">
        <f>SUM(Y5:Y34)</f>
        <v>0</v>
      </c>
      <c r="Z35" s="40">
        <f>SUM(Z5:Z34)</f>
        <v>0</v>
      </c>
      <c r="AA35" s="14"/>
      <c r="AB35" s="39">
        <f t="shared" si="16"/>
        <v>0</v>
      </c>
      <c r="AC35" s="40">
        <f t="shared" si="16"/>
        <v>331.5</v>
      </c>
      <c r="AD35" s="40">
        <f t="shared" si="16"/>
        <v>1017.7049999999999</v>
      </c>
      <c r="AF35" s="18"/>
    </row>
    <row r="36" spans="1:32" x14ac:dyDescent="0.2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31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D37"/>
  <sheetViews>
    <sheetView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L5" sqref="L5:L34"/>
    </sheetView>
  </sheetViews>
  <sheetFormatPr defaultRowHeight="12.75" x14ac:dyDescent="0.2"/>
  <cols>
    <col min="2" max="2" width="11.42578125" customWidth="1"/>
    <col min="5" max="5" width="11.140625" customWidth="1"/>
    <col min="8" max="8" width="14.42578125" bestFit="1" customWidth="1"/>
    <col min="11" max="11" width="10.28515625" customWidth="1"/>
    <col min="12" max="12" width="11" customWidth="1"/>
    <col min="15" max="15" width="11.7109375" customWidth="1"/>
    <col min="18" max="18" width="11.28515625" customWidth="1"/>
    <col min="22" max="22" width="10.42578125" customWidth="1"/>
    <col min="24" max="24" width="11.7109375" bestFit="1" customWidth="1"/>
    <col min="28" max="28" width="13.28515625" customWidth="1"/>
  </cols>
  <sheetData>
    <row r="1" spans="1:30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8</v>
      </c>
      <c r="AC3" s="66"/>
      <c r="AD3" s="67"/>
    </row>
    <row r="4" spans="1:30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2">
      <c r="A5" s="28">
        <v>38473</v>
      </c>
      <c r="B5" s="7">
        <f>'[7]May Prod'!I4</f>
        <v>12200000.000000728</v>
      </c>
      <c r="C5" s="8">
        <f>B5/1000000</f>
        <v>12.200000000000728</v>
      </c>
      <c r="D5" s="10">
        <f>C5*3.07</f>
        <v>37.454000000002232</v>
      </c>
      <c r="E5" s="7">
        <f>'[7]May Prod'!E4</f>
        <v>8000000</v>
      </c>
      <c r="F5" s="8">
        <f>E5/1000000</f>
        <v>8</v>
      </c>
      <c r="G5" s="10">
        <f>F5*3.07</f>
        <v>24.56</v>
      </c>
      <c r="H5" s="7">
        <f>'[7]May Prod'!F4</f>
        <v>5890000</v>
      </c>
      <c r="I5" s="8">
        <f>H5/1000000</f>
        <v>5.89</v>
      </c>
      <c r="J5" s="10">
        <f>I5*3.07</f>
        <v>18.082299999999996</v>
      </c>
      <c r="K5" s="7">
        <f>'[7]May Prod'!H259</f>
        <v>1042763</v>
      </c>
      <c r="L5" s="8">
        <f>K5/1000000</f>
        <v>1.0427630000000001</v>
      </c>
      <c r="M5" s="10">
        <f>L5*3.07</f>
        <v>3.2012824100000001</v>
      </c>
      <c r="N5" s="21"/>
      <c r="O5" s="7">
        <f>'[7]May Prod'!H4</f>
        <v>0</v>
      </c>
      <c r="P5" s="8">
        <f>O5/1000000</f>
        <v>0</v>
      </c>
      <c r="Q5" s="10">
        <f t="shared" ref="Q5:Q36" si="0">P5*3.07</f>
        <v>0</v>
      </c>
      <c r="R5" s="7">
        <f>'[7]May Prod'!C4</f>
        <v>0</v>
      </c>
      <c r="S5" s="8">
        <f>R5/1000000</f>
        <v>0</v>
      </c>
      <c r="T5" s="10">
        <f t="shared" ref="T5:T36" si="1">S5*3.07</f>
        <v>0</v>
      </c>
      <c r="U5" s="7">
        <f>'[7]May Prod'!D4</f>
        <v>0</v>
      </c>
      <c r="V5" s="8">
        <f>U5/1000000</f>
        <v>0</v>
      </c>
      <c r="W5" s="10">
        <f t="shared" ref="W5:W35" si="2">V5*3.07</f>
        <v>0</v>
      </c>
      <c r="X5" s="7">
        <f>'[7]May Prod'!D259</f>
        <v>0</v>
      </c>
      <c r="Y5" s="8">
        <f>X5/1000000</f>
        <v>0</v>
      </c>
      <c r="Z5" s="10">
        <f t="shared" ref="Z5:Z35" si="3">Y5*3.07</f>
        <v>0</v>
      </c>
      <c r="AA5" s="15"/>
      <c r="AB5" s="7">
        <f>B5+O5</f>
        <v>12200000.000000728</v>
      </c>
      <c r="AC5" s="8">
        <f>C5+P5</f>
        <v>12.200000000000728</v>
      </c>
      <c r="AD5" s="8">
        <f>D5+Q5</f>
        <v>37.454000000002232</v>
      </c>
    </row>
    <row r="6" spans="1:30" x14ac:dyDescent="0.2">
      <c r="A6" s="28">
        <v>38474</v>
      </c>
      <c r="B6" s="7">
        <f>'[7]May Prod'!I5</f>
        <v>11299999.999999272</v>
      </c>
      <c r="C6" s="8">
        <f t="shared" ref="C6:C35" si="4">B6/1000000</f>
        <v>11.299999999999272</v>
      </c>
      <c r="D6" s="10">
        <f t="shared" ref="D6:D36" si="5">C6*3.07</f>
        <v>34.690999999997764</v>
      </c>
      <c r="E6" s="7">
        <f>'[7]May Prod'!E5</f>
        <v>5000000</v>
      </c>
      <c r="F6" s="8">
        <f t="shared" ref="F6:F35" si="6">E6/1000000</f>
        <v>5</v>
      </c>
      <c r="G6" s="10">
        <f t="shared" ref="G6:G36" si="7">F6*3.07</f>
        <v>15.35</v>
      </c>
      <c r="H6" s="7">
        <f>'[7]May Prod'!F5</f>
        <v>5730000</v>
      </c>
      <c r="I6" s="8">
        <f t="shared" ref="I6:I35" si="8">H6/1000000</f>
        <v>5.73</v>
      </c>
      <c r="J6" s="10">
        <f t="shared" ref="J6:J36" si="9">I6*3.07</f>
        <v>17.591100000000001</v>
      </c>
      <c r="K6" s="7">
        <f>'[7]May Prod'!H260</f>
        <v>952254</v>
      </c>
      <c r="L6" s="8">
        <f t="shared" ref="L6:L35" si="10">K6/1000000</f>
        <v>0.95225400000000004</v>
      </c>
      <c r="M6" s="10">
        <f t="shared" ref="M6:M35" si="11">L6*3.07</f>
        <v>2.9234197800000001</v>
      </c>
      <c r="N6" s="21"/>
      <c r="O6" s="7">
        <f>'[7]May Prod'!H5</f>
        <v>0</v>
      </c>
      <c r="P6" s="8">
        <f t="shared" ref="P6:P35" si="12">O6/1000000</f>
        <v>0</v>
      </c>
      <c r="Q6" s="10">
        <f t="shared" si="0"/>
        <v>0</v>
      </c>
      <c r="R6" s="7">
        <f>'[7]May Prod'!C5</f>
        <v>0</v>
      </c>
      <c r="S6" s="8">
        <f t="shared" ref="S6:S35" si="13">R6/1000000</f>
        <v>0</v>
      </c>
      <c r="T6" s="10">
        <f t="shared" si="1"/>
        <v>0</v>
      </c>
      <c r="U6" s="7">
        <f>'[7]May Prod'!D5</f>
        <v>0</v>
      </c>
      <c r="V6" s="8">
        <f t="shared" ref="V6:V35" si="14">U6/1000000</f>
        <v>0</v>
      </c>
      <c r="W6" s="10">
        <f t="shared" si="2"/>
        <v>0</v>
      </c>
      <c r="X6" s="7">
        <f>'[7]May Prod'!D260</f>
        <v>0</v>
      </c>
      <c r="Y6" s="8">
        <f t="shared" ref="Y6:Y35" si="15">X6/1000000</f>
        <v>0</v>
      </c>
      <c r="Z6" s="10">
        <f t="shared" si="3"/>
        <v>0</v>
      </c>
      <c r="AA6" s="15"/>
      <c r="AB6" s="7">
        <f t="shared" ref="AB6:AD35" si="16">B6+O6</f>
        <v>11299999.999999272</v>
      </c>
      <c r="AC6" s="8">
        <f t="shared" si="16"/>
        <v>11.299999999999272</v>
      </c>
      <c r="AD6" s="8">
        <f t="shared" si="16"/>
        <v>34.690999999997764</v>
      </c>
    </row>
    <row r="7" spans="1:30" x14ac:dyDescent="0.2">
      <c r="A7" s="28">
        <v>38475</v>
      </c>
      <c r="B7" s="7">
        <f>'[7]May Prod'!I6</f>
        <v>9900000.0000014547</v>
      </c>
      <c r="C7" s="8">
        <f t="shared" si="4"/>
        <v>9.9000000000014552</v>
      </c>
      <c r="D7" s="10">
        <f t="shared" si="5"/>
        <v>30.393000000004466</v>
      </c>
      <c r="E7" s="7">
        <f>'[7]May Prod'!E6</f>
        <v>4000000</v>
      </c>
      <c r="F7" s="8">
        <f t="shared" si="6"/>
        <v>4</v>
      </c>
      <c r="G7" s="10">
        <f t="shared" si="7"/>
        <v>12.28</v>
      </c>
      <c r="H7" s="7">
        <f>'[7]May Prod'!F6</f>
        <v>5970000</v>
      </c>
      <c r="I7" s="8">
        <f t="shared" si="8"/>
        <v>5.97</v>
      </c>
      <c r="J7" s="10">
        <f t="shared" si="9"/>
        <v>18.3279</v>
      </c>
      <c r="K7" s="7">
        <f>'[7]May Prod'!H261</f>
        <v>773023</v>
      </c>
      <c r="L7" s="8">
        <f t="shared" si="10"/>
        <v>0.77302300000000002</v>
      </c>
      <c r="M7" s="10">
        <f t="shared" si="11"/>
        <v>2.3731806099999999</v>
      </c>
      <c r="N7" s="21"/>
      <c r="O7" s="7">
        <f>'[7]May Prod'!H6</f>
        <v>0</v>
      </c>
      <c r="P7" s="8">
        <f t="shared" si="12"/>
        <v>0</v>
      </c>
      <c r="Q7" s="10">
        <f t="shared" si="0"/>
        <v>0</v>
      </c>
      <c r="R7" s="7">
        <f>'[7]May Prod'!C6</f>
        <v>0</v>
      </c>
      <c r="S7" s="8">
        <f t="shared" si="13"/>
        <v>0</v>
      </c>
      <c r="T7" s="10">
        <f t="shared" si="1"/>
        <v>0</v>
      </c>
      <c r="U7" s="7">
        <f>'[7]May Prod'!D6</f>
        <v>0</v>
      </c>
      <c r="V7" s="8">
        <f t="shared" si="14"/>
        <v>0</v>
      </c>
      <c r="W7" s="10">
        <f t="shared" si="2"/>
        <v>0</v>
      </c>
      <c r="X7" s="7">
        <f>'[7]May Prod'!D261</f>
        <v>0</v>
      </c>
      <c r="Y7" s="8">
        <f t="shared" si="15"/>
        <v>0</v>
      </c>
      <c r="Z7" s="10">
        <f t="shared" si="3"/>
        <v>0</v>
      </c>
      <c r="AA7" s="15"/>
      <c r="AB7" s="7">
        <f t="shared" si="16"/>
        <v>9900000.0000014547</v>
      </c>
      <c r="AC7" s="8">
        <f t="shared" si="16"/>
        <v>9.9000000000014552</v>
      </c>
      <c r="AD7" s="8">
        <f t="shared" si="16"/>
        <v>30.393000000004466</v>
      </c>
    </row>
    <row r="8" spans="1:30" x14ac:dyDescent="0.2">
      <c r="A8" s="28">
        <v>38476</v>
      </c>
      <c r="B8" s="7">
        <f>'[7]May Prod'!I7</f>
        <v>10799999.999999272</v>
      </c>
      <c r="C8" s="8">
        <f t="shared" si="4"/>
        <v>10.799999999999272</v>
      </c>
      <c r="D8" s="10">
        <f t="shared" si="5"/>
        <v>33.155999999997768</v>
      </c>
      <c r="E8" s="7">
        <f>'[7]May Prod'!E7</f>
        <v>5000000</v>
      </c>
      <c r="F8" s="8">
        <f t="shared" si="6"/>
        <v>5</v>
      </c>
      <c r="G8" s="10">
        <f t="shared" si="7"/>
        <v>15.35</v>
      </c>
      <c r="H8" s="7">
        <f>'[7]May Prod'!F7</f>
        <v>5990000</v>
      </c>
      <c r="I8" s="8">
        <f t="shared" si="8"/>
        <v>5.99</v>
      </c>
      <c r="J8" s="10">
        <f t="shared" si="9"/>
        <v>18.389299999999999</v>
      </c>
      <c r="K8" s="7">
        <f>'[7]May Prod'!H262</f>
        <v>861165</v>
      </c>
      <c r="L8" s="8">
        <f t="shared" si="10"/>
        <v>0.86116499999999996</v>
      </c>
      <c r="M8" s="10">
        <f t="shared" si="11"/>
        <v>2.6437765499999997</v>
      </c>
      <c r="N8" s="21"/>
      <c r="O8" s="7">
        <f>'[7]May Prod'!H7</f>
        <v>0</v>
      </c>
      <c r="P8" s="8">
        <f t="shared" si="12"/>
        <v>0</v>
      </c>
      <c r="Q8" s="10">
        <f t="shared" si="0"/>
        <v>0</v>
      </c>
      <c r="R8" s="7">
        <f>'[7]May Prod'!C7</f>
        <v>0</v>
      </c>
      <c r="S8" s="8">
        <f t="shared" si="13"/>
        <v>0</v>
      </c>
      <c r="T8" s="10">
        <f t="shared" si="1"/>
        <v>0</v>
      </c>
      <c r="U8" s="7">
        <f>'[7]May Prod'!D7</f>
        <v>0</v>
      </c>
      <c r="V8" s="8">
        <f t="shared" si="14"/>
        <v>0</v>
      </c>
      <c r="W8" s="10">
        <f t="shared" si="2"/>
        <v>0</v>
      </c>
      <c r="X8" s="7">
        <f>'[7]May Prod'!D262</f>
        <v>0</v>
      </c>
      <c r="Y8" s="8">
        <f t="shared" si="15"/>
        <v>0</v>
      </c>
      <c r="Z8" s="10">
        <f t="shared" si="3"/>
        <v>0</v>
      </c>
      <c r="AA8" s="15"/>
      <c r="AB8" s="7">
        <f t="shared" si="16"/>
        <v>10799999.999999272</v>
      </c>
      <c r="AC8" s="8">
        <f t="shared" si="16"/>
        <v>10.799999999999272</v>
      </c>
      <c r="AD8" s="8">
        <f t="shared" si="16"/>
        <v>33.155999999997768</v>
      </c>
    </row>
    <row r="9" spans="1:30" x14ac:dyDescent="0.2">
      <c r="A9" s="28">
        <v>38477</v>
      </c>
      <c r="B9" s="7">
        <f>'[7]May Prod'!I8</f>
        <v>12500000</v>
      </c>
      <c r="C9" s="8">
        <f t="shared" si="4"/>
        <v>12.5</v>
      </c>
      <c r="D9" s="10">
        <f t="shared" si="5"/>
        <v>38.375</v>
      </c>
      <c r="E9" s="7">
        <f>'[7]May Prod'!E8</f>
        <v>6000000</v>
      </c>
      <c r="F9" s="8">
        <f t="shared" si="6"/>
        <v>6</v>
      </c>
      <c r="G9" s="10">
        <f t="shared" si="7"/>
        <v>18.419999999999998</v>
      </c>
      <c r="H9" s="7">
        <f>'[7]May Prod'!F8</f>
        <v>6030000</v>
      </c>
      <c r="I9" s="8">
        <f t="shared" si="8"/>
        <v>6.03</v>
      </c>
      <c r="J9" s="10">
        <f t="shared" si="9"/>
        <v>18.5121</v>
      </c>
      <c r="K9" s="7">
        <f>'[7]May Prod'!H263</f>
        <v>957214</v>
      </c>
      <c r="L9" s="8">
        <f t="shared" si="10"/>
        <v>0.95721400000000001</v>
      </c>
      <c r="M9" s="10">
        <f t="shared" si="11"/>
        <v>2.9386469799999997</v>
      </c>
      <c r="N9" s="21"/>
      <c r="O9" s="7">
        <f>'[7]May Prod'!H8</f>
        <v>0</v>
      </c>
      <c r="P9" s="8">
        <f t="shared" si="12"/>
        <v>0</v>
      </c>
      <c r="Q9" s="10">
        <f t="shared" si="0"/>
        <v>0</v>
      </c>
      <c r="R9" s="7">
        <f>'[7]May Prod'!C8</f>
        <v>0</v>
      </c>
      <c r="S9" s="8">
        <f t="shared" si="13"/>
        <v>0</v>
      </c>
      <c r="T9" s="10">
        <f t="shared" si="1"/>
        <v>0</v>
      </c>
      <c r="U9" s="7">
        <f>'[7]May Prod'!D8</f>
        <v>0</v>
      </c>
      <c r="V9" s="8">
        <f t="shared" si="14"/>
        <v>0</v>
      </c>
      <c r="W9" s="10">
        <f t="shared" si="2"/>
        <v>0</v>
      </c>
      <c r="X9" s="7">
        <f>'[7]May Prod'!D263</f>
        <v>0</v>
      </c>
      <c r="Y9" s="8">
        <f t="shared" si="15"/>
        <v>0</v>
      </c>
      <c r="Z9" s="10">
        <f t="shared" si="3"/>
        <v>0</v>
      </c>
      <c r="AA9" s="15"/>
      <c r="AB9" s="7">
        <f t="shared" si="16"/>
        <v>12500000</v>
      </c>
      <c r="AC9" s="8">
        <f t="shared" si="16"/>
        <v>12.5</v>
      </c>
      <c r="AD9" s="8">
        <f t="shared" si="16"/>
        <v>38.375</v>
      </c>
    </row>
    <row r="10" spans="1:30" x14ac:dyDescent="0.2">
      <c r="A10" s="28">
        <v>38478</v>
      </c>
      <c r="B10" s="7">
        <f>'[7]May Prod'!I9</f>
        <v>12600000.000002183</v>
      </c>
      <c r="C10" s="8">
        <f t="shared" si="4"/>
        <v>12.600000000002183</v>
      </c>
      <c r="D10" s="10">
        <f t="shared" si="5"/>
        <v>38.682000000006703</v>
      </c>
      <c r="E10" s="7">
        <f>'[7]May Prod'!E9</f>
        <v>8000000</v>
      </c>
      <c r="F10" s="8">
        <f t="shared" si="6"/>
        <v>8</v>
      </c>
      <c r="G10" s="10">
        <f t="shared" si="7"/>
        <v>24.56</v>
      </c>
      <c r="H10" s="7">
        <f>'[7]May Prod'!F9</f>
        <v>6020000</v>
      </c>
      <c r="I10" s="8">
        <f t="shared" si="8"/>
        <v>6.02</v>
      </c>
      <c r="J10" s="10">
        <f t="shared" si="9"/>
        <v>18.481399999999997</v>
      </c>
      <c r="K10" s="7">
        <f>'[7]May Prod'!H264</f>
        <v>969351</v>
      </c>
      <c r="L10" s="8">
        <f t="shared" si="10"/>
        <v>0.96935099999999996</v>
      </c>
      <c r="M10" s="10">
        <f t="shared" si="11"/>
        <v>2.9759075699999999</v>
      </c>
      <c r="N10" s="21"/>
      <c r="O10" s="7">
        <f>'[7]May Prod'!H9</f>
        <v>0</v>
      </c>
      <c r="P10" s="8">
        <f t="shared" si="12"/>
        <v>0</v>
      </c>
      <c r="Q10" s="10">
        <f t="shared" si="0"/>
        <v>0</v>
      </c>
      <c r="R10" s="7">
        <f>'[7]May Prod'!C9</f>
        <v>0</v>
      </c>
      <c r="S10" s="8">
        <f t="shared" si="13"/>
        <v>0</v>
      </c>
      <c r="T10" s="10">
        <f t="shared" si="1"/>
        <v>0</v>
      </c>
      <c r="U10" s="7">
        <f>'[7]May Prod'!D9</f>
        <v>0</v>
      </c>
      <c r="V10" s="8">
        <f t="shared" si="14"/>
        <v>0</v>
      </c>
      <c r="W10" s="10">
        <f t="shared" si="2"/>
        <v>0</v>
      </c>
      <c r="X10" s="7">
        <f>'[7]May Prod'!D264</f>
        <v>0</v>
      </c>
      <c r="Y10" s="8">
        <f t="shared" si="15"/>
        <v>0</v>
      </c>
      <c r="Z10" s="10">
        <f t="shared" si="3"/>
        <v>0</v>
      </c>
      <c r="AA10" s="15"/>
      <c r="AB10" s="7">
        <f t="shared" si="16"/>
        <v>12600000.000002183</v>
      </c>
      <c r="AC10" s="8">
        <f t="shared" si="16"/>
        <v>12.600000000002183</v>
      </c>
      <c r="AD10" s="8">
        <f t="shared" si="16"/>
        <v>38.682000000006703</v>
      </c>
    </row>
    <row r="11" spans="1:30" x14ac:dyDescent="0.2">
      <c r="A11" s="28">
        <v>38479</v>
      </c>
      <c r="B11" s="7">
        <f>'[7]May Prod'!I10</f>
        <v>13399999.999997817</v>
      </c>
      <c r="C11" s="8">
        <f t="shared" si="4"/>
        <v>13.399999999997817</v>
      </c>
      <c r="D11" s="10">
        <f t="shared" si="5"/>
        <v>41.137999999993298</v>
      </c>
      <c r="E11" s="7">
        <f>'[7]May Prod'!E10</f>
        <v>7000000</v>
      </c>
      <c r="F11" s="8">
        <f t="shared" si="6"/>
        <v>7</v>
      </c>
      <c r="G11" s="10">
        <f t="shared" si="7"/>
        <v>21.49</v>
      </c>
      <c r="H11" s="7">
        <f>'[7]May Prod'!F10</f>
        <v>5920000</v>
      </c>
      <c r="I11" s="8">
        <f t="shared" si="8"/>
        <v>5.92</v>
      </c>
      <c r="J11" s="10">
        <f t="shared" si="9"/>
        <v>18.174399999999999</v>
      </c>
      <c r="K11" s="7">
        <f>'[7]May Prod'!H265</f>
        <v>1009767</v>
      </c>
      <c r="L11" s="8">
        <f t="shared" si="10"/>
        <v>1.0097670000000001</v>
      </c>
      <c r="M11" s="10">
        <f t="shared" si="11"/>
        <v>3.0999846899999999</v>
      </c>
      <c r="N11" s="21"/>
      <c r="O11" s="7">
        <f>'[7]May Prod'!H10</f>
        <v>0</v>
      </c>
      <c r="P11" s="8">
        <f t="shared" si="12"/>
        <v>0</v>
      </c>
      <c r="Q11" s="10">
        <f t="shared" si="0"/>
        <v>0</v>
      </c>
      <c r="R11" s="7">
        <f>'[7]May Prod'!C10</f>
        <v>0</v>
      </c>
      <c r="S11" s="8">
        <f t="shared" si="13"/>
        <v>0</v>
      </c>
      <c r="T11" s="10">
        <f t="shared" si="1"/>
        <v>0</v>
      </c>
      <c r="U11" s="7">
        <f>'[7]May Prod'!D10</f>
        <v>0</v>
      </c>
      <c r="V11" s="8">
        <f t="shared" si="14"/>
        <v>0</v>
      </c>
      <c r="W11" s="10">
        <f t="shared" si="2"/>
        <v>0</v>
      </c>
      <c r="X11" s="7">
        <f>'[7]May Prod'!D265</f>
        <v>0</v>
      </c>
      <c r="Y11" s="8">
        <f t="shared" si="15"/>
        <v>0</v>
      </c>
      <c r="Z11" s="10">
        <f t="shared" si="3"/>
        <v>0</v>
      </c>
      <c r="AA11" s="15"/>
      <c r="AB11" s="7">
        <f t="shared" si="16"/>
        <v>13399999.999997817</v>
      </c>
      <c r="AC11" s="8">
        <f t="shared" si="16"/>
        <v>13.399999999997817</v>
      </c>
      <c r="AD11" s="8">
        <f t="shared" si="16"/>
        <v>41.137999999993298</v>
      </c>
    </row>
    <row r="12" spans="1:30" x14ac:dyDescent="0.2">
      <c r="A12" s="28">
        <v>38480</v>
      </c>
      <c r="B12" s="7">
        <f>'[7]May Prod'!I11</f>
        <v>11000000</v>
      </c>
      <c r="C12" s="8">
        <f t="shared" si="4"/>
        <v>11</v>
      </c>
      <c r="D12" s="10">
        <f t="shared" si="5"/>
        <v>33.769999999999996</v>
      </c>
      <c r="E12" s="7">
        <f>'[7]May Prod'!E11</f>
        <v>6000000</v>
      </c>
      <c r="F12" s="8">
        <f t="shared" si="6"/>
        <v>6</v>
      </c>
      <c r="G12" s="10">
        <f t="shared" si="7"/>
        <v>18.419999999999998</v>
      </c>
      <c r="H12" s="7">
        <f>'[7]May Prod'!F11</f>
        <v>5900000</v>
      </c>
      <c r="I12" s="8">
        <f t="shared" si="8"/>
        <v>5.9</v>
      </c>
      <c r="J12" s="10">
        <f t="shared" si="9"/>
        <v>18.113</v>
      </c>
      <c r="K12" s="7">
        <f>'[7]May Prod'!H266</f>
        <v>952459</v>
      </c>
      <c r="L12" s="8">
        <f t="shared" si="10"/>
        <v>0.95245899999999994</v>
      </c>
      <c r="M12" s="10">
        <f t="shared" si="11"/>
        <v>2.9240491299999998</v>
      </c>
      <c r="N12" s="21"/>
      <c r="O12" s="7">
        <f>'[7]May Prod'!H11</f>
        <v>0</v>
      </c>
      <c r="P12" s="8">
        <f t="shared" si="12"/>
        <v>0</v>
      </c>
      <c r="Q12" s="10">
        <f t="shared" si="0"/>
        <v>0</v>
      </c>
      <c r="R12" s="7">
        <f>'[7]May Prod'!C11</f>
        <v>0</v>
      </c>
      <c r="S12" s="8">
        <f t="shared" si="13"/>
        <v>0</v>
      </c>
      <c r="T12" s="10">
        <f t="shared" si="1"/>
        <v>0</v>
      </c>
      <c r="U12" s="7">
        <f>'[7]May Prod'!D11</f>
        <v>0</v>
      </c>
      <c r="V12" s="8">
        <f t="shared" si="14"/>
        <v>0</v>
      </c>
      <c r="W12" s="10">
        <f t="shared" si="2"/>
        <v>0</v>
      </c>
      <c r="X12" s="7">
        <f>'[7]May Prod'!D266</f>
        <v>0</v>
      </c>
      <c r="Y12" s="8">
        <f t="shared" si="15"/>
        <v>0</v>
      </c>
      <c r="Z12" s="10">
        <f t="shared" si="3"/>
        <v>0</v>
      </c>
      <c r="AA12" s="15"/>
      <c r="AB12" s="7">
        <f t="shared" si="16"/>
        <v>11000000</v>
      </c>
      <c r="AC12" s="8">
        <f t="shared" si="16"/>
        <v>11</v>
      </c>
      <c r="AD12" s="8">
        <f t="shared" si="16"/>
        <v>33.769999999999996</v>
      </c>
    </row>
    <row r="13" spans="1:30" x14ac:dyDescent="0.2">
      <c r="A13" s="28">
        <v>38481</v>
      </c>
      <c r="B13" s="7">
        <f>'[7]May Prod'!I12</f>
        <v>11200000.000000728</v>
      </c>
      <c r="C13" s="8">
        <f t="shared" si="4"/>
        <v>11.200000000000728</v>
      </c>
      <c r="D13" s="10">
        <f t="shared" si="5"/>
        <v>34.384000000002231</v>
      </c>
      <c r="E13" s="7">
        <f>'[7]May Prod'!E12</f>
        <v>5000000</v>
      </c>
      <c r="F13" s="8">
        <f t="shared" si="6"/>
        <v>5</v>
      </c>
      <c r="G13" s="10">
        <f t="shared" si="7"/>
        <v>15.35</v>
      </c>
      <c r="H13" s="7">
        <f>'[7]May Prod'!F12</f>
        <v>6000000</v>
      </c>
      <c r="I13" s="8">
        <f t="shared" si="8"/>
        <v>6</v>
      </c>
      <c r="J13" s="10">
        <f t="shared" si="9"/>
        <v>18.419999999999998</v>
      </c>
      <c r="K13" s="7">
        <f>'[7]May Prod'!H267</f>
        <v>825229</v>
      </c>
      <c r="L13" s="8">
        <f t="shared" si="10"/>
        <v>0.82522899999999999</v>
      </c>
      <c r="M13" s="10">
        <f t="shared" si="11"/>
        <v>2.53345303</v>
      </c>
      <c r="N13" s="21"/>
      <c r="O13" s="7">
        <f>'[7]May Prod'!H12</f>
        <v>0</v>
      </c>
      <c r="P13" s="8">
        <f t="shared" si="12"/>
        <v>0</v>
      </c>
      <c r="Q13" s="10">
        <f t="shared" si="0"/>
        <v>0</v>
      </c>
      <c r="R13" s="7">
        <f>'[7]May Prod'!C12</f>
        <v>0</v>
      </c>
      <c r="S13" s="8">
        <f t="shared" si="13"/>
        <v>0</v>
      </c>
      <c r="T13" s="10">
        <f t="shared" si="1"/>
        <v>0</v>
      </c>
      <c r="U13" s="7">
        <f>'[7]May Prod'!D12</f>
        <v>0</v>
      </c>
      <c r="V13" s="8">
        <f t="shared" si="14"/>
        <v>0</v>
      </c>
      <c r="W13" s="10">
        <f t="shared" si="2"/>
        <v>0</v>
      </c>
      <c r="X13" s="7">
        <f>'[7]May Prod'!D267</f>
        <v>0</v>
      </c>
      <c r="Y13" s="8">
        <f t="shared" si="15"/>
        <v>0</v>
      </c>
      <c r="Z13" s="10">
        <f t="shared" si="3"/>
        <v>0</v>
      </c>
      <c r="AA13" s="15"/>
      <c r="AB13" s="7">
        <f t="shared" si="16"/>
        <v>11200000.000000728</v>
      </c>
      <c r="AC13" s="8">
        <f t="shared" si="16"/>
        <v>11.200000000000728</v>
      </c>
      <c r="AD13" s="8">
        <f t="shared" si="16"/>
        <v>34.384000000002231</v>
      </c>
    </row>
    <row r="14" spans="1:30" x14ac:dyDescent="0.2">
      <c r="A14" s="28">
        <v>38482</v>
      </c>
      <c r="B14" s="7">
        <f>'[7]May Prod'!I13</f>
        <v>11799999.999999272</v>
      </c>
      <c r="C14" s="8">
        <f t="shared" si="4"/>
        <v>11.799999999999272</v>
      </c>
      <c r="D14" s="10">
        <f t="shared" si="5"/>
        <v>36.225999999997761</v>
      </c>
      <c r="E14" s="7">
        <f>'[7]May Prod'!E13</f>
        <v>5000000</v>
      </c>
      <c r="F14" s="8">
        <f t="shared" si="6"/>
        <v>5</v>
      </c>
      <c r="G14" s="10">
        <f t="shared" si="7"/>
        <v>15.35</v>
      </c>
      <c r="H14" s="7">
        <f>'[7]May Prod'!F13</f>
        <v>6020000</v>
      </c>
      <c r="I14" s="8">
        <f t="shared" si="8"/>
        <v>6.02</v>
      </c>
      <c r="J14" s="10">
        <f t="shared" si="9"/>
        <v>18.481399999999997</v>
      </c>
      <c r="K14" s="7">
        <f>'[7]May Prod'!H268</f>
        <v>910044</v>
      </c>
      <c r="L14" s="8">
        <f t="shared" si="10"/>
        <v>0.91004399999999996</v>
      </c>
      <c r="M14" s="10">
        <f t="shared" si="11"/>
        <v>2.7938350799999996</v>
      </c>
      <c r="N14" s="21"/>
      <c r="O14" s="7">
        <f>'[7]May Prod'!H13</f>
        <v>0</v>
      </c>
      <c r="P14" s="8">
        <f t="shared" si="12"/>
        <v>0</v>
      </c>
      <c r="Q14" s="10">
        <f t="shared" si="0"/>
        <v>0</v>
      </c>
      <c r="R14" s="7">
        <f>'[7]May Prod'!C13</f>
        <v>0</v>
      </c>
      <c r="S14" s="8">
        <f t="shared" si="13"/>
        <v>0</v>
      </c>
      <c r="T14" s="10">
        <f t="shared" si="1"/>
        <v>0</v>
      </c>
      <c r="U14" s="7">
        <f>'[7]May Prod'!D13</f>
        <v>0</v>
      </c>
      <c r="V14" s="8">
        <f t="shared" si="14"/>
        <v>0</v>
      </c>
      <c r="W14" s="10">
        <f t="shared" si="2"/>
        <v>0</v>
      </c>
      <c r="X14" s="7">
        <f>'[7]May Prod'!D268</f>
        <v>0</v>
      </c>
      <c r="Y14" s="8">
        <f t="shared" si="15"/>
        <v>0</v>
      </c>
      <c r="Z14" s="10">
        <f t="shared" si="3"/>
        <v>0</v>
      </c>
      <c r="AA14" s="15"/>
      <c r="AB14" s="7">
        <f t="shared" si="16"/>
        <v>11799999.999999272</v>
      </c>
      <c r="AC14" s="8">
        <f t="shared" si="16"/>
        <v>11.799999999999272</v>
      </c>
      <c r="AD14" s="8">
        <f t="shared" si="16"/>
        <v>36.225999999997761</v>
      </c>
    </row>
    <row r="15" spans="1:30" x14ac:dyDescent="0.2">
      <c r="A15" s="28">
        <v>38483</v>
      </c>
      <c r="B15" s="7">
        <f>'[7]May Prod'!I14</f>
        <v>13200000.000000728</v>
      </c>
      <c r="C15" s="8">
        <f t="shared" si="4"/>
        <v>13.200000000000728</v>
      </c>
      <c r="D15" s="10">
        <f t="shared" si="5"/>
        <v>40.524000000002232</v>
      </c>
      <c r="E15" s="7">
        <f>'[7]May Prod'!E14</f>
        <v>8000000</v>
      </c>
      <c r="F15" s="8">
        <f t="shared" si="6"/>
        <v>8</v>
      </c>
      <c r="G15" s="10">
        <f t="shared" si="7"/>
        <v>24.56</v>
      </c>
      <c r="H15" s="7">
        <f>'[7]May Prod'!F14</f>
        <v>6050000</v>
      </c>
      <c r="I15" s="8">
        <f t="shared" si="8"/>
        <v>6.05</v>
      </c>
      <c r="J15" s="10">
        <f t="shared" si="9"/>
        <v>18.573499999999999</v>
      </c>
      <c r="K15" s="7">
        <f>'[7]May Prod'!H269</f>
        <v>990381</v>
      </c>
      <c r="L15" s="8">
        <f t="shared" si="10"/>
        <v>0.99038099999999996</v>
      </c>
      <c r="M15" s="10">
        <f t="shared" si="11"/>
        <v>3.0404696699999998</v>
      </c>
      <c r="N15" s="21"/>
      <c r="O15" s="7">
        <f>'[7]May Prod'!H14</f>
        <v>0</v>
      </c>
      <c r="P15" s="8">
        <f t="shared" si="12"/>
        <v>0</v>
      </c>
      <c r="Q15" s="10">
        <f t="shared" si="0"/>
        <v>0</v>
      </c>
      <c r="R15" s="7">
        <f>'[7]May Prod'!C14</f>
        <v>0</v>
      </c>
      <c r="S15" s="8">
        <f t="shared" si="13"/>
        <v>0</v>
      </c>
      <c r="T15" s="10">
        <f t="shared" si="1"/>
        <v>0</v>
      </c>
      <c r="U15" s="7">
        <f>'[7]May Prod'!D14</f>
        <v>0</v>
      </c>
      <c r="V15" s="8">
        <f t="shared" si="14"/>
        <v>0</v>
      </c>
      <c r="W15" s="10">
        <f t="shared" si="2"/>
        <v>0</v>
      </c>
      <c r="X15" s="7">
        <f>'[7]May Prod'!D269</f>
        <v>0</v>
      </c>
      <c r="Y15" s="8">
        <f t="shared" si="15"/>
        <v>0</v>
      </c>
      <c r="Z15" s="10">
        <f t="shared" si="3"/>
        <v>0</v>
      </c>
      <c r="AA15" s="15"/>
      <c r="AB15" s="7">
        <f t="shared" si="16"/>
        <v>13200000.000000728</v>
      </c>
      <c r="AC15" s="8">
        <f t="shared" si="16"/>
        <v>13.200000000000728</v>
      </c>
      <c r="AD15" s="8">
        <f t="shared" si="16"/>
        <v>40.524000000002232</v>
      </c>
    </row>
    <row r="16" spans="1:30" x14ac:dyDescent="0.2">
      <c r="A16" s="28">
        <v>38484</v>
      </c>
      <c r="B16" s="7">
        <f>'[7]May Prod'!I15</f>
        <v>15400000.000001455</v>
      </c>
      <c r="C16" s="8">
        <f t="shared" si="4"/>
        <v>15.400000000001455</v>
      </c>
      <c r="D16" s="10">
        <f t="shared" si="5"/>
        <v>47.278000000004468</v>
      </c>
      <c r="E16" s="7">
        <f>'[7]May Prod'!E15</f>
        <v>10000000</v>
      </c>
      <c r="F16" s="8">
        <f t="shared" si="6"/>
        <v>10</v>
      </c>
      <c r="G16" s="10">
        <f t="shared" si="7"/>
        <v>30.7</v>
      </c>
      <c r="H16" s="7">
        <f>'[7]May Prod'!F15</f>
        <v>5950000</v>
      </c>
      <c r="I16" s="8">
        <f t="shared" si="8"/>
        <v>5.95</v>
      </c>
      <c r="J16" s="10">
        <f t="shared" si="9"/>
        <v>18.266500000000001</v>
      </c>
      <c r="K16" s="7">
        <f>'[7]May Prod'!H270</f>
        <v>1129250</v>
      </c>
      <c r="L16" s="8">
        <f t="shared" si="10"/>
        <v>1.1292500000000001</v>
      </c>
      <c r="M16" s="10">
        <f t="shared" si="11"/>
        <v>3.4667975000000002</v>
      </c>
      <c r="N16" s="21"/>
      <c r="O16" s="7">
        <f>'[7]May Prod'!H15</f>
        <v>0</v>
      </c>
      <c r="P16" s="8">
        <f t="shared" si="12"/>
        <v>0</v>
      </c>
      <c r="Q16" s="10">
        <f t="shared" si="0"/>
        <v>0</v>
      </c>
      <c r="R16" s="7">
        <f>'[7]May Prod'!C15</f>
        <v>0</v>
      </c>
      <c r="S16" s="8">
        <f t="shared" si="13"/>
        <v>0</v>
      </c>
      <c r="T16" s="10">
        <f t="shared" si="1"/>
        <v>0</v>
      </c>
      <c r="U16" s="7">
        <f>'[7]May Prod'!D15</f>
        <v>0</v>
      </c>
      <c r="V16" s="8">
        <f t="shared" si="14"/>
        <v>0</v>
      </c>
      <c r="W16" s="10">
        <f t="shared" si="2"/>
        <v>0</v>
      </c>
      <c r="X16" s="7">
        <f>'[7]May Prod'!D270</f>
        <v>0</v>
      </c>
      <c r="Y16" s="8">
        <f t="shared" si="15"/>
        <v>0</v>
      </c>
      <c r="Z16" s="10">
        <f t="shared" si="3"/>
        <v>0</v>
      </c>
      <c r="AA16" s="15"/>
      <c r="AB16" s="7">
        <f t="shared" si="16"/>
        <v>15400000.000001455</v>
      </c>
      <c r="AC16" s="8">
        <f t="shared" si="16"/>
        <v>15.400000000001455</v>
      </c>
      <c r="AD16" s="8">
        <f t="shared" si="16"/>
        <v>47.278000000004468</v>
      </c>
    </row>
    <row r="17" spans="1:30" x14ac:dyDescent="0.2">
      <c r="A17" s="28">
        <v>38485</v>
      </c>
      <c r="B17" s="7">
        <f>'[7]May Prod'!I16</f>
        <v>16599999.999998545</v>
      </c>
      <c r="C17" s="8">
        <f t="shared" si="4"/>
        <v>16.599999999998545</v>
      </c>
      <c r="D17" s="10">
        <f t="shared" si="5"/>
        <v>50.961999999995527</v>
      </c>
      <c r="E17" s="7">
        <f>'[7]May Prod'!E16</f>
        <v>11000000</v>
      </c>
      <c r="F17" s="8">
        <f t="shared" si="6"/>
        <v>11</v>
      </c>
      <c r="G17" s="10">
        <f t="shared" si="7"/>
        <v>33.769999999999996</v>
      </c>
      <c r="H17" s="7">
        <f>'[7]May Prod'!F16</f>
        <v>6000000</v>
      </c>
      <c r="I17" s="8">
        <f t="shared" si="8"/>
        <v>6</v>
      </c>
      <c r="J17" s="10">
        <f t="shared" si="9"/>
        <v>18.419999999999998</v>
      </c>
      <c r="K17" s="7">
        <f>'[7]May Prod'!H271</f>
        <v>1365025</v>
      </c>
      <c r="L17" s="8">
        <f t="shared" si="10"/>
        <v>1.3650249999999999</v>
      </c>
      <c r="M17" s="10">
        <f t="shared" si="11"/>
        <v>4.1906267499999998</v>
      </c>
      <c r="N17" s="21"/>
      <c r="O17" s="7">
        <f>'[7]May Prod'!H16</f>
        <v>0</v>
      </c>
      <c r="P17" s="8">
        <f t="shared" si="12"/>
        <v>0</v>
      </c>
      <c r="Q17" s="10">
        <f t="shared" si="0"/>
        <v>0</v>
      </c>
      <c r="R17" s="7">
        <f>'[7]May Prod'!C16</f>
        <v>0</v>
      </c>
      <c r="S17" s="8">
        <f t="shared" si="13"/>
        <v>0</v>
      </c>
      <c r="T17" s="10">
        <f t="shared" si="1"/>
        <v>0</v>
      </c>
      <c r="U17" s="7">
        <f>'[7]May Prod'!D16</f>
        <v>0</v>
      </c>
      <c r="V17" s="8">
        <f t="shared" si="14"/>
        <v>0</v>
      </c>
      <c r="W17" s="10">
        <f t="shared" si="2"/>
        <v>0</v>
      </c>
      <c r="X17" s="7">
        <f>'[7]May Prod'!D271</f>
        <v>0</v>
      </c>
      <c r="Y17" s="8">
        <f t="shared" si="15"/>
        <v>0</v>
      </c>
      <c r="Z17" s="10">
        <f t="shared" si="3"/>
        <v>0</v>
      </c>
      <c r="AA17" s="15"/>
      <c r="AB17" s="7">
        <f t="shared" si="16"/>
        <v>16599999.999998545</v>
      </c>
      <c r="AC17" s="8">
        <f t="shared" si="16"/>
        <v>16.599999999998545</v>
      </c>
      <c r="AD17" s="8">
        <f t="shared" si="16"/>
        <v>50.961999999995527</v>
      </c>
    </row>
    <row r="18" spans="1:30" x14ac:dyDescent="0.2">
      <c r="A18" s="28">
        <v>38486</v>
      </c>
      <c r="B18" s="7">
        <f>'[7]May Prod'!I17</f>
        <v>17500000</v>
      </c>
      <c r="C18" s="8">
        <f t="shared" si="4"/>
        <v>17.5</v>
      </c>
      <c r="D18" s="10">
        <f t="shared" si="5"/>
        <v>53.724999999999994</v>
      </c>
      <c r="E18" s="7">
        <f>'[7]May Prod'!E17</f>
        <v>13000000</v>
      </c>
      <c r="F18" s="8">
        <f t="shared" si="6"/>
        <v>13</v>
      </c>
      <c r="G18" s="10">
        <f t="shared" si="7"/>
        <v>39.909999999999997</v>
      </c>
      <c r="H18" s="7">
        <f>'[7]May Prod'!F17</f>
        <v>5980000</v>
      </c>
      <c r="I18" s="8">
        <f t="shared" si="8"/>
        <v>5.98</v>
      </c>
      <c r="J18" s="10">
        <f t="shared" si="9"/>
        <v>18.358599999999999</v>
      </c>
      <c r="K18" s="7">
        <f>'[7]May Prod'!H272</f>
        <v>1405859</v>
      </c>
      <c r="L18" s="8">
        <f t="shared" si="10"/>
        <v>1.405859</v>
      </c>
      <c r="M18" s="10">
        <f t="shared" si="11"/>
        <v>4.3159871299999999</v>
      </c>
      <c r="N18" s="21"/>
      <c r="O18" s="7">
        <f>'[7]May Prod'!H17</f>
        <v>0</v>
      </c>
      <c r="P18" s="8">
        <f t="shared" si="12"/>
        <v>0</v>
      </c>
      <c r="Q18" s="10">
        <f t="shared" si="0"/>
        <v>0</v>
      </c>
      <c r="R18" s="7">
        <f>'[7]May Prod'!C17</f>
        <v>0</v>
      </c>
      <c r="S18" s="8">
        <f t="shared" si="13"/>
        <v>0</v>
      </c>
      <c r="T18" s="10">
        <f t="shared" si="1"/>
        <v>0</v>
      </c>
      <c r="U18" s="7">
        <f>'[7]May Prod'!D17</f>
        <v>0</v>
      </c>
      <c r="V18" s="8">
        <f t="shared" si="14"/>
        <v>0</v>
      </c>
      <c r="W18" s="10">
        <f t="shared" si="2"/>
        <v>0</v>
      </c>
      <c r="X18" s="7">
        <f>'[7]May Prod'!D272</f>
        <v>0</v>
      </c>
      <c r="Y18" s="8">
        <f t="shared" si="15"/>
        <v>0</v>
      </c>
      <c r="Z18" s="10">
        <f t="shared" si="3"/>
        <v>0</v>
      </c>
      <c r="AA18" s="15"/>
      <c r="AB18" s="7">
        <f t="shared" si="16"/>
        <v>17500000</v>
      </c>
      <c r="AC18" s="8">
        <f t="shared" si="16"/>
        <v>17.5</v>
      </c>
      <c r="AD18" s="8">
        <f t="shared" si="16"/>
        <v>53.724999999999994</v>
      </c>
    </row>
    <row r="19" spans="1:30" x14ac:dyDescent="0.2">
      <c r="A19" s="28">
        <v>38487</v>
      </c>
      <c r="B19" s="7">
        <f>'[7]May Prod'!I18</f>
        <v>17400000.000001457</v>
      </c>
      <c r="C19" s="8">
        <f t="shared" si="4"/>
        <v>17.400000000001455</v>
      </c>
      <c r="D19" s="10">
        <f t="shared" si="5"/>
        <v>53.418000000004461</v>
      </c>
      <c r="E19" s="7">
        <f>'[7]May Prod'!E18</f>
        <v>12000000</v>
      </c>
      <c r="F19" s="8">
        <f t="shared" si="6"/>
        <v>12</v>
      </c>
      <c r="G19" s="10">
        <f t="shared" si="7"/>
        <v>36.839999999999996</v>
      </c>
      <c r="H19" s="7">
        <f>'[7]May Prod'!F18</f>
        <v>6020000</v>
      </c>
      <c r="I19" s="8">
        <f t="shared" si="8"/>
        <v>6.02</v>
      </c>
      <c r="J19" s="10">
        <f t="shared" si="9"/>
        <v>18.481399999999997</v>
      </c>
      <c r="K19" s="7">
        <f>'[7]May Prod'!H273</f>
        <v>1374738</v>
      </c>
      <c r="L19" s="8">
        <f t="shared" si="10"/>
        <v>1.374738</v>
      </c>
      <c r="M19" s="10">
        <f t="shared" si="11"/>
        <v>4.2204456600000002</v>
      </c>
      <c r="N19" s="21"/>
      <c r="O19" s="7">
        <f>'[7]May Prod'!H18</f>
        <v>0</v>
      </c>
      <c r="P19" s="8">
        <f t="shared" si="12"/>
        <v>0</v>
      </c>
      <c r="Q19" s="10">
        <f t="shared" si="0"/>
        <v>0</v>
      </c>
      <c r="R19" s="7">
        <f>'[7]May Prod'!C18</f>
        <v>0</v>
      </c>
      <c r="S19" s="8">
        <f t="shared" si="13"/>
        <v>0</v>
      </c>
      <c r="T19" s="10">
        <f t="shared" si="1"/>
        <v>0</v>
      </c>
      <c r="U19" s="7">
        <f>'[7]May Prod'!D18</f>
        <v>0</v>
      </c>
      <c r="V19" s="8">
        <f t="shared" si="14"/>
        <v>0</v>
      </c>
      <c r="W19" s="10">
        <f t="shared" si="2"/>
        <v>0</v>
      </c>
      <c r="X19" s="7">
        <f>'[7]May Prod'!D273</f>
        <v>0</v>
      </c>
      <c r="Y19" s="8">
        <f t="shared" si="15"/>
        <v>0</v>
      </c>
      <c r="Z19" s="10">
        <f t="shared" si="3"/>
        <v>0</v>
      </c>
      <c r="AA19" s="15"/>
      <c r="AB19" s="7">
        <f t="shared" si="16"/>
        <v>17400000.000001457</v>
      </c>
      <c r="AC19" s="8">
        <f t="shared" si="16"/>
        <v>17.400000000001455</v>
      </c>
      <c r="AD19" s="8">
        <f t="shared" si="16"/>
        <v>53.418000000004461</v>
      </c>
    </row>
    <row r="20" spans="1:30" x14ac:dyDescent="0.2">
      <c r="A20" s="28">
        <v>38488</v>
      </c>
      <c r="B20" s="7">
        <f>'[7]May Prod'!I19</f>
        <v>14699999.999997091</v>
      </c>
      <c r="C20" s="8">
        <f t="shared" si="4"/>
        <v>14.699999999997091</v>
      </c>
      <c r="D20" s="10">
        <f t="shared" si="5"/>
        <v>45.128999999991066</v>
      </c>
      <c r="E20" s="7">
        <f>'[7]May Prod'!E19</f>
        <v>10000000</v>
      </c>
      <c r="F20" s="8">
        <f t="shared" si="6"/>
        <v>10</v>
      </c>
      <c r="G20" s="10">
        <f t="shared" si="7"/>
        <v>30.7</v>
      </c>
      <c r="H20" s="7">
        <f>'[7]May Prod'!F19</f>
        <v>6060000.0000000009</v>
      </c>
      <c r="I20" s="8">
        <f t="shared" si="8"/>
        <v>6.0600000000000005</v>
      </c>
      <c r="J20" s="10">
        <f t="shared" si="9"/>
        <v>18.604200000000002</v>
      </c>
      <c r="K20" s="7">
        <f>'[7]May Prod'!H274</f>
        <v>1092897</v>
      </c>
      <c r="L20" s="8">
        <f t="shared" si="10"/>
        <v>1.092897</v>
      </c>
      <c r="M20" s="10">
        <f t="shared" si="11"/>
        <v>3.35519379</v>
      </c>
      <c r="N20" s="21"/>
      <c r="O20" s="7">
        <f>'[7]May Prod'!H19</f>
        <v>0</v>
      </c>
      <c r="P20" s="8">
        <f t="shared" si="12"/>
        <v>0</v>
      </c>
      <c r="Q20" s="10">
        <f t="shared" si="0"/>
        <v>0</v>
      </c>
      <c r="R20" s="7">
        <f>'[7]May Prod'!C19</f>
        <v>0</v>
      </c>
      <c r="S20" s="8">
        <f t="shared" si="13"/>
        <v>0</v>
      </c>
      <c r="T20" s="10">
        <f t="shared" si="1"/>
        <v>0</v>
      </c>
      <c r="U20" s="7">
        <f>'[7]May Prod'!D19</f>
        <v>0</v>
      </c>
      <c r="V20" s="8">
        <f t="shared" si="14"/>
        <v>0</v>
      </c>
      <c r="W20" s="10">
        <f t="shared" si="2"/>
        <v>0</v>
      </c>
      <c r="X20" s="7">
        <f>'[7]May Prod'!D274</f>
        <v>0</v>
      </c>
      <c r="Y20" s="8">
        <f t="shared" si="15"/>
        <v>0</v>
      </c>
      <c r="Z20" s="10">
        <f t="shared" si="3"/>
        <v>0</v>
      </c>
      <c r="AA20" s="15"/>
      <c r="AB20" s="7">
        <f t="shared" si="16"/>
        <v>14699999.999997091</v>
      </c>
      <c r="AC20" s="8">
        <f t="shared" si="16"/>
        <v>14.699999999997091</v>
      </c>
      <c r="AD20" s="8">
        <f t="shared" si="16"/>
        <v>45.128999999991066</v>
      </c>
    </row>
    <row r="21" spans="1:30" x14ac:dyDescent="0.2">
      <c r="A21" s="28">
        <v>38489</v>
      </c>
      <c r="B21" s="7">
        <f>'[7]May Prod'!I20</f>
        <v>17200000.000000726</v>
      </c>
      <c r="C21" s="8">
        <f t="shared" si="4"/>
        <v>17.200000000000728</v>
      </c>
      <c r="D21" s="10">
        <f t="shared" si="5"/>
        <v>52.804000000002233</v>
      </c>
      <c r="E21" s="7">
        <f>'[7]May Prod'!E20</f>
        <v>11000000</v>
      </c>
      <c r="F21" s="8">
        <f t="shared" si="6"/>
        <v>11</v>
      </c>
      <c r="G21" s="10">
        <f t="shared" si="7"/>
        <v>33.769999999999996</v>
      </c>
      <c r="H21" s="7">
        <f>'[7]May Prod'!F20</f>
        <v>5920000</v>
      </c>
      <c r="I21" s="8">
        <f t="shared" si="8"/>
        <v>5.92</v>
      </c>
      <c r="J21" s="10">
        <f t="shared" si="9"/>
        <v>18.174399999999999</v>
      </c>
      <c r="K21" s="7">
        <f>'[7]May Prod'!H275</f>
        <v>1436879</v>
      </c>
      <c r="L21" s="8">
        <f t="shared" si="10"/>
        <v>1.436879</v>
      </c>
      <c r="M21" s="10">
        <f t="shared" si="11"/>
        <v>4.4112185300000002</v>
      </c>
      <c r="N21" s="21"/>
      <c r="O21" s="7">
        <f>'[7]May Prod'!H20</f>
        <v>0</v>
      </c>
      <c r="P21" s="8">
        <f t="shared" si="12"/>
        <v>0</v>
      </c>
      <c r="Q21" s="10">
        <f t="shared" si="0"/>
        <v>0</v>
      </c>
      <c r="R21" s="7">
        <f>'[7]May Prod'!C20</f>
        <v>0</v>
      </c>
      <c r="S21" s="8">
        <f t="shared" si="13"/>
        <v>0</v>
      </c>
      <c r="T21" s="10">
        <f t="shared" si="1"/>
        <v>0</v>
      </c>
      <c r="U21" s="7">
        <f>'[7]May Prod'!D20</f>
        <v>0</v>
      </c>
      <c r="V21" s="8">
        <f t="shared" si="14"/>
        <v>0</v>
      </c>
      <c r="W21" s="10">
        <f t="shared" si="2"/>
        <v>0</v>
      </c>
      <c r="X21" s="7">
        <f>'[7]May Prod'!D275</f>
        <v>0</v>
      </c>
      <c r="Y21" s="8">
        <f t="shared" si="15"/>
        <v>0</v>
      </c>
      <c r="Z21" s="10">
        <f t="shared" si="3"/>
        <v>0</v>
      </c>
      <c r="AA21" s="15"/>
      <c r="AB21" s="7">
        <f t="shared" si="16"/>
        <v>17200000.000000726</v>
      </c>
      <c r="AC21" s="8">
        <f t="shared" si="16"/>
        <v>17.200000000000728</v>
      </c>
      <c r="AD21" s="8">
        <f t="shared" si="16"/>
        <v>52.804000000002233</v>
      </c>
    </row>
    <row r="22" spans="1:30" x14ac:dyDescent="0.2">
      <c r="A22" s="28">
        <v>38490</v>
      </c>
      <c r="B22" s="7">
        <f>'[7]May Prod'!I21</f>
        <v>20500000</v>
      </c>
      <c r="C22" s="8">
        <f t="shared" si="4"/>
        <v>20.5</v>
      </c>
      <c r="D22" s="10">
        <f t="shared" si="5"/>
        <v>62.934999999999995</v>
      </c>
      <c r="E22" s="7">
        <f>'[7]May Prod'!E21</f>
        <v>16000000</v>
      </c>
      <c r="F22" s="8">
        <f t="shared" si="6"/>
        <v>16</v>
      </c>
      <c r="G22" s="10">
        <f t="shared" si="7"/>
        <v>49.12</v>
      </c>
      <c r="H22" s="7">
        <f>'[7]May Prod'!F21</f>
        <v>6000000</v>
      </c>
      <c r="I22" s="8">
        <f t="shared" si="8"/>
        <v>6</v>
      </c>
      <c r="J22" s="10">
        <f t="shared" si="9"/>
        <v>18.419999999999998</v>
      </c>
      <c r="K22" s="7">
        <f>'[7]May Prod'!H276</f>
        <v>1677251</v>
      </c>
      <c r="L22" s="8">
        <f t="shared" si="10"/>
        <v>1.677251</v>
      </c>
      <c r="M22" s="10">
        <f t="shared" si="11"/>
        <v>5.1491605700000003</v>
      </c>
      <c r="N22" s="21"/>
      <c r="O22" s="7">
        <f>'[7]May Prod'!H21</f>
        <v>0</v>
      </c>
      <c r="P22" s="8">
        <f t="shared" si="12"/>
        <v>0</v>
      </c>
      <c r="Q22" s="10">
        <f t="shared" si="0"/>
        <v>0</v>
      </c>
      <c r="R22" s="7">
        <f>'[7]May Prod'!C21</f>
        <v>0</v>
      </c>
      <c r="S22" s="8">
        <f t="shared" si="13"/>
        <v>0</v>
      </c>
      <c r="T22" s="10">
        <f t="shared" si="1"/>
        <v>0</v>
      </c>
      <c r="U22" s="7">
        <f>'[7]May Prod'!D21</f>
        <v>0</v>
      </c>
      <c r="V22" s="8">
        <f t="shared" si="14"/>
        <v>0</v>
      </c>
      <c r="W22" s="10">
        <f t="shared" si="2"/>
        <v>0</v>
      </c>
      <c r="X22" s="7">
        <f>'[7]May Prod'!D276</f>
        <v>0</v>
      </c>
      <c r="Y22" s="8">
        <f t="shared" si="15"/>
        <v>0</v>
      </c>
      <c r="Z22" s="10">
        <f t="shared" si="3"/>
        <v>0</v>
      </c>
      <c r="AA22" s="15"/>
      <c r="AB22" s="7">
        <f t="shared" si="16"/>
        <v>20500000</v>
      </c>
      <c r="AC22" s="8">
        <f t="shared" si="16"/>
        <v>20.5</v>
      </c>
      <c r="AD22" s="8">
        <f t="shared" si="16"/>
        <v>62.934999999999995</v>
      </c>
    </row>
    <row r="23" spans="1:30" x14ac:dyDescent="0.2">
      <c r="A23" s="28">
        <v>38491</v>
      </c>
      <c r="B23" s="7">
        <f>'[7]May Prod'!I22</f>
        <v>19000000</v>
      </c>
      <c r="C23" s="8">
        <f t="shared" si="4"/>
        <v>19</v>
      </c>
      <c r="D23" s="10">
        <f t="shared" si="5"/>
        <v>58.33</v>
      </c>
      <c r="E23" s="7">
        <f>'[7]May Prod'!E22</f>
        <v>13000000</v>
      </c>
      <c r="F23" s="8">
        <f t="shared" si="6"/>
        <v>13</v>
      </c>
      <c r="G23" s="10">
        <f t="shared" si="7"/>
        <v>39.909999999999997</v>
      </c>
      <c r="H23" s="7">
        <f>'[7]May Prod'!F22</f>
        <v>6030000</v>
      </c>
      <c r="I23" s="8">
        <f t="shared" si="8"/>
        <v>6.03</v>
      </c>
      <c r="J23" s="10">
        <f t="shared" si="9"/>
        <v>18.5121</v>
      </c>
      <c r="K23" s="7">
        <f>'[7]May Prod'!H277</f>
        <v>1609334</v>
      </c>
      <c r="L23" s="8">
        <f t="shared" si="10"/>
        <v>1.609334</v>
      </c>
      <c r="M23" s="10">
        <f t="shared" si="11"/>
        <v>4.9406553799999999</v>
      </c>
      <c r="N23" s="21"/>
      <c r="O23" s="7">
        <f>'[7]May Prod'!H22</f>
        <v>0</v>
      </c>
      <c r="P23" s="8">
        <f t="shared" si="12"/>
        <v>0</v>
      </c>
      <c r="Q23" s="10">
        <f t="shared" si="0"/>
        <v>0</v>
      </c>
      <c r="R23" s="7">
        <f>'[7]May Prod'!C22</f>
        <v>0</v>
      </c>
      <c r="S23" s="8">
        <f t="shared" si="13"/>
        <v>0</v>
      </c>
      <c r="T23" s="10">
        <f t="shared" si="1"/>
        <v>0</v>
      </c>
      <c r="U23" s="7">
        <f>'[7]May Prod'!D22</f>
        <v>0</v>
      </c>
      <c r="V23" s="8">
        <f t="shared" si="14"/>
        <v>0</v>
      </c>
      <c r="W23" s="10">
        <f t="shared" si="2"/>
        <v>0</v>
      </c>
      <c r="X23" s="7">
        <f>'[7]May Prod'!D277</f>
        <v>0</v>
      </c>
      <c r="Y23" s="8">
        <f t="shared" si="15"/>
        <v>0</v>
      </c>
      <c r="Z23" s="10">
        <f t="shared" si="3"/>
        <v>0</v>
      </c>
      <c r="AA23" s="15"/>
      <c r="AB23" s="7">
        <f t="shared" si="16"/>
        <v>19000000</v>
      </c>
      <c r="AC23" s="8">
        <f t="shared" si="16"/>
        <v>19</v>
      </c>
      <c r="AD23" s="8">
        <f t="shared" si="16"/>
        <v>58.33</v>
      </c>
    </row>
    <row r="24" spans="1:30" x14ac:dyDescent="0.2">
      <c r="A24" s="28">
        <v>38492</v>
      </c>
      <c r="B24" s="7">
        <f>'[7]May Prod'!I23</f>
        <v>17799999.999999274</v>
      </c>
      <c r="C24" s="8">
        <f t="shared" si="4"/>
        <v>17.799999999999272</v>
      </c>
      <c r="D24" s="10">
        <f t="shared" si="5"/>
        <v>54.645999999997763</v>
      </c>
      <c r="E24" s="7">
        <f>'[7]May Prod'!E23</f>
        <v>14000000</v>
      </c>
      <c r="F24" s="8">
        <f t="shared" si="6"/>
        <v>14</v>
      </c>
      <c r="G24" s="10">
        <f t="shared" si="7"/>
        <v>42.98</v>
      </c>
      <c r="H24" s="7">
        <f>'[7]May Prod'!F23</f>
        <v>6010000</v>
      </c>
      <c r="I24" s="8">
        <f t="shared" si="8"/>
        <v>6.01</v>
      </c>
      <c r="J24" s="10">
        <f t="shared" si="9"/>
        <v>18.450699999999998</v>
      </c>
      <c r="K24" s="7">
        <f>'[7]May Prod'!H278</f>
        <v>1493815</v>
      </c>
      <c r="L24" s="8">
        <f t="shared" si="10"/>
        <v>1.4938149999999999</v>
      </c>
      <c r="M24" s="10">
        <f t="shared" si="11"/>
        <v>4.586012049999999</v>
      </c>
      <c r="N24" s="21"/>
      <c r="O24" s="7">
        <f>'[7]May Prod'!H23</f>
        <v>0</v>
      </c>
      <c r="P24" s="8">
        <f t="shared" si="12"/>
        <v>0</v>
      </c>
      <c r="Q24" s="10">
        <f t="shared" si="0"/>
        <v>0</v>
      </c>
      <c r="R24" s="7">
        <f>'[7]May Prod'!C23</f>
        <v>0</v>
      </c>
      <c r="S24" s="8">
        <f t="shared" si="13"/>
        <v>0</v>
      </c>
      <c r="T24" s="10">
        <f t="shared" si="1"/>
        <v>0</v>
      </c>
      <c r="U24" s="7">
        <f>'[7]May Prod'!D23</f>
        <v>0</v>
      </c>
      <c r="V24" s="8">
        <f t="shared" si="14"/>
        <v>0</v>
      </c>
      <c r="W24" s="10">
        <f t="shared" si="2"/>
        <v>0</v>
      </c>
      <c r="X24" s="7">
        <f>'[7]May Prod'!D278</f>
        <v>0</v>
      </c>
      <c r="Y24" s="8">
        <f t="shared" si="15"/>
        <v>0</v>
      </c>
      <c r="Z24" s="10">
        <f t="shared" si="3"/>
        <v>0</v>
      </c>
      <c r="AA24" s="15"/>
      <c r="AB24" s="7">
        <f t="shared" si="16"/>
        <v>17799999.999999274</v>
      </c>
      <c r="AC24" s="8">
        <f t="shared" si="16"/>
        <v>17.799999999999272</v>
      </c>
      <c r="AD24" s="8">
        <f t="shared" si="16"/>
        <v>54.645999999997763</v>
      </c>
    </row>
    <row r="25" spans="1:30" x14ac:dyDescent="0.2">
      <c r="A25" s="28">
        <v>38493</v>
      </c>
      <c r="B25" s="7">
        <f>'[7]May Prod'!I24</f>
        <v>14900000.000001455</v>
      </c>
      <c r="C25" s="8">
        <f t="shared" si="4"/>
        <v>14.900000000001455</v>
      </c>
      <c r="D25" s="10">
        <f t="shared" si="5"/>
        <v>45.743000000004464</v>
      </c>
      <c r="E25" s="7">
        <f>'[7]May Prod'!E24</f>
        <v>8000000</v>
      </c>
      <c r="F25" s="8">
        <f t="shared" si="6"/>
        <v>8</v>
      </c>
      <c r="G25" s="10">
        <f t="shared" si="7"/>
        <v>24.56</v>
      </c>
      <c r="H25" s="7">
        <f>'[7]May Prod'!F24</f>
        <v>6040000</v>
      </c>
      <c r="I25" s="8">
        <f t="shared" si="8"/>
        <v>6.04</v>
      </c>
      <c r="J25" s="10">
        <f t="shared" si="9"/>
        <v>18.5428</v>
      </c>
      <c r="K25" s="7">
        <f>'[7]May Prod'!H279</f>
        <v>1122291</v>
      </c>
      <c r="L25" s="8">
        <f t="shared" si="10"/>
        <v>1.1222909999999999</v>
      </c>
      <c r="M25" s="10">
        <f t="shared" si="11"/>
        <v>3.4454333699999995</v>
      </c>
      <c r="N25" s="21"/>
      <c r="O25" s="7">
        <f>'[7]May Prod'!H24</f>
        <v>0</v>
      </c>
      <c r="P25" s="8">
        <f t="shared" si="12"/>
        <v>0</v>
      </c>
      <c r="Q25" s="10">
        <f t="shared" si="0"/>
        <v>0</v>
      </c>
      <c r="R25" s="7">
        <f>'[7]May Prod'!C24</f>
        <v>0</v>
      </c>
      <c r="S25" s="8">
        <f t="shared" si="13"/>
        <v>0</v>
      </c>
      <c r="T25" s="10">
        <f t="shared" si="1"/>
        <v>0</v>
      </c>
      <c r="U25" s="7">
        <f>'[7]May Prod'!D24</f>
        <v>0</v>
      </c>
      <c r="V25" s="8">
        <f t="shared" si="14"/>
        <v>0</v>
      </c>
      <c r="W25" s="10">
        <f t="shared" si="2"/>
        <v>0</v>
      </c>
      <c r="X25" s="7">
        <f>'[7]May Prod'!D279</f>
        <v>0</v>
      </c>
      <c r="Y25" s="8">
        <f t="shared" si="15"/>
        <v>0</v>
      </c>
      <c r="Z25" s="10">
        <f t="shared" si="3"/>
        <v>0</v>
      </c>
      <c r="AA25" s="15"/>
      <c r="AB25" s="7">
        <f t="shared" si="16"/>
        <v>14900000.000001455</v>
      </c>
      <c r="AC25" s="8">
        <f t="shared" si="16"/>
        <v>14.900000000001455</v>
      </c>
      <c r="AD25" s="8">
        <f t="shared" si="16"/>
        <v>45.743000000004464</v>
      </c>
    </row>
    <row r="26" spans="1:30" x14ac:dyDescent="0.2">
      <c r="A26" s="28">
        <v>38494</v>
      </c>
      <c r="B26" s="7">
        <f>'[7]May Prod'!I25</f>
        <v>18200000.000000726</v>
      </c>
      <c r="C26" s="8">
        <f t="shared" si="4"/>
        <v>18.200000000000728</v>
      </c>
      <c r="D26" s="10">
        <f t="shared" si="5"/>
        <v>55.874000000002233</v>
      </c>
      <c r="E26" s="7">
        <f>'[7]May Prod'!E25</f>
        <v>14000000</v>
      </c>
      <c r="F26" s="8">
        <f t="shared" si="6"/>
        <v>14</v>
      </c>
      <c r="G26" s="10">
        <f t="shared" si="7"/>
        <v>42.98</v>
      </c>
      <c r="H26" s="7">
        <f>'[7]May Prod'!F25</f>
        <v>5930000</v>
      </c>
      <c r="I26" s="8">
        <f t="shared" si="8"/>
        <v>5.93</v>
      </c>
      <c r="J26" s="10">
        <f t="shared" si="9"/>
        <v>18.205099999999998</v>
      </c>
      <c r="K26" s="7">
        <f>'[7]May Prod'!H280</f>
        <v>1475618</v>
      </c>
      <c r="L26" s="8">
        <f t="shared" si="10"/>
        <v>1.4756180000000001</v>
      </c>
      <c r="M26" s="10">
        <f t="shared" si="11"/>
        <v>4.5301472599999997</v>
      </c>
      <c r="N26" s="21"/>
      <c r="O26" s="7">
        <f>'[7]May Prod'!H25</f>
        <v>0</v>
      </c>
      <c r="P26" s="8">
        <f t="shared" si="12"/>
        <v>0</v>
      </c>
      <c r="Q26" s="10">
        <f t="shared" si="0"/>
        <v>0</v>
      </c>
      <c r="R26" s="7">
        <f>'[7]May Prod'!C25</f>
        <v>0</v>
      </c>
      <c r="S26" s="8">
        <f t="shared" si="13"/>
        <v>0</v>
      </c>
      <c r="T26" s="10">
        <f t="shared" si="1"/>
        <v>0</v>
      </c>
      <c r="U26" s="7">
        <f>'[7]May Prod'!D25</f>
        <v>0</v>
      </c>
      <c r="V26" s="8">
        <f t="shared" si="14"/>
        <v>0</v>
      </c>
      <c r="W26" s="10">
        <f t="shared" si="2"/>
        <v>0</v>
      </c>
      <c r="X26" s="7">
        <f>'[7]May Prod'!D280</f>
        <v>0</v>
      </c>
      <c r="Y26" s="8">
        <f t="shared" si="15"/>
        <v>0</v>
      </c>
      <c r="Z26" s="10">
        <f t="shared" si="3"/>
        <v>0</v>
      </c>
      <c r="AA26" s="15"/>
      <c r="AB26" s="7">
        <f t="shared" si="16"/>
        <v>18200000.000000726</v>
      </c>
      <c r="AC26" s="8">
        <f t="shared" si="16"/>
        <v>18.200000000000728</v>
      </c>
      <c r="AD26" s="8">
        <f t="shared" si="16"/>
        <v>55.874000000002233</v>
      </c>
    </row>
    <row r="27" spans="1:30" x14ac:dyDescent="0.2">
      <c r="A27" s="28">
        <v>38495</v>
      </c>
      <c r="B27" s="7">
        <f>'[7]May Prod'!I26</f>
        <v>21000000</v>
      </c>
      <c r="C27" s="8">
        <f t="shared" si="4"/>
        <v>21</v>
      </c>
      <c r="D27" s="10">
        <f t="shared" si="5"/>
        <v>64.47</v>
      </c>
      <c r="E27" s="7">
        <f>'[7]May Prod'!E26</f>
        <v>16000000</v>
      </c>
      <c r="F27" s="8">
        <f t="shared" si="6"/>
        <v>16</v>
      </c>
      <c r="G27" s="10">
        <f t="shared" si="7"/>
        <v>49.12</v>
      </c>
      <c r="H27" s="7">
        <f>'[7]May Prod'!F26</f>
        <v>6040000</v>
      </c>
      <c r="I27" s="8">
        <f t="shared" si="8"/>
        <v>6.04</v>
      </c>
      <c r="J27" s="10">
        <f t="shared" si="9"/>
        <v>18.5428</v>
      </c>
      <c r="K27" s="7">
        <f>'[7]May Prod'!H281</f>
        <v>1619996</v>
      </c>
      <c r="L27" s="8">
        <f t="shared" si="10"/>
        <v>1.619996</v>
      </c>
      <c r="M27" s="10">
        <f t="shared" si="11"/>
        <v>4.9733877199999998</v>
      </c>
      <c r="N27" s="21"/>
      <c r="O27" s="7">
        <f>'[7]May Prod'!H26</f>
        <v>0</v>
      </c>
      <c r="P27" s="8">
        <f t="shared" si="12"/>
        <v>0</v>
      </c>
      <c r="Q27" s="10">
        <f t="shared" si="0"/>
        <v>0</v>
      </c>
      <c r="R27" s="7">
        <f>'[7]May Prod'!C26</f>
        <v>0</v>
      </c>
      <c r="S27" s="8">
        <f t="shared" si="13"/>
        <v>0</v>
      </c>
      <c r="T27" s="10">
        <f t="shared" si="1"/>
        <v>0</v>
      </c>
      <c r="U27" s="7">
        <f>'[7]May Prod'!D26</f>
        <v>0</v>
      </c>
      <c r="V27" s="8">
        <f t="shared" si="14"/>
        <v>0</v>
      </c>
      <c r="W27" s="10">
        <f t="shared" si="2"/>
        <v>0</v>
      </c>
      <c r="X27" s="7">
        <f>'[7]May Prod'!D281</f>
        <v>0</v>
      </c>
      <c r="Y27" s="8">
        <f t="shared" si="15"/>
        <v>0</v>
      </c>
      <c r="Z27" s="10">
        <f t="shared" si="3"/>
        <v>0</v>
      </c>
      <c r="AA27" s="15"/>
      <c r="AB27" s="7">
        <f t="shared" si="16"/>
        <v>21000000</v>
      </c>
      <c r="AC27" s="8">
        <f t="shared" si="16"/>
        <v>21</v>
      </c>
      <c r="AD27" s="8">
        <f t="shared" si="16"/>
        <v>64.47</v>
      </c>
    </row>
    <row r="28" spans="1:30" x14ac:dyDescent="0.2">
      <c r="A28" s="28">
        <v>38496</v>
      </c>
      <c r="B28" s="7">
        <f>'[7]May Prod'!I27</f>
        <v>21500000</v>
      </c>
      <c r="C28" s="8">
        <f t="shared" si="4"/>
        <v>21.5</v>
      </c>
      <c r="D28" s="10">
        <f t="shared" si="5"/>
        <v>66.004999999999995</v>
      </c>
      <c r="E28" s="7">
        <f>'[7]May Prod'!E27</f>
        <v>16000000</v>
      </c>
      <c r="F28" s="8">
        <f t="shared" si="6"/>
        <v>16</v>
      </c>
      <c r="G28" s="10">
        <f t="shared" si="7"/>
        <v>49.12</v>
      </c>
      <c r="H28" s="7">
        <f>'[7]May Prod'!F27</f>
        <v>6050000</v>
      </c>
      <c r="I28" s="8">
        <f t="shared" si="8"/>
        <v>6.05</v>
      </c>
      <c r="J28" s="10">
        <f t="shared" si="9"/>
        <v>18.573499999999999</v>
      </c>
      <c r="K28" s="7">
        <f>'[7]May Prod'!H282</f>
        <v>1613491</v>
      </c>
      <c r="L28" s="8">
        <f t="shared" si="10"/>
        <v>1.613491</v>
      </c>
      <c r="M28" s="10">
        <f t="shared" si="11"/>
        <v>4.9534173699999995</v>
      </c>
      <c r="N28" s="21"/>
      <c r="O28" s="7">
        <f>'[7]May Prod'!H27</f>
        <v>0</v>
      </c>
      <c r="P28" s="8">
        <f t="shared" si="12"/>
        <v>0</v>
      </c>
      <c r="Q28" s="10">
        <f t="shared" si="0"/>
        <v>0</v>
      </c>
      <c r="R28" s="7">
        <f>'[7]May Prod'!C27</f>
        <v>0</v>
      </c>
      <c r="S28" s="8">
        <f t="shared" si="13"/>
        <v>0</v>
      </c>
      <c r="T28" s="10">
        <f t="shared" si="1"/>
        <v>0</v>
      </c>
      <c r="U28" s="7">
        <f>'[7]May Prod'!D27</f>
        <v>0</v>
      </c>
      <c r="V28" s="8">
        <f t="shared" si="14"/>
        <v>0</v>
      </c>
      <c r="W28" s="10">
        <f t="shared" si="2"/>
        <v>0</v>
      </c>
      <c r="X28" s="7">
        <f>'[7]May Prod'!D282</f>
        <v>0</v>
      </c>
      <c r="Y28" s="8">
        <f t="shared" si="15"/>
        <v>0</v>
      </c>
      <c r="Z28" s="10">
        <f t="shared" si="3"/>
        <v>0</v>
      </c>
      <c r="AA28" s="15"/>
      <c r="AB28" s="7">
        <f t="shared" si="16"/>
        <v>21500000</v>
      </c>
      <c r="AC28" s="8">
        <f t="shared" si="16"/>
        <v>21.5</v>
      </c>
      <c r="AD28" s="8">
        <f t="shared" si="16"/>
        <v>66.004999999999995</v>
      </c>
    </row>
    <row r="29" spans="1:30" x14ac:dyDescent="0.2">
      <c r="A29" s="28">
        <v>38497</v>
      </c>
      <c r="B29" s="7">
        <f>'[7]May Prod'!I28</f>
        <v>21799999.999999274</v>
      </c>
      <c r="C29" s="8">
        <f t="shared" si="4"/>
        <v>21.799999999999272</v>
      </c>
      <c r="D29" s="10">
        <f t="shared" si="5"/>
        <v>66.925999999997757</v>
      </c>
      <c r="E29" s="7">
        <f>'[7]May Prod'!E28</f>
        <v>17000000</v>
      </c>
      <c r="F29" s="8">
        <f t="shared" si="6"/>
        <v>17</v>
      </c>
      <c r="G29" s="10">
        <f t="shared" si="7"/>
        <v>52.19</v>
      </c>
      <c r="H29" s="7">
        <f>'[7]May Prod'!F28</f>
        <v>5950000</v>
      </c>
      <c r="I29" s="8">
        <f t="shared" si="8"/>
        <v>5.95</v>
      </c>
      <c r="J29" s="10">
        <f t="shared" si="9"/>
        <v>18.266500000000001</v>
      </c>
      <c r="K29" s="7">
        <f>'[7]May Prod'!H283</f>
        <v>1662617</v>
      </c>
      <c r="L29" s="8">
        <f t="shared" si="10"/>
        <v>1.662617</v>
      </c>
      <c r="M29" s="10">
        <f t="shared" si="11"/>
        <v>5.1042341899999997</v>
      </c>
      <c r="N29" s="21"/>
      <c r="O29" s="7">
        <f>'[7]May Prod'!H28</f>
        <v>0</v>
      </c>
      <c r="P29" s="8">
        <f t="shared" si="12"/>
        <v>0</v>
      </c>
      <c r="Q29" s="10">
        <f t="shared" si="0"/>
        <v>0</v>
      </c>
      <c r="R29" s="7">
        <f>'[7]May Prod'!C28</f>
        <v>0</v>
      </c>
      <c r="S29" s="8">
        <f t="shared" si="13"/>
        <v>0</v>
      </c>
      <c r="T29" s="10">
        <f t="shared" si="1"/>
        <v>0</v>
      </c>
      <c r="U29" s="7">
        <f>'[7]May Prod'!D28</f>
        <v>0</v>
      </c>
      <c r="V29" s="8">
        <f t="shared" si="14"/>
        <v>0</v>
      </c>
      <c r="W29" s="10">
        <f t="shared" si="2"/>
        <v>0</v>
      </c>
      <c r="X29" s="7">
        <f>'[7]May Prod'!D283</f>
        <v>0</v>
      </c>
      <c r="Y29" s="8">
        <f t="shared" si="15"/>
        <v>0</v>
      </c>
      <c r="Z29" s="10">
        <f t="shared" si="3"/>
        <v>0</v>
      </c>
      <c r="AA29" s="15"/>
      <c r="AB29" s="7">
        <f t="shared" si="16"/>
        <v>21799999.999999274</v>
      </c>
      <c r="AC29" s="8">
        <f t="shared" si="16"/>
        <v>21.799999999999272</v>
      </c>
      <c r="AD29" s="8">
        <f t="shared" si="16"/>
        <v>66.925999999997757</v>
      </c>
    </row>
    <row r="30" spans="1:30" x14ac:dyDescent="0.2">
      <c r="A30" s="28">
        <v>38498</v>
      </c>
      <c r="B30" s="7">
        <f>'[7]May Prod'!I29</f>
        <v>24900000.000001457</v>
      </c>
      <c r="C30" s="8">
        <f t="shared" si="4"/>
        <v>24.900000000001455</v>
      </c>
      <c r="D30" s="10">
        <f t="shared" si="5"/>
        <v>76.44300000000446</v>
      </c>
      <c r="E30" s="7">
        <f>'[7]May Prod'!E29</f>
        <v>21000000</v>
      </c>
      <c r="F30" s="8">
        <f t="shared" si="6"/>
        <v>21</v>
      </c>
      <c r="G30" s="10">
        <f t="shared" si="7"/>
        <v>64.47</v>
      </c>
      <c r="H30" s="7">
        <f>'[7]May Prod'!F29</f>
        <v>6080000</v>
      </c>
      <c r="I30" s="8">
        <f t="shared" si="8"/>
        <v>6.08</v>
      </c>
      <c r="J30" s="10">
        <f t="shared" si="9"/>
        <v>18.665599999999998</v>
      </c>
      <c r="K30" s="7">
        <f>'[7]May Prod'!H284</f>
        <v>1935032</v>
      </c>
      <c r="L30" s="8">
        <f t="shared" si="10"/>
        <v>1.9350320000000001</v>
      </c>
      <c r="M30" s="10">
        <f t="shared" si="11"/>
        <v>5.94054824</v>
      </c>
      <c r="N30" s="21"/>
      <c r="O30" s="7">
        <f>'[7]May Prod'!H29</f>
        <v>0</v>
      </c>
      <c r="P30" s="8">
        <f t="shared" si="12"/>
        <v>0</v>
      </c>
      <c r="Q30" s="10">
        <f t="shared" si="0"/>
        <v>0</v>
      </c>
      <c r="R30" s="7">
        <f>'[7]May Prod'!C29</f>
        <v>0</v>
      </c>
      <c r="S30" s="8">
        <f t="shared" si="13"/>
        <v>0</v>
      </c>
      <c r="T30" s="10">
        <f t="shared" si="1"/>
        <v>0</v>
      </c>
      <c r="U30" s="7">
        <f>'[7]May Prod'!D29</f>
        <v>0</v>
      </c>
      <c r="V30" s="8">
        <f t="shared" si="14"/>
        <v>0</v>
      </c>
      <c r="W30" s="10">
        <f t="shared" si="2"/>
        <v>0</v>
      </c>
      <c r="X30" s="7">
        <f>'[7]May Prod'!D284</f>
        <v>0</v>
      </c>
      <c r="Y30" s="8">
        <f t="shared" si="15"/>
        <v>0</v>
      </c>
      <c r="Z30" s="10">
        <f t="shared" si="3"/>
        <v>0</v>
      </c>
      <c r="AA30" s="15"/>
      <c r="AB30" s="7">
        <f t="shared" si="16"/>
        <v>24900000.000001457</v>
      </c>
      <c r="AC30" s="8">
        <f t="shared" si="16"/>
        <v>24.900000000001455</v>
      </c>
      <c r="AD30" s="8">
        <f t="shared" si="16"/>
        <v>76.44300000000446</v>
      </c>
    </row>
    <row r="31" spans="1:30" x14ac:dyDescent="0.2">
      <c r="A31" s="28">
        <v>38499</v>
      </c>
      <c r="B31" s="7">
        <f>'[7]May Prod'!I30</f>
        <v>23899999.999997817</v>
      </c>
      <c r="C31" s="8">
        <f t="shared" si="4"/>
        <v>23.899999999997817</v>
      </c>
      <c r="D31" s="10">
        <f t="shared" si="5"/>
        <v>73.372999999993297</v>
      </c>
      <c r="E31" s="7">
        <f>'[7]May Prod'!E30</f>
        <v>20000000</v>
      </c>
      <c r="F31" s="8">
        <f t="shared" si="6"/>
        <v>20</v>
      </c>
      <c r="G31" s="10">
        <f t="shared" si="7"/>
        <v>61.4</v>
      </c>
      <c r="H31" s="7">
        <f>'[7]May Prod'!F30</f>
        <v>5920000</v>
      </c>
      <c r="I31" s="8">
        <f t="shared" si="8"/>
        <v>5.92</v>
      </c>
      <c r="J31" s="10">
        <f t="shared" si="9"/>
        <v>18.174399999999999</v>
      </c>
      <c r="K31" s="7">
        <f>'[7]May Prod'!H285</f>
        <v>1889293</v>
      </c>
      <c r="L31" s="8">
        <f t="shared" si="10"/>
        <v>1.8892929999999999</v>
      </c>
      <c r="M31" s="10">
        <f t="shared" si="11"/>
        <v>5.8001295099999997</v>
      </c>
      <c r="N31" s="21"/>
      <c r="O31" s="7">
        <f>'[7]May Prod'!H30</f>
        <v>0</v>
      </c>
      <c r="P31" s="8">
        <f t="shared" si="12"/>
        <v>0</v>
      </c>
      <c r="Q31" s="10">
        <f t="shared" si="0"/>
        <v>0</v>
      </c>
      <c r="R31" s="7">
        <f>'[7]May Prod'!C30</f>
        <v>0</v>
      </c>
      <c r="S31" s="8">
        <f t="shared" si="13"/>
        <v>0</v>
      </c>
      <c r="T31" s="10">
        <f t="shared" si="1"/>
        <v>0</v>
      </c>
      <c r="U31" s="7">
        <f>'[7]May Prod'!D30</f>
        <v>0</v>
      </c>
      <c r="V31" s="8">
        <f t="shared" si="14"/>
        <v>0</v>
      </c>
      <c r="W31" s="10">
        <f t="shared" si="2"/>
        <v>0</v>
      </c>
      <c r="X31" s="7">
        <f>'[7]May Prod'!D285</f>
        <v>0</v>
      </c>
      <c r="Y31" s="8">
        <f t="shared" si="15"/>
        <v>0</v>
      </c>
      <c r="Z31" s="10">
        <f t="shared" si="3"/>
        <v>0</v>
      </c>
      <c r="AA31" s="15"/>
      <c r="AB31" s="7">
        <f t="shared" si="16"/>
        <v>23899999.999997817</v>
      </c>
      <c r="AC31" s="8">
        <f t="shared" si="16"/>
        <v>23.899999999997817</v>
      </c>
      <c r="AD31" s="8">
        <f t="shared" si="16"/>
        <v>73.372999999993297</v>
      </c>
    </row>
    <row r="32" spans="1:30" x14ac:dyDescent="0.2">
      <c r="A32" s="28">
        <v>38500</v>
      </c>
      <c r="B32" s="7">
        <f>'[7]May Prod'!I31</f>
        <v>25500000</v>
      </c>
      <c r="C32" s="8">
        <f t="shared" si="4"/>
        <v>25.5</v>
      </c>
      <c r="D32" s="10">
        <f t="shared" si="5"/>
        <v>78.284999999999997</v>
      </c>
      <c r="E32" s="7">
        <f>'[7]May Prod'!E31</f>
        <v>21000000</v>
      </c>
      <c r="F32" s="8">
        <f t="shared" si="6"/>
        <v>21</v>
      </c>
      <c r="G32" s="10">
        <f t="shared" si="7"/>
        <v>64.47</v>
      </c>
      <c r="H32" s="7">
        <f>'[7]May Prod'!F31</f>
        <v>6020000</v>
      </c>
      <c r="I32" s="8">
        <f t="shared" si="8"/>
        <v>6.02</v>
      </c>
      <c r="J32" s="10">
        <f t="shared" si="9"/>
        <v>18.481399999999997</v>
      </c>
      <c r="K32" s="7">
        <f>'[7]May Prod'!H286</f>
        <v>2053500</v>
      </c>
      <c r="L32" s="8">
        <f t="shared" si="10"/>
        <v>2.0535000000000001</v>
      </c>
      <c r="M32" s="10">
        <f t="shared" si="11"/>
        <v>6.3042449999999999</v>
      </c>
      <c r="N32" s="21"/>
      <c r="O32" s="7">
        <f>'[7]May Prod'!H31</f>
        <v>0</v>
      </c>
      <c r="P32" s="8">
        <f t="shared" si="12"/>
        <v>0</v>
      </c>
      <c r="Q32" s="10">
        <f t="shared" si="0"/>
        <v>0</v>
      </c>
      <c r="R32" s="7">
        <f>'[7]May Prod'!C31</f>
        <v>0</v>
      </c>
      <c r="S32" s="8">
        <f t="shared" si="13"/>
        <v>0</v>
      </c>
      <c r="T32" s="10">
        <f t="shared" si="1"/>
        <v>0</v>
      </c>
      <c r="U32" s="7">
        <f>'[7]May Prod'!D31</f>
        <v>0</v>
      </c>
      <c r="V32" s="8">
        <f t="shared" si="14"/>
        <v>0</v>
      </c>
      <c r="W32" s="10">
        <f t="shared" si="2"/>
        <v>0</v>
      </c>
      <c r="X32" s="7">
        <f>'[7]May Prod'!D286</f>
        <v>0</v>
      </c>
      <c r="Y32" s="8">
        <f t="shared" si="15"/>
        <v>0</v>
      </c>
      <c r="Z32" s="10">
        <f t="shared" si="3"/>
        <v>0</v>
      </c>
      <c r="AA32" s="15"/>
      <c r="AB32" s="7">
        <f t="shared" si="16"/>
        <v>25500000</v>
      </c>
      <c r="AC32" s="8">
        <f t="shared" si="16"/>
        <v>25.5</v>
      </c>
      <c r="AD32" s="8">
        <f t="shared" si="16"/>
        <v>78.284999999999997</v>
      </c>
    </row>
    <row r="33" spans="1:30" x14ac:dyDescent="0.2">
      <c r="A33" s="28">
        <v>38501</v>
      </c>
      <c r="B33" s="7">
        <f>'[7]May Prod'!I32</f>
        <v>26400000.000001457</v>
      </c>
      <c r="C33" s="8">
        <f t="shared" si="4"/>
        <v>26.400000000001455</v>
      </c>
      <c r="D33" s="10">
        <f t="shared" si="5"/>
        <v>81.048000000004464</v>
      </c>
      <c r="E33" s="7">
        <f>'[7]May Prod'!E32</f>
        <v>22000000</v>
      </c>
      <c r="F33" s="8">
        <f t="shared" si="6"/>
        <v>22</v>
      </c>
      <c r="G33" s="10">
        <f t="shared" si="7"/>
        <v>67.539999999999992</v>
      </c>
      <c r="H33" s="7">
        <f>'[7]May Prod'!F32</f>
        <v>6010000</v>
      </c>
      <c r="I33" s="8">
        <f t="shared" si="8"/>
        <v>6.01</v>
      </c>
      <c r="J33" s="10">
        <f t="shared" si="9"/>
        <v>18.450699999999998</v>
      </c>
      <c r="K33" s="7">
        <f>'[7]May Prod'!H287</f>
        <v>2105498</v>
      </c>
      <c r="L33" s="8">
        <f t="shared" si="10"/>
        <v>2.1054979999999999</v>
      </c>
      <c r="M33" s="10">
        <f t="shared" si="11"/>
        <v>6.4638788599999994</v>
      </c>
      <c r="N33" s="21"/>
      <c r="O33" s="7">
        <f>'[7]May Prod'!H32</f>
        <v>0</v>
      </c>
      <c r="P33" s="8">
        <f t="shared" si="12"/>
        <v>0</v>
      </c>
      <c r="Q33" s="10">
        <f t="shared" si="0"/>
        <v>0</v>
      </c>
      <c r="R33" s="7">
        <f>'[7]May Prod'!C32</f>
        <v>0</v>
      </c>
      <c r="S33" s="8">
        <f t="shared" si="13"/>
        <v>0</v>
      </c>
      <c r="T33" s="10">
        <f t="shared" si="1"/>
        <v>0</v>
      </c>
      <c r="U33" s="7">
        <f>'[7]May Prod'!D32</f>
        <v>0</v>
      </c>
      <c r="V33" s="8">
        <f t="shared" si="14"/>
        <v>0</v>
      </c>
      <c r="W33" s="10">
        <f t="shared" si="2"/>
        <v>0</v>
      </c>
      <c r="X33" s="7">
        <f>'[7]May Prod'!D287</f>
        <v>0</v>
      </c>
      <c r="Y33" s="8">
        <f t="shared" si="15"/>
        <v>0</v>
      </c>
      <c r="Z33" s="10">
        <f t="shared" si="3"/>
        <v>0</v>
      </c>
      <c r="AA33" s="15"/>
      <c r="AB33" s="7">
        <f t="shared" si="16"/>
        <v>26400000.000001457</v>
      </c>
      <c r="AC33" s="8">
        <f t="shared" si="16"/>
        <v>26.400000000001455</v>
      </c>
      <c r="AD33" s="8">
        <f t="shared" si="16"/>
        <v>81.048000000004464</v>
      </c>
    </row>
    <row r="34" spans="1:30" x14ac:dyDescent="0.2">
      <c r="A34" s="28">
        <v>38502</v>
      </c>
      <c r="B34" s="7">
        <f>'[7]May Prod'!I33</f>
        <v>18899999.999997817</v>
      </c>
      <c r="C34" s="8">
        <f t="shared" si="4"/>
        <v>18.899999999997817</v>
      </c>
      <c r="D34" s="10">
        <f t="shared" si="5"/>
        <v>58.022999999993296</v>
      </c>
      <c r="E34" s="7">
        <f>'[7]May Prod'!E33</f>
        <v>14000000</v>
      </c>
      <c r="F34" s="8">
        <f t="shared" si="6"/>
        <v>14</v>
      </c>
      <c r="G34" s="10">
        <f t="shared" si="7"/>
        <v>42.98</v>
      </c>
      <c r="H34" s="7">
        <f>'[7]May Prod'!F33</f>
        <v>6000000</v>
      </c>
      <c r="I34" s="8">
        <f t="shared" si="8"/>
        <v>6</v>
      </c>
      <c r="J34" s="10">
        <f t="shared" si="9"/>
        <v>18.419999999999998</v>
      </c>
      <c r="K34" s="7">
        <f>'[7]May Prod'!H288</f>
        <v>1571609</v>
      </c>
      <c r="L34" s="8">
        <f t="shared" si="10"/>
        <v>1.571609</v>
      </c>
      <c r="M34" s="10">
        <f t="shared" si="11"/>
        <v>4.8248396299999996</v>
      </c>
      <c r="N34" s="21"/>
      <c r="O34" s="7">
        <f>'[7]May Prod'!H33</f>
        <v>0</v>
      </c>
      <c r="P34" s="8">
        <f t="shared" si="12"/>
        <v>0</v>
      </c>
      <c r="Q34" s="10">
        <f t="shared" si="0"/>
        <v>0</v>
      </c>
      <c r="R34" s="7">
        <f>'[7]May Prod'!C33</f>
        <v>0</v>
      </c>
      <c r="S34" s="8">
        <f t="shared" si="13"/>
        <v>0</v>
      </c>
      <c r="T34" s="10">
        <f t="shared" si="1"/>
        <v>0</v>
      </c>
      <c r="U34" s="7">
        <f>'[7]May Prod'!D33</f>
        <v>0</v>
      </c>
      <c r="V34" s="8">
        <f t="shared" si="14"/>
        <v>0</v>
      </c>
      <c r="W34" s="10">
        <f t="shared" si="2"/>
        <v>0</v>
      </c>
      <c r="X34" s="7">
        <f>'[7]May Prod'!D288</f>
        <v>0</v>
      </c>
      <c r="Y34" s="8">
        <f t="shared" si="15"/>
        <v>0</v>
      </c>
      <c r="Z34" s="10">
        <f t="shared" si="3"/>
        <v>0</v>
      </c>
      <c r="AA34" s="15"/>
      <c r="AB34" s="7">
        <f t="shared" si="16"/>
        <v>18899999.999997817</v>
      </c>
      <c r="AC34" s="8">
        <f t="shared" si="16"/>
        <v>18.899999999997817</v>
      </c>
      <c r="AD34" s="8">
        <f t="shared" si="16"/>
        <v>58.022999999993296</v>
      </c>
    </row>
    <row r="35" spans="1:30" ht="13.5" thickBot="1" x14ac:dyDescent="0.25">
      <c r="A35" s="28">
        <v>38503</v>
      </c>
      <c r="B35" s="30">
        <f>'[7]May Prod'!I34</f>
        <v>20300000.000002909</v>
      </c>
      <c r="C35" s="9">
        <f t="shared" si="4"/>
        <v>20.30000000000291</v>
      </c>
      <c r="D35" s="11">
        <f t="shared" si="5"/>
        <v>62.321000000008929</v>
      </c>
      <c r="E35" s="30">
        <f>'[7]May Prod'!E34</f>
        <v>15000000</v>
      </c>
      <c r="F35" s="9">
        <f t="shared" si="6"/>
        <v>15</v>
      </c>
      <c r="G35" s="11">
        <f t="shared" si="7"/>
        <v>46.05</v>
      </c>
      <c r="H35" s="30">
        <f>'[7]May Prod'!F34</f>
        <v>6000000</v>
      </c>
      <c r="I35" s="8">
        <f t="shared" si="8"/>
        <v>6</v>
      </c>
      <c r="J35" s="11">
        <f t="shared" si="9"/>
        <v>18.419999999999998</v>
      </c>
      <c r="K35" s="7">
        <f>'[7]May Prod'!H289</f>
        <v>0</v>
      </c>
      <c r="L35" s="9">
        <f t="shared" si="10"/>
        <v>0</v>
      </c>
      <c r="M35" s="11">
        <f t="shared" si="11"/>
        <v>0</v>
      </c>
      <c r="N35" s="21"/>
      <c r="O35" s="30">
        <f>'[7]May Prod'!H34</f>
        <v>0</v>
      </c>
      <c r="P35" s="9">
        <f t="shared" si="12"/>
        <v>0</v>
      </c>
      <c r="Q35" s="11">
        <f t="shared" si="0"/>
        <v>0</v>
      </c>
      <c r="R35" s="30">
        <f>'[7]May Prod'!C34</f>
        <v>0</v>
      </c>
      <c r="S35" s="9">
        <f t="shared" si="13"/>
        <v>0</v>
      </c>
      <c r="T35" s="11">
        <f t="shared" si="1"/>
        <v>0</v>
      </c>
      <c r="U35" s="7">
        <f>'[7]May Prod'!D34</f>
        <v>0</v>
      </c>
      <c r="V35" s="9">
        <f t="shared" si="14"/>
        <v>0</v>
      </c>
      <c r="W35" s="11">
        <f t="shared" si="2"/>
        <v>0</v>
      </c>
      <c r="X35" s="7">
        <f>'[7]May Prod'!D289</f>
        <v>0</v>
      </c>
      <c r="Y35" s="8">
        <f t="shared" si="15"/>
        <v>0</v>
      </c>
      <c r="Z35" s="10">
        <f t="shared" si="3"/>
        <v>0</v>
      </c>
      <c r="AA35" s="15"/>
      <c r="AB35" s="7">
        <f t="shared" si="16"/>
        <v>20300000.000002909</v>
      </c>
      <c r="AC35" s="8">
        <f t="shared" si="16"/>
        <v>20.30000000000291</v>
      </c>
      <c r="AD35" s="8">
        <f t="shared" si="16"/>
        <v>62.321000000008929</v>
      </c>
    </row>
    <row r="36" spans="1:30" s="18" customFormat="1" ht="13.5" thickBot="1" x14ac:dyDescent="0.25">
      <c r="A36" s="15"/>
      <c r="B36" s="39"/>
      <c r="C36" s="40">
        <f>SUM(C5:C35)</f>
        <v>523.30000000000291</v>
      </c>
      <c r="D36" s="40">
        <f t="shared" si="5"/>
        <v>1606.5310000000088</v>
      </c>
      <c r="E36" s="39"/>
      <c r="F36" s="40">
        <f>SUM(F5:F35)</f>
        <v>361</v>
      </c>
      <c r="G36" s="40">
        <f t="shared" si="7"/>
        <v>1108.27</v>
      </c>
      <c r="H36" s="39"/>
      <c r="I36" s="40">
        <f>SUM(I5:I35)</f>
        <v>185.53</v>
      </c>
      <c r="J36" s="40">
        <f t="shared" si="9"/>
        <v>569.57709999999997</v>
      </c>
      <c r="K36" s="39"/>
      <c r="L36" s="40">
        <f>SUM(L5:L35)</f>
        <v>39.877643000000006</v>
      </c>
      <c r="M36" s="40">
        <f>L36*3.07</f>
        <v>122.42436401000002</v>
      </c>
      <c r="N36" s="14"/>
      <c r="O36" s="39"/>
      <c r="P36" s="40">
        <f>SUM(P5:P35)</f>
        <v>0</v>
      </c>
      <c r="Q36" s="40">
        <f t="shared" si="0"/>
        <v>0</v>
      </c>
      <c r="R36" s="39"/>
      <c r="S36" s="40">
        <f>SUM(S5:S35)</f>
        <v>0</v>
      </c>
      <c r="T36" s="40">
        <f t="shared" si="1"/>
        <v>0</v>
      </c>
      <c r="U36" s="39"/>
      <c r="V36" s="40">
        <f>SUM(V5:V35)</f>
        <v>0</v>
      </c>
      <c r="W36" s="40">
        <f>V36*3.07</f>
        <v>0</v>
      </c>
      <c r="X36" s="39"/>
      <c r="Y36" s="40">
        <f>SUM(Y5:Y35)</f>
        <v>0</v>
      </c>
      <c r="Z36" s="40">
        <f>Y36*3.07</f>
        <v>0</v>
      </c>
      <c r="AA36" s="14"/>
      <c r="AB36" s="39"/>
      <c r="AC36" s="40">
        <f>SUM(AC5:AC35)</f>
        <v>523.30000000000291</v>
      </c>
      <c r="AD36" s="40">
        <f>AC36*3.07</f>
        <v>1606.5310000000088</v>
      </c>
    </row>
    <row r="37" spans="1:30" x14ac:dyDescent="0.2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W37" s="31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paperSize="5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AF43"/>
  <sheetViews>
    <sheetView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S30" sqref="S30"/>
    </sheetView>
  </sheetViews>
  <sheetFormatPr defaultRowHeight="12.75" x14ac:dyDescent="0.2"/>
  <cols>
    <col min="2" max="2" width="11.140625" customWidth="1"/>
    <col min="5" max="5" width="15.28515625" customWidth="1"/>
    <col min="7" max="7" width="11.42578125" customWidth="1"/>
    <col min="8" max="8" width="13.7109375" customWidth="1"/>
    <col min="11" max="11" width="10.7109375" bestFit="1" customWidth="1"/>
    <col min="12" max="12" width="11" customWidth="1"/>
    <col min="15" max="15" width="13.42578125" bestFit="1" customWidth="1"/>
    <col min="18" max="18" width="10.140625" customWidth="1"/>
    <col min="19" max="21" width="9.140625" customWidth="1"/>
    <col min="22" max="22" width="11.140625" customWidth="1"/>
    <col min="23" max="23" width="9.140625" customWidth="1"/>
    <col min="28" max="28" width="12.140625" customWidth="1"/>
  </cols>
  <sheetData>
    <row r="1" spans="1:32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8</v>
      </c>
      <c r="AC3" s="66"/>
      <c r="AD3" s="67"/>
      <c r="AF3" s="35" t="s">
        <v>9</v>
      </c>
    </row>
    <row r="4" spans="1:32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5" t="s">
        <v>2</v>
      </c>
    </row>
    <row r="5" spans="1:32" x14ac:dyDescent="0.2">
      <c r="A5" s="28">
        <v>38504</v>
      </c>
      <c r="B5" s="7">
        <f>'[8]June Prod'!I4</f>
        <v>24399999.999997817</v>
      </c>
      <c r="C5" s="8">
        <f>B5/1000000</f>
        <v>24.399999999997817</v>
      </c>
      <c r="D5" s="10">
        <f>C5*3.07</f>
        <v>74.907999999993294</v>
      </c>
      <c r="E5" s="7">
        <f>'[8]June Prod'!E4</f>
        <v>21000000</v>
      </c>
      <c r="F5" s="8">
        <f>E5/1000000</f>
        <v>21</v>
      </c>
      <c r="G5" s="10">
        <f>F5*3.07</f>
        <v>64.47</v>
      </c>
      <c r="H5" s="7">
        <f>'[8]June Prod'!F4</f>
        <v>5820000</v>
      </c>
      <c r="I5" s="8">
        <f>H5/1000000</f>
        <v>5.82</v>
      </c>
      <c r="J5" s="10">
        <f>I5*3.07</f>
        <v>17.8674</v>
      </c>
      <c r="K5" s="7">
        <f>'[8]June Prod'!H259</f>
        <v>2189369</v>
      </c>
      <c r="L5" s="8">
        <f>K5/1000000</f>
        <v>2.1893690000000001</v>
      </c>
      <c r="M5" s="10">
        <f>L5*3.07</f>
        <v>6.7213628300000003</v>
      </c>
      <c r="N5" s="21"/>
      <c r="O5" s="7">
        <f>'[8]June Prod'!H4</f>
        <v>0</v>
      </c>
      <c r="P5" s="8">
        <f>O5/1000000</f>
        <v>0</v>
      </c>
      <c r="Q5" s="10">
        <f>P5*3.07</f>
        <v>0</v>
      </c>
      <c r="R5" s="7">
        <f>'[8]June Prod'!C4</f>
        <v>0</v>
      </c>
      <c r="S5" s="8">
        <f>R5/1000000</f>
        <v>0</v>
      </c>
      <c r="T5" s="10">
        <f>S5*3.07</f>
        <v>0</v>
      </c>
      <c r="U5" s="7">
        <f>'[8]June Prod'!D4</f>
        <v>0</v>
      </c>
      <c r="V5" s="8">
        <f>U5/1000000</f>
        <v>0</v>
      </c>
      <c r="W5" s="10">
        <f>V5*3.07</f>
        <v>0</v>
      </c>
      <c r="X5" s="7">
        <f>'[8]June Prod'!D259</f>
        <v>0</v>
      </c>
      <c r="Y5" s="8">
        <f>X5/1000000</f>
        <v>0</v>
      </c>
      <c r="Z5" s="10">
        <f>Y5*3.07</f>
        <v>0</v>
      </c>
      <c r="AA5" s="15"/>
      <c r="AB5" s="7">
        <f>B5+O5</f>
        <v>24399999.999997817</v>
      </c>
      <c r="AC5" s="8">
        <f>C5+P5</f>
        <v>24.399999999997817</v>
      </c>
      <c r="AD5" s="8">
        <f>D5+Q5</f>
        <v>74.907999999993294</v>
      </c>
      <c r="AF5" s="8">
        <f t="shared" ref="AF5:AF14" si="0">T5-Q5-Z5</f>
        <v>0</v>
      </c>
    </row>
    <row r="6" spans="1:32" x14ac:dyDescent="0.2">
      <c r="A6" s="28">
        <v>38505</v>
      </c>
      <c r="B6" s="7">
        <f>'[8]June Prod'!I5</f>
        <v>26400000.000001457</v>
      </c>
      <c r="C6" s="8">
        <f t="shared" ref="C6:C34" si="1">B6/1000000</f>
        <v>26.400000000001455</v>
      </c>
      <c r="D6" s="10">
        <f t="shared" ref="D6:D35" si="2">C6*3.07</f>
        <v>81.048000000004464</v>
      </c>
      <c r="E6" s="7">
        <f>'[8]June Prod'!E5</f>
        <v>22000000</v>
      </c>
      <c r="F6" s="8">
        <f t="shared" ref="F6:F34" si="3">E6/1000000</f>
        <v>22</v>
      </c>
      <c r="G6" s="10">
        <f t="shared" ref="G6:G35" si="4">F6*3.07</f>
        <v>67.539999999999992</v>
      </c>
      <c r="H6" s="7">
        <f>'[8]June Prod'!F5</f>
        <v>5940000</v>
      </c>
      <c r="I6" s="8">
        <f t="shared" ref="I6:I34" si="5">H6/1000000</f>
        <v>5.94</v>
      </c>
      <c r="J6" s="10">
        <f t="shared" ref="J6:J35" si="6">I6*3.07</f>
        <v>18.235800000000001</v>
      </c>
      <c r="K6" s="7">
        <f>'[8]June Prod'!H260</f>
        <v>2087354</v>
      </c>
      <c r="L6" s="8">
        <f>K6/1000000</f>
        <v>2.0873539999999999</v>
      </c>
      <c r="M6" s="10">
        <f t="shared" ref="M6:M35" si="7">L6*3.07</f>
        <v>6.4081767799999998</v>
      </c>
      <c r="N6" s="21"/>
      <c r="O6" s="7">
        <f>'[8]June Prod'!H5</f>
        <v>0</v>
      </c>
      <c r="P6" s="8">
        <f t="shared" ref="P6:P34" si="8">O6/1000000</f>
        <v>0</v>
      </c>
      <c r="Q6" s="10">
        <f t="shared" ref="Q6:Q35" si="9">P6*3.07</f>
        <v>0</v>
      </c>
      <c r="R6" s="7">
        <f>'[8]June Prod'!C5</f>
        <v>6000</v>
      </c>
      <c r="S6" s="8">
        <f t="shared" ref="S6:S34" si="10">R6/1000000</f>
        <v>6.0000000000000001E-3</v>
      </c>
      <c r="T6" s="10">
        <f t="shared" ref="T6:T35" si="11">S6*3.07</f>
        <v>1.8419999999999999E-2</v>
      </c>
      <c r="U6" s="7">
        <f>'[8]June Prod'!D5</f>
        <v>0</v>
      </c>
      <c r="V6" s="8">
        <f t="shared" ref="V6:V34" si="12">U6/1000000</f>
        <v>0</v>
      </c>
      <c r="W6" s="10">
        <f t="shared" ref="W6:W35" si="13">V6*3.07</f>
        <v>0</v>
      </c>
      <c r="X6" s="7">
        <f>'[8]June Prod'!D260</f>
        <v>0</v>
      </c>
      <c r="Y6" s="8">
        <f t="shared" ref="Y6:Y34" si="14">X6/1000000</f>
        <v>0</v>
      </c>
      <c r="Z6" s="10">
        <f t="shared" ref="Z6:Z35" si="15">Y6*3.07</f>
        <v>0</v>
      </c>
      <c r="AA6" s="15"/>
      <c r="AB6" s="7">
        <f t="shared" ref="AB6:AD34" si="16">B6+O6</f>
        <v>26400000.000001457</v>
      </c>
      <c r="AC6" s="8">
        <f t="shared" si="16"/>
        <v>26.400000000001455</v>
      </c>
      <c r="AD6" s="8">
        <f t="shared" si="16"/>
        <v>81.048000000004464</v>
      </c>
      <c r="AF6" s="8">
        <f t="shared" si="0"/>
        <v>1.8419999999999999E-2</v>
      </c>
    </row>
    <row r="7" spans="1:32" x14ac:dyDescent="0.2">
      <c r="A7" s="28">
        <v>38506</v>
      </c>
      <c r="B7" s="7">
        <f>'[8]June Prod'!I6</f>
        <v>31200000.000000726</v>
      </c>
      <c r="C7" s="8">
        <f t="shared" si="1"/>
        <v>31.200000000000728</v>
      </c>
      <c r="D7" s="10">
        <f t="shared" si="2"/>
        <v>95.784000000002223</v>
      </c>
      <c r="E7" s="7">
        <f>'[8]June Prod'!E6</f>
        <v>27000000</v>
      </c>
      <c r="F7" s="8">
        <f t="shared" si="3"/>
        <v>27</v>
      </c>
      <c r="G7" s="10">
        <f t="shared" si="4"/>
        <v>82.89</v>
      </c>
      <c r="H7" s="7">
        <f>'[8]June Prod'!F6</f>
        <v>5940000</v>
      </c>
      <c r="I7" s="8">
        <f t="shared" si="5"/>
        <v>5.94</v>
      </c>
      <c r="J7" s="10">
        <f t="shared" si="6"/>
        <v>18.235800000000001</v>
      </c>
      <c r="K7" s="7">
        <f>'[8]June Prod'!H261</f>
        <v>2357802</v>
      </c>
      <c r="L7" s="8">
        <f t="shared" ref="L7:L34" si="17">K7/1000000</f>
        <v>2.357802</v>
      </c>
      <c r="M7" s="10">
        <f t="shared" si="7"/>
        <v>7.2384521399999997</v>
      </c>
      <c r="N7" s="21"/>
      <c r="O7" s="7">
        <f>'[8]June Prod'!H6</f>
        <v>0</v>
      </c>
      <c r="P7" s="8">
        <f t="shared" si="8"/>
        <v>0</v>
      </c>
      <c r="Q7" s="10">
        <f t="shared" si="9"/>
        <v>0</v>
      </c>
      <c r="R7" s="7">
        <f>'[8]June Prod'!C6</f>
        <v>0</v>
      </c>
      <c r="S7" s="8">
        <f t="shared" si="10"/>
        <v>0</v>
      </c>
      <c r="T7" s="10">
        <f t="shared" si="11"/>
        <v>0</v>
      </c>
      <c r="U7" s="7">
        <f>'[8]June Prod'!D6</f>
        <v>0</v>
      </c>
      <c r="V7" s="8">
        <f t="shared" si="12"/>
        <v>0</v>
      </c>
      <c r="W7" s="10">
        <f t="shared" si="13"/>
        <v>0</v>
      </c>
      <c r="X7" s="7">
        <f>'[8]June Prod'!D261</f>
        <v>0</v>
      </c>
      <c r="Y7" s="8">
        <f t="shared" si="14"/>
        <v>0</v>
      </c>
      <c r="Z7" s="10">
        <f t="shared" si="15"/>
        <v>0</v>
      </c>
      <c r="AA7" s="15"/>
      <c r="AB7" s="7">
        <f t="shared" si="16"/>
        <v>31200000.000000726</v>
      </c>
      <c r="AC7" s="8">
        <f t="shared" si="16"/>
        <v>31.200000000000728</v>
      </c>
      <c r="AD7" s="8">
        <f t="shared" si="16"/>
        <v>95.784000000002223</v>
      </c>
      <c r="AF7" s="8">
        <f t="shared" si="0"/>
        <v>0</v>
      </c>
    </row>
    <row r="8" spans="1:32" x14ac:dyDescent="0.2">
      <c r="A8" s="28">
        <v>38507</v>
      </c>
      <c r="B8" s="7">
        <f>'[8]June Prod'!I7</f>
        <v>25000000</v>
      </c>
      <c r="C8" s="8">
        <f t="shared" si="1"/>
        <v>25</v>
      </c>
      <c r="D8" s="10">
        <f t="shared" si="2"/>
        <v>76.75</v>
      </c>
      <c r="E8" s="7">
        <f>'[8]June Prod'!E7</f>
        <v>20000000</v>
      </c>
      <c r="F8" s="8">
        <f t="shared" si="3"/>
        <v>20</v>
      </c>
      <c r="G8" s="10">
        <f t="shared" si="4"/>
        <v>61.4</v>
      </c>
      <c r="H8" s="7">
        <f>'[8]June Prod'!F7</f>
        <v>5960000</v>
      </c>
      <c r="I8" s="8">
        <f t="shared" si="5"/>
        <v>5.96</v>
      </c>
      <c r="J8" s="10">
        <f t="shared" si="6"/>
        <v>18.2972</v>
      </c>
      <c r="K8" s="7">
        <f>'[8]June Prod'!H262</f>
        <v>1998088</v>
      </c>
      <c r="L8" s="8">
        <f t="shared" si="17"/>
        <v>1.9980880000000001</v>
      </c>
      <c r="M8" s="10">
        <f t="shared" si="7"/>
        <v>6.1341301599999998</v>
      </c>
      <c r="N8" s="21"/>
      <c r="O8" s="7">
        <f>'[8]June Prod'!H7</f>
        <v>0</v>
      </c>
      <c r="P8" s="8">
        <f t="shared" si="8"/>
        <v>0</v>
      </c>
      <c r="Q8" s="10">
        <f t="shared" si="9"/>
        <v>0</v>
      </c>
      <c r="R8" s="7">
        <f>'[8]June Prod'!C7</f>
        <v>629000</v>
      </c>
      <c r="S8" s="8">
        <f t="shared" si="10"/>
        <v>0.629</v>
      </c>
      <c r="T8" s="10">
        <f t="shared" si="11"/>
        <v>1.9310299999999998</v>
      </c>
      <c r="U8" s="7">
        <f>'[8]June Prod'!D7</f>
        <v>0</v>
      </c>
      <c r="V8" s="8">
        <f t="shared" si="12"/>
        <v>0</v>
      </c>
      <c r="W8" s="10">
        <f t="shared" si="13"/>
        <v>0</v>
      </c>
      <c r="X8" s="7">
        <f>'[8]June Prod'!D262</f>
        <v>0</v>
      </c>
      <c r="Y8" s="8">
        <f t="shared" si="14"/>
        <v>0</v>
      </c>
      <c r="Z8" s="10">
        <f t="shared" si="15"/>
        <v>0</v>
      </c>
      <c r="AA8" s="15"/>
      <c r="AB8" s="7">
        <f t="shared" si="16"/>
        <v>25000000</v>
      </c>
      <c r="AC8" s="8">
        <f t="shared" si="16"/>
        <v>25</v>
      </c>
      <c r="AD8" s="8">
        <f t="shared" si="16"/>
        <v>76.75</v>
      </c>
      <c r="AF8" s="8">
        <f t="shared" si="0"/>
        <v>1.9310299999999998</v>
      </c>
    </row>
    <row r="9" spans="1:32" x14ac:dyDescent="0.2">
      <c r="A9" s="28">
        <v>38508</v>
      </c>
      <c r="B9" s="7">
        <f>'[8]June Prod'!I8</f>
        <v>23899999.999997817</v>
      </c>
      <c r="C9" s="8">
        <f t="shared" si="1"/>
        <v>23.899999999997817</v>
      </c>
      <c r="D9" s="10">
        <f t="shared" si="2"/>
        <v>73.372999999993297</v>
      </c>
      <c r="E9" s="7">
        <f>'[8]June Prod'!E8</f>
        <v>20000000</v>
      </c>
      <c r="F9" s="8">
        <f t="shared" si="3"/>
        <v>20</v>
      </c>
      <c r="G9" s="10">
        <f t="shared" si="4"/>
        <v>61.4</v>
      </c>
      <c r="H9" s="7">
        <f>'[8]June Prod'!F8</f>
        <v>5900000</v>
      </c>
      <c r="I9" s="8">
        <f t="shared" si="5"/>
        <v>5.9</v>
      </c>
      <c r="J9" s="10">
        <f t="shared" si="6"/>
        <v>18.113</v>
      </c>
      <c r="K9" s="7">
        <f>'[8]June Prod'!H263</f>
        <v>1949891</v>
      </c>
      <c r="L9" s="8">
        <f t="shared" si="17"/>
        <v>1.949891</v>
      </c>
      <c r="M9" s="10">
        <f t="shared" si="7"/>
        <v>5.9861653700000002</v>
      </c>
      <c r="N9" s="21"/>
      <c r="O9" s="7">
        <f>'[8]June Prod'!H8</f>
        <v>0</v>
      </c>
      <c r="P9" s="8">
        <f t="shared" si="8"/>
        <v>0</v>
      </c>
      <c r="Q9" s="10">
        <f t="shared" si="9"/>
        <v>0</v>
      </c>
      <c r="R9" s="7">
        <f>'[8]June Prod'!C8</f>
        <v>48000</v>
      </c>
      <c r="S9" s="8">
        <f t="shared" si="10"/>
        <v>4.8000000000000001E-2</v>
      </c>
      <c r="T9" s="10">
        <f t="shared" si="11"/>
        <v>0.14735999999999999</v>
      </c>
      <c r="U9" s="7">
        <f>'[8]June Prod'!D8</f>
        <v>0</v>
      </c>
      <c r="V9" s="8">
        <f t="shared" si="12"/>
        <v>0</v>
      </c>
      <c r="W9" s="10">
        <f t="shared" si="13"/>
        <v>0</v>
      </c>
      <c r="X9" s="7">
        <f>'[8]June Prod'!D263</f>
        <v>0</v>
      </c>
      <c r="Y9" s="8">
        <f t="shared" si="14"/>
        <v>0</v>
      </c>
      <c r="Z9" s="10">
        <f t="shared" si="15"/>
        <v>0</v>
      </c>
      <c r="AA9" s="15"/>
      <c r="AB9" s="7">
        <f t="shared" si="16"/>
        <v>23899999.999997817</v>
      </c>
      <c r="AC9" s="8">
        <f t="shared" si="16"/>
        <v>23.899999999997817</v>
      </c>
      <c r="AD9" s="8">
        <f t="shared" si="16"/>
        <v>73.372999999993297</v>
      </c>
      <c r="AF9" s="8">
        <f t="shared" si="0"/>
        <v>0.14735999999999999</v>
      </c>
    </row>
    <row r="10" spans="1:32" x14ac:dyDescent="0.2">
      <c r="A10" s="28">
        <v>38509</v>
      </c>
      <c r="B10" s="7">
        <f>'[8]June Prod'!I9</f>
        <v>23500000</v>
      </c>
      <c r="C10" s="8">
        <f t="shared" si="1"/>
        <v>23.5</v>
      </c>
      <c r="D10" s="10">
        <f t="shared" si="2"/>
        <v>72.144999999999996</v>
      </c>
      <c r="E10" s="7">
        <f>'[8]June Prod'!E9</f>
        <v>19000000</v>
      </c>
      <c r="F10" s="8">
        <f t="shared" si="3"/>
        <v>19</v>
      </c>
      <c r="G10" s="10">
        <f t="shared" si="4"/>
        <v>58.33</v>
      </c>
      <c r="H10" s="7">
        <f>'[8]June Prod'!F9</f>
        <v>5910000</v>
      </c>
      <c r="I10" s="8">
        <f t="shared" si="5"/>
        <v>5.91</v>
      </c>
      <c r="J10" s="10">
        <f t="shared" si="6"/>
        <v>18.143699999999999</v>
      </c>
      <c r="K10" s="7">
        <f>'[8]June Prod'!H264</f>
        <v>1905009</v>
      </c>
      <c r="L10" s="8">
        <f t="shared" si="17"/>
        <v>1.905009</v>
      </c>
      <c r="M10" s="10">
        <f t="shared" si="7"/>
        <v>5.8483776299999999</v>
      </c>
      <c r="N10" s="21"/>
      <c r="O10" s="7">
        <f>'[8]June Prod'!H9</f>
        <v>0</v>
      </c>
      <c r="P10" s="8">
        <f t="shared" si="8"/>
        <v>0</v>
      </c>
      <c r="Q10" s="10">
        <f t="shared" si="9"/>
        <v>0</v>
      </c>
      <c r="R10" s="7">
        <f>'[8]June Prod'!C9</f>
        <v>234000</v>
      </c>
      <c r="S10" s="8">
        <f t="shared" si="10"/>
        <v>0.23400000000000001</v>
      </c>
      <c r="T10" s="10">
        <f t="shared" si="11"/>
        <v>0.71838000000000002</v>
      </c>
      <c r="U10" s="7">
        <f>'[8]June Prod'!D9</f>
        <v>0</v>
      </c>
      <c r="V10" s="8">
        <f t="shared" si="12"/>
        <v>0</v>
      </c>
      <c r="W10" s="10">
        <f t="shared" si="13"/>
        <v>0</v>
      </c>
      <c r="X10" s="7">
        <f>'[8]June Prod'!D264</f>
        <v>0</v>
      </c>
      <c r="Y10" s="8">
        <f t="shared" si="14"/>
        <v>0</v>
      </c>
      <c r="Z10" s="10">
        <f t="shared" si="15"/>
        <v>0</v>
      </c>
      <c r="AA10" s="15"/>
      <c r="AB10" s="7">
        <f t="shared" si="16"/>
        <v>23500000</v>
      </c>
      <c r="AC10" s="8">
        <f t="shared" si="16"/>
        <v>23.5</v>
      </c>
      <c r="AD10" s="8">
        <f t="shared" si="16"/>
        <v>72.144999999999996</v>
      </c>
      <c r="AF10" s="8">
        <f t="shared" si="0"/>
        <v>0.71838000000000002</v>
      </c>
    </row>
    <row r="11" spans="1:32" x14ac:dyDescent="0.2">
      <c r="A11" s="28">
        <v>38510</v>
      </c>
      <c r="B11" s="7">
        <f>'[8]June Prod'!I10</f>
        <v>27200000.000000726</v>
      </c>
      <c r="C11" s="8">
        <f t="shared" si="1"/>
        <v>27.200000000000728</v>
      </c>
      <c r="D11" s="10">
        <f t="shared" si="2"/>
        <v>83.504000000002236</v>
      </c>
      <c r="E11" s="7">
        <f>'[8]June Prod'!E10</f>
        <v>22000000</v>
      </c>
      <c r="F11" s="8">
        <f t="shared" si="3"/>
        <v>22</v>
      </c>
      <c r="G11" s="10">
        <f t="shared" si="4"/>
        <v>67.539999999999992</v>
      </c>
      <c r="H11" s="7">
        <f>'[8]June Prod'!F10</f>
        <v>6060000.0000000009</v>
      </c>
      <c r="I11" s="8">
        <f t="shared" si="5"/>
        <v>6.0600000000000005</v>
      </c>
      <c r="J11" s="10">
        <f t="shared" si="6"/>
        <v>18.604200000000002</v>
      </c>
      <c r="K11" s="7">
        <f>'[8]June Prod'!H265</f>
        <v>2135962</v>
      </c>
      <c r="L11" s="8">
        <f t="shared" si="17"/>
        <v>2.1359620000000001</v>
      </c>
      <c r="M11" s="10">
        <f t="shared" si="7"/>
        <v>6.5574033400000005</v>
      </c>
      <c r="N11" s="21"/>
      <c r="O11" s="7">
        <f>'[8]June Prod'!H10</f>
        <v>1127999.9999999951</v>
      </c>
      <c r="P11" s="8">
        <f t="shared" si="8"/>
        <v>1.127999999999995</v>
      </c>
      <c r="Q11" s="10">
        <f t="shared" si="9"/>
        <v>3.4629599999999843</v>
      </c>
      <c r="R11" s="7">
        <f>'[8]June Prod'!C10</f>
        <v>1129000</v>
      </c>
      <c r="S11" s="8">
        <f t="shared" si="10"/>
        <v>1.129</v>
      </c>
      <c r="T11" s="10">
        <f t="shared" si="11"/>
        <v>3.4660299999999999</v>
      </c>
      <c r="U11" s="7">
        <f>'[8]June Prod'!D10</f>
        <v>0</v>
      </c>
      <c r="V11" s="8">
        <f t="shared" si="12"/>
        <v>0</v>
      </c>
      <c r="W11" s="10">
        <f t="shared" si="13"/>
        <v>0</v>
      </c>
      <c r="X11" s="7">
        <f>'[8]June Prod'!D265</f>
        <v>1000.0000000047748</v>
      </c>
      <c r="Y11" s="8">
        <f t="shared" si="14"/>
        <v>1.0000000000047748E-3</v>
      </c>
      <c r="Z11" s="10">
        <f t="shared" si="15"/>
        <v>3.0700000000146587E-3</v>
      </c>
      <c r="AA11" s="15"/>
      <c r="AB11" s="7">
        <f t="shared" si="16"/>
        <v>28328000.000000723</v>
      </c>
      <c r="AC11" s="8">
        <f t="shared" si="16"/>
        <v>28.328000000000724</v>
      </c>
      <c r="AD11" s="8">
        <f t="shared" si="16"/>
        <v>86.966960000002217</v>
      </c>
      <c r="AF11" s="8">
        <f t="shared" si="0"/>
        <v>1.0126448291014611E-15</v>
      </c>
    </row>
    <row r="12" spans="1:32" x14ac:dyDescent="0.2">
      <c r="A12" s="28">
        <v>38511</v>
      </c>
      <c r="B12" s="7">
        <f>'[8]June Prod'!I11</f>
        <v>35099999.999998547</v>
      </c>
      <c r="C12" s="8">
        <f t="shared" si="1"/>
        <v>35.099999999998545</v>
      </c>
      <c r="D12" s="10">
        <f t="shared" si="2"/>
        <v>107.75699999999553</v>
      </c>
      <c r="E12" s="7">
        <f>'[8]June Prod'!E11</f>
        <v>31000000</v>
      </c>
      <c r="F12" s="8">
        <f t="shared" si="3"/>
        <v>31</v>
      </c>
      <c r="G12" s="10">
        <f t="shared" si="4"/>
        <v>95.17</v>
      </c>
      <c r="H12" s="7">
        <f>'[8]June Prod'!F11</f>
        <v>6120000</v>
      </c>
      <c r="I12" s="8">
        <f t="shared" si="5"/>
        <v>6.12</v>
      </c>
      <c r="J12" s="10">
        <f t="shared" si="6"/>
        <v>18.788399999999999</v>
      </c>
      <c r="K12" s="7">
        <f>'[8]June Prod'!H266</f>
        <v>2640094</v>
      </c>
      <c r="L12" s="8">
        <f t="shared" si="17"/>
        <v>2.6400939999999999</v>
      </c>
      <c r="M12" s="10">
        <f t="shared" si="7"/>
        <v>8.1050885799999985</v>
      </c>
      <c r="N12" s="21"/>
      <c r="O12" s="7">
        <f>'[8]June Prod'!H11</f>
        <v>0</v>
      </c>
      <c r="P12" s="8">
        <f t="shared" si="8"/>
        <v>0</v>
      </c>
      <c r="Q12" s="10">
        <f t="shared" si="9"/>
        <v>0</v>
      </c>
      <c r="R12" s="7">
        <f>'[8]June Prod'!C11</f>
        <v>0</v>
      </c>
      <c r="S12" s="8">
        <f t="shared" si="10"/>
        <v>0</v>
      </c>
      <c r="T12" s="10">
        <f t="shared" si="11"/>
        <v>0</v>
      </c>
      <c r="U12" s="7">
        <f>'[8]June Prod'!D11</f>
        <v>0</v>
      </c>
      <c r="V12" s="8">
        <f t="shared" si="12"/>
        <v>0</v>
      </c>
      <c r="W12" s="10">
        <f t="shared" si="13"/>
        <v>0</v>
      </c>
      <c r="X12" s="7">
        <f>'[8]June Prod'!D266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35099999.999998547</v>
      </c>
      <c r="AC12" s="8">
        <f t="shared" si="16"/>
        <v>35.099999999998545</v>
      </c>
      <c r="AD12" s="8">
        <f t="shared" si="16"/>
        <v>107.75699999999553</v>
      </c>
      <c r="AF12" s="8">
        <f t="shared" si="0"/>
        <v>0</v>
      </c>
    </row>
    <row r="13" spans="1:32" x14ac:dyDescent="0.2">
      <c r="A13" s="28">
        <v>38512</v>
      </c>
      <c r="B13" s="7">
        <f>'[8]June Prod'!I12</f>
        <v>27500000</v>
      </c>
      <c r="C13" s="8">
        <f t="shared" si="1"/>
        <v>27.5</v>
      </c>
      <c r="D13" s="10">
        <f t="shared" si="2"/>
        <v>84.424999999999997</v>
      </c>
      <c r="E13" s="7">
        <f>'[8]June Prod'!E12</f>
        <v>24000000</v>
      </c>
      <c r="F13" s="8">
        <f t="shared" si="3"/>
        <v>24</v>
      </c>
      <c r="G13" s="10">
        <f t="shared" si="4"/>
        <v>73.679999999999993</v>
      </c>
      <c r="H13" s="7">
        <f>'[8]June Prod'!F12</f>
        <v>5820000</v>
      </c>
      <c r="I13" s="8">
        <f t="shared" si="5"/>
        <v>5.82</v>
      </c>
      <c r="J13" s="10">
        <f t="shared" si="6"/>
        <v>17.8674</v>
      </c>
      <c r="K13" s="7">
        <f>'[8]June Prod'!H267</f>
        <v>2266517</v>
      </c>
      <c r="L13" s="8">
        <f t="shared" si="17"/>
        <v>2.2665169999999999</v>
      </c>
      <c r="M13" s="10">
        <f t="shared" si="7"/>
        <v>6.9582071899999995</v>
      </c>
      <c r="N13" s="21"/>
      <c r="O13" s="7">
        <f>'[8]June Prod'!H12</f>
        <v>0</v>
      </c>
      <c r="P13" s="8">
        <f t="shared" si="8"/>
        <v>0</v>
      </c>
      <c r="Q13" s="10">
        <f t="shared" si="9"/>
        <v>0</v>
      </c>
      <c r="R13" s="7">
        <f>'[8]June Prod'!C12</f>
        <v>0</v>
      </c>
      <c r="S13" s="8">
        <f t="shared" si="10"/>
        <v>0</v>
      </c>
      <c r="T13" s="10">
        <f t="shared" si="11"/>
        <v>0</v>
      </c>
      <c r="U13" s="7">
        <f>'[8]June Prod'!D12</f>
        <v>0</v>
      </c>
      <c r="V13" s="8">
        <f t="shared" si="12"/>
        <v>0</v>
      </c>
      <c r="W13" s="10">
        <f t="shared" si="13"/>
        <v>0</v>
      </c>
      <c r="X13" s="7">
        <f>'[8]June Prod'!D267</f>
        <v>0</v>
      </c>
      <c r="Y13" s="8">
        <f t="shared" si="14"/>
        <v>0</v>
      </c>
      <c r="Z13" s="10">
        <f t="shared" si="15"/>
        <v>0</v>
      </c>
      <c r="AA13" s="15"/>
      <c r="AB13" s="7">
        <f t="shared" si="16"/>
        <v>27500000</v>
      </c>
      <c r="AC13" s="8">
        <f t="shared" si="16"/>
        <v>27.5</v>
      </c>
      <c r="AD13" s="8">
        <f t="shared" si="16"/>
        <v>84.424999999999997</v>
      </c>
      <c r="AF13" s="8">
        <f t="shared" si="0"/>
        <v>0</v>
      </c>
    </row>
    <row r="14" spans="1:32" x14ac:dyDescent="0.2">
      <c r="A14" s="28">
        <v>38513</v>
      </c>
      <c r="B14" s="7">
        <f>'[8]June Prod'!I13</f>
        <v>24500000</v>
      </c>
      <c r="C14" s="8">
        <f t="shared" si="1"/>
        <v>24.5</v>
      </c>
      <c r="D14" s="10">
        <f t="shared" si="2"/>
        <v>75.214999999999989</v>
      </c>
      <c r="E14" s="7">
        <f>'[8]June Prod'!E13</f>
        <v>19000000</v>
      </c>
      <c r="F14" s="8">
        <f t="shared" si="3"/>
        <v>19</v>
      </c>
      <c r="G14" s="10">
        <f t="shared" si="4"/>
        <v>58.33</v>
      </c>
      <c r="H14" s="7">
        <f>'[8]June Prod'!F13</f>
        <v>6030000</v>
      </c>
      <c r="I14" s="8">
        <f t="shared" si="5"/>
        <v>6.03</v>
      </c>
      <c r="J14" s="10">
        <f t="shared" si="6"/>
        <v>18.5121</v>
      </c>
      <c r="K14" s="7">
        <f>'[8]June Prod'!H268</f>
        <v>1985217</v>
      </c>
      <c r="L14" s="8">
        <f t="shared" si="17"/>
        <v>1.985217</v>
      </c>
      <c r="M14" s="10">
        <f t="shared" si="7"/>
        <v>6.09461619</v>
      </c>
      <c r="N14" s="21"/>
      <c r="O14" s="7">
        <f>'[8]June Prod'!H13</f>
        <v>3297999.9999999953</v>
      </c>
      <c r="P14" s="8">
        <f t="shared" si="8"/>
        <v>3.2979999999999952</v>
      </c>
      <c r="Q14" s="10">
        <f t="shared" si="9"/>
        <v>10.124859999999984</v>
      </c>
      <c r="R14" s="7">
        <f>'[8]June Prod'!C13</f>
        <v>3299000</v>
      </c>
      <c r="S14" s="8">
        <f t="shared" si="10"/>
        <v>3.2989999999999999</v>
      </c>
      <c r="T14" s="10">
        <f t="shared" si="11"/>
        <v>10.127929999999999</v>
      </c>
      <c r="U14" s="7">
        <f>'[8]June Prod'!D13</f>
        <v>0</v>
      </c>
      <c r="V14" s="8">
        <f t="shared" si="12"/>
        <v>0</v>
      </c>
      <c r="W14" s="10">
        <f t="shared" si="13"/>
        <v>0</v>
      </c>
      <c r="X14" s="7">
        <f>'[8]June Prod'!D268</f>
        <v>1000.0000000047748</v>
      </c>
      <c r="Y14" s="8">
        <f t="shared" si="14"/>
        <v>1.0000000000047748E-3</v>
      </c>
      <c r="Z14" s="10">
        <f t="shared" si="15"/>
        <v>3.0700000000146587E-3</v>
      </c>
      <c r="AA14" s="15"/>
      <c r="AB14" s="7">
        <f t="shared" si="16"/>
        <v>27797999.999999996</v>
      </c>
      <c r="AC14" s="8">
        <f t="shared" si="16"/>
        <v>27.797999999999995</v>
      </c>
      <c r="AD14" s="8">
        <f t="shared" si="16"/>
        <v>85.339859999999973</v>
      </c>
      <c r="AF14" s="8">
        <f t="shared" si="0"/>
        <v>5.6855561925139853E-16</v>
      </c>
    </row>
    <row r="15" spans="1:32" x14ac:dyDescent="0.2">
      <c r="A15" s="28">
        <v>38514</v>
      </c>
      <c r="B15" s="7">
        <f>'[8]June Prod'!I14</f>
        <v>25500000</v>
      </c>
      <c r="C15" s="8">
        <f t="shared" si="1"/>
        <v>25.5</v>
      </c>
      <c r="D15" s="10">
        <f t="shared" si="2"/>
        <v>78.284999999999997</v>
      </c>
      <c r="E15" s="7">
        <f>'[8]June Prod'!E14</f>
        <v>22000000</v>
      </c>
      <c r="F15" s="8">
        <f t="shared" si="3"/>
        <v>22</v>
      </c>
      <c r="G15" s="10">
        <f t="shared" si="4"/>
        <v>67.539999999999992</v>
      </c>
      <c r="H15" s="7">
        <f>'[8]June Prod'!F14</f>
        <v>5970000</v>
      </c>
      <c r="I15" s="8">
        <f t="shared" si="5"/>
        <v>5.97</v>
      </c>
      <c r="J15" s="10">
        <f t="shared" si="6"/>
        <v>18.3279</v>
      </c>
      <c r="K15" s="7">
        <f>'[8]June Prod'!H269</f>
        <v>1986005</v>
      </c>
      <c r="L15" s="8">
        <f t="shared" si="17"/>
        <v>1.986005</v>
      </c>
      <c r="M15" s="10">
        <f t="shared" si="7"/>
        <v>6.0970353499999996</v>
      </c>
      <c r="N15" s="21"/>
      <c r="O15" s="7">
        <f>'[8]June Prod'!H14</f>
        <v>5049000.0000000047</v>
      </c>
      <c r="P15" s="8">
        <f t="shared" si="8"/>
        <v>5.0490000000000048</v>
      </c>
      <c r="Q15" s="10">
        <f t="shared" si="9"/>
        <v>15.500430000000014</v>
      </c>
      <c r="R15" s="7">
        <f>'[8]June Prod'!C14</f>
        <v>5063000</v>
      </c>
      <c r="S15" s="8">
        <f t="shared" si="10"/>
        <v>5.0629999999999997</v>
      </c>
      <c r="T15" s="10">
        <f t="shared" si="11"/>
        <v>15.543409999999998</v>
      </c>
      <c r="U15" s="7">
        <f>'[8]June Prod'!D14</f>
        <v>0</v>
      </c>
      <c r="V15" s="8">
        <f t="shared" si="12"/>
        <v>0</v>
      </c>
      <c r="W15" s="10">
        <f t="shared" si="13"/>
        <v>0</v>
      </c>
      <c r="X15" s="7">
        <f>'[8]June Prod'!D269</f>
        <v>13999.999999995794</v>
      </c>
      <c r="Y15" s="8">
        <f t="shared" si="14"/>
        <v>1.3999999999995795E-2</v>
      </c>
      <c r="Z15" s="10">
        <f t="shared" si="15"/>
        <v>4.2979999999987091E-2</v>
      </c>
      <c r="AA15" s="15"/>
      <c r="AB15" s="7">
        <f t="shared" si="16"/>
        <v>30549000.000000004</v>
      </c>
      <c r="AC15" s="8">
        <f t="shared" si="16"/>
        <v>30.549000000000007</v>
      </c>
      <c r="AD15" s="8">
        <f t="shared" si="16"/>
        <v>93.785430000000005</v>
      </c>
      <c r="AF15" s="8">
        <f>T15-Q15-Z15</f>
        <v>-3.0600522116230877E-15</v>
      </c>
    </row>
    <row r="16" spans="1:32" x14ac:dyDescent="0.2">
      <c r="A16" s="28">
        <v>38515</v>
      </c>
      <c r="B16" s="7">
        <f>'[8]June Prod'!I15</f>
        <v>30800000.000002909</v>
      </c>
      <c r="C16" s="8">
        <f t="shared" si="1"/>
        <v>30.80000000000291</v>
      </c>
      <c r="D16" s="10">
        <f t="shared" si="2"/>
        <v>94.556000000008936</v>
      </c>
      <c r="E16" s="7">
        <f>'[8]June Prod'!E15</f>
        <v>26000000</v>
      </c>
      <c r="F16" s="8">
        <f t="shared" si="3"/>
        <v>26</v>
      </c>
      <c r="G16" s="10">
        <f t="shared" si="4"/>
        <v>79.819999999999993</v>
      </c>
      <c r="H16" s="7">
        <f>'[8]June Prod'!F15</f>
        <v>6080000</v>
      </c>
      <c r="I16" s="8">
        <f t="shared" si="5"/>
        <v>6.08</v>
      </c>
      <c r="J16" s="10">
        <f t="shared" si="6"/>
        <v>18.665599999999998</v>
      </c>
      <c r="K16" s="7">
        <f>'[8]June Prod'!H270</f>
        <v>2329498</v>
      </c>
      <c r="L16" s="8">
        <f t="shared" si="17"/>
        <v>2.3294980000000001</v>
      </c>
      <c r="M16" s="10">
        <f t="shared" si="7"/>
        <v>7.1515588599999997</v>
      </c>
      <c r="N16" s="21"/>
      <c r="O16" s="7">
        <f>'[8]June Prod'!H15</f>
        <v>5105999.9999999944</v>
      </c>
      <c r="P16" s="8">
        <f t="shared" si="8"/>
        <v>5.1059999999999945</v>
      </c>
      <c r="Q16" s="10">
        <f t="shared" si="9"/>
        <v>15.675419999999983</v>
      </c>
      <c r="R16" s="7">
        <f>'[8]June Prod'!C15</f>
        <v>5119000</v>
      </c>
      <c r="S16" s="8">
        <f t="shared" si="10"/>
        <v>5.1189999999999998</v>
      </c>
      <c r="T16" s="10">
        <f t="shared" si="11"/>
        <v>15.715329999999998</v>
      </c>
      <c r="U16" s="7">
        <f>'[8]June Prod'!D15</f>
        <v>0</v>
      </c>
      <c r="V16" s="8">
        <f t="shared" si="12"/>
        <v>0</v>
      </c>
      <c r="W16" s="10">
        <f t="shared" si="13"/>
        <v>0</v>
      </c>
      <c r="X16" s="7">
        <f>'[8]June Prod'!D270</f>
        <v>13000.00000000523</v>
      </c>
      <c r="Y16" s="8">
        <f t="shared" si="14"/>
        <v>1.300000000000523E-2</v>
      </c>
      <c r="Z16" s="10">
        <f t="shared" si="15"/>
        <v>3.9910000000016051E-2</v>
      </c>
      <c r="AA16" s="15"/>
      <c r="AB16" s="7">
        <f t="shared" si="16"/>
        <v>35906000.000002906</v>
      </c>
      <c r="AC16" s="8">
        <f t="shared" si="16"/>
        <v>35.906000000002905</v>
      </c>
      <c r="AD16" s="8">
        <f t="shared" si="16"/>
        <v>110.23142000000892</v>
      </c>
      <c r="AF16" s="8">
        <f>T16-Q16-Z16</f>
        <v>-1.0616507672978059E-15</v>
      </c>
    </row>
    <row r="17" spans="1:32" x14ac:dyDescent="0.2">
      <c r="A17" s="28">
        <v>38516</v>
      </c>
      <c r="B17" s="7">
        <f>'[8]June Prod'!I16</f>
        <v>26599999.999998543</v>
      </c>
      <c r="C17" s="8">
        <f t="shared" si="1"/>
        <v>26.599999999998545</v>
      </c>
      <c r="D17" s="10">
        <f t="shared" si="2"/>
        <v>81.66199999999553</v>
      </c>
      <c r="E17" s="7">
        <f>'[8]June Prod'!E16</f>
        <v>23000000</v>
      </c>
      <c r="F17" s="8">
        <f t="shared" si="3"/>
        <v>23</v>
      </c>
      <c r="G17" s="10">
        <f t="shared" si="4"/>
        <v>70.61</v>
      </c>
      <c r="H17" s="7">
        <f>'[8]June Prod'!F16</f>
        <v>5900000</v>
      </c>
      <c r="I17" s="8">
        <f t="shared" si="5"/>
        <v>5.9</v>
      </c>
      <c r="J17" s="10">
        <f t="shared" si="6"/>
        <v>18.113</v>
      </c>
      <c r="K17" s="7">
        <f>'[8]June Prod'!H271</f>
        <v>2103166</v>
      </c>
      <c r="L17" s="8">
        <f t="shared" si="17"/>
        <v>2.1031659999999999</v>
      </c>
      <c r="M17" s="10">
        <f t="shared" si="7"/>
        <v>6.4567196199999994</v>
      </c>
      <c r="N17" s="21"/>
      <c r="O17" s="7">
        <f>'[8]June Prod'!H16</f>
        <v>5031000.0000000093</v>
      </c>
      <c r="P17" s="8">
        <f t="shared" si="8"/>
        <v>5.0310000000000095</v>
      </c>
      <c r="Q17" s="10">
        <f t="shared" si="9"/>
        <v>15.445170000000028</v>
      </c>
      <c r="R17" s="7">
        <f>'[8]June Prod'!C16</f>
        <v>5038000</v>
      </c>
      <c r="S17" s="8">
        <f t="shared" si="10"/>
        <v>5.0380000000000003</v>
      </c>
      <c r="T17" s="10">
        <f t="shared" si="11"/>
        <v>15.466659999999999</v>
      </c>
      <c r="U17" s="7">
        <f>'[8]June Prod'!D16</f>
        <v>0</v>
      </c>
      <c r="V17" s="8">
        <f t="shared" si="12"/>
        <v>0</v>
      </c>
      <c r="W17" s="10">
        <f t="shared" si="13"/>
        <v>0</v>
      </c>
      <c r="X17" s="7">
        <f>'[8]June Prod'!D271</f>
        <v>6999.9999999907914</v>
      </c>
      <c r="Y17" s="8">
        <f t="shared" si="14"/>
        <v>6.9999999999907914E-3</v>
      </c>
      <c r="Z17" s="10">
        <f t="shared" si="15"/>
        <v>2.148999999997173E-2</v>
      </c>
      <c r="AA17" s="15"/>
      <c r="AB17" s="7">
        <f t="shared" si="16"/>
        <v>31630999.999998555</v>
      </c>
      <c r="AC17" s="8">
        <f t="shared" si="16"/>
        <v>31.630999999998554</v>
      </c>
      <c r="AD17" s="8">
        <f t="shared" si="16"/>
        <v>97.107169999995563</v>
      </c>
      <c r="AF17" s="8">
        <f>T17-Q17-Z17</f>
        <v>-1.4224732503009818E-16</v>
      </c>
    </row>
    <row r="18" spans="1:32" x14ac:dyDescent="0.2">
      <c r="A18" s="28">
        <v>38517</v>
      </c>
      <c r="B18" s="7">
        <f>'[8]June Prod'!I17</f>
        <v>26299999.999999274</v>
      </c>
      <c r="C18" s="8">
        <f t="shared" si="1"/>
        <v>26.299999999999272</v>
      </c>
      <c r="D18" s="10">
        <f t="shared" si="2"/>
        <v>80.740999999997769</v>
      </c>
      <c r="E18" s="7">
        <f>'[8]June Prod'!E17</f>
        <v>20000000</v>
      </c>
      <c r="F18" s="8">
        <f t="shared" si="3"/>
        <v>20</v>
      </c>
      <c r="G18" s="10">
        <f t="shared" si="4"/>
        <v>61.4</v>
      </c>
      <c r="H18" s="7">
        <f>'[8]June Prod'!F17</f>
        <v>6750000</v>
      </c>
      <c r="I18" s="8">
        <f t="shared" si="5"/>
        <v>6.75</v>
      </c>
      <c r="J18" s="10">
        <f t="shared" si="6"/>
        <v>20.7225</v>
      </c>
      <c r="K18" s="7">
        <f>'[8]June Prod'!H272</f>
        <v>2019176</v>
      </c>
      <c r="L18" s="8">
        <f t="shared" si="17"/>
        <v>2.0191759999999999</v>
      </c>
      <c r="M18" s="10">
        <f t="shared" si="7"/>
        <v>6.1988703199999993</v>
      </c>
      <c r="N18" s="21"/>
      <c r="O18" s="7">
        <f>'[8]June Prod'!H17</f>
        <v>4370000</v>
      </c>
      <c r="P18" s="8">
        <f t="shared" si="8"/>
        <v>4.37</v>
      </c>
      <c r="Q18" s="10">
        <f t="shared" si="9"/>
        <v>13.415899999999999</v>
      </c>
      <c r="R18" s="7">
        <f>'[8]June Prod'!C17</f>
        <v>4382000</v>
      </c>
      <c r="S18" s="8">
        <f t="shared" si="10"/>
        <v>4.3819999999999997</v>
      </c>
      <c r="T18" s="10">
        <f t="shared" si="11"/>
        <v>13.452739999999999</v>
      </c>
      <c r="U18" s="7">
        <f>'[8]June Prod'!D17</f>
        <v>0</v>
      </c>
      <c r="V18" s="8">
        <f t="shared" si="12"/>
        <v>0</v>
      </c>
      <c r="W18" s="10">
        <f t="shared" si="13"/>
        <v>0</v>
      </c>
      <c r="X18" s="7">
        <f>'[8]June Prod'!D272</f>
        <v>12000.000000000455</v>
      </c>
      <c r="Y18" s="8">
        <f t="shared" si="14"/>
        <v>1.2000000000000455E-2</v>
      </c>
      <c r="Z18" s="10">
        <f t="shared" si="15"/>
        <v>3.6840000000001392E-2</v>
      </c>
      <c r="AA18" s="15"/>
      <c r="AB18" s="7">
        <f t="shared" si="16"/>
        <v>30669999.999999274</v>
      </c>
      <c r="AC18" s="8">
        <f t="shared" si="16"/>
        <v>30.669999999999273</v>
      </c>
      <c r="AD18" s="8">
        <f t="shared" si="16"/>
        <v>94.156899999997762</v>
      </c>
      <c r="AF18" s="8">
        <f>T18-Q18-Z18</f>
        <v>-1.6306400674181987E-15</v>
      </c>
    </row>
    <row r="19" spans="1:32" x14ac:dyDescent="0.2">
      <c r="A19" s="28">
        <v>38518</v>
      </c>
      <c r="B19" s="7">
        <f>'[8]June Prod'!I18</f>
        <v>31000000</v>
      </c>
      <c r="C19" s="8">
        <f t="shared" si="1"/>
        <v>31</v>
      </c>
      <c r="D19" s="10">
        <f t="shared" si="2"/>
        <v>95.17</v>
      </c>
      <c r="E19" s="7">
        <f>'[8]June Prod'!E18</f>
        <v>25000000</v>
      </c>
      <c r="F19" s="8">
        <f t="shared" si="3"/>
        <v>25</v>
      </c>
      <c r="G19" s="10">
        <f t="shared" si="4"/>
        <v>76.75</v>
      </c>
      <c r="H19" s="7">
        <f>'[8]June Prod'!F18</f>
        <v>7950000</v>
      </c>
      <c r="I19" s="8">
        <f t="shared" si="5"/>
        <v>7.95</v>
      </c>
      <c r="J19" s="10">
        <f t="shared" si="6"/>
        <v>24.406499999999998</v>
      </c>
      <c r="K19" s="7">
        <f>'[8]June Prod'!H273</f>
        <v>2361504</v>
      </c>
      <c r="L19" s="8">
        <f t="shared" si="17"/>
        <v>2.361504</v>
      </c>
      <c r="M19" s="10">
        <f t="shared" si="7"/>
        <v>7.2498172799999994</v>
      </c>
      <c r="N19" s="21"/>
      <c r="O19" s="7">
        <f>'[8]June Prod'!H18</f>
        <v>3967999.9999999902</v>
      </c>
      <c r="P19" s="8">
        <f t="shared" si="8"/>
        <v>3.9679999999999902</v>
      </c>
      <c r="Q19" s="10">
        <f t="shared" si="9"/>
        <v>12.181759999999969</v>
      </c>
      <c r="R19" s="7">
        <f>'[8]June Prod'!C18</f>
        <v>3970000</v>
      </c>
      <c r="S19" s="8">
        <f t="shared" si="10"/>
        <v>3.97</v>
      </c>
      <c r="T19" s="10">
        <f t="shared" si="11"/>
        <v>12.187900000000001</v>
      </c>
      <c r="U19" s="7">
        <f>'[8]June Prod'!D18</f>
        <v>0</v>
      </c>
      <c r="V19" s="8">
        <f t="shared" si="12"/>
        <v>0</v>
      </c>
      <c r="W19" s="10">
        <f t="shared" si="13"/>
        <v>0</v>
      </c>
      <c r="X19" s="7">
        <f>'[8]June Prod'!D273</f>
        <v>2000.0000000095497</v>
      </c>
      <c r="Y19" s="8">
        <f t="shared" si="14"/>
        <v>2.0000000000095497E-3</v>
      </c>
      <c r="Z19" s="10">
        <f t="shared" si="15"/>
        <v>6.1400000000293173E-3</v>
      </c>
      <c r="AA19" s="15"/>
      <c r="AB19" s="7">
        <f t="shared" si="16"/>
        <v>34967999.999999993</v>
      </c>
      <c r="AC19" s="8">
        <f t="shared" si="16"/>
        <v>34.967999999999989</v>
      </c>
      <c r="AD19" s="8">
        <f t="shared" si="16"/>
        <v>107.35175999999997</v>
      </c>
      <c r="AF19" s="8">
        <f>T19-Q19-Z19</f>
        <v>2.9134680779030475E-15</v>
      </c>
    </row>
    <row r="20" spans="1:32" x14ac:dyDescent="0.2">
      <c r="A20" s="28">
        <v>38519</v>
      </c>
      <c r="B20" s="7">
        <f>'[8]June Prod'!I19</f>
        <v>29600000.000002183</v>
      </c>
      <c r="C20" s="8">
        <f t="shared" si="1"/>
        <v>29.600000000002183</v>
      </c>
      <c r="D20" s="10">
        <f t="shared" si="2"/>
        <v>90.872000000006693</v>
      </c>
      <c r="E20" s="7">
        <f>'[8]June Prod'!E19</f>
        <v>23000000</v>
      </c>
      <c r="F20" s="8">
        <f t="shared" si="3"/>
        <v>23</v>
      </c>
      <c r="G20" s="10">
        <f t="shared" si="4"/>
        <v>70.61</v>
      </c>
      <c r="H20" s="7">
        <f>'[8]June Prod'!F19</f>
        <v>8029999.9999999991</v>
      </c>
      <c r="I20" s="8">
        <f t="shared" si="5"/>
        <v>8.0299999999999994</v>
      </c>
      <c r="J20" s="10">
        <f t="shared" si="6"/>
        <v>24.652099999999997</v>
      </c>
      <c r="K20" s="7">
        <f>'[8]June Prod'!H274</f>
        <v>2253655</v>
      </c>
      <c r="L20" s="8">
        <f t="shared" si="17"/>
        <v>2.2536550000000002</v>
      </c>
      <c r="M20" s="10">
        <f t="shared" si="7"/>
        <v>6.9187208500000006</v>
      </c>
      <c r="N20" s="21"/>
      <c r="O20" s="7">
        <f>'[8]June Prod'!H19</f>
        <v>4037000.0000000047</v>
      </c>
      <c r="P20" s="8">
        <f t="shared" si="8"/>
        <v>4.0370000000000044</v>
      </c>
      <c r="Q20" s="10">
        <f t="shared" si="9"/>
        <v>12.393590000000012</v>
      </c>
      <c r="R20" s="7">
        <f>'[8]June Prod'!C19</f>
        <v>4039000</v>
      </c>
      <c r="S20" s="8">
        <f t="shared" si="10"/>
        <v>4.0389999999999997</v>
      </c>
      <c r="T20" s="10">
        <f t="shared" si="11"/>
        <v>12.399729999999998</v>
      </c>
      <c r="U20" s="7">
        <f>'[8]June Prod'!D19</f>
        <v>0</v>
      </c>
      <c r="V20" s="8">
        <f t="shared" si="12"/>
        <v>0</v>
      </c>
      <c r="W20" s="10">
        <f t="shared" si="13"/>
        <v>0</v>
      </c>
      <c r="X20" s="7">
        <f>'[8]June Prod'!D274</f>
        <v>1999.9999999953388</v>
      </c>
      <c r="Y20" s="8">
        <f t="shared" si="14"/>
        <v>1.9999999999953388E-3</v>
      </c>
      <c r="Z20" s="10">
        <f t="shared" si="15"/>
        <v>6.1399999999856899E-3</v>
      </c>
      <c r="AA20" s="15"/>
      <c r="AB20" s="7">
        <f t="shared" si="16"/>
        <v>33637000.00000219</v>
      </c>
      <c r="AC20" s="8">
        <f t="shared" si="16"/>
        <v>33.637000000002189</v>
      </c>
      <c r="AD20" s="8">
        <f t="shared" si="16"/>
        <v>103.26559000000671</v>
      </c>
      <c r="AF20" s="8">
        <f t="shared" ref="AF20:AF34" si="18">T20-Q20-Z20</f>
        <v>3.5561831257524545E-16</v>
      </c>
    </row>
    <row r="21" spans="1:32" x14ac:dyDescent="0.2">
      <c r="A21" s="28">
        <v>38520</v>
      </c>
      <c r="B21" s="7">
        <f>'[8]June Prod'!I20</f>
        <v>25699999.999997091</v>
      </c>
      <c r="C21" s="8">
        <f t="shared" si="1"/>
        <v>25.69999999999709</v>
      </c>
      <c r="D21" s="10">
        <f t="shared" si="2"/>
        <v>78.898999999991062</v>
      </c>
      <c r="E21" s="7">
        <f>'[8]June Prod'!E20</f>
        <v>19000000</v>
      </c>
      <c r="F21" s="8">
        <f t="shared" si="3"/>
        <v>19</v>
      </c>
      <c r="G21" s="10">
        <f t="shared" si="4"/>
        <v>58.33</v>
      </c>
      <c r="H21" s="7">
        <f>'[8]June Prod'!F20</f>
        <v>8290000.0000000009</v>
      </c>
      <c r="I21" s="8">
        <f t="shared" si="5"/>
        <v>8.2900000000000009</v>
      </c>
      <c r="J21" s="10">
        <f t="shared" si="6"/>
        <v>25.450300000000002</v>
      </c>
      <c r="K21" s="7">
        <f>'[8]June Prod'!H275</f>
        <v>1991701</v>
      </c>
      <c r="L21" s="8">
        <f t="shared" si="17"/>
        <v>1.9917009999999999</v>
      </c>
      <c r="M21" s="10">
        <f t="shared" si="7"/>
        <v>6.1145220699999996</v>
      </c>
      <c r="N21" s="21"/>
      <c r="O21" s="7">
        <f>'[8]June Prod'!H20</f>
        <v>4160000</v>
      </c>
      <c r="P21" s="8">
        <f t="shared" si="8"/>
        <v>4.16</v>
      </c>
      <c r="Q21" s="10">
        <f t="shared" si="9"/>
        <v>12.7712</v>
      </c>
      <c r="R21" s="7">
        <f>'[8]June Prod'!C20</f>
        <v>4163000</v>
      </c>
      <c r="S21" s="8">
        <f t="shared" si="10"/>
        <v>4.1630000000000003</v>
      </c>
      <c r="T21" s="10">
        <f t="shared" si="11"/>
        <v>12.78041</v>
      </c>
      <c r="U21" s="7">
        <f>'[8]June Prod'!D20</f>
        <v>0</v>
      </c>
      <c r="V21" s="8">
        <f t="shared" si="12"/>
        <v>0</v>
      </c>
      <c r="W21" s="10">
        <f t="shared" si="13"/>
        <v>0</v>
      </c>
      <c r="X21" s="7">
        <f>'[8]June Prod'!D275</f>
        <v>3000.0000000001137</v>
      </c>
      <c r="Y21" s="8">
        <f t="shared" si="14"/>
        <v>3.0000000000001137E-3</v>
      </c>
      <c r="Z21" s="10">
        <f t="shared" si="15"/>
        <v>9.2100000000003481E-3</v>
      </c>
      <c r="AA21" s="15"/>
      <c r="AB21" s="7">
        <f t="shared" si="16"/>
        <v>29859999.999997091</v>
      </c>
      <c r="AC21" s="8">
        <f t="shared" si="16"/>
        <v>29.85999999999709</v>
      </c>
      <c r="AD21" s="8">
        <f t="shared" si="16"/>
        <v>91.67019999999107</v>
      </c>
      <c r="AF21" s="8">
        <f t="shared" si="18"/>
        <v>-8.5174922670461228E-16</v>
      </c>
    </row>
    <row r="22" spans="1:32" x14ac:dyDescent="0.2">
      <c r="A22" s="28">
        <v>38521</v>
      </c>
      <c r="B22" s="7">
        <f>'[8]June Prod'!I21</f>
        <v>23700000.000000726</v>
      </c>
      <c r="C22" s="8">
        <f t="shared" si="1"/>
        <v>23.700000000000728</v>
      </c>
      <c r="D22" s="10">
        <f t="shared" si="2"/>
        <v>72.759000000002231</v>
      </c>
      <c r="E22" s="7">
        <f>'[8]June Prod'!E21</f>
        <v>17000000</v>
      </c>
      <c r="F22" s="8">
        <f t="shared" si="3"/>
        <v>17</v>
      </c>
      <c r="G22" s="10">
        <f t="shared" si="4"/>
        <v>52.19</v>
      </c>
      <c r="H22" s="7">
        <f>'[8]June Prod'!F21</f>
        <v>7670000</v>
      </c>
      <c r="I22" s="8">
        <f t="shared" si="5"/>
        <v>7.67</v>
      </c>
      <c r="J22" s="10">
        <f t="shared" si="6"/>
        <v>23.546899999999997</v>
      </c>
      <c r="K22" s="7">
        <f>'[8]June Prod'!H276</f>
        <v>1944435</v>
      </c>
      <c r="L22" s="8">
        <f t="shared" si="17"/>
        <v>1.9444349999999999</v>
      </c>
      <c r="M22" s="10">
        <f t="shared" si="7"/>
        <v>5.9694154499999996</v>
      </c>
      <c r="N22" s="21"/>
      <c r="O22" s="7">
        <f>'[8]June Prod'!H21</f>
        <v>3848000</v>
      </c>
      <c r="P22" s="8">
        <f t="shared" si="8"/>
        <v>3.8479999999999999</v>
      </c>
      <c r="Q22" s="10">
        <f t="shared" si="9"/>
        <v>11.813359999999999</v>
      </c>
      <c r="R22" s="7">
        <f>'[8]June Prod'!C21</f>
        <v>3851000</v>
      </c>
      <c r="S22" s="8">
        <f t="shared" si="10"/>
        <v>3.851</v>
      </c>
      <c r="T22" s="10">
        <f t="shared" si="11"/>
        <v>11.822569999999999</v>
      </c>
      <c r="U22" s="7">
        <f>'[8]June Prod'!D21</f>
        <v>0</v>
      </c>
      <c r="V22" s="8">
        <f t="shared" si="12"/>
        <v>0</v>
      </c>
      <c r="W22" s="10">
        <f t="shared" si="13"/>
        <v>0</v>
      </c>
      <c r="X22" s="7">
        <f>'[8]June Prod'!D276</f>
        <v>3000.0000000001137</v>
      </c>
      <c r="Y22" s="8">
        <f t="shared" si="14"/>
        <v>3.0000000000001137E-3</v>
      </c>
      <c r="Z22" s="10">
        <f t="shared" si="15"/>
        <v>9.2100000000003481E-3</v>
      </c>
      <c r="AA22" s="15"/>
      <c r="AB22" s="7">
        <f t="shared" si="16"/>
        <v>27548000.000000726</v>
      </c>
      <c r="AC22" s="8">
        <f t="shared" si="16"/>
        <v>27.548000000000727</v>
      </c>
      <c r="AD22" s="8">
        <f t="shared" si="16"/>
        <v>84.572360000002234</v>
      </c>
      <c r="AF22" s="8">
        <f t="shared" si="18"/>
        <v>-8.5174922670461228E-16</v>
      </c>
    </row>
    <row r="23" spans="1:32" x14ac:dyDescent="0.2">
      <c r="A23" s="28">
        <v>38522</v>
      </c>
      <c r="B23" s="7">
        <f>'[8]June Prod'!I22</f>
        <v>29000000</v>
      </c>
      <c r="C23" s="8">
        <f t="shared" si="1"/>
        <v>29</v>
      </c>
      <c r="D23" s="10">
        <f t="shared" si="2"/>
        <v>89.03</v>
      </c>
      <c r="E23" s="7">
        <f>'[8]June Prod'!E22</f>
        <v>22000000</v>
      </c>
      <c r="F23" s="8">
        <f t="shared" si="3"/>
        <v>22</v>
      </c>
      <c r="G23" s="10">
        <f t="shared" si="4"/>
        <v>67.539999999999992</v>
      </c>
      <c r="H23" s="7">
        <f>'[8]June Prod'!F22</f>
        <v>8000000</v>
      </c>
      <c r="I23" s="8">
        <f t="shared" si="5"/>
        <v>8</v>
      </c>
      <c r="J23" s="10">
        <f t="shared" si="6"/>
        <v>24.56</v>
      </c>
      <c r="K23" s="7">
        <f>'[8]June Prod'!H277</f>
        <v>2238570</v>
      </c>
      <c r="L23" s="8">
        <f t="shared" si="17"/>
        <v>2.2385700000000002</v>
      </c>
      <c r="M23" s="10">
        <f t="shared" si="7"/>
        <v>6.8724099000000001</v>
      </c>
      <c r="N23" s="21"/>
      <c r="O23" s="7">
        <f>'[8]June Prod'!H22</f>
        <v>4777000</v>
      </c>
      <c r="P23" s="8">
        <f t="shared" si="8"/>
        <v>4.7770000000000001</v>
      </c>
      <c r="Q23" s="10">
        <f t="shared" si="9"/>
        <v>14.66539</v>
      </c>
      <c r="R23" s="7">
        <f>'[8]June Prod'!C22</f>
        <v>4780000</v>
      </c>
      <c r="S23" s="8">
        <f t="shared" ref="S23" si="19">R23/1000000</f>
        <v>4.78</v>
      </c>
      <c r="T23" s="10">
        <f t="shared" ref="T23" si="20">S23*3.07</f>
        <v>14.6746</v>
      </c>
      <c r="U23" s="7">
        <f>'[8]June Prod'!D22</f>
        <v>0</v>
      </c>
      <c r="V23" s="8">
        <f t="shared" si="12"/>
        <v>0</v>
      </c>
      <c r="W23" s="10">
        <f t="shared" si="13"/>
        <v>0</v>
      </c>
      <c r="X23" s="7">
        <f>'[8]June Prod'!D277</f>
        <v>3000</v>
      </c>
      <c r="Y23" s="8">
        <f t="shared" si="14"/>
        <v>3.0000000000000001E-3</v>
      </c>
      <c r="Z23" s="10">
        <f t="shared" si="15"/>
        <v>9.2099999999999994E-3</v>
      </c>
      <c r="AA23" s="15"/>
      <c r="AB23" s="7">
        <f t="shared" si="16"/>
        <v>33777000</v>
      </c>
      <c r="AC23" s="8">
        <f t="shared" si="16"/>
        <v>33.777000000000001</v>
      </c>
      <c r="AD23" s="8">
        <f t="shared" si="16"/>
        <v>103.69539</v>
      </c>
      <c r="AF23" s="8">
        <f t="shared" si="18"/>
        <v>-5.0306980803327406E-16</v>
      </c>
    </row>
    <row r="24" spans="1:32" x14ac:dyDescent="0.2">
      <c r="A24" s="28">
        <v>38523</v>
      </c>
      <c r="B24" s="7">
        <f>'[8]June Prod'!I23</f>
        <v>26799999.999999274</v>
      </c>
      <c r="C24" s="8">
        <f t="shared" si="1"/>
        <v>26.799999999999272</v>
      </c>
      <c r="D24" s="10">
        <f t="shared" si="2"/>
        <v>82.275999999997765</v>
      </c>
      <c r="E24" s="7">
        <f>'[8]June Prod'!E23</f>
        <v>21000000</v>
      </c>
      <c r="F24" s="8">
        <f t="shared" si="3"/>
        <v>21</v>
      </c>
      <c r="G24" s="10">
        <f t="shared" si="4"/>
        <v>64.47</v>
      </c>
      <c r="H24" s="7">
        <f>'[8]June Prod'!F23</f>
        <v>7990000</v>
      </c>
      <c r="I24" s="8">
        <f t="shared" si="5"/>
        <v>7.99</v>
      </c>
      <c r="J24" s="10">
        <f t="shared" si="6"/>
        <v>24.529299999999999</v>
      </c>
      <c r="K24" s="7">
        <f>'[8]June Prod'!H278</f>
        <v>2106267</v>
      </c>
      <c r="L24" s="8">
        <f t="shared" si="17"/>
        <v>2.1062669999999999</v>
      </c>
      <c r="M24" s="10">
        <f t="shared" si="7"/>
        <v>6.4662396899999992</v>
      </c>
      <c r="N24" s="21"/>
      <c r="O24" s="7">
        <f>'[8]June Prod'!H23</f>
        <v>7524000</v>
      </c>
      <c r="P24" s="8">
        <f t="shared" si="8"/>
        <v>7.524</v>
      </c>
      <c r="Q24" s="10">
        <f t="shared" si="9"/>
        <v>23.098679999999998</v>
      </c>
      <c r="R24" s="7">
        <f>'[8]June Prod'!C23</f>
        <v>8158000</v>
      </c>
      <c r="S24" s="8">
        <f t="shared" si="10"/>
        <v>8.1579999999999995</v>
      </c>
      <c r="T24" s="10">
        <f t="shared" si="11"/>
        <v>25.045059999999996</v>
      </c>
      <c r="U24" s="7">
        <f>'[8]June Prod'!D23</f>
        <v>0</v>
      </c>
      <c r="V24" s="8">
        <f t="shared" si="12"/>
        <v>0</v>
      </c>
      <c r="W24" s="10">
        <f t="shared" si="13"/>
        <v>0</v>
      </c>
      <c r="X24" s="7">
        <f>'[8]June Prod'!D278</f>
        <v>634000</v>
      </c>
      <c r="Y24" s="8">
        <f t="shared" si="14"/>
        <v>0.63400000000000001</v>
      </c>
      <c r="Z24" s="10">
        <f t="shared" si="15"/>
        <v>1.94638</v>
      </c>
      <c r="AA24" s="15"/>
      <c r="AB24" s="7">
        <f t="shared" si="16"/>
        <v>34323999.99999927</v>
      </c>
      <c r="AC24" s="8">
        <f t="shared" si="16"/>
        <v>34.323999999999273</v>
      </c>
      <c r="AD24" s="8">
        <f t="shared" si="16"/>
        <v>105.37467999999777</v>
      </c>
      <c r="AF24" s="8">
        <f t="shared" si="18"/>
        <v>-2.2204460492503131E-15</v>
      </c>
    </row>
    <row r="25" spans="1:32" x14ac:dyDescent="0.2">
      <c r="A25" s="28">
        <v>38524</v>
      </c>
      <c r="B25" s="7">
        <f>'[8]June Prod'!I24</f>
        <v>26500000</v>
      </c>
      <c r="C25" s="8">
        <f t="shared" si="1"/>
        <v>26.5</v>
      </c>
      <c r="D25" s="10">
        <f t="shared" si="2"/>
        <v>81.35499999999999</v>
      </c>
      <c r="E25" s="7">
        <f>'[8]June Prod'!E24</f>
        <v>19000000</v>
      </c>
      <c r="F25" s="8">
        <f t="shared" si="3"/>
        <v>19</v>
      </c>
      <c r="G25" s="10">
        <f t="shared" si="4"/>
        <v>58.33</v>
      </c>
      <c r="H25" s="7">
        <f>'[8]June Prod'!F24</f>
        <v>7980000</v>
      </c>
      <c r="I25" s="8">
        <f t="shared" si="5"/>
        <v>7.98</v>
      </c>
      <c r="J25" s="10">
        <f t="shared" si="6"/>
        <v>24.4986</v>
      </c>
      <c r="K25" s="7">
        <f>'[8]June Prod'!H279</f>
        <v>2004235</v>
      </c>
      <c r="L25" s="8">
        <f t="shared" si="17"/>
        <v>2.004235</v>
      </c>
      <c r="M25" s="10">
        <f t="shared" si="7"/>
        <v>6.1530014499999997</v>
      </c>
      <c r="N25" s="21"/>
      <c r="O25" s="7">
        <f>'[8]June Prod'!H24</f>
        <v>8102000</v>
      </c>
      <c r="P25" s="8">
        <f t="shared" si="8"/>
        <v>8.1020000000000003</v>
      </c>
      <c r="Q25" s="10">
        <f t="shared" si="9"/>
        <v>24.873139999999999</v>
      </c>
      <c r="R25" s="7">
        <f>'[8]June Prod'!C24</f>
        <v>8381000</v>
      </c>
      <c r="S25" s="8">
        <f t="shared" si="10"/>
        <v>8.3810000000000002</v>
      </c>
      <c r="T25" s="10">
        <f t="shared" si="11"/>
        <v>25.729669999999999</v>
      </c>
      <c r="U25" s="7">
        <f>'[8]June Prod'!D24</f>
        <v>0</v>
      </c>
      <c r="V25" s="8">
        <f t="shared" si="12"/>
        <v>0</v>
      </c>
      <c r="W25" s="10">
        <f t="shared" si="13"/>
        <v>0</v>
      </c>
      <c r="X25" s="7">
        <f>'[8]June Prod'!D279</f>
        <v>279000</v>
      </c>
      <c r="Y25" s="8">
        <f t="shared" si="14"/>
        <v>0.27900000000000003</v>
      </c>
      <c r="Z25" s="10">
        <f t="shared" si="15"/>
        <v>0.85653000000000001</v>
      </c>
      <c r="AA25" s="15"/>
      <c r="AB25" s="7">
        <f t="shared" si="16"/>
        <v>34602000</v>
      </c>
      <c r="AC25" s="8">
        <f t="shared" si="16"/>
        <v>34.602000000000004</v>
      </c>
      <c r="AD25" s="8">
        <f t="shared" si="16"/>
        <v>106.22814</v>
      </c>
      <c r="AF25" s="8">
        <f t="shared" si="18"/>
        <v>0</v>
      </c>
    </row>
    <row r="26" spans="1:32" x14ac:dyDescent="0.2">
      <c r="A26" s="28">
        <v>38525</v>
      </c>
      <c r="B26" s="7">
        <f>'[8]June Prod'!I25</f>
        <v>28600000.000002183</v>
      </c>
      <c r="C26" s="8">
        <f t="shared" si="1"/>
        <v>28.600000000002183</v>
      </c>
      <c r="D26" s="10">
        <f t="shared" si="2"/>
        <v>87.8020000000067</v>
      </c>
      <c r="E26" s="7">
        <f>'[8]June Prod'!E25</f>
        <v>22000000</v>
      </c>
      <c r="F26" s="8">
        <f t="shared" si="3"/>
        <v>22</v>
      </c>
      <c r="G26" s="10">
        <f t="shared" si="4"/>
        <v>67.539999999999992</v>
      </c>
      <c r="H26" s="7">
        <f>'[8]June Prod'!F25</f>
        <v>7990000</v>
      </c>
      <c r="I26" s="8">
        <f t="shared" si="5"/>
        <v>7.99</v>
      </c>
      <c r="J26" s="10">
        <f t="shared" si="6"/>
        <v>24.529299999999999</v>
      </c>
      <c r="K26" s="7">
        <f>'[8]June Prod'!H280</f>
        <v>2176282</v>
      </c>
      <c r="L26" s="8">
        <f t="shared" si="17"/>
        <v>2.176282</v>
      </c>
      <c r="M26" s="10">
        <f t="shared" si="7"/>
        <v>6.6811857400000001</v>
      </c>
      <c r="N26" s="21"/>
      <c r="O26" s="7">
        <f>'[8]June Prod'!H25</f>
        <v>6977000</v>
      </c>
      <c r="P26" s="8">
        <f t="shared" si="8"/>
        <v>6.9770000000000003</v>
      </c>
      <c r="Q26" s="10">
        <f t="shared" si="9"/>
        <v>21.41939</v>
      </c>
      <c r="R26" s="7">
        <f>'[8]June Prod'!C25</f>
        <v>7281000</v>
      </c>
      <c r="S26" s="8">
        <f t="shared" si="10"/>
        <v>7.2809999999999997</v>
      </c>
      <c r="T26" s="10">
        <f t="shared" si="11"/>
        <v>22.352669999999996</v>
      </c>
      <c r="U26" s="7">
        <f>'[8]June Prod'!D25</f>
        <v>0</v>
      </c>
      <c r="V26" s="8">
        <f t="shared" si="12"/>
        <v>0</v>
      </c>
      <c r="W26" s="10">
        <f t="shared" si="13"/>
        <v>0</v>
      </c>
      <c r="X26" s="7">
        <f>'[8]June Prod'!D280</f>
        <v>304000.00000000006</v>
      </c>
      <c r="Y26" s="8">
        <f t="shared" si="14"/>
        <v>0.30400000000000005</v>
      </c>
      <c r="Z26" s="10">
        <f t="shared" si="15"/>
        <v>0.93328000000000011</v>
      </c>
      <c r="AA26" s="15"/>
      <c r="AB26" s="7">
        <f t="shared" si="16"/>
        <v>35577000.000002183</v>
      </c>
      <c r="AC26" s="8">
        <f t="shared" si="16"/>
        <v>35.577000000002187</v>
      </c>
      <c r="AD26" s="8">
        <f t="shared" si="16"/>
        <v>109.22139000000669</v>
      </c>
      <c r="AF26" s="8">
        <f t="shared" si="18"/>
        <v>-3.7747582837255322E-15</v>
      </c>
    </row>
    <row r="27" spans="1:32" x14ac:dyDescent="0.2">
      <c r="A27" s="28">
        <v>38526</v>
      </c>
      <c r="B27" s="7">
        <f>'[8]June Prod'!I26</f>
        <v>31500000</v>
      </c>
      <c r="C27" s="8">
        <f t="shared" si="1"/>
        <v>31.5</v>
      </c>
      <c r="D27" s="10">
        <f t="shared" si="2"/>
        <v>96.704999999999998</v>
      </c>
      <c r="E27" s="7">
        <f>'[8]June Prod'!E26</f>
        <v>26000000</v>
      </c>
      <c r="F27" s="8">
        <f t="shared" si="3"/>
        <v>26</v>
      </c>
      <c r="G27" s="10">
        <f t="shared" si="4"/>
        <v>79.819999999999993</v>
      </c>
      <c r="H27" s="7">
        <f>'[8]June Prod'!F26</f>
        <v>7800000</v>
      </c>
      <c r="I27" s="8">
        <f t="shared" si="5"/>
        <v>7.8</v>
      </c>
      <c r="J27" s="10">
        <f t="shared" si="6"/>
        <v>23.945999999999998</v>
      </c>
      <c r="K27" s="7">
        <f>'[8]June Prod'!H281</f>
        <v>2488111</v>
      </c>
      <c r="L27" s="8">
        <f t="shared" si="17"/>
        <v>2.488111</v>
      </c>
      <c r="M27" s="10">
        <f t="shared" si="7"/>
        <v>7.6385007699999994</v>
      </c>
      <c r="N27" s="21"/>
      <c r="O27" s="7">
        <f>'[8]June Prod'!H26</f>
        <v>7549000</v>
      </c>
      <c r="P27" s="8">
        <f t="shared" si="8"/>
        <v>7.5490000000000004</v>
      </c>
      <c r="Q27" s="10">
        <f t="shared" si="9"/>
        <v>23.175429999999999</v>
      </c>
      <c r="R27" s="7">
        <f>'[8]June Prod'!C26</f>
        <v>7793000</v>
      </c>
      <c r="S27" s="8">
        <f t="shared" si="10"/>
        <v>7.7930000000000001</v>
      </c>
      <c r="T27" s="10">
        <f t="shared" si="11"/>
        <v>23.924509999999998</v>
      </c>
      <c r="U27" s="7">
        <f>'[8]June Prod'!D26</f>
        <v>0</v>
      </c>
      <c r="V27" s="8">
        <f t="shared" si="12"/>
        <v>0</v>
      </c>
      <c r="W27" s="10">
        <f t="shared" si="13"/>
        <v>0</v>
      </c>
      <c r="X27" s="7">
        <f>'[8]June Prod'!D281</f>
        <v>244000</v>
      </c>
      <c r="Y27" s="8">
        <f t="shared" si="14"/>
        <v>0.24399999999999999</v>
      </c>
      <c r="Z27" s="10">
        <f t="shared" si="15"/>
        <v>0.74907999999999997</v>
      </c>
      <c r="AA27" s="15"/>
      <c r="AB27" s="7">
        <f t="shared" si="16"/>
        <v>39049000</v>
      </c>
      <c r="AC27" s="8">
        <f t="shared" si="16"/>
        <v>39.048999999999999</v>
      </c>
      <c r="AD27" s="8">
        <f t="shared" si="16"/>
        <v>119.88042999999999</v>
      </c>
      <c r="AF27" s="8">
        <f t="shared" si="18"/>
        <v>0</v>
      </c>
    </row>
    <row r="28" spans="1:32" x14ac:dyDescent="0.2">
      <c r="A28" s="28">
        <v>38527</v>
      </c>
      <c r="B28" s="7">
        <f>'[8]June Prod'!I27</f>
        <v>19099999.999998543</v>
      </c>
      <c r="C28" s="8">
        <f t="shared" si="1"/>
        <v>19.099999999998545</v>
      </c>
      <c r="D28" s="10">
        <f t="shared" si="2"/>
        <v>58.636999999995531</v>
      </c>
      <c r="E28" s="7">
        <f>'[8]June Prod'!E27</f>
        <v>11000000</v>
      </c>
      <c r="F28" s="8">
        <f t="shared" si="3"/>
        <v>11</v>
      </c>
      <c r="G28" s="10">
        <f t="shared" si="4"/>
        <v>33.769999999999996</v>
      </c>
      <c r="H28" s="7">
        <f>'[8]June Prod'!F27</f>
        <v>7970000</v>
      </c>
      <c r="I28" s="8">
        <f t="shared" si="5"/>
        <v>7.97</v>
      </c>
      <c r="J28" s="10">
        <f t="shared" si="6"/>
        <v>24.467899999999997</v>
      </c>
      <c r="K28" s="7">
        <f>'[8]June Prod'!H282</f>
        <v>1583903</v>
      </c>
      <c r="L28" s="8">
        <f t="shared" si="17"/>
        <v>1.5839030000000001</v>
      </c>
      <c r="M28" s="10">
        <f t="shared" si="7"/>
        <v>4.8625822100000002</v>
      </c>
      <c r="N28" s="21"/>
      <c r="O28" s="7">
        <f>'[8]June Prod'!H27</f>
        <v>5540000</v>
      </c>
      <c r="P28" s="8">
        <f t="shared" si="8"/>
        <v>5.54</v>
      </c>
      <c r="Q28" s="10">
        <f t="shared" si="9"/>
        <v>17.0078</v>
      </c>
      <c r="R28" s="7">
        <f>'[8]June Prod'!C27</f>
        <v>5784000</v>
      </c>
      <c r="S28" s="8">
        <f t="shared" si="10"/>
        <v>5.7839999999999998</v>
      </c>
      <c r="T28" s="10">
        <f t="shared" si="11"/>
        <v>17.756879999999999</v>
      </c>
      <c r="U28" s="7">
        <f>'[8]June Prod'!D27</f>
        <v>0</v>
      </c>
      <c r="V28" s="8">
        <f t="shared" si="12"/>
        <v>0</v>
      </c>
      <c r="W28" s="10">
        <f t="shared" si="13"/>
        <v>0</v>
      </c>
      <c r="X28" s="7">
        <f>'[8]June Prod'!D282</f>
        <v>244000</v>
      </c>
      <c r="Y28" s="8">
        <f t="shared" si="14"/>
        <v>0.24399999999999999</v>
      </c>
      <c r="Z28" s="10">
        <f t="shared" si="15"/>
        <v>0.74907999999999997</v>
      </c>
      <c r="AA28" s="15"/>
      <c r="AB28" s="7">
        <f t="shared" si="16"/>
        <v>24639999.999998543</v>
      </c>
      <c r="AC28" s="8">
        <f t="shared" si="16"/>
        <v>24.639999999998544</v>
      </c>
      <c r="AD28" s="8">
        <f t="shared" si="16"/>
        <v>75.644799999995527</v>
      </c>
      <c r="AF28" s="8">
        <f t="shared" si="18"/>
        <v>0</v>
      </c>
    </row>
    <row r="29" spans="1:32" x14ac:dyDescent="0.2">
      <c r="A29" s="28">
        <v>38528</v>
      </c>
      <c r="B29" s="7">
        <f>'[8]June Prod'!I28</f>
        <v>23100000.000002183</v>
      </c>
      <c r="C29" s="8">
        <f t="shared" si="1"/>
        <v>23.100000000002183</v>
      </c>
      <c r="D29" s="10">
        <f t="shared" si="2"/>
        <v>70.917000000006695</v>
      </c>
      <c r="E29" s="7">
        <f>'[8]June Prod'!E28</f>
        <v>13000000</v>
      </c>
      <c r="F29" s="8">
        <f t="shared" si="3"/>
        <v>13</v>
      </c>
      <c r="G29" s="10">
        <f t="shared" si="4"/>
        <v>39.909999999999997</v>
      </c>
      <c r="H29" s="7">
        <f>'[8]June Prod'!F28</f>
        <v>10330000</v>
      </c>
      <c r="I29" s="8">
        <f t="shared" si="5"/>
        <v>10.33</v>
      </c>
      <c r="J29" s="10">
        <f t="shared" si="6"/>
        <v>31.713099999999997</v>
      </c>
      <c r="K29" s="7">
        <f>'[8]June Prod'!H283</f>
        <v>1878771</v>
      </c>
      <c r="L29" s="8">
        <f>K29/1000000</f>
        <v>1.878771</v>
      </c>
      <c r="M29" s="10">
        <f t="shared" si="7"/>
        <v>5.7678269699999998</v>
      </c>
      <c r="N29" s="21"/>
      <c r="O29" s="7">
        <f>'[8]June Prod'!H28</f>
        <v>5005000</v>
      </c>
      <c r="P29" s="8">
        <f t="shared" si="8"/>
        <v>5.0049999999999999</v>
      </c>
      <c r="Q29" s="10">
        <f t="shared" si="9"/>
        <v>15.365349999999999</v>
      </c>
      <c r="R29" s="7">
        <f>'[8]June Prod'!C28</f>
        <v>5401000</v>
      </c>
      <c r="S29" s="8">
        <f t="shared" si="10"/>
        <v>5.4009999999999998</v>
      </c>
      <c r="T29" s="10">
        <f t="shared" si="11"/>
        <v>16.581069999999997</v>
      </c>
      <c r="U29" s="7">
        <f>'[8]June Prod'!D28</f>
        <v>0</v>
      </c>
      <c r="V29" s="8">
        <f t="shared" si="12"/>
        <v>0</v>
      </c>
      <c r="W29" s="10">
        <f t="shared" si="13"/>
        <v>0</v>
      </c>
      <c r="X29" s="7">
        <f>'[8]June Prod'!D283</f>
        <v>395999.99999999988</v>
      </c>
      <c r="Y29" s="8">
        <f t="shared" si="14"/>
        <v>0.39599999999999991</v>
      </c>
      <c r="Z29" s="10">
        <f t="shared" si="15"/>
        <v>1.2157199999999997</v>
      </c>
      <c r="AA29" s="15"/>
      <c r="AB29" s="7">
        <f t="shared" si="16"/>
        <v>28105000.000002183</v>
      </c>
      <c r="AC29" s="8">
        <f t="shared" si="16"/>
        <v>28.105000000002182</v>
      </c>
      <c r="AD29" s="8">
        <f t="shared" si="16"/>
        <v>86.282350000006687</v>
      </c>
      <c r="AF29" s="8">
        <f t="shared" si="18"/>
        <v>-2.2204460492503131E-15</v>
      </c>
    </row>
    <row r="30" spans="1:32" x14ac:dyDescent="0.2">
      <c r="A30" s="28">
        <v>38529</v>
      </c>
      <c r="B30" s="7">
        <f>'[8]June Prod'!I29</f>
        <v>26899999.999997817</v>
      </c>
      <c r="C30" s="8">
        <f t="shared" si="1"/>
        <v>26.899999999997817</v>
      </c>
      <c r="D30" s="10">
        <f t="shared" si="2"/>
        <v>82.582999999993291</v>
      </c>
      <c r="E30" s="7">
        <f>'[8]June Prod'!E29</f>
        <v>10000000</v>
      </c>
      <c r="F30" s="8">
        <f t="shared" si="3"/>
        <v>10</v>
      </c>
      <c r="G30" s="10">
        <f t="shared" si="4"/>
        <v>30.7</v>
      </c>
      <c r="H30" s="7">
        <f>'[8]June Prod'!F29</f>
        <v>18440000</v>
      </c>
      <c r="I30" s="8">
        <f t="shared" si="5"/>
        <v>18.440000000000001</v>
      </c>
      <c r="J30" s="10">
        <f t="shared" si="6"/>
        <v>56.610799999999998</v>
      </c>
      <c r="K30" s="7">
        <f>'[8]June Prod'!H284</f>
        <v>2109214</v>
      </c>
      <c r="L30" s="8">
        <f t="shared" si="17"/>
        <v>2.1092140000000001</v>
      </c>
      <c r="M30" s="10">
        <f t="shared" si="7"/>
        <v>6.4752869799999999</v>
      </c>
      <c r="N30" s="21"/>
      <c r="O30" s="7">
        <f>'[8]June Prod'!H29</f>
        <v>9825000</v>
      </c>
      <c r="P30" s="8">
        <f t="shared" si="8"/>
        <v>9.8249999999999993</v>
      </c>
      <c r="Q30" s="10">
        <f t="shared" si="9"/>
        <v>30.162749999999996</v>
      </c>
      <c r="R30" s="7">
        <f>'[8]June Prod'!C29</f>
        <v>10076000</v>
      </c>
      <c r="S30" s="8">
        <f t="shared" si="10"/>
        <v>10.076000000000001</v>
      </c>
      <c r="T30" s="10">
        <f t="shared" si="11"/>
        <v>30.933319999999998</v>
      </c>
      <c r="U30" s="7">
        <f>'[8]June Prod'!D29</f>
        <v>0</v>
      </c>
      <c r="V30" s="8">
        <f t="shared" si="12"/>
        <v>0</v>
      </c>
      <c r="W30" s="10">
        <f t="shared" si="13"/>
        <v>0</v>
      </c>
      <c r="X30" s="7">
        <f>'[8]June Prod'!D284</f>
        <v>250999.99999999988</v>
      </c>
      <c r="Y30" s="8">
        <f t="shared" si="14"/>
        <v>0.25099999999999989</v>
      </c>
      <c r="Z30" s="10">
        <f t="shared" si="15"/>
        <v>0.77056999999999964</v>
      </c>
      <c r="AA30" s="15"/>
      <c r="AB30" s="7">
        <f t="shared" si="16"/>
        <v>36724999.999997817</v>
      </c>
      <c r="AC30" s="8">
        <f t="shared" si="16"/>
        <v>36.72499999999782</v>
      </c>
      <c r="AD30" s="8">
        <f t="shared" si="16"/>
        <v>112.74574999999328</v>
      </c>
      <c r="AF30" s="8">
        <f t="shared" si="18"/>
        <v>3.219646771412954E-15</v>
      </c>
    </row>
    <row r="31" spans="1:32" x14ac:dyDescent="0.2">
      <c r="A31" s="28">
        <v>38530</v>
      </c>
      <c r="B31" s="7">
        <f>'[8]June Prod'!I30</f>
        <v>29900000.000001457</v>
      </c>
      <c r="C31" s="8">
        <f t="shared" si="1"/>
        <v>29.900000000001455</v>
      </c>
      <c r="D31" s="10">
        <f t="shared" si="2"/>
        <v>91.793000000004469</v>
      </c>
      <c r="E31" s="7">
        <f>'[8]June Prod'!E30</f>
        <v>11000000</v>
      </c>
      <c r="F31" s="8">
        <f t="shared" si="3"/>
        <v>11</v>
      </c>
      <c r="G31" s="10">
        <f t="shared" si="4"/>
        <v>33.769999999999996</v>
      </c>
      <c r="H31" s="7">
        <f>'[8]June Prod'!F30</f>
        <v>18200000</v>
      </c>
      <c r="I31" s="8">
        <f t="shared" si="5"/>
        <v>18.2</v>
      </c>
      <c r="J31" s="10">
        <f t="shared" si="6"/>
        <v>55.873999999999995</v>
      </c>
      <c r="K31" s="7">
        <f>'[8]June Prod'!H285</f>
        <v>2406070</v>
      </c>
      <c r="L31" s="8">
        <f t="shared" si="17"/>
        <v>2.4060700000000002</v>
      </c>
      <c r="M31" s="10">
        <f t="shared" si="7"/>
        <v>7.3866348999999998</v>
      </c>
      <c r="N31" s="21"/>
      <c r="O31" s="7">
        <f>'[8]June Prod'!H30</f>
        <v>8569000</v>
      </c>
      <c r="P31" s="8">
        <f t="shared" si="8"/>
        <v>8.5690000000000008</v>
      </c>
      <c r="Q31" s="10">
        <f t="shared" si="9"/>
        <v>26.306830000000001</v>
      </c>
      <c r="R31" s="7">
        <f>'[8]June Prod'!C30</f>
        <v>8753000</v>
      </c>
      <c r="S31" s="8">
        <f t="shared" si="10"/>
        <v>8.7530000000000001</v>
      </c>
      <c r="T31" s="10">
        <f t="shared" si="11"/>
        <v>26.87171</v>
      </c>
      <c r="U31" s="7">
        <f>'[8]June Prod'!D30</f>
        <v>0</v>
      </c>
      <c r="V31" s="8">
        <f t="shared" si="12"/>
        <v>0</v>
      </c>
      <c r="W31" s="10">
        <f t="shared" si="13"/>
        <v>0</v>
      </c>
      <c r="X31" s="7">
        <f>'[8]June Prod'!D285</f>
        <v>184000.00000000017</v>
      </c>
      <c r="Y31" s="8">
        <f t="shared" si="14"/>
        <v>0.18400000000000016</v>
      </c>
      <c r="Z31" s="10">
        <f t="shared" si="15"/>
        <v>0.56488000000000049</v>
      </c>
      <c r="AA31" s="15"/>
      <c r="AB31" s="7">
        <f t="shared" si="16"/>
        <v>38469000.00000146</v>
      </c>
      <c r="AC31" s="8">
        <f t="shared" si="16"/>
        <v>38.469000000001458</v>
      </c>
      <c r="AD31" s="8">
        <f t="shared" si="16"/>
        <v>118.09983000000447</v>
      </c>
      <c r="AF31" s="8">
        <f t="shared" si="18"/>
        <v>-1.7763568394002505E-15</v>
      </c>
    </row>
    <row r="32" spans="1:32" x14ac:dyDescent="0.2">
      <c r="A32" s="28">
        <v>38531</v>
      </c>
      <c r="B32" s="7">
        <f>'[8]June Prod'!I31</f>
        <v>29000000</v>
      </c>
      <c r="C32" s="8">
        <f t="shared" si="1"/>
        <v>29</v>
      </c>
      <c r="D32" s="10">
        <f t="shared" si="2"/>
        <v>89.03</v>
      </c>
      <c r="E32" s="7">
        <f>'[8]June Prod'!E31</f>
        <v>13000000</v>
      </c>
      <c r="F32" s="8">
        <f t="shared" si="3"/>
        <v>13</v>
      </c>
      <c r="G32" s="10">
        <f t="shared" si="4"/>
        <v>39.909999999999997</v>
      </c>
      <c r="H32" s="7">
        <f>'[8]June Prod'!F31</f>
        <v>16920000</v>
      </c>
      <c r="I32" s="8">
        <f t="shared" si="5"/>
        <v>16.920000000000002</v>
      </c>
      <c r="J32" s="10">
        <f t="shared" si="6"/>
        <v>51.944400000000002</v>
      </c>
      <c r="K32" s="7">
        <f>'[8]June Prod'!H286</f>
        <v>2310093</v>
      </c>
      <c r="L32" s="8">
        <f t="shared" si="17"/>
        <v>2.3100930000000002</v>
      </c>
      <c r="M32" s="10">
        <f t="shared" si="7"/>
        <v>7.0919855099999998</v>
      </c>
      <c r="N32" s="21"/>
      <c r="O32" s="7">
        <f>'[8]June Prod'!H31</f>
        <v>5501000</v>
      </c>
      <c r="P32" s="8">
        <f t="shared" si="8"/>
        <v>5.5010000000000003</v>
      </c>
      <c r="Q32" s="10">
        <f t="shared" si="9"/>
        <v>16.888069999999999</v>
      </c>
      <c r="R32" s="7">
        <f>'[8]June Prod'!C31</f>
        <v>5907000</v>
      </c>
      <c r="S32" s="8">
        <f t="shared" si="10"/>
        <v>5.907</v>
      </c>
      <c r="T32" s="10">
        <f t="shared" si="11"/>
        <v>18.13449</v>
      </c>
      <c r="U32" s="7">
        <f>'[8]June Prod'!D31</f>
        <v>0</v>
      </c>
      <c r="V32" s="8">
        <f t="shared" si="12"/>
        <v>0</v>
      </c>
      <c r="W32" s="10">
        <f t="shared" si="13"/>
        <v>0</v>
      </c>
      <c r="X32" s="7">
        <f>'[8]June Prod'!D286</f>
        <v>406000.00000000012</v>
      </c>
      <c r="Y32" s="8">
        <f t="shared" si="14"/>
        <v>0.40600000000000014</v>
      </c>
      <c r="Z32" s="10">
        <f t="shared" si="15"/>
        <v>1.2464200000000003</v>
      </c>
      <c r="AA32" s="15"/>
      <c r="AB32" s="7">
        <f t="shared" si="16"/>
        <v>34501000</v>
      </c>
      <c r="AC32" s="8">
        <f>C32+P32</f>
        <v>34.500999999999998</v>
      </c>
      <c r="AD32" s="8">
        <f>D32+Q32</f>
        <v>105.91807</v>
      </c>
      <c r="AF32" s="8">
        <f t="shared" si="18"/>
        <v>0</v>
      </c>
    </row>
    <row r="33" spans="1:32" x14ac:dyDescent="0.2">
      <c r="A33" s="28">
        <v>38532</v>
      </c>
      <c r="B33" s="7">
        <f>'[8]June Prod'!I32</f>
        <v>23099999.999998543</v>
      </c>
      <c r="C33" s="8">
        <f t="shared" si="1"/>
        <v>23.099999999998545</v>
      </c>
      <c r="D33" s="10">
        <f t="shared" si="2"/>
        <v>70.916999999995525</v>
      </c>
      <c r="E33" s="7">
        <f>'[8]June Prod'!E32</f>
        <v>10000000</v>
      </c>
      <c r="F33" s="8">
        <f t="shared" si="3"/>
        <v>10</v>
      </c>
      <c r="G33" s="10">
        <f t="shared" si="4"/>
        <v>30.7</v>
      </c>
      <c r="H33" s="7">
        <f>'[8]June Prod'!F32</f>
        <v>13250000</v>
      </c>
      <c r="I33" s="8">
        <f t="shared" si="5"/>
        <v>13.25</v>
      </c>
      <c r="J33" s="10">
        <f t="shared" si="6"/>
        <v>40.677499999999995</v>
      </c>
      <c r="K33" s="7">
        <f>'[8]June Prod'!H287</f>
        <v>1766067</v>
      </c>
      <c r="L33" s="8">
        <f t="shared" si="17"/>
        <v>1.7660670000000001</v>
      </c>
      <c r="M33" s="10">
        <f t="shared" si="7"/>
        <v>5.4218256899999995</v>
      </c>
      <c r="N33" s="21"/>
      <c r="O33" s="7">
        <f>'[8]June Prod'!H32</f>
        <v>10309000</v>
      </c>
      <c r="P33" s="8">
        <f t="shared" si="8"/>
        <v>10.308999999999999</v>
      </c>
      <c r="Q33" s="10">
        <f t="shared" si="9"/>
        <v>31.648629999999997</v>
      </c>
      <c r="R33" s="7">
        <f>'[8]June Prod'!C32</f>
        <v>10560000</v>
      </c>
      <c r="S33" s="8">
        <f t="shared" si="10"/>
        <v>10.56</v>
      </c>
      <c r="T33" s="10">
        <f t="shared" si="11"/>
        <v>32.419199999999996</v>
      </c>
      <c r="U33" s="7">
        <f>'[8]June Prod'!D32</f>
        <v>0</v>
      </c>
      <c r="V33" s="8">
        <f t="shared" si="12"/>
        <v>0</v>
      </c>
      <c r="W33" s="10">
        <f t="shared" si="13"/>
        <v>0</v>
      </c>
      <c r="X33" s="7">
        <f>'[8]June Prod'!D287</f>
        <v>250999.99999999988</v>
      </c>
      <c r="Y33" s="8">
        <f t="shared" si="14"/>
        <v>0.25099999999999989</v>
      </c>
      <c r="Z33" s="10">
        <f t="shared" si="15"/>
        <v>0.77056999999999964</v>
      </c>
      <c r="AA33" s="15"/>
      <c r="AB33" s="7">
        <f t="shared" si="16"/>
        <v>33408999.999998543</v>
      </c>
      <c r="AC33" s="8">
        <f t="shared" si="16"/>
        <v>33.408999999998542</v>
      </c>
      <c r="AD33" s="8">
        <f t="shared" si="16"/>
        <v>102.56562999999552</v>
      </c>
      <c r="AF33" s="8">
        <f t="shared" si="18"/>
        <v>0</v>
      </c>
    </row>
    <row r="34" spans="1:32" ht="13.5" thickBot="1" x14ac:dyDescent="0.25">
      <c r="A34" s="28">
        <v>38533</v>
      </c>
      <c r="B34" s="7">
        <f>'[8]June Prod'!I33</f>
        <v>25900000.000001457</v>
      </c>
      <c r="C34" s="8">
        <f t="shared" si="1"/>
        <v>25.900000000001455</v>
      </c>
      <c r="D34" s="10">
        <f t="shared" si="2"/>
        <v>79.513000000004467</v>
      </c>
      <c r="E34" s="7">
        <f>'[8]June Prod'!E33</f>
        <v>12000000</v>
      </c>
      <c r="F34" s="8">
        <f t="shared" si="3"/>
        <v>12</v>
      </c>
      <c r="G34" s="10">
        <f t="shared" si="4"/>
        <v>36.839999999999996</v>
      </c>
      <c r="H34" s="7">
        <f>'[8]June Prod'!F33</f>
        <v>13930000</v>
      </c>
      <c r="I34" s="8">
        <f t="shared" si="5"/>
        <v>13.93</v>
      </c>
      <c r="J34" s="10">
        <f t="shared" si="6"/>
        <v>42.765099999999997</v>
      </c>
      <c r="K34" s="7" t="e">
        <f>'[8]June Prod'!H288</f>
        <v>#REF!</v>
      </c>
      <c r="L34" s="8" t="e">
        <f t="shared" si="17"/>
        <v>#REF!</v>
      </c>
      <c r="M34" s="10" t="e">
        <f t="shared" si="7"/>
        <v>#REF!</v>
      </c>
      <c r="N34" s="21"/>
      <c r="O34" s="7">
        <f>'[8]June Prod'!H33</f>
        <v>12026000</v>
      </c>
      <c r="P34" s="8">
        <f t="shared" si="8"/>
        <v>12.026</v>
      </c>
      <c r="Q34" s="10">
        <f t="shared" si="9"/>
        <v>36.919819999999994</v>
      </c>
      <c r="R34" s="7">
        <f>'[8]June Prod'!C33</f>
        <v>12303000</v>
      </c>
      <c r="S34" s="8">
        <f t="shared" si="10"/>
        <v>12.303000000000001</v>
      </c>
      <c r="T34" s="10">
        <f t="shared" si="11"/>
        <v>37.770209999999999</v>
      </c>
      <c r="U34" s="7">
        <f>'[8]June Prod'!D33</f>
        <v>0</v>
      </c>
      <c r="V34" s="8">
        <f t="shared" si="12"/>
        <v>0</v>
      </c>
      <c r="W34" s="10">
        <f t="shared" si="13"/>
        <v>0</v>
      </c>
      <c r="X34" s="7" t="e">
        <f>'[8]June Prod'!D288</f>
        <v>#REF!</v>
      </c>
      <c r="Y34" s="8" t="e">
        <f t="shared" si="14"/>
        <v>#REF!</v>
      </c>
      <c r="Z34" s="10" t="e">
        <f t="shared" si="15"/>
        <v>#REF!</v>
      </c>
      <c r="AA34" s="15"/>
      <c r="AB34" s="7">
        <f t="shared" si="16"/>
        <v>37926000.00000146</v>
      </c>
      <c r="AC34" s="8">
        <f t="shared" si="16"/>
        <v>37.926000000001451</v>
      </c>
      <c r="AD34" s="8">
        <f t="shared" si="16"/>
        <v>116.43282000000445</v>
      </c>
      <c r="AF34" s="8" t="e">
        <f t="shared" si="18"/>
        <v>#REF!</v>
      </c>
    </row>
    <row r="35" spans="1:32" ht="13.5" thickBot="1" x14ac:dyDescent="0.25">
      <c r="A35" s="3"/>
      <c r="B35" s="39"/>
      <c r="C35" s="40">
        <f>SUM(C5:C34)</f>
        <v>807.29999999999927</v>
      </c>
      <c r="D35" s="40">
        <f t="shared" si="2"/>
        <v>2478.4109999999978</v>
      </c>
      <c r="E35" s="39"/>
      <c r="F35" s="40">
        <f>SUM(F5:F34)</f>
        <v>590</v>
      </c>
      <c r="G35" s="40">
        <f t="shared" si="4"/>
        <v>1811.3</v>
      </c>
      <c r="H35" s="39"/>
      <c r="I35" s="40">
        <f>SUM(I5:I34)</f>
        <v>254.94000000000005</v>
      </c>
      <c r="J35" s="40">
        <f t="shared" si="6"/>
        <v>782.6658000000001</v>
      </c>
      <c r="K35" s="39"/>
      <c r="L35" s="40" t="e">
        <f>SUM(L5:L34)</f>
        <v>#REF!</v>
      </c>
      <c r="M35" s="40" t="e">
        <f t="shared" si="7"/>
        <v>#REF!</v>
      </c>
      <c r="N35" s="14"/>
      <c r="O35" s="39"/>
      <c r="P35" s="40">
        <f>SUM(P5:P34)</f>
        <v>131.69900000000001</v>
      </c>
      <c r="Q35" s="40">
        <f t="shared" si="9"/>
        <v>404.31593000000004</v>
      </c>
      <c r="R35" s="39"/>
      <c r="S35" s="40">
        <f>SUM(S5:S34)</f>
        <v>136.14700000000002</v>
      </c>
      <c r="T35" s="40">
        <f t="shared" si="11"/>
        <v>417.97129000000007</v>
      </c>
      <c r="U35" s="39"/>
      <c r="V35" s="40">
        <f>SUM(V5:V34)</f>
        <v>0</v>
      </c>
      <c r="W35" s="40">
        <f t="shared" si="13"/>
        <v>0</v>
      </c>
      <c r="X35" s="39"/>
      <c r="Y35" s="40" t="e">
        <f>SUM(Y5:Y34)</f>
        <v>#REF!</v>
      </c>
      <c r="Z35" s="40" t="e">
        <f t="shared" si="15"/>
        <v>#REF!</v>
      </c>
      <c r="AA35" s="14"/>
      <c r="AB35" s="39"/>
      <c r="AC35" s="40">
        <f>SUM(AC5:AC34)</f>
        <v>938.99899999999923</v>
      </c>
      <c r="AD35" s="40">
        <f>AC35*3.07</f>
        <v>2882.7269299999975</v>
      </c>
      <c r="AF35" s="40" t="e">
        <f>SUM(AF5:AF34)</f>
        <v>#REF!</v>
      </c>
    </row>
    <row r="36" spans="1:32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14"/>
      <c r="AF36" s="31"/>
    </row>
    <row r="43" spans="1:32" x14ac:dyDescent="0.2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J37"/>
  <sheetViews>
    <sheetView workbookViewId="0">
      <pane xSplit="1" ySplit="4" topLeftCell="B20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T35" sqref="T35"/>
    </sheetView>
  </sheetViews>
  <sheetFormatPr defaultRowHeight="12.75" x14ac:dyDescent="0.2"/>
  <cols>
    <col min="2" max="2" width="11.140625" customWidth="1"/>
    <col min="5" max="5" width="11.28515625" customWidth="1"/>
    <col min="8" max="8" width="13.5703125" customWidth="1"/>
    <col min="9" max="9" width="9.7109375" customWidth="1"/>
    <col min="10" max="10" width="11.5703125" customWidth="1"/>
    <col min="11" max="11" width="13.42578125" bestFit="1" customWidth="1"/>
    <col min="12" max="12" width="11.42578125" customWidth="1"/>
    <col min="15" max="15" width="11.140625" customWidth="1"/>
    <col min="18" max="18" width="11.140625" customWidth="1"/>
    <col min="22" max="22" width="10.5703125" customWidth="1"/>
    <col min="28" max="31" width="0" hidden="1" customWidth="1"/>
    <col min="32" max="32" width="12.140625" customWidth="1"/>
  </cols>
  <sheetData>
    <row r="1" spans="1:36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6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6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5</v>
      </c>
      <c r="AC3" s="66"/>
      <c r="AD3" s="67"/>
      <c r="AF3" s="68" t="s">
        <v>8</v>
      </c>
      <c r="AG3" s="69"/>
      <c r="AH3" s="70"/>
      <c r="AJ3" s="35" t="s">
        <v>9</v>
      </c>
    </row>
    <row r="4" spans="1:36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36" t="s">
        <v>0</v>
      </c>
      <c r="AG4" s="37" t="s">
        <v>1</v>
      </c>
      <c r="AH4" s="38" t="s">
        <v>2</v>
      </c>
      <c r="AJ4" s="5" t="s">
        <v>2</v>
      </c>
    </row>
    <row r="5" spans="1:36" x14ac:dyDescent="0.2">
      <c r="A5" s="28">
        <v>38534</v>
      </c>
      <c r="B5" s="7">
        <f>'[9]July Prod'!I4</f>
        <v>21500000</v>
      </c>
      <c r="C5" s="8">
        <f t="shared" ref="C5:C6" si="0">B5/1000000</f>
        <v>21.5</v>
      </c>
      <c r="D5" s="10">
        <f t="shared" ref="D5:D6" si="1">C5*3.07</f>
        <v>66.004999999999995</v>
      </c>
      <c r="E5" s="7">
        <f>'[9]July Prod'!E4</f>
        <v>10000000</v>
      </c>
      <c r="F5" s="8">
        <f>E5/1000000</f>
        <v>10</v>
      </c>
      <c r="G5" s="10">
        <f>F5*3.07</f>
        <v>30.7</v>
      </c>
      <c r="H5" s="7">
        <f>'[9]July Prod'!F4</f>
        <v>12200000.000000002</v>
      </c>
      <c r="I5" s="8">
        <f>H5/1000000</f>
        <v>12.200000000000001</v>
      </c>
      <c r="J5" s="10">
        <f>I5*3.07</f>
        <v>37.454000000000001</v>
      </c>
      <c r="K5" s="7">
        <f>'[9]July Prod'!H259</f>
        <v>1779855</v>
      </c>
      <c r="L5" s="8">
        <f>K5/1000000</f>
        <v>1.779855</v>
      </c>
      <c r="M5" s="10">
        <f>L5*3.07</f>
        <v>5.4641548499999999</v>
      </c>
      <c r="N5" s="21"/>
      <c r="O5" s="7">
        <f>'[9]July Prod'!H4</f>
        <v>7076000</v>
      </c>
      <c r="P5" s="8">
        <f>O5/1000000</f>
        <v>7.0759999999999996</v>
      </c>
      <c r="Q5" s="10">
        <f>P5*3.07</f>
        <v>21.723319999999998</v>
      </c>
      <c r="R5" s="7">
        <f>'[9]July Prod'!C4</f>
        <v>7652000</v>
      </c>
      <c r="S5" s="8">
        <f>R5/1000000</f>
        <v>7.6520000000000001</v>
      </c>
      <c r="T5" s="10">
        <f>S5*3.07</f>
        <v>23.49164</v>
      </c>
      <c r="U5" s="7">
        <f>'[9]July Prod'!D4</f>
        <v>0</v>
      </c>
      <c r="V5" s="8">
        <f>U5/1000000</f>
        <v>0</v>
      </c>
      <c r="W5" s="10">
        <f>V5*3.07</f>
        <v>0</v>
      </c>
      <c r="X5" s="7">
        <f>'[9]July Prod'!D259</f>
        <v>576000.00000000012</v>
      </c>
      <c r="Y5" s="8">
        <f>X5/1000000</f>
        <v>0.57600000000000007</v>
      </c>
      <c r="Z5" s="10">
        <f>Y5*3.07</f>
        <v>1.7683200000000001</v>
      </c>
      <c r="AA5" s="15"/>
      <c r="AB5" s="7">
        <f>'[9]July Prod'!G4</f>
        <v>0</v>
      </c>
      <c r="AC5" s="8">
        <f>AB5/1000000</f>
        <v>0</v>
      </c>
      <c r="AD5" s="10">
        <f>AC5*3.07</f>
        <v>0</v>
      </c>
      <c r="AF5" s="7">
        <f>B5+O5</f>
        <v>28576000</v>
      </c>
      <c r="AG5" s="8">
        <f>C5+P5</f>
        <v>28.576000000000001</v>
      </c>
      <c r="AH5" s="8">
        <f>D5+Q5</f>
        <v>87.728319999999997</v>
      </c>
      <c r="AJ5" s="8">
        <f t="shared" ref="AJ5:AJ14" si="2">T5-Q5-Z5</f>
        <v>2.6645352591003757E-15</v>
      </c>
    </row>
    <row r="6" spans="1:36" x14ac:dyDescent="0.2">
      <c r="A6" s="28">
        <v>38535</v>
      </c>
      <c r="B6" s="7">
        <f>'[9]July Prod'!I5</f>
        <v>22500000</v>
      </c>
      <c r="C6" s="8">
        <f t="shared" si="0"/>
        <v>22.5</v>
      </c>
      <c r="D6" s="10">
        <f t="shared" si="1"/>
        <v>69.075000000000003</v>
      </c>
      <c r="E6" s="7">
        <f>'[9]July Prod'!E5</f>
        <v>5000000</v>
      </c>
      <c r="F6" s="8">
        <f t="shared" ref="F6:F35" si="3">E6/1000000</f>
        <v>5</v>
      </c>
      <c r="G6" s="10">
        <f t="shared" ref="G6:G36" si="4">F6*3.07</f>
        <v>15.35</v>
      </c>
      <c r="H6" s="7">
        <f>'[9]July Prod'!F5</f>
        <v>17870000</v>
      </c>
      <c r="I6" s="8">
        <f t="shared" ref="I6:I35" si="5">H6/1000000</f>
        <v>17.87</v>
      </c>
      <c r="J6" s="10">
        <f t="shared" ref="J6:J36" si="6">I6*3.07</f>
        <v>54.860900000000001</v>
      </c>
      <c r="K6" s="7">
        <f>'[9]July Prod'!H260</f>
        <v>1993359</v>
      </c>
      <c r="L6" s="8">
        <f t="shared" ref="L6:L35" si="7">K6/1000000</f>
        <v>1.9933590000000001</v>
      </c>
      <c r="M6" s="10">
        <f t="shared" ref="M6:M36" si="8">L6*3.07</f>
        <v>6.1196121300000001</v>
      </c>
      <c r="N6" s="21"/>
      <c r="O6" s="7">
        <f>'[9]July Prod'!H5</f>
        <v>8218000</v>
      </c>
      <c r="P6" s="8">
        <f t="shared" ref="P6:P35" si="9">O6/1000000</f>
        <v>8.218</v>
      </c>
      <c r="Q6" s="10">
        <f t="shared" ref="Q6:Q36" si="10">P6*3.07</f>
        <v>25.22926</v>
      </c>
      <c r="R6" s="7">
        <f>'[9]July Prod'!C5</f>
        <v>8401000</v>
      </c>
      <c r="S6" s="8">
        <f t="shared" ref="S6:S35" si="11">R6/1000000</f>
        <v>8.4009999999999998</v>
      </c>
      <c r="T6" s="10">
        <f t="shared" ref="T6:T36" si="12">S6*3.07</f>
        <v>25.791069999999998</v>
      </c>
      <c r="U6" s="7">
        <f>'[9]July Prod'!D5</f>
        <v>0</v>
      </c>
      <c r="V6" s="8">
        <f t="shared" ref="V6:V35" si="13">U6/1000000</f>
        <v>0</v>
      </c>
      <c r="W6" s="10">
        <f t="shared" ref="W6:W36" si="14">V6*3.07</f>
        <v>0</v>
      </c>
      <c r="X6" s="7">
        <f>'[9]July Prod'!D260</f>
        <v>182999.99999999983</v>
      </c>
      <c r="Y6" s="8">
        <f t="shared" ref="Y6:Y35" si="15">X6/1000000</f>
        <v>0.18299999999999983</v>
      </c>
      <c r="Z6" s="10">
        <f t="shared" ref="Z6:Z36" si="16">Y6*3.07</f>
        <v>0.56180999999999948</v>
      </c>
      <c r="AA6" s="15"/>
      <c r="AB6" s="7">
        <f>'[9]July Prod'!G5</f>
        <v>0</v>
      </c>
      <c r="AC6" s="8">
        <f t="shared" ref="AC6:AC35" si="17">AB6/1000000</f>
        <v>0</v>
      </c>
      <c r="AD6" s="10">
        <f t="shared" ref="AD6:AD36" si="18">AC6*3.07</f>
        <v>0</v>
      </c>
      <c r="AF6" s="7">
        <f t="shared" ref="AF6:AF35" si="19">B6+O6</f>
        <v>30718000</v>
      </c>
      <c r="AG6" s="8">
        <f t="shared" ref="AG6:AG35" si="20">C6+P6</f>
        <v>30.718</v>
      </c>
      <c r="AH6" s="8">
        <f t="shared" ref="AH6:AH35" si="21">D6+Q6</f>
        <v>94.304259999999999</v>
      </c>
      <c r="AJ6" s="8">
        <f t="shared" si="2"/>
        <v>-1.7763568394002505E-15</v>
      </c>
    </row>
    <row r="7" spans="1:36" x14ac:dyDescent="0.2">
      <c r="A7" s="28">
        <v>38536</v>
      </c>
      <c r="B7" s="7">
        <f>'[9]July Prod'!I6</f>
        <v>26000000</v>
      </c>
      <c r="C7" s="8">
        <f t="shared" ref="C7:C35" si="22">B7/1000000</f>
        <v>26</v>
      </c>
      <c r="D7" s="10">
        <f t="shared" ref="D7:D36" si="23">C7*3.07</f>
        <v>79.819999999999993</v>
      </c>
      <c r="E7" s="7">
        <f>'[9]July Prod'!E6</f>
        <v>5000000</v>
      </c>
      <c r="F7" s="8">
        <f t="shared" si="3"/>
        <v>5</v>
      </c>
      <c r="G7" s="10">
        <f t="shared" si="4"/>
        <v>15.35</v>
      </c>
      <c r="H7" s="7">
        <f>'[9]July Prod'!F6</f>
        <v>20190000</v>
      </c>
      <c r="I7" s="8">
        <f t="shared" si="5"/>
        <v>20.190000000000001</v>
      </c>
      <c r="J7" s="10">
        <f t="shared" si="6"/>
        <v>61.9833</v>
      </c>
      <c r="K7" s="7">
        <f>'[9]July Prod'!H261</f>
        <v>203581</v>
      </c>
      <c r="L7" s="8">
        <f t="shared" si="7"/>
        <v>0.20358100000000001</v>
      </c>
      <c r="M7" s="10">
        <f t="shared" si="8"/>
        <v>0.62499367000000006</v>
      </c>
      <c r="N7" s="21"/>
      <c r="O7" s="7">
        <f>'[9]July Prod'!H6</f>
        <v>9143000</v>
      </c>
      <c r="P7" s="8">
        <f t="shared" si="9"/>
        <v>9.1430000000000007</v>
      </c>
      <c r="Q7" s="10">
        <f t="shared" si="10"/>
        <v>28.069010000000002</v>
      </c>
      <c r="R7" s="7">
        <f>'[9]July Prod'!C6</f>
        <v>9389000</v>
      </c>
      <c r="S7" s="8">
        <f t="shared" si="11"/>
        <v>9.3889999999999993</v>
      </c>
      <c r="T7" s="10">
        <f t="shared" si="12"/>
        <v>28.824229999999996</v>
      </c>
      <c r="U7" s="7">
        <f>'[9]July Prod'!D6</f>
        <v>0</v>
      </c>
      <c r="V7" s="8">
        <f t="shared" si="13"/>
        <v>0</v>
      </c>
      <c r="W7" s="10">
        <f t="shared" si="14"/>
        <v>0</v>
      </c>
      <c r="X7" s="7">
        <f>'[9]July Prod'!D261</f>
        <v>245999.99999999956</v>
      </c>
      <c r="Y7" s="8">
        <f t="shared" si="15"/>
        <v>0.24599999999999955</v>
      </c>
      <c r="Z7" s="10">
        <f t="shared" si="16"/>
        <v>0.75521999999999856</v>
      </c>
      <c r="AA7" s="15"/>
      <c r="AB7" s="7">
        <f>'[9]July Prod'!G6</f>
        <v>0</v>
      </c>
      <c r="AC7" s="8">
        <f t="shared" si="17"/>
        <v>0</v>
      </c>
      <c r="AD7" s="10">
        <f t="shared" si="18"/>
        <v>0</v>
      </c>
      <c r="AF7" s="7">
        <f t="shared" si="19"/>
        <v>35143000</v>
      </c>
      <c r="AG7" s="8">
        <f t="shared" si="20"/>
        <v>35.143000000000001</v>
      </c>
      <c r="AH7" s="8">
        <f t="shared" si="21"/>
        <v>107.88901</v>
      </c>
      <c r="AJ7" s="8">
        <f t="shared" si="2"/>
        <v>-4.3298697960381105E-15</v>
      </c>
    </row>
    <row r="8" spans="1:36" x14ac:dyDescent="0.2">
      <c r="A8" s="28">
        <v>38537</v>
      </c>
      <c r="B8" s="7">
        <f>'[9]July Prod'!I7</f>
        <v>27899999.999997817</v>
      </c>
      <c r="C8" s="8">
        <f t="shared" si="22"/>
        <v>27.899999999997817</v>
      </c>
      <c r="D8" s="10">
        <f t="shared" si="23"/>
        <v>85.652999999993298</v>
      </c>
      <c r="E8" s="7">
        <f>'[9]July Prod'!E7</f>
        <v>10000000</v>
      </c>
      <c r="F8" s="8">
        <f t="shared" si="3"/>
        <v>10</v>
      </c>
      <c r="G8" s="10">
        <f t="shared" si="4"/>
        <v>30.7</v>
      </c>
      <c r="H8" s="7">
        <f>'[9]July Prod'!F7</f>
        <v>18330000</v>
      </c>
      <c r="I8" s="8">
        <f t="shared" si="5"/>
        <v>18.329999999999998</v>
      </c>
      <c r="J8" s="10">
        <f t="shared" si="6"/>
        <v>56.273099999999992</v>
      </c>
      <c r="K8" s="7">
        <f>'[9]July Prod'!H262</f>
        <v>2200089</v>
      </c>
      <c r="L8" s="8">
        <f t="shared" si="7"/>
        <v>2.2000890000000002</v>
      </c>
      <c r="M8" s="10">
        <f t="shared" si="8"/>
        <v>6.7542732299999999</v>
      </c>
      <c r="N8" s="21"/>
      <c r="O8" s="7">
        <f>'[9]July Prod'!H7</f>
        <v>9585000</v>
      </c>
      <c r="P8" s="8">
        <f t="shared" si="9"/>
        <v>9.5850000000000009</v>
      </c>
      <c r="Q8" s="10">
        <f t="shared" si="10"/>
        <v>29.42595</v>
      </c>
      <c r="R8" s="7">
        <f>'[9]July Prod'!C7</f>
        <v>9978000</v>
      </c>
      <c r="S8" s="8">
        <f t="shared" si="11"/>
        <v>9.9779999999999998</v>
      </c>
      <c r="T8" s="10">
        <f t="shared" si="12"/>
        <v>30.632459999999998</v>
      </c>
      <c r="U8" s="7">
        <f>'[9]July Prod'!D7</f>
        <v>0</v>
      </c>
      <c r="V8" s="8">
        <f t="shared" si="13"/>
        <v>0</v>
      </c>
      <c r="W8" s="10">
        <f t="shared" si="14"/>
        <v>0</v>
      </c>
      <c r="X8" s="7">
        <f>'[9]July Prod'!D262</f>
        <v>393000.0000000007</v>
      </c>
      <c r="Y8" s="8">
        <f t="shared" si="15"/>
        <v>0.39300000000000068</v>
      </c>
      <c r="Z8" s="10">
        <f t="shared" si="16"/>
        <v>1.206510000000002</v>
      </c>
      <c r="AA8" s="15"/>
      <c r="AB8" s="7">
        <f>'[9]July Prod'!G7</f>
        <v>0</v>
      </c>
      <c r="AC8" s="8">
        <f t="shared" si="17"/>
        <v>0</v>
      </c>
      <c r="AD8" s="10">
        <f t="shared" si="18"/>
        <v>0</v>
      </c>
      <c r="AF8" s="7">
        <f t="shared" si="19"/>
        <v>37484999.999997817</v>
      </c>
      <c r="AG8" s="8">
        <f t="shared" si="20"/>
        <v>37.484999999997818</v>
      </c>
      <c r="AH8" s="8">
        <f t="shared" si="21"/>
        <v>115.0789499999933</v>
      </c>
      <c r="AJ8" s="8">
        <f t="shared" si="2"/>
        <v>-3.9968028886505635E-15</v>
      </c>
    </row>
    <row r="9" spans="1:36" x14ac:dyDescent="0.2">
      <c r="A9" s="28">
        <v>38538</v>
      </c>
      <c r="B9" s="7">
        <f>'[9]July Prod'!I8</f>
        <v>26000000</v>
      </c>
      <c r="C9" s="8">
        <f t="shared" si="22"/>
        <v>26</v>
      </c>
      <c r="D9" s="10">
        <f t="shared" si="23"/>
        <v>79.819999999999993</v>
      </c>
      <c r="E9" s="7">
        <f>'[9]July Prod'!E8</f>
        <v>9000000</v>
      </c>
      <c r="F9" s="8">
        <f t="shared" si="3"/>
        <v>9</v>
      </c>
      <c r="G9" s="10">
        <f t="shared" si="4"/>
        <v>27.63</v>
      </c>
      <c r="H9" s="7">
        <f>'[9]July Prod'!F8</f>
        <v>16180000</v>
      </c>
      <c r="I9" s="8">
        <f t="shared" si="5"/>
        <v>16.18</v>
      </c>
      <c r="J9" s="10">
        <f t="shared" si="6"/>
        <v>49.672599999999996</v>
      </c>
      <c r="K9" s="7">
        <f>'[9]July Prod'!H263</f>
        <v>1973933</v>
      </c>
      <c r="L9" s="8">
        <f t="shared" si="7"/>
        <v>1.9739329999999999</v>
      </c>
      <c r="M9" s="10">
        <f t="shared" si="8"/>
        <v>6.0599743099999994</v>
      </c>
      <c r="N9" s="21"/>
      <c r="O9" s="7">
        <f>'[9]July Prod'!H8</f>
        <v>7630000</v>
      </c>
      <c r="P9" s="8">
        <f t="shared" si="9"/>
        <v>7.63</v>
      </c>
      <c r="Q9" s="10">
        <f t="shared" si="10"/>
        <v>23.424099999999999</v>
      </c>
      <c r="R9" s="7">
        <f>'[9]July Prod'!C8</f>
        <v>7880000</v>
      </c>
      <c r="S9" s="8">
        <f t="shared" si="11"/>
        <v>7.88</v>
      </c>
      <c r="T9" s="10">
        <f t="shared" si="12"/>
        <v>24.191599999999998</v>
      </c>
      <c r="U9" s="7">
        <f>'[9]July Prod'!D8</f>
        <v>0</v>
      </c>
      <c r="V9" s="8">
        <f t="shared" si="13"/>
        <v>0</v>
      </c>
      <c r="W9" s="10">
        <f t="shared" si="14"/>
        <v>0</v>
      </c>
      <c r="X9" s="7">
        <f>'[9]July Prod'!D263</f>
        <v>250000</v>
      </c>
      <c r="Y9" s="8">
        <f t="shared" si="15"/>
        <v>0.25</v>
      </c>
      <c r="Z9" s="10">
        <f t="shared" si="16"/>
        <v>0.76749999999999996</v>
      </c>
      <c r="AA9" s="15"/>
      <c r="AB9" s="7">
        <f>'[9]July Prod'!G8</f>
        <v>0</v>
      </c>
      <c r="AC9" s="8">
        <f t="shared" si="17"/>
        <v>0</v>
      </c>
      <c r="AD9" s="10">
        <f t="shared" si="18"/>
        <v>0</v>
      </c>
      <c r="AF9" s="7">
        <f t="shared" si="19"/>
        <v>33630000</v>
      </c>
      <c r="AG9" s="8">
        <f t="shared" si="20"/>
        <v>33.630000000000003</v>
      </c>
      <c r="AH9" s="8">
        <f t="shared" si="21"/>
        <v>103.24409999999999</v>
      </c>
      <c r="AJ9" s="8">
        <f>T9-Q9-Z9</f>
        <v>-1.6653345369377348E-15</v>
      </c>
    </row>
    <row r="10" spans="1:36" x14ac:dyDescent="0.2">
      <c r="A10" s="28">
        <v>38539</v>
      </c>
      <c r="B10" s="7">
        <f>'[9]July Prod'!I9</f>
        <v>27200000.000000726</v>
      </c>
      <c r="C10" s="8">
        <f t="shared" si="22"/>
        <v>27.200000000000728</v>
      </c>
      <c r="D10" s="10">
        <f t="shared" si="23"/>
        <v>83.504000000002236</v>
      </c>
      <c r="E10" s="7">
        <f>'[9]July Prod'!E9</f>
        <v>8000000</v>
      </c>
      <c r="F10" s="8">
        <f t="shared" si="3"/>
        <v>8</v>
      </c>
      <c r="G10" s="10">
        <f t="shared" si="4"/>
        <v>24.56</v>
      </c>
      <c r="H10" s="7">
        <f>'[9]July Prod'!F9</f>
        <v>19130000</v>
      </c>
      <c r="I10" s="8">
        <f t="shared" si="5"/>
        <v>19.13</v>
      </c>
      <c r="J10" s="10">
        <f t="shared" si="6"/>
        <v>58.729099999999995</v>
      </c>
      <c r="K10" s="7">
        <f>'[9]July Prod'!H264</f>
        <v>2112358</v>
      </c>
      <c r="L10" s="8">
        <f t="shared" si="7"/>
        <v>2.112358</v>
      </c>
      <c r="M10" s="10">
        <f t="shared" si="8"/>
        <v>6.4849390599999994</v>
      </c>
      <c r="N10" s="21"/>
      <c r="O10" s="7">
        <f>'[9]July Prod'!H9</f>
        <v>9057000</v>
      </c>
      <c r="P10" s="8">
        <f t="shared" si="9"/>
        <v>9.0570000000000004</v>
      </c>
      <c r="Q10" s="10">
        <f t="shared" si="10"/>
        <v>27.80499</v>
      </c>
      <c r="R10" s="7">
        <f>'[9]July Prod'!C9</f>
        <v>9304000</v>
      </c>
      <c r="S10" s="8">
        <f t="shared" si="11"/>
        <v>9.3040000000000003</v>
      </c>
      <c r="T10" s="10">
        <f t="shared" si="12"/>
        <v>28.563279999999999</v>
      </c>
      <c r="U10" s="7">
        <f>'[9]July Prod'!D9</f>
        <v>0</v>
      </c>
      <c r="V10" s="8">
        <f t="shared" si="13"/>
        <v>0</v>
      </c>
      <c r="W10" s="10">
        <f t="shared" si="14"/>
        <v>0</v>
      </c>
      <c r="X10" s="7">
        <f>'[9]July Prod'!D264</f>
        <v>246999.99999999988</v>
      </c>
      <c r="Y10" s="8">
        <f t="shared" si="15"/>
        <v>0.24699999999999989</v>
      </c>
      <c r="Z10" s="10">
        <f t="shared" si="16"/>
        <v>0.75828999999999958</v>
      </c>
      <c r="AA10" s="15"/>
      <c r="AB10" s="7">
        <f>'[9]July Prod'!G9</f>
        <v>0</v>
      </c>
      <c r="AC10" s="8">
        <f t="shared" si="17"/>
        <v>0</v>
      </c>
      <c r="AD10" s="10">
        <f t="shared" si="18"/>
        <v>0</v>
      </c>
      <c r="AF10" s="7">
        <f t="shared" si="19"/>
        <v>36257000.00000073</v>
      </c>
      <c r="AG10" s="8">
        <f t="shared" si="20"/>
        <v>36.25700000000073</v>
      </c>
      <c r="AH10" s="8">
        <f t="shared" si="21"/>
        <v>111.30899000000224</v>
      </c>
      <c r="AJ10" s="8">
        <f t="shared" si="2"/>
        <v>0</v>
      </c>
    </row>
    <row r="11" spans="1:36" x14ac:dyDescent="0.2">
      <c r="A11" s="28">
        <v>38540</v>
      </c>
      <c r="B11" s="7">
        <f>'[9]July Prod'!I10</f>
        <v>28100000.000002183</v>
      </c>
      <c r="C11" s="8">
        <f t="shared" si="22"/>
        <v>28.100000000002183</v>
      </c>
      <c r="D11" s="10">
        <f t="shared" si="23"/>
        <v>86.267000000006703</v>
      </c>
      <c r="E11" s="7">
        <f>'[9]July Prod'!E10</f>
        <v>8000000</v>
      </c>
      <c r="F11" s="8">
        <f t="shared" si="3"/>
        <v>8</v>
      </c>
      <c r="G11" s="10">
        <f t="shared" si="4"/>
        <v>24.56</v>
      </c>
      <c r="H11" s="7">
        <f>'[9]July Prod'!F10</f>
        <v>19690000</v>
      </c>
      <c r="I11" s="8">
        <f t="shared" si="5"/>
        <v>19.690000000000001</v>
      </c>
      <c r="J11" s="10">
        <f t="shared" si="6"/>
        <v>60.448300000000003</v>
      </c>
      <c r="K11" s="7">
        <f>'[9]July Prod'!H265</f>
        <v>2239267</v>
      </c>
      <c r="L11" s="8">
        <f t="shared" si="7"/>
        <v>2.2392669999999999</v>
      </c>
      <c r="M11" s="10">
        <f t="shared" si="8"/>
        <v>6.8745496899999994</v>
      </c>
      <c r="N11" s="21"/>
      <c r="O11" s="7">
        <f>'[9]July Prod'!H10</f>
        <v>9683000</v>
      </c>
      <c r="P11" s="8">
        <f t="shared" si="9"/>
        <v>9.6829999999999998</v>
      </c>
      <c r="Q11" s="10">
        <f t="shared" si="10"/>
        <v>29.726809999999997</v>
      </c>
      <c r="R11" s="7">
        <f>'[9]July Prod'!C10</f>
        <v>9862000</v>
      </c>
      <c r="S11" s="8">
        <f t="shared" si="11"/>
        <v>9.8620000000000001</v>
      </c>
      <c r="T11" s="10">
        <f t="shared" si="12"/>
        <v>30.276339999999998</v>
      </c>
      <c r="U11" s="7">
        <f>'[9]July Prod'!D10</f>
        <v>0</v>
      </c>
      <c r="V11" s="8">
        <f t="shared" si="13"/>
        <v>0</v>
      </c>
      <c r="W11" s="10">
        <f t="shared" si="14"/>
        <v>0</v>
      </c>
      <c r="X11" s="7">
        <f>'[9]July Prod'!D265</f>
        <v>178999.99999999939</v>
      </c>
      <c r="Y11" s="8">
        <f t="shared" si="15"/>
        <v>0.17899999999999938</v>
      </c>
      <c r="Z11" s="10">
        <f t="shared" si="16"/>
        <v>0.54952999999999808</v>
      </c>
      <c r="AA11" s="15"/>
      <c r="AB11" s="7">
        <f>'[9]July Prod'!G10</f>
        <v>0</v>
      </c>
      <c r="AC11" s="8">
        <f t="shared" si="17"/>
        <v>0</v>
      </c>
      <c r="AD11" s="10">
        <f t="shared" si="18"/>
        <v>0</v>
      </c>
      <c r="AF11" s="7">
        <f t="shared" si="19"/>
        <v>37783000.000002183</v>
      </c>
      <c r="AG11" s="8">
        <f t="shared" si="20"/>
        <v>37.783000000002183</v>
      </c>
      <c r="AH11" s="8">
        <f t="shared" si="21"/>
        <v>115.9938100000067</v>
      </c>
      <c r="AJ11" s="8">
        <f t="shared" si="2"/>
        <v>2.6645352591003757E-15</v>
      </c>
    </row>
    <row r="12" spans="1:36" x14ac:dyDescent="0.2">
      <c r="A12" s="28">
        <v>38541</v>
      </c>
      <c r="B12" s="7">
        <f>'[9]July Prod'!I11</f>
        <v>23699999.999997091</v>
      </c>
      <c r="C12" s="8">
        <f t="shared" si="22"/>
        <v>23.69999999999709</v>
      </c>
      <c r="D12" s="10">
        <f t="shared" si="23"/>
        <v>72.758999999991062</v>
      </c>
      <c r="E12" s="7">
        <f>'[9]July Prod'!E11</f>
        <v>7000000</v>
      </c>
      <c r="F12" s="8">
        <f t="shared" si="3"/>
        <v>7</v>
      </c>
      <c r="G12" s="10">
        <f t="shared" si="4"/>
        <v>21.49</v>
      </c>
      <c r="H12" s="7">
        <f>'[9]July Prod'!F11</f>
        <v>16990000.000000004</v>
      </c>
      <c r="I12" s="8">
        <f t="shared" si="5"/>
        <v>16.990000000000002</v>
      </c>
      <c r="J12" s="10">
        <f t="shared" si="6"/>
        <v>52.159300000000002</v>
      </c>
      <c r="K12" s="7">
        <f>'[9]July Prod'!H266</f>
        <v>1932574</v>
      </c>
      <c r="L12" s="8">
        <f t="shared" si="7"/>
        <v>1.932574</v>
      </c>
      <c r="M12" s="10">
        <f t="shared" si="8"/>
        <v>5.9330021799999999</v>
      </c>
      <c r="N12" s="21"/>
      <c r="O12" s="7">
        <f>'[9]July Prod'!H11</f>
        <v>8715000</v>
      </c>
      <c r="P12" s="8">
        <f t="shared" si="9"/>
        <v>8.7149999999999999</v>
      </c>
      <c r="Q12" s="10">
        <f t="shared" si="10"/>
        <v>26.755049999999997</v>
      </c>
      <c r="R12" s="7">
        <f>'[9]July Prod'!C11</f>
        <v>9266000</v>
      </c>
      <c r="S12" s="8">
        <f t="shared" si="11"/>
        <v>9.266</v>
      </c>
      <c r="T12" s="10">
        <f t="shared" si="12"/>
        <v>28.446619999999999</v>
      </c>
      <c r="U12" s="7">
        <f>'[9]July Prod'!D11</f>
        <v>0</v>
      </c>
      <c r="V12" s="8">
        <f t="shared" si="13"/>
        <v>0</v>
      </c>
      <c r="W12" s="10">
        <f t="shared" si="14"/>
        <v>0</v>
      </c>
      <c r="X12" s="7">
        <f>'[9]July Prod'!D266</f>
        <v>551000.00000000012</v>
      </c>
      <c r="Y12" s="8">
        <f t="shared" si="15"/>
        <v>0.55100000000000016</v>
      </c>
      <c r="Z12" s="10">
        <f t="shared" si="16"/>
        <v>1.6915700000000005</v>
      </c>
      <c r="AA12" s="15"/>
      <c r="AB12" s="7">
        <f>'[9]July Prod'!G11</f>
        <v>0</v>
      </c>
      <c r="AC12" s="8">
        <f t="shared" si="17"/>
        <v>0</v>
      </c>
      <c r="AD12" s="10">
        <f t="shared" si="18"/>
        <v>0</v>
      </c>
      <c r="AF12" s="7">
        <f t="shared" si="19"/>
        <v>32414999.999997091</v>
      </c>
      <c r="AG12" s="8">
        <f t="shared" si="20"/>
        <v>32.414999999997093</v>
      </c>
      <c r="AH12" s="8">
        <f t="shared" si="21"/>
        <v>99.514049999991059</v>
      </c>
      <c r="AJ12" s="8">
        <f t="shared" si="2"/>
        <v>1.7763568394002505E-15</v>
      </c>
    </row>
    <row r="13" spans="1:36" x14ac:dyDescent="0.2">
      <c r="A13" s="28">
        <v>38542</v>
      </c>
      <c r="B13" s="7">
        <f>'[9]July Prod'!I12</f>
        <v>22700000.000000726</v>
      </c>
      <c r="C13" s="8">
        <f t="shared" si="22"/>
        <v>22.700000000000728</v>
      </c>
      <c r="D13" s="10">
        <f t="shared" si="23"/>
        <v>69.689000000002224</v>
      </c>
      <c r="E13" s="7">
        <f>'[9]July Prod'!E12</f>
        <v>7000000</v>
      </c>
      <c r="F13" s="8">
        <f t="shared" si="3"/>
        <v>7</v>
      </c>
      <c r="G13" s="10">
        <f t="shared" si="4"/>
        <v>21.49</v>
      </c>
      <c r="H13" s="7">
        <f>'[9]July Prod'!F12</f>
        <v>15810000</v>
      </c>
      <c r="I13" s="8">
        <f t="shared" si="5"/>
        <v>15.81</v>
      </c>
      <c r="J13" s="10">
        <f t="shared" si="6"/>
        <v>48.536699999999996</v>
      </c>
      <c r="K13" s="7">
        <f>'[9]July Prod'!H267</f>
        <v>1845740</v>
      </c>
      <c r="L13" s="8">
        <f t="shared" si="7"/>
        <v>1.8457399999999999</v>
      </c>
      <c r="M13" s="10">
        <f t="shared" si="8"/>
        <v>5.6664217999999993</v>
      </c>
      <c r="N13" s="21"/>
      <c r="O13" s="7">
        <f>'[9]July Prod'!H12</f>
        <v>11725000</v>
      </c>
      <c r="P13" s="8">
        <f t="shared" si="9"/>
        <v>11.725</v>
      </c>
      <c r="Q13" s="10">
        <f t="shared" si="10"/>
        <v>35.995749999999994</v>
      </c>
      <c r="R13" s="7">
        <f>'[9]July Prod'!C12</f>
        <v>12101000</v>
      </c>
      <c r="S13" s="8">
        <f t="shared" si="11"/>
        <v>12.101000000000001</v>
      </c>
      <c r="T13" s="10">
        <f t="shared" si="12"/>
        <v>37.150069999999999</v>
      </c>
      <c r="U13" s="7">
        <f>'[9]July Prod'!D12</f>
        <v>0</v>
      </c>
      <c r="V13" s="8">
        <f t="shared" si="13"/>
        <v>0</v>
      </c>
      <c r="W13" s="10">
        <f t="shared" si="14"/>
        <v>0</v>
      </c>
      <c r="X13" s="7">
        <f>'[9]July Prod'!D267</f>
        <v>376000.00000000035</v>
      </c>
      <c r="Y13" s="8">
        <f t="shared" si="15"/>
        <v>0.37600000000000033</v>
      </c>
      <c r="Z13" s="10">
        <f t="shared" si="16"/>
        <v>1.1543200000000009</v>
      </c>
      <c r="AA13" s="15"/>
      <c r="AB13" s="7">
        <f>'[9]July Prod'!G12</f>
        <v>0</v>
      </c>
      <c r="AC13" s="8">
        <f t="shared" si="17"/>
        <v>0</v>
      </c>
      <c r="AD13" s="10">
        <f t="shared" si="18"/>
        <v>0</v>
      </c>
      <c r="AF13" s="7">
        <f t="shared" si="19"/>
        <v>34425000.00000073</v>
      </c>
      <c r="AG13" s="8">
        <f t="shared" si="20"/>
        <v>34.425000000000729</v>
      </c>
      <c r="AH13" s="8">
        <f t="shared" si="21"/>
        <v>105.68475000000223</v>
      </c>
      <c r="AJ13" s="8">
        <f t="shared" si="2"/>
        <v>4.6629367034256575E-15</v>
      </c>
    </row>
    <row r="14" spans="1:36" x14ac:dyDescent="0.2">
      <c r="A14" s="28">
        <v>38543</v>
      </c>
      <c r="B14" s="7">
        <f>'[9]July Prod'!I13</f>
        <v>31299999.999999274</v>
      </c>
      <c r="C14" s="8">
        <f t="shared" si="22"/>
        <v>31.299999999999272</v>
      </c>
      <c r="D14" s="10">
        <f t="shared" si="23"/>
        <v>96.090999999997763</v>
      </c>
      <c r="E14" s="7">
        <f>'[9]July Prod'!E13</f>
        <v>9000000</v>
      </c>
      <c r="F14" s="8">
        <f t="shared" si="3"/>
        <v>9</v>
      </c>
      <c r="G14" s="10">
        <f t="shared" si="4"/>
        <v>27.63</v>
      </c>
      <c r="H14" s="7">
        <f>'[9]July Prod'!F13</f>
        <v>21600000</v>
      </c>
      <c r="I14" s="8">
        <f t="shared" si="5"/>
        <v>21.6</v>
      </c>
      <c r="J14" s="10">
        <f t="shared" si="6"/>
        <v>66.311999999999998</v>
      </c>
      <c r="K14" s="7">
        <f>'[9]July Prod'!H268</f>
        <v>2371414</v>
      </c>
      <c r="L14" s="8">
        <f t="shared" si="7"/>
        <v>2.3714140000000001</v>
      </c>
      <c r="M14" s="10">
        <f t="shared" si="8"/>
        <v>7.2802409800000003</v>
      </c>
      <c r="N14" s="21"/>
      <c r="O14" s="7">
        <f>'[9]July Prod'!H13</f>
        <v>12143000</v>
      </c>
      <c r="P14" s="8">
        <f t="shared" si="9"/>
        <v>12.143000000000001</v>
      </c>
      <c r="Q14" s="10">
        <f t="shared" si="10"/>
        <v>37.27901</v>
      </c>
      <c r="R14" s="7">
        <f>'[9]July Prod'!C13</f>
        <v>12578000</v>
      </c>
      <c r="S14" s="8">
        <f t="shared" si="11"/>
        <v>12.577999999999999</v>
      </c>
      <c r="T14" s="10">
        <f t="shared" si="12"/>
        <v>38.614459999999994</v>
      </c>
      <c r="U14" s="7">
        <f>'[9]July Prod'!D13</f>
        <v>0</v>
      </c>
      <c r="V14" s="8">
        <f t="shared" si="13"/>
        <v>0</v>
      </c>
      <c r="W14" s="10">
        <f t="shared" si="14"/>
        <v>0</v>
      </c>
      <c r="X14" s="7">
        <f>'[9]July Prod'!D268</f>
        <v>434999.99999999959</v>
      </c>
      <c r="Y14" s="8">
        <f t="shared" si="15"/>
        <v>0.43499999999999961</v>
      </c>
      <c r="Z14" s="10">
        <f t="shared" si="16"/>
        <v>1.3354499999999987</v>
      </c>
      <c r="AA14" s="15"/>
      <c r="AB14" s="7">
        <f>'[9]July Prod'!G13</f>
        <v>0</v>
      </c>
      <c r="AC14" s="8">
        <f t="shared" si="17"/>
        <v>0</v>
      </c>
      <c r="AD14" s="10">
        <f t="shared" si="18"/>
        <v>0</v>
      </c>
      <c r="AF14" s="7">
        <f t="shared" si="19"/>
        <v>43442999.99999927</v>
      </c>
      <c r="AG14" s="8">
        <f t="shared" si="20"/>
        <v>43.442999999999273</v>
      </c>
      <c r="AH14" s="8">
        <f t="shared" si="21"/>
        <v>133.37000999999776</v>
      </c>
      <c r="AJ14" s="8">
        <f t="shared" si="2"/>
        <v>-4.2188474935755949E-15</v>
      </c>
    </row>
    <row r="15" spans="1:36" x14ac:dyDescent="0.2">
      <c r="A15" s="28">
        <v>38544</v>
      </c>
      <c r="B15" s="7">
        <f>'[9]July Prod'!I14</f>
        <v>26700000.000000726</v>
      </c>
      <c r="C15" s="8">
        <f t="shared" si="22"/>
        <v>26.700000000000728</v>
      </c>
      <c r="D15" s="10">
        <f t="shared" si="23"/>
        <v>81.969000000002225</v>
      </c>
      <c r="E15" s="7">
        <f>'[9]July Prod'!E14</f>
        <v>10000000</v>
      </c>
      <c r="F15" s="8">
        <f t="shared" si="3"/>
        <v>10</v>
      </c>
      <c r="G15" s="10">
        <f t="shared" si="4"/>
        <v>30.7</v>
      </c>
      <c r="H15" s="7">
        <f>'[9]July Prod'!F14</f>
        <v>17300000</v>
      </c>
      <c r="I15" s="8">
        <f t="shared" si="5"/>
        <v>17.3</v>
      </c>
      <c r="J15" s="10">
        <f t="shared" si="6"/>
        <v>53.110999999999997</v>
      </c>
      <c r="K15" s="44">
        <f>'[9]July Prod'!H269</f>
        <v>-95125015</v>
      </c>
      <c r="L15" s="45">
        <f t="shared" si="7"/>
        <v>-95.125015000000005</v>
      </c>
      <c r="M15" s="46">
        <f t="shared" si="8"/>
        <v>-292.03379604999998</v>
      </c>
      <c r="N15" s="21"/>
      <c r="O15" s="7">
        <f>'[9]July Prod'!H14</f>
        <v>11907000</v>
      </c>
      <c r="P15" s="8">
        <f t="shared" si="9"/>
        <v>11.907</v>
      </c>
      <c r="Q15" s="10">
        <f t="shared" si="10"/>
        <v>36.554490000000001</v>
      </c>
      <c r="R15" s="7">
        <f>'[9]July Prod'!C14</f>
        <v>12367000</v>
      </c>
      <c r="S15" s="8">
        <f t="shared" si="11"/>
        <v>12.367000000000001</v>
      </c>
      <c r="T15" s="10">
        <f t="shared" si="12"/>
        <v>37.96669</v>
      </c>
      <c r="U15" s="7">
        <f>'[9]July Prod'!D14</f>
        <v>0</v>
      </c>
      <c r="V15" s="8">
        <f t="shared" si="13"/>
        <v>0</v>
      </c>
      <c r="W15" s="10">
        <f t="shared" si="14"/>
        <v>0</v>
      </c>
      <c r="X15" s="7">
        <f>'[9]July Prod'!D269</f>
        <v>459999.99999999994</v>
      </c>
      <c r="Y15" s="8">
        <f t="shared" si="15"/>
        <v>0.45999999999999996</v>
      </c>
      <c r="Z15" s="10">
        <f t="shared" si="16"/>
        <v>1.4121999999999999</v>
      </c>
      <c r="AA15" s="15"/>
      <c r="AB15" s="7">
        <f>'[9]July Prod'!G14</f>
        <v>0</v>
      </c>
      <c r="AC15" s="8">
        <f t="shared" si="17"/>
        <v>0</v>
      </c>
      <c r="AD15" s="10">
        <f t="shared" si="18"/>
        <v>0</v>
      </c>
      <c r="AF15" s="7">
        <f t="shared" si="19"/>
        <v>38607000.00000073</v>
      </c>
      <c r="AG15" s="8">
        <f t="shared" si="20"/>
        <v>38.607000000000724</v>
      </c>
      <c r="AH15" s="8">
        <f t="shared" si="21"/>
        <v>118.52349000000223</v>
      </c>
      <c r="AJ15" s="8">
        <f>T15-Q15-Z15</f>
        <v>0</v>
      </c>
    </row>
    <row r="16" spans="1:36" x14ac:dyDescent="0.2">
      <c r="A16" s="28">
        <v>38545</v>
      </c>
      <c r="B16" s="7">
        <f>'[9]July Prod'!I15</f>
        <v>18299999.999999274</v>
      </c>
      <c r="C16" s="8">
        <f t="shared" si="22"/>
        <v>18.299999999999272</v>
      </c>
      <c r="D16" s="10">
        <f t="shared" si="23"/>
        <v>56.180999999997766</v>
      </c>
      <c r="E16" s="7">
        <f>'[9]July Prod'!E15</f>
        <v>6000000</v>
      </c>
      <c r="F16" s="8">
        <f t="shared" si="3"/>
        <v>6</v>
      </c>
      <c r="G16" s="10">
        <f t="shared" si="4"/>
        <v>18.419999999999998</v>
      </c>
      <c r="H16" s="7">
        <f>'[9]July Prod'!F15</f>
        <v>12480000</v>
      </c>
      <c r="I16" s="8">
        <f t="shared" si="5"/>
        <v>12.48</v>
      </c>
      <c r="J16" s="10">
        <f t="shared" si="6"/>
        <v>38.313600000000001</v>
      </c>
      <c r="K16" s="7">
        <f>'[9]July Prod'!H270</f>
        <v>1587627</v>
      </c>
      <c r="L16" s="8">
        <f t="shared" si="7"/>
        <v>1.5876269999999999</v>
      </c>
      <c r="M16" s="10">
        <f t="shared" si="8"/>
        <v>4.8740148899999998</v>
      </c>
      <c r="N16" s="21"/>
      <c r="O16" s="7">
        <f>'[9]July Prod'!H15</f>
        <v>12238000</v>
      </c>
      <c r="P16" s="8">
        <f t="shared" si="9"/>
        <v>12.238</v>
      </c>
      <c r="Q16" s="10">
        <f t="shared" si="10"/>
        <v>37.570659999999997</v>
      </c>
      <c r="R16" s="7">
        <f>'[9]July Prod'!C15</f>
        <v>12546000</v>
      </c>
      <c r="S16" s="8">
        <f t="shared" si="11"/>
        <v>12.545999999999999</v>
      </c>
      <c r="T16" s="10">
        <f t="shared" si="12"/>
        <v>38.516219999999997</v>
      </c>
      <c r="U16" s="7">
        <f>'[9]July Prod'!D15</f>
        <v>0</v>
      </c>
      <c r="V16" s="8">
        <f t="shared" si="13"/>
        <v>0</v>
      </c>
      <c r="W16" s="10">
        <f t="shared" si="14"/>
        <v>0</v>
      </c>
      <c r="X16" s="7">
        <f>'[9]July Prod'!D270</f>
        <v>308000.0000000007</v>
      </c>
      <c r="Y16" s="8">
        <f t="shared" si="15"/>
        <v>0.30800000000000072</v>
      </c>
      <c r="Z16" s="10">
        <f t="shared" si="16"/>
        <v>0.94556000000000218</v>
      </c>
      <c r="AA16" s="15"/>
      <c r="AB16" s="7">
        <f>'[9]July Prod'!G15</f>
        <v>0</v>
      </c>
      <c r="AC16" s="8">
        <f t="shared" si="17"/>
        <v>0</v>
      </c>
      <c r="AD16" s="10">
        <f t="shared" si="18"/>
        <v>0</v>
      </c>
      <c r="AF16" s="7">
        <f t="shared" si="19"/>
        <v>30537999.999999274</v>
      </c>
      <c r="AG16" s="8">
        <f t="shared" si="20"/>
        <v>30.537999999999272</v>
      </c>
      <c r="AH16" s="8">
        <f t="shared" si="21"/>
        <v>93.75165999999777</v>
      </c>
      <c r="AJ16" s="8">
        <f>T16-Q16-Z16</f>
        <v>-1.7763568394002505E-15</v>
      </c>
    </row>
    <row r="17" spans="1:36" x14ac:dyDescent="0.2">
      <c r="A17" s="28">
        <v>38546</v>
      </c>
      <c r="B17" s="7">
        <f>'[9]July Prod'!I16</f>
        <v>19100000.000002183</v>
      </c>
      <c r="C17" s="8">
        <f t="shared" si="22"/>
        <v>19.100000000002183</v>
      </c>
      <c r="D17" s="10">
        <f t="shared" si="23"/>
        <v>58.637000000006701</v>
      </c>
      <c r="E17" s="7">
        <f>'[9]July Prod'!E16</f>
        <v>5000000</v>
      </c>
      <c r="F17" s="8">
        <f t="shared" si="3"/>
        <v>5</v>
      </c>
      <c r="G17" s="10">
        <f t="shared" si="4"/>
        <v>15.35</v>
      </c>
      <c r="H17" s="7">
        <f>'[9]July Prod'!F16</f>
        <v>13270000</v>
      </c>
      <c r="I17" s="8">
        <f t="shared" si="5"/>
        <v>13.27</v>
      </c>
      <c r="J17" s="10">
        <f t="shared" si="6"/>
        <v>40.738899999999994</v>
      </c>
      <c r="K17" s="7">
        <f>'[9]July Prod'!H271</f>
        <v>21404</v>
      </c>
      <c r="L17" s="8">
        <f t="shared" si="7"/>
        <v>2.1403999999999999E-2</v>
      </c>
      <c r="M17" s="10">
        <f t="shared" si="8"/>
        <v>6.5710279999999996E-2</v>
      </c>
      <c r="N17" s="21"/>
      <c r="O17" s="7">
        <f>'[9]July Prod'!H16</f>
        <v>12252000</v>
      </c>
      <c r="P17" s="8">
        <f t="shared" si="9"/>
        <v>12.252000000000001</v>
      </c>
      <c r="Q17" s="10">
        <f t="shared" si="10"/>
        <v>37.613639999999997</v>
      </c>
      <c r="R17" s="7">
        <f>'[9]July Prod'!C16</f>
        <v>12566000</v>
      </c>
      <c r="S17" s="8">
        <f t="shared" si="11"/>
        <v>12.566000000000001</v>
      </c>
      <c r="T17" s="10">
        <f t="shared" si="12"/>
        <v>38.577620000000003</v>
      </c>
      <c r="U17" s="7">
        <f>'[9]July Prod'!D16</f>
        <v>0</v>
      </c>
      <c r="V17" s="8">
        <f t="shared" si="13"/>
        <v>0</v>
      </c>
      <c r="W17" s="10">
        <f t="shared" si="14"/>
        <v>0</v>
      </c>
      <c r="X17" s="7">
        <f>'[9]July Prod'!D271</f>
        <v>314000.00000000006</v>
      </c>
      <c r="Y17" s="8">
        <f t="shared" si="15"/>
        <v>0.31400000000000006</v>
      </c>
      <c r="Z17" s="10">
        <f t="shared" si="16"/>
        <v>0.96398000000000017</v>
      </c>
      <c r="AA17" s="15"/>
      <c r="AB17" s="7">
        <f>'[9]July Prod'!G16</f>
        <v>0</v>
      </c>
      <c r="AC17" s="8">
        <f t="shared" si="17"/>
        <v>0</v>
      </c>
      <c r="AD17" s="10">
        <f t="shared" si="18"/>
        <v>0</v>
      </c>
      <c r="AF17" s="7">
        <f t="shared" si="19"/>
        <v>31352000.000002183</v>
      </c>
      <c r="AG17" s="8">
        <f t="shared" si="20"/>
        <v>31.352000000002185</v>
      </c>
      <c r="AH17" s="8">
        <f t="shared" si="21"/>
        <v>96.250640000006698</v>
      </c>
      <c r="AJ17" s="8">
        <f>T17-Q17-Z17</f>
        <v>6.3282712403633923E-15</v>
      </c>
    </row>
    <row r="18" spans="1:36" x14ac:dyDescent="0.2">
      <c r="A18" s="28">
        <v>38547</v>
      </c>
      <c r="B18" s="7">
        <f>'[9]July Prod'!I17</f>
        <v>17799999.999999274</v>
      </c>
      <c r="C18" s="8">
        <f t="shared" si="22"/>
        <v>17.799999999999272</v>
      </c>
      <c r="D18" s="10">
        <f t="shared" si="23"/>
        <v>54.645999999997763</v>
      </c>
      <c r="E18" s="7">
        <f>'[9]July Prod'!E17</f>
        <v>6000000</v>
      </c>
      <c r="F18" s="8">
        <f t="shared" si="3"/>
        <v>6</v>
      </c>
      <c r="G18" s="10">
        <f t="shared" si="4"/>
        <v>18.419999999999998</v>
      </c>
      <c r="H18" s="7">
        <f>'[9]July Prod'!F17</f>
        <v>12110000</v>
      </c>
      <c r="I18" s="8">
        <f t="shared" si="5"/>
        <v>12.11</v>
      </c>
      <c r="J18" s="10">
        <f t="shared" si="6"/>
        <v>37.177699999999994</v>
      </c>
      <c r="K18" s="7">
        <f>'[9]July Prod'!H272</f>
        <v>1394209</v>
      </c>
      <c r="L18" s="8">
        <f t="shared" si="7"/>
        <v>1.394209</v>
      </c>
      <c r="M18" s="10">
        <f t="shared" si="8"/>
        <v>4.2802216299999998</v>
      </c>
      <c r="N18" s="21"/>
      <c r="O18" s="7">
        <f>'[9]July Prod'!H17</f>
        <v>12576000</v>
      </c>
      <c r="P18" s="8">
        <f t="shared" si="9"/>
        <v>12.576000000000001</v>
      </c>
      <c r="Q18" s="10">
        <f t="shared" si="10"/>
        <v>38.608319999999999</v>
      </c>
      <c r="R18" s="7">
        <f>'[9]July Prod'!C17</f>
        <v>12924000</v>
      </c>
      <c r="S18" s="8">
        <f t="shared" si="11"/>
        <v>12.923999999999999</v>
      </c>
      <c r="T18" s="10">
        <f t="shared" si="12"/>
        <v>39.676679999999998</v>
      </c>
      <c r="U18" s="7">
        <f>'[9]July Prod'!D17</f>
        <v>1000</v>
      </c>
      <c r="V18" s="8">
        <f t="shared" si="13"/>
        <v>1E-3</v>
      </c>
      <c r="W18" s="10">
        <f t="shared" si="14"/>
        <v>3.0699999999999998E-3</v>
      </c>
      <c r="X18" s="7">
        <f>'[9]July Prod'!D272</f>
        <v>348999.9999999993</v>
      </c>
      <c r="Y18" s="8">
        <f t="shared" si="15"/>
        <v>0.34899999999999931</v>
      </c>
      <c r="Z18" s="10">
        <f t="shared" si="16"/>
        <v>1.0714299999999979</v>
      </c>
      <c r="AA18" s="15"/>
      <c r="AB18" s="7">
        <f>'[9]July Prod'!G17</f>
        <v>0</v>
      </c>
      <c r="AC18" s="8">
        <f t="shared" si="17"/>
        <v>0</v>
      </c>
      <c r="AD18" s="10">
        <f t="shared" si="18"/>
        <v>0</v>
      </c>
      <c r="AF18" s="7">
        <f t="shared" si="19"/>
        <v>30375999.999999274</v>
      </c>
      <c r="AG18" s="8">
        <f t="shared" si="20"/>
        <v>30.375999999999273</v>
      </c>
      <c r="AH18" s="8">
        <f t="shared" si="21"/>
        <v>93.254319999997762</v>
      </c>
      <c r="AJ18" s="8">
        <f>T18-Q18-Z18</f>
        <v>-3.069999999999462E-3</v>
      </c>
    </row>
    <row r="19" spans="1:36" x14ac:dyDescent="0.2">
      <c r="A19" s="28">
        <v>38548</v>
      </c>
      <c r="B19" s="7">
        <f>'[9]July Prod'!I18</f>
        <v>17799999.999999274</v>
      </c>
      <c r="C19" s="8">
        <f t="shared" si="22"/>
        <v>17.799999999999272</v>
      </c>
      <c r="D19" s="10">
        <f t="shared" si="23"/>
        <v>54.645999999997763</v>
      </c>
      <c r="E19" s="7">
        <f>'[9]July Prod'!E18</f>
        <v>5000000</v>
      </c>
      <c r="F19" s="8">
        <f t="shared" si="3"/>
        <v>5</v>
      </c>
      <c r="G19" s="10">
        <f t="shared" si="4"/>
        <v>15.35</v>
      </c>
      <c r="H19" s="7">
        <f>'[9]July Prod'!F18</f>
        <v>12110000</v>
      </c>
      <c r="I19" s="8">
        <f t="shared" si="5"/>
        <v>12.11</v>
      </c>
      <c r="J19" s="10">
        <f t="shared" si="6"/>
        <v>37.177699999999994</v>
      </c>
      <c r="K19" s="7">
        <f>'[9]July Prod'!H273</f>
        <v>1417471</v>
      </c>
      <c r="L19" s="8">
        <f t="shared" si="7"/>
        <v>1.4174709999999999</v>
      </c>
      <c r="M19" s="10">
        <f t="shared" si="8"/>
        <v>4.3516359699999994</v>
      </c>
      <c r="N19" s="21"/>
      <c r="O19" s="7">
        <f>'[9]July Prod'!H18</f>
        <v>9144000</v>
      </c>
      <c r="P19" s="8">
        <f t="shared" si="9"/>
        <v>9.1440000000000001</v>
      </c>
      <c r="Q19" s="10">
        <f t="shared" si="10"/>
        <v>28.07208</v>
      </c>
      <c r="R19" s="7">
        <f>'[9]July Prod'!C18</f>
        <v>9432000</v>
      </c>
      <c r="S19" s="8">
        <f t="shared" si="11"/>
        <v>9.4320000000000004</v>
      </c>
      <c r="T19" s="10">
        <f t="shared" si="12"/>
        <v>28.956240000000001</v>
      </c>
      <c r="U19" s="7">
        <f>'[9]July Prod'!D18</f>
        <v>0</v>
      </c>
      <c r="V19" s="8">
        <f t="shared" si="13"/>
        <v>0</v>
      </c>
      <c r="W19" s="10">
        <f t="shared" si="14"/>
        <v>0</v>
      </c>
      <c r="X19" s="7">
        <f>'[9]July Prod'!D273</f>
        <v>288000.00000000023</v>
      </c>
      <c r="Y19" s="8">
        <f t="shared" si="15"/>
        <v>0.28800000000000026</v>
      </c>
      <c r="Z19" s="10">
        <f t="shared" si="16"/>
        <v>0.88416000000000072</v>
      </c>
      <c r="AA19" s="15"/>
      <c r="AB19" s="7">
        <f>'[9]July Prod'!G18</f>
        <v>0</v>
      </c>
      <c r="AC19" s="8">
        <f t="shared" si="17"/>
        <v>0</v>
      </c>
      <c r="AD19" s="10">
        <f t="shared" si="18"/>
        <v>0</v>
      </c>
      <c r="AF19" s="7">
        <f t="shared" si="19"/>
        <v>26943999.999999274</v>
      </c>
      <c r="AG19" s="8">
        <f t="shared" si="20"/>
        <v>26.943999999999271</v>
      </c>
      <c r="AH19" s="8">
        <f t="shared" si="21"/>
        <v>82.718079999997769</v>
      </c>
      <c r="AJ19" s="8">
        <f>T19-Q19-Z19</f>
        <v>0</v>
      </c>
    </row>
    <row r="20" spans="1:36" x14ac:dyDescent="0.2">
      <c r="A20" s="28">
        <v>38549</v>
      </c>
      <c r="B20" s="7">
        <f>'[9]July Prod'!I19</f>
        <v>19600000.000002183</v>
      </c>
      <c r="C20" s="8">
        <f t="shared" si="22"/>
        <v>19.600000000002183</v>
      </c>
      <c r="D20" s="10">
        <f t="shared" si="23"/>
        <v>60.172000000006697</v>
      </c>
      <c r="E20" s="7">
        <f>'[9]July Prod'!E19</f>
        <v>5000000</v>
      </c>
      <c r="F20" s="8">
        <f t="shared" si="3"/>
        <v>5</v>
      </c>
      <c r="G20" s="10">
        <f t="shared" si="4"/>
        <v>15.35</v>
      </c>
      <c r="H20" s="7">
        <f>'[9]July Prod'!F19</f>
        <v>14640000</v>
      </c>
      <c r="I20" s="8">
        <f t="shared" si="5"/>
        <v>14.64</v>
      </c>
      <c r="J20" s="10">
        <f t="shared" si="6"/>
        <v>44.944800000000001</v>
      </c>
      <c r="K20" s="7">
        <f>'[9]July Prod'!H274</f>
        <v>1616322</v>
      </c>
      <c r="L20" s="8">
        <f t="shared" si="7"/>
        <v>1.616322</v>
      </c>
      <c r="M20" s="10">
        <f t="shared" si="8"/>
        <v>4.96210854</v>
      </c>
      <c r="N20" s="21"/>
      <c r="O20" s="7">
        <f>'[9]July Prod'!H19</f>
        <v>9603000</v>
      </c>
      <c r="P20" s="8">
        <f t="shared" si="9"/>
        <v>9.6029999999999998</v>
      </c>
      <c r="Q20" s="10">
        <f t="shared" si="10"/>
        <v>29.481209999999997</v>
      </c>
      <c r="R20" s="7">
        <f>'[9]July Prod'!C19</f>
        <v>9777000</v>
      </c>
      <c r="S20" s="8">
        <f t="shared" si="11"/>
        <v>9.7769999999999992</v>
      </c>
      <c r="T20" s="10">
        <f t="shared" si="12"/>
        <v>30.015389999999996</v>
      </c>
      <c r="U20" s="7">
        <f>'[9]July Prod'!D19</f>
        <v>0</v>
      </c>
      <c r="V20" s="8">
        <f t="shared" si="13"/>
        <v>0</v>
      </c>
      <c r="W20" s="10">
        <f t="shared" si="14"/>
        <v>0</v>
      </c>
      <c r="X20" s="7">
        <f>'[9]July Prod'!D274</f>
        <v>173999.99999999948</v>
      </c>
      <c r="Y20" s="8">
        <f t="shared" si="15"/>
        <v>0.17399999999999949</v>
      </c>
      <c r="Z20" s="10">
        <f t="shared" si="16"/>
        <v>0.53417999999999843</v>
      </c>
      <c r="AA20" s="15"/>
      <c r="AB20" s="7">
        <f>'[9]July Prod'!G19</f>
        <v>0</v>
      </c>
      <c r="AC20" s="8">
        <f t="shared" si="17"/>
        <v>0</v>
      </c>
      <c r="AD20" s="10">
        <f t="shared" si="18"/>
        <v>0</v>
      </c>
      <c r="AF20" s="7">
        <f t="shared" si="19"/>
        <v>29203000.000002183</v>
      </c>
      <c r="AG20" s="8">
        <f t="shared" si="20"/>
        <v>29.203000000002184</v>
      </c>
      <c r="AH20" s="8">
        <f t="shared" si="21"/>
        <v>89.653210000006695</v>
      </c>
      <c r="AJ20" s="8">
        <f t="shared" ref="AJ20:AJ35" si="24">T20-Q20-Z20</f>
        <v>0</v>
      </c>
    </row>
    <row r="21" spans="1:36" x14ac:dyDescent="0.2">
      <c r="A21" s="28">
        <v>38550</v>
      </c>
      <c r="B21" s="7">
        <f>'[9]July Prod'!I20</f>
        <v>22799999.999999274</v>
      </c>
      <c r="C21" s="8">
        <f t="shared" si="22"/>
        <v>22.799999999999272</v>
      </c>
      <c r="D21" s="10">
        <f t="shared" si="23"/>
        <v>69.995999999997764</v>
      </c>
      <c r="E21" s="7">
        <f>'[9]July Prod'!E20</f>
        <v>5000000</v>
      </c>
      <c r="F21" s="8">
        <f t="shared" si="3"/>
        <v>5</v>
      </c>
      <c r="G21" s="10">
        <f t="shared" si="4"/>
        <v>15.35</v>
      </c>
      <c r="H21" s="7">
        <f>'[9]July Prod'!F20</f>
        <v>17600000</v>
      </c>
      <c r="I21" s="8">
        <f t="shared" si="5"/>
        <v>17.600000000000001</v>
      </c>
      <c r="J21" s="10">
        <f t="shared" si="6"/>
        <v>54.032000000000004</v>
      </c>
      <c r="K21" s="7">
        <f>'[9]July Prod'!H275</f>
        <v>1831896</v>
      </c>
      <c r="L21" s="8">
        <f t="shared" si="7"/>
        <v>1.831896</v>
      </c>
      <c r="M21" s="10">
        <f t="shared" si="8"/>
        <v>5.6239207199999992</v>
      </c>
      <c r="N21" s="21"/>
      <c r="O21" s="7">
        <f>'[9]July Prod'!H20</f>
        <v>11760000</v>
      </c>
      <c r="P21" s="8">
        <f t="shared" si="9"/>
        <v>11.76</v>
      </c>
      <c r="Q21" s="10">
        <f t="shared" si="10"/>
        <v>36.103199999999994</v>
      </c>
      <c r="R21" s="7">
        <f>'[9]July Prod'!C20</f>
        <v>12165000</v>
      </c>
      <c r="S21" s="8">
        <f t="shared" si="11"/>
        <v>12.164999999999999</v>
      </c>
      <c r="T21" s="10">
        <f t="shared" si="12"/>
        <v>37.346549999999993</v>
      </c>
      <c r="U21" s="7">
        <f>'[9]July Prod'!D20</f>
        <v>1000</v>
      </c>
      <c r="V21" s="8">
        <f t="shared" si="13"/>
        <v>1E-3</v>
      </c>
      <c r="W21" s="10">
        <f t="shared" si="14"/>
        <v>3.0699999999999998E-3</v>
      </c>
      <c r="X21" s="7">
        <f>'[9]July Prod'!D275</f>
        <v>406000.00000000058</v>
      </c>
      <c r="Y21" s="8">
        <f t="shared" si="15"/>
        <v>0.40600000000000058</v>
      </c>
      <c r="Z21" s="10">
        <f t="shared" si="16"/>
        <v>1.2464200000000016</v>
      </c>
      <c r="AA21" s="15"/>
      <c r="AB21" s="7">
        <f>'[9]July Prod'!G20</f>
        <v>0</v>
      </c>
      <c r="AC21" s="8">
        <f t="shared" si="17"/>
        <v>0</v>
      </c>
      <c r="AD21" s="10">
        <f t="shared" si="18"/>
        <v>0</v>
      </c>
      <c r="AF21" s="7">
        <f t="shared" si="19"/>
        <v>34559999.99999927</v>
      </c>
      <c r="AG21" s="8">
        <f t="shared" si="20"/>
        <v>34.55999999999927</v>
      </c>
      <c r="AH21" s="8">
        <f t="shared" si="21"/>
        <v>106.09919999999775</v>
      </c>
      <c r="AJ21" s="8">
        <f t="shared" si="24"/>
        <v>-3.0700000000021266E-3</v>
      </c>
    </row>
    <row r="22" spans="1:36" x14ac:dyDescent="0.2">
      <c r="A22" s="28">
        <v>38551</v>
      </c>
      <c r="B22" s="7">
        <f>'[9]July Prod'!I21</f>
        <v>22700000.000000726</v>
      </c>
      <c r="C22" s="8">
        <f t="shared" si="22"/>
        <v>22.700000000000728</v>
      </c>
      <c r="D22" s="10">
        <f t="shared" si="23"/>
        <v>69.689000000002224</v>
      </c>
      <c r="E22" s="7">
        <f>'[9]July Prod'!E21</f>
        <v>6000000</v>
      </c>
      <c r="F22" s="8">
        <f t="shared" si="3"/>
        <v>6</v>
      </c>
      <c r="G22" s="10">
        <f t="shared" si="4"/>
        <v>18.419999999999998</v>
      </c>
      <c r="H22" s="7">
        <f>'[9]July Prod'!F21</f>
        <v>16710000</v>
      </c>
      <c r="I22" s="8">
        <f t="shared" si="5"/>
        <v>16.71</v>
      </c>
      <c r="J22" s="10">
        <f t="shared" si="6"/>
        <v>51.299700000000001</v>
      </c>
      <c r="K22" s="7">
        <f>'[9]July Prod'!H276</f>
        <v>1781672</v>
      </c>
      <c r="L22" s="8">
        <f t="shared" si="7"/>
        <v>1.7816719999999999</v>
      </c>
      <c r="M22" s="10">
        <f t="shared" si="8"/>
        <v>5.4697330399999995</v>
      </c>
      <c r="N22" s="21"/>
      <c r="O22" s="7">
        <f>'[9]July Prod'!H21</f>
        <v>12666000</v>
      </c>
      <c r="P22" s="8">
        <f t="shared" si="9"/>
        <v>12.666</v>
      </c>
      <c r="Q22" s="10">
        <f t="shared" si="10"/>
        <v>38.884619999999998</v>
      </c>
      <c r="R22" s="7">
        <f>'[9]July Prod'!C21</f>
        <v>13012000</v>
      </c>
      <c r="S22" s="8">
        <f t="shared" si="11"/>
        <v>13.012</v>
      </c>
      <c r="T22" s="10">
        <f t="shared" si="12"/>
        <v>39.946840000000002</v>
      </c>
      <c r="U22" s="7">
        <f>'[9]July Prod'!D21</f>
        <v>0</v>
      </c>
      <c r="V22" s="8">
        <f t="shared" si="13"/>
        <v>0</v>
      </c>
      <c r="W22" s="10">
        <f t="shared" si="14"/>
        <v>0</v>
      </c>
      <c r="X22" s="7">
        <f>'[9]July Prod'!D276</f>
        <v>346000.00000000006</v>
      </c>
      <c r="Y22" s="8">
        <f t="shared" si="15"/>
        <v>0.34600000000000009</v>
      </c>
      <c r="Z22" s="10">
        <f t="shared" si="16"/>
        <v>1.0622200000000002</v>
      </c>
      <c r="AA22" s="15"/>
      <c r="AB22" s="7">
        <f>'[9]July Prod'!G21</f>
        <v>0</v>
      </c>
      <c r="AC22" s="8">
        <f t="shared" si="17"/>
        <v>0</v>
      </c>
      <c r="AD22" s="10">
        <f t="shared" si="18"/>
        <v>0</v>
      </c>
      <c r="AF22" s="7">
        <f t="shared" si="19"/>
        <v>35366000.00000073</v>
      </c>
      <c r="AG22" s="8">
        <f t="shared" si="20"/>
        <v>35.366000000000724</v>
      </c>
      <c r="AH22" s="8">
        <f t="shared" si="21"/>
        <v>108.57362000000222</v>
      </c>
      <c r="AI22" s="18"/>
      <c r="AJ22" s="8">
        <f t="shared" si="24"/>
        <v>3.3306690738754696E-15</v>
      </c>
    </row>
    <row r="23" spans="1:36" x14ac:dyDescent="0.2">
      <c r="A23" s="28">
        <v>38552</v>
      </c>
      <c r="B23" s="7">
        <f>'[9]July Prod'!I22</f>
        <v>22799999.999999274</v>
      </c>
      <c r="C23" s="8">
        <f t="shared" si="22"/>
        <v>22.799999999999272</v>
      </c>
      <c r="D23" s="10">
        <f t="shared" si="23"/>
        <v>69.995999999997764</v>
      </c>
      <c r="E23" s="7">
        <f>'[9]July Prod'!E22</f>
        <v>5000000</v>
      </c>
      <c r="F23" s="8">
        <f t="shared" si="3"/>
        <v>5</v>
      </c>
      <c r="G23" s="10">
        <f t="shared" si="4"/>
        <v>15.35</v>
      </c>
      <c r="H23" s="7">
        <f>'[9]July Prod'!F22</f>
        <v>18010000</v>
      </c>
      <c r="I23" s="8">
        <f t="shared" si="5"/>
        <v>18.010000000000002</v>
      </c>
      <c r="J23" s="10">
        <f t="shared" si="6"/>
        <v>55.290700000000001</v>
      </c>
      <c r="K23" s="7">
        <f>'[9]July Prod'!H277</f>
        <v>1881171</v>
      </c>
      <c r="L23" s="8">
        <f t="shared" si="7"/>
        <v>1.8811709999999999</v>
      </c>
      <c r="M23" s="10">
        <f t="shared" si="8"/>
        <v>5.7751949699999994</v>
      </c>
      <c r="N23" s="21"/>
      <c r="O23" s="7">
        <f>'[9]July Prod'!H22</f>
        <v>11853000</v>
      </c>
      <c r="P23" s="8">
        <f t="shared" si="9"/>
        <v>11.853</v>
      </c>
      <c r="Q23" s="10">
        <f t="shared" si="10"/>
        <v>36.388709999999996</v>
      </c>
      <c r="R23" s="7">
        <f>'[9]July Prod'!C22</f>
        <v>12027000</v>
      </c>
      <c r="S23" s="8">
        <f t="shared" si="11"/>
        <v>12.026999999999999</v>
      </c>
      <c r="T23" s="10">
        <f t="shared" si="12"/>
        <v>36.922889999999995</v>
      </c>
      <c r="U23" s="7">
        <f>'[9]July Prod'!D22</f>
        <v>0</v>
      </c>
      <c r="V23" s="8">
        <f t="shared" si="13"/>
        <v>0</v>
      </c>
      <c r="W23" s="10">
        <f t="shared" si="14"/>
        <v>0</v>
      </c>
      <c r="X23" s="7">
        <f>'[9]July Prod'!D277</f>
        <v>173999.99999999948</v>
      </c>
      <c r="Y23" s="8">
        <f t="shared" si="15"/>
        <v>0.17399999999999949</v>
      </c>
      <c r="Z23" s="10">
        <f t="shared" si="16"/>
        <v>0.53417999999999843</v>
      </c>
      <c r="AA23" s="15"/>
      <c r="AB23" s="7">
        <f>'[9]July Prod'!G22</f>
        <v>0</v>
      </c>
      <c r="AC23" s="8">
        <f t="shared" si="17"/>
        <v>0</v>
      </c>
      <c r="AD23" s="10">
        <f t="shared" si="18"/>
        <v>0</v>
      </c>
      <c r="AF23" s="7">
        <f t="shared" si="19"/>
        <v>34652999.99999927</v>
      </c>
      <c r="AG23" s="8">
        <f t="shared" si="20"/>
        <v>34.652999999999274</v>
      </c>
      <c r="AH23" s="8">
        <f t="shared" si="21"/>
        <v>106.38470999999777</v>
      </c>
      <c r="AJ23" s="8">
        <f t="shared" si="24"/>
        <v>0</v>
      </c>
    </row>
    <row r="24" spans="1:36" x14ac:dyDescent="0.2">
      <c r="A24" s="28">
        <v>38553</v>
      </c>
      <c r="B24" s="7">
        <f>'[9]July Prod'!I23</f>
        <v>23500000</v>
      </c>
      <c r="C24" s="8">
        <f t="shared" si="22"/>
        <v>23.5</v>
      </c>
      <c r="D24" s="10">
        <f t="shared" si="23"/>
        <v>72.144999999999996</v>
      </c>
      <c r="E24" s="7">
        <f>'[9]July Prod'!E23</f>
        <v>6000000</v>
      </c>
      <c r="F24" s="8">
        <f t="shared" si="3"/>
        <v>6</v>
      </c>
      <c r="G24" s="10">
        <f t="shared" si="4"/>
        <v>18.419999999999998</v>
      </c>
      <c r="H24" s="7">
        <f>'[9]July Prod'!F23</f>
        <v>17410000</v>
      </c>
      <c r="I24" s="8">
        <f t="shared" si="5"/>
        <v>17.41</v>
      </c>
      <c r="J24" s="10">
        <f t="shared" si="6"/>
        <v>53.448699999999995</v>
      </c>
      <c r="K24" s="7">
        <f>'[9]July Prod'!H278</f>
        <v>1845546</v>
      </c>
      <c r="L24" s="8">
        <f t="shared" si="7"/>
        <v>1.8455459999999999</v>
      </c>
      <c r="M24" s="10">
        <f t="shared" si="8"/>
        <v>5.6658262199999996</v>
      </c>
      <c r="N24" s="21"/>
      <c r="O24" s="7">
        <f>'[9]July Prod'!H23</f>
        <v>11309000</v>
      </c>
      <c r="P24" s="8">
        <f t="shared" si="9"/>
        <v>11.308999999999999</v>
      </c>
      <c r="Q24" s="10">
        <f t="shared" si="10"/>
        <v>34.718629999999997</v>
      </c>
      <c r="R24" s="7">
        <f>'[9]July Prod'!C23</f>
        <v>11716000</v>
      </c>
      <c r="S24" s="8">
        <f t="shared" si="11"/>
        <v>11.715999999999999</v>
      </c>
      <c r="T24" s="10">
        <f t="shared" si="12"/>
        <v>35.968119999999999</v>
      </c>
      <c r="U24" s="7">
        <f>'[9]July Prod'!D23</f>
        <v>0</v>
      </c>
      <c r="V24" s="8">
        <f t="shared" si="13"/>
        <v>0</v>
      </c>
      <c r="W24" s="10">
        <f t="shared" si="14"/>
        <v>0</v>
      </c>
      <c r="X24" s="7">
        <f>'[9]July Prod'!D278</f>
        <v>407000</v>
      </c>
      <c r="Y24" s="8">
        <f t="shared" si="15"/>
        <v>0.40699999999999997</v>
      </c>
      <c r="Z24" s="10">
        <f t="shared" si="16"/>
        <v>1.2494899999999998</v>
      </c>
      <c r="AA24" s="15"/>
      <c r="AB24" s="7">
        <f>'[9]July Prod'!G23</f>
        <v>0</v>
      </c>
      <c r="AC24" s="8">
        <f t="shared" si="17"/>
        <v>0</v>
      </c>
      <c r="AD24" s="10">
        <f t="shared" si="18"/>
        <v>0</v>
      </c>
      <c r="AF24" s="7">
        <f t="shared" si="19"/>
        <v>34809000</v>
      </c>
      <c r="AG24" s="8">
        <f t="shared" si="20"/>
        <v>34.808999999999997</v>
      </c>
      <c r="AH24" s="8">
        <f t="shared" si="21"/>
        <v>106.86363</v>
      </c>
      <c r="AJ24" s="8">
        <f t="shared" si="24"/>
        <v>1.7763568394002505E-15</v>
      </c>
    </row>
    <row r="25" spans="1:36" x14ac:dyDescent="0.2">
      <c r="A25" s="28">
        <v>38554</v>
      </c>
      <c r="B25" s="7">
        <f>'[9]July Prod'!I24</f>
        <v>23700000.000000726</v>
      </c>
      <c r="C25" s="8">
        <f t="shared" si="22"/>
        <v>23.700000000000728</v>
      </c>
      <c r="D25" s="10">
        <f t="shared" si="23"/>
        <v>72.759000000002231</v>
      </c>
      <c r="E25" s="7">
        <f>'[9]July Prod'!E24</f>
        <v>5000000</v>
      </c>
      <c r="F25" s="8">
        <f t="shared" si="3"/>
        <v>5</v>
      </c>
      <c r="G25" s="10">
        <f t="shared" si="4"/>
        <v>15.35</v>
      </c>
      <c r="H25" s="7">
        <f>'[9]July Prod'!F24</f>
        <v>18280000</v>
      </c>
      <c r="I25" s="8">
        <f t="shared" si="5"/>
        <v>18.28</v>
      </c>
      <c r="J25" s="10">
        <f t="shared" si="6"/>
        <v>56.119599999999998</v>
      </c>
      <c r="K25" s="7">
        <f>'[9]July Prod'!H279</f>
        <v>1861471</v>
      </c>
      <c r="L25" s="8">
        <f t="shared" si="7"/>
        <v>1.8614710000000001</v>
      </c>
      <c r="M25" s="10">
        <f t="shared" si="8"/>
        <v>5.7147159700000003</v>
      </c>
      <c r="N25" s="21"/>
      <c r="O25" s="7">
        <f>'[9]July Prod'!H24</f>
        <v>11461000</v>
      </c>
      <c r="P25" s="8">
        <f t="shared" si="9"/>
        <v>11.461</v>
      </c>
      <c r="Q25" s="10">
        <f t="shared" si="10"/>
        <v>35.185269999999996</v>
      </c>
      <c r="R25" s="7">
        <f>'[9]July Prod'!C24</f>
        <v>11929000</v>
      </c>
      <c r="S25" s="8">
        <f t="shared" si="11"/>
        <v>11.929</v>
      </c>
      <c r="T25" s="10">
        <f t="shared" si="12"/>
        <v>36.622030000000002</v>
      </c>
      <c r="U25" s="7">
        <f>'[9]July Prod'!D24</f>
        <v>0</v>
      </c>
      <c r="V25" s="8">
        <f t="shared" si="13"/>
        <v>0</v>
      </c>
      <c r="W25" s="10">
        <f t="shared" si="14"/>
        <v>0</v>
      </c>
      <c r="X25" s="7">
        <f>'[9]July Prod'!D279</f>
        <v>468000</v>
      </c>
      <c r="Y25" s="8">
        <f t="shared" si="15"/>
        <v>0.46800000000000003</v>
      </c>
      <c r="Z25" s="10">
        <f t="shared" si="16"/>
        <v>1.43676</v>
      </c>
      <c r="AA25" s="15"/>
      <c r="AB25" s="7">
        <f>'[9]July Prod'!G24</f>
        <v>0</v>
      </c>
      <c r="AC25" s="8">
        <f t="shared" si="17"/>
        <v>0</v>
      </c>
      <c r="AD25" s="10">
        <f t="shared" si="18"/>
        <v>0</v>
      </c>
      <c r="AF25" s="7">
        <f t="shared" si="19"/>
        <v>35161000.00000073</v>
      </c>
      <c r="AG25" s="8">
        <f t="shared" si="20"/>
        <v>35.161000000000726</v>
      </c>
      <c r="AH25" s="8">
        <f t="shared" si="21"/>
        <v>107.94427000000223</v>
      </c>
      <c r="AJ25" s="8">
        <f t="shared" si="24"/>
        <v>6.6613381477509392E-15</v>
      </c>
    </row>
    <row r="26" spans="1:36" x14ac:dyDescent="0.2">
      <c r="A26" s="28">
        <v>38555</v>
      </c>
      <c r="B26" s="7">
        <f>'[9]July Prod'!I25</f>
        <v>21500000</v>
      </c>
      <c r="C26" s="8">
        <f t="shared" si="22"/>
        <v>21.5</v>
      </c>
      <c r="D26" s="10">
        <f t="shared" si="23"/>
        <v>66.004999999999995</v>
      </c>
      <c r="E26" s="7">
        <f>'[9]July Prod'!E25</f>
        <v>5000000</v>
      </c>
      <c r="F26" s="8">
        <f t="shared" si="3"/>
        <v>5</v>
      </c>
      <c r="G26" s="10">
        <f t="shared" si="4"/>
        <v>15.35</v>
      </c>
      <c r="H26" s="7">
        <f>'[9]July Prod'!F25</f>
        <v>16050000</v>
      </c>
      <c r="I26" s="8">
        <f t="shared" si="5"/>
        <v>16.05</v>
      </c>
      <c r="J26" s="10">
        <f t="shared" si="6"/>
        <v>49.273499999999999</v>
      </c>
      <c r="K26" s="7">
        <f>'[9]July Prod'!H280</f>
        <v>1823204</v>
      </c>
      <c r="L26" s="8">
        <f t="shared" si="7"/>
        <v>1.823204</v>
      </c>
      <c r="M26" s="10">
        <f t="shared" si="8"/>
        <v>5.5972362799999997</v>
      </c>
      <c r="N26" s="21"/>
      <c r="O26" s="7">
        <f>'[9]July Prod'!H25</f>
        <v>11199000</v>
      </c>
      <c r="P26" s="8">
        <f t="shared" si="9"/>
        <v>11.199</v>
      </c>
      <c r="Q26" s="10">
        <f t="shared" si="10"/>
        <v>34.380929999999999</v>
      </c>
      <c r="R26" s="7">
        <f>'[9]July Prod'!C25</f>
        <v>11602000</v>
      </c>
      <c r="S26" s="8">
        <f t="shared" si="11"/>
        <v>11.602</v>
      </c>
      <c r="T26" s="10">
        <f t="shared" si="12"/>
        <v>35.618139999999997</v>
      </c>
      <c r="U26" s="7">
        <f>'[9]July Prod'!D25</f>
        <v>0</v>
      </c>
      <c r="V26" s="8">
        <f t="shared" si="13"/>
        <v>0</v>
      </c>
      <c r="W26" s="10">
        <f t="shared" si="14"/>
        <v>0</v>
      </c>
      <c r="X26" s="7">
        <f>'[9]July Prod'!D280</f>
        <v>403000.00000000047</v>
      </c>
      <c r="Y26" s="8">
        <f t="shared" si="15"/>
        <v>0.40300000000000047</v>
      </c>
      <c r="Z26" s="10">
        <f t="shared" si="16"/>
        <v>1.2372100000000015</v>
      </c>
      <c r="AA26" s="15"/>
      <c r="AB26" s="7">
        <f>'[9]July Prod'!G25</f>
        <v>0</v>
      </c>
      <c r="AC26" s="8">
        <f t="shared" si="17"/>
        <v>0</v>
      </c>
      <c r="AD26" s="10">
        <f t="shared" si="18"/>
        <v>0</v>
      </c>
      <c r="AF26" s="7">
        <f t="shared" si="19"/>
        <v>32699000</v>
      </c>
      <c r="AG26" s="8">
        <f t="shared" si="20"/>
        <v>32.698999999999998</v>
      </c>
      <c r="AH26" s="8">
        <f t="shared" si="21"/>
        <v>100.38593</v>
      </c>
      <c r="AJ26" s="8">
        <f t="shared" si="24"/>
        <v>-3.9968028886505635E-15</v>
      </c>
    </row>
    <row r="27" spans="1:36" x14ac:dyDescent="0.2">
      <c r="A27" s="28">
        <v>38556</v>
      </c>
      <c r="B27" s="7">
        <f>'[9]July Prod'!I26</f>
        <v>22899999.999997817</v>
      </c>
      <c r="C27" s="8">
        <f t="shared" si="22"/>
        <v>22.899999999997817</v>
      </c>
      <c r="D27" s="10">
        <f t="shared" si="23"/>
        <v>70.30299999999329</v>
      </c>
      <c r="E27" s="7">
        <f>'[9]July Prod'!E26</f>
        <v>5000000</v>
      </c>
      <c r="F27" s="8">
        <f t="shared" si="3"/>
        <v>5</v>
      </c>
      <c r="G27" s="10">
        <f t="shared" si="4"/>
        <v>15.35</v>
      </c>
      <c r="H27" s="7">
        <f>'[9]July Prod'!F26</f>
        <v>17710000</v>
      </c>
      <c r="I27" s="8">
        <f t="shared" si="5"/>
        <v>17.71</v>
      </c>
      <c r="J27" s="10">
        <f t="shared" si="6"/>
        <v>54.369700000000002</v>
      </c>
      <c r="K27" s="7">
        <f>'[9]July Prod'!H281</f>
        <v>1945774</v>
      </c>
      <c r="L27" s="8">
        <f t="shared" si="7"/>
        <v>1.9457739999999999</v>
      </c>
      <c r="M27" s="10">
        <f t="shared" si="8"/>
        <v>5.9735261799999995</v>
      </c>
      <c r="N27" s="21"/>
      <c r="O27" s="7">
        <f>'[9]July Prod'!H26</f>
        <v>12449000</v>
      </c>
      <c r="P27" s="8">
        <f t="shared" si="9"/>
        <v>12.449</v>
      </c>
      <c r="Q27" s="10">
        <f t="shared" si="10"/>
        <v>38.218429999999998</v>
      </c>
      <c r="R27" s="7">
        <f>'[9]July Prod'!C26</f>
        <v>12622000</v>
      </c>
      <c r="S27" s="8">
        <f t="shared" si="11"/>
        <v>12.622</v>
      </c>
      <c r="T27" s="10">
        <f t="shared" si="12"/>
        <v>38.749539999999996</v>
      </c>
      <c r="U27" s="7">
        <f>'[9]July Prod'!D26</f>
        <v>0</v>
      </c>
      <c r="V27" s="8">
        <f t="shared" si="13"/>
        <v>0</v>
      </c>
      <c r="W27" s="10">
        <f t="shared" si="14"/>
        <v>0</v>
      </c>
      <c r="X27" s="7">
        <f>'[9]July Prod'!D281</f>
        <v>173000.00000000003</v>
      </c>
      <c r="Y27" s="8">
        <f t="shared" si="15"/>
        <v>0.17300000000000004</v>
      </c>
      <c r="Z27" s="10">
        <f t="shared" si="16"/>
        <v>0.53111000000000008</v>
      </c>
      <c r="AA27" s="15"/>
      <c r="AB27" s="7">
        <f>'[9]July Prod'!G26</f>
        <v>0</v>
      </c>
      <c r="AC27" s="8">
        <f t="shared" si="17"/>
        <v>0</v>
      </c>
      <c r="AD27" s="10">
        <f t="shared" si="18"/>
        <v>0</v>
      </c>
      <c r="AF27" s="7">
        <f t="shared" si="19"/>
        <v>35348999.999997817</v>
      </c>
      <c r="AG27" s="8">
        <f t="shared" si="20"/>
        <v>35.348999999997815</v>
      </c>
      <c r="AH27" s="8">
        <f t="shared" si="21"/>
        <v>108.52142999999329</v>
      </c>
      <c r="AJ27" s="8">
        <f t="shared" si="24"/>
        <v>-1.8873791418627661E-15</v>
      </c>
    </row>
    <row r="28" spans="1:36" x14ac:dyDescent="0.2">
      <c r="A28" s="28">
        <v>38557</v>
      </c>
      <c r="B28" s="7">
        <f>'[9]July Prod'!I27</f>
        <v>24600000.000002183</v>
      </c>
      <c r="C28" s="8">
        <f t="shared" si="22"/>
        <v>24.600000000002183</v>
      </c>
      <c r="D28" s="10">
        <f t="shared" si="23"/>
        <v>75.522000000006699</v>
      </c>
      <c r="E28" s="7">
        <f>'[9]July Prod'!E27</f>
        <v>5000000</v>
      </c>
      <c r="F28" s="8">
        <f t="shared" si="3"/>
        <v>5</v>
      </c>
      <c r="G28" s="10">
        <f t="shared" si="4"/>
        <v>15.35</v>
      </c>
      <c r="H28" s="7">
        <f>'[9]July Prod'!F27</f>
        <v>18450000</v>
      </c>
      <c r="I28" s="8">
        <f t="shared" si="5"/>
        <v>18.45</v>
      </c>
      <c r="J28" s="10">
        <f t="shared" si="6"/>
        <v>56.641499999999994</v>
      </c>
      <c r="K28" s="7">
        <f>'[9]July Prod'!H282</f>
        <v>1943957</v>
      </c>
      <c r="L28" s="8">
        <f t="shared" si="7"/>
        <v>1.9439569999999999</v>
      </c>
      <c r="M28" s="10">
        <f t="shared" si="8"/>
        <v>5.9679479899999999</v>
      </c>
      <c r="N28" s="21"/>
      <c r="O28" s="7">
        <f>'[9]July Prod'!H27</f>
        <v>12874000</v>
      </c>
      <c r="P28" s="8">
        <f t="shared" si="9"/>
        <v>12.874000000000001</v>
      </c>
      <c r="Q28" s="10">
        <f t="shared" si="10"/>
        <v>39.523179999999996</v>
      </c>
      <c r="R28" s="7">
        <f>'[9]July Prod'!C27</f>
        <v>13163000</v>
      </c>
      <c r="S28" s="8">
        <f t="shared" si="11"/>
        <v>13.163</v>
      </c>
      <c r="T28" s="10">
        <f t="shared" si="12"/>
        <v>40.410409999999999</v>
      </c>
      <c r="U28" s="7">
        <f>'[9]July Prod'!D27</f>
        <v>0</v>
      </c>
      <c r="V28" s="8">
        <f t="shared" si="13"/>
        <v>0</v>
      </c>
      <c r="W28" s="10">
        <f t="shared" si="14"/>
        <v>0</v>
      </c>
      <c r="X28" s="7">
        <f>'[9]July Prod'!D282</f>
        <v>288999.99999999971</v>
      </c>
      <c r="Y28" s="8">
        <f t="shared" si="15"/>
        <v>0.2889999999999997</v>
      </c>
      <c r="Z28" s="10">
        <f t="shared" si="16"/>
        <v>0.88722999999999907</v>
      </c>
      <c r="AA28" s="15"/>
      <c r="AB28" s="7">
        <f>'[9]July Prod'!G27</f>
        <v>0</v>
      </c>
      <c r="AC28" s="8">
        <f t="shared" si="17"/>
        <v>0</v>
      </c>
      <c r="AD28" s="10">
        <f t="shared" si="18"/>
        <v>0</v>
      </c>
      <c r="AF28" s="7">
        <f t="shared" si="19"/>
        <v>37474000.000002183</v>
      </c>
      <c r="AG28" s="8">
        <f t="shared" si="20"/>
        <v>37.474000000002185</v>
      </c>
      <c r="AH28" s="8">
        <f t="shared" si="21"/>
        <v>115.0451800000067</v>
      </c>
      <c r="AJ28" s="8">
        <f t="shared" si="24"/>
        <v>3.3306690738754696E-15</v>
      </c>
    </row>
    <row r="29" spans="1:36" x14ac:dyDescent="0.2">
      <c r="A29" s="28">
        <v>38558</v>
      </c>
      <c r="B29" s="7">
        <f>'[9]July Prod'!I28</f>
        <v>23599999.999998543</v>
      </c>
      <c r="C29" s="8">
        <f t="shared" si="22"/>
        <v>23.599999999998545</v>
      </c>
      <c r="D29" s="10">
        <f t="shared" si="23"/>
        <v>72.451999999995522</v>
      </c>
      <c r="E29" s="7">
        <f>'[9]July Prod'!E28</f>
        <v>6000000</v>
      </c>
      <c r="F29" s="8">
        <f t="shared" si="3"/>
        <v>6</v>
      </c>
      <c r="G29" s="10">
        <f t="shared" si="4"/>
        <v>18.419999999999998</v>
      </c>
      <c r="H29" s="7">
        <f>'[9]July Prod'!F28</f>
        <v>17960000</v>
      </c>
      <c r="I29" s="8">
        <f t="shared" si="5"/>
        <v>17.96</v>
      </c>
      <c r="J29" s="10">
        <f t="shared" si="6"/>
        <v>55.1372</v>
      </c>
      <c r="K29" s="7">
        <f>'[9]July Prod'!H283</f>
        <v>1945682</v>
      </c>
      <c r="L29" s="8">
        <f t="shared" si="7"/>
        <v>1.9456819999999999</v>
      </c>
      <c r="M29" s="10">
        <f t="shared" si="8"/>
        <v>5.9732437399999991</v>
      </c>
      <c r="N29" s="21"/>
      <c r="O29" s="7">
        <f>'[9]July Prod'!H28</f>
        <v>10964000</v>
      </c>
      <c r="P29" s="8">
        <f t="shared" si="9"/>
        <v>10.964</v>
      </c>
      <c r="Q29" s="10">
        <f t="shared" si="10"/>
        <v>33.659480000000002</v>
      </c>
      <c r="R29" s="7">
        <f>'[9]July Prod'!C28</f>
        <v>11311000</v>
      </c>
      <c r="S29" s="8">
        <f t="shared" si="11"/>
        <v>11.311</v>
      </c>
      <c r="T29" s="10">
        <f t="shared" si="12"/>
        <v>34.724769999999999</v>
      </c>
      <c r="U29" s="7">
        <f>'[9]July Prod'!D28</f>
        <v>0</v>
      </c>
      <c r="V29" s="8">
        <f t="shared" si="13"/>
        <v>0</v>
      </c>
      <c r="W29" s="10">
        <f t="shared" si="14"/>
        <v>0</v>
      </c>
      <c r="X29" s="7">
        <f>'[9]July Prod'!D283</f>
        <v>346999.99999999953</v>
      </c>
      <c r="Y29" s="8">
        <f t="shared" si="15"/>
        <v>0.34699999999999953</v>
      </c>
      <c r="Z29" s="10">
        <f t="shared" si="16"/>
        <v>1.0652899999999985</v>
      </c>
      <c r="AA29" s="15"/>
      <c r="AB29" s="7">
        <f>'[9]July Prod'!G28</f>
        <v>0</v>
      </c>
      <c r="AC29" s="8">
        <f t="shared" si="17"/>
        <v>0</v>
      </c>
      <c r="AD29" s="10">
        <f t="shared" si="18"/>
        <v>0</v>
      </c>
      <c r="AF29" s="7">
        <f t="shared" si="19"/>
        <v>34563999.99999854</v>
      </c>
      <c r="AG29" s="8">
        <f t="shared" si="20"/>
        <v>34.563999999998543</v>
      </c>
      <c r="AH29" s="8">
        <f t="shared" si="21"/>
        <v>106.11147999999552</v>
      </c>
      <c r="AJ29" s="8">
        <f t="shared" si="24"/>
        <v>0</v>
      </c>
    </row>
    <row r="30" spans="1:36" x14ac:dyDescent="0.2">
      <c r="A30" s="28">
        <v>38559</v>
      </c>
      <c r="B30" s="7">
        <f>'[9]July Prod'!I29</f>
        <v>18500000</v>
      </c>
      <c r="C30" s="8">
        <f t="shared" si="22"/>
        <v>18.5</v>
      </c>
      <c r="D30" s="10">
        <f t="shared" si="23"/>
        <v>56.794999999999995</v>
      </c>
      <c r="E30" s="7">
        <f>'[9]July Prod'!E29</f>
        <v>5000000</v>
      </c>
      <c r="F30" s="8">
        <f t="shared" si="3"/>
        <v>5</v>
      </c>
      <c r="G30" s="10">
        <f t="shared" si="4"/>
        <v>15.35</v>
      </c>
      <c r="H30" s="7">
        <f>'[9]July Prod'!F29</f>
        <v>13190000</v>
      </c>
      <c r="I30" s="8">
        <f t="shared" si="5"/>
        <v>13.19</v>
      </c>
      <c r="J30" s="10">
        <f t="shared" si="6"/>
        <v>40.493299999999998</v>
      </c>
      <c r="K30" s="7">
        <f>'[9]July Prod'!H284</f>
        <v>1528817</v>
      </c>
      <c r="L30" s="8">
        <f>K30/1000000</f>
        <v>1.5288170000000001</v>
      </c>
      <c r="M30" s="10">
        <f t="shared" si="8"/>
        <v>4.6934681899999999</v>
      </c>
      <c r="N30" s="21"/>
      <c r="O30" s="7">
        <f>'[9]July Prod'!H29</f>
        <v>7805999.9999999981</v>
      </c>
      <c r="P30" s="8">
        <f t="shared" si="9"/>
        <v>7.8059999999999983</v>
      </c>
      <c r="Q30" s="10">
        <f t="shared" si="10"/>
        <v>23.964419999999993</v>
      </c>
      <c r="R30" s="7">
        <f>'[9]July Prod'!C29</f>
        <v>8156000</v>
      </c>
      <c r="S30" s="8">
        <f t="shared" si="11"/>
        <v>8.1560000000000006</v>
      </c>
      <c r="T30" s="10">
        <f t="shared" si="12"/>
        <v>25.038920000000001</v>
      </c>
      <c r="U30" s="7">
        <f>'[9]July Prod'!D29</f>
        <v>0</v>
      </c>
      <c r="V30" s="8">
        <f t="shared" si="13"/>
        <v>0</v>
      </c>
      <c r="W30" s="10">
        <f t="shared" si="14"/>
        <v>0</v>
      </c>
      <c r="X30" s="7">
        <f>'[9]July Prod'!D284</f>
        <v>350000.0000000014</v>
      </c>
      <c r="Y30" s="8">
        <f t="shared" si="15"/>
        <v>0.35000000000000142</v>
      </c>
      <c r="Z30" s="10">
        <f t="shared" si="16"/>
        <v>1.0745000000000042</v>
      </c>
      <c r="AA30" s="15"/>
      <c r="AB30" s="7">
        <f>'[9]July Prod'!G29</f>
        <v>0</v>
      </c>
      <c r="AC30" s="8">
        <f t="shared" si="17"/>
        <v>0</v>
      </c>
      <c r="AD30" s="10">
        <f t="shared" si="18"/>
        <v>0</v>
      </c>
      <c r="AF30" s="7">
        <f t="shared" si="19"/>
        <v>26306000</v>
      </c>
      <c r="AG30" s="8">
        <f t="shared" si="20"/>
        <v>26.305999999999997</v>
      </c>
      <c r="AH30" s="8">
        <f t="shared" si="21"/>
        <v>80.759419999999992</v>
      </c>
      <c r="AJ30" s="8">
        <f t="shared" si="24"/>
        <v>3.3306690738754696E-15</v>
      </c>
    </row>
    <row r="31" spans="1:36" x14ac:dyDescent="0.2">
      <c r="A31" s="28">
        <v>38560</v>
      </c>
      <c r="B31" s="7">
        <f>'[9]July Prod'!I30</f>
        <v>23099999.999998543</v>
      </c>
      <c r="C31" s="8">
        <f t="shared" si="22"/>
        <v>23.099999999998545</v>
      </c>
      <c r="D31" s="10">
        <f t="shared" si="23"/>
        <v>70.916999999995525</v>
      </c>
      <c r="E31" s="7">
        <f>'[9]July Prod'!E30</f>
        <v>5000000</v>
      </c>
      <c r="F31" s="8">
        <f t="shared" si="3"/>
        <v>5</v>
      </c>
      <c r="G31" s="10">
        <f t="shared" si="4"/>
        <v>15.35</v>
      </c>
      <c r="H31" s="7">
        <f>'[9]July Prod'!F30</f>
        <v>17890000</v>
      </c>
      <c r="I31" s="8">
        <f t="shared" si="5"/>
        <v>17.89</v>
      </c>
      <c r="J31" s="10">
        <f t="shared" si="6"/>
        <v>54.9223</v>
      </c>
      <c r="K31" s="7">
        <f>'[9]July Prod'!H285</f>
        <v>1837708</v>
      </c>
      <c r="L31" s="8">
        <f t="shared" si="7"/>
        <v>1.8377079999999999</v>
      </c>
      <c r="M31" s="10">
        <f t="shared" si="8"/>
        <v>5.6417635599999993</v>
      </c>
      <c r="N31" s="21"/>
      <c r="O31" s="7">
        <f>'[9]July Prod'!H30</f>
        <v>12927000</v>
      </c>
      <c r="P31" s="8">
        <f t="shared" si="9"/>
        <v>12.927</v>
      </c>
      <c r="Q31" s="10">
        <f t="shared" si="10"/>
        <v>39.685889999999993</v>
      </c>
      <c r="R31" s="7">
        <f>'[9]July Prod'!C30</f>
        <v>13101000</v>
      </c>
      <c r="S31" s="8">
        <f t="shared" si="11"/>
        <v>13.101000000000001</v>
      </c>
      <c r="T31" s="10">
        <f t="shared" si="12"/>
        <v>40.22007</v>
      </c>
      <c r="U31" s="7">
        <f>'[9]July Prod'!D30</f>
        <v>0</v>
      </c>
      <c r="V31" s="8">
        <f t="shared" si="13"/>
        <v>0</v>
      </c>
      <c r="W31" s="10">
        <f t="shared" si="14"/>
        <v>0</v>
      </c>
      <c r="X31" s="7">
        <f>'[9]July Prod'!D285</f>
        <v>173999.99999999948</v>
      </c>
      <c r="Y31" s="8">
        <f t="shared" si="15"/>
        <v>0.17399999999999949</v>
      </c>
      <c r="Z31" s="10">
        <f t="shared" si="16"/>
        <v>0.53417999999999843</v>
      </c>
      <c r="AA31" s="15"/>
      <c r="AB31" s="7">
        <f>'[9]July Prod'!G30</f>
        <v>0</v>
      </c>
      <c r="AC31" s="8">
        <f t="shared" si="17"/>
        <v>0</v>
      </c>
      <c r="AD31" s="10">
        <f t="shared" si="18"/>
        <v>0</v>
      </c>
      <c r="AF31" s="7">
        <f t="shared" si="19"/>
        <v>36026999.99999854</v>
      </c>
      <c r="AG31" s="8">
        <f t="shared" si="20"/>
        <v>36.026999999998544</v>
      </c>
      <c r="AH31" s="8">
        <f t="shared" si="21"/>
        <v>110.60288999999551</v>
      </c>
      <c r="AJ31" s="8">
        <f t="shared" si="24"/>
        <v>7.8825834748386114E-15</v>
      </c>
    </row>
    <row r="32" spans="1:36" x14ac:dyDescent="0.2">
      <c r="A32" s="28">
        <v>38561</v>
      </c>
      <c r="B32" s="7">
        <f>'[9]July Prod'!I31</f>
        <v>15800000.000002909</v>
      </c>
      <c r="C32" s="8">
        <f t="shared" si="22"/>
        <v>15.800000000002909</v>
      </c>
      <c r="D32" s="10">
        <f t="shared" si="23"/>
        <v>48.506000000008925</v>
      </c>
      <c r="E32" s="7">
        <f>'[9]July Prod'!E31</f>
        <v>5000000</v>
      </c>
      <c r="F32" s="8">
        <f t="shared" si="3"/>
        <v>5</v>
      </c>
      <c r="G32" s="10">
        <f t="shared" si="4"/>
        <v>15.35</v>
      </c>
      <c r="H32" s="7">
        <f>'[9]July Prod'!F31</f>
        <v>11460000</v>
      </c>
      <c r="I32" s="8">
        <f t="shared" si="5"/>
        <v>11.46</v>
      </c>
      <c r="J32" s="10">
        <f t="shared" si="6"/>
        <v>35.182200000000002</v>
      </c>
      <c r="K32" s="7">
        <f>'[9]July Prod'!H286</f>
        <v>1369215</v>
      </c>
      <c r="L32" s="8">
        <f t="shared" si="7"/>
        <v>1.3692150000000001</v>
      </c>
      <c r="M32" s="10">
        <f t="shared" si="8"/>
        <v>4.2034900500000001</v>
      </c>
      <c r="N32" s="21"/>
      <c r="O32" s="7">
        <f>'[9]July Prod'!H31</f>
        <v>12435000</v>
      </c>
      <c r="P32" s="8">
        <f t="shared" si="9"/>
        <v>12.435</v>
      </c>
      <c r="Q32" s="10">
        <f t="shared" si="10"/>
        <v>38.175449999999998</v>
      </c>
      <c r="R32" s="7">
        <f>'[9]July Prod'!C31</f>
        <v>12786000</v>
      </c>
      <c r="S32" s="8">
        <f t="shared" si="11"/>
        <v>12.786</v>
      </c>
      <c r="T32" s="10">
        <f t="shared" si="12"/>
        <v>39.253019999999999</v>
      </c>
      <c r="U32" s="7">
        <f>'[9]July Prod'!D31</f>
        <v>0</v>
      </c>
      <c r="V32" s="8">
        <f t="shared" si="13"/>
        <v>0</v>
      </c>
      <c r="W32" s="10">
        <f t="shared" si="14"/>
        <v>0</v>
      </c>
      <c r="X32" s="7">
        <f>'[9]July Prod'!D286</f>
        <v>350999.99999999907</v>
      </c>
      <c r="Y32" s="8">
        <f t="shared" si="15"/>
        <v>0.35099999999999909</v>
      </c>
      <c r="Z32" s="10">
        <f t="shared" si="16"/>
        <v>1.0775699999999973</v>
      </c>
      <c r="AA32" s="15"/>
      <c r="AB32" s="7">
        <f>'[9]July Prod'!G31</f>
        <v>0</v>
      </c>
      <c r="AC32" s="8">
        <f t="shared" si="17"/>
        <v>0</v>
      </c>
      <c r="AD32" s="10">
        <f t="shared" si="18"/>
        <v>0</v>
      </c>
      <c r="AF32" s="7">
        <f t="shared" si="19"/>
        <v>28235000.000002909</v>
      </c>
      <c r="AG32" s="8">
        <f t="shared" si="20"/>
        <v>28.235000000002909</v>
      </c>
      <c r="AH32" s="8">
        <f t="shared" si="21"/>
        <v>86.681450000008923</v>
      </c>
      <c r="AJ32" s="8">
        <f t="shared" si="24"/>
        <v>4.2188474935755949E-15</v>
      </c>
    </row>
    <row r="33" spans="1:36" x14ac:dyDescent="0.2">
      <c r="A33" s="28">
        <v>38562</v>
      </c>
      <c r="B33" s="7">
        <f>'[9]July Prod'!I32</f>
        <v>12799999.999999272</v>
      </c>
      <c r="C33" s="8">
        <f t="shared" si="22"/>
        <v>12.799999999999272</v>
      </c>
      <c r="D33" s="10">
        <f t="shared" si="23"/>
        <v>39.295999999997761</v>
      </c>
      <c r="E33" s="7">
        <f>'[9]July Prod'!E32</f>
        <v>4000000</v>
      </c>
      <c r="F33" s="8">
        <f t="shared" si="3"/>
        <v>4</v>
      </c>
      <c r="G33" s="10">
        <f t="shared" si="4"/>
        <v>12.28</v>
      </c>
      <c r="H33" s="7">
        <f>'[9]July Prod'!F32</f>
        <v>8199999.9999999991</v>
      </c>
      <c r="I33" s="8">
        <f t="shared" si="5"/>
        <v>8.1999999999999993</v>
      </c>
      <c r="J33" s="10">
        <f t="shared" si="6"/>
        <v>25.173999999999996</v>
      </c>
      <c r="K33" s="7">
        <f>'[9]July Prod'!H287</f>
        <v>1136239</v>
      </c>
      <c r="L33" s="8">
        <f t="shared" si="7"/>
        <v>1.136239</v>
      </c>
      <c r="M33" s="10">
        <f t="shared" si="8"/>
        <v>3.4882537299999998</v>
      </c>
      <c r="N33" s="21"/>
      <c r="O33" s="7">
        <f>'[9]July Prod'!H32</f>
        <v>11219000</v>
      </c>
      <c r="P33" s="8">
        <f t="shared" si="9"/>
        <v>11.218999999999999</v>
      </c>
      <c r="Q33" s="10">
        <f t="shared" si="10"/>
        <v>34.442329999999998</v>
      </c>
      <c r="R33" s="7">
        <f>'[9]July Prod'!C32</f>
        <v>11625000</v>
      </c>
      <c r="S33" s="8">
        <f t="shared" si="11"/>
        <v>11.625</v>
      </c>
      <c r="T33" s="10">
        <f t="shared" si="12"/>
        <v>35.688749999999999</v>
      </c>
      <c r="U33" s="7">
        <f>'[9]July Prod'!D32</f>
        <v>0</v>
      </c>
      <c r="V33" s="8">
        <f t="shared" si="13"/>
        <v>0</v>
      </c>
      <c r="W33" s="10">
        <f t="shared" si="14"/>
        <v>0</v>
      </c>
      <c r="X33" s="7">
        <f>'[9]July Prod'!D287</f>
        <v>406000.00000000058</v>
      </c>
      <c r="Y33" s="8">
        <f t="shared" si="15"/>
        <v>0.40600000000000058</v>
      </c>
      <c r="Z33" s="10">
        <f t="shared" si="16"/>
        <v>1.2464200000000016</v>
      </c>
      <c r="AA33" s="15"/>
      <c r="AB33" s="7">
        <f>'[9]July Prod'!G32</f>
        <v>0</v>
      </c>
      <c r="AC33" s="8">
        <f t="shared" si="17"/>
        <v>0</v>
      </c>
      <c r="AD33" s="10">
        <f t="shared" si="18"/>
        <v>0</v>
      </c>
      <c r="AF33" s="7">
        <f t="shared" si="19"/>
        <v>24018999.99999927</v>
      </c>
      <c r="AG33" s="8">
        <f t="shared" si="20"/>
        <v>24.018999999999274</v>
      </c>
      <c r="AH33" s="8">
        <f t="shared" si="21"/>
        <v>73.73832999999776</v>
      </c>
      <c r="AJ33" s="8">
        <f t="shared" si="24"/>
        <v>0</v>
      </c>
    </row>
    <row r="34" spans="1:36" x14ac:dyDescent="0.2">
      <c r="A34" s="28">
        <v>38563</v>
      </c>
      <c r="B34" s="7">
        <f>'[9]July Prod'!I33</f>
        <v>17599999.999998543</v>
      </c>
      <c r="C34" s="8">
        <f t="shared" si="22"/>
        <v>17.599999999998545</v>
      </c>
      <c r="D34" s="10">
        <f t="shared" si="23"/>
        <v>54.031999999995527</v>
      </c>
      <c r="E34" s="7">
        <f>'[9]July Prod'!E33</f>
        <v>5000000</v>
      </c>
      <c r="F34" s="8">
        <f t="shared" si="3"/>
        <v>5</v>
      </c>
      <c r="G34" s="10">
        <f t="shared" si="4"/>
        <v>15.35</v>
      </c>
      <c r="H34" s="7">
        <f>'[9]July Prod'!F33</f>
        <v>12260000</v>
      </c>
      <c r="I34" s="8">
        <f t="shared" si="5"/>
        <v>12.26</v>
      </c>
      <c r="J34" s="10">
        <f t="shared" si="6"/>
        <v>37.638199999999998</v>
      </c>
      <c r="K34" s="7" t="e">
        <f>'[9]July Prod'!H288</f>
        <v>#REF!</v>
      </c>
      <c r="L34" s="8" t="e">
        <f t="shared" si="7"/>
        <v>#REF!</v>
      </c>
      <c r="M34" s="10" t="e">
        <f t="shared" si="8"/>
        <v>#REF!</v>
      </c>
      <c r="N34" s="21"/>
      <c r="O34" s="7">
        <f>'[9]July Prod'!H33</f>
        <v>11696000</v>
      </c>
      <c r="P34" s="8">
        <f t="shared" si="9"/>
        <v>11.696</v>
      </c>
      <c r="Q34" s="10">
        <f t="shared" si="10"/>
        <v>35.90672</v>
      </c>
      <c r="R34" s="7">
        <f>'[9]July Prod'!C33</f>
        <v>12045000</v>
      </c>
      <c r="S34" s="8">
        <f t="shared" si="11"/>
        <v>12.045</v>
      </c>
      <c r="T34" s="10">
        <f t="shared" si="12"/>
        <v>36.978149999999999</v>
      </c>
      <c r="U34" s="7">
        <f>'[9]July Prod'!D33</f>
        <v>0</v>
      </c>
      <c r="V34" s="8">
        <f t="shared" si="13"/>
        <v>0</v>
      </c>
      <c r="W34" s="10">
        <f t="shared" si="14"/>
        <v>0</v>
      </c>
      <c r="X34" s="7" t="e">
        <f>'[9]July Prod'!D288</f>
        <v>#REF!</v>
      </c>
      <c r="Y34" s="8" t="e">
        <f t="shared" si="15"/>
        <v>#REF!</v>
      </c>
      <c r="Z34" s="10" t="e">
        <f t="shared" si="16"/>
        <v>#REF!</v>
      </c>
      <c r="AA34" s="15"/>
      <c r="AB34" s="7">
        <f>'[9]July Prod'!G33</f>
        <v>0</v>
      </c>
      <c r="AC34" s="8">
        <f t="shared" si="17"/>
        <v>0</v>
      </c>
      <c r="AD34" s="10">
        <f t="shared" si="18"/>
        <v>0</v>
      </c>
      <c r="AF34" s="7">
        <f t="shared" si="19"/>
        <v>29295999.999998543</v>
      </c>
      <c r="AG34" s="8">
        <f t="shared" si="20"/>
        <v>29.295999999998543</v>
      </c>
      <c r="AH34" s="8">
        <f t="shared" si="21"/>
        <v>89.938719999995527</v>
      </c>
      <c r="AJ34" s="8" t="e">
        <f t="shared" si="24"/>
        <v>#REF!</v>
      </c>
    </row>
    <row r="35" spans="1:36" ht="13.5" thickBot="1" x14ac:dyDescent="0.25">
      <c r="A35" s="28">
        <v>38564</v>
      </c>
      <c r="B35" s="7">
        <f>'[9]July Prod'!I34</f>
        <v>16700000.000000728</v>
      </c>
      <c r="C35" s="9">
        <f t="shared" si="22"/>
        <v>16.700000000000728</v>
      </c>
      <c r="D35" s="11">
        <f t="shared" si="23"/>
        <v>51.269000000002229</v>
      </c>
      <c r="E35" s="7">
        <f>'[9]July Prod'!E34</f>
        <v>5000000</v>
      </c>
      <c r="F35" s="9">
        <f t="shared" si="3"/>
        <v>5</v>
      </c>
      <c r="G35" s="11">
        <f t="shared" si="4"/>
        <v>15.35</v>
      </c>
      <c r="H35" s="7">
        <f>'[9]July Prod'!F34</f>
        <v>11960000</v>
      </c>
      <c r="I35" s="8">
        <f t="shared" si="5"/>
        <v>11.96</v>
      </c>
      <c r="J35" s="11">
        <f t="shared" si="6"/>
        <v>36.717199999999998</v>
      </c>
      <c r="K35" s="7" t="e">
        <f>'[9]July Prod'!H289</f>
        <v>#REF!</v>
      </c>
      <c r="L35" s="9" t="e">
        <f t="shared" si="7"/>
        <v>#REF!</v>
      </c>
      <c r="M35" s="11" t="e">
        <f t="shared" si="8"/>
        <v>#REF!</v>
      </c>
      <c r="N35" s="21"/>
      <c r="O35" s="7">
        <f>'[9]July Prod'!H34</f>
        <v>10945000</v>
      </c>
      <c r="P35" s="9">
        <f t="shared" si="9"/>
        <v>10.945</v>
      </c>
      <c r="Q35" s="11">
        <f t="shared" si="10"/>
        <v>33.601149999999997</v>
      </c>
      <c r="R35" s="7">
        <f>'[9]July Prod'!C34</f>
        <v>11296000</v>
      </c>
      <c r="S35" s="9">
        <f t="shared" si="11"/>
        <v>11.295999999999999</v>
      </c>
      <c r="T35" s="11">
        <f t="shared" si="12"/>
        <v>34.678719999999998</v>
      </c>
      <c r="U35" s="7">
        <f>'[9]July Prod'!D34</f>
        <v>0</v>
      </c>
      <c r="V35" s="9">
        <f t="shared" si="13"/>
        <v>0</v>
      </c>
      <c r="W35" s="11">
        <f t="shared" si="14"/>
        <v>0</v>
      </c>
      <c r="X35" s="7" t="e">
        <f>'[9]July Prod'!D289</f>
        <v>#REF!</v>
      </c>
      <c r="Y35" s="9" t="e">
        <f t="shared" si="15"/>
        <v>#REF!</v>
      </c>
      <c r="Z35" s="11" t="e">
        <f t="shared" si="16"/>
        <v>#REF!</v>
      </c>
      <c r="AA35" s="15"/>
      <c r="AB35" s="7">
        <f>'[9]July Prod'!G34</f>
        <v>0</v>
      </c>
      <c r="AC35" s="9">
        <f t="shared" si="17"/>
        <v>0</v>
      </c>
      <c r="AD35" s="11">
        <f t="shared" si="18"/>
        <v>0</v>
      </c>
      <c r="AF35" s="7">
        <f t="shared" si="19"/>
        <v>27645000.00000073</v>
      </c>
      <c r="AG35" s="8">
        <f t="shared" si="20"/>
        <v>27.645000000000728</v>
      </c>
      <c r="AH35" s="8">
        <f t="shared" si="21"/>
        <v>84.870150000002226</v>
      </c>
      <c r="AJ35" s="8" t="e">
        <f t="shared" si="24"/>
        <v>#REF!</v>
      </c>
    </row>
    <row r="36" spans="1:36" ht="13.5" thickBot="1" x14ac:dyDescent="0.25">
      <c r="A36" s="14"/>
      <c r="B36" s="39"/>
      <c r="C36" s="40">
        <f>SUM(C5:C35)</f>
        <v>688.79999999999927</v>
      </c>
      <c r="D36" s="40">
        <f t="shared" si="23"/>
        <v>2114.6159999999977</v>
      </c>
      <c r="E36" s="39"/>
      <c r="F36" s="40">
        <f>SUM(F5:F35)</f>
        <v>192</v>
      </c>
      <c r="G36" s="40">
        <f t="shared" si="4"/>
        <v>589.43999999999994</v>
      </c>
      <c r="H36" s="39"/>
      <c r="I36" s="40">
        <f>SUM(I5:I35)</f>
        <v>493.03999999999996</v>
      </c>
      <c r="J36" s="40">
        <f t="shared" si="6"/>
        <v>1513.6327999999999</v>
      </c>
      <c r="K36" s="39"/>
      <c r="L36" s="40" t="e">
        <f>SUM(L5:L35)</f>
        <v>#REF!</v>
      </c>
      <c r="M36" s="40" t="e">
        <f t="shared" si="8"/>
        <v>#REF!</v>
      </c>
      <c r="N36" s="14"/>
      <c r="O36" s="39"/>
      <c r="P36" s="40">
        <f>SUM(P5:P35)</f>
        <v>334.2580000000001</v>
      </c>
      <c r="Q36" s="40">
        <f t="shared" si="10"/>
        <v>1026.1720600000003</v>
      </c>
      <c r="R36" s="39"/>
      <c r="S36" s="40">
        <f>SUM(S5:S35)</f>
        <v>344.57900000000001</v>
      </c>
      <c r="T36" s="40">
        <f t="shared" si="12"/>
        <v>1057.85753</v>
      </c>
      <c r="U36" s="39"/>
      <c r="V36" s="40">
        <f>SUM(V5:V35)</f>
        <v>2E-3</v>
      </c>
      <c r="W36" s="40">
        <f t="shared" si="14"/>
        <v>6.1399999999999996E-3</v>
      </c>
      <c r="X36" s="39"/>
      <c r="Y36" s="40" t="e">
        <f>SUM(Y5:Y35)</f>
        <v>#REF!</v>
      </c>
      <c r="Z36" s="40" t="e">
        <f t="shared" si="16"/>
        <v>#REF!</v>
      </c>
      <c r="AA36" s="14"/>
      <c r="AB36" s="39"/>
      <c r="AC36" s="40">
        <f>SUM(AC5:AC35)</f>
        <v>0</v>
      </c>
      <c r="AD36" s="40">
        <f t="shared" si="18"/>
        <v>0</v>
      </c>
      <c r="AF36" s="39"/>
      <c r="AG36" s="40">
        <f>SUM(AG5:AG35)</f>
        <v>1023.0579999999994</v>
      </c>
      <c r="AH36" s="40">
        <f>AG36*3.07</f>
        <v>3140.788059999998</v>
      </c>
      <c r="AJ36" s="40" t="e">
        <f>SUM(AJ5:AJ35)</f>
        <v>#REF!</v>
      </c>
    </row>
    <row r="37" spans="1:36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10">
    <mergeCell ref="B3:D3"/>
    <mergeCell ref="E3:G3"/>
    <mergeCell ref="H3:J3"/>
    <mergeCell ref="O3:Q3"/>
    <mergeCell ref="K3:M3"/>
    <mergeCell ref="AF3:AH3"/>
    <mergeCell ref="R3:T3"/>
    <mergeCell ref="U3:W3"/>
    <mergeCell ref="AB3:AD3"/>
    <mergeCell ref="X3:Z3"/>
  </mergeCells>
  <phoneticPr fontId="1" type="noConversion"/>
  <pageMargins left="0.75" right="0.75" top="1" bottom="1" header="0.5" footer="0.5"/>
  <pageSetup paperSize="5" scale="5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F38"/>
  <sheetViews>
    <sheetView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K33" sqref="K33"/>
    </sheetView>
  </sheetViews>
  <sheetFormatPr defaultRowHeight="12.75" x14ac:dyDescent="0.2"/>
  <cols>
    <col min="2" max="2" width="12.85546875" customWidth="1"/>
    <col min="5" max="5" width="12.85546875" customWidth="1"/>
    <col min="8" max="8" width="11" customWidth="1"/>
    <col min="11" max="11" width="11" customWidth="1"/>
    <col min="12" max="12" width="10.85546875" customWidth="1"/>
    <col min="15" max="15" width="11.28515625" customWidth="1"/>
    <col min="18" max="18" width="10.5703125" customWidth="1"/>
    <col min="22" max="22" width="10.5703125" customWidth="1"/>
    <col min="28" max="28" width="10.7109375" customWidth="1"/>
  </cols>
  <sheetData>
    <row r="1" spans="1:32" x14ac:dyDescent="0.2">
      <c r="A1" s="25"/>
      <c r="B1" s="41"/>
      <c r="C1" s="26"/>
      <c r="D1" s="26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8</v>
      </c>
      <c r="AC3" s="66"/>
      <c r="AD3" s="67"/>
      <c r="AF3" s="35" t="s">
        <v>9</v>
      </c>
    </row>
    <row r="4" spans="1:32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2">
      <c r="A5" s="28">
        <v>38565</v>
      </c>
      <c r="B5" s="7">
        <f>'[10]August Prod'!I4</f>
        <v>19200000.000000726</v>
      </c>
      <c r="C5" s="8">
        <f>B5/1000000</f>
        <v>19.200000000000728</v>
      </c>
      <c r="D5" s="10">
        <f>C5*3.07</f>
        <v>58.944000000002234</v>
      </c>
      <c r="E5" s="7">
        <f>'[10]August Prod'!E4</f>
        <v>5000000</v>
      </c>
      <c r="F5" s="8">
        <f>E5/1000000</f>
        <v>5</v>
      </c>
      <c r="G5" s="10">
        <f>F5*3.07</f>
        <v>15.35</v>
      </c>
      <c r="H5" s="7">
        <f>'[10]August Prod'!F4</f>
        <v>13360000</v>
      </c>
      <c r="I5" s="8">
        <f>H5/1000000</f>
        <v>13.36</v>
      </c>
      <c r="J5" s="10">
        <f>I5*3.07</f>
        <v>41.015199999999993</v>
      </c>
      <c r="K5" s="7">
        <f>'[10]August Prod'!H259</f>
        <v>1449042</v>
      </c>
      <c r="L5" s="8">
        <f>K5/1000000</f>
        <v>1.4490419999999999</v>
      </c>
      <c r="M5" s="10">
        <f>L5*3.07</f>
        <v>4.4485589399999999</v>
      </c>
      <c r="N5" s="21"/>
      <c r="O5" s="7">
        <f>'[10]August Prod'!H4</f>
        <v>12512999.999999998</v>
      </c>
      <c r="P5" s="8">
        <f>O5/1000000</f>
        <v>12.512999999999998</v>
      </c>
      <c r="Q5" s="10">
        <f>P5*3.07</f>
        <v>38.414909999999992</v>
      </c>
      <c r="R5" s="7">
        <f>'[10]August Prod'!C4</f>
        <v>12745000</v>
      </c>
      <c r="S5" s="8">
        <f>R5/1000000</f>
        <v>12.744999999999999</v>
      </c>
      <c r="T5" s="10">
        <f>S5*3.07</f>
        <v>39.127149999999993</v>
      </c>
      <c r="U5" s="7">
        <f>'[10]August Prod'!D4</f>
        <v>0</v>
      </c>
      <c r="V5" s="8">
        <f>U5/1000000</f>
        <v>0</v>
      </c>
      <c r="W5" s="10">
        <f>V5*3.07</f>
        <v>0</v>
      </c>
      <c r="X5" s="7">
        <f>'[10]August Prod'!D259</f>
        <v>232000.00000000111</v>
      </c>
      <c r="Y5" s="8">
        <f>X5/1000000</f>
        <v>0.23200000000000109</v>
      </c>
      <c r="Z5" s="10">
        <f>Y5*3.07</f>
        <v>0.71224000000000331</v>
      </c>
      <c r="AA5" s="15"/>
      <c r="AB5" s="7">
        <f>B5+O5</f>
        <v>31713000.000000723</v>
      </c>
      <c r="AC5" s="8">
        <f>C5+P5</f>
        <v>31.713000000000726</v>
      </c>
      <c r="AD5" s="8">
        <f>D5+Q5</f>
        <v>97.358910000002226</v>
      </c>
      <c r="AF5" s="8">
        <f t="shared" ref="AF5:AF14" si="0">T5-Q5-Z5</f>
        <v>-1.9984014443252818E-15</v>
      </c>
    </row>
    <row r="6" spans="1:32" x14ac:dyDescent="0.2">
      <c r="A6" s="28">
        <v>38566</v>
      </c>
      <c r="B6" s="7">
        <f>'[10]August Prod'!I5</f>
        <v>22099999.999998543</v>
      </c>
      <c r="C6" s="8">
        <f t="shared" ref="C6:C35" si="1">B6/1000000</f>
        <v>22.099999999998545</v>
      </c>
      <c r="D6" s="10">
        <f t="shared" ref="D6:D35" si="2">C6*3.07</f>
        <v>67.846999999995532</v>
      </c>
      <c r="E6" s="7">
        <f>'[10]August Prod'!E5</f>
        <v>5000000</v>
      </c>
      <c r="F6" s="8">
        <f t="shared" ref="F6:F35" si="3">E6/1000000</f>
        <v>5</v>
      </c>
      <c r="G6" s="10">
        <f t="shared" ref="G6:G35" si="4">F6*3.07</f>
        <v>15.35</v>
      </c>
      <c r="H6" s="7">
        <f>'[10]August Prod'!F5</f>
        <v>17690000</v>
      </c>
      <c r="I6" s="8">
        <f t="shared" ref="I6:I35" si="5">H6/1000000</f>
        <v>17.690000000000001</v>
      </c>
      <c r="J6" s="10">
        <f t="shared" ref="J6:J35" si="6">I6*3.07</f>
        <v>54.308300000000003</v>
      </c>
      <c r="K6" s="7">
        <f>'[10]August Prod'!H260</f>
        <v>1758736</v>
      </c>
      <c r="L6" s="8">
        <f t="shared" ref="L6:L32" si="7">K6/1000000</f>
        <v>1.7587360000000001</v>
      </c>
      <c r="M6" s="10">
        <f t="shared" ref="M6:M32" si="8">L6*3.07</f>
        <v>5.3993195199999997</v>
      </c>
      <c r="N6" s="21"/>
      <c r="O6" s="7">
        <f>'[10]August Prod'!H5</f>
        <v>12793000</v>
      </c>
      <c r="P6" s="8">
        <f t="shared" ref="P6:P35" si="9">O6/1000000</f>
        <v>12.792999999999999</v>
      </c>
      <c r="Q6" s="10">
        <f t="shared" ref="Q6:Q35" si="10">P6*3.07</f>
        <v>39.274509999999992</v>
      </c>
      <c r="R6" s="7">
        <f>'[10]August Prod'!C5</f>
        <v>13201000</v>
      </c>
      <c r="S6" s="8">
        <f t="shared" ref="S6:S35" si="11">R6/1000000</f>
        <v>13.201000000000001</v>
      </c>
      <c r="T6" s="10">
        <f t="shared" ref="T6:T35" si="12">S6*3.07</f>
        <v>40.527070000000002</v>
      </c>
      <c r="U6" s="7">
        <f>'[10]August Prod'!D5</f>
        <v>0</v>
      </c>
      <c r="V6" s="8">
        <f t="shared" ref="V6:V35" si="13">U6/1000000</f>
        <v>0</v>
      </c>
      <c r="W6" s="10">
        <f t="shared" ref="W6:W35" si="14">V6*3.07</f>
        <v>0</v>
      </c>
      <c r="X6" s="7">
        <f>'[10]August Prod'!D260</f>
        <v>407999.99999999948</v>
      </c>
      <c r="Y6" s="8">
        <f t="shared" ref="Y6:Y35" si="15">X6/1000000</f>
        <v>0.40799999999999947</v>
      </c>
      <c r="Z6" s="10">
        <f t="shared" ref="Z6:Z35" si="16">Y6*3.07</f>
        <v>1.2525599999999983</v>
      </c>
      <c r="AA6" s="15"/>
      <c r="AB6" s="7">
        <f t="shared" ref="AB6:AD35" si="17">B6+O6</f>
        <v>34892999.99999854</v>
      </c>
      <c r="AC6" s="8">
        <f t="shared" si="17"/>
        <v>34.892999999998544</v>
      </c>
      <c r="AD6" s="8">
        <f t="shared" si="17"/>
        <v>107.12150999999552</v>
      </c>
      <c r="AF6" s="8">
        <f t="shared" si="0"/>
        <v>1.1324274851176597E-14</v>
      </c>
    </row>
    <row r="7" spans="1:32" x14ac:dyDescent="0.2">
      <c r="A7" s="28">
        <v>38567</v>
      </c>
      <c r="B7" s="7">
        <f>'[10]August Prod'!I6</f>
        <v>21500000</v>
      </c>
      <c r="C7" s="8">
        <f t="shared" si="1"/>
        <v>21.5</v>
      </c>
      <c r="D7" s="10">
        <f t="shared" si="2"/>
        <v>66.004999999999995</v>
      </c>
      <c r="E7" s="7">
        <f>'[10]August Prod'!E6</f>
        <v>5000000</v>
      </c>
      <c r="F7" s="8">
        <f t="shared" si="3"/>
        <v>5</v>
      </c>
      <c r="G7" s="10">
        <f t="shared" si="4"/>
        <v>15.35</v>
      </c>
      <c r="H7" s="7">
        <f>'[10]August Prod'!F6</f>
        <v>15840000</v>
      </c>
      <c r="I7" s="8">
        <f t="shared" si="5"/>
        <v>15.84</v>
      </c>
      <c r="J7" s="10">
        <f t="shared" si="6"/>
        <v>48.628799999999998</v>
      </c>
      <c r="K7" s="7">
        <f>'[10]August Prod'!H261</f>
        <v>1738057</v>
      </c>
      <c r="L7" s="8">
        <f t="shared" si="7"/>
        <v>1.738057</v>
      </c>
      <c r="M7" s="10">
        <f t="shared" si="8"/>
        <v>5.3358349899999995</v>
      </c>
      <c r="N7" s="21"/>
      <c r="O7" s="7">
        <f>'[10]August Prod'!H6</f>
        <v>9705000</v>
      </c>
      <c r="P7" s="8">
        <f t="shared" si="9"/>
        <v>9.7050000000000001</v>
      </c>
      <c r="Q7" s="10">
        <f t="shared" si="10"/>
        <v>29.794349999999998</v>
      </c>
      <c r="R7" s="7">
        <f>'[10]August Prod'!C6</f>
        <v>9939000</v>
      </c>
      <c r="S7" s="8">
        <f t="shared" si="11"/>
        <v>9.9390000000000001</v>
      </c>
      <c r="T7" s="10">
        <f t="shared" si="12"/>
        <v>30.512729999999998</v>
      </c>
      <c r="U7" s="7">
        <f>'[10]August Prod'!D6</f>
        <v>0</v>
      </c>
      <c r="V7" s="8">
        <f t="shared" si="13"/>
        <v>0</v>
      </c>
      <c r="W7" s="10">
        <f t="shared" si="14"/>
        <v>0</v>
      </c>
      <c r="X7" s="7">
        <f>'[10]August Prod'!D261</f>
        <v>234000</v>
      </c>
      <c r="Y7" s="8">
        <f t="shared" si="15"/>
        <v>0.23400000000000001</v>
      </c>
      <c r="Z7" s="10">
        <f t="shared" si="16"/>
        <v>0.71838000000000002</v>
      </c>
      <c r="AA7" s="15"/>
      <c r="AB7" s="7">
        <f t="shared" si="17"/>
        <v>31205000</v>
      </c>
      <c r="AC7" s="8">
        <f t="shared" si="17"/>
        <v>31.204999999999998</v>
      </c>
      <c r="AD7" s="8">
        <f t="shared" si="17"/>
        <v>95.79934999999999</v>
      </c>
      <c r="AF7" s="8">
        <f t="shared" si="0"/>
        <v>0</v>
      </c>
    </row>
    <row r="8" spans="1:32" x14ac:dyDescent="0.2">
      <c r="A8" s="28">
        <v>38568</v>
      </c>
      <c r="B8" s="7">
        <f>'[10]August Prod'!I7</f>
        <v>17600000.000002183</v>
      </c>
      <c r="C8" s="8">
        <f t="shared" si="1"/>
        <v>17.600000000002183</v>
      </c>
      <c r="D8" s="10">
        <f t="shared" si="2"/>
        <v>54.032000000006697</v>
      </c>
      <c r="E8" s="7">
        <f>'[10]August Prod'!E7</f>
        <v>6000000</v>
      </c>
      <c r="F8" s="8">
        <f t="shared" si="3"/>
        <v>6</v>
      </c>
      <c r="G8" s="10">
        <f t="shared" si="4"/>
        <v>18.419999999999998</v>
      </c>
      <c r="H8" s="7">
        <f>'[10]August Prod'!F7</f>
        <v>11780000</v>
      </c>
      <c r="I8" s="8">
        <f t="shared" si="5"/>
        <v>11.78</v>
      </c>
      <c r="J8" s="10">
        <f t="shared" si="6"/>
        <v>36.164599999999993</v>
      </c>
      <c r="K8" s="7">
        <f>'[10]August Prod'!H262</f>
        <v>1496624</v>
      </c>
      <c r="L8" s="8">
        <f t="shared" si="7"/>
        <v>1.496624</v>
      </c>
      <c r="M8" s="10">
        <f t="shared" si="8"/>
        <v>4.5946356799999997</v>
      </c>
      <c r="N8" s="21"/>
      <c r="O8" s="7">
        <f>'[10]August Prod'!H7</f>
        <v>10536000</v>
      </c>
      <c r="P8" s="8">
        <f t="shared" si="9"/>
        <v>10.536</v>
      </c>
      <c r="Q8" s="10">
        <f t="shared" si="10"/>
        <v>32.34552</v>
      </c>
      <c r="R8" s="7">
        <f>'[10]August Prod'!C7</f>
        <v>10947000</v>
      </c>
      <c r="S8" s="8">
        <f t="shared" si="11"/>
        <v>10.946999999999999</v>
      </c>
      <c r="T8" s="10">
        <f t="shared" si="12"/>
        <v>33.607289999999999</v>
      </c>
      <c r="U8" s="7">
        <f>'[10]August Prod'!D7</f>
        <v>0</v>
      </c>
      <c r="V8" s="8">
        <f t="shared" si="13"/>
        <v>0</v>
      </c>
      <c r="W8" s="10">
        <f t="shared" si="14"/>
        <v>0</v>
      </c>
      <c r="X8" s="7">
        <f>'[10]August Prod'!D262</f>
        <v>410999.99999999959</v>
      </c>
      <c r="Y8" s="8">
        <f t="shared" si="15"/>
        <v>0.41099999999999959</v>
      </c>
      <c r="Z8" s="10">
        <f t="shared" si="16"/>
        <v>1.2617699999999987</v>
      </c>
      <c r="AA8" s="15"/>
      <c r="AB8" s="7">
        <f t="shared" si="17"/>
        <v>28136000.000002183</v>
      </c>
      <c r="AC8" s="8">
        <f t="shared" si="17"/>
        <v>28.136000000002184</v>
      </c>
      <c r="AD8" s="8">
        <f>D8+Q8</f>
        <v>86.377520000006697</v>
      </c>
      <c r="AF8" s="8">
        <f t="shared" si="0"/>
        <v>0</v>
      </c>
    </row>
    <row r="9" spans="1:32" x14ac:dyDescent="0.2">
      <c r="A9" s="28">
        <v>38569</v>
      </c>
      <c r="B9" s="7">
        <f>'[10]August Prod'!I8</f>
        <v>16599999.999998545</v>
      </c>
      <c r="C9" s="8">
        <f t="shared" si="1"/>
        <v>16.599999999998545</v>
      </c>
      <c r="D9" s="10">
        <f t="shared" si="2"/>
        <v>50.961999999995527</v>
      </c>
      <c r="E9" s="7">
        <f>'[10]August Prod'!E8</f>
        <v>5000000</v>
      </c>
      <c r="F9" s="8">
        <f t="shared" si="3"/>
        <v>5</v>
      </c>
      <c r="G9" s="10">
        <f t="shared" si="4"/>
        <v>15.35</v>
      </c>
      <c r="H9" s="7">
        <f>'[10]August Prod'!F8</f>
        <v>10660000</v>
      </c>
      <c r="I9" s="8">
        <f t="shared" si="5"/>
        <v>10.66</v>
      </c>
      <c r="J9" s="10">
        <f t="shared" si="6"/>
        <v>32.726199999999999</v>
      </c>
      <c r="K9" s="7">
        <f>'[10]August Prod'!H263</f>
        <v>1300118</v>
      </c>
      <c r="L9" s="8">
        <f t="shared" si="7"/>
        <v>1.3001180000000001</v>
      </c>
      <c r="M9" s="10">
        <f t="shared" si="8"/>
        <v>3.9913622600000003</v>
      </c>
      <c r="N9" s="21"/>
      <c r="O9" s="7">
        <f>'[10]August Prod'!H8</f>
        <v>11761000</v>
      </c>
      <c r="P9" s="8">
        <f t="shared" si="9"/>
        <v>11.760999999999999</v>
      </c>
      <c r="Q9" s="10">
        <f t="shared" si="10"/>
        <v>36.106269999999995</v>
      </c>
      <c r="R9" s="7">
        <f>'[10]August Prod'!C8</f>
        <v>12113000</v>
      </c>
      <c r="S9" s="8">
        <f t="shared" si="11"/>
        <v>12.113</v>
      </c>
      <c r="T9" s="10">
        <f t="shared" si="12"/>
        <v>37.186909999999997</v>
      </c>
      <c r="U9" s="7">
        <f>'[10]August Prod'!D8</f>
        <v>0</v>
      </c>
      <c r="V9" s="8">
        <f t="shared" si="13"/>
        <v>0</v>
      </c>
      <c r="W9" s="10">
        <f t="shared" si="14"/>
        <v>0</v>
      </c>
      <c r="X9" s="7">
        <f>'[10]August Prod'!D263</f>
        <v>352000.00000000029</v>
      </c>
      <c r="Y9" s="8">
        <f t="shared" si="15"/>
        <v>0.35200000000000031</v>
      </c>
      <c r="Z9" s="10">
        <f t="shared" si="16"/>
        <v>1.0806400000000009</v>
      </c>
      <c r="AA9" s="15"/>
      <c r="AB9" s="7">
        <f t="shared" si="17"/>
        <v>28360999.999998547</v>
      </c>
      <c r="AC9" s="8">
        <f t="shared" si="17"/>
        <v>28.360999999998544</v>
      </c>
      <c r="AD9" s="8">
        <f t="shared" si="17"/>
        <v>87.068269999995522</v>
      </c>
      <c r="AF9" s="8">
        <f t="shared" si="0"/>
        <v>0</v>
      </c>
    </row>
    <row r="10" spans="1:32" x14ac:dyDescent="0.2">
      <c r="A10" s="28">
        <v>38570</v>
      </c>
      <c r="B10" s="7">
        <f>'[10]August Prod'!I9</f>
        <v>19200000.000000726</v>
      </c>
      <c r="C10" s="8">
        <f t="shared" si="1"/>
        <v>19.200000000000728</v>
      </c>
      <c r="D10" s="10">
        <f t="shared" si="2"/>
        <v>58.944000000002234</v>
      </c>
      <c r="E10" s="7">
        <f>'[10]August Prod'!E9</f>
        <v>5000000</v>
      </c>
      <c r="F10" s="8">
        <f t="shared" si="3"/>
        <v>5</v>
      </c>
      <c r="G10" s="10">
        <f t="shared" si="4"/>
        <v>15.35</v>
      </c>
      <c r="H10" s="7">
        <f>'[10]August Prod'!F9</f>
        <v>11560000</v>
      </c>
      <c r="I10" s="8">
        <f t="shared" si="5"/>
        <v>11.56</v>
      </c>
      <c r="J10" s="10">
        <f t="shared" si="6"/>
        <v>35.489199999999997</v>
      </c>
      <c r="K10" s="7">
        <f>'[10]August Prod'!H264</f>
        <v>1489789</v>
      </c>
      <c r="L10" s="8">
        <f t="shared" si="7"/>
        <v>1.489789</v>
      </c>
      <c r="M10" s="10">
        <f t="shared" si="8"/>
        <v>4.5736522299999995</v>
      </c>
      <c r="N10" s="21"/>
      <c r="O10" s="7">
        <f>'[10]August Prod'!H9</f>
        <v>12454000</v>
      </c>
      <c r="P10" s="8">
        <f t="shared" si="9"/>
        <v>12.454000000000001</v>
      </c>
      <c r="Q10" s="10">
        <f t="shared" si="10"/>
        <v>38.233780000000003</v>
      </c>
      <c r="R10" s="7">
        <f>'[10]August Prod'!C9</f>
        <v>12805000</v>
      </c>
      <c r="S10" s="8">
        <f t="shared" si="11"/>
        <v>12.805</v>
      </c>
      <c r="T10" s="10">
        <f t="shared" si="12"/>
        <v>39.311349999999997</v>
      </c>
      <c r="U10" s="7">
        <f>'[10]August Prod'!D9</f>
        <v>0</v>
      </c>
      <c r="V10" s="8">
        <f t="shared" si="13"/>
        <v>0</v>
      </c>
      <c r="W10" s="10">
        <f t="shared" si="14"/>
        <v>0</v>
      </c>
      <c r="X10" s="7">
        <f>'[10]August Prod'!D264</f>
        <v>351000.00000000087</v>
      </c>
      <c r="Y10" s="8">
        <f t="shared" si="15"/>
        <v>0.35100000000000087</v>
      </c>
      <c r="Z10" s="10">
        <f t="shared" si="16"/>
        <v>1.0775700000000026</v>
      </c>
      <c r="AA10" s="15"/>
      <c r="AB10" s="7">
        <f t="shared" si="17"/>
        <v>31654000.000000726</v>
      </c>
      <c r="AC10" s="8">
        <f t="shared" si="17"/>
        <v>31.654000000000728</v>
      </c>
      <c r="AD10" s="8">
        <f t="shared" si="17"/>
        <v>97.17778000000223</v>
      </c>
      <c r="AF10" s="8">
        <f t="shared" si="0"/>
        <v>-8.2156503822261584E-15</v>
      </c>
    </row>
    <row r="11" spans="1:32" x14ac:dyDescent="0.2">
      <c r="A11" s="28">
        <v>38571</v>
      </c>
      <c r="B11" s="7">
        <f>'[10]August Prod'!I10</f>
        <v>18200000.000000726</v>
      </c>
      <c r="C11" s="8">
        <f t="shared" si="1"/>
        <v>18.200000000000728</v>
      </c>
      <c r="D11" s="10">
        <f t="shared" si="2"/>
        <v>55.874000000002233</v>
      </c>
      <c r="E11" s="7">
        <f>'[10]August Prod'!E10</f>
        <v>6000000</v>
      </c>
      <c r="F11" s="8">
        <f t="shared" si="3"/>
        <v>6</v>
      </c>
      <c r="G11" s="10">
        <f t="shared" si="4"/>
        <v>18.419999999999998</v>
      </c>
      <c r="H11" s="7">
        <f>'[10]August Prod'!F10</f>
        <v>15480000</v>
      </c>
      <c r="I11" s="8">
        <f t="shared" si="5"/>
        <v>15.48</v>
      </c>
      <c r="J11" s="10">
        <f t="shared" si="6"/>
        <v>47.523600000000002</v>
      </c>
      <c r="K11" s="7">
        <f>'[10]August Prod'!H265</f>
        <v>1441052</v>
      </c>
      <c r="L11" s="8">
        <f t="shared" si="7"/>
        <v>1.441052</v>
      </c>
      <c r="M11" s="10">
        <f t="shared" si="8"/>
        <v>4.4240296399999997</v>
      </c>
      <c r="N11" s="21"/>
      <c r="O11" s="7">
        <f>'[10]August Prod'!H10</f>
        <v>10734000</v>
      </c>
      <c r="P11" s="8">
        <f t="shared" si="9"/>
        <v>10.734</v>
      </c>
      <c r="Q11" s="10">
        <f t="shared" si="10"/>
        <v>32.953379999999996</v>
      </c>
      <c r="R11" s="7">
        <f>'[10]August Prod'!C10</f>
        <v>11171000</v>
      </c>
      <c r="S11" s="8">
        <f t="shared" si="11"/>
        <v>11.170999999999999</v>
      </c>
      <c r="T11" s="10">
        <f t="shared" si="12"/>
        <v>34.294969999999999</v>
      </c>
      <c r="U11" s="7">
        <f>'[10]August Prod'!D10</f>
        <v>0</v>
      </c>
      <c r="V11" s="8">
        <f t="shared" si="13"/>
        <v>0</v>
      </c>
      <c r="W11" s="10">
        <f t="shared" si="14"/>
        <v>0</v>
      </c>
      <c r="X11" s="7">
        <f>'[10]August Prod'!D265</f>
        <v>436999.99999999942</v>
      </c>
      <c r="Y11" s="8">
        <f t="shared" si="15"/>
        <v>0.43699999999999944</v>
      </c>
      <c r="Z11" s="10">
        <f t="shared" si="16"/>
        <v>1.3415899999999983</v>
      </c>
      <c r="AA11" s="15"/>
      <c r="AB11" s="7">
        <f t="shared" si="17"/>
        <v>28934000.000000726</v>
      </c>
      <c r="AC11" s="8">
        <f t="shared" si="17"/>
        <v>28.934000000000729</v>
      </c>
      <c r="AD11" s="8">
        <f t="shared" si="17"/>
        <v>88.827380000002222</v>
      </c>
      <c r="AF11" s="8">
        <f t="shared" si="0"/>
        <v>5.3290705182007514E-15</v>
      </c>
    </row>
    <row r="12" spans="1:32" x14ac:dyDescent="0.2">
      <c r="A12" s="28">
        <v>38572</v>
      </c>
      <c r="B12" s="7">
        <f>'[10]August Prod'!I11</f>
        <v>19199999.999997091</v>
      </c>
      <c r="C12" s="8">
        <f t="shared" si="1"/>
        <v>19.19999999999709</v>
      </c>
      <c r="D12" s="10">
        <f t="shared" si="2"/>
        <v>58.943999999991064</v>
      </c>
      <c r="E12" s="7">
        <f>'[10]August Prod'!E11</f>
        <v>5000000</v>
      </c>
      <c r="F12" s="8">
        <f t="shared" si="3"/>
        <v>5</v>
      </c>
      <c r="G12" s="10">
        <f t="shared" si="4"/>
        <v>15.35</v>
      </c>
      <c r="H12" s="7">
        <f>'[10]August Prod'!F11</f>
        <v>13580000</v>
      </c>
      <c r="I12" s="8">
        <f t="shared" si="5"/>
        <v>13.58</v>
      </c>
      <c r="J12" s="10">
        <f t="shared" si="6"/>
        <v>41.690599999999996</v>
      </c>
      <c r="K12" s="7">
        <f>'[10]August Prod'!H266</f>
        <v>1523413</v>
      </c>
      <c r="L12" s="8">
        <f t="shared" si="7"/>
        <v>1.5234129999999999</v>
      </c>
      <c r="M12" s="10">
        <f t="shared" si="8"/>
        <v>4.6768779099999991</v>
      </c>
      <c r="N12" s="21"/>
      <c r="O12" s="7">
        <f>'[10]August Prod'!H11</f>
        <v>11097000</v>
      </c>
      <c r="P12" s="8">
        <f t="shared" si="9"/>
        <v>11.097</v>
      </c>
      <c r="Q12" s="10">
        <f t="shared" si="10"/>
        <v>34.067789999999995</v>
      </c>
      <c r="R12" s="7">
        <f>'[10]August Prod'!C11</f>
        <v>11458000</v>
      </c>
      <c r="S12" s="8">
        <f t="shared" si="11"/>
        <v>11.458</v>
      </c>
      <c r="T12" s="10">
        <f t="shared" si="12"/>
        <v>35.17606</v>
      </c>
      <c r="U12" s="7">
        <f>'[10]August Prod'!D11</f>
        <v>0</v>
      </c>
      <c r="V12" s="8">
        <f t="shared" si="13"/>
        <v>0</v>
      </c>
      <c r="W12" s="10">
        <f t="shared" si="14"/>
        <v>0</v>
      </c>
      <c r="X12" s="7">
        <f>'[10]August Prod'!D266</f>
        <v>361000.00000000064</v>
      </c>
      <c r="Y12" s="8">
        <f t="shared" si="15"/>
        <v>0.36100000000000065</v>
      </c>
      <c r="Z12" s="10">
        <f t="shared" si="16"/>
        <v>1.1082700000000019</v>
      </c>
      <c r="AA12" s="15"/>
      <c r="AB12" s="7">
        <f t="shared" si="17"/>
        <v>30296999.999997091</v>
      </c>
      <c r="AC12" s="8">
        <f t="shared" si="17"/>
        <v>30.296999999997091</v>
      </c>
      <c r="AD12" s="8">
        <f t="shared" si="17"/>
        <v>93.011789999991066</v>
      </c>
      <c r="AF12" s="8">
        <f t="shared" si="0"/>
        <v>2.6645352591003757E-15</v>
      </c>
    </row>
    <row r="13" spans="1:32" x14ac:dyDescent="0.2">
      <c r="A13" s="28">
        <v>38573</v>
      </c>
      <c r="B13" s="7">
        <f>'[10]August Prod'!I12</f>
        <v>14700000.000000728</v>
      </c>
      <c r="C13" s="8">
        <f t="shared" si="1"/>
        <v>14.700000000000728</v>
      </c>
      <c r="D13" s="10">
        <f t="shared" si="2"/>
        <v>45.129000000002229</v>
      </c>
      <c r="E13" s="7">
        <f>'[10]August Prod'!E12</f>
        <v>4000000</v>
      </c>
      <c r="F13" s="8">
        <f t="shared" si="3"/>
        <v>4</v>
      </c>
      <c r="G13" s="10">
        <f t="shared" si="4"/>
        <v>12.28</v>
      </c>
      <c r="H13" s="7">
        <f>'[10]August Prod'!F12</f>
        <v>9870000.0000000019</v>
      </c>
      <c r="I13" s="8">
        <f t="shared" si="5"/>
        <v>9.870000000000001</v>
      </c>
      <c r="J13" s="10">
        <f t="shared" si="6"/>
        <v>30.300900000000002</v>
      </c>
      <c r="K13" s="7">
        <f>'[10]August Prod'!H267</f>
        <v>1347417</v>
      </c>
      <c r="L13" s="8">
        <f t="shared" si="7"/>
        <v>1.3474170000000001</v>
      </c>
      <c r="M13" s="10">
        <f t="shared" si="8"/>
        <v>4.1365701900000005</v>
      </c>
      <c r="N13" s="21"/>
      <c r="O13" s="7">
        <f>'[10]August Prod'!H12</f>
        <v>10043000</v>
      </c>
      <c r="P13" s="8">
        <f t="shared" si="9"/>
        <v>10.042999999999999</v>
      </c>
      <c r="Q13" s="10">
        <f t="shared" si="10"/>
        <v>30.832009999999997</v>
      </c>
      <c r="R13" s="7">
        <f>'[10]August Prod'!C12</f>
        <v>10418000</v>
      </c>
      <c r="S13" s="8">
        <f t="shared" si="11"/>
        <v>10.417999999999999</v>
      </c>
      <c r="T13" s="10">
        <f t="shared" si="12"/>
        <v>31.983259999999998</v>
      </c>
      <c r="U13" s="7">
        <f>'[10]August Prod'!D12</f>
        <v>0</v>
      </c>
      <c r="V13" s="8">
        <f t="shared" si="13"/>
        <v>0</v>
      </c>
      <c r="W13" s="10">
        <f t="shared" si="14"/>
        <v>0</v>
      </c>
      <c r="X13" s="7">
        <f>'[10]August Prod'!D267</f>
        <v>375000</v>
      </c>
      <c r="Y13" s="8">
        <f t="shared" si="15"/>
        <v>0.375</v>
      </c>
      <c r="Z13" s="10">
        <f t="shared" si="16"/>
        <v>1.1512499999999999</v>
      </c>
      <c r="AA13" s="15"/>
      <c r="AB13" s="7">
        <f t="shared" si="17"/>
        <v>24743000.00000073</v>
      </c>
      <c r="AC13" s="8">
        <f t="shared" si="17"/>
        <v>24.743000000000727</v>
      </c>
      <c r="AD13" s="8">
        <f t="shared" si="17"/>
        <v>75.961010000002233</v>
      </c>
      <c r="AF13" s="8">
        <f t="shared" si="0"/>
        <v>0</v>
      </c>
    </row>
    <row r="14" spans="1:32" x14ac:dyDescent="0.2">
      <c r="A14" s="28">
        <v>38574</v>
      </c>
      <c r="B14" s="7">
        <f>'[10]August Prod'!I13</f>
        <v>21000000</v>
      </c>
      <c r="C14" s="8">
        <f t="shared" si="1"/>
        <v>21</v>
      </c>
      <c r="D14" s="10">
        <f t="shared" si="2"/>
        <v>64.47</v>
      </c>
      <c r="E14" s="7">
        <f>'[10]August Prod'!E13</f>
        <v>5000000</v>
      </c>
      <c r="F14" s="8">
        <f t="shared" si="3"/>
        <v>5</v>
      </c>
      <c r="G14" s="10">
        <f t="shared" si="4"/>
        <v>15.35</v>
      </c>
      <c r="H14" s="7">
        <f>'[10]August Prod'!F13</f>
        <v>15640000</v>
      </c>
      <c r="I14" s="8">
        <f t="shared" si="5"/>
        <v>15.64</v>
      </c>
      <c r="J14" s="10">
        <f t="shared" si="6"/>
        <v>48.014800000000001</v>
      </c>
      <c r="K14" s="7">
        <f>'[10]August Prod'!H268</f>
        <v>1751913</v>
      </c>
      <c r="L14" s="8">
        <f t="shared" si="7"/>
        <v>1.7519130000000001</v>
      </c>
      <c r="M14" s="10">
        <f t="shared" si="8"/>
        <v>5.3783729099999995</v>
      </c>
      <c r="N14" s="21"/>
      <c r="O14" s="7">
        <f>'[10]August Prod'!H13</f>
        <v>12276000</v>
      </c>
      <c r="P14" s="8">
        <f t="shared" si="9"/>
        <v>12.276</v>
      </c>
      <c r="Q14" s="10">
        <f t="shared" si="10"/>
        <v>37.68732</v>
      </c>
      <c r="R14" s="7">
        <f>'[10]August Prod'!C13</f>
        <v>12829000</v>
      </c>
      <c r="S14" s="8">
        <f t="shared" si="11"/>
        <v>12.829000000000001</v>
      </c>
      <c r="T14" s="10">
        <f t="shared" si="12"/>
        <v>39.38503</v>
      </c>
      <c r="U14" s="7">
        <f>'[10]August Prod'!D13</f>
        <v>0</v>
      </c>
      <c r="V14" s="8">
        <f t="shared" si="13"/>
        <v>0</v>
      </c>
      <c r="W14" s="10">
        <f t="shared" si="14"/>
        <v>0</v>
      </c>
      <c r="X14" s="7">
        <f>'[10]August Prod'!D268</f>
        <v>553000.00000000081</v>
      </c>
      <c r="Y14" s="8">
        <f t="shared" si="15"/>
        <v>0.55300000000000082</v>
      </c>
      <c r="Z14" s="10">
        <f t="shared" si="16"/>
        <v>1.6977100000000025</v>
      </c>
      <c r="AA14" s="15"/>
      <c r="AB14" s="7">
        <f t="shared" si="17"/>
        <v>33276000</v>
      </c>
      <c r="AC14" s="8">
        <f t="shared" si="17"/>
        <v>33.275999999999996</v>
      </c>
      <c r="AD14" s="8">
        <f t="shared" si="17"/>
        <v>102.15732</v>
      </c>
      <c r="AF14" s="8">
        <f t="shared" si="0"/>
        <v>-1.7763568394002505E-15</v>
      </c>
    </row>
    <row r="15" spans="1:32" x14ac:dyDescent="0.2">
      <c r="A15" s="28">
        <v>38575</v>
      </c>
      <c r="B15" s="7">
        <f>'[10]August Prod'!I14</f>
        <v>18700000.000000726</v>
      </c>
      <c r="C15" s="8">
        <f t="shared" si="1"/>
        <v>18.700000000000728</v>
      </c>
      <c r="D15" s="10">
        <f t="shared" si="2"/>
        <v>57.40900000000223</v>
      </c>
      <c r="E15" s="7">
        <f>'[10]August Prod'!E14</f>
        <v>5000000</v>
      </c>
      <c r="F15" s="8">
        <f t="shared" si="3"/>
        <v>5</v>
      </c>
      <c r="G15" s="10">
        <f t="shared" si="4"/>
        <v>15.35</v>
      </c>
      <c r="H15" s="7">
        <f>'[10]August Prod'!F14</f>
        <v>14500000</v>
      </c>
      <c r="I15" s="8">
        <f t="shared" si="5"/>
        <v>14.5</v>
      </c>
      <c r="J15" s="10">
        <f t="shared" si="6"/>
        <v>44.515000000000001</v>
      </c>
      <c r="K15" s="7">
        <f>'[10]August Prod'!H269</f>
        <v>1613803</v>
      </c>
      <c r="L15" s="8">
        <f t="shared" si="7"/>
        <v>1.6138030000000001</v>
      </c>
      <c r="M15" s="10">
        <f t="shared" si="8"/>
        <v>4.9543752100000003</v>
      </c>
      <c r="N15" s="21"/>
      <c r="O15" s="7">
        <f>'[10]August Prod'!H14</f>
        <v>11340000</v>
      </c>
      <c r="P15" s="8">
        <f t="shared" si="9"/>
        <v>11.34</v>
      </c>
      <c r="Q15" s="10">
        <f t="shared" si="10"/>
        <v>34.813800000000001</v>
      </c>
      <c r="R15" s="7">
        <f>'[10]August Prod'!C14</f>
        <v>11753000</v>
      </c>
      <c r="S15" s="8">
        <f t="shared" si="11"/>
        <v>11.753</v>
      </c>
      <c r="T15" s="10">
        <f t="shared" si="12"/>
        <v>36.081710000000001</v>
      </c>
      <c r="U15" s="7">
        <f>'[10]August Prod'!D14</f>
        <v>0</v>
      </c>
      <c r="V15" s="8">
        <f t="shared" si="13"/>
        <v>0</v>
      </c>
      <c r="W15" s="10">
        <f t="shared" si="14"/>
        <v>0</v>
      </c>
      <c r="X15" s="7">
        <f>'[10]August Prod'!D269</f>
        <v>413000.00000000023</v>
      </c>
      <c r="Y15" s="8">
        <f t="shared" si="15"/>
        <v>0.41300000000000026</v>
      </c>
      <c r="Z15" s="10">
        <f t="shared" si="16"/>
        <v>1.2679100000000008</v>
      </c>
      <c r="AA15" s="15"/>
      <c r="AB15" s="7">
        <f t="shared" si="17"/>
        <v>30040000.000000726</v>
      </c>
      <c r="AC15" s="8">
        <f t="shared" si="17"/>
        <v>30.040000000000727</v>
      </c>
      <c r="AD15" s="8">
        <f t="shared" si="17"/>
        <v>92.222800000002223</v>
      </c>
      <c r="AF15" s="8">
        <f>T15-Q15-Z15</f>
        <v>0</v>
      </c>
    </row>
    <row r="16" spans="1:32" x14ac:dyDescent="0.2">
      <c r="A16" s="28">
        <v>38576</v>
      </c>
      <c r="B16" s="7">
        <f>'[10]August Prod'!I15</f>
        <v>24400000.000001457</v>
      </c>
      <c r="C16" s="8">
        <f t="shared" si="1"/>
        <v>24.400000000001455</v>
      </c>
      <c r="D16" s="10">
        <f t="shared" si="2"/>
        <v>74.908000000004463</v>
      </c>
      <c r="E16" s="7">
        <f>'[10]August Prod'!E15</f>
        <v>5000000</v>
      </c>
      <c r="F16" s="8">
        <f t="shared" si="3"/>
        <v>5</v>
      </c>
      <c r="G16" s="10">
        <f t="shared" si="4"/>
        <v>15.35</v>
      </c>
      <c r="H16" s="7">
        <f>'[10]August Prod'!F15</f>
        <v>18390000</v>
      </c>
      <c r="I16" s="8">
        <f t="shared" si="5"/>
        <v>18.39</v>
      </c>
      <c r="J16" s="10">
        <f t="shared" si="6"/>
        <v>56.457299999999996</v>
      </c>
      <c r="K16" s="7">
        <f>'[10]August Prod'!H270</f>
        <v>1932446</v>
      </c>
      <c r="L16" s="8">
        <f t="shared" si="7"/>
        <v>1.9324460000000001</v>
      </c>
      <c r="M16" s="10">
        <f t="shared" si="8"/>
        <v>5.9326092199999998</v>
      </c>
      <c r="N16" s="21"/>
      <c r="O16" s="7">
        <f>'[10]August Prod'!H15</f>
        <v>8897000.0000000019</v>
      </c>
      <c r="P16" s="8">
        <f t="shared" si="9"/>
        <v>8.897000000000002</v>
      </c>
      <c r="Q16" s="10">
        <f t="shared" si="10"/>
        <v>27.313790000000004</v>
      </c>
      <c r="R16" s="7">
        <f>'[10]August Prod'!C15</f>
        <v>9169000</v>
      </c>
      <c r="S16" s="8">
        <f t="shared" si="11"/>
        <v>9.1690000000000005</v>
      </c>
      <c r="T16" s="10">
        <f t="shared" si="12"/>
        <v>28.14883</v>
      </c>
      <c r="U16" s="7">
        <f>'[10]August Prod'!D15</f>
        <v>0</v>
      </c>
      <c r="V16" s="8">
        <f t="shared" si="13"/>
        <v>0</v>
      </c>
      <c r="W16" s="10">
        <f t="shared" si="14"/>
        <v>0</v>
      </c>
      <c r="X16" s="7">
        <f>'[10]August Prod'!D270</f>
        <v>271999.99999999849</v>
      </c>
      <c r="Y16" s="8">
        <f t="shared" si="15"/>
        <v>0.27199999999999847</v>
      </c>
      <c r="Z16" s="10">
        <f t="shared" si="16"/>
        <v>0.83503999999999523</v>
      </c>
      <c r="AA16" s="15"/>
      <c r="AB16" s="7">
        <f t="shared" si="17"/>
        <v>33297000.00000146</v>
      </c>
      <c r="AC16" s="8">
        <f t="shared" si="17"/>
        <v>33.297000000001461</v>
      </c>
      <c r="AD16" s="8">
        <f t="shared" si="17"/>
        <v>102.22179000000446</v>
      </c>
      <c r="AF16" s="8">
        <f>T16-Q16-Z16</f>
        <v>0</v>
      </c>
    </row>
    <row r="17" spans="1:32" x14ac:dyDescent="0.2">
      <c r="A17" s="28">
        <v>38577</v>
      </c>
      <c r="B17" s="7">
        <f>'[10]August Prod'!I16</f>
        <v>16599999.999998545</v>
      </c>
      <c r="C17" s="8">
        <f t="shared" si="1"/>
        <v>16.599999999998545</v>
      </c>
      <c r="D17" s="10">
        <f t="shared" si="2"/>
        <v>50.961999999995527</v>
      </c>
      <c r="E17" s="7">
        <f>'[10]August Prod'!E16</f>
        <v>5000000</v>
      </c>
      <c r="F17" s="8">
        <f t="shared" si="3"/>
        <v>5</v>
      </c>
      <c r="G17" s="10">
        <f t="shared" si="4"/>
        <v>15.35</v>
      </c>
      <c r="H17" s="7">
        <f>'[10]August Prod'!F16</f>
        <v>11650000</v>
      </c>
      <c r="I17" s="8">
        <f t="shared" si="5"/>
        <v>11.65</v>
      </c>
      <c r="J17" s="10">
        <f t="shared" si="6"/>
        <v>35.765499999999996</v>
      </c>
      <c r="K17" s="7">
        <f>'[10]August Prod'!H271</f>
        <v>1436599</v>
      </c>
      <c r="L17" s="8">
        <f t="shared" si="7"/>
        <v>1.436599</v>
      </c>
      <c r="M17" s="10">
        <f t="shared" si="8"/>
        <v>4.4103589299999992</v>
      </c>
      <c r="N17" s="21"/>
      <c r="O17" s="7">
        <f>'[10]August Prod'!H16</f>
        <v>6707000.0000000009</v>
      </c>
      <c r="P17" s="8">
        <f t="shared" si="9"/>
        <v>6.7070000000000007</v>
      </c>
      <c r="Q17" s="10">
        <f t="shared" si="10"/>
        <v>20.590490000000003</v>
      </c>
      <c r="R17" s="7">
        <f>'[10]August Prod'!C16</f>
        <v>6988000</v>
      </c>
      <c r="S17" s="8">
        <f t="shared" si="11"/>
        <v>6.9880000000000004</v>
      </c>
      <c r="T17" s="10">
        <f t="shared" si="12"/>
        <v>21.45316</v>
      </c>
      <c r="U17" s="7">
        <f>'[10]August Prod'!D16</f>
        <v>0</v>
      </c>
      <c r="V17" s="8">
        <f t="shared" si="13"/>
        <v>0</v>
      </c>
      <c r="W17" s="10">
        <f t="shared" si="14"/>
        <v>0</v>
      </c>
      <c r="X17" s="7">
        <f>'[10]August Prod'!D271</f>
        <v>280999.99999999878</v>
      </c>
      <c r="Y17" s="8">
        <f t="shared" si="15"/>
        <v>0.28099999999999875</v>
      </c>
      <c r="Z17" s="10">
        <f t="shared" si="16"/>
        <v>0.86266999999999616</v>
      </c>
      <c r="AA17" s="15"/>
      <c r="AB17" s="7">
        <f t="shared" si="17"/>
        <v>23306999.999998547</v>
      </c>
      <c r="AC17" s="8">
        <f t="shared" si="17"/>
        <v>23.306999999998546</v>
      </c>
      <c r="AD17" s="8">
        <f t="shared" si="17"/>
        <v>71.55248999999553</v>
      </c>
      <c r="AF17" s="8">
        <f>T17-Q17-Z17</f>
        <v>1.6653345369377348E-15</v>
      </c>
    </row>
    <row r="18" spans="1:32" x14ac:dyDescent="0.2">
      <c r="A18" s="28">
        <v>38578</v>
      </c>
      <c r="B18" s="7">
        <f>'[10]August Prod'!I17</f>
        <v>22599999.999998543</v>
      </c>
      <c r="C18" s="8">
        <f t="shared" si="1"/>
        <v>22.599999999998545</v>
      </c>
      <c r="D18" s="10">
        <f t="shared" si="2"/>
        <v>69.381999999995529</v>
      </c>
      <c r="E18" s="7">
        <f>'[10]August Prod'!E17</f>
        <v>10000000</v>
      </c>
      <c r="F18" s="8">
        <f t="shared" si="3"/>
        <v>10</v>
      </c>
      <c r="G18" s="10">
        <f t="shared" si="4"/>
        <v>30.7</v>
      </c>
      <c r="H18" s="7">
        <f>'[10]August Prod'!F17</f>
        <v>13080000</v>
      </c>
      <c r="I18" s="8">
        <f t="shared" si="5"/>
        <v>13.08</v>
      </c>
      <c r="J18" s="10">
        <f t="shared" si="6"/>
        <v>40.1556</v>
      </c>
      <c r="K18" s="7">
        <f>'[10]August Prod'!H272</f>
        <v>1849068</v>
      </c>
      <c r="L18" s="8">
        <f t="shared" si="7"/>
        <v>1.8490679999999999</v>
      </c>
      <c r="M18" s="10">
        <f t="shared" si="8"/>
        <v>5.6766387599999995</v>
      </c>
      <c r="N18" s="21"/>
      <c r="O18" s="7">
        <f>'[10]August Prod'!H17</f>
        <v>10788999.999999998</v>
      </c>
      <c r="P18" s="8">
        <f t="shared" si="9"/>
        <v>10.788999999999998</v>
      </c>
      <c r="Q18" s="10">
        <f t="shared" si="10"/>
        <v>33.122229999999995</v>
      </c>
      <c r="R18" s="7">
        <f>'[10]August Prod'!C17</f>
        <v>11186000</v>
      </c>
      <c r="S18" s="8">
        <f t="shared" si="11"/>
        <v>11.186</v>
      </c>
      <c r="T18" s="10">
        <f t="shared" si="12"/>
        <v>34.34102</v>
      </c>
      <c r="U18" s="7">
        <f>'[10]August Prod'!D17</f>
        <v>0</v>
      </c>
      <c r="V18" s="8">
        <f t="shared" si="13"/>
        <v>0</v>
      </c>
      <c r="W18" s="10">
        <f t="shared" si="14"/>
        <v>0</v>
      </c>
      <c r="X18" s="7">
        <f>'[10]August Prod'!D272</f>
        <v>397000.00000000204</v>
      </c>
      <c r="Y18" s="8">
        <f t="shared" si="15"/>
        <v>0.39700000000000202</v>
      </c>
      <c r="Z18" s="10">
        <f t="shared" si="16"/>
        <v>1.218790000000006</v>
      </c>
      <c r="AA18" s="15"/>
      <c r="AB18" s="7">
        <f t="shared" si="17"/>
        <v>33388999.99999854</v>
      </c>
      <c r="AC18" s="8">
        <f t="shared" si="17"/>
        <v>33.388999999998546</v>
      </c>
      <c r="AD18" s="8">
        <f t="shared" si="17"/>
        <v>102.50422999999552</v>
      </c>
      <c r="AF18" s="8">
        <f>T18-Q18-Z18</f>
        <v>0</v>
      </c>
    </row>
    <row r="19" spans="1:32" x14ac:dyDescent="0.2">
      <c r="A19" s="28">
        <v>38579</v>
      </c>
      <c r="B19" s="7">
        <f>'[10]August Prod'!I18</f>
        <v>18400000.000001457</v>
      </c>
      <c r="C19" s="8">
        <f t="shared" si="1"/>
        <v>18.400000000001455</v>
      </c>
      <c r="D19" s="10">
        <f t="shared" si="2"/>
        <v>56.488000000004462</v>
      </c>
      <c r="E19" s="7">
        <f>'[10]August Prod'!E18</f>
        <v>9000000</v>
      </c>
      <c r="F19" s="8">
        <f t="shared" si="3"/>
        <v>9</v>
      </c>
      <c r="G19" s="10">
        <f t="shared" si="4"/>
        <v>27.63</v>
      </c>
      <c r="H19" s="7">
        <f>'[10]August Prod'!F18</f>
        <v>9650000</v>
      </c>
      <c r="I19" s="8">
        <f t="shared" si="5"/>
        <v>9.65</v>
      </c>
      <c r="J19" s="10">
        <f t="shared" si="6"/>
        <v>29.625499999999999</v>
      </c>
      <c r="K19" s="7">
        <f>'[10]August Prod'!H273</f>
        <v>551217002</v>
      </c>
      <c r="L19" s="8">
        <f t="shared" si="7"/>
        <v>551.21700199999998</v>
      </c>
      <c r="M19" s="10">
        <f t="shared" si="8"/>
        <v>1692.2361961399999</v>
      </c>
      <c r="N19" s="21"/>
      <c r="O19" s="7">
        <f>'[10]August Prod'!H18</f>
        <v>12929000</v>
      </c>
      <c r="P19" s="8">
        <f t="shared" si="9"/>
        <v>12.929</v>
      </c>
      <c r="Q19" s="10">
        <f t="shared" si="10"/>
        <v>39.692029999999995</v>
      </c>
      <c r="R19" s="7">
        <f>'[10]August Prod'!C18</f>
        <v>13254000</v>
      </c>
      <c r="S19" s="8">
        <f t="shared" si="11"/>
        <v>13.254</v>
      </c>
      <c r="T19" s="10">
        <f t="shared" si="12"/>
        <v>40.689779999999999</v>
      </c>
      <c r="U19" s="7">
        <f>'[10]August Prod'!D18</f>
        <v>0</v>
      </c>
      <c r="V19" s="8">
        <f t="shared" si="13"/>
        <v>0</v>
      </c>
      <c r="W19" s="10">
        <f t="shared" si="14"/>
        <v>0</v>
      </c>
      <c r="X19" s="7">
        <f>'[10]August Prod'!D273</f>
        <v>324999.9999999993</v>
      </c>
      <c r="Y19" s="8">
        <f t="shared" si="15"/>
        <v>0.32499999999999929</v>
      </c>
      <c r="Z19" s="10">
        <f t="shared" si="16"/>
        <v>0.99774999999999781</v>
      </c>
      <c r="AA19" s="15"/>
      <c r="AB19" s="7">
        <f t="shared" si="17"/>
        <v>31329000.000001457</v>
      </c>
      <c r="AC19" s="8">
        <f t="shared" si="17"/>
        <v>31.329000000001457</v>
      </c>
      <c r="AD19" s="8">
        <f>D19+Q19</f>
        <v>96.18003000000445</v>
      </c>
      <c r="AF19" s="8">
        <f>T19-Q19-Z19</f>
        <v>5.6621374255882984E-15</v>
      </c>
    </row>
    <row r="20" spans="1:32" x14ac:dyDescent="0.2">
      <c r="A20" s="28">
        <v>38580</v>
      </c>
      <c r="B20" s="7">
        <f>'[10]August Prod'!I19</f>
        <v>20900000.000001457</v>
      </c>
      <c r="C20" s="8">
        <f t="shared" si="1"/>
        <v>20.900000000001455</v>
      </c>
      <c r="D20" s="10">
        <f t="shared" si="2"/>
        <v>64.163000000004459</v>
      </c>
      <c r="E20" s="7">
        <f>'[10]August Prod'!E19</f>
        <v>9000000</v>
      </c>
      <c r="F20" s="8">
        <f t="shared" si="3"/>
        <v>9</v>
      </c>
      <c r="G20" s="10">
        <f t="shared" si="4"/>
        <v>27.63</v>
      </c>
      <c r="H20" s="7">
        <f>'[10]August Prod'!F19</f>
        <v>11970000</v>
      </c>
      <c r="I20" s="8">
        <f t="shared" si="5"/>
        <v>11.97</v>
      </c>
      <c r="J20" s="10">
        <f t="shared" si="6"/>
        <v>36.747900000000001</v>
      </c>
      <c r="K20" s="7">
        <f>'[10]August Prod'!H274</f>
        <v>1665039</v>
      </c>
      <c r="L20" s="8">
        <f t="shared" si="7"/>
        <v>1.6650389999999999</v>
      </c>
      <c r="M20" s="10">
        <f t="shared" si="8"/>
        <v>5.1116697299999991</v>
      </c>
      <c r="N20" s="21"/>
      <c r="O20" s="7">
        <f>'[10]August Prod'!H19</f>
        <v>12626000</v>
      </c>
      <c r="P20" s="8">
        <f t="shared" si="9"/>
        <v>12.625999999999999</v>
      </c>
      <c r="Q20" s="10">
        <f t="shared" si="10"/>
        <v>38.761819999999993</v>
      </c>
      <c r="R20" s="7">
        <f>'[10]August Prod'!C19</f>
        <v>13118000</v>
      </c>
      <c r="S20" s="8">
        <f t="shared" si="11"/>
        <v>13.118</v>
      </c>
      <c r="T20" s="10">
        <f t="shared" si="12"/>
        <v>40.272259999999996</v>
      </c>
      <c r="U20" s="7">
        <f>'[10]August Prod'!D19</f>
        <v>0</v>
      </c>
      <c r="V20" s="8">
        <f t="shared" si="13"/>
        <v>0</v>
      </c>
      <c r="W20" s="10">
        <f t="shared" si="14"/>
        <v>0</v>
      </c>
      <c r="X20" s="7">
        <f>'[10]August Prod'!D274</f>
        <v>492000</v>
      </c>
      <c r="Y20" s="8">
        <f t="shared" si="15"/>
        <v>0.49199999999999999</v>
      </c>
      <c r="Z20" s="10">
        <f t="shared" si="16"/>
        <v>1.51044</v>
      </c>
      <c r="AA20" s="15"/>
      <c r="AB20" s="7">
        <f t="shared" si="17"/>
        <v>33526000.000001457</v>
      </c>
      <c r="AC20" s="8">
        <f t="shared" si="17"/>
        <v>33.526000000001453</v>
      </c>
      <c r="AD20" s="8">
        <f t="shared" si="17"/>
        <v>102.92482000000444</v>
      </c>
      <c r="AF20" s="8">
        <f t="shared" ref="AF20:AF35" si="18">T20-Q20-Z20</f>
        <v>2.6645352591003757E-15</v>
      </c>
    </row>
    <row r="21" spans="1:32" x14ac:dyDescent="0.2">
      <c r="A21" s="28">
        <v>38581</v>
      </c>
      <c r="B21" s="7">
        <f>'[10]August Prod'!I20</f>
        <v>24000000</v>
      </c>
      <c r="C21" s="8">
        <f t="shared" si="1"/>
        <v>24</v>
      </c>
      <c r="D21" s="10">
        <f t="shared" si="2"/>
        <v>73.679999999999993</v>
      </c>
      <c r="E21" s="7">
        <f>'[10]August Prod'!E20</f>
        <v>10000000</v>
      </c>
      <c r="F21" s="8">
        <f t="shared" si="3"/>
        <v>10</v>
      </c>
      <c r="G21" s="10">
        <f t="shared" si="4"/>
        <v>30.7</v>
      </c>
      <c r="H21" s="7">
        <f>'[10]August Prod'!F20</f>
        <v>15020000</v>
      </c>
      <c r="I21" s="8">
        <f t="shared" si="5"/>
        <v>15.02</v>
      </c>
      <c r="J21" s="10">
        <f t="shared" si="6"/>
        <v>46.111399999999996</v>
      </c>
      <c r="K21" s="7">
        <f>'[10]August Prod'!H275</f>
        <v>1959413</v>
      </c>
      <c r="L21" s="8">
        <f t="shared" si="7"/>
        <v>1.9594130000000001</v>
      </c>
      <c r="M21" s="10">
        <f t="shared" si="8"/>
        <v>6.0153979099999999</v>
      </c>
      <c r="N21" s="21"/>
      <c r="O21" s="7">
        <f>'[10]August Prod'!H20</f>
        <v>11052000</v>
      </c>
      <c r="P21" s="8">
        <f t="shared" si="9"/>
        <v>11.052</v>
      </c>
      <c r="Q21" s="10">
        <f t="shared" si="10"/>
        <v>33.929639999999999</v>
      </c>
      <c r="R21" s="7">
        <f>'[10]August Prod'!C20</f>
        <v>11607000</v>
      </c>
      <c r="S21" s="8">
        <f t="shared" si="11"/>
        <v>11.606999999999999</v>
      </c>
      <c r="T21" s="10">
        <f t="shared" si="12"/>
        <v>35.633489999999995</v>
      </c>
      <c r="U21" s="7">
        <f>'[10]August Prod'!D20</f>
        <v>0</v>
      </c>
      <c r="V21" s="8">
        <f t="shared" si="13"/>
        <v>0</v>
      </c>
      <c r="W21" s="10">
        <f t="shared" si="14"/>
        <v>0</v>
      </c>
      <c r="X21" s="7">
        <f>'[10]August Prod'!D275</f>
        <v>554999.99999999988</v>
      </c>
      <c r="Y21" s="8">
        <f t="shared" si="15"/>
        <v>0.55499999999999994</v>
      </c>
      <c r="Z21" s="10">
        <f t="shared" si="16"/>
        <v>1.7038499999999996</v>
      </c>
      <c r="AA21" s="15"/>
      <c r="AB21" s="7">
        <f t="shared" si="17"/>
        <v>35052000</v>
      </c>
      <c r="AC21" s="8">
        <f t="shared" si="17"/>
        <v>35.052</v>
      </c>
      <c r="AD21" s="8">
        <f t="shared" si="17"/>
        <v>107.60963999999998</v>
      </c>
      <c r="AF21" s="8">
        <f t="shared" si="18"/>
        <v>-3.9968028886505635E-15</v>
      </c>
    </row>
    <row r="22" spans="1:32" x14ac:dyDescent="0.2">
      <c r="A22" s="28">
        <v>38582</v>
      </c>
      <c r="B22" s="7">
        <f>'[10]August Prod'!I21</f>
        <v>24599999.999998543</v>
      </c>
      <c r="C22" s="8">
        <f t="shared" si="1"/>
        <v>24.599999999998545</v>
      </c>
      <c r="D22" s="10">
        <f t="shared" si="2"/>
        <v>75.521999999995529</v>
      </c>
      <c r="E22" s="7">
        <f>'[10]August Prod'!E21</f>
        <v>9000000</v>
      </c>
      <c r="F22" s="8">
        <f t="shared" si="3"/>
        <v>9</v>
      </c>
      <c r="G22" s="10">
        <f t="shared" si="4"/>
        <v>27.63</v>
      </c>
      <c r="H22" s="7">
        <f>'[10]August Prod'!F21</f>
        <v>15030000.000000002</v>
      </c>
      <c r="I22" s="8">
        <f t="shared" si="5"/>
        <v>15.030000000000001</v>
      </c>
      <c r="J22" s="10">
        <f t="shared" si="6"/>
        <v>46.142099999999999</v>
      </c>
      <c r="K22" s="7">
        <f>'[10]August Prod'!H276</f>
        <v>1891174</v>
      </c>
      <c r="L22" s="8">
        <f t="shared" si="7"/>
        <v>1.8911739999999999</v>
      </c>
      <c r="M22" s="10">
        <f t="shared" si="8"/>
        <v>5.8059041799999997</v>
      </c>
      <c r="N22" s="21"/>
      <c r="O22" s="7">
        <f>'[10]August Prod'!H21</f>
        <v>10933000</v>
      </c>
      <c r="P22" s="8">
        <f t="shared" si="9"/>
        <v>10.933</v>
      </c>
      <c r="Q22" s="10">
        <f t="shared" si="10"/>
        <v>33.564309999999999</v>
      </c>
      <c r="R22" s="7">
        <f>'[10]August Prod'!C21</f>
        <v>11426000</v>
      </c>
      <c r="S22" s="8">
        <f t="shared" si="11"/>
        <v>11.426</v>
      </c>
      <c r="T22" s="10">
        <f t="shared" si="12"/>
        <v>35.077819999999996</v>
      </c>
      <c r="U22" s="7">
        <f>'[10]August Prod'!D21</f>
        <v>0</v>
      </c>
      <c r="V22" s="8">
        <f t="shared" si="13"/>
        <v>0</v>
      </c>
      <c r="W22" s="10">
        <f t="shared" si="14"/>
        <v>0</v>
      </c>
      <c r="X22" s="7">
        <f>'[10]August Prod'!D276</f>
        <v>493000.00000000012</v>
      </c>
      <c r="Y22" s="8">
        <f t="shared" si="15"/>
        <v>0.4930000000000001</v>
      </c>
      <c r="Z22" s="10">
        <f t="shared" si="16"/>
        <v>1.5135100000000001</v>
      </c>
      <c r="AA22" s="15"/>
      <c r="AB22" s="7">
        <f t="shared" si="17"/>
        <v>35532999.99999854</v>
      </c>
      <c r="AC22" s="8">
        <f t="shared" si="17"/>
        <v>35.532999999998545</v>
      </c>
      <c r="AD22" s="8">
        <f t="shared" si="17"/>
        <v>109.08630999999554</v>
      </c>
      <c r="AF22" s="8">
        <f t="shared" si="18"/>
        <v>-3.5527136788005009E-15</v>
      </c>
    </row>
    <row r="23" spans="1:32" x14ac:dyDescent="0.2">
      <c r="A23" s="28">
        <v>38583</v>
      </c>
      <c r="B23" s="7">
        <f>'[10]August Prod'!I22</f>
        <v>20599999.999998543</v>
      </c>
      <c r="C23" s="8">
        <f t="shared" si="1"/>
        <v>20.599999999998545</v>
      </c>
      <c r="D23" s="10">
        <f t="shared" si="2"/>
        <v>63.241999999995528</v>
      </c>
      <c r="E23" s="7">
        <f>'[10]August Prod'!E22</f>
        <v>10000000</v>
      </c>
      <c r="F23" s="8">
        <f t="shared" si="3"/>
        <v>10</v>
      </c>
      <c r="G23" s="10">
        <f t="shared" si="4"/>
        <v>30.7</v>
      </c>
      <c r="H23" s="7">
        <f>'[10]August Prod'!F22</f>
        <v>11020000</v>
      </c>
      <c r="I23" s="8">
        <f t="shared" si="5"/>
        <v>11.02</v>
      </c>
      <c r="J23" s="10">
        <f t="shared" si="6"/>
        <v>33.831399999999995</v>
      </c>
      <c r="K23" s="7">
        <f>'[10]August Prod'!H277</f>
        <v>1610033</v>
      </c>
      <c r="L23" s="8">
        <f t="shared" si="7"/>
        <v>1.610033</v>
      </c>
      <c r="M23" s="10">
        <f t="shared" si="8"/>
        <v>4.9428013100000001</v>
      </c>
      <c r="N23" s="21"/>
      <c r="O23" s="7">
        <f>'[10]August Prod'!H22</f>
        <v>11209000</v>
      </c>
      <c r="P23" s="8">
        <f t="shared" si="9"/>
        <v>11.209</v>
      </c>
      <c r="Q23" s="10">
        <f t="shared" si="10"/>
        <v>34.411629999999995</v>
      </c>
      <c r="R23" s="7">
        <f>'[10]August Prod'!C22</f>
        <v>11701000</v>
      </c>
      <c r="S23" s="8">
        <f t="shared" si="11"/>
        <v>11.701000000000001</v>
      </c>
      <c r="T23" s="10">
        <f t="shared" si="12"/>
        <v>35.922069999999998</v>
      </c>
      <c r="U23" s="7">
        <f>'[10]August Prod'!D22</f>
        <v>0</v>
      </c>
      <c r="V23" s="8">
        <f t="shared" si="13"/>
        <v>0</v>
      </c>
      <c r="W23" s="10">
        <f t="shared" si="14"/>
        <v>0</v>
      </c>
      <c r="X23" s="7">
        <f>'[10]August Prod'!D277</f>
        <v>492000</v>
      </c>
      <c r="Y23" s="8">
        <f t="shared" si="15"/>
        <v>0.49199999999999999</v>
      </c>
      <c r="Z23" s="10">
        <f t="shared" si="16"/>
        <v>1.51044</v>
      </c>
      <c r="AA23" s="15"/>
      <c r="AB23" s="7">
        <f t="shared" si="17"/>
        <v>31808999.999998543</v>
      </c>
      <c r="AC23" s="8">
        <f t="shared" si="17"/>
        <v>31.808999999998544</v>
      </c>
      <c r="AD23" s="8">
        <f t="shared" si="17"/>
        <v>97.65362999999553</v>
      </c>
      <c r="AF23" s="8">
        <f t="shared" si="18"/>
        <v>2.6645352591003757E-15</v>
      </c>
    </row>
    <row r="24" spans="1:32" x14ac:dyDescent="0.2">
      <c r="A24" s="28">
        <v>38584</v>
      </c>
      <c r="B24" s="7">
        <f>'[10]August Prod'!I23</f>
        <v>22300000.000002909</v>
      </c>
      <c r="C24" s="8">
        <f t="shared" si="1"/>
        <v>22.30000000000291</v>
      </c>
      <c r="D24" s="10">
        <f t="shared" si="2"/>
        <v>68.461000000008937</v>
      </c>
      <c r="E24" s="7">
        <f>'[10]August Prod'!E23</f>
        <v>10000000</v>
      </c>
      <c r="F24" s="8">
        <f t="shared" si="3"/>
        <v>10</v>
      </c>
      <c r="G24" s="10">
        <f t="shared" si="4"/>
        <v>30.7</v>
      </c>
      <c r="H24" s="7">
        <f>'[10]August Prod'!F23</f>
        <v>11880000</v>
      </c>
      <c r="I24" s="8">
        <f t="shared" si="5"/>
        <v>11.88</v>
      </c>
      <c r="J24" s="10">
        <f t="shared" si="6"/>
        <v>36.471600000000002</v>
      </c>
      <c r="K24" s="7">
        <f>'[10]August Prod'!H278</f>
        <v>64024002</v>
      </c>
      <c r="L24" s="8">
        <f t="shared" si="7"/>
        <v>64.024001999999996</v>
      </c>
      <c r="M24" s="10">
        <f t="shared" si="8"/>
        <v>196.55368613999997</v>
      </c>
      <c r="N24" s="21"/>
      <c r="O24" s="7">
        <f>'[10]August Prod'!H23</f>
        <v>12453000</v>
      </c>
      <c r="P24" s="8">
        <f t="shared" si="9"/>
        <v>12.452999999999999</v>
      </c>
      <c r="Q24" s="10">
        <f t="shared" si="10"/>
        <v>38.230709999999995</v>
      </c>
      <c r="R24" s="7">
        <f>'[10]August Prod'!C23</f>
        <v>12825000</v>
      </c>
      <c r="S24" s="8">
        <f t="shared" si="11"/>
        <v>12.824999999999999</v>
      </c>
      <c r="T24" s="10">
        <f t="shared" si="12"/>
        <v>39.372749999999996</v>
      </c>
      <c r="U24" s="7">
        <f>'[10]August Prod'!D23</f>
        <v>0</v>
      </c>
      <c r="V24" s="8">
        <f t="shared" si="13"/>
        <v>0</v>
      </c>
      <c r="W24" s="10">
        <f t="shared" si="14"/>
        <v>0</v>
      </c>
      <c r="X24" s="7">
        <f>'[10]August Prod'!D278</f>
        <v>371999.99999999988</v>
      </c>
      <c r="Y24" s="8">
        <f t="shared" si="15"/>
        <v>0.37199999999999989</v>
      </c>
      <c r="Z24" s="10">
        <f t="shared" si="16"/>
        <v>1.1420399999999995</v>
      </c>
      <c r="AA24" s="15"/>
      <c r="AB24" s="7">
        <f t="shared" si="17"/>
        <v>34753000.000002906</v>
      </c>
      <c r="AC24" s="8">
        <f t="shared" si="17"/>
        <v>34.753000000002913</v>
      </c>
      <c r="AD24" s="8">
        <f>D24+Q24</f>
        <v>106.69171000000892</v>
      </c>
      <c r="AF24" s="8">
        <f t="shared" si="18"/>
        <v>1.9984014443252818E-15</v>
      </c>
    </row>
    <row r="25" spans="1:32" x14ac:dyDescent="0.2">
      <c r="A25" s="28">
        <v>38585</v>
      </c>
      <c r="B25" s="7">
        <f>'[10]August Prod'!I24</f>
        <v>24699999.999997091</v>
      </c>
      <c r="C25" s="8">
        <f t="shared" si="1"/>
        <v>24.69999999999709</v>
      </c>
      <c r="D25" s="10">
        <f t="shared" si="2"/>
        <v>75.828999999991055</v>
      </c>
      <c r="E25" s="7">
        <f>'[10]August Prod'!E24</f>
        <v>10000000</v>
      </c>
      <c r="F25" s="8">
        <f t="shared" si="3"/>
        <v>10</v>
      </c>
      <c r="G25" s="10">
        <f t="shared" si="4"/>
        <v>30.7</v>
      </c>
      <c r="H25" s="7">
        <f>'[10]August Prod'!F24</f>
        <v>15530000.000000002</v>
      </c>
      <c r="I25" s="8">
        <f t="shared" si="5"/>
        <v>15.530000000000001</v>
      </c>
      <c r="J25" s="10">
        <f t="shared" si="6"/>
        <v>47.677100000000003</v>
      </c>
      <c r="K25" s="7">
        <f>'[10]August Prod'!H279</f>
        <v>1971989</v>
      </c>
      <c r="L25" s="8">
        <f t="shared" si="7"/>
        <v>1.971989</v>
      </c>
      <c r="M25" s="10">
        <f t="shared" si="8"/>
        <v>6.0540062299999997</v>
      </c>
      <c r="N25" s="21"/>
      <c r="O25" s="7">
        <f>'[10]August Prod'!H24</f>
        <v>10878000</v>
      </c>
      <c r="P25" s="8">
        <f t="shared" si="9"/>
        <v>10.878</v>
      </c>
      <c r="Q25" s="10">
        <f t="shared" si="10"/>
        <v>33.39546</v>
      </c>
      <c r="R25" s="7">
        <f>'[10]August Prod'!C24</f>
        <v>11248000</v>
      </c>
      <c r="S25" s="8">
        <f t="shared" si="11"/>
        <v>11.247999999999999</v>
      </c>
      <c r="T25" s="10">
        <f t="shared" si="12"/>
        <v>34.531359999999999</v>
      </c>
      <c r="U25" s="7">
        <f>'[10]August Prod'!D24</f>
        <v>0</v>
      </c>
      <c r="V25" s="8">
        <f t="shared" si="13"/>
        <v>0</v>
      </c>
      <c r="W25" s="10">
        <f t="shared" si="14"/>
        <v>0</v>
      </c>
      <c r="X25" s="7">
        <f>'[10]August Prod'!D279</f>
        <v>370000.00000000012</v>
      </c>
      <c r="Y25" s="8">
        <f t="shared" si="15"/>
        <v>0.37000000000000011</v>
      </c>
      <c r="Z25" s="10">
        <f t="shared" si="16"/>
        <v>1.1359000000000004</v>
      </c>
      <c r="AA25" s="15"/>
      <c r="AB25" s="7">
        <f t="shared" si="17"/>
        <v>35577999.999997094</v>
      </c>
      <c r="AC25" s="8">
        <f t="shared" si="17"/>
        <v>35.57799999999709</v>
      </c>
      <c r="AD25" s="8">
        <f t="shared" si="17"/>
        <v>109.22445999999105</v>
      </c>
      <c r="AF25" s="8">
        <f t="shared" si="18"/>
        <v>0</v>
      </c>
    </row>
    <row r="26" spans="1:32" x14ac:dyDescent="0.2">
      <c r="A26" s="28">
        <v>38586</v>
      </c>
      <c r="B26" s="7">
        <f>'[10]August Prod'!I25</f>
        <v>16700000.000000728</v>
      </c>
      <c r="C26" s="8">
        <f t="shared" si="1"/>
        <v>16.700000000000728</v>
      </c>
      <c r="D26" s="10">
        <f t="shared" si="2"/>
        <v>51.269000000002229</v>
      </c>
      <c r="E26" s="7">
        <f>'[10]August Prod'!E25</f>
        <v>8000000</v>
      </c>
      <c r="F26" s="8">
        <f t="shared" si="3"/>
        <v>8</v>
      </c>
      <c r="G26" s="10">
        <f t="shared" si="4"/>
        <v>24.56</v>
      </c>
      <c r="H26" s="7">
        <f>'[10]August Prod'!F25</f>
        <v>9000000</v>
      </c>
      <c r="I26" s="8">
        <f t="shared" si="5"/>
        <v>9</v>
      </c>
      <c r="J26" s="10">
        <f t="shared" si="6"/>
        <v>27.63</v>
      </c>
      <c r="K26" s="7">
        <f>'[10]August Prod'!H280</f>
        <v>1465026</v>
      </c>
      <c r="L26" s="8">
        <f t="shared" si="7"/>
        <v>1.4650259999999999</v>
      </c>
      <c r="M26" s="10">
        <f t="shared" si="8"/>
        <v>4.4976298199999993</v>
      </c>
      <c r="N26" s="21"/>
      <c r="O26" s="7">
        <f>'[10]August Prod'!H25</f>
        <v>8391000</v>
      </c>
      <c r="P26" s="8">
        <f t="shared" si="9"/>
        <v>8.391</v>
      </c>
      <c r="Q26" s="10">
        <f t="shared" si="10"/>
        <v>25.760369999999998</v>
      </c>
      <c r="R26" s="7">
        <f>'[10]August Prod'!C25</f>
        <v>8746000</v>
      </c>
      <c r="S26" s="8">
        <f t="shared" si="11"/>
        <v>8.7460000000000004</v>
      </c>
      <c r="T26" s="10">
        <f t="shared" si="12"/>
        <v>26.85022</v>
      </c>
      <c r="U26" s="7">
        <f>'[10]August Prod'!D25</f>
        <v>0</v>
      </c>
      <c r="V26" s="8">
        <f t="shared" si="13"/>
        <v>0</v>
      </c>
      <c r="W26" s="10">
        <f t="shared" si="14"/>
        <v>0</v>
      </c>
      <c r="X26" s="7">
        <f>'[10]August Prod'!D280</f>
        <v>355000</v>
      </c>
      <c r="Y26" s="8">
        <f t="shared" si="15"/>
        <v>0.35499999999999998</v>
      </c>
      <c r="Z26" s="10">
        <f t="shared" si="16"/>
        <v>1.08985</v>
      </c>
      <c r="AA26" s="15"/>
      <c r="AB26" s="7">
        <f t="shared" si="17"/>
        <v>25091000.00000073</v>
      </c>
      <c r="AC26" s="8">
        <f t="shared" si="17"/>
        <v>25.091000000000726</v>
      </c>
      <c r="AD26" s="8">
        <f t="shared" si="17"/>
        <v>77.029370000002231</v>
      </c>
      <c r="AF26" s="8">
        <f t="shared" si="18"/>
        <v>1.9984014443252818E-15</v>
      </c>
    </row>
    <row r="27" spans="1:32" x14ac:dyDescent="0.2">
      <c r="A27" s="28">
        <v>38587</v>
      </c>
      <c r="B27" s="7">
        <f>'[10]August Prod'!I26</f>
        <v>16799999.999999274</v>
      </c>
      <c r="C27" s="8">
        <f t="shared" si="1"/>
        <v>16.799999999999272</v>
      </c>
      <c r="D27" s="10">
        <f t="shared" si="2"/>
        <v>51.575999999997762</v>
      </c>
      <c r="E27" s="7">
        <f>'[10]August Prod'!E26</f>
        <v>5000000</v>
      </c>
      <c r="F27" s="8">
        <f t="shared" si="3"/>
        <v>5</v>
      </c>
      <c r="G27" s="10">
        <f t="shared" si="4"/>
        <v>15.35</v>
      </c>
      <c r="H27" s="7">
        <f>'[10]August Prod'!F26</f>
        <v>11630000</v>
      </c>
      <c r="I27" s="8">
        <f t="shared" si="5"/>
        <v>11.63</v>
      </c>
      <c r="J27" s="10">
        <f t="shared" si="6"/>
        <v>35.704100000000004</v>
      </c>
      <c r="K27" s="7">
        <f>'[10]August Prod'!H281</f>
        <v>1531747</v>
      </c>
      <c r="L27" s="8">
        <f t="shared" si="7"/>
        <v>1.531747</v>
      </c>
      <c r="M27" s="10">
        <f t="shared" si="8"/>
        <v>4.7024632899999999</v>
      </c>
      <c r="N27" s="21"/>
      <c r="O27" s="7">
        <f>'[10]August Prod'!H26</f>
        <v>11109000</v>
      </c>
      <c r="P27" s="8">
        <f t="shared" si="9"/>
        <v>11.109</v>
      </c>
      <c r="Q27" s="10">
        <f t="shared" si="10"/>
        <v>34.10463</v>
      </c>
      <c r="R27" s="7">
        <f>'[10]August Prod'!C26</f>
        <v>11498000</v>
      </c>
      <c r="S27" s="8">
        <f t="shared" si="11"/>
        <v>11.497999999999999</v>
      </c>
      <c r="T27" s="10">
        <f t="shared" si="12"/>
        <v>35.298859999999998</v>
      </c>
      <c r="U27" s="7">
        <f>'[10]August Prod'!D26</f>
        <v>0</v>
      </c>
      <c r="V27" s="8">
        <f t="shared" si="13"/>
        <v>0</v>
      </c>
      <c r="W27" s="10">
        <f t="shared" si="14"/>
        <v>0</v>
      </c>
      <c r="X27" s="7">
        <f>'[10]August Prod'!D281</f>
        <v>389000.00000000023</v>
      </c>
      <c r="Y27" s="8">
        <f t="shared" si="15"/>
        <v>0.38900000000000023</v>
      </c>
      <c r="Z27" s="10">
        <f t="shared" si="16"/>
        <v>1.1942300000000006</v>
      </c>
      <c r="AA27" s="15"/>
      <c r="AB27" s="7">
        <f t="shared" si="17"/>
        <v>27908999.999999274</v>
      </c>
      <c r="AC27" s="8">
        <f t="shared" si="17"/>
        <v>27.908999999999274</v>
      </c>
      <c r="AD27" s="8">
        <f t="shared" si="17"/>
        <v>85.680629999997763</v>
      </c>
      <c r="AF27" s="8">
        <f>T27-Q27-Z27</f>
        <v>-3.1086244689504383E-15</v>
      </c>
    </row>
    <row r="28" spans="1:32" x14ac:dyDescent="0.2">
      <c r="A28" s="28">
        <v>38588</v>
      </c>
      <c r="B28" s="7">
        <f>'[10]August Prod'!I27</f>
        <v>18000000</v>
      </c>
      <c r="C28" s="8">
        <f t="shared" si="1"/>
        <v>18</v>
      </c>
      <c r="D28" s="10">
        <f t="shared" si="2"/>
        <v>55.26</v>
      </c>
      <c r="E28" s="7">
        <f>'[10]August Prod'!E27</f>
        <v>4000000</v>
      </c>
      <c r="F28" s="8">
        <f t="shared" si="3"/>
        <v>4</v>
      </c>
      <c r="G28" s="10">
        <f t="shared" si="4"/>
        <v>12.28</v>
      </c>
      <c r="H28" s="7">
        <f>'[10]August Prod'!F27</f>
        <v>13690000</v>
      </c>
      <c r="I28" s="8">
        <f t="shared" si="5"/>
        <v>13.69</v>
      </c>
      <c r="J28" s="10">
        <f t="shared" si="6"/>
        <v>42.028299999999994</v>
      </c>
      <c r="K28" s="7">
        <f>'[10]August Prod'!H282</f>
        <v>1505026</v>
      </c>
      <c r="L28" s="8">
        <f t="shared" si="7"/>
        <v>1.505026</v>
      </c>
      <c r="M28" s="10">
        <f t="shared" si="8"/>
        <v>4.62042982</v>
      </c>
      <c r="N28" s="21"/>
      <c r="O28" s="7">
        <f>'[10]August Prod'!H27</f>
        <v>10420000</v>
      </c>
      <c r="P28" s="8">
        <f t="shared" si="9"/>
        <v>10.42</v>
      </c>
      <c r="Q28" s="10">
        <f t="shared" si="10"/>
        <v>31.9894</v>
      </c>
      <c r="R28" s="7">
        <f>'[10]August Prod'!C27</f>
        <v>10782000</v>
      </c>
      <c r="S28" s="8">
        <f t="shared" si="11"/>
        <v>10.782</v>
      </c>
      <c r="T28" s="10">
        <f t="shared" si="12"/>
        <v>33.100740000000002</v>
      </c>
      <c r="U28" s="7">
        <f>'[10]August Prod'!D27</f>
        <v>0</v>
      </c>
      <c r="V28" s="8">
        <f t="shared" si="13"/>
        <v>0</v>
      </c>
      <c r="W28" s="10">
        <f t="shared" si="14"/>
        <v>0</v>
      </c>
      <c r="X28" s="7">
        <f>'[10]August Prod'!D282</f>
        <v>362000.00000000012</v>
      </c>
      <c r="Y28" s="8">
        <f t="shared" si="15"/>
        <v>0.3620000000000001</v>
      </c>
      <c r="Z28" s="10">
        <f t="shared" si="16"/>
        <v>1.1113400000000002</v>
      </c>
      <c r="AA28" s="15"/>
      <c r="AB28" s="7">
        <f t="shared" si="17"/>
        <v>28420000</v>
      </c>
      <c r="AC28" s="8">
        <f t="shared" si="17"/>
        <v>28.42</v>
      </c>
      <c r="AD28" s="8">
        <f t="shared" si="17"/>
        <v>87.249399999999994</v>
      </c>
      <c r="AF28" s="8">
        <f t="shared" si="18"/>
        <v>1.7763568394002505E-15</v>
      </c>
    </row>
    <row r="29" spans="1:32" x14ac:dyDescent="0.2">
      <c r="A29" s="28">
        <v>38589</v>
      </c>
      <c r="B29" s="7">
        <f>'[10]August Prod'!I28</f>
        <v>17900000.000001457</v>
      </c>
      <c r="C29" s="8">
        <f t="shared" si="1"/>
        <v>17.900000000001455</v>
      </c>
      <c r="D29" s="10">
        <f t="shared" si="2"/>
        <v>54.953000000004465</v>
      </c>
      <c r="E29" s="7">
        <f>'[10]August Prod'!E28</f>
        <v>4000000</v>
      </c>
      <c r="F29" s="8">
        <f t="shared" si="3"/>
        <v>4</v>
      </c>
      <c r="G29" s="10">
        <f t="shared" si="4"/>
        <v>12.28</v>
      </c>
      <c r="H29" s="7">
        <f>'[10]August Prod'!F28</f>
        <v>13290000</v>
      </c>
      <c r="I29" s="8">
        <f t="shared" si="5"/>
        <v>13.29</v>
      </c>
      <c r="J29" s="10">
        <f t="shared" si="6"/>
        <v>40.800299999999993</v>
      </c>
      <c r="K29" s="7">
        <f>'[10]August Prod'!H283</f>
        <v>1408670</v>
      </c>
      <c r="L29" s="8">
        <f t="shared" si="7"/>
        <v>1.4086700000000001</v>
      </c>
      <c r="M29" s="10">
        <f t="shared" si="8"/>
        <v>4.3246168999999997</v>
      </c>
      <c r="N29" s="21"/>
      <c r="O29" s="7">
        <f>'[10]August Prod'!H28</f>
        <v>9469000</v>
      </c>
      <c r="P29" s="8">
        <f t="shared" si="9"/>
        <v>9.4689999999999994</v>
      </c>
      <c r="Q29" s="10">
        <f t="shared" si="10"/>
        <v>29.069829999999996</v>
      </c>
      <c r="R29" s="7">
        <f>'[10]August Prod'!C28</f>
        <v>9961000</v>
      </c>
      <c r="S29" s="8">
        <f t="shared" si="11"/>
        <v>9.9610000000000003</v>
      </c>
      <c r="T29" s="10">
        <f t="shared" si="12"/>
        <v>30.580269999999999</v>
      </c>
      <c r="U29" s="7">
        <f>'[10]August Prod'!D28</f>
        <v>0</v>
      </c>
      <c r="V29" s="8">
        <f t="shared" si="13"/>
        <v>0</v>
      </c>
      <c r="W29" s="10">
        <f t="shared" si="14"/>
        <v>0</v>
      </c>
      <c r="X29" s="7">
        <f>'[10]August Prod'!D283</f>
        <v>492000</v>
      </c>
      <c r="Y29" s="8">
        <f t="shared" si="15"/>
        <v>0.49199999999999999</v>
      </c>
      <c r="Z29" s="10">
        <f t="shared" si="16"/>
        <v>1.51044</v>
      </c>
      <c r="AA29" s="15"/>
      <c r="AB29" s="7">
        <f t="shared" si="17"/>
        <v>27369000.000001457</v>
      </c>
      <c r="AC29" s="8">
        <f t="shared" si="17"/>
        <v>27.369000000001456</v>
      </c>
      <c r="AD29" s="8">
        <f t="shared" si="17"/>
        <v>84.022830000004461</v>
      </c>
      <c r="AF29" s="8">
        <f t="shared" si="18"/>
        <v>2.6645352591003757E-15</v>
      </c>
    </row>
    <row r="30" spans="1:32" x14ac:dyDescent="0.2">
      <c r="A30" s="28">
        <v>38590</v>
      </c>
      <c r="B30" s="7">
        <f>'[10]August Prod'!I29</f>
        <v>20400000.000001457</v>
      </c>
      <c r="C30" s="8">
        <f t="shared" si="1"/>
        <v>20.400000000001455</v>
      </c>
      <c r="D30" s="10">
        <f t="shared" si="2"/>
        <v>62.628000000004462</v>
      </c>
      <c r="E30" s="7">
        <f>'[10]August Prod'!E29</f>
        <v>4000000</v>
      </c>
      <c r="F30" s="8">
        <f t="shared" si="3"/>
        <v>4</v>
      </c>
      <c r="G30" s="10">
        <f t="shared" si="4"/>
        <v>12.28</v>
      </c>
      <c r="H30" s="7">
        <f>'[10]August Prod'!F29</f>
        <v>16090000</v>
      </c>
      <c r="I30" s="8">
        <f t="shared" si="5"/>
        <v>16.09</v>
      </c>
      <c r="J30" s="10">
        <f t="shared" si="6"/>
        <v>49.396299999999997</v>
      </c>
      <c r="K30" s="7">
        <f>'[10]August Prod'!H284</f>
        <v>1734856</v>
      </c>
      <c r="L30" s="8">
        <f t="shared" si="7"/>
        <v>1.734856</v>
      </c>
      <c r="M30" s="10">
        <f t="shared" si="8"/>
        <v>5.3260079199999995</v>
      </c>
      <c r="N30" s="21"/>
      <c r="O30" s="7">
        <f>'[10]August Prod'!H29</f>
        <v>9793000</v>
      </c>
      <c r="P30" s="8">
        <f t="shared" si="9"/>
        <v>9.7929999999999993</v>
      </c>
      <c r="Q30" s="10">
        <f t="shared" si="10"/>
        <v>30.064509999999995</v>
      </c>
      <c r="R30" s="7">
        <f>'[10]August Prod'!C29</f>
        <v>10104000</v>
      </c>
      <c r="S30" s="8">
        <f t="shared" si="11"/>
        <v>10.103999999999999</v>
      </c>
      <c r="T30" s="10">
        <f t="shared" si="12"/>
        <v>31.019279999999995</v>
      </c>
      <c r="U30" s="7">
        <f>'[10]August Prod'!D29</f>
        <v>0</v>
      </c>
      <c r="V30" s="8">
        <f t="shared" si="13"/>
        <v>0</v>
      </c>
      <c r="W30" s="10">
        <f t="shared" si="14"/>
        <v>0</v>
      </c>
      <c r="X30" s="7">
        <f>'[10]August Prod'!D284</f>
        <v>310999.99999999994</v>
      </c>
      <c r="Y30" s="8">
        <f t="shared" si="15"/>
        <v>0.31099999999999994</v>
      </c>
      <c r="Z30" s="10">
        <f t="shared" si="16"/>
        <v>0.95476999999999979</v>
      </c>
      <c r="AA30" s="15"/>
      <c r="AB30" s="7">
        <f t="shared" si="17"/>
        <v>30193000.000001457</v>
      </c>
      <c r="AC30" s="8">
        <f t="shared" si="17"/>
        <v>30.193000000001454</v>
      </c>
      <c r="AD30" s="8">
        <f>D30+Q30</f>
        <v>92.692510000004461</v>
      </c>
      <c r="AF30" s="8">
        <f t="shared" si="18"/>
        <v>0</v>
      </c>
    </row>
    <row r="31" spans="1:32" x14ac:dyDescent="0.2">
      <c r="A31" s="28">
        <v>38591</v>
      </c>
      <c r="B31" s="7">
        <f>'[10]August Prod'!I30</f>
        <v>20199999.999997091</v>
      </c>
      <c r="C31" s="8">
        <f t="shared" si="1"/>
        <v>20.19999999999709</v>
      </c>
      <c r="D31" s="10">
        <f t="shared" si="2"/>
        <v>62.013999999991064</v>
      </c>
      <c r="E31" s="7">
        <f>'[10]August Prod'!E30</f>
        <v>4000000</v>
      </c>
      <c r="F31" s="8">
        <f t="shared" si="3"/>
        <v>4</v>
      </c>
      <c r="G31" s="10">
        <f t="shared" si="4"/>
        <v>12.28</v>
      </c>
      <c r="H31" s="7">
        <f>'[10]August Prod'!F30</f>
        <v>15500000</v>
      </c>
      <c r="I31" s="8">
        <f t="shared" si="5"/>
        <v>15.5</v>
      </c>
      <c r="J31" s="10">
        <f t="shared" si="6"/>
        <v>47.585000000000001</v>
      </c>
      <c r="K31" s="7">
        <f>'[10]August Prod'!H285</f>
        <v>1604407</v>
      </c>
      <c r="L31" s="8">
        <f t="shared" si="7"/>
        <v>1.6044069999999999</v>
      </c>
      <c r="M31" s="10">
        <f t="shared" si="8"/>
        <v>4.9255294899999997</v>
      </c>
      <c r="N31" s="21"/>
      <c r="O31" s="7">
        <f>'[10]August Prod'!H30</f>
        <v>9710000</v>
      </c>
      <c r="P31" s="8">
        <f t="shared" si="9"/>
        <v>9.7100000000000009</v>
      </c>
      <c r="Q31" s="10">
        <f t="shared" si="10"/>
        <v>29.809699999999999</v>
      </c>
      <c r="R31" s="7">
        <f>'[10]August Prod'!C30</f>
        <v>10085000</v>
      </c>
      <c r="S31" s="8">
        <f t="shared" si="11"/>
        <v>10.085000000000001</v>
      </c>
      <c r="T31" s="10">
        <f t="shared" si="12"/>
        <v>30.96095</v>
      </c>
      <c r="U31" s="7">
        <f>'[10]August Prod'!D30</f>
        <v>0</v>
      </c>
      <c r="V31" s="8">
        <f t="shared" si="13"/>
        <v>0</v>
      </c>
      <c r="W31" s="10">
        <f t="shared" si="14"/>
        <v>0</v>
      </c>
      <c r="X31" s="7">
        <f>'[10]August Prod'!D285</f>
        <v>375000</v>
      </c>
      <c r="Y31" s="8">
        <f t="shared" si="15"/>
        <v>0.375</v>
      </c>
      <c r="Z31" s="10">
        <f t="shared" si="16"/>
        <v>1.1512499999999999</v>
      </c>
      <c r="AA31" s="15"/>
      <c r="AB31" s="7">
        <f t="shared" si="17"/>
        <v>29909999.999997091</v>
      </c>
      <c r="AC31" s="8">
        <f t="shared" si="17"/>
        <v>29.90999999999709</v>
      </c>
      <c r="AD31" s="8">
        <f t="shared" si="17"/>
        <v>91.823699999991064</v>
      </c>
      <c r="AF31" s="8">
        <f t="shared" si="18"/>
        <v>0</v>
      </c>
    </row>
    <row r="32" spans="1:32" x14ac:dyDescent="0.2">
      <c r="A32" s="28">
        <v>38592</v>
      </c>
      <c r="B32" s="7">
        <f>'[10]August Prod'!I31</f>
        <v>21000000</v>
      </c>
      <c r="C32" s="8">
        <f t="shared" si="1"/>
        <v>21</v>
      </c>
      <c r="D32" s="10">
        <f t="shared" si="2"/>
        <v>64.47</v>
      </c>
      <c r="E32" s="7">
        <f>'[10]August Prod'!E31</f>
        <v>5000000</v>
      </c>
      <c r="F32" s="8">
        <f t="shared" si="3"/>
        <v>5</v>
      </c>
      <c r="G32" s="10">
        <f t="shared" si="4"/>
        <v>15.35</v>
      </c>
      <c r="H32" s="7">
        <f>'[10]August Prod'!F31</f>
        <v>15150000</v>
      </c>
      <c r="I32" s="8">
        <f t="shared" si="5"/>
        <v>15.15</v>
      </c>
      <c r="J32" s="10">
        <f t="shared" si="6"/>
        <v>46.5105</v>
      </c>
      <c r="K32" s="7">
        <f>'[10]August Prod'!H286</f>
        <v>1676709</v>
      </c>
      <c r="L32" s="8">
        <f t="shared" si="7"/>
        <v>1.676709</v>
      </c>
      <c r="M32" s="10">
        <f t="shared" si="8"/>
        <v>5.14749663</v>
      </c>
      <c r="N32" s="21"/>
      <c r="O32" s="7">
        <f>'[10]August Prod'!H31</f>
        <v>10337000</v>
      </c>
      <c r="P32" s="8">
        <f t="shared" si="9"/>
        <v>10.337</v>
      </c>
      <c r="Q32" s="10">
        <f t="shared" si="10"/>
        <v>31.734589999999997</v>
      </c>
      <c r="R32" s="7">
        <f>'[10]August Prod'!C31</f>
        <v>10704000</v>
      </c>
      <c r="S32" s="8">
        <f t="shared" si="11"/>
        <v>10.704000000000001</v>
      </c>
      <c r="T32" s="10">
        <f t="shared" si="12"/>
        <v>32.861280000000001</v>
      </c>
      <c r="U32" s="7">
        <f>'[10]August Prod'!D31</f>
        <v>0</v>
      </c>
      <c r="V32" s="8">
        <f t="shared" si="13"/>
        <v>0</v>
      </c>
      <c r="W32" s="10">
        <f t="shared" si="14"/>
        <v>0</v>
      </c>
      <c r="X32" s="7">
        <f>'[10]August Prod'!D286</f>
        <v>367000</v>
      </c>
      <c r="Y32" s="8">
        <f t="shared" si="15"/>
        <v>0.36699999999999999</v>
      </c>
      <c r="Z32" s="10">
        <f t="shared" si="16"/>
        <v>1.12669</v>
      </c>
      <c r="AA32" s="15"/>
      <c r="AB32" s="7">
        <f t="shared" si="17"/>
        <v>31337000</v>
      </c>
      <c r="AC32" s="8">
        <f t="shared" si="17"/>
        <v>31.337</v>
      </c>
      <c r="AD32" s="8">
        <f t="shared" si="17"/>
        <v>96.204589999999996</v>
      </c>
      <c r="AF32" s="8">
        <f t="shared" si="18"/>
        <v>3.5527136788005009E-15</v>
      </c>
    </row>
    <row r="33" spans="1:32" x14ac:dyDescent="0.2">
      <c r="A33" s="28">
        <v>38593</v>
      </c>
      <c r="B33" s="7">
        <f>'[10]August Prod'!I32</f>
        <v>20300000.000002909</v>
      </c>
      <c r="C33" s="8">
        <f t="shared" si="1"/>
        <v>20.30000000000291</v>
      </c>
      <c r="D33" s="10">
        <f t="shared" si="2"/>
        <v>62.321000000008929</v>
      </c>
      <c r="E33" s="7">
        <f>'[10]August Prod'!E32</f>
        <v>5000000</v>
      </c>
      <c r="F33" s="8">
        <f t="shared" si="3"/>
        <v>5</v>
      </c>
      <c r="G33" s="10">
        <f t="shared" si="4"/>
        <v>15.35</v>
      </c>
      <c r="H33" s="7">
        <f>'[10]August Prod'!F32</f>
        <v>15110000</v>
      </c>
      <c r="I33" s="8">
        <f t="shared" si="5"/>
        <v>15.11</v>
      </c>
      <c r="J33" s="10">
        <f t="shared" si="6"/>
        <v>46.387699999999995</v>
      </c>
      <c r="K33" s="7">
        <f>'[10]August Prod'!H287</f>
        <v>1671734</v>
      </c>
      <c r="L33" s="8">
        <f t="shared" ref="L33:L35" si="19">K33/1000000</f>
        <v>1.6717340000000001</v>
      </c>
      <c r="M33" s="10">
        <f t="shared" ref="M33:M35" si="20">L33*3.07</f>
        <v>5.1322233800000001</v>
      </c>
      <c r="N33" s="21"/>
      <c r="O33" s="7">
        <f>'[10]August Prod'!H32</f>
        <v>12348000</v>
      </c>
      <c r="P33" s="8">
        <f t="shared" si="9"/>
        <v>12.348000000000001</v>
      </c>
      <c r="Q33" s="10">
        <f t="shared" si="10"/>
        <v>37.908360000000002</v>
      </c>
      <c r="R33" s="7">
        <f>'[10]August Prod'!C32</f>
        <v>12841000</v>
      </c>
      <c r="S33" s="8">
        <f t="shared" si="11"/>
        <v>12.840999999999999</v>
      </c>
      <c r="T33" s="10">
        <f t="shared" si="12"/>
        <v>39.421869999999998</v>
      </c>
      <c r="U33" s="7">
        <f>'[10]August Prod'!D32</f>
        <v>0</v>
      </c>
      <c r="V33" s="8">
        <f t="shared" si="13"/>
        <v>0</v>
      </c>
      <c r="W33" s="10">
        <f t="shared" si="14"/>
        <v>0</v>
      </c>
      <c r="X33" s="7">
        <f>'[10]August Prod'!D287</f>
        <v>492999.99999999942</v>
      </c>
      <c r="Y33" s="8">
        <f t="shared" si="15"/>
        <v>0.49299999999999944</v>
      </c>
      <c r="Z33" s="10">
        <f t="shared" si="16"/>
        <v>1.5135099999999981</v>
      </c>
      <c r="AA33" s="15"/>
      <c r="AB33" s="7">
        <f t="shared" si="17"/>
        <v>32648000.000002909</v>
      </c>
      <c r="AC33" s="8">
        <f t="shared" si="17"/>
        <v>32.648000000002909</v>
      </c>
      <c r="AD33" s="8">
        <f t="shared" si="17"/>
        <v>100.22936000000894</v>
      </c>
      <c r="AF33" s="8">
        <f t="shared" si="18"/>
        <v>0</v>
      </c>
    </row>
    <row r="34" spans="1:32" x14ac:dyDescent="0.2">
      <c r="A34" s="28">
        <v>38594</v>
      </c>
      <c r="B34" s="7">
        <f>'[10]August Prod'!I33</f>
        <v>23000000</v>
      </c>
      <c r="C34" s="8">
        <f t="shared" si="1"/>
        <v>23</v>
      </c>
      <c r="D34" s="10">
        <f t="shared" si="2"/>
        <v>70.61</v>
      </c>
      <c r="E34" s="7">
        <f>'[10]August Prod'!E33</f>
        <v>5000000</v>
      </c>
      <c r="F34" s="8">
        <f t="shared" si="3"/>
        <v>5</v>
      </c>
      <c r="G34" s="10">
        <f t="shared" si="4"/>
        <v>15.35</v>
      </c>
      <c r="H34" s="7">
        <f>'[10]August Prod'!F33</f>
        <v>17220000</v>
      </c>
      <c r="I34" s="8">
        <f t="shared" si="5"/>
        <v>17.22</v>
      </c>
      <c r="J34" s="10">
        <f t="shared" si="6"/>
        <v>52.865399999999994</v>
      </c>
      <c r="K34" s="44" t="e">
        <f>'[10]August Prod'!H288</f>
        <v>#REF!</v>
      </c>
      <c r="L34" s="45" t="e">
        <f t="shared" si="19"/>
        <v>#REF!</v>
      </c>
      <c r="M34" s="46" t="e">
        <f t="shared" si="20"/>
        <v>#REF!</v>
      </c>
      <c r="N34" s="21"/>
      <c r="O34" s="7">
        <f>'[10]August Prod'!H33</f>
        <v>12987000</v>
      </c>
      <c r="P34" s="8">
        <f t="shared" si="9"/>
        <v>12.987</v>
      </c>
      <c r="Q34" s="10">
        <f t="shared" si="10"/>
        <v>39.870089999999998</v>
      </c>
      <c r="R34" s="7">
        <f>'[10]August Prod'!C33</f>
        <v>13423000</v>
      </c>
      <c r="S34" s="8">
        <f t="shared" si="11"/>
        <v>13.423</v>
      </c>
      <c r="T34" s="10">
        <f t="shared" si="12"/>
        <v>41.20861</v>
      </c>
      <c r="U34" s="7">
        <f>'[10]August Prod'!D33</f>
        <v>0</v>
      </c>
      <c r="V34" s="8">
        <f t="shared" si="13"/>
        <v>0</v>
      </c>
      <c r="W34" s="10">
        <f t="shared" si="14"/>
        <v>0</v>
      </c>
      <c r="X34" s="44" t="e">
        <f>'[10]August Prod'!D288</f>
        <v>#REF!</v>
      </c>
      <c r="Y34" s="45" t="e">
        <f t="shared" si="15"/>
        <v>#REF!</v>
      </c>
      <c r="Z34" s="46" t="e">
        <f t="shared" si="16"/>
        <v>#REF!</v>
      </c>
      <c r="AA34" s="15"/>
      <c r="AB34" s="7">
        <f t="shared" si="17"/>
        <v>35987000</v>
      </c>
      <c r="AC34" s="8">
        <f t="shared" si="17"/>
        <v>35.987000000000002</v>
      </c>
      <c r="AD34" s="8">
        <f t="shared" si="17"/>
        <v>110.48008999999999</v>
      </c>
      <c r="AF34" s="8" t="e">
        <f t="shared" si="18"/>
        <v>#REF!</v>
      </c>
    </row>
    <row r="35" spans="1:32" ht="13.5" thickBot="1" x14ac:dyDescent="0.25">
      <c r="A35" s="28">
        <v>38595</v>
      </c>
      <c r="B35" s="7">
        <f>'[10]August Prod'!I34</f>
        <v>22699999.999997091</v>
      </c>
      <c r="C35" s="8">
        <f t="shared" si="1"/>
        <v>22.69999999999709</v>
      </c>
      <c r="D35" s="10">
        <f t="shared" si="2"/>
        <v>69.688999999991069</v>
      </c>
      <c r="E35" s="7">
        <f>'[10]August Prod'!E34</f>
        <v>5000000</v>
      </c>
      <c r="F35" s="8">
        <f t="shared" si="3"/>
        <v>5</v>
      </c>
      <c r="G35" s="10">
        <f t="shared" si="4"/>
        <v>15.35</v>
      </c>
      <c r="H35" s="7">
        <f>'[10]August Prod'!F34</f>
        <v>16980000</v>
      </c>
      <c r="I35" s="8">
        <f t="shared" si="5"/>
        <v>16.98</v>
      </c>
      <c r="J35" s="10">
        <f t="shared" si="6"/>
        <v>52.128599999999999</v>
      </c>
      <c r="K35" s="44" t="e">
        <f>'[10]August Prod'!H289</f>
        <v>#REF!</v>
      </c>
      <c r="L35" s="45" t="e">
        <f t="shared" si="19"/>
        <v>#REF!</v>
      </c>
      <c r="M35" s="46" t="e">
        <f t="shared" si="20"/>
        <v>#REF!</v>
      </c>
      <c r="N35" s="21"/>
      <c r="O35" s="7">
        <f>'[10]August Prod'!H34</f>
        <v>10076000</v>
      </c>
      <c r="P35" s="8">
        <f t="shared" si="9"/>
        <v>10.076000000000001</v>
      </c>
      <c r="Q35" s="10">
        <f t="shared" si="10"/>
        <v>30.933319999999998</v>
      </c>
      <c r="R35" s="7">
        <f>'[10]August Prod'!C34</f>
        <v>10330000</v>
      </c>
      <c r="S35" s="8">
        <f t="shared" si="11"/>
        <v>10.33</v>
      </c>
      <c r="T35" s="10">
        <f t="shared" si="12"/>
        <v>31.713099999999997</v>
      </c>
      <c r="U35" s="7">
        <f>'[10]August Prod'!D34</f>
        <v>0</v>
      </c>
      <c r="V35" s="8">
        <f t="shared" si="13"/>
        <v>0</v>
      </c>
      <c r="W35" s="10">
        <f t="shared" si="14"/>
        <v>0</v>
      </c>
      <c r="X35" s="44" t="e">
        <f>'[10]August Prod'!D289</f>
        <v>#REF!</v>
      </c>
      <c r="Y35" s="45" t="e">
        <f t="shared" si="15"/>
        <v>#REF!</v>
      </c>
      <c r="Z35" s="46" t="e">
        <f t="shared" si="16"/>
        <v>#REF!</v>
      </c>
      <c r="AA35" s="15"/>
      <c r="AB35" s="7">
        <f t="shared" si="17"/>
        <v>32775999.999997091</v>
      </c>
      <c r="AC35" s="8">
        <f t="shared" si="17"/>
        <v>32.77599999999709</v>
      </c>
      <c r="AD35" s="8">
        <f t="shared" si="17"/>
        <v>100.62231999999106</v>
      </c>
      <c r="AF35" s="8" t="e">
        <f t="shared" si="18"/>
        <v>#REF!</v>
      </c>
    </row>
    <row r="36" spans="1:32" ht="13.5" thickBot="1" x14ac:dyDescent="0.25">
      <c r="A36" s="14"/>
      <c r="B36" s="39"/>
      <c r="C36" s="40">
        <f>SUM(C5:C35)</f>
        <v>624.09999999999854</v>
      </c>
      <c r="D36" s="40">
        <f t="shared" ref="D36" si="21">C36*3.07</f>
        <v>1915.9869999999955</v>
      </c>
      <c r="E36" s="39"/>
      <c r="F36" s="40">
        <f>SUM(F5:F35)</f>
        <v>192</v>
      </c>
      <c r="G36" s="40">
        <f t="shared" ref="G36" si="22">F36*3.07</f>
        <v>589.43999999999994</v>
      </c>
      <c r="H36" s="39"/>
      <c r="I36" s="40">
        <f>SUM(I5:I35)</f>
        <v>426.84000000000003</v>
      </c>
      <c r="J36" s="40">
        <f t="shared" ref="J36" si="23">I36*3.07</f>
        <v>1310.3987999999999</v>
      </c>
      <c r="K36" s="39"/>
      <c r="L36" s="40" t="e">
        <f>SUM(L5:L35)</f>
        <v>#REF!</v>
      </c>
      <c r="M36" s="40" t="e">
        <f t="shared" ref="M36" si="24">L36*3.07</f>
        <v>#REF!</v>
      </c>
      <c r="N36" s="14"/>
      <c r="O36" s="39"/>
      <c r="P36" s="40">
        <f>SUM(P5:P35)</f>
        <v>338.36500000000001</v>
      </c>
      <c r="Q36" s="40">
        <f t="shared" ref="Q36" si="25">P36*3.07</f>
        <v>1038.7805499999999</v>
      </c>
      <c r="R36" s="39"/>
      <c r="S36" s="40">
        <f>SUM(S5:S35)</f>
        <v>350.37499999999994</v>
      </c>
      <c r="T36" s="40">
        <f t="shared" ref="T36" si="26">S36*3.07</f>
        <v>1075.6512499999997</v>
      </c>
      <c r="U36" s="39"/>
      <c r="V36" s="40">
        <f>SUM(V5:V35)</f>
        <v>0</v>
      </c>
      <c r="W36" s="40">
        <f t="shared" ref="W36" si="27">V36*3.07</f>
        <v>0</v>
      </c>
      <c r="X36" s="39"/>
      <c r="Y36" s="40" t="e">
        <f>SUM(Y5:Y35)</f>
        <v>#REF!</v>
      </c>
      <c r="Z36" s="40" t="e">
        <f t="shared" ref="Z36" si="28">Y36*3.07</f>
        <v>#REF!</v>
      </c>
      <c r="AA36" s="14"/>
      <c r="AB36" s="39"/>
      <c r="AC36" s="40">
        <f>SUM(AC5:AC35)</f>
        <v>962.46499999999844</v>
      </c>
      <c r="AD36" s="40">
        <f>AC36*3.07</f>
        <v>2954.767549999995</v>
      </c>
      <c r="AF36" s="40" t="e">
        <f>SUM(AF5:AF35)</f>
        <v>#REF!</v>
      </c>
    </row>
    <row r="37" spans="1:32" x14ac:dyDescent="0.2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2" x14ac:dyDescent="0.2">
      <c r="G38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F38"/>
  <sheetViews>
    <sheetView workbookViewId="0">
      <pane xSplit="1" ySplit="4" topLeftCell="B17" activePane="bottomRight" state="frozen"/>
      <selection activeCell="T39" sqref="T39"/>
      <selection pane="topRight" activeCell="T39" sqref="T39"/>
      <selection pane="bottomLeft" activeCell="T39" sqref="T39"/>
      <selection pane="bottomRight" activeCell="J34" sqref="J28:J34"/>
    </sheetView>
  </sheetViews>
  <sheetFormatPr defaultRowHeight="12.75" x14ac:dyDescent="0.2"/>
  <cols>
    <col min="2" max="2" width="12.5703125" customWidth="1"/>
    <col min="5" max="5" width="11.28515625" customWidth="1"/>
    <col min="8" max="8" width="11.28515625" customWidth="1"/>
    <col min="11" max="11" width="14.42578125" customWidth="1"/>
    <col min="12" max="12" width="10.42578125" customWidth="1"/>
    <col min="13" max="13" width="10.140625" customWidth="1"/>
    <col min="15" max="15" width="13.5703125" customWidth="1"/>
    <col min="18" max="18" width="11.140625" customWidth="1"/>
    <col min="22" max="22" width="11" customWidth="1"/>
    <col min="28" max="28" width="11.140625" customWidth="1"/>
  </cols>
  <sheetData>
    <row r="1" spans="1:32" x14ac:dyDescent="0.2">
      <c r="A1" s="25"/>
      <c r="B1" s="42"/>
      <c r="C1" s="43"/>
      <c r="D1" s="43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8</v>
      </c>
      <c r="AC3" s="66"/>
      <c r="AD3" s="67"/>
      <c r="AF3" s="35" t="s">
        <v>9</v>
      </c>
    </row>
    <row r="4" spans="1:32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2">
      <c r="A5" s="28">
        <v>38596</v>
      </c>
      <c r="B5" s="7">
        <f>'[11]September Prod'!I4</f>
        <v>22900000.000001457</v>
      </c>
      <c r="C5" s="8">
        <f>B5/1000000</f>
        <v>22.900000000001455</v>
      </c>
      <c r="D5" s="10">
        <f>C5*3.07</f>
        <v>70.303000000004459</v>
      </c>
      <c r="E5" s="7">
        <f>'[11]September Prod'!E4</f>
        <v>5000000</v>
      </c>
      <c r="F5" s="8">
        <f>E5/1000000</f>
        <v>5</v>
      </c>
      <c r="G5" s="10">
        <f>F5*3.07</f>
        <v>15.35</v>
      </c>
      <c r="H5" s="7">
        <f>'[11]September Prod'!F4</f>
        <v>17020000</v>
      </c>
      <c r="I5" s="8">
        <f t="shared" ref="I5" si="0">H5/1000000</f>
        <v>17.02</v>
      </c>
      <c r="J5" s="10">
        <f>I5*3.07</f>
        <v>52.251399999999997</v>
      </c>
      <c r="K5" s="7">
        <f>'[11]September Prod'!H252</f>
        <v>1847812</v>
      </c>
      <c r="L5" s="8">
        <f>K5/1000000</f>
        <v>1.847812</v>
      </c>
      <c r="M5" s="10">
        <f>L5*3.07</f>
        <v>5.67278284</v>
      </c>
      <c r="N5" s="21"/>
      <c r="O5" s="7">
        <f>'[11]September Prod'!H4</f>
        <v>7885000</v>
      </c>
      <c r="P5" s="8">
        <f>O5/1000000</f>
        <v>7.8849999999999998</v>
      </c>
      <c r="Q5" s="10">
        <f>P5*3.07</f>
        <v>24.206949999999999</v>
      </c>
      <c r="R5" s="7">
        <f>'[11]September Prod'!C4</f>
        <v>8194000</v>
      </c>
      <c r="S5" s="8">
        <f>R5/1000000</f>
        <v>8.1940000000000008</v>
      </c>
      <c r="T5" s="10">
        <f>S5*3.07</f>
        <v>25.15558</v>
      </c>
      <c r="U5" s="7">
        <f>'[11]September Prod'!D4</f>
        <v>0</v>
      </c>
      <c r="V5" s="8">
        <f>U5/1000000</f>
        <v>0</v>
      </c>
      <c r="W5" s="10">
        <f>V5*3.07</f>
        <v>0</v>
      </c>
      <c r="X5" s="7">
        <f>'[11]September Prod'!D252</f>
        <v>309000.00000000017</v>
      </c>
      <c r="Y5" s="8">
        <f>X5/1000000</f>
        <v>0.30900000000000016</v>
      </c>
      <c r="Z5" s="10">
        <f>Y5*3.07</f>
        <v>0.94863000000000042</v>
      </c>
      <c r="AA5" s="15"/>
      <c r="AB5" s="7">
        <f>B5+O5</f>
        <v>30785000.000001457</v>
      </c>
      <c r="AC5" s="8">
        <f>C5+P5</f>
        <v>30.785000000001453</v>
      </c>
      <c r="AD5" s="8">
        <f>D5+Q5</f>
        <v>94.509950000004466</v>
      </c>
      <c r="AF5" s="8">
        <f>T5-Q5-Z5</f>
        <v>9.9920072216264089E-16</v>
      </c>
    </row>
    <row r="6" spans="1:32" x14ac:dyDescent="0.2">
      <c r="A6" s="28">
        <v>38597</v>
      </c>
      <c r="B6" s="7">
        <f>'[11]September Prod'!I5</f>
        <v>22799999.999999274</v>
      </c>
      <c r="C6" s="8">
        <f t="shared" ref="C6:C34" si="1">B6/1000000</f>
        <v>22.799999999999272</v>
      </c>
      <c r="D6" s="10">
        <f t="shared" ref="D6:D34" si="2">C6*3.07</f>
        <v>69.995999999997764</v>
      </c>
      <c r="E6" s="7">
        <f>'[11]September Prod'!E5</f>
        <v>5000000</v>
      </c>
      <c r="F6" s="8">
        <f t="shared" ref="F6:F34" si="3">E6/1000000</f>
        <v>5</v>
      </c>
      <c r="G6" s="10">
        <f t="shared" ref="G6:G34" si="4">F6*3.07</f>
        <v>15.35</v>
      </c>
      <c r="H6" s="7">
        <f>'[11]September Prod'!F5</f>
        <v>16960000</v>
      </c>
      <c r="I6" s="8">
        <f t="shared" ref="I6:I34" si="5">H6/1000000</f>
        <v>16.96</v>
      </c>
      <c r="J6" s="10">
        <f t="shared" ref="J6:J34" si="6">I6*3.07</f>
        <v>52.0672</v>
      </c>
      <c r="K6" s="7">
        <f>'[11]September Prod'!H253</f>
        <v>1862002</v>
      </c>
      <c r="L6" s="8">
        <f t="shared" ref="L6:L34" si="7">K6/1000000</f>
        <v>1.8620019999999999</v>
      </c>
      <c r="M6" s="10">
        <f t="shared" ref="M6:M34" si="8">L6*3.07</f>
        <v>5.7163461399999997</v>
      </c>
      <c r="N6" s="21"/>
      <c r="O6" s="7">
        <f>'[11]September Prod'!H5</f>
        <v>10609000</v>
      </c>
      <c r="P6" s="8">
        <f t="shared" ref="P6:P34" si="9">O6/1000000</f>
        <v>10.609</v>
      </c>
      <c r="Q6" s="10">
        <f t="shared" ref="Q6:Q34" si="10">P6*3.07</f>
        <v>32.569629999999997</v>
      </c>
      <c r="R6" s="7">
        <f>'[11]September Prod'!C5</f>
        <v>10966000</v>
      </c>
      <c r="S6" s="8">
        <f t="shared" ref="S6:S34" si="11">R6/1000000</f>
        <v>10.965999999999999</v>
      </c>
      <c r="T6" s="10">
        <f t="shared" ref="T6:T34" si="12">S6*3.07</f>
        <v>33.665619999999997</v>
      </c>
      <c r="U6" s="7">
        <f>'[11]September Prod'!D5</f>
        <v>0</v>
      </c>
      <c r="V6" s="8">
        <f t="shared" ref="V6:V34" si="13">U6/1000000</f>
        <v>0</v>
      </c>
      <c r="W6" s="10">
        <f t="shared" ref="W6:W34" si="14">V6*3.07</f>
        <v>0</v>
      </c>
      <c r="X6" s="7">
        <f>'[11]September Prod'!D253</f>
        <v>357000.00000000023</v>
      </c>
      <c r="Y6" s="8">
        <f t="shared" ref="Y6:Y34" si="15">X6/1000000</f>
        <v>0.35700000000000021</v>
      </c>
      <c r="Z6" s="10">
        <f t="shared" ref="Z6:Z35" si="16">Y6*3.07</f>
        <v>1.0959900000000007</v>
      </c>
      <c r="AA6" s="15"/>
      <c r="AB6" s="7">
        <f t="shared" ref="AB6:AD35" si="17">B6+O6</f>
        <v>33408999.999999274</v>
      </c>
      <c r="AC6" s="8">
        <f t="shared" si="17"/>
        <v>33.408999999999274</v>
      </c>
      <c r="AD6" s="8">
        <f t="shared" si="17"/>
        <v>102.56562999999775</v>
      </c>
      <c r="AF6" s="8">
        <f t="shared" ref="AF6:AF14" si="18">T6-Q6-Z6</f>
        <v>0</v>
      </c>
    </row>
    <row r="7" spans="1:32" x14ac:dyDescent="0.2">
      <c r="A7" s="28">
        <v>38598</v>
      </c>
      <c r="B7" s="7">
        <f>'[11]September Prod'!I6</f>
        <v>20400000.000001457</v>
      </c>
      <c r="C7" s="8">
        <f t="shared" si="1"/>
        <v>20.400000000001455</v>
      </c>
      <c r="D7" s="10">
        <f t="shared" si="2"/>
        <v>62.628000000004462</v>
      </c>
      <c r="E7" s="7">
        <f>'[11]September Prod'!E6</f>
        <v>4000000</v>
      </c>
      <c r="F7" s="8">
        <f t="shared" si="3"/>
        <v>4</v>
      </c>
      <c r="G7" s="10">
        <f t="shared" si="4"/>
        <v>12.28</v>
      </c>
      <c r="H7" s="7">
        <f>'[11]September Prod'!F6</f>
        <v>15390000</v>
      </c>
      <c r="I7" s="8">
        <f t="shared" si="5"/>
        <v>15.39</v>
      </c>
      <c r="J7" s="10">
        <f t="shared" si="6"/>
        <v>47.247300000000003</v>
      </c>
      <c r="K7" s="7">
        <f>'[11]September Prod'!H254</f>
        <v>1716954</v>
      </c>
      <c r="L7" s="8">
        <f t="shared" si="7"/>
        <v>1.7169540000000001</v>
      </c>
      <c r="M7" s="10">
        <f t="shared" si="8"/>
        <v>5.2710487800000001</v>
      </c>
      <c r="N7" s="21"/>
      <c r="O7" s="7">
        <f>'[11]September Prod'!H6</f>
        <v>8907000.0000000019</v>
      </c>
      <c r="P7" s="8">
        <f t="shared" si="9"/>
        <v>8.9070000000000018</v>
      </c>
      <c r="Q7" s="10">
        <f t="shared" si="10"/>
        <v>27.344490000000004</v>
      </c>
      <c r="R7" s="7">
        <f>'[11]September Prod'!C6</f>
        <v>9255000</v>
      </c>
      <c r="S7" s="8">
        <f t="shared" si="11"/>
        <v>9.2550000000000008</v>
      </c>
      <c r="T7" s="10">
        <f t="shared" si="12"/>
        <v>28.412850000000002</v>
      </c>
      <c r="U7" s="7">
        <f>'[11]September Prod'!D6</f>
        <v>0</v>
      </c>
      <c r="V7" s="8">
        <f t="shared" si="13"/>
        <v>0</v>
      </c>
      <c r="W7" s="10">
        <f t="shared" si="14"/>
        <v>0</v>
      </c>
      <c r="X7" s="7">
        <f>'[11]September Prod'!D254</f>
        <v>347999.99999999895</v>
      </c>
      <c r="Y7" s="8">
        <f t="shared" si="15"/>
        <v>0.34799999999999898</v>
      </c>
      <c r="Z7" s="10">
        <f t="shared" si="16"/>
        <v>1.0683599999999969</v>
      </c>
      <c r="AA7" s="15"/>
      <c r="AB7" s="7">
        <f t="shared" si="17"/>
        <v>29307000.00000146</v>
      </c>
      <c r="AC7" s="8">
        <f t="shared" si="17"/>
        <v>29.307000000001459</v>
      </c>
      <c r="AD7" s="8">
        <f t="shared" si="17"/>
        <v>89.97249000000447</v>
      </c>
      <c r="AF7" s="8">
        <f t="shared" si="18"/>
        <v>0</v>
      </c>
    </row>
    <row r="8" spans="1:32" x14ac:dyDescent="0.2">
      <c r="A8" s="28">
        <v>38599</v>
      </c>
      <c r="B8" s="7">
        <f>'[11]September Prod'!I7</f>
        <v>31099999.999998543</v>
      </c>
      <c r="C8" s="8">
        <f t="shared" si="1"/>
        <v>31.099999999998545</v>
      </c>
      <c r="D8" s="10">
        <f t="shared" si="2"/>
        <v>95.476999999995527</v>
      </c>
      <c r="E8" s="7">
        <f>'[11]September Prod'!E7</f>
        <v>6000000</v>
      </c>
      <c r="F8" s="8">
        <f t="shared" si="3"/>
        <v>6</v>
      </c>
      <c r="G8" s="10">
        <f t="shared" si="4"/>
        <v>18.419999999999998</v>
      </c>
      <c r="H8" s="7">
        <f>'[11]September Prod'!F7</f>
        <v>23230000</v>
      </c>
      <c r="I8" s="8">
        <f t="shared" si="5"/>
        <v>23.23</v>
      </c>
      <c r="J8" s="10">
        <f t="shared" si="6"/>
        <v>71.316099999999992</v>
      </c>
      <c r="K8" s="7">
        <f>'[11]September Prod'!H255</f>
        <v>2314323</v>
      </c>
      <c r="L8" s="8">
        <f t="shared" si="7"/>
        <v>2.3143229999999999</v>
      </c>
      <c r="M8" s="10">
        <f t="shared" si="8"/>
        <v>7.1049716099999998</v>
      </c>
      <c r="N8" s="21"/>
      <c r="O8" s="7">
        <f>'[11]September Prod'!H7</f>
        <v>6663000</v>
      </c>
      <c r="P8" s="8">
        <f t="shared" si="9"/>
        <v>6.6630000000000003</v>
      </c>
      <c r="Q8" s="10">
        <f t="shared" si="10"/>
        <v>20.455410000000001</v>
      </c>
      <c r="R8" s="7">
        <f>'[11]September Prod'!C7</f>
        <v>6952000</v>
      </c>
      <c r="S8" s="8">
        <f t="shared" si="11"/>
        <v>6.952</v>
      </c>
      <c r="T8" s="10">
        <f t="shared" si="12"/>
        <v>21.342639999999999</v>
      </c>
      <c r="U8" s="7">
        <f>'[11]September Prod'!D7</f>
        <v>0</v>
      </c>
      <c r="V8" s="8">
        <f t="shared" si="13"/>
        <v>0</v>
      </c>
      <c r="W8" s="10">
        <f t="shared" si="14"/>
        <v>0</v>
      </c>
      <c r="X8" s="7">
        <f>'[11]September Prod'!D255</f>
        <v>288999.99999999971</v>
      </c>
      <c r="Y8" s="8">
        <f t="shared" si="15"/>
        <v>0.2889999999999997</v>
      </c>
      <c r="Z8" s="10">
        <f t="shared" si="16"/>
        <v>0.88722999999999907</v>
      </c>
      <c r="AA8" s="15"/>
      <c r="AB8" s="7">
        <f t="shared" si="17"/>
        <v>37762999.99999854</v>
      </c>
      <c r="AC8" s="8">
        <f t="shared" si="17"/>
        <v>37.762999999998542</v>
      </c>
      <c r="AD8" s="8">
        <f>D8+Q8</f>
        <v>115.93240999999553</v>
      </c>
      <c r="AF8" s="8">
        <f t="shared" si="18"/>
        <v>0</v>
      </c>
    </row>
    <row r="9" spans="1:32" x14ac:dyDescent="0.2">
      <c r="A9" s="28">
        <v>38600</v>
      </c>
      <c r="B9" s="7">
        <f>'[11]September Prod'!I8</f>
        <v>22400000.000001457</v>
      </c>
      <c r="C9" s="8">
        <f t="shared" si="1"/>
        <v>22.400000000001455</v>
      </c>
      <c r="D9" s="10">
        <f t="shared" si="2"/>
        <v>68.768000000004463</v>
      </c>
      <c r="E9" s="7">
        <f>'[11]September Prod'!E8</f>
        <v>5000000</v>
      </c>
      <c r="F9" s="8">
        <f t="shared" si="3"/>
        <v>5</v>
      </c>
      <c r="G9" s="10">
        <f t="shared" si="4"/>
        <v>15.35</v>
      </c>
      <c r="H9" s="7">
        <f>'[11]September Prod'!F8</f>
        <v>16900000</v>
      </c>
      <c r="I9" s="8">
        <f t="shared" si="5"/>
        <v>16.899999999999999</v>
      </c>
      <c r="J9" s="10">
        <f t="shared" si="6"/>
        <v>51.882999999999996</v>
      </c>
      <c r="K9" s="7">
        <f>'[11]September Prod'!H256</f>
        <v>1801909</v>
      </c>
      <c r="L9" s="8">
        <f t="shared" si="7"/>
        <v>1.801909</v>
      </c>
      <c r="M9" s="10">
        <f t="shared" si="8"/>
        <v>5.5318606299999997</v>
      </c>
      <c r="N9" s="21"/>
      <c r="O9" s="7">
        <f>'[11]September Prod'!H8</f>
        <v>10215000</v>
      </c>
      <c r="P9" s="8">
        <f t="shared" si="9"/>
        <v>10.215</v>
      </c>
      <c r="Q9" s="10">
        <f t="shared" si="10"/>
        <v>31.360049999999998</v>
      </c>
      <c r="R9" s="7">
        <f>'[11]September Prod'!C8</f>
        <v>10448000</v>
      </c>
      <c r="S9" s="8">
        <f t="shared" si="11"/>
        <v>10.448</v>
      </c>
      <c r="T9" s="10">
        <f t="shared" si="12"/>
        <v>32.075359999999996</v>
      </c>
      <c r="U9" s="7">
        <f>'[11]September Prod'!D8</f>
        <v>0</v>
      </c>
      <c r="V9" s="8">
        <f t="shared" si="13"/>
        <v>0</v>
      </c>
      <c r="W9" s="10">
        <f t="shared" si="14"/>
        <v>0</v>
      </c>
      <c r="X9" s="7">
        <f>'[11]September Prod'!D256</f>
        <v>233000.00000000055</v>
      </c>
      <c r="Y9" s="8">
        <f t="shared" si="15"/>
        <v>0.23300000000000054</v>
      </c>
      <c r="Z9" s="10">
        <f t="shared" si="16"/>
        <v>0.71531000000000167</v>
      </c>
      <c r="AA9" s="15"/>
      <c r="AB9" s="7">
        <f t="shared" si="17"/>
        <v>32615000.000001457</v>
      </c>
      <c r="AC9" s="8">
        <f t="shared" si="17"/>
        <v>32.615000000001459</v>
      </c>
      <c r="AD9" s="8">
        <f t="shared" si="17"/>
        <v>100.12805000000446</v>
      </c>
      <c r="AF9" s="8">
        <f t="shared" si="18"/>
        <v>-2.886579864025407E-15</v>
      </c>
    </row>
    <row r="10" spans="1:32" x14ac:dyDescent="0.2">
      <c r="A10" s="28">
        <v>38601</v>
      </c>
      <c r="B10" s="7">
        <f>'[11]September Prod'!I9</f>
        <v>22000000</v>
      </c>
      <c r="C10" s="8">
        <f t="shared" si="1"/>
        <v>22</v>
      </c>
      <c r="D10" s="10">
        <f t="shared" si="2"/>
        <v>67.539999999999992</v>
      </c>
      <c r="E10" s="7">
        <f>'[11]September Prod'!E9</f>
        <v>5000000</v>
      </c>
      <c r="F10" s="8">
        <f t="shared" si="3"/>
        <v>5</v>
      </c>
      <c r="G10" s="10">
        <f t="shared" si="4"/>
        <v>15.35</v>
      </c>
      <c r="H10" s="7">
        <f>'[11]September Prod'!F9</f>
        <v>16559999.999999998</v>
      </c>
      <c r="I10" s="8">
        <f t="shared" si="5"/>
        <v>16.559999999999999</v>
      </c>
      <c r="J10" s="10">
        <f t="shared" si="6"/>
        <v>50.839199999999991</v>
      </c>
      <c r="K10" s="7">
        <f>'[11]September Prod'!H257</f>
        <v>1759848</v>
      </c>
      <c r="L10" s="8">
        <f t="shared" si="7"/>
        <v>1.7598480000000001</v>
      </c>
      <c r="M10" s="10">
        <f t="shared" si="8"/>
        <v>5.40273336</v>
      </c>
      <c r="N10" s="21"/>
      <c r="O10" s="7">
        <f>'[11]September Prod'!H9</f>
        <v>9626000</v>
      </c>
      <c r="P10" s="8">
        <f t="shared" si="9"/>
        <v>9.6259999999999994</v>
      </c>
      <c r="Q10" s="10">
        <f t="shared" si="10"/>
        <v>29.551819999999996</v>
      </c>
      <c r="R10" s="7">
        <f>'[11]September Prod'!C9</f>
        <v>10307000</v>
      </c>
      <c r="S10" s="8">
        <f t="shared" si="11"/>
        <v>10.307</v>
      </c>
      <c r="T10" s="10">
        <f t="shared" si="12"/>
        <v>31.642489999999999</v>
      </c>
      <c r="U10" s="7">
        <f>'[11]September Prod'!D9</f>
        <v>0</v>
      </c>
      <c r="V10" s="8">
        <f t="shared" si="13"/>
        <v>0</v>
      </c>
      <c r="W10" s="10">
        <f t="shared" si="14"/>
        <v>0</v>
      </c>
      <c r="X10" s="7">
        <f>'[11]September Prod'!D257</f>
        <v>681000.00000000093</v>
      </c>
      <c r="Y10" s="8">
        <f t="shared" si="15"/>
        <v>0.68100000000000094</v>
      </c>
      <c r="Z10" s="10">
        <f t="shared" si="16"/>
        <v>2.0906700000000029</v>
      </c>
      <c r="AA10" s="15"/>
      <c r="AB10" s="7">
        <f t="shared" si="17"/>
        <v>31626000</v>
      </c>
      <c r="AC10" s="8">
        <f t="shared" si="17"/>
        <v>31.625999999999998</v>
      </c>
      <c r="AD10" s="8">
        <f t="shared" si="17"/>
        <v>97.091819999999984</v>
      </c>
      <c r="AF10" s="8">
        <f t="shared" si="18"/>
        <v>0</v>
      </c>
    </row>
    <row r="11" spans="1:32" x14ac:dyDescent="0.2">
      <c r="A11" s="28">
        <v>38602</v>
      </c>
      <c r="B11" s="7">
        <f>'[11]September Prod'!I10</f>
        <v>20399999.999997817</v>
      </c>
      <c r="C11" s="8">
        <f t="shared" si="1"/>
        <v>20.399999999997817</v>
      </c>
      <c r="D11" s="10">
        <f t="shared" si="2"/>
        <v>62.627999999993293</v>
      </c>
      <c r="E11" s="7">
        <f>'[11]September Prod'!E10</f>
        <v>1000000</v>
      </c>
      <c r="F11" s="8">
        <f t="shared" si="3"/>
        <v>1</v>
      </c>
      <c r="G11" s="10">
        <f t="shared" si="4"/>
        <v>3.07</v>
      </c>
      <c r="H11" s="7">
        <f>'[11]September Prod'!F10</f>
        <v>17640000</v>
      </c>
      <c r="I11" s="8">
        <f t="shared" si="5"/>
        <v>17.64</v>
      </c>
      <c r="J11" s="10">
        <f t="shared" si="6"/>
        <v>54.154800000000002</v>
      </c>
      <c r="K11" s="7">
        <f>'[11]September Prod'!H258</f>
        <v>1671243</v>
      </c>
      <c r="L11" s="8">
        <f t="shared" si="7"/>
        <v>1.671243</v>
      </c>
      <c r="M11" s="10">
        <f t="shared" si="8"/>
        <v>5.1307160099999995</v>
      </c>
      <c r="N11" s="21"/>
      <c r="O11" s="7">
        <f>'[11]September Prod'!H10</f>
        <v>11899000</v>
      </c>
      <c r="P11" s="8">
        <f t="shared" si="9"/>
        <v>11.898999999999999</v>
      </c>
      <c r="Q11" s="10">
        <f t="shared" si="10"/>
        <v>36.529929999999993</v>
      </c>
      <c r="R11" s="7">
        <f>'[11]September Prod'!C10</f>
        <v>12245000</v>
      </c>
      <c r="S11" s="8">
        <f t="shared" si="11"/>
        <v>12.244999999999999</v>
      </c>
      <c r="T11" s="10">
        <f t="shared" si="12"/>
        <v>37.592149999999997</v>
      </c>
      <c r="U11" s="7">
        <f>'[11]September Prod'!D10</f>
        <v>0</v>
      </c>
      <c r="V11" s="8">
        <f t="shared" si="13"/>
        <v>0</v>
      </c>
      <c r="W11" s="10">
        <f t="shared" si="14"/>
        <v>0</v>
      </c>
      <c r="X11" s="7">
        <f>'[11]September Prod'!D258</f>
        <v>346000.00000000006</v>
      </c>
      <c r="Y11" s="8">
        <f t="shared" si="15"/>
        <v>0.34600000000000009</v>
      </c>
      <c r="Z11" s="10">
        <f t="shared" si="16"/>
        <v>1.0622200000000002</v>
      </c>
      <c r="AA11" s="15"/>
      <c r="AB11" s="7">
        <f t="shared" si="17"/>
        <v>32298999.999997817</v>
      </c>
      <c r="AC11" s="8">
        <f t="shared" si="17"/>
        <v>32.298999999997818</v>
      </c>
      <c r="AD11" s="8">
        <f t="shared" si="17"/>
        <v>99.157929999993286</v>
      </c>
      <c r="AF11" s="8">
        <f t="shared" si="18"/>
        <v>3.3306690738754696E-15</v>
      </c>
    </row>
    <row r="12" spans="1:32" x14ac:dyDescent="0.2">
      <c r="A12" s="28">
        <v>38603</v>
      </c>
      <c r="B12" s="7">
        <f>'[11]September Prod'!I11</f>
        <v>24400000.000001457</v>
      </c>
      <c r="C12" s="8">
        <f t="shared" si="1"/>
        <v>24.400000000001455</v>
      </c>
      <c r="D12" s="10">
        <f t="shared" si="2"/>
        <v>74.908000000004463</v>
      </c>
      <c r="E12" s="7">
        <f>'[11]September Prod'!E11</f>
        <v>0</v>
      </c>
      <c r="F12" s="8">
        <f t="shared" si="3"/>
        <v>0</v>
      </c>
      <c r="G12" s="10">
        <f t="shared" si="4"/>
        <v>0</v>
      </c>
      <c r="H12" s="7">
        <f>'[11]September Prod'!F11</f>
        <v>23110000</v>
      </c>
      <c r="I12" s="8">
        <f t="shared" si="5"/>
        <v>23.11</v>
      </c>
      <c r="J12" s="10">
        <f t="shared" si="6"/>
        <v>70.947699999999998</v>
      </c>
      <c r="K12" s="7">
        <f>'[11]September Prod'!H259</f>
        <v>1888414</v>
      </c>
      <c r="L12" s="8">
        <f t="shared" si="7"/>
        <v>1.888414</v>
      </c>
      <c r="M12" s="10">
        <f t="shared" si="8"/>
        <v>5.7974309799999997</v>
      </c>
      <c r="N12" s="21"/>
      <c r="O12" s="7">
        <f>'[11]September Prod'!H11</f>
        <v>12566000</v>
      </c>
      <c r="P12" s="8">
        <f t="shared" si="9"/>
        <v>12.566000000000001</v>
      </c>
      <c r="Q12" s="10">
        <f t="shared" si="10"/>
        <v>38.577620000000003</v>
      </c>
      <c r="R12" s="7">
        <f>'[11]September Prod'!C11</f>
        <v>13144000</v>
      </c>
      <c r="S12" s="8">
        <f t="shared" si="11"/>
        <v>13.144</v>
      </c>
      <c r="T12" s="10">
        <f t="shared" si="12"/>
        <v>40.352080000000001</v>
      </c>
      <c r="U12" s="7">
        <f>'[11]September Prod'!D11</f>
        <v>0</v>
      </c>
      <c r="V12" s="8">
        <f t="shared" si="13"/>
        <v>0</v>
      </c>
      <c r="W12" s="10">
        <f t="shared" si="14"/>
        <v>0</v>
      </c>
      <c r="X12" s="7">
        <f>'[11]September Prod'!D259</f>
        <v>577999.99999999942</v>
      </c>
      <c r="Y12" s="8">
        <f t="shared" si="15"/>
        <v>0.5779999999999994</v>
      </c>
      <c r="Z12" s="10">
        <f t="shared" si="16"/>
        <v>1.7744599999999981</v>
      </c>
      <c r="AA12" s="15"/>
      <c r="AB12" s="7">
        <f t="shared" si="17"/>
        <v>36966000.00000146</v>
      </c>
      <c r="AC12" s="8">
        <f t="shared" si="17"/>
        <v>36.966000000001458</v>
      </c>
      <c r="AD12" s="8">
        <f t="shared" si="17"/>
        <v>113.48562000000447</v>
      </c>
      <c r="AF12" s="8">
        <f t="shared" si="18"/>
        <v>0</v>
      </c>
    </row>
    <row r="13" spans="1:32" x14ac:dyDescent="0.2">
      <c r="A13" s="28">
        <v>38604</v>
      </c>
      <c r="B13" s="7">
        <f>'[11]September Prod'!I12</f>
        <v>18700000.000000726</v>
      </c>
      <c r="C13" s="8">
        <f t="shared" si="1"/>
        <v>18.700000000000728</v>
      </c>
      <c r="D13" s="10">
        <f t="shared" si="2"/>
        <v>57.40900000000223</v>
      </c>
      <c r="E13" s="7">
        <f>'[11]September Prod'!E12</f>
        <v>0</v>
      </c>
      <c r="F13" s="8">
        <f t="shared" si="3"/>
        <v>0</v>
      </c>
      <c r="G13" s="10">
        <f t="shared" si="4"/>
        <v>0</v>
      </c>
      <c r="H13" s="7">
        <f>'[11]September Prod'!F12</f>
        <v>17510000</v>
      </c>
      <c r="I13" s="8">
        <f t="shared" si="5"/>
        <v>17.510000000000002</v>
      </c>
      <c r="J13" s="10">
        <f t="shared" si="6"/>
        <v>53.755700000000004</v>
      </c>
      <c r="K13" s="7">
        <f>'[11]September Prod'!H260</f>
        <v>1538201</v>
      </c>
      <c r="L13" s="8">
        <f t="shared" si="7"/>
        <v>1.5382009999999999</v>
      </c>
      <c r="M13" s="10">
        <f t="shared" si="8"/>
        <v>4.7222770699999996</v>
      </c>
      <c r="N13" s="21"/>
      <c r="O13" s="7">
        <f>'[11]September Prod'!H12</f>
        <v>9813000</v>
      </c>
      <c r="P13" s="8">
        <f t="shared" si="9"/>
        <v>9.8130000000000006</v>
      </c>
      <c r="Q13" s="10">
        <f t="shared" si="10"/>
        <v>30.125910000000001</v>
      </c>
      <c r="R13" s="7">
        <f>'[11]September Prod'!C12</f>
        <v>10276000</v>
      </c>
      <c r="S13" s="8">
        <f t="shared" si="11"/>
        <v>10.276</v>
      </c>
      <c r="T13" s="10">
        <f t="shared" si="12"/>
        <v>31.547319999999999</v>
      </c>
      <c r="U13" s="7">
        <f>'[11]September Prod'!D12</f>
        <v>0</v>
      </c>
      <c r="V13" s="8">
        <f t="shared" si="13"/>
        <v>0</v>
      </c>
      <c r="W13" s="10">
        <f t="shared" si="14"/>
        <v>0</v>
      </c>
      <c r="X13" s="7">
        <f>'[11]September Prod'!D260</f>
        <v>462999.99999999919</v>
      </c>
      <c r="Y13" s="8">
        <f t="shared" si="15"/>
        <v>0.46299999999999919</v>
      </c>
      <c r="Z13" s="10">
        <f t="shared" si="16"/>
        <v>1.4214099999999974</v>
      </c>
      <c r="AA13" s="15"/>
      <c r="AB13" s="7">
        <f t="shared" si="17"/>
        <v>28513000.000000726</v>
      </c>
      <c r="AC13" s="8">
        <f t="shared" si="17"/>
        <v>28.51300000000073</v>
      </c>
      <c r="AD13" s="8">
        <f t="shared" si="17"/>
        <v>87.534910000002228</v>
      </c>
      <c r="AF13" s="8">
        <f t="shared" si="18"/>
        <v>0</v>
      </c>
    </row>
    <row r="14" spans="1:32" x14ac:dyDescent="0.2">
      <c r="A14" s="28">
        <v>38605</v>
      </c>
      <c r="B14" s="7">
        <f>'[11]September Prod'!I13</f>
        <v>16000000</v>
      </c>
      <c r="C14" s="8">
        <f t="shared" si="1"/>
        <v>16</v>
      </c>
      <c r="D14" s="10">
        <f t="shared" si="2"/>
        <v>49.12</v>
      </c>
      <c r="E14" s="7">
        <f>'[11]September Prod'!E13</f>
        <v>1000000</v>
      </c>
      <c r="F14" s="8">
        <f t="shared" si="3"/>
        <v>1</v>
      </c>
      <c r="G14" s="10">
        <f t="shared" si="4"/>
        <v>3.07</v>
      </c>
      <c r="H14" s="7">
        <f>'[11]September Prod'!F13</f>
        <v>14830000</v>
      </c>
      <c r="I14" s="8">
        <f t="shared" si="5"/>
        <v>14.83</v>
      </c>
      <c r="J14" s="10">
        <f t="shared" si="6"/>
        <v>45.528099999999995</v>
      </c>
      <c r="K14" s="7">
        <f>'[11]September Prod'!H261</f>
        <v>1374386</v>
      </c>
      <c r="L14" s="8">
        <f t="shared" si="7"/>
        <v>1.3743860000000001</v>
      </c>
      <c r="M14" s="10">
        <f t="shared" si="8"/>
        <v>4.2193650199999997</v>
      </c>
      <c r="N14" s="21"/>
      <c r="O14" s="7">
        <f>'[11]September Prod'!H13</f>
        <v>7528999.9999999981</v>
      </c>
      <c r="P14" s="8">
        <f t="shared" si="9"/>
        <v>7.5289999999999981</v>
      </c>
      <c r="Q14" s="10">
        <f t="shared" si="10"/>
        <v>23.114029999999993</v>
      </c>
      <c r="R14" s="7">
        <f>'[11]September Prod'!C13</f>
        <v>8049000</v>
      </c>
      <c r="S14" s="8">
        <f t="shared" si="11"/>
        <v>8.0489999999999995</v>
      </c>
      <c r="T14" s="10">
        <f t="shared" si="12"/>
        <v>24.710429999999999</v>
      </c>
      <c r="U14" s="7">
        <f>'[11]September Prod'!D13</f>
        <v>0</v>
      </c>
      <c r="V14" s="8">
        <f t="shared" si="13"/>
        <v>0</v>
      </c>
      <c r="W14" s="10">
        <f t="shared" si="14"/>
        <v>0</v>
      </c>
      <c r="X14" s="7">
        <f>'[11]September Prod'!D261</f>
        <v>520000.00000000134</v>
      </c>
      <c r="Y14" s="8">
        <f t="shared" si="15"/>
        <v>0.52000000000000135</v>
      </c>
      <c r="Z14" s="10">
        <f t="shared" si="16"/>
        <v>1.596400000000004</v>
      </c>
      <c r="AA14" s="15"/>
      <c r="AB14" s="7">
        <f t="shared" si="17"/>
        <v>23529000</v>
      </c>
      <c r="AC14" s="8">
        <f t="shared" si="17"/>
        <v>23.528999999999996</v>
      </c>
      <c r="AD14" s="8">
        <f t="shared" si="17"/>
        <v>72.23402999999999</v>
      </c>
      <c r="AF14" s="8">
        <f t="shared" si="18"/>
        <v>2.2204460492503131E-15</v>
      </c>
    </row>
    <row r="15" spans="1:32" x14ac:dyDescent="0.2">
      <c r="A15" s="28">
        <v>38606</v>
      </c>
      <c r="B15" s="7">
        <f>'[11]September Prod'!I14</f>
        <v>9000000</v>
      </c>
      <c r="C15" s="8">
        <f t="shared" si="1"/>
        <v>9</v>
      </c>
      <c r="D15" s="10">
        <f t="shared" si="2"/>
        <v>27.63</v>
      </c>
      <c r="E15" s="7">
        <f>'[11]September Prod'!E14</f>
        <v>0</v>
      </c>
      <c r="F15" s="8">
        <f t="shared" si="3"/>
        <v>0</v>
      </c>
      <c r="G15" s="10">
        <f t="shared" si="4"/>
        <v>0</v>
      </c>
      <c r="H15" s="7">
        <f>'[11]September Prod'!F14</f>
        <v>7820000</v>
      </c>
      <c r="I15" s="8">
        <f t="shared" si="5"/>
        <v>7.82</v>
      </c>
      <c r="J15" s="10">
        <f t="shared" si="6"/>
        <v>24.007400000000001</v>
      </c>
      <c r="K15" s="7">
        <f>'[11]September Prod'!H262</f>
        <v>706445</v>
      </c>
      <c r="L15" s="8">
        <f t="shared" si="7"/>
        <v>0.70644499999999999</v>
      </c>
      <c r="M15" s="10">
        <f t="shared" si="8"/>
        <v>2.1687861499999999</v>
      </c>
      <c r="N15" s="21"/>
      <c r="O15" s="7">
        <f>'[11]September Prod'!H14</f>
        <v>5077000.0000000019</v>
      </c>
      <c r="P15" s="8">
        <f t="shared" si="9"/>
        <v>5.0770000000000017</v>
      </c>
      <c r="Q15" s="10">
        <f t="shared" si="10"/>
        <v>15.586390000000005</v>
      </c>
      <c r="R15" s="7">
        <f>'[11]September Prod'!C14</f>
        <v>5538000</v>
      </c>
      <c r="S15" s="8">
        <f t="shared" si="11"/>
        <v>5.5380000000000003</v>
      </c>
      <c r="T15" s="10">
        <f t="shared" si="12"/>
        <v>17.001660000000001</v>
      </c>
      <c r="U15" s="7">
        <f>'[11]September Prod'!D14</f>
        <v>0</v>
      </c>
      <c r="V15" s="8">
        <f t="shared" si="13"/>
        <v>0</v>
      </c>
      <c r="W15" s="10">
        <f t="shared" si="14"/>
        <v>0</v>
      </c>
      <c r="X15" s="7">
        <f>'[11]September Prod'!D262</f>
        <v>460999.99999999854</v>
      </c>
      <c r="Y15" s="8">
        <f t="shared" si="15"/>
        <v>0.46099999999999852</v>
      </c>
      <c r="Z15" s="10">
        <f t="shared" si="16"/>
        <v>1.4152699999999954</v>
      </c>
      <c r="AA15" s="15"/>
      <c r="AB15" s="7">
        <f t="shared" si="17"/>
        <v>14077000.000000002</v>
      </c>
      <c r="AC15" s="8">
        <f t="shared" si="17"/>
        <v>14.077000000000002</v>
      </c>
      <c r="AD15" s="8">
        <f t="shared" si="17"/>
        <v>43.216390000000004</v>
      </c>
      <c r="AF15" s="8">
        <f>T15-Q15-Z15</f>
        <v>0</v>
      </c>
    </row>
    <row r="16" spans="1:32" x14ac:dyDescent="0.2">
      <c r="A16" s="28">
        <v>38607</v>
      </c>
      <c r="B16" s="7">
        <f>'[11]September Prod'!I15</f>
        <v>7000000</v>
      </c>
      <c r="C16" s="8">
        <f t="shared" si="1"/>
        <v>7</v>
      </c>
      <c r="D16" s="10">
        <f t="shared" si="2"/>
        <v>21.49</v>
      </c>
      <c r="E16" s="7">
        <f>'[11]September Prod'!E15</f>
        <v>0</v>
      </c>
      <c r="F16" s="8">
        <f t="shared" si="3"/>
        <v>0</v>
      </c>
      <c r="G16" s="10">
        <f t="shared" si="4"/>
        <v>0</v>
      </c>
      <c r="H16" s="7">
        <f>'[11]September Prod'!F15</f>
        <v>6750000</v>
      </c>
      <c r="I16" s="8">
        <f t="shared" si="5"/>
        <v>6.75</v>
      </c>
      <c r="J16" s="10">
        <f t="shared" si="6"/>
        <v>20.7225</v>
      </c>
      <c r="K16" s="7">
        <f>'[11]September Prod'!H263</f>
        <v>588819</v>
      </c>
      <c r="L16" s="8">
        <f t="shared" si="7"/>
        <v>0.58881899999999998</v>
      </c>
      <c r="M16" s="10">
        <f t="shared" si="8"/>
        <v>1.8076743299999998</v>
      </c>
      <c r="N16" s="21"/>
      <c r="O16" s="7">
        <f>'[11]September Prod'!H15</f>
        <v>6312000</v>
      </c>
      <c r="P16" s="8">
        <f t="shared" si="9"/>
        <v>6.3120000000000003</v>
      </c>
      <c r="Q16" s="10">
        <f t="shared" si="10"/>
        <v>19.377839999999999</v>
      </c>
      <c r="R16" s="7">
        <f>'[11]September Prod'!C15</f>
        <v>6542000</v>
      </c>
      <c r="S16" s="8">
        <f t="shared" si="11"/>
        <v>6.5419999999999998</v>
      </c>
      <c r="T16" s="10">
        <f t="shared" si="12"/>
        <v>20.083939999999998</v>
      </c>
      <c r="U16" s="7">
        <f>'[11]September Prod'!D15</f>
        <v>0</v>
      </c>
      <c r="V16" s="8">
        <f t="shared" si="13"/>
        <v>0</v>
      </c>
      <c r="W16" s="10">
        <f t="shared" si="14"/>
        <v>0</v>
      </c>
      <c r="X16" s="7">
        <f>'[11]September Prod'!D263</f>
        <v>230000.00000000044</v>
      </c>
      <c r="Y16" s="8">
        <f t="shared" si="15"/>
        <v>0.23000000000000043</v>
      </c>
      <c r="Z16" s="10">
        <f t="shared" si="16"/>
        <v>0.70610000000000128</v>
      </c>
      <c r="AA16" s="15"/>
      <c r="AB16" s="7">
        <f t="shared" si="17"/>
        <v>13312000</v>
      </c>
      <c r="AC16" s="8">
        <f t="shared" si="17"/>
        <v>13.312000000000001</v>
      </c>
      <c r="AD16" s="8">
        <f t="shared" si="17"/>
        <v>40.867840000000001</v>
      </c>
      <c r="AF16" s="8">
        <f>T16-Q16-Z16</f>
        <v>-1.9984014443252818E-15</v>
      </c>
    </row>
    <row r="17" spans="1:32" x14ac:dyDescent="0.2">
      <c r="A17" s="28">
        <v>38608</v>
      </c>
      <c r="B17" s="7">
        <f>'[11]September Prod'!I16</f>
        <v>8200000.0000007274</v>
      </c>
      <c r="C17" s="8">
        <f t="shared" si="1"/>
        <v>8.2000000000007276</v>
      </c>
      <c r="D17" s="10">
        <f t="shared" si="2"/>
        <v>25.174000000002234</v>
      </c>
      <c r="E17" s="7">
        <f>'[11]September Prod'!E16</f>
        <v>0</v>
      </c>
      <c r="F17" s="8">
        <f t="shared" si="3"/>
        <v>0</v>
      </c>
      <c r="G17" s="10">
        <f t="shared" si="4"/>
        <v>0</v>
      </c>
      <c r="H17" s="7">
        <f>'[11]September Prod'!F16</f>
        <v>7960000</v>
      </c>
      <c r="I17" s="8">
        <f t="shared" si="5"/>
        <v>7.96</v>
      </c>
      <c r="J17" s="10">
        <f t="shared" si="6"/>
        <v>24.437199999999997</v>
      </c>
      <c r="K17" s="7">
        <f>'[11]September Prod'!H264</f>
        <v>6846607</v>
      </c>
      <c r="L17" s="8">
        <f t="shared" si="7"/>
        <v>6.8466069999999997</v>
      </c>
      <c r="M17" s="46">
        <f t="shared" si="8"/>
        <v>21.019083489999996</v>
      </c>
      <c r="N17" s="21"/>
      <c r="O17" s="7">
        <f>'[11]September Prod'!H16</f>
        <v>11016000</v>
      </c>
      <c r="P17" s="8">
        <f t="shared" si="9"/>
        <v>11.016</v>
      </c>
      <c r="Q17" s="10">
        <f t="shared" si="10"/>
        <v>33.819119999999998</v>
      </c>
      <c r="R17" s="7">
        <f>'[11]September Prod'!C16</f>
        <v>11422000</v>
      </c>
      <c r="S17" s="8">
        <f t="shared" si="11"/>
        <v>11.422000000000001</v>
      </c>
      <c r="T17" s="10">
        <f t="shared" si="12"/>
        <v>35.065539999999999</v>
      </c>
      <c r="U17" s="7">
        <f>'[11]September Prod'!D16</f>
        <v>0</v>
      </c>
      <c r="V17" s="8">
        <f t="shared" si="13"/>
        <v>0</v>
      </c>
      <c r="W17" s="10">
        <f t="shared" si="14"/>
        <v>0</v>
      </c>
      <c r="X17" s="7">
        <f>'[11]September Prod'!D264</f>
        <v>406000.00000000058</v>
      </c>
      <c r="Y17" s="8">
        <f t="shared" si="15"/>
        <v>0.40600000000000058</v>
      </c>
      <c r="Z17" s="10">
        <f t="shared" si="16"/>
        <v>1.2464200000000016</v>
      </c>
      <c r="AA17" s="15"/>
      <c r="AB17" s="7">
        <f t="shared" si="17"/>
        <v>19216000.000000726</v>
      </c>
      <c r="AC17" s="8">
        <f t="shared" si="17"/>
        <v>19.216000000000726</v>
      </c>
      <c r="AD17" s="8">
        <f t="shared" si="17"/>
        <v>58.993120000002236</v>
      </c>
      <c r="AF17" s="8">
        <f>T17-Q17-Z17</f>
        <v>0</v>
      </c>
    </row>
    <row r="18" spans="1:32" x14ac:dyDescent="0.2">
      <c r="A18" s="28">
        <v>38609</v>
      </c>
      <c r="B18" s="7">
        <f>'[11]September Prod'!I17</f>
        <v>13599999.999998545</v>
      </c>
      <c r="C18" s="8">
        <f t="shared" si="1"/>
        <v>13.599999999998545</v>
      </c>
      <c r="D18" s="10">
        <f t="shared" si="2"/>
        <v>41.751999999995533</v>
      </c>
      <c r="E18" s="7">
        <f>'[11]September Prod'!E17</f>
        <v>0</v>
      </c>
      <c r="F18" s="8">
        <f t="shared" si="3"/>
        <v>0</v>
      </c>
      <c r="G18" s="10">
        <f t="shared" si="4"/>
        <v>0</v>
      </c>
      <c r="H18" s="7">
        <f>'[11]September Prod'!F17</f>
        <v>13080000</v>
      </c>
      <c r="I18" s="8">
        <f t="shared" si="5"/>
        <v>13.08</v>
      </c>
      <c r="J18" s="10">
        <f t="shared" si="6"/>
        <v>40.1556</v>
      </c>
      <c r="K18" s="7">
        <f>'[11]September Prod'!H265</f>
        <v>1462643</v>
      </c>
      <c r="L18" s="8">
        <f t="shared" si="7"/>
        <v>1.4626429999999999</v>
      </c>
      <c r="M18" s="10">
        <f t="shared" si="8"/>
        <v>4.4903140099999996</v>
      </c>
      <c r="N18" s="21"/>
      <c r="O18" s="7">
        <f>'[11]September Prod'!H17</f>
        <v>1378000.0000000002</v>
      </c>
      <c r="P18" s="8">
        <f t="shared" si="9"/>
        <v>1.3780000000000003</v>
      </c>
      <c r="Q18" s="10">
        <f t="shared" si="10"/>
        <v>4.2304600000000008</v>
      </c>
      <c r="R18" s="7">
        <f>'[11]September Prod'!C17</f>
        <v>1526000</v>
      </c>
      <c r="S18" s="8">
        <f t="shared" si="11"/>
        <v>1.526</v>
      </c>
      <c r="T18" s="10">
        <f t="shared" si="12"/>
        <v>4.6848200000000002</v>
      </c>
      <c r="U18" s="7">
        <f>'[11]September Prod'!D17</f>
        <v>0</v>
      </c>
      <c r="V18" s="8">
        <f t="shared" si="13"/>
        <v>0</v>
      </c>
      <c r="W18" s="10">
        <f t="shared" si="14"/>
        <v>0</v>
      </c>
      <c r="X18" s="7">
        <f>'[11]September Prod'!D265</f>
        <v>147999.99999999968</v>
      </c>
      <c r="Y18" s="8">
        <f t="shared" si="15"/>
        <v>0.14799999999999969</v>
      </c>
      <c r="Z18" s="10">
        <f t="shared" si="16"/>
        <v>0.45435999999999904</v>
      </c>
      <c r="AA18" s="15"/>
      <c r="AB18" s="7">
        <f t="shared" si="17"/>
        <v>14977999.999998545</v>
      </c>
      <c r="AC18" s="8">
        <f t="shared" si="17"/>
        <v>14.977999999998545</v>
      </c>
      <c r="AD18" s="8">
        <f t="shared" si="17"/>
        <v>45.982459999995534</v>
      </c>
      <c r="AF18" s="8">
        <f>T18-Q18-Z18</f>
        <v>0</v>
      </c>
    </row>
    <row r="19" spans="1:32" x14ac:dyDescent="0.2">
      <c r="A19" s="28">
        <v>38610</v>
      </c>
      <c r="B19" s="7">
        <f>'[11]September Prod'!I18</f>
        <v>14099999.999998545</v>
      </c>
      <c r="C19" s="8">
        <f t="shared" si="1"/>
        <v>14.099999999998545</v>
      </c>
      <c r="D19" s="10">
        <f t="shared" si="2"/>
        <v>43.28699999999553</v>
      </c>
      <c r="E19" s="7">
        <f>'[11]September Prod'!E18</f>
        <v>0</v>
      </c>
      <c r="F19" s="8">
        <f t="shared" si="3"/>
        <v>0</v>
      </c>
      <c r="G19" s="10">
        <f t="shared" si="4"/>
        <v>0</v>
      </c>
      <c r="H19" s="7">
        <f>'[11]September Prod'!F18</f>
        <v>14880000</v>
      </c>
      <c r="I19" s="8">
        <f t="shared" si="5"/>
        <v>14.88</v>
      </c>
      <c r="J19" s="10">
        <f t="shared" si="6"/>
        <v>45.681600000000003</v>
      </c>
      <c r="K19" s="7">
        <f>'[11]September Prod'!H266</f>
        <v>2022673</v>
      </c>
      <c r="L19" s="8">
        <f t="shared" si="7"/>
        <v>2.0226730000000002</v>
      </c>
      <c r="M19" s="10">
        <f t="shared" si="8"/>
        <v>6.2096061100000002</v>
      </c>
      <c r="N19" s="21"/>
      <c r="O19" s="7">
        <f>'[11]September Prod'!H18</f>
        <v>0</v>
      </c>
      <c r="P19" s="8">
        <f t="shared" si="9"/>
        <v>0</v>
      </c>
      <c r="Q19" s="10">
        <f t="shared" si="10"/>
        <v>0</v>
      </c>
      <c r="R19" s="7">
        <f>'[11]September Prod'!C18</f>
        <v>0</v>
      </c>
      <c r="S19" s="8">
        <f t="shared" si="11"/>
        <v>0</v>
      </c>
      <c r="T19" s="10">
        <f t="shared" si="12"/>
        <v>0</v>
      </c>
      <c r="U19" s="7">
        <f>'[11]September Prod'!D18</f>
        <v>0</v>
      </c>
      <c r="V19" s="8">
        <f t="shared" si="13"/>
        <v>0</v>
      </c>
      <c r="W19" s="10">
        <f t="shared" si="14"/>
        <v>0</v>
      </c>
      <c r="X19" s="7">
        <f>'[11]September Prod'!D266</f>
        <v>0</v>
      </c>
      <c r="Y19" s="8">
        <f t="shared" si="15"/>
        <v>0</v>
      </c>
      <c r="Z19" s="10">
        <f t="shared" si="16"/>
        <v>0</v>
      </c>
      <c r="AA19" s="15"/>
      <c r="AB19" s="7">
        <f t="shared" si="17"/>
        <v>14099999.999998545</v>
      </c>
      <c r="AC19" s="8">
        <f t="shared" si="17"/>
        <v>14.099999999998545</v>
      </c>
      <c r="AD19" s="8">
        <f>D19+Q19</f>
        <v>43.28699999999553</v>
      </c>
      <c r="AF19" s="8">
        <f>T19-Q19-Z19</f>
        <v>0</v>
      </c>
    </row>
    <row r="20" spans="1:32" x14ac:dyDescent="0.2">
      <c r="A20" s="28">
        <v>38611</v>
      </c>
      <c r="B20" s="7">
        <f>'[11]September Prod'!I19</f>
        <v>12100000.000002183</v>
      </c>
      <c r="C20" s="8">
        <f t="shared" si="1"/>
        <v>12.100000000002183</v>
      </c>
      <c r="D20" s="10">
        <f t="shared" si="2"/>
        <v>37.147000000006699</v>
      </c>
      <c r="E20" s="7">
        <f>'[11]September Prod'!E19</f>
        <v>0</v>
      </c>
      <c r="F20" s="8">
        <f t="shared" si="3"/>
        <v>0</v>
      </c>
      <c r="G20" s="10">
        <f t="shared" si="4"/>
        <v>0</v>
      </c>
      <c r="H20" s="7">
        <f>'[11]September Prod'!F19</f>
        <v>11390000</v>
      </c>
      <c r="I20" s="8">
        <f t="shared" si="5"/>
        <v>11.39</v>
      </c>
      <c r="J20" s="10">
        <f t="shared" si="6"/>
        <v>34.967300000000002</v>
      </c>
      <c r="K20" s="7">
        <f>'[11]September Prod'!H267</f>
        <v>1065530</v>
      </c>
      <c r="L20" s="8">
        <f t="shared" si="7"/>
        <v>1.0655300000000001</v>
      </c>
      <c r="M20" s="10">
        <f t="shared" si="8"/>
        <v>3.2711771000000001</v>
      </c>
      <c r="N20" s="21"/>
      <c r="O20" s="7">
        <f>'[11]September Prod'!H19</f>
        <v>0</v>
      </c>
      <c r="P20" s="8">
        <f t="shared" si="9"/>
        <v>0</v>
      </c>
      <c r="Q20" s="10">
        <f t="shared" si="10"/>
        <v>0</v>
      </c>
      <c r="R20" s="7">
        <f>'[11]September Prod'!C19</f>
        <v>0</v>
      </c>
      <c r="S20" s="8">
        <f t="shared" si="11"/>
        <v>0</v>
      </c>
      <c r="T20" s="10">
        <f t="shared" si="12"/>
        <v>0</v>
      </c>
      <c r="U20" s="7">
        <f>'[11]September Prod'!D19</f>
        <v>0</v>
      </c>
      <c r="V20" s="8">
        <f t="shared" si="13"/>
        <v>0</v>
      </c>
      <c r="W20" s="10">
        <f t="shared" si="14"/>
        <v>0</v>
      </c>
      <c r="X20" s="7">
        <f>'[11]September Prod'!D267</f>
        <v>0</v>
      </c>
      <c r="Y20" s="8">
        <f t="shared" si="15"/>
        <v>0</v>
      </c>
      <c r="Z20" s="10">
        <f t="shared" si="16"/>
        <v>0</v>
      </c>
      <c r="AA20" s="15"/>
      <c r="AB20" s="7">
        <f t="shared" si="17"/>
        <v>12100000.000002183</v>
      </c>
      <c r="AC20" s="8">
        <f t="shared" si="17"/>
        <v>12.100000000002183</v>
      </c>
      <c r="AD20" s="8">
        <f t="shared" si="17"/>
        <v>37.147000000006699</v>
      </c>
      <c r="AF20" s="8">
        <f t="shared" ref="AF20:AF35" si="19">T20-Q20-Z20</f>
        <v>0</v>
      </c>
    </row>
    <row r="21" spans="1:32" x14ac:dyDescent="0.2">
      <c r="A21" s="28">
        <v>38612</v>
      </c>
      <c r="B21" s="7">
        <f>'[11]September Prod'!I20</f>
        <v>14099999.999998545</v>
      </c>
      <c r="C21" s="8">
        <f t="shared" si="1"/>
        <v>14.099999999998545</v>
      </c>
      <c r="D21" s="10">
        <f t="shared" si="2"/>
        <v>43.28699999999553</v>
      </c>
      <c r="E21" s="7">
        <f>'[11]September Prod'!E20</f>
        <v>0</v>
      </c>
      <c r="F21" s="8">
        <f t="shared" si="3"/>
        <v>0</v>
      </c>
      <c r="G21" s="10">
        <f t="shared" si="4"/>
        <v>0</v>
      </c>
      <c r="H21" s="7">
        <f>'[11]September Prod'!F20</f>
        <v>13390000</v>
      </c>
      <c r="I21" s="8">
        <f t="shared" si="5"/>
        <v>13.39</v>
      </c>
      <c r="J21" s="10">
        <f t="shared" si="6"/>
        <v>41.107300000000002</v>
      </c>
      <c r="K21" s="7">
        <f>'[11]September Prod'!H268</f>
        <v>1181104</v>
      </c>
      <c r="L21" s="8">
        <f t="shared" si="7"/>
        <v>1.1811039999999999</v>
      </c>
      <c r="M21" s="10">
        <f t="shared" si="8"/>
        <v>3.6259892799999998</v>
      </c>
      <c r="N21" s="21"/>
      <c r="O21" s="7">
        <f>'[11]September Prod'!H20</f>
        <v>-271000.00000000081</v>
      </c>
      <c r="P21" s="8">
        <f t="shared" si="9"/>
        <v>-0.2710000000000008</v>
      </c>
      <c r="Q21" s="10">
        <f t="shared" si="10"/>
        <v>-0.83197000000000243</v>
      </c>
      <c r="R21" s="7">
        <f>'[11]September Prod'!C20</f>
        <v>0</v>
      </c>
      <c r="S21" s="8">
        <f t="shared" si="11"/>
        <v>0</v>
      </c>
      <c r="T21" s="10">
        <f t="shared" si="12"/>
        <v>0</v>
      </c>
      <c r="U21" s="7">
        <f>'[11]September Prod'!D20</f>
        <v>0</v>
      </c>
      <c r="V21" s="8">
        <f t="shared" si="13"/>
        <v>0</v>
      </c>
      <c r="W21" s="10">
        <f t="shared" si="14"/>
        <v>0</v>
      </c>
      <c r="X21" s="7">
        <f>'[11]September Prod'!D268</f>
        <v>271000.00000000081</v>
      </c>
      <c r="Y21" s="8">
        <f t="shared" si="15"/>
        <v>0.2710000000000008</v>
      </c>
      <c r="Z21" s="10">
        <f t="shared" si="16"/>
        <v>0.83197000000000243</v>
      </c>
      <c r="AA21" s="15"/>
      <c r="AB21" s="7">
        <f t="shared" si="17"/>
        <v>13828999.999998545</v>
      </c>
      <c r="AC21" s="8">
        <f t="shared" si="17"/>
        <v>13.828999999998544</v>
      </c>
      <c r="AD21" s="8">
        <f t="shared" si="17"/>
        <v>42.455029999995524</v>
      </c>
      <c r="AF21" s="8">
        <f t="shared" si="19"/>
        <v>0</v>
      </c>
    </row>
    <row r="22" spans="1:32" x14ac:dyDescent="0.2">
      <c r="A22" s="28">
        <v>38613</v>
      </c>
      <c r="B22" s="7">
        <f>'[11]September Prod'!I21</f>
        <v>15299999.999999272</v>
      </c>
      <c r="C22" s="8">
        <f t="shared" si="1"/>
        <v>15.299999999999272</v>
      </c>
      <c r="D22" s="10">
        <f t="shared" si="2"/>
        <v>46.970999999997765</v>
      </c>
      <c r="E22" s="7">
        <f>'[11]September Prod'!E21</f>
        <v>0</v>
      </c>
      <c r="F22" s="8">
        <f t="shared" si="3"/>
        <v>0</v>
      </c>
      <c r="G22" s="10">
        <f t="shared" si="4"/>
        <v>0</v>
      </c>
      <c r="H22" s="7">
        <f>'[11]September Prod'!F21</f>
        <v>14790000</v>
      </c>
      <c r="I22" s="8">
        <f t="shared" si="5"/>
        <v>14.79</v>
      </c>
      <c r="J22" s="10">
        <f t="shared" si="6"/>
        <v>45.405299999999997</v>
      </c>
      <c r="K22" s="7">
        <f>'[11]September Prod'!H269</f>
        <v>1245925</v>
      </c>
      <c r="L22" s="8">
        <f t="shared" si="7"/>
        <v>1.2459249999999999</v>
      </c>
      <c r="M22" s="10">
        <f t="shared" si="8"/>
        <v>3.8249897499999999</v>
      </c>
      <c r="N22" s="21"/>
      <c r="O22" s="7">
        <f>'[11]September Prod'!H21</f>
        <v>845000.00000000023</v>
      </c>
      <c r="P22" s="8">
        <f t="shared" si="9"/>
        <v>0.8450000000000002</v>
      </c>
      <c r="Q22" s="10">
        <f t="shared" si="10"/>
        <v>2.5941500000000004</v>
      </c>
      <c r="R22" s="7">
        <f>'[11]September Prod'!C21</f>
        <v>1153000</v>
      </c>
      <c r="S22" s="8">
        <f t="shared" si="11"/>
        <v>1.153</v>
      </c>
      <c r="T22" s="10">
        <f t="shared" si="12"/>
        <v>3.5397099999999999</v>
      </c>
      <c r="U22" s="7">
        <f>'[11]September Prod'!D21</f>
        <v>0</v>
      </c>
      <c r="V22" s="8">
        <f t="shared" si="13"/>
        <v>0</v>
      </c>
      <c r="W22" s="10">
        <f t="shared" si="14"/>
        <v>0</v>
      </c>
      <c r="X22" s="7">
        <f>'[11]September Prod'!D269</f>
        <v>307999.99999999983</v>
      </c>
      <c r="Y22" s="8">
        <f t="shared" si="15"/>
        <v>0.30799999999999983</v>
      </c>
      <c r="Z22" s="10">
        <f t="shared" si="16"/>
        <v>0.9455599999999994</v>
      </c>
      <c r="AA22" s="15"/>
      <c r="AB22" s="7">
        <f t="shared" si="17"/>
        <v>16144999.999999272</v>
      </c>
      <c r="AC22" s="8">
        <f t="shared" si="17"/>
        <v>16.144999999999271</v>
      </c>
      <c r="AD22" s="8">
        <f t="shared" si="17"/>
        <v>49.565149999997764</v>
      </c>
      <c r="AF22" s="8">
        <f t="shared" si="19"/>
        <v>0</v>
      </c>
    </row>
    <row r="23" spans="1:32" x14ac:dyDescent="0.2">
      <c r="A23" s="28">
        <v>38614</v>
      </c>
      <c r="B23" s="7">
        <f>'[11]September Prod'!I22</f>
        <v>15300000.000002909</v>
      </c>
      <c r="C23" s="8">
        <f t="shared" si="1"/>
        <v>15.300000000002909</v>
      </c>
      <c r="D23" s="10">
        <f t="shared" si="2"/>
        <v>46.971000000008928</v>
      </c>
      <c r="E23" s="7">
        <f>'[11]September Prod'!E22</f>
        <v>0</v>
      </c>
      <c r="F23" s="8">
        <f t="shared" si="3"/>
        <v>0</v>
      </c>
      <c r="G23" s="10">
        <f t="shared" si="4"/>
        <v>0</v>
      </c>
      <c r="H23" s="7">
        <f>'[11]September Prod'!F22</f>
        <v>14630000</v>
      </c>
      <c r="I23" s="8">
        <f t="shared" si="5"/>
        <v>14.63</v>
      </c>
      <c r="J23" s="10">
        <f t="shared" si="6"/>
        <v>44.914099999999998</v>
      </c>
      <c r="K23" s="7">
        <f>'[11]September Prod'!H270</f>
        <v>1226843</v>
      </c>
      <c r="L23" s="8">
        <f t="shared" si="7"/>
        <v>1.2268429999999999</v>
      </c>
      <c r="M23" s="10">
        <f t="shared" si="8"/>
        <v>3.7664080099999997</v>
      </c>
      <c r="N23" s="21"/>
      <c r="O23" s="7">
        <f>'[11]September Prod'!H22</f>
        <v>2898000.0000000014</v>
      </c>
      <c r="P23" s="8">
        <f t="shared" si="9"/>
        <v>2.8980000000000015</v>
      </c>
      <c r="Q23" s="10">
        <f t="shared" si="10"/>
        <v>8.8968600000000038</v>
      </c>
      <c r="R23" s="7">
        <f>'[11]September Prod'!C22</f>
        <v>3064000</v>
      </c>
      <c r="S23" s="8">
        <f t="shared" si="11"/>
        <v>3.0640000000000001</v>
      </c>
      <c r="T23" s="10">
        <f t="shared" si="12"/>
        <v>9.4064800000000002</v>
      </c>
      <c r="U23" s="7">
        <f>'[11]September Prod'!D22</f>
        <v>0</v>
      </c>
      <c r="V23" s="8">
        <f t="shared" si="13"/>
        <v>0</v>
      </c>
      <c r="W23" s="10">
        <f t="shared" si="14"/>
        <v>0</v>
      </c>
      <c r="X23" s="7">
        <f>'[11]September Prod'!D270</f>
        <v>165999.9999999986</v>
      </c>
      <c r="Y23" s="8">
        <f t="shared" si="15"/>
        <v>0.16599999999999859</v>
      </c>
      <c r="Z23" s="10">
        <f t="shared" si="16"/>
        <v>0.50961999999999563</v>
      </c>
      <c r="AA23" s="15"/>
      <c r="AB23" s="7">
        <f t="shared" si="17"/>
        <v>18198000.000002909</v>
      </c>
      <c r="AC23" s="8">
        <f t="shared" si="17"/>
        <v>18.19800000000291</v>
      </c>
      <c r="AD23" s="8">
        <f t="shared" si="17"/>
        <v>55.867860000008932</v>
      </c>
      <c r="AF23" s="8">
        <f t="shared" si="19"/>
        <v>0</v>
      </c>
    </row>
    <row r="24" spans="1:32" x14ac:dyDescent="0.2">
      <c r="A24" s="28">
        <v>38615</v>
      </c>
      <c r="B24" s="7">
        <f>'[11]September Prod'!I23</f>
        <v>12699999.999997091</v>
      </c>
      <c r="C24" s="8">
        <f t="shared" si="1"/>
        <v>12.699999999997091</v>
      </c>
      <c r="D24" s="10">
        <f t="shared" si="2"/>
        <v>38.988999999991066</v>
      </c>
      <c r="E24" s="7">
        <f>'[11]September Prod'!E23</f>
        <v>0</v>
      </c>
      <c r="F24" s="8">
        <f t="shared" si="3"/>
        <v>0</v>
      </c>
      <c r="G24" s="10">
        <f t="shared" si="4"/>
        <v>0</v>
      </c>
      <c r="H24" s="7">
        <f>'[11]September Prod'!F23</f>
        <v>11760000</v>
      </c>
      <c r="I24" s="8">
        <f t="shared" si="5"/>
        <v>11.76</v>
      </c>
      <c r="J24" s="10">
        <f t="shared" si="6"/>
        <v>36.103199999999994</v>
      </c>
      <c r="K24" s="7">
        <f>'[11]September Prod'!H271</f>
        <v>1030678</v>
      </c>
      <c r="L24" s="8">
        <f t="shared" si="7"/>
        <v>1.030678</v>
      </c>
      <c r="M24" s="10">
        <f t="shared" si="8"/>
        <v>3.16418146</v>
      </c>
      <c r="N24" s="21"/>
      <c r="O24" s="7">
        <f>'[11]September Prod'!H23</f>
        <v>4321999.9999999981</v>
      </c>
      <c r="P24" s="8">
        <f t="shared" si="9"/>
        <v>4.3219999999999983</v>
      </c>
      <c r="Q24" s="10">
        <f t="shared" si="10"/>
        <v>13.268539999999994</v>
      </c>
      <c r="R24" s="7">
        <f>'[11]September Prod'!C23</f>
        <v>4614000</v>
      </c>
      <c r="S24" s="8">
        <f t="shared" si="11"/>
        <v>4.6139999999999999</v>
      </c>
      <c r="T24" s="10">
        <f t="shared" si="12"/>
        <v>14.164979999999998</v>
      </c>
      <c r="U24" s="7">
        <f>'[11]September Prod'!D23</f>
        <v>0</v>
      </c>
      <c r="V24" s="8">
        <f t="shared" si="13"/>
        <v>0</v>
      </c>
      <c r="W24" s="10">
        <f t="shared" si="14"/>
        <v>0</v>
      </c>
      <c r="X24" s="7">
        <f>'[11]September Prod'!D271</f>
        <v>292000.00000000157</v>
      </c>
      <c r="Y24" s="8">
        <f t="shared" si="15"/>
        <v>0.29200000000000159</v>
      </c>
      <c r="Z24" s="10">
        <f t="shared" si="16"/>
        <v>0.89644000000000479</v>
      </c>
      <c r="AA24" s="15"/>
      <c r="AB24" s="7">
        <f t="shared" si="17"/>
        <v>17021999.999997087</v>
      </c>
      <c r="AC24" s="8">
        <f t="shared" si="17"/>
        <v>17.021999999997089</v>
      </c>
      <c r="AD24" s="8">
        <f>D24+Q24</f>
        <v>52.25753999999106</v>
      </c>
      <c r="AF24" s="8">
        <f t="shared" si="19"/>
        <v>-1.1102230246251565E-15</v>
      </c>
    </row>
    <row r="25" spans="1:32" x14ac:dyDescent="0.2">
      <c r="A25" s="28">
        <v>38616</v>
      </c>
      <c r="B25" s="7">
        <f>'[11]September Prod'!I24</f>
        <v>11200000.000000728</v>
      </c>
      <c r="C25" s="8">
        <f t="shared" si="1"/>
        <v>11.200000000000728</v>
      </c>
      <c r="D25" s="10">
        <f t="shared" si="2"/>
        <v>34.384000000002231</v>
      </c>
      <c r="E25" s="7">
        <f>'[11]September Prod'!E24</f>
        <v>0</v>
      </c>
      <c r="F25" s="8">
        <f t="shared" si="3"/>
        <v>0</v>
      </c>
      <c r="G25" s="10">
        <f t="shared" si="4"/>
        <v>0</v>
      </c>
      <c r="H25" s="7">
        <f>'[11]September Prod'!F24</f>
        <v>10860000</v>
      </c>
      <c r="I25" s="8">
        <f t="shared" si="5"/>
        <v>10.86</v>
      </c>
      <c r="J25" s="10">
        <f t="shared" si="6"/>
        <v>33.340199999999996</v>
      </c>
      <c r="K25" s="7">
        <f>'[11]September Prod'!H272</f>
        <v>963347</v>
      </c>
      <c r="L25" s="8">
        <f t="shared" si="7"/>
        <v>0.96334699999999995</v>
      </c>
      <c r="M25" s="10">
        <f t="shared" si="8"/>
        <v>2.9574752899999996</v>
      </c>
      <c r="N25" s="21"/>
      <c r="O25" s="7">
        <f>'[11]September Prod'!H24</f>
        <v>4609000</v>
      </c>
      <c r="P25" s="8">
        <f t="shared" si="9"/>
        <v>4.609</v>
      </c>
      <c r="Q25" s="10">
        <f t="shared" si="10"/>
        <v>14.149629999999998</v>
      </c>
      <c r="R25" s="7">
        <f>'[11]September Prod'!C24</f>
        <v>4782000</v>
      </c>
      <c r="S25" s="8">
        <f t="shared" si="11"/>
        <v>4.782</v>
      </c>
      <c r="T25" s="10">
        <f t="shared" si="12"/>
        <v>14.68074</v>
      </c>
      <c r="U25" s="7">
        <f>'[11]September Prod'!D24</f>
        <v>0</v>
      </c>
      <c r="V25" s="8">
        <f t="shared" si="13"/>
        <v>0</v>
      </c>
      <c r="W25" s="10">
        <f t="shared" si="14"/>
        <v>0</v>
      </c>
      <c r="X25" s="7">
        <f>'[11]September Prod'!D272</f>
        <v>173000.00000000003</v>
      </c>
      <c r="Y25" s="8">
        <f t="shared" si="15"/>
        <v>0.17300000000000004</v>
      </c>
      <c r="Z25" s="10">
        <f t="shared" si="16"/>
        <v>0.53111000000000008</v>
      </c>
      <c r="AA25" s="15"/>
      <c r="AB25" s="7">
        <f t="shared" si="17"/>
        <v>15809000.000000728</v>
      </c>
      <c r="AC25" s="8">
        <f t="shared" si="17"/>
        <v>15.809000000000728</v>
      </c>
      <c r="AD25" s="8">
        <f t="shared" si="17"/>
        <v>48.533630000002233</v>
      </c>
      <c r="AF25" s="8">
        <f t="shared" si="19"/>
        <v>1.6653345369377348E-15</v>
      </c>
    </row>
    <row r="26" spans="1:32" x14ac:dyDescent="0.2">
      <c r="A26" s="28">
        <v>38617</v>
      </c>
      <c r="B26" s="7">
        <f>'[11]September Prod'!I25</f>
        <v>15100000.000002183</v>
      </c>
      <c r="C26" s="8">
        <f t="shared" si="1"/>
        <v>15.100000000002183</v>
      </c>
      <c r="D26" s="10">
        <f t="shared" si="2"/>
        <v>46.3570000000067</v>
      </c>
      <c r="E26" s="7">
        <f>'[11]September Prod'!E25</f>
        <v>0</v>
      </c>
      <c r="F26" s="8">
        <f t="shared" si="3"/>
        <v>0</v>
      </c>
      <c r="G26" s="10">
        <f t="shared" si="4"/>
        <v>0</v>
      </c>
      <c r="H26" s="7">
        <f>'[11]September Prod'!F25</f>
        <v>13680000</v>
      </c>
      <c r="I26" s="8">
        <f t="shared" si="5"/>
        <v>13.68</v>
      </c>
      <c r="J26" s="10">
        <f t="shared" si="6"/>
        <v>41.997599999999998</v>
      </c>
      <c r="K26" s="7">
        <f>'[11]September Prod'!H273</f>
        <v>1222439</v>
      </c>
      <c r="L26" s="8">
        <f t="shared" si="7"/>
        <v>1.2224390000000001</v>
      </c>
      <c r="M26" s="10">
        <f t="shared" si="8"/>
        <v>3.7528877299999999</v>
      </c>
      <c r="N26" s="21"/>
      <c r="O26" s="7">
        <f>'[11]September Prod'!H25</f>
        <v>4397000.0000000009</v>
      </c>
      <c r="P26" s="8">
        <f t="shared" si="9"/>
        <v>4.3970000000000011</v>
      </c>
      <c r="Q26" s="10">
        <f t="shared" si="10"/>
        <v>13.498790000000003</v>
      </c>
      <c r="R26" s="7">
        <f>'[11]September Prod'!C25</f>
        <v>4571000</v>
      </c>
      <c r="S26" s="8">
        <f t="shared" si="11"/>
        <v>4.5709999999999997</v>
      </c>
      <c r="T26" s="10">
        <f t="shared" si="12"/>
        <v>14.032969999999999</v>
      </c>
      <c r="U26" s="7">
        <f>'[11]September Prod'!D25</f>
        <v>0</v>
      </c>
      <c r="V26" s="8">
        <f t="shared" si="13"/>
        <v>0</v>
      </c>
      <c r="W26" s="10">
        <f t="shared" si="14"/>
        <v>0</v>
      </c>
      <c r="X26" s="7">
        <f>'[11]September Prod'!D273</f>
        <v>173999.99999999948</v>
      </c>
      <c r="Y26" s="8">
        <f t="shared" si="15"/>
        <v>0.17399999999999949</v>
      </c>
      <c r="Z26" s="10">
        <f t="shared" si="16"/>
        <v>0.53417999999999843</v>
      </c>
      <c r="AA26" s="15"/>
      <c r="AB26" s="7">
        <f t="shared" si="17"/>
        <v>19497000.000002183</v>
      </c>
      <c r="AC26" s="8">
        <f t="shared" si="17"/>
        <v>19.497000000002185</v>
      </c>
      <c r="AD26" s="8">
        <f t="shared" si="17"/>
        <v>59.855790000006706</v>
      </c>
      <c r="AF26" s="8">
        <f t="shared" si="19"/>
        <v>-2.7755575615628914E-15</v>
      </c>
    </row>
    <row r="27" spans="1:32" x14ac:dyDescent="0.2">
      <c r="A27" s="28">
        <v>38618</v>
      </c>
      <c r="B27" s="7">
        <f>'[11]September Prod'!I26</f>
        <v>14199999.999997091</v>
      </c>
      <c r="C27" s="8">
        <f t="shared" si="1"/>
        <v>14.199999999997091</v>
      </c>
      <c r="D27" s="10">
        <f t="shared" si="2"/>
        <v>43.59399999999107</v>
      </c>
      <c r="E27" s="7">
        <f>'[11]September Prod'!E26</f>
        <v>0</v>
      </c>
      <c r="F27" s="8">
        <f t="shared" si="3"/>
        <v>0</v>
      </c>
      <c r="G27" s="10">
        <f t="shared" si="4"/>
        <v>0</v>
      </c>
      <c r="H27" s="7">
        <f>'[11]September Prod'!F26</f>
        <v>14140000</v>
      </c>
      <c r="I27" s="8">
        <f t="shared" si="5"/>
        <v>14.14</v>
      </c>
      <c r="J27" s="10">
        <f t="shared" si="6"/>
        <v>43.409799999999997</v>
      </c>
      <c r="K27" s="7">
        <f>'[11]September Prod'!H274</f>
        <v>1257774</v>
      </c>
      <c r="L27" s="8">
        <f t="shared" si="7"/>
        <v>1.2577739999999999</v>
      </c>
      <c r="M27" s="10">
        <f t="shared" si="8"/>
        <v>3.8613661799999996</v>
      </c>
      <c r="N27" s="21"/>
      <c r="O27" s="7">
        <f>'[11]September Prod'!H26</f>
        <v>4618000</v>
      </c>
      <c r="P27" s="8">
        <f t="shared" si="9"/>
        <v>4.6180000000000003</v>
      </c>
      <c r="Q27" s="10">
        <f t="shared" si="10"/>
        <v>14.17726</v>
      </c>
      <c r="R27" s="7">
        <f>'[11]September Prod'!C26</f>
        <v>4791000</v>
      </c>
      <c r="S27" s="8">
        <f t="shared" si="11"/>
        <v>4.7910000000000004</v>
      </c>
      <c r="T27" s="10">
        <f t="shared" si="12"/>
        <v>14.70837</v>
      </c>
      <c r="U27" s="7">
        <f>'[11]September Prod'!D26</f>
        <v>0</v>
      </c>
      <c r="V27" s="8">
        <f t="shared" si="13"/>
        <v>0</v>
      </c>
      <c r="W27" s="10">
        <f t="shared" si="14"/>
        <v>0</v>
      </c>
      <c r="X27" s="7">
        <f>'[11]September Prod'!D274</f>
        <v>173000.00000000003</v>
      </c>
      <c r="Y27" s="8">
        <f t="shared" si="15"/>
        <v>0.17300000000000004</v>
      </c>
      <c r="Z27" s="10">
        <f t="shared" si="16"/>
        <v>0.53111000000000008</v>
      </c>
      <c r="AA27" s="15"/>
      <c r="AB27" s="7">
        <f t="shared" si="17"/>
        <v>18817999.999997091</v>
      </c>
      <c r="AC27" s="8">
        <f t="shared" si="17"/>
        <v>18.817999999997092</v>
      </c>
      <c r="AD27" s="8">
        <f t="shared" si="17"/>
        <v>57.771259999991074</v>
      </c>
      <c r="AF27" s="8">
        <f t="shared" si="19"/>
        <v>0</v>
      </c>
    </row>
    <row r="28" spans="1:32" x14ac:dyDescent="0.2">
      <c r="A28" s="28">
        <v>38619</v>
      </c>
      <c r="B28" s="7">
        <f>'[11]September Prod'!I27</f>
        <v>9700000.0000007283</v>
      </c>
      <c r="C28" s="8">
        <f t="shared" si="1"/>
        <v>9.7000000000007276</v>
      </c>
      <c r="D28" s="10">
        <f t="shared" si="2"/>
        <v>29.779000000002231</v>
      </c>
      <c r="E28" s="7">
        <f>'[11]September Prod'!E27</f>
        <v>1000000</v>
      </c>
      <c r="F28" s="8">
        <f t="shared" si="3"/>
        <v>1</v>
      </c>
      <c r="G28" s="10">
        <f t="shared" si="4"/>
        <v>3.07</v>
      </c>
      <c r="H28" s="7">
        <f>'[11]September Prod'!F27</f>
        <v>7600000.0000000009</v>
      </c>
      <c r="I28" s="8">
        <f t="shared" si="5"/>
        <v>7.6000000000000005</v>
      </c>
      <c r="J28" s="10">
        <f t="shared" si="6"/>
        <v>23.332000000000001</v>
      </c>
      <c r="K28" s="7">
        <f>'[11]September Prod'!H275</f>
        <v>784289</v>
      </c>
      <c r="L28" s="8">
        <f t="shared" si="7"/>
        <v>0.78428900000000001</v>
      </c>
      <c r="M28" s="10">
        <f t="shared" si="8"/>
        <v>2.4077672299999997</v>
      </c>
      <c r="N28" s="21"/>
      <c r="O28" s="7">
        <f>'[11]September Prod'!H27</f>
        <v>4540000</v>
      </c>
      <c r="P28" s="8">
        <f t="shared" si="9"/>
        <v>4.54</v>
      </c>
      <c r="Q28" s="10">
        <f t="shared" si="10"/>
        <v>13.937799999999999</v>
      </c>
      <c r="R28" s="7">
        <f>'[11]September Prod'!C27</f>
        <v>4713000</v>
      </c>
      <c r="S28" s="8">
        <f t="shared" si="11"/>
        <v>4.7130000000000001</v>
      </c>
      <c r="T28" s="10">
        <f t="shared" si="12"/>
        <v>14.468909999999999</v>
      </c>
      <c r="U28" s="7">
        <f>'[11]September Prod'!D27</f>
        <v>0</v>
      </c>
      <c r="V28" s="8">
        <f t="shared" si="13"/>
        <v>0</v>
      </c>
      <c r="W28" s="10">
        <f t="shared" si="14"/>
        <v>0</v>
      </c>
      <c r="X28" s="7">
        <f>'[11]September Prod'!D275</f>
        <v>173000.00000000003</v>
      </c>
      <c r="Y28" s="8">
        <f t="shared" si="15"/>
        <v>0.17300000000000004</v>
      </c>
      <c r="Z28" s="10">
        <f t="shared" si="16"/>
        <v>0.53111000000000008</v>
      </c>
      <c r="AA28" s="15"/>
      <c r="AB28" s="7">
        <f t="shared" si="17"/>
        <v>14240000.000000728</v>
      </c>
      <c r="AC28" s="8">
        <f t="shared" si="17"/>
        <v>14.240000000000727</v>
      </c>
      <c r="AD28" s="8">
        <f t="shared" si="17"/>
        <v>43.71680000000223</v>
      </c>
      <c r="AF28" s="8">
        <f t="shared" si="19"/>
        <v>0</v>
      </c>
    </row>
    <row r="29" spans="1:32" x14ac:dyDescent="0.2">
      <c r="A29" s="28">
        <v>38620</v>
      </c>
      <c r="B29" s="7">
        <f>'[11]September Prod'!I28</f>
        <v>10900000.000001455</v>
      </c>
      <c r="C29" s="8">
        <f t="shared" si="1"/>
        <v>10.900000000001455</v>
      </c>
      <c r="D29" s="10">
        <f t="shared" si="2"/>
        <v>33.463000000004463</v>
      </c>
      <c r="E29" s="7">
        <f>'[11]September Prod'!E28</f>
        <v>2000000</v>
      </c>
      <c r="F29" s="8">
        <f t="shared" si="3"/>
        <v>2</v>
      </c>
      <c r="G29" s="10">
        <f t="shared" si="4"/>
        <v>6.14</v>
      </c>
      <c r="H29" s="7">
        <f>'[11]September Prod'!F28</f>
        <v>8029999.9999999991</v>
      </c>
      <c r="I29" s="8">
        <f t="shared" si="5"/>
        <v>8.0299999999999994</v>
      </c>
      <c r="J29" s="10">
        <f t="shared" si="6"/>
        <v>24.652099999999997</v>
      </c>
      <c r="K29" s="7">
        <f>'[11]September Prod'!H276</f>
        <v>918476</v>
      </c>
      <c r="L29" s="8">
        <f t="shared" si="7"/>
        <v>0.91847599999999996</v>
      </c>
      <c r="M29" s="10">
        <f t="shared" si="8"/>
        <v>2.8197213199999998</v>
      </c>
      <c r="N29" s="21"/>
      <c r="O29" s="7">
        <f>'[11]September Prod'!H28</f>
        <v>5032000</v>
      </c>
      <c r="P29" s="8">
        <f t="shared" si="9"/>
        <v>5.032</v>
      </c>
      <c r="Q29" s="10">
        <f t="shared" si="10"/>
        <v>15.448239999999998</v>
      </c>
      <c r="R29" s="7">
        <f>'[11]September Prod'!C28</f>
        <v>5263000</v>
      </c>
      <c r="S29" s="8">
        <f t="shared" si="11"/>
        <v>5.2629999999999999</v>
      </c>
      <c r="T29" s="10">
        <f t="shared" si="12"/>
        <v>16.157409999999999</v>
      </c>
      <c r="U29" s="7">
        <f>'[11]September Prod'!D28</f>
        <v>0</v>
      </c>
      <c r="V29" s="8">
        <f t="shared" si="13"/>
        <v>0</v>
      </c>
      <c r="W29" s="10">
        <f t="shared" si="14"/>
        <v>0</v>
      </c>
      <c r="X29" s="7">
        <f>'[11]September Prod'!D276</f>
        <v>230999.99999999988</v>
      </c>
      <c r="Y29" s="8">
        <f t="shared" si="15"/>
        <v>0.23099999999999987</v>
      </c>
      <c r="Z29" s="10">
        <f t="shared" si="16"/>
        <v>0.70916999999999952</v>
      </c>
      <c r="AA29" s="15"/>
      <c r="AB29" s="7">
        <f t="shared" si="17"/>
        <v>15932000.000001455</v>
      </c>
      <c r="AC29" s="8">
        <f t="shared" si="17"/>
        <v>15.932000000001455</v>
      </c>
      <c r="AD29" s="8">
        <f t="shared" si="17"/>
        <v>48.911240000004462</v>
      </c>
      <c r="AF29" s="8">
        <f t="shared" si="19"/>
        <v>0</v>
      </c>
    </row>
    <row r="30" spans="1:32" x14ac:dyDescent="0.2">
      <c r="A30" s="28">
        <v>38621</v>
      </c>
      <c r="B30" s="7">
        <f>'[11]September Prod'!I29</f>
        <v>10599999.999998545</v>
      </c>
      <c r="C30" s="8">
        <f t="shared" si="1"/>
        <v>10.599999999998545</v>
      </c>
      <c r="D30" s="10">
        <f t="shared" si="2"/>
        <v>32.541999999995532</v>
      </c>
      <c r="E30" s="7">
        <f>'[11]September Prod'!E29</f>
        <v>0</v>
      </c>
      <c r="F30" s="8">
        <f t="shared" si="3"/>
        <v>0</v>
      </c>
      <c r="G30" s="10">
        <f t="shared" si="4"/>
        <v>0</v>
      </c>
      <c r="H30" s="7">
        <f>'[11]September Prod'!F29</f>
        <v>10440000</v>
      </c>
      <c r="I30" s="8">
        <f t="shared" si="5"/>
        <v>10.44</v>
      </c>
      <c r="J30" s="10">
        <f t="shared" si="6"/>
        <v>32.050799999999995</v>
      </c>
      <c r="K30" s="7">
        <f>'[11]September Prod'!H277</f>
        <v>873776</v>
      </c>
      <c r="L30" s="8">
        <f t="shared" si="7"/>
        <v>0.873776</v>
      </c>
      <c r="M30" s="10">
        <f t="shared" si="8"/>
        <v>2.6824923199999997</v>
      </c>
      <c r="N30" s="21"/>
      <c r="O30" s="7">
        <f>'[11]September Prod'!H29</f>
        <v>3957000</v>
      </c>
      <c r="P30" s="8">
        <f t="shared" si="9"/>
        <v>3.9569999999999999</v>
      </c>
      <c r="Q30" s="10">
        <f t="shared" si="10"/>
        <v>12.147989999999998</v>
      </c>
      <c r="R30" s="7">
        <f>'[11]September Prod'!C29</f>
        <v>4188000</v>
      </c>
      <c r="S30" s="8">
        <f t="shared" si="11"/>
        <v>4.1879999999999997</v>
      </c>
      <c r="T30" s="10">
        <f t="shared" si="12"/>
        <v>12.857159999999999</v>
      </c>
      <c r="U30" s="7">
        <f>'[11]September Prod'!D29</f>
        <v>0</v>
      </c>
      <c r="V30" s="8">
        <f t="shared" si="13"/>
        <v>0</v>
      </c>
      <c r="W30" s="10">
        <f t="shared" si="14"/>
        <v>0</v>
      </c>
      <c r="X30" s="7">
        <f>'[11]September Prod'!D277</f>
        <v>230999.99999999988</v>
      </c>
      <c r="Y30" s="8">
        <f t="shared" si="15"/>
        <v>0.23099999999999987</v>
      </c>
      <c r="Z30" s="10">
        <f t="shared" si="16"/>
        <v>0.70916999999999952</v>
      </c>
      <c r="AA30" s="15"/>
      <c r="AB30" s="7">
        <f t="shared" si="17"/>
        <v>14556999.999998545</v>
      </c>
      <c r="AC30" s="8">
        <f t="shared" si="17"/>
        <v>14.556999999998546</v>
      </c>
      <c r="AD30" s="8">
        <f>D30+Q30</f>
        <v>44.689989999995532</v>
      </c>
      <c r="AF30" s="8">
        <f t="shared" si="19"/>
        <v>0</v>
      </c>
    </row>
    <row r="31" spans="1:32" x14ac:dyDescent="0.2">
      <c r="A31" s="28">
        <v>38622</v>
      </c>
      <c r="B31" s="7">
        <f>'[11]September Prod'!I30</f>
        <v>18799999.999999274</v>
      </c>
      <c r="C31" s="8">
        <f t="shared" si="1"/>
        <v>18.799999999999272</v>
      </c>
      <c r="D31" s="10">
        <f t="shared" si="2"/>
        <v>57.715999999997763</v>
      </c>
      <c r="E31" s="7">
        <f>'[11]September Prod'!E30</f>
        <v>2000000</v>
      </c>
      <c r="F31" s="8">
        <f t="shared" si="3"/>
        <v>2</v>
      </c>
      <c r="G31" s="10">
        <f t="shared" si="4"/>
        <v>6.14</v>
      </c>
      <c r="H31" s="7">
        <f>'[11]September Prod'!F30</f>
        <v>15550000</v>
      </c>
      <c r="I31" s="8">
        <f t="shared" si="5"/>
        <v>15.55</v>
      </c>
      <c r="J31" s="10">
        <f t="shared" si="6"/>
        <v>47.738500000000002</v>
      </c>
      <c r="K31" s="7">
        <f>'[11]September Prod'!H278</f>
        <v>1471355</v>
      </c>
      <c r="L31" s="8">
        <f t="shared" si="7"/>
        <v>1.471355</v>
      </c>
      <c r="M31" s="10">
        <f t="shared" si="8"/>
        <v>4.5170598499999999</v>
      </c>
      <c r="N31" s="21"/>
      <c r="O31" s="7">
        <f>'[11]September Prod'!H30</f>
        <v>2811000.0000000009</v>
      </c>
      <c r="P31" s="8">
        <f t="shared" si="9"/>
        <v>2.8110000000000008</v>
      </c>
      <c r="Q31" s="10">
        <f t="shared" si="10"/>
        <v>8.6297700000000024</v>
      </c>
      <c r="R31" s="7">
        <f>'[11]September Prod'!C30</f>
        <v>3229000</v>
      </c>
      <c r="S31" s="8">
        <f t="shared" si="11"/>
        <v>3.2290000000000001</v>
      </c>
      <c r="T31" s="10">
        <f t="shared" si="12"/>
        <v>9.9130299999999991</v>
      </c>
      <c r="U31" s="7">
        <f>'[11]September Prod'!D30</f>
        <v>0</v>
      </c>
      <c r="V31" s="8">
        <f t="shared" si="13"/>
        <v>0</v>
      </c>
      <c r="W31" s="10">
        <f t="shared" si="14"/>
        <v>0</v>
      </c>
      <c r="X31" s="7">
        <f>'[11]September Prod'!D278</f>
        <v>417999.99999999924</v>
      </c>
      <c r="Y31" s="8">
        <f t="shared" si="15"/>
        <v>0.41799999999999926</v>
      </c>
      <c r="Z31" s="10">
        <f t="shared" si="16"/>
        <v>1.2832599999999976</v>
      </c>
      <c r="AA31" s="15"/>
      <c r="AB31" s="7">
        <f t="shared" si="17"/>
        <v>21610999.999999274</v>
      </c>
      <c r="AC31" s="8">
        <f t="shared" si="17"/>
        <v>21.610999999999272</v>
      </c>
      <c r="AD31" s="8">
        <f t="shared" si="17"/>
        <v>66.345769999997771</v>
      </c>
      <c r="AF31" s="8">
        <f>T31-Q31-Z31</f>
        <v>0</v>
      </c>
    </row>
    <row r="32" spans="1:32" x14ac:dyDescent="0.2">
      <c r="A32" s="28">
        <v>38623</v>
      </c>
      <c r="B32" s="7">
        <f>'[11]September Prod'!I31</f>
        <v>12000000</v>
      </c>
      <c r="C32" s="8">
        <f t="shared" si="1"/>
        <v>12</v>
      </c>
      <c r="D32" s="10">
        <f t="shared" si="2"/>
        <v>36.839999999999996</v>
      </c>
      <c r="E32" s="7">
        <f>'[11]September Prod'!E31</f>
        <v>3000000</v>
      </c>
      <c r="F32" s="8">
        <f t="shared" si="3"/>
        <v>3</v>
      </c>
      <c r="G32" s="10">
        <f t="shared" si="4"/>
        <v>9.2099999999999991</v>
      </c>
      <c r="H32" s="7">
        <f>'[11]September Prod'!F31</f>
        <v>9070000</v>
      </c>
      <c r="I32" s="8">
        <f t="shared" si="5"/>
        <v>9.07</v>
      </c>
      <c r="J32" s="10">
        <f t="shared" si="6"/>
        <v>27.844899999999999</v>
      </c>
      <c r="K32" s="7">
        <f>'[11]September Prod'!H279</f>
        <v>1043206</v>
      </c>
      <c r="L32" s="8">
        <f t="shared" si="7"/>
        <v>1.0432060000000001</v>
      </c>
      <c r="M32" s="10">
        <f t="shared" si="8"/>
        <v>3.2026424200000001</v>
      </c>
      <c r="N32" s="21"/>
      <c r="O32" s="7">
        <f>'[11]September Prod'!H31</f>
        <v>4563000</v>
      </c>
      <c r="P32" s="8">
        <f t="shared" si="9"/>
        <v>4.5629999999999997</v>
      </c>
      <c r="Q32" s="10">
        <f t="shared" si="10"/>
        <v>14.008409999999998</v>
      </c>
      <c r="R32" s="7">
        <f>'[11]September Prod'!C31</f>
        <v>4736000</v>
      </c>
      <c r="S32" s="8">
        <f t="shared" si="11"/>
        <v>4.7359999999999998</v>
      </c>
      <c r="T32" s="10">
        <f t="shared" si="12"/>
        <v>14.539519999999998</v>
      </c>
      <c r="U32" s="7">
        <f>'[11]September Prod'!D31</f>
        <v>0</v>
      </c>
      <c r="V32" s="8">
        <f t="shared" si="13"/>
        <v>0</v>
      </c>
      <c r="W32" s="10">
        <f t="shared" si="14"/>
        <v>0</v>
      </c>
      <c r="X32" s="7">
        <f>'[11]September Prod'!D279</f>
        <v>173000.00000000003</v>
      </c>
      <c r="Y32" s="8">
        <f t="shared" si="15"/>
        <v>0.17300000000000004</v>
      </c>
      <c r="Z32" s="10">
        <f t="shared" si="16"/>
        <v>0.53111000000000008</v>
      </c>
      <c r="AA32" s="15"/>
      <c r="AB32" s="7">
        <f t="shared" si="17"/>
        <v>16563000</v>
      </c>
      <c r="AC32" s="8">
        <f t="shared" si="17"/>
        <v>16.562999999999999</v>
      </c>
      <c r="AD32" s="8">
        <f t="shared" si="17"/>
        <v>50.848409999999994</v>
      </c>
      <c r="AF32" s="8">
        <f t="shared" si="19"/>
        <v>0</v>
      </c>
    </row>
    <row r="33" spans="1:32" x14ac:dyDescent="0.2">
      <c r="A33" s="28">
        <v>38624</v>
      </c>
      <c r="B33" s="7">
        <f>'[11]September Prod'!I32</f>
        <v>12300000.000002909</v>
      </c>
      <c r="C33" s="8">
        <f t="shared" si="1"/>
        <v>12.300000000002909</v>
      </c>
      <c r="D33" s="10">
        <f t="shared" si="2"/>
        <v>37.761000000008927</v>
      </c>
      <c r="E33" s="7">
        <f>'[11]September Prod'!E32</f>
        <v>3000000</v>
      </c>
      <c r="F33" s="8">
        <f t="shared" si="3"/>
        <v>3</v>
      </c>
      <c r="G33" s="10">
        <f t="shared" si="4"/>
        <v>9.2099999999999991</v>
      </c>
      <c r="H33" s="7">
        <f>'[11]September Prod'!F32</f>
        <v>8890000</v>
      </c>
      <c r="I33" s="8">
        <f t="shared" si="5"/>
        <v>8.89</v>
      </c>
      <c r="J33" s="10">
        <f t="shared" si="6"/>
        <v>27.292300000000001</v>
      </c>
      <c r="K33" s="7">
        <f>'[11]September Prod'!H280</f>
        <v>1039040</v>
      </c>
      <c r="L33" s="8">
        <f t="shared" si="7"/>
        <v>1.03904</v>
      </c>
      <c r="M33" s="10">
        <f t="shared" si="8"/>
        <v>3.1898527999999997</v>
      </c>
      <c r="N33" s="21"/>
      <c r="O33" s="7">
        <f>'[11]September Prod'!H32</f>
        <v>4456999.9999999991</v>
      </c>
      <c r="P33" s="8">
        <f t="shared" si="9"/>
        <v>4.456999999999999</v>
      </c>
      <c r="Q33" s="10">
        <f t="shared" si="10"/>
        <v>13.682989999999997</v>
      </c>
      <c r="R33" s="7">
        <f>'[11]September Prod'!C32</f>
        <v>4631000</v>
      </c>
      <c r="S33" s="8">
        <f t="shared" si="11"/>
        <v>4.6310000000000002</v>
      </c>
      <c r="T33" s="10">
        <f t="shared" si="12"/>
        <v>14.217169999999999</v>
      </c>
      <c r="U33" s="7">
        <f>'[11]September Prod'!D32</f>
        <v>0</v>
      </c>
      <c r="V33" s="8">
        <f t="shared" si="13"/>
        <v>0</v>
      </c>
      <c r="W33" s="10">
        <f t="shared" si="14"/>
        <v>0</v>
      </c>
      <c r="X33" s="7">
        <f>'[11]September Prod'!D280</f>
        <v>174000.00000000125</v>
      </c>
      <c r="Y33" s="8">
        <f t="shared" si="15"/>
        <v>0.17400000000000126</v>
      </c>
      <c r="Z33" s="10">
        <f t="shared" si="16"/>
        <v>0.53418000000000387</v>
      </c>
      <c r="AA33" s="15"/>
      <c r="AB33" s="7">
        <f t="shared" si="17"/>
        <v>16757000.000002909</v>
      </c>
      <c r="AC33" s="8">
        <f t="shared" si="17"/>
        <v>16.757000000002908</v>
      </c>
      <c r="AD33" s="8">
        <f t="shared" si="17"/>
        <v>51.443990000008924</v>
      </c>
      <c r="AF33" s="8">
        <f t="shared" si="19"/>
        <v>-1.1102230246251565E-15</v>
      </c>
    </row>
    <row r="34" spans="1:32" ht="13.5" thickBot="1" x14ac:dyDescent="0.25">
      <c r="A34" s="28">
        <v>38625</v>
      </c>
      <c r="B34" s="7">
        <f>'[11]September Prod'!I33</f>
        <v>10799999.999999272</v>
      </c>
      <c r="C34" s="8">
        <f t="shared" si="1"/>
        <v>10.799999999999272</v>
      </c>
      <c r="D34" s="10">
        <f t="shared" si="2"/>
        <v>33.155999999997768</v>
      </c>
      <c r="E34" s="7">
        <f>'[11]September Prod'!E33</f>
        <v>3000000</v>
      </c>
      <c r="F34" s="8">
        <f t="shared" si="3"/>
        <v>3</v>
      </c>
      <c r="G34" s="10">
        <f t="shared" si="4"/>
        <v>9.2099999999999991</v>
      </c>
      <c r="H34" s="7">
        <f>'[11]September Prod'!F33</f>
        <v>7280000</v>
      </c>
      <c r="I34" s="8">
        <f t="shared" si="5"/>
        <v>7.28</v>
      </c>
      <c r="J34" s="10">
        <f t="shared" si="6"/>
        <v>22.349599999999999</v>
      </c>
      <c r="K34" s="7">
        <f>'[11]September Prod'!H281</f>
        <v>946083</v>
      </c>
      <c r="L34" s="8">
        <f t="shared" si="7"/>
        <v>0.94608300000000001</v>
      </c>
      <c r="M34" s="10">
        <f t="shared" si="8"/>
        <v>2.90447481</v>
      </c>
      <c r="N34" s="21"/>
      <c r="O34" s="7">
        <f>'[11]September Prod'!H33</f>
        <v>4331000.0000000009</v>
      </c>
      <c r="P34" s="8">
        <f t="shared" si="9"/>
        <v>4.3310000000000013</v>
      </c>
      <c r="Q34" s="10">
        <f t="shared" si="10"/>
        <v>13.296170000000004</v>
      </c>
      <c r="R34" s="7">
        <f>'[11]September Prod'!C33</f>
        <v>4708000</v>
      </c>
      <c r="S34" s="8">
        <f t="shared" si="11"/>
        <v>4.7080000000000002</v>
      </c>
      <c r="T34" s="10">
        <f t="shared" si="12"/>
        <v>14.45356</v>
      </c>
      <c r="U34" s="7">
        <f>'[11]September Prod'!D33</f>
        <v>0</v>
      </c>
      <c r="V34" s="8">
        <f t="shared" si="13"/>
        <v>0</v>
      </c>
      <c r="W34" s="10">
        <f t="shared" si="14"/>
        <v>0</v>
      </c>
      <c r="X34" s="7">
        <f>'[11]September Prod'!D281</f>
        <v>376999.99999999889</v>
      </c>
      <c r="Y34" s="8">
        <f t="shared" si="15"/>
        <v>0.37699999999999889</v>
      </c>
      <c r="Z34" s="10">
        <f t="shared" si="16"/>
        <v>1.1573899999999966</v>
      </c>
      <c r="AA34" s="15"/>
      <c r="AB34" s="7">
        <f t="shared" si="17"/>
        <v>15130999.999999274</v>
      </c>
      <c r="AC34" s="8">
        <f t="shared" si="17"/>
        <v>15.130999999999274</v>
      </c>
      <c r="AD34" s="8">
        <f t="shared" si="17"/>
        <v>46.452169999997771</v>
      </c>
      <c r="AF34" s="8">
        <f t="shared" si="19"/>
        <v>0</v>
      </c>
    </row>
    <row r="35" spans="1:32" ht="13.5" thickBot="1" x14ac:dyDescent="0.25">
      <c r="A35" s="3"/>
      <c r="B35" s="39">
        <f t="shared" ref="B35:I35" si="20">SUM(B5:B34)</f>
        <v>468100000.00000226</v>
      </c>
      <c r="C35" s="40">
        <f t="shared" si="20"/>
        <v>468.10000000000218</v>
      </c>
      <c r="D35" s="40">
        <f t="shared" si="20"/>
        <v>1437.0670000000066</v>
      </c>
      <c r="E35" s="39">
        <f t="shared" si="20"/>
        <v>46000000</v>
      </c>
      <c r="F35" s="40">
        <f t="shared" si="20"/>
        <v>46</v>
      </c>
      <c r="G35" s="40">
        <f t="shared" si="20"/>
        <v>141.21999999999997</v>
      </c>
      <c r="H35" s="39">
        <f t="shared" si="20"/>
        <v>401140000</v>
      </c>
      <c r="I35" s="40">
        <f t="shared" si="20"/>
        <v>401.14</v>
      </c>
      <c r="J35" s="40">
        <f t="shared" ref="J35" si="21">I35*3.07</f>
        <v>1231.4997999999998</v>
      </c>
      <c r="K35" s="39">
        <f>SUM(K5:K34)</f>
        <v>45672144</v>
      </c>
      <c r="L35" s="40">
        <f>SUM(L5:L34)</f>
        <v>45.672144000000003</v>
      </c>
      <c r="M35" s="40">
        <f t="shared" ref="M35" si="22">L35*3.07</f>
        <v>140.21348208000001</v>
      </c>
      <c r="N35" s="14"/>
      <c r="O35" s="39">
        <f>SUM(O5:O34)</f>
        <v>170604000</v>
      </c>
      <c r="P35" s="40">
        <f>SUM(P5:P34)</f>
        <v>170.60399999999996</v>
      </c>
      <c r="Q35" s="40">
        <f t="shared" ref="Q35" si="23">P35*3.07</f>
        <v>523.75427999999988</v>
      </c>
      <c r="R35" s="39"/>
      <c r="S35" s="40">
        <f>SUM(S5:S34)</f>
        <v>179.30700000000002</v>
      </c>
      <c r="T35" s="40">
        <f t="shared" ref="T35" si="24">S35*3.07</f>
        <v>550.47248999999999</v>
      </c>
      <c r="U35" s="39">
        <f>SUM(U5:U34)</f>
        <v>0</v>
      </c>
      <c r="V35" s="40">
        <f>SUM(V5:V34)</f>
        <v>0</v>
      </c>
      <c r="W35" s="40">
        <f t="shared" ref="W35" si="25">V35*3.07</f>
        <v>0</v>
      </c>
      <c r="X35" s="39"/>
      <c r="Y35" s="40">
        <f>SUM(Y5:Y34)</f>
        <v>8.7029999999999994</v>
      </c>
      <c r="Z35" s="40">
        <f t="shared" si="16"/>
        <v>26.718209999999996</v>
      </c>
      <c r="AA35" s="14"/>
      <c r="AB35" s="39">
        <f>B35+O35</f>
        <v>638704000.00000226</v>
      </c>
      <c r="AC35" s="40">
        <f t="shared" si="17"/>
        <v>638.70400000000211</v>
      </c>
      <c r="AD35" s="40">
        <f t="shared" si="17"/>
        <v>1960.8212800000065</v>
      </c>
      <c r="AF35" s="8">
        <f t="shared" si="19"/>
        <v>1.1723955140041653E-13</v>
      </c>
    </row>
    <row r="36" spans="1:32" x14ac:dyDescent="0.2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31"/>
      <c r="AC36" s="31"/>
      <c r="AD36" s="23"/>
      <c r="AF36" s="31"/>
    </row>
    <row r="37" spans="1:32" x14ac:dyDescent="0.2">
      <c r="Q37" s="18"/>
    </row>
    <row r="38" spans="1:32" x14ac:dyDescent="0.2">
      <c r="Q38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F37"/>
  <sheetViews>
    <sheetView tabSelected="1" workbookViewId="0">
      <pane xSplit="1" ySplit="4" topLeftCell="I5" activePane="bottomRight" state="frozen"/>
      <selection pane="topRight" activeCell="B1" sqref="B1"/>
      <selection pane="bottomLeft" activeCell="A5" sqref="A5"/>
      <selection pane="bottomRight" activeCell="AD36" sqref="AD36"/>
    </sheetView>
  </sheetViews>
  <sheetFormatPr defaultRowHeight="12.75" x14ac:dyDescent="0.2"/>
  <cols>
    <col min="2" max="2" width="11" customWidth="1"/>
    <col min="5" max="5" width="11.28515625" customWidth="1"/>
    <col min="8" max="8" width="14.28515625" customWidth="1"/>
    <col min="11" max="11" width="15.42578125" customWidth="1"/>
    <col min="12" max="12" width="10.7109375" customWidth="1"/>
    <col min="13" max="13" width="12.140625" customWidth="1"/>
    <col min="15" max="15" width="11" customWidth="1"/>
    <col min="18" max="18" width="10.7109375" customWidth="1"/>
    <col min="22" max="22" width="10.7109375" customWidth="1"/>
    <col min="28" max="28" width="13.42578125" customWidth="1"/>
  </cols>
  <sheetData>
    <row r="1" spans="1:32" x14ac:dyDescent="0.2">
      <c r="A1" s="25"/>
      <c r="B1" s="42"/>
      <c r="C1" s="43"/>
      <c r="D1" s="43"/>
      <c r="E1" s="26"/>
      <c r="F1" s="26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3.5" thickBot="1" x14ac:dyDescent="0.25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5">
      <c r="A3" s="3"/>
      <c r="B3" s="68" t="s">
        <v>10</v>
      </c>
      <c r="C3" s="69"/>
      <c r="D3" s="70"/>
      <c r="E3" s="68" t="s">
        <v>11</v>
      </c>
      <c r="F3" s="69"/>
      <c r="G3" s="70"/>
      <c r="H3" s="68" t="s">
        <v>12</v>
      </c>
      <c r="I3" s="69"/>
      <c r="J3" s="70"/>
      <c r="K3" s="68" t="s">
        <v>13</v>
      </c>
      <c r="L3" s="69"/>
      <c r="M3" s="70"/>
      <c r="N3" s="19"/>
      <c r="O3" s="68" t="s">
        <v>4</v>
      </c>
      <c r="P3" s="69"/>
      <c r="Q3" s="70"/>
      <c r="R3" s="68" t="s">
        <v>3</v>
      </c>
      <c r="S3" s="69"/>
      <c r="T3" s="70"/>
      <c r="U3" s="68" t="s">
        <v>6</v>
      </c>
      <c r="V3" s="69"/>
      <c r="W3" s="70"/>
      <c r="X3" s="68" t="s">
        <v>7</v>
      </c>
      <c r="Y3" s="69"/>
      <c r="Z3" s="70"/>
      <c r="AA3" s="19"/>
      <c r="AB3" s="65" t="s">
        <v>8</v>
      </c>
      <c r="AC3" s="66"/>
      <c r="AD3" s="67"/>
      <c r="AF3" s="35" t="s">
        <v>9</v>
      </c>
    </row>
    <row r="4" spans="1:32" x14ac:dyDescent="0.2">
      <c r="A4" s="27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2" t="s">
        <v>0</v>
      </c>
      <c r="AC4" s="33" t="s">
        <v>1</v>
      </c>
      <c r="AD4" s="34" t="s">
        <v>2</v>
      </c>
      <c r="AF4" s="5" t="s">
        <v>2</v>
      </c>
    </row>
    <row r="5" spans="1:32" x14ac:dyDescent="0.2">
      <c r="A5" s="28">
        <v>38626</v>
      </c>
      <c r="B5" s="7">
        <f>'[12]Oct Prod'!I4</f>
        <v>12000000</v>
      </c>
      <c r="C5" s="8">
        <f>B5/1000000</f>
        <v>12</v>
      </c>
      <c r="D5" s="10">
        <f>C5*3.07</f>
        <v>36.839999999999996</v>
      </c>
      <c r="E5" s="7">
        <f>'[12]Oct Prod'!E4</f>
        <v>3000000</v>
      </c>
      <c r="F5" s="8">
        <f>E5/1000000</f>
        <v>3</v>
      </c>
      <c r="G5" s="10">
        <f>F5*3.07</f>
        <v>9.2099999999999991</v>
      </c>
      <c r="H5" s="7">
        <f>'[12]Oct Prod'!F4</f>
        <v>8910000</v>
      </c>
      <c r="I5" s="8">
        <f>H5/1000000</f>
        <v>8.91</v>
      </c>
      <c r="J5" s="10">
        <f>I5*3.07</f>
        <v>27.3537</v>
      </c>
      <c r="K5" s="7">
        <f>'[12]Oct Prod'!H259</f>
        <v>1113470</v>
      </c>
      <c r="L5" s="8">
        <f>K5/1000000</f>
        <v>1.11347</v>
      </c>
      <c r="M5" s="10">
        <f>L5*3.07</f>
        <v>3.4183528999999999</v>
      </c>
      <c r="N5" s="21"/>
      <c r="O5" s="7">
        <f>'[12]Oct Prod'!H4</f>
        <v>4378999.9999999991</v>
      </c>
      <c r="P5" s="8">
        <f>O5/1000000</f>
        <v>4.3789999999999987</v>
      </c>
      <c r="Q5" s="10">
        <f>P5*3.07</f>
        <v>13.443529999999996</v>
      </c>
      <c r="R5" s="7">
        <f>'[12]Oct Prod'!C4</f>
        <v>4647000</v>
      </c>
      <c r="S5" s="8">
        <f>R5/1000000</f>
        <v>4.6470000000000002</v>
      </c>
      <c r="T5" s="10">
        <f>S5*3.07</f>
        <v>14.26629</v>
      </c>
      <c r="U5" s="7">
        <f>'[12]Oct Prod'!D4</f>
        <v>0</v>
      </c>
      <c r="V5" s="8">
        <f>U5/1000000</f>
        <v>0</v>
      </c>
      <c r="W5" s="10">
        <f>V5*3.07</f>
        <v>0</v>
      </c>
      <c r="X5" s="7">
        <f>'[12]Oct Prod'!D259</f>
        <v>268000.0000000007</v>
      </c>
      <c r="Y5" s="8">
        <f>X5/1000000</f>
        <v>0.26800000000000068</v>
      </c>
      <c r="Z5" s="10">
        <f>Y5*3.07</f>
        <v>0.82276000000000205</v>
      </c>
      <c r="AA5" s="15"/>
      <c r="AB5" s="7">
        <f>B5+O5</f>
        <v>16379000</v>
      </c>
      <c r="AC5" s="8">
        <f>C5+P5</f>
        <v>16.378999999999998</v>
      </c>
      <c r="AD5" s="8">
        <f>D5+Q5</f>
        <v>50.283529999999992</v>
      </c>
      <c r="AF5" s="8">
        <f>T5-Q5-Z5</f>
        <v>2.1094237467877974E-15</v>
      </c>
    </row>
    <row r="6" spans="1:32" x14ac:dyDescent="0.2">
      <c r="A6" s="28">
        <v>38627</v>
      </c>
      <c r="B6" s="7">
        <f>'[12]Oct Prod'!I5</f>
        <v>15899999.999997817</v>
      </c>
      <c r="C6" s="8">
        <f t="shared" ref="C6:C35" si="0">B6/1000000</f>
        <v>15.899999999997817</v>
      </c>
      <c r="D6" s="10">
        <f t="shared" ref="D6:D35" si="1">C6*3.07</f>
        <v>48.812999999993295</v>
      </c>
      <c r="E6" s="7">
        <f>'[12]Oct Prod'!E5</f>
        <v>3000000</v>
      </c>
      <c r="F6" s="8">
        <f t="shared" ref="F6:F35" si="2">E6/1000000</f>
        <v>3</v>
      </c>
      <c r="G6" s="10">
        <f t="shared" ref="G6:G35" si="3">F6*3.07</f>
        <v>9.2099999999999991</v>
      </c>
      <c r="H6" s="7">
        <f>'[12]Oct Prod'!F5</f>
        <v>11890000</v>
      </c>
      <c r="I6" s="8">
        <f t="shared" ref="I6:I35" si="4">H6/1000000</f>
        <v>11.89</v>
      </c>
      <c r="J6" s="10">
        <f t="shared" ref="J6:J35" si="5">I6*3.07</f>
        <v>36.502299999999998</v>
      </c>
      <c r="K6" s="7">
        <f>'[12]Oct Prod'!H260</f>
        <v>1324435</v>
      </c>
      <c r="L6" s="8">
        <f t="shared" ref="L6:L32" si="6">K6/1000000</f>
        <v>1.324435</v>
      </c>
      <c r="M6" s="10">
        <f t="shared" ref="M6:M32" si="7">L6*3.07</f>
        <v>4.0660154500000001</v>
      </c>
      <c r="N6" s="21"/>
      <c r="O6" s="7">
        <f>'[12]Oct Prod'!H5</f>
        <v>4456000.0000000019</v>
      </c>
      <c r="P6" s="8">
        <f t="shared" ref="P6:P35" si="8">O6/1000000</f>
        <v>4.4560000000000022</v>
      </c>
      <c r="Q6" s="10">
        <f t="shared" ref="Q6:Q35" si="9">P6*3.07</f>
        <v>13.679920000000006</v>
      </c>
      <c r="R6" s="7">
        <f>'[12]Oct Prod'!C5</f>
        <v>4780000</v>
      </c>
      <c r="S6" s="8">
        <f t="shared" ref="S6:S35" si="10">R6/1000000</f>
        <v>4.78</v>
      </c>
      <c r="T6" s="10">
        <f t="shared" ref="T6:T35" si="11">S6*3.07</f>
        <v>14.6746</v>
      </c>
      <c r="U6" s="7">
        <f>'[12]Oct Prod'!D5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'[12]Oct Prod'!D260</f>
        <v>323999.99999999808</v>
      </c>
      <c r="Y6" s="8">
        <f t="shared" ref="Y6:Y35" si="14">X6/1000000</f>
        <v>0.32399999999999807</v>
      </c>
      <c r="Z6" s="10">
        <f t="shared" ref="Z6:Z35" si="15">Y6*3.07</f>
        <v>0.99467999999999401</v>
      </c>
      <c r="AA6" s="15"/>
      <c r="AB6" s="7">
        <f t="shared" ref="AB6:AD35" si="16">B6+O6</f>
        <v>20355999.999997817</v>
      </c>
      <c r="AC6" s="8">
        <f t="shared" si="16"/>
        <v>20.35599999999782</v>
      </c>
      <c r="AD6" s="8">
        <f t="shared" si="16"/>
        <v>62.492919999993305</v>
      </c>
      <c r="AF6" s="8">
        <f>T6-Q6-Z6</f>
        <v>0</v>
      </c>
    </row>
    <row r="7" spans="1:32" x14ac:dyDescent="0.2">
      <c r="A7" s="28">
        <v>38628</v>
      </c>
      <c r="B7" s="7">
        <f>'[12]Oct Prod'!I6</f>
        <v>13300000.000002909</v>
      </c>
      <c r="C7" s="8">
        <f t="shared" si="0"/>
        <v>13.300000000002909</v>
      </c>
      <c r="D7" s="10">
        <f t="shared" si="1"/>
        <v>40.831000000008927</v>
      </c>
      <c r="E7" s="7">
        <f>'[12]Oct Prod'!E6</f>
        <v>3000000</v>
      </c>
      <c r="F7" s="8">
        <f t="shared" si="2"/>
        <v>3</v>
      </c>
      <c r="G7" s="10">
        <f t="shared" si="3"/>
        <v>9.2099999999999991</v>
      </c>
      <c r="H7" s="7">
        <f>'[12]Oct Prod'!F6</f>
        <v>10560000</v>
      </c>
      <c r="I7" s="8">
        <f t="shared" si="4"/>
        <v>10.56</v>
      </c>
      <c r="J7" s="10">
        <f t="shared" si="5"/>
        <v>32.419199999999996</v>
      </c>
      <c r="K7" s="7">
        <f>'[12]Oct Prod'!H261</f>
        <v>1241720</v>
      </c>
      <c r="L7" s="8">
        <f t="shared" si="6"/>
        <v>1.2417199999999999</v>
      </c>
      <c r="M7" s="10">
        <f t="shared" si="7"/>
        <v>3.8120803999999997</v>
      </c>
      <c r="N7" s="21"/>
      <c r="O7" s="7">
        <f>'[12]Oct Prod'!H6</f>
        <v>4394999.9999999991</v>
      </c>
      <c r="P7" s="8">
        <f t="shared" si="8"/>
        <v>4.3949999999999987</v>
      </c>
      <c r="Q7" s="10">
        <f t="shared" si="9"/>
        <v>13.492649999999996</v>
      </c>
      <c r="R7" s="7">
        <f>'[12]Oct Prod'!C6</f>
        <v>4646000</v>
      </c>
      <c r="S7" s="8">
        <f t="shared" si="10"/>
        <v>4.6459999999999999</v>
      </c>
      <c r="T7" s="10">
        <f t="shared" si="11"/>
        <v>14.263219999999999</v>
      </c>
      <c r="U7" s="7">
        <f>'[12]Oct Prod'!D6</f>
        <v>0</v>
      </c>
      <c r="V7" s="8">
        <f t="shared" si="12"/>
        <v>0</v>
      </c>
      <c r="W7" s="10">
        <f t="shared" si="13"/>
        <v>0</v>
      </c>
      <c r="X7" s="7">
        <f>'[12]Oct Prod'!D261</f>
        <v>251000.00000000122</v>
      </c>
      <c r="Y7" s="8">
        <f t="shared" si="14"/>
        <v>0.25100000000000122</v>
      </c>
      <c r="Z7" s="10">
        <f t="shared" si="15"/>
        <v>0.77057000000000375</v>
      </c>
      <c r="AA7" s="15"/>
      <c r="AB7" s="7">
        <f t="shared" si="16"/>
        <v>17695000.000002909</v>
      </c>
      <c r="AC7" s="8">
        <f t="shared" si="16"/>
        <v>17.695000000002906</v>
      </c>
      <c r="AD7" s="8">
        <f t="shared" si="16"/>
        <v>54.323650000008925</v>
      </c>
      <c r="AF7" s="8">
        <f t="shared" ref="AF7:AF14" si="17">T7-Q7-Z7</f>
        <v>-8.8817841970012523E-16</v>
      </c>
    </row>
    <row r="8" spans="1:32" x14ac:dyDescent="0.2">
      <c r="A8" s="28">
        <v>38629</v>
      </c>
      <c r="B8" s="7">
        <f>'[12]Oct Prod'!I7</f>
        <v>8000000</v>
      </c>
      <c r="C8" s="8">
        <f t="shared" si="0"/>
        <v>8</v>
      </c>
      <c r="D8" s="10">
        <f t="shared" si="1"/>
        <v>24.56</v>
      </c>
      <c r="E8" s="7">
        <f>'[12]Oct Prod'!E7</f>
        <v>1000000</v>
      </c>
      <c r="F8" s="8">
        <f t="shared" si="2"/>
        <v>1</v>
      </c>
      <c r="G8" s="10">
        <f t="shared" si="3"/>
        <v>3.07</v>
      </c>
      <c r="H8" s="7">
        <f>'[12]Oct Prod'!F7</f>
        <v>7170000</v>
      </c>
      <c r="I8" s="8">
        <f t="shared" si="4"/>
        <v>7.17</v>
      </c>
      <c r="J8" s="10">
        <f t="shared" si="5"/>
        <v>22.011899999999997</v>
      </c>
      <c r="K8" s="7">
        <f>'[12]Oct Prod'!H262</f>
        <v>709581</v>
      </c>
      <c r="L8" s="8">
        <f t="shared" si="6"/>
        <v>0.70958100000000002</v>
      </c>
      <c r="M8" s="10">
        <f t="shared" si="7"/>
        <v>2.1784136699999999</v>
      </c>
      <c r="N8" s="21"/>
      <c r="O8" s="7">
        <f>'[12]Oct Prod'!H7</f>
        <v>4466000</v>
      </c>
      <c r="P8" s="8">
        <f t="shared" si="8"/>
        <v>4.4660000000000002</v>
      </c>
      <c r="Q8" s="10">
        <f t="shared" si="9"/>
        <v>13.71062</v>
      </c>
      <c r="R8" s="7">
        <f>'[12]Oct Prod'!C7</f>
        <v>4745000</v>
      </c>
      <c r="S8" s="8">
        <f t="shared" si="10"/>
        <v>4.7450000000000001</v>
      </c>
      <c r="T8" s="10">
        <f t="shared" si="11"/>
        <v>14.56715</v>
      </c>
      <c r="U8" s="7">
        <f>'[12]Oct Prod'!D7</f>
        <v>0</v>
      </c>
      <c r="V8" s="8">
        <f t="shared" si="12"/>
        <v>0</v>
      </c>
      <c r="W8" s="10">
        <f t="shared" si="13"/>
        <v>0</v>
      </c>
      <c r="X8" s="7">
        <f>'[12]Oct Prod'!D262</f>
        <v>278999.99999999994</v>
      </c>
      <c r="Y8" s="8">
        <f t="shared" si="14"/>
        <v>0.27899999999999991</v>
      </c>
      <c r="Z8" s="10">
        <f t="shared" si="15"/>
        <v>0.85652999999999968</v>
      </c>
      <c r="AA8" s="15"/>
      <c r="AB8" s="7">
        <f t="shared" si="16"/>
        <v>12466000</v>
      </c>
      <c r="AC8" s="8">
        <f t="shared" si="16"/>
        <v>12.466000000000001</v>
      </c>
      <c r="AD8" s="8">
        <f>D8+Q8</f>
        <v>38.270620000000001</v>
      </c>
      <c r="AF8" s="8">
        <f t="shared" si="17"/>
        <v>0</v>
      </c>
    </row>
    <row r="9" spans="1:32" x14ac:dyDescent="0.2">
      <c r="A9" s="28">
        <v>38630</v>
      </c>
      <c r="B9" s="7">
        <f>'[12]Oct Prod'!I8</f>
        <v>6899999.999997817</v>
      </c>
      <c r="C9" s="8">
        <f t="shared" si="0"/>
        <v>6.8999999999978172</v>
      </c>
      <c r="D9" s="10">
        <f t="shared" si="1"/>
        <v>21.182999999993299</v>
      </c>
      <c r="E9" s="7">
        <f>'[12]Oct Prod'!E8</f>
        <v>0</v>
      </c>
      <c r="F9" s="8">
        <f t="shared" si="2"/>
        <v>0</v>
      </c>
      <c r="G9" s="10">
        <f t="shared" si="3"/>
        <v>0</v>
      </c>
      <c r="H9" s="7">
        <f>'[12]Oct Prod'!F8</f>
        <v>6090000</v>
      </c>
      <c r="I9" s="8">
        <f t="shared" si="4"/>
        <v>6.09</v>
      </c>
      <c r="J9" s="10">
        <f t="shared" si="5"/>
        <v>18.696299999999997</v>
      </c>
      <c r="K9" s="7">
        <f>'[12]Oct Prod'!H263</f>
        <v>601467</v>
      </c>
      <c r="L9" s="8">
        <f t="shared" si="6"/>
        <v>0.60146699999999997</v>
      </c>
      <c r="M9" s="10">
        <f t="shared" si="7"/>
        <v>1.8465036899999998</v>
      </c>
      <c r="N9" s="21"/>
      <c r="O9" s="7">
        <f>'[12]Oct Prod'!H8</f>
        <v>4368000</v>
      </c>
      <c r="P9" s="8">
        <f t="shared" si="8"/>
        <v>4.3680000000000003</v>
      </c>
      <c r="Q9" s="10">
        <f t="shared" si="9"/>
        <v>13.40976</v>
      </c>
      <c r="R9" s="7">
        <f>'[12]Oct Prod'!C8</f>
        <v>4653000</v>
      </c>
      <c r="S9" s="8">
        <f t="shared" si="10"/>
        <v>4.6529999999999996</v>
      </c>
      <c r="T9" s="10">
        <f t="shared" si="11"/>
        <v>14.284709999999999</v>
      </c>
      <c r="U9" s="7">
        <f>'[12]Oct Prod'!D8</f>
        <v>0</v>
      </c>
      <c r="V9" s="8">
        <f t="shared" si="12"/>
        <v>0</v>
      </c>
      <c r="W9" s="10">
        <f t="shared" si="13"/>
        <v>0</v>
      </c>
      <c r="X9" s="7">
        <f>'[12]Oct Prod'!D263</f>
        <v>285000.00000000012</v>
      </c>
      <c r="Y9" s="8">
        <f t="shared" si="14"/>
        <v>0.28500000000000014</v>
      </c>
      <c r="Z9" s="10">
        <f t="shared" si="15"/>
        <v>0.87495000000000034</v>
      </c>
      <c r="AA9" s="15"/>
      <c r="AB9" s="7">
        <f t="shared" si="16"/>
        <v>11267999.999997817</v>
      </c>
      <c r="AC9" s="8">
        <f t="shared" si="16"/>
        <v>11.267999999997818</v>
      </c>
      <c r="AD9" s="8">
        <f t="shared" si="16"/>
        <v>34.592759999993298</v>
      </c>
      <c r="AF9" s="8">
        <f t="shared" si="17"/>
        <v>-1.9984014443252818E-15</v>
      </c>
    </row>
    <row r="10" spans="1:32" x14ac:dyDescent="0.2">
      <c r="A10" s="28">
        <v>38631</v>
      </c>
      <c r="B10" s="7">
        <f>'[12]Oct Prod'!I9</f>
        <v>8500000</v>
      </c>
      <c r="C10" s="8">
        <f t="shared" si="0"/>
        <v>8.5</v>
      </c>
      <c r="D10" s="10">
        <f t="shared" si="1"/>
        <v>26.094999999999999</v>
      </c>
      <c r="E10" s="7">
        <f>'[12]Oct Prod'!E9</f>
        <v>1000000</v>
      </c>
      <c r="F10" s="8">
        <f t="shared" si="2"/>
        <v>1</v>
      </c>
      <c r="G10" s="10">
        <f t="shared" si="3"/>
        <v>3.07</v>
      </c>
      <c r="H10" s="7">
        <f>'[12]Oct Prod'!F9</f>
        <v>7070000</v>
      </c>
      <c r="I10" s="8">
        <f t="shared" si="4"/>
        <v>7.07</v>
      </c>
      <c r="J10" s="10">
        <f t="shared" si="5"/>
        <v>21.704899999999999</v>
      </c>
      <c r="K10" s="7">
        <f>'[12]Oct Prod'!H264</f>
        <v>817746</v>
      </c>
      <c r="L10" s="8">
        <f t="shared" si="6"/>
        <v>0.81774599999999997</v>
      </c>
      <c r="M10" s="10">
        <f t="shared" si="7"/>
        <v>2.5104802199999998</v>
      </c>
      <c r="N10" s="21"/>
      <c r="O10" s="7">
        <f>'[12]Oct Prod'!H9</f>
        <v>4232999.9999999991</v>
      </c>
      <c r="P10" s="8">
        <f t="shared" si="8"/>
        <v>4.2329999999999988</v>
      </c>
      <c r="Q10" s="10">
        <f t="shared" si="9"/>
        <v>12.995309999999996</v>
      </c>
      <c r="R10" s="7">
        <f>'[12]Oct Prod'!C9</f>
        <v>4734000</v>
      </c>
      <c r="S10" s="8">
        <f t="shared" si="10"/>
        <v>4.734</v>
      </c>
      <c r="T10" s="10">
        <f t="shared" si="11"/>
        <v>14.533379999999999</v>
      </c>
      <c r="U10" s="7">
        <f>'[12]Oct Prod'!D9</f>
        <v>0</v>
      </c>
      <c r="V10" s="8">
        <f t="shared" si="12"/>
        <v>0</v>
      </c>
      <c r="W10" s="10">
        <f t="shared" si="13"/>
        <v>0</v>
      </c>
      <c r="X10" s="7">
        <f>'[12]Oct Prod'!D264</f>
        <v>501000.00000000122</v>
      </c>
      <c r="Y10" s="8">
        <f t="shared" si="14"/>
        <v>0.50100000000000122</v>
      </c>
      <c r="Z10" s="10">
        <f t="shared" si="15"/>
        <v>1.5380700000000036</v>
      </c>
      <c r="AA10" s="15"/>
      <c r="AB10" s="7">
        <f t="shared" si="16"/>
        <v>12733000</v>
      </c>
      <c r="AC10" s="8">
        <f t="shared" si="16"/>
        <v>12.732999999999999</v>
      </c>
      <c r="AD10" s="8">
        <f t="shared" si="16"/>
        <v>39.090309999999995</v>
      </c>
      <c r="AF10" s="8">
        <f t="shared" si="17"/>
        <v>0</v>
      </c>
    </row>
    <row r="11" spans="1:32" x14ac:dyDescent="0.2">
      <c r="A11" s="28">
        <v>38632</v>
      </c>
      <c r="B11" s="7">
        <f>'[12]Oct Prod'!I10</f>
        <v>15799999.999999272</v>
      </c>
      <c r="C11" s="8">
        <f t="shared" si="0"/>
        <v>15.799999999999272</v>
      </c>
      <c r="D11" s="10">
        <f t="shared" si="1"/>
        <v>48.505999999997762</v>
      </c>
      <c r="E11" s="7">
        <f>'[12]Oct Prod'!E10</f>
        <v>3000000</v>
      </c>
      <c r="F11" s="8">
        <f t="shared" si="2"/>
        <v>3</v>
      </c>
      <c r="G11" s="10">
        <f t="shared" si="3"/>
        <v>9.2099999999999991</v>
      </c>
      <c r="H11" s="7">
        <f>'[12]Oct Prod'!F10</f>
        <v>11910000</v>
      </c>
      <c r="I11" s="8">
        <f t="shared" si="4"/>
        <v>11.91</v>
      </c>
      <c r="J11" s="10">
        <f t="shared" si="5"/>
        <v>36.563699999999997</v>
      </c>
      <c r="K11" s="7">
        <f>'[12]Oct Prod'!H265</f>
        <v>1578185</v>
      </c>
      <c r="L11" s="8">
        <f t="shared" si="6"/>
        <v>1.5781849999999999</v>
      </c>
      <c r="M11" s="10">
        <f t="shared" si="7"/>
        <v>4.8450279499999995</v>
      </c>
      <c r="N11" s="21"/>
      <c r="O11" s="7">
        <f>'[12]Oct Prod'!H10</f>
        <v>203000</v>
      </c>
      <c r="P11" s="8">
        <f t="shared" si="8"/>
        <v>0.20300000000000001</v>
      </c>
      <c r="Q11" s="10">
        <f t="shared" si="9"/>
        <v>0.62321000000000004</v>
      </c>
      <c r="R11" s="7">
        <f>'[12]Oct Prod'!C10</f>
        <v>203000</v>
      </c>
      <c r="S11" s="8">
        <f t="shared" si="10"/>
        <v>0.20300000000000001</v>
      </c>
      <c r="T11" s="10">
        <f t="shared" si="11"/>
        <v>0.62321000000000004</v>
      </c>
      <c r="U11" s="7">
        <f>'[12]Oct Prod'!D10</f>
        <v>0</v>
      </c>
      <c r="V11" s="8">
        <f t="shared" si="12"/>
        <v>0</v>
      </c>
      <c r="W11" s="10">
        <f t="shared" si="13"/>
        <v>0</v>
      </c>
      <c r="X11" s="7">
        <f>'[12]Oct Prod'!D265</f>
        <v>0</v>
      </c>
      <c r="Y11" s="8">
        <f t="shared" si="14"/>
        <v>0</v>
      </c>
      <c r="Z11" s="10">
        <f t="shared" si="15"/>
        <v>0</v>
      </c>
      <c r="AA11" s="15"/>
      <c r="AB11" s="7">
        <f t="shared" si="16"/>
        <v>16002999.999999272</v>
      </c>
      <c r="AC11" s="8">
        <f t="shared" si="16"/>
        <v>16.002999999999272</v>
      </c>
      <c r="AD11" s="8">
        <f t="shared" si="16"/>
        <v>49.129209999997762</v>
      </c>
      <c r="AF11" s="8">
        <f t="shared" si="17"/>
        <v>0</v>
      </c>
    </row>
    <row r="12" spans="1:32" x14ac:dyDescent="0.2">
      <c r="A12" s="28">
        <v>38633</v>
      </c>
      <c r="B12" s="7">
        <f>'[12]Oct Prod'!I11</f>
        <v>15400000.000001455</v>
      </c>
      <c r="C12" s="8">
        <f t="shared" si="0"/>
        <v>15.400000000001455</v>
      </c>
      <c r="D12" s="10">
        <f t="shared" si="1"/>
        <v>47.278000000004468</v>
      </c>
      <c r="E12" s="7">
        <f>'[12]Oct Prod'!E11</f>
        <v>4000000</v>
      </c>
      <c r="F12" s="8">
        <f t="shared" si="2"/>
        <v>4</v>
      </c>
      <c r="G12" s="10">
        <f t="shared" si="3"/>
        <v>12.28</v>
      </c>
      <c r="H12" s="7">
        <f>'[12]Oct Prod'!F11</f>
        <v>11800000</v>
      </c>
      <c r="I12" s="8">
        <f t="shared" si="4"/>
        <v>11.8</v>
      </c>
      <c r="J12" s="10">
        <f t="shared" si="5"/>
        <v>36.225999999999999</v>
      </c>
      <c r="K12" s="7">
        <f>'[12]Oct Prod'!H266</f>
        <v>1384218</v>
      </c>
      <c r="L12" s="8">
        <f t="shared" si="6"/>
        <v>1.3842179999999999</v>
      </c>
      <c r="M12" s="10">
        <f t="shared" si="7"/>
        <v>4.2495492599999993</v>
      </c>
      <c r="N12" s="21"/>
      <c r="O12" s="7">
        <f>'[12]Oct Prod'!H11</f>
        <v>0</v>
      </c>
      <c r="P12" s="8">
        <f t="shared" si="8"/>
        <v>0</v>
      </c>
      <c r="Q12" s="10">
        <f t="shared" si="9"/>
        <v>0</v>
      </c>
      <c r="R12" s="7">
        <f>'[12]Oct Prod'!C11</f>
        <v>0</v>
      </c>
      <c r="S12" s="8">
        <f t="shared" si="10"/>
        <v>0</v>
      </c>
      <c r="T12" s="10">
        <f t="shared" si="11"/>
        <v>0</v>
      </c>
      <c r="U12" s="7">
        <f>'[12]Oct Prod'!D11</f>
        <v>0</v>
      </c>
      <c r="V12" s="8">
        <f t="shared" si="12"/>
        <v>0</v>
      </c>
      <c r="W12" s="10">
        <f t="shared" si="13"/>
        <v>0</v>
      </c>
      <c r="X12" s="7">
        <f>'[12]Oct Prod'!D266</f>
        <v>0</v>
      </c>
      <c r="Y12" s="8">
        <f t="shared" si="14"/>
        <v>0</v>
      </c>
      <c r="Z12" s="10">
        <f t="shared" si="15"/>
        <v>0</v>
      </c>
      <c r="AA12" s="15"/>
      <c r="AB12" s="7">
        <f t="shared" si="16"/>
        <v>15400000.000001455</v>
      </c>
      <c r="AC12" s="8">
        <f t="shared" si="16"/>
        <v>15.400000000001455</v>
      </c>
      <c r="AD12" s="8">
        <f t="shared" si="16"/>
        <v>47.278000000004468</v>
      </c>
      <c r="AF12" s="8">
        <f t="shared" si="17"/>
        <v>0</v>
      </c>
    </row>
    <row r="13" spans="1:32" x14ac:dyDescent="0.2">
      <c r="A13" s="28">
        <v>38634</v>
      </c>
      <c r="B13" s="7">
        <f>'[12]Oct Prod'!I12</f>
        <v>12299999.999999272</v>
      </c>
      <c r="C13" s="8">
        <f t="shared" si="0"/>
        <v>12.299999999999272</v>
      </c>
      <c r="D13" s="10">
        <f t="shared" si="1"/>
        <v>37.760999999997765</v>
      </c>
      <c r="E13" s="7">
        <f>'[12]Oct Prod'!E12</f>
        <v>3000000</v>
      </c>
      <c r="F13" s="8">
        <f t="shared" si="2"/>
        <v>3</v>
      </c>
      <c r="G13" s="10">
        <f t="shared" si="3"/>
        <v>9.2099999999999991</v>
      </c>
      <c r="H13" s="7">
        <f>'[12]Oct Prod'!F12</f>
        <v>9650000</v>
      </c>
      <c r="I13" s="8">
        <f t="shared" si="4"/>
        <v>9.65</v>
      </c>
      <c r="J13" s="10">
        <f t="shared" si="5"/>
        <v>29.625499999999999</v>
      </c>
      <c r="K13" s="7">
        <f>'[12]Oct Prod'!H267</f>
        <v>1093587</v>
      </c>
      <c r="L13" s="8">
        <f t="shared" si="6"/>
        <v>1.0935870000000001</v>
      </c>
      <c r="M13" s="10">
        <f t="shared" si="7"/>
        <v>3.3573120900000002</v>
      </c>
      <c r="N13" s="21"/>
      <c r="O13" s="7">
        <f>'[12]Oct Prod'!H12</f>
        <v>0</v>
      </c>
      <c r="P13" s="8">
        <f t="shared" si="8"/>
        <v>0</v>
      </c>
      <c r="Q13" s="10">
        <f t="shared" si="9"/>
        <v>0</v>
      </c>
      <c r="R13" s="7">
        <f>'[12]Oct Prod'!C12</f>
        <v>0</v>
      </c>
      <c r="S13" s="8">
        <f t="shared" si="10"/>
        <v>0</v>
      </c>
      <c r="T13" s="10">
        <f t="shared" si="11"/>
        <v>0</v>
      </c>
      <c r="U13" s="7">
        <f>'[12]Oct Prod'!D12</f>
        <v>0</v>
      </c>
      <c r="V13" s="8">
        <f t="shared" si="12"/>
        <v>0</v>
      </c>
      <c r="W13" s="10">
        <f t="shared" si="13"/>
        <v>0</v>
      </c>
      <c r="X13" s="7">
        <f>'[12]Oct Prod'!D267</f>
        <v>154999.99999999758</v>
      </c>
      <c r="Y13" s="8">
        <f t="shared" si="14"/>
        <v>0.15499999999999758</v>
      </c>
      <c r="Z13" s="10">
        <f t="shared" si="15"/>
        <v>0.47584999999999256</v>
      </c>
      <c r="AA13" s="15"/>
      <c r="AB13" s="7">
        <f t="shared" si="16"/>
        <v>12299999.999999272</v>
      </c>
      <c r="AC13" s="8">
        <f t="shared" si="16"/>
        <v>12.299999999999272</v>
      </c>
      <c r="AD13" s="8">
        <f t="shared" si="16"/>
        <v>37.760999999997765</v>
      </c>
      <c r="AF13" s="8">
        <f t="shared" si="17"/>
        <v>-0.47584999999999256</v>
      </c>
    </row>
    <row r="14" spans="1:32" x14ac:dyDescent="0.2">
      <c r="A14" s="28">
        <v>38635</v>
      </c>
      <c r="B14" s="7">
        <f>'[12]Oct Prod'!I13</f>
        <v>17799999.999999274</v>
      </c>
      <c r="C14" s="8">
        <f t="shared" si="0"/>
        <v>17.799999999999272</v>
      </c>
      <c r="D14" s="10">
        <f t="shared" si="1"/>
        <v>54.645999999997763</v>
      </c>
      <c r="E14" s="7">
        <f>'[12]Oct Prod'!E13</f>
        <v>3000000</v>
      </c>
      <c r="F14" s="8">
        <f t="shared" si="2"/>
        <v>3</v>
      </c>
      <c r="G14" s="10">
        <f t="shared" si="3"/>
        <v>9.2099999999999991</v>
      </c>
      <c r="H14" s="7">
        <f>'[12]Oct Prod'!F13</f>
        <v>13630000</v>
      </c>
      <c r="I14" s="8">
        <f t="shared" si="4"/>
        <v>13.63</v>
      </c>
      <c r="J14" s="10">
        <f t="shared" si="5"/>
        <v>41.844099999999997</v>
      </c>
      <c r="K14" s="7">
        <f>'[12]Oct Prod'!H268</f>
        <v>1427980</v>
      </c>
      <c r="L14" s="8">
        <f t="shared" si="6"/>
        <v>1.42798</v>
      </c>
      <c r="M14" s="10">
        <f t="shared" si="7"/>
        <v>4.3838986000000002</v>
      </c>
      <c r="N14" s="21"/>
      <c r="O14" s="7">
        <f>'[12]Oct Prod'!H13</f>
        <v>0</v>
      </c>
      <c r="P14" s="8">
        <f t="shared" si="8"/>
        <v>0</v>
      </c>
      <c r="Q14" s="10">
        <f t="shared" si="9"/>
        <v>0</v>
      </c>
      <c r="R14" s="7">
        <f>'[12]Oct Prod'!C13</f>
        <v>0</v>
      </c>
      <c r="S14" s="8">
        <f t="shared" si="10"/>
        <v>0</v>
      </c>
      <c r="T14" s="10">
        <f t="shared" si="11"/>
        <v>0</v>
      </c>
      <c r="U14" s="7">
        <f>'[12]Oct Prod'!D13</f>
        <v>0</v>
      </c>
      <c r="V14" s="8">
        <f t="shared" ref="V14:V16" si="18">U14/1000000</f>
        <v>0</v>
      </c>
      <c r="W14" s="10">
        <f t="shared" ref="W14:W16" si="19">V14*3.07</f>
        <v>0</v>
      </c>
      <c r="X14" s="7">
        <f>'[12]Oct Prod'!D268</f>
        <v>-999.99999999766942</v>
      </c>
      <c r="Y14" s="8">
        <f t="shared" si="14"/>
        <v>-9.9999999999766942E-4</v>
      </c>
      <c r="Z14" s="10">
        <f t="shared" si="15"/>
        <v>-3.0699999999928449E-3</v>
      </c>
      <c r="AA14" s="15"/>
      <c r="AB14" s="7">
        <f t="shared" si="16"/>
        <v>17799999.999999274</v>
      </c>
      <c r="AC14" s="8">
        <f t="shared" si="16"/>
        <v>17.799999999999272</v>
      </c>
      <c r="AD14" s="8">
        <f t="shared" si="16"/>
        <v>54.645999999997763</v>
      </c>
      <c r="AF14" s="8">
        <f t="shared" si="17"/>
        <v>3.0699999999928449E-3</v>
      </c>
    </row>
    <row r="15" spans="1:32" x14ac:dyDescent="0.2">
      <c r="A15" s="28">
        <v>38636</v>
      </c>
      <c r="B15" s="7">
        <f>'[12]Oct Prod'!I14</f>
        <v>12800000.000002909</v>
      </c>
      <c r="C15" s="8">
        <f t="shared" si="0"/>
        <v>12.800000000002909</v>
      </c>
      <c r="D15" s="10">
        <f t="shared" si="1"/>
        <v>39.296000000008931</v>
      </c>
      <c r="E15" s="7">
        <f>'[12]Oct Prod'!E14</f>
        <v>3000000</v>
      </c>
      <c r="F15" s="8">
        <f t="shared" si="2"/>
        <v>3</v>
      </c>
      <c r="G15" s="10">
        <f t="shared" si="3"/>
        <v>9.2099999999999991</v>
      </c>
      <c r="H15" s="7">
        <f>'[12]Oct Prod'!F14</f>
        <v>9750000</v>
      </c>
      <c r="I15" s="8">
        <f t="shared" si="4"/>
        <v>9.75</v>
      </c>
      <c r="J15" s="10">
        <f t="shared" si="5"/>
        <v>29.932499999999997</v>
      </c>
      <c r="K15" s="7">
        <f>'[12]Oct Prod'!H269</f>
        <v>1090414</v>
      </c>
      <c r="L15" s="8">
        <f t="shared" si="6"/>
        <v>1.090414</v>
      </c>
      <c r="M15" s="10">
        <f t="shared" si="7"/>
        <v>3.34757098</v>
      </c>
      <c r="N15" s="21"/>
      <c r="O15" s="7">
        <f>'[12]Oct Prod'!H14</f>
        <v>0</v>
      </c>
      <c r="P15" s="8">
        <f t="shared" si="8"/>
        <v>0</v>
      </c>
      <c r="Q15" s="10">
        <f t="shared" si="9"/>
        <v>0</v>
      </c>
      <c r="R15" s="7">
        <f>'[12]Oct Prod'!C14</f>
        <v>0</v>
      </c>
      <c r="S15" s="8">
        <f t="shared" si="10"/>
        <v>0</v>
      </c>
      <c r="T15" s="10">
        <f t="shared" si="11"/>
        <v>0</v>
      </c>
      <c r="U15" s="7">
        <f>'[12]Oct Prod'!D14</f>
        <v>0</v>
      </c>
      <c r="V15" s="8">
        <f t="shared" si="18"/>
        <v>0</v>
      </c>
      <c r="W15" s="10">
        <f t="shared" si="19"/>
        <v>0</v>
      </c>
      <c r="X15" s="7">
        <f>'[12]Oct Prod'!D269</f>
        <v>532999.99999999767</v>
      </c>
      <c r="Y15" s="8">
        <f t="shared" si="14"/>
        <v>0.5329999999999977</v>
      </c>
      <c r="Z15" s="10">
        <f t="shared" si="15"/>
        <v>1.6363099999999928</v>
      </c>
      <c r="AA15" s="15"/>
      <c r="AB15" s="7">
        <f t="shared" si="16"/>
        <v>12800000.000002909</v>
      </c>
      <c r="AC15" s="8">
        <f t="shared" si="16"/>
        <v>12.800000000002909</v>
      </c>
      <c r="AD15" s="8">
        <f t="shared" si="16"/>
        <v>39.296000000008931</v>
      </c>
      <c r="AF15" s="8">
        <f>T15-Q15-Z15</f>
        <v>-1.6363099999999928</v>
      </c>
    </row>
    <row r="16" spans="1:32" x14ac:dyDescent="0.2">
      <c r="A16" s="28">
        <v>38637</v>
      </c>
      <c r="B16" s="7">
        <f>'[12]Oct Prod'!I15</f>
        <v>13000000</v>
      </c>
      <c r="C16" s="8">
        <f t="shared" si="0"/>
        <v>13</v>
      </c>
      <c r="D16" s="10">
        <f t="shared" si="1"/>
        <v>39.909999999999997</v>
      </c>
      <c r="E16" s="7">
        <f>'[12]Oct Prod'!E15</f>
        <v>3000000</v>
      </c>
      <c r="F16" s="8">
        <f t="shared" si="2"/>
        <v>3</v>
      </c>
      <c r="G16" s="10">
        <f t="shared" si="3"/>
        <v>9.2099999999999991</v>
      </c>
      <c r="H16" s="7">
        <f>'[12]Oct Prod'!F15</f>
        <v>9910000</v>
      </c>
      <c r="I16" s="8">
        <f t="shared" si="4"/>
        <v>9.91</v>
      </c>
      <c r="J16" s="10">
        <f t="shared" si="5"/>
        <v>30.4237</v>
      </c>
      <c r="K16" s="7">
        <f>'[12]Oct Prod'!H270</f>
        <v>1117590</v>
      </c>
      <c r="L16" s="8">
        <f t="shared" ref="L16:L20" si="20">K16/1000000</f>
        <v>1.1175900000000001</v>
      </c>
      <c r="M16" s="10">
        <f t="shared" ref="M16:M20" si="21">L16*3.07</f>
        <v>3.4310013000000001</v>
      </c>
      <c r="N16" s="21"/>
      <c r="O16" s="7">
        <f>'[12]Oct Prod'!H15</f>
        <v>0</v>
      </c>
      <c r="P16" s="8">
        <f t="shared" si="8"/>
        <v>0</v>
      </c>
      <c r="Q16" s="10">
        <f t="shared" si="9"/>
        <v>0</v>
      </c>
      <c r="R16" s="7">
        <f>'[12]Oct Prod'!C15</f>
        <v>0</v>
      </c>
      <c r="S16" s="8">
        <f t="shared" si="10"/>
        <v>0</v>
      </c>
      <c r="T16" s="10">
        <f t="shared" si="11"/>
        <v>0</v>
      </c>
      <c r="U16" s="7">
        <f>'[12]Oct Prod'!D15</f>
        <v>0</v>
      </c>
      <c r="V16" s="8">
        <f t="shared" si="18"/>
        <v>0</v>
      </c>
      <c r="W16" s="10">
        <f t="shared" si="19"/>
        <v>0</v>
      </c>
      <c r="X16" s="7">
        <f>'[12]Oct Prod'!D270</f>
        <v>73000.000000000393</v>
      </c>
      <c r="Y16" s="8">
        <f t="shared" si="14"/>
        <v>7.3000000000000398E-2</v>
      </c>
      <c r="Z16" s="10">
        <f t="shared" si="15"/>
        <v>0.2241100000000012</v>
      </c>
      <c r="AA16" s="15"/>
      <c r="AB16" s="7">
        <f t="shared" si="16"/>
        <v>13000000</v>
      </c>
      <c r="AC16" s="8">
        <f t="shared" si="16"/>
        <v>13</v>
      </c>
      <c r="AD16" s="8">
        <f t="shared" si="16"/>
        <v>39.909999999999997</v>
      </c>
      <c r="AF16" s="8">
        <f>T16-Q16-Z16</f>
        <v>-0.2241100000000012</v>
      </c>
    </row>
    <row r="17" spans="1:32" x14ac:dyDescent="0.2">
      <c r="A17" s="28">
        <v>38638</v>
      </c>
      <c r="B17" s="7">
        <f>'[12]Oct Prod'!I16</f>
        <v>14699999.999997091</v>
      </c>
      <c r="C17" s="8">
        <f t="shared" si="0"/>
        <v>14.699999999997091</v>
      </c>
      <c r="D17" s="10">
        <f t="shared" si="1"/>
        <v>45.128999999991066</v>
      </c>
      <c r="E17" s="7">
        <f>'[12]Oct Prod'!E16</f>
        <v>3000000</v>
      </c>
      <c r="F17" s="8">
        <f t="shared" si="2"/>
        <v>3</v>
      </c>
      <c r="G17" s="10">
        <f t="shared" si="3"/>
        <v>9.2099999999999991</v>
      </c>
      <c r="H17" s="7">
        <f>'[12]Oct Prod'!F16</f>
        <v>11220000</v>
      </c>
      <c r="I17" s="8">
        <f t="shared" si="4"/>
        <v>11.22</v>
      </c>
      <c r="J17" s="10">
        <f t="shared" si="5"/>
        <v>34.445399999999999</v>
      </c>
      <c r="K17" s="7">
        <f>'[12]Oct Prod'!H271</f>
        <v>1212770</v>
      </c>
      <c r="L17" s="8">
        <f t="shared" si="20"/>
        <v>1.2127699999999999</v>
      </c>
      <c r="M17" s="10">
        <f t="shared" si="21"/>
        <v>3.7232038999999997</v>
      </c>
      <c r="N17" s="21"/>
      <c r="O17" s="7">
        <f>'[12]Oct Prod'!H16</f>
        <v>0</v>
      </c>
      <c r="P17" s="8">
        <f t="shared" si="8"/>
        <v>0</v>
      </c>
      <c r="Q17" s="10">
        <f t="shared" si="9"/>
        <v>0</v>
      </c>
      <c r="R17" s="7">
        <f>'[12]Oct Prod'!C16</f>
        <v>0</v>
      </c>
      <c r="S17" s="8">
        <f t="shared" si="10"/>
        <v>0</v>
      </c>
      <c r="T17" s="10">
        <f t="shared" si="11"/>
        <v>0</v>
      </c>
      <c r="U17" s="7">
        <f>'[12]Oct Prod'!D16</f>
        <v>0</v>
      </c>
      <c r="V17" s="8">
        <f t="shared" si="12"/>
        <v>0</v>
      </c>
      <c r="W17" s="10">
        <f t="shared" si="13"/>
        <v>0</v>
      </c>
      <c r="X17" s="7">
        <f>'[12]Oct Prod'!D271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14699999.999997091</v>
      </c>
      <c r="AC17" s="8">
        <f t="shared" si="16"/>
        <v>14.699999999997091</v>
      </c>
      <c r="AD17" s="8">
        <f t="shared" si="16"/>
        <v>45.128999999991066</v>
      </c>
      <c r="AF17" s="8">
        <f>T17-Q17-Z17</f>
        <v>0</v>
      </c>
    </row>
    <row r="18" spans="1:32" x14ac:dyDescent="0.2">
      <c r="A18" s="28">
        <v>38639</v>
      </c>
      <c r="B18" s="7">
        <f>'[12]Oct Prod'!I17</f>
        <v>13300000.000002909</v>
      </c>
      <c r="C18" s="8">
        <f t="shared" si="0"/>
        <v>13.300000000002909</v>
      </c>
      <c r="D18" s="10">
        <f t="shared" si="1"/>
        <v>40.831000000008927</v>
      </c>
      <c r="E18" s="7">
        <f>'[12]Oct Prod'!E17</f>
        <v>3000000</v>
      </c>
      <c r="F18" s="8">
        <f t="shared" si="2"/>
        <v>3</v>
      </c>
      <c r="G18" s="10">
        <f t="shared" si="3"/>
        <v>9.2099999999999991</v>
      </c>
      <c r="H18" s="7">
        <f>'[12]Oct Prod'!F17</f>
        <v>9900000</v>
      </c>
      <c r="I18" s="8">
        <f t="shared" si="4"/>
        <v>9.9</v>
      </c>
      <c r="J18" s="10">
        <f t="shared" si="5"/>
        <v>30.393000000000001</v>
      </c>
      <c r="K18" s="7">
        <f>'[12]Oct Prod'!H272</f>
        <v>1191791</v>
      </c>
      <c r="L18" s="8">
        <f t="shared" si="20"/>
        <v>1.191791</v>
      </c>
      <c r="M18" s="10">
        <f t="shared" si="21"/>
        <v>3.65879837</v>
      </c>
      <c r="N18" s="21"/>
      <c r="O18" s="7">
        <f>'[12]Oct Prod'!H17</f>
        <v>0</v>
      </c>
      <c r="P18" s="8">
        <f t="shared" si="8"/>
        <v>0</v>
      </c>
      <c r="Q18" s="10">
        <f t="shared" si="9"/>
        <v>0</v>
      </c>
      <c r="R18" s="7">
        <f>'[12]Oct Prod'!C17</f>
        <v>0</v>
      </c>
      <c r="S18" s="8">
        <f t="shared" si="10"/>
        <v>0</v>
      </c>
      <c r="T18" s="10">
        <f t="shared" si="11"/>
        <v>0</v>
      </c>
      <c r="U18" s="7">
        <f>'[12]Oct Prod'!D17</f>
        <v>0</v>
      </c>
      <c r="V18" s="8">
        <f t="shared" si="12"/>
        <v>0</v>
      </c>
      <c r="W18" s="10">
        <f t="shared" si="13"/>
        <v>0</v>
      </c>
      <c r="X18" s="7">
        <f>'[12]Oct Prod'!D272</f>
        <v>0</v>
      </c>
      <c r="Y18" s="8">
        <f t="shared" si="14"/>
        <v>0</v>
      </c>
      <c r="Z18" s="10">
        <f t="shared" si="15"/>
        <v>0</v>
      </c>
      <c r="AA18" s="15"/>
      <c r="AB18" s="7">
        <f t="shared" si="16"/>
        <v>13300000.000002909</v>
      </c>
      <c r="AC18" s="8">
        <f t="shared" si="16"/>
        <v>13.300000000002909</v>
      </c>
      <c r="AD18" s="8">
        <f t="shared" si="16"/>
        <v>40.831000000008927</v>
      </c>
      <c r="AF18" s="8">
        <f>T18-Q18-Z18</f>
        <v>0</v>
      </c>
    </row>
    <row r="19" spans="1:32" x14ac:dyDescent="0.2">
      <c r="A19" s="28">
        <v>38640</v>
      </c>
      <c r="B19" s="7">
        <f>'[12]Oct Prod'!I18</f>
        <v>9799999.9999992717</v>
      </c>
      <c r="C19" s="8">
        <f t="shared" si="0"/>
        <v>9.7999999999992724</v>
      </c>
      <c r="D19" s="10">
        <f t="shared" si="1"/>
        <v>30.085999999997764</v>
      </c>
      <c r="E19" s="7">
        <f>'[12]Oct Prod'!E18</f>
        <v>3000000</v>
      </c>
      <c r="F19" s="8">
        <f t="shared" si="2"/>
        <v>3</v>
      </c>
      <c r="G19" s="10">
        <f t="shared" si="3"/>
        <v>9.2099999999999991</v>
      </c>
      <c r="H19" s="7">
        <f>'[12]Oct Prod'!F18</f>
        <v>6720000</v>
      </c>
      <c r="I19" s="8">
        <f t="shared" si="4"/>
        <v>6.72</v>
      </c>
      <c r="J19" s="10">
        <f t="shared" si="5"/>
        <v>20.630399999999998</v>
      </c>
      <c r="K19" s="7">
        <f>'[12]Oct Prod'!H273</f>
        <v>942682</v>
      </c>
      <c r="L19" s="8">
        <f t="shared" si="20"/>
        <v>0.94268200000000002</v>
      </c>
      <c r="M19" s="10">
        <f t="shared" si="21"/>
        <v>2.8940337399999998</v>
      </c>
      <c r="N19" s="21"/>
      <c r="O19" s="7">
        <f>'[12]Oct Prod'!H18</f>
        <v>0</v>
      </c>
      <c r="P19" s="8">
        <f t="shared" si="8"/>
        <v>0</v>
      </c>
      <c r="Q19" s="10">
        <f t="shared" si="9"/>
        <v>0</v>
      </c>
      <c r="R19" s="7">
        <f>'[12]Oct Prod'!C18</f>
        <v>0</v>
      </c>
      <c r="S19" s="8">
        <f t="shared" si="10"/>
        <v>0</v>
      </c>
      <c r="T19" s="10">
        <f t="shared" si="11"/>
        <v>0</v>
      </c>
      <c r="U19" s="7">
        <f>'[12]Oct Prod'!D18</f>
        <v>0</v>
      </c>
      <c r="V19" s="8">
        <f t="shared" si="12"/>
        <v>0</v>
      </c>
      <c r="W19" s="10">
        <f t="shared" si="13"/>
        <v>0</v>
      </c>
      <c r="X19" s="7">
        <f>'[12]Oct Prod'!D273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6"/>
        <v>9799999.9999992717</v>
      </c>
      <c r="AC19" s="8">
        <f t="shared" si="16"/>
        <v>9.7999999999992724</v>
      </c>
      <c r="AD19" s="8">
        <f>D19+Q19</f>
        <v>30.085999999997764</v>
      </c>
      <c r="AF19" s="8">
        <f>T19-Q19-Z19</f>
        <v>0</v>
      </c>
    </row>
    <row r="20" spans="1:32" x14ac:dyDescent="0.2">
      <c r="A20" s="28">
        <v>38641</v>
      </c>
      <c r="B20" s="7">
        <f>'[12]Oct Prod'!I19</f>
        <v>12200000.000000728</v>
      </c>
      <c r="C20" s="8">
        <f t="shared" si="0"/>
        <v>12.200000000000728</v>
      </c>
      <c r="D20" s="10">
        <f t="shared" si="1"/>
        <v>37.454000000002232</v>
      </c>
      <c r="E20" s="7">
        <f>'[12]Oct Prod'!E19</f>
        <v>3000000</v>
      </c>
      <c r="F20" s="8">
        <f t="shared" si="2"/>
        <v>3</v>
      </c>
      <c r="G20" s="10">
        <f t="shared" si="3"/>
        <v>9.2099999999999991</v>
      </c>
      <c r="H20" s="7">
        <f>'[12]Oct Prod'!F19</f>
        <v>8990000</v>
      </c>
      <c r="I20" s="8">
        <f t="shared" si="4"/>
        <v>8.99</v>
      </c>
      <c r="J20" s="10">
        <f t="shared" si="5"/>
        <v>27.599299999999999</v>
      </c>
      <c r="K20" s="7">
        <f>'[12]Oct Prod'!H274</f>
        <v>1080600</v>
      </c>
      <c r="L20" s="8">
        <f t="shared" si="20"/>
        <v>1.0806</v>
      </c>
      <c r="M20" s="10">
        <f t="shared" si="21"/>
        <v>3.3174419999999998</v>
      </c>
      <c r="N20" s="21"/>
      <c r="O20" s="7">
        <f>'[12]Oct Prod'!H19</f>
        <v>0</v>
      </c>
      <c r="P20" s="8">
        <f t="shared" si="8"/>
        <v>0</v>
      </c>
      <c r="Q20" s="10">
        <f t="shared" si="9"/>
        <v>0</v>
      </c>
      <c r="R20" s="7">
        <f>'[12]Oct Prod'!C19</f>
        <v>0</v>
      </c>
      <c r="S20" s="8">
        <f t="shared" si="10"/>
        <v>0</v>
      </c>
      <c r="T20" s="10">
        <f t="shared" si="11"/>
        <v>0</v>
      </c>
      <c r="U20" s="7">
        <f>'[12]Oct Prod'!D19</f>
        <v>0</v>
      </c>
      <c r="V20" s="8">
        <f t="shared" si="12"/>
        <v>0</v>
      </c>
      <c r="W20" s="10">
        <f t="shared" si="13"/>
        <v>0</v>
      </c>
      <c r="X20" s="7">
        <f>'[12]Oct Prod'!D274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12200000.000000728</v>
      </c>
      <c r="AC20" s="8">
        <f t="shared" si="16"/>
        <v>12.200000000000728</v>
      </c>
      <c r="AD20" s="8">
        <f t="shared" si="16"/>
        <v>37.454000000002232</v>
      </c>
      <c r="AF20" s="8">
        <f t="shared" ref="AF20:AF35" si="22">T20-Q20-Z20</f>
        <v>0</v>
      </c>
    </row>
    <row r="21" spans="1:32" x14ac:dyDescent="0.2">
      <c r="A21" s="28">
        <v>38642</v>
      </c>
      <c r="B21" s="7">
        <f>'[12]Oct Prod'!I20</f>
        <v>13199999.999997091</v>
      </c>
      <c r="C21" s="8">
        <f t="shared" si="0"/>
        <v>13.199999999997091</v>
      </c>
      <c r="D21" s="10">
        <f t="shared" si="1"/>
        <v>40.523999999991069</v>
      </c>
      <c r="E21" s="7">
        <f>'[12]Oct Prod'!E20</f>
        <v>3000000</v>
      </c>
      <c r="F21" s="8">
        <f t="shared" si="2"/>
        <v>3</v>
      </c>
      <c r="G21" s="10">
        <f t="shared" si="3"/>
        <v>9.2099999999999991</v>
      </c>
      <c r="H21" s="7">
        <f>'[12]Oct Prod'!F20</f>
        <v>9880000</v>
      </c>
      <c r="I21" s="8">
        <f t="shared" si="4"/>
        <v>9.8800000000000008</v>
      </c>
      <c r="J21" s="10">
        <f t="shared" si="5"/>
        <v>30.331600000000002</v>
      </c>
      <c r="K21" s="7">
        <f>'[12]Oct Prod'!H275</f>
        <v>1155708</v>
      </c>
      <c r="L21" s="8">
        <f t="shared" si="6"/>
        <v>1.155708</v>
      </c>
      <c r="M21" s="10">
        <f t="shared" si="7"/>
        <v>3.5480235599999999</v>
      </c>
      <c r="N21" s="21"/>
      <c r="O21" s="7">
        <f>'[12]Oct Prod'!H20</f>
        <v>0</v>
      </c>
      <c r="P21" s="8">
        <f t="shared" si="8"/>
        <v>0</v>
      </c>
      <c r="Q21" s="10">
        <f t="shared" si="9"/>
        <v>0</v>
      </c>
      <c r="R21" s="7">
        <f>'[12]Oct Prod'!C20</f>
        <v>0</v>
      </c>
      <c r="S21" s="8">
        <f t="shared" si="10"/>
        <v>0</v>
      </c>
      <c r="T21" s="10">
        <f t="shared" si="11"/>
        <v>0</v>
      </c>
      <c r="U21" s="7">
        <f>'[12]Oct Prod'!D20</f>
        <v>0</v>
      </c>
      <c r="V21" s="8">
        <f t="shared" si="12"/>
        <v>0</v>
      </c>
      <c r="W21" s="10">
        <f t="shared" si="13"/>
        <v>0</v>
      </c>
      <c r="X21" s="7">
        <f>'[12]Oct Prod'!D275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13199999.999997091</v>
      </c>
      <c r="AC21" s="8">
        <f t="shared" si="16"/>
        <v>13.199999999997091</v>
      </c>
      <c r="AD21" s="8">
        <f t="shared" si="16"/>
        <v>40.523999999991069</v>
      </c>
      <c r="AF21" s="8">
        <f t="shared" si="22"/>
        <v>0</v>
      </c>
    </row>
    <row r="22" spans="1:32" x14ac:dyDescent="0.2">
      <c r="A22" s="28">
        <v>38643</v>
      </c>
      <c r="B22" s="7">
        <f>'[12]Oct Prod'!I21</f>
        <v>11800000.000002909</v>
      </c>
      <c r="C22" s="8">
        <f t="shared" si="0"/>
        <v>11.800000000002909</v>
      </c>
      <c r="D22" s="10">
        <f t="shared" si="1"/>
        <v>36.226000000008931</v>
      </c>
      <c r="E22" s="7">
        <f>'[12]Oct Prod'!E21</f>
        <v>3000000</v>
      </c>
      <c r="F22" s="8">
        <f t="shared" si="2"/>
        <v>3</v>
      </c>
      <c r="G22" s="10">
        <f t="shared" si="3"/>
        <v>9.2099999999999991</v>
      </c>
      <c r="H22" s="7">
        <f>'[12]Oct Prod'!F21</f>
        <v>8950000.0000000019</v>
      </c>
      <c r="I22" s="8">
        <f t="shared" si="4"/>
        <v>8.9500000000000011</v>
      </c>
      <c r="J22" s="10">
        <f t="shared" si="5"/>
        <v>27.476500000000001</v>
      </c>
      <c r="K22" s="7">
        <f>'[12]Oct Prod'!H276</f>
        <v>996533</v>
      </c>
      <c r="L22" s="8">
        <f t="shared" si="6"/>
        <v>0.996533</v>
      </c>
      <c r="M22" s="10">
        <f t="shared" si="7"/>
        <v>3.0593563099999996</v>
      </c>
      <c r="N22" s="21"/>
      <c r="O22" s="7">
        <f>'[12]Oct Prod'!H21</f>
        <v>0</v>
      </c>
      <c r="P22" s="8">
        <f t="shared" si="8"/>
        <v>0</v>
      </c>
      <c r="Q22" s="10">
        <f t="shared" si="9"/>
        <v>0</v>
      </c>
      <c r="R22" s="7">
        <f>'[12]Oct Prod'!C21</f>
        <v>0</v>
      </c>
      <c r="S22" s="8">
        <f t="shared" si="10"/>
        <v>0</v>
      </c>
      <c r="T22" s="10">
        <f t="shared" si="11"/>
        <v>0</v>
      </c>
      <c r="U22" s="7">
        <f>'[12]Oct Prod'!D21</f>
        <v>0</v>
      </c>
      <c r="V22" s="8">
        <f t="shared" si="12"/>
        <v>0</v>
      </c>
      <c r="W22" s="10">
        <f t="shared" si="13"/>
        <v>0</v>
      </c>
      <c r="X22" s="7">
        <f>'[12]Oct Prod'!D276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11800000.000002909</v>
      </c>
      <c r="AC22" s="8">
        <f t="shared" si="16"/>
        <v>11.800000000002909</v>
      </c>
      <c r="AD22" s="8">
        <f t="shared" si="16"/>
        <v>36.226000000008931</v>
      </c>
      <c r="AF22" s="8">
        <f t="shared" si="22"/>
        <v>0</v>
      </c>
    </row>
    <row r="23" spans="1:32" x14ac:dyDescent="0.2">
      <c r="A23" s="28">
        <v>38644</v>
      </c>
      <c r="B23" s="7">
        <f>'[12]Oct Prod'!I22</f>
        <v>12000000</v>
      </c>
      <c r="C23" s="8">
        <f t="shared" si="0"/>
        <v>12</v>
      </c>
      <c r="D23" s="10">
        <f t="shared" si="1"/>
        <v>36.839999999999996</v>
      </c>
      <c r="E23" s="7">
        <f>'[12]Oct Prod'!E22</f>
        <v>3000000</v>
      </c>
      <c r="F23" s="8">
        <f t="shared" si="2"/>
        <v>3</v>
      </c>
      <c r="G23" s="10">
        <f t="shared" si="3"/>
        <v>9.2099999999999991</v>
      </c>
      <c r="H23" s="7">
        <f>'[12]Oct Prod'!F22</f>
        <v>9090000</v>
      </c>
      <c r="I23" s="8">
        <f t="shared" si="4"/>
        <v>9.09</v>
      </c>
      <c r="J23" s="10">
        <f t="shared" si="5"/>
        <v>27.906299999999998</v>
      </c>
      <c r="K23" s="7">
        <f>'[12]Oct Prod'!H277</f>
        <v>950242</v>
      </c>
      <c r="L23" s="8">
        <f t="shared" si="6"/>
        <v>0.95024200000000003</v>
      </c>
      <c r="M23" s="10">
        <f t="shared" si="7"/>
        <v>2.91724294</v>
      </c>
      <c r="N23" s="21"/>
      <c r="O23" s="7">
        <f>'[12]Oct Prod'!H22</f>
        <v>0</v>
      </c>
      <c r="P23" s="8">
        <f t="shared" si="8"/>
        <v>0</v>
      </c>
      <c r="Q23" s="10">
        <f t="shared" si="9"/>
        <v>0</v>
      </c>
      <c r="R23" s="7">
        <f>'[12]Oct Prod'!C22</f>
        <v>0</v>
      </c>
      <c r="S23" s="8">
        <f t="shared" si="10"/>
        <v>0</v>
      </c>
      <c r="T23" s="10">
        <f t="shared" si="11"/>
        <v>0</v>
      </c>
      <c r="U23" s="7">
        <f>'[12]Oct Prod'!D22</f>
        <v>0</v>
      </c>
      <c r="V23" s="8">
        <f t="shared" si="12"/>
        <v>0</v>
      </c>
      <c r="W23" s="10">
        <f t="shared" si="13"/>
        <v>0</v>
      </c>
      <c r="X23" s="7">
        <f>'[12]Oct Prod'!D277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12000000</v>
      </c>
      <c r="AC23" s="8">
        <f t="shared" si="16"/>
        <v>12</v>
      </c>
      <c r="AD23" s="8">
        <f t="shared" si="16"/>
        <v>36.839999999999996</v>
      </c>
      <c r="AF23" s="8">
        <f t="shared" si="22"/>
        <v>0</v>
      </c>
    </row>
    <row r="24" spans="1:32" x14ac:dyDescent="0.2">
      <c r="A24" s="28">
        <v>38645</v>
      </c>
      <c r="B24" s="7">
        <f>'[12]Oct Prod'!I23</f>
        <v>12000000</v>
      </c>
      <c r="C24" s="8">
        <f t="shared" si="0"/>
        <v>12</v>
      </c>
      <c r="D24" s="10">
        <f t="shared" si="1"/>
        <v>36.839999999999996</v>
      </c>
      <c r="E24" s="7">
        <f>'[12]Oct Prod'!E23</f>
        <v>3000000</v>
      </c>
      <c r="F24" s="8">
        <f t="shared" si="2"/>
        <v>3</v>
      </c>
      <c r="G24" s="10">
        <f t="shared" si="3"/>
        <v>9.2099999999999991</v>
      </c>
      <c r="H24" s="7">
        <f>'[12]Oct Prod'!F23</f>
        <v>8880000</v>
      </c>
      <c r="I24" s="8">
        <f t="shared" si="4"/>
        <v>8.8800000000000008</v>
      </c>
      <c r="J24" s="10">
        <f t="shared" si="5"/>
        <v>27.261600000000001</v>
      </c>
      <c r="K24" s="7">
        <f>'[12]Oct Prod'!H278</f>
        <v>1191118</v>
      </c>
      <c r="L24" s="8">
        <f t="shared" si="6"/>
        <v>1.1911179999999999</v>
      </c>
      <c r="M24" s="10">
        <f t="shared" si="7"/>
        <v>3.6567322599999996</v>
      </c>
      <c r="N24" s="21"/>
      <c r="O24" s="7">
        <f>'[12]Oct Prod'!H23</f>
        <v>0</v>
      </c>
      <c r="P24" s="8">
        <f t="shared" si="8"/>
        <v>0</v>
      </c>
      <c r="Q24" s="10">
        <f t="shared" si="9"/>
        <v>0</v>
      </c>
      <c r="R24" s="7">
        <f>'[12]Oct Prod'!C23</f>
        <v>0</v>
      </c>
      <c r="S24" s="8">
        <f t="shared" si="10"/>
        <v>0</v>
      </c>
      <c r="T24" s="10">
        <f t="shared" si="11"/>
        <v>0</v>
      </c>
      <c r="U24" s="7">
        <f>'[12]Oct Prod'!D23</f>
        <v>0</v>
      </c>
      <c r="V24" s="8">
        <f t="shared" si="12"/>
        <v>0</v>
      </c>
      <c r="W24" s="10">
        <f t="shared" si="13"/>
        <v>0</v>
      </c>
      <c r="X24" s="7">
        <f>'[12]Oct Prod'!D278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12000000</v>
      </c>
      <c r="AC24" s="8">
        <f t="shared" si="16"/>
        <v>12</v>
      </c>
      <c r="AD24" s="8">
        <f>D24+Q24</f>
        <v>36.839999999999996</v>
      </c>
      <c r="AF24" s="8">
        <f t="shared" si="22"/>
        <v>0</v>
      </c>
    </row>
    <row r="25" spans="1:32" x14ac:dyDescent="0.2">
      <c r="A25" s="28">
        <v>38646</v>
      </c>
      <c r="B25" s="7">
        <f>'[12]Oct Prod'!I24</f>
        <v>12299999.999999272</v>
      </c>
      <c r="C25" s="8">
        <f t="shared" si="0"/>
        <v>12.299999999999272</v>
      </c>
      <c r="D25" s="10">
        <f t="shared" si="1"/>
        <v>37.760999999997765</v>
      </c>
      <c r="E25" s="7">
        <f>'[12]Oct Prod'!E24</f>
        <v>3000000</v>
      </c>
      <c r="F25" s="8">
        <f t="shared" si="2"/>
        <v>3</v>
      </c>
      <c r="G25" s="10">
        <f t="shared" si="3"/>
        <v>9.2099999999999991</v>
      </c>
      <c r="H25" s="7">
        <f>'[12]Oct Prod'!F24</f>
        <v>9090000</v>
      </c>
      <c r="I25" s="8">
        <f t="shared" si="4"/>
        <v>9.09</v>
      </c>
      <c r="J25" s="10">
        <f t="shared" si="5"/>
        <v>27.906299999999998</v>
      </c>
      <c r="K25" s="7">
        <f>'[12]Oct Prod'!H279</f>
        <v>1144787</v>
      </c>
      <c r="L25" s="8">
        <f t="shared" si="6"/>
        <v>1.144787</v>
      </c>
      <c r="M25" s="10">
        <f t="shared" si="7"/>
        <v>3.5144960899999997</v>
      </c>
      <c r="N25" s="21"/>
      <c r="O25" s="7">
        <f>'[12]Oct Prod'!H24</f>
        <v>0</v>
      </c>
      <c r="P25" s="8">
        <f t="shared" si="8"/>
        <v>0</v>
      </c>
      <c r="Q25" s="10">
        <f t="shared" si="9"/>
        <v>0</v>
      </c>
      <c r="R25" s="7">
        <f>'[12]Oct Prod'!C24</f>
        <v>0</v>
      </c>
      <c r="S25" s="8">
        <f t="shared" si="10"/>
        <v>0</v>
      </c>
      <c r="T25" s="10">
        <f t="shared" si="11"/>
        <v>0</v>
      </c>
      <c r="U25" s="7">
        <f>'[12]Oct Prod'!D24</f>
        <v>0</v>
      </c>
      <c r="V25" s="8">
        <f t="shared" si="12"/>
        <v>0</v>
      </c>
      <c r="W25" s="10">
        <f t="shared" si="13"/>
        <v>0</v>
      </c>
      <c r="X25" s="7">
        <f>'[12]Oct Prod'!D279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12299999.999999272</v>
      </c>
      <c r="AC25" s="8">
        <f t="shared" si="16"/>
        <v>12.299999999999272</v>
      </c>
      <c r="AD25" s="8">
        <f t="shared" si="16"/>
        <v>37.760999999997765</v>
      </c>
      <c r="AF25" s="8">
        <f t="shared" si="22"/>
        <v>0</v>
      </c>
    </row>
    <row r="26" spans="1:32" x14ac:dyDescent="0.2">
      <c r="A26" s="28">
        <v>38647</v>
      </c>
      <c r="B26" s="7">
        <f>'[12]Oct Prod'!I25</f>
        <v>11700000.000000728</v>
      </c>
      <c r="C26" s="8">
        <f t="shared" si="0"/>
        <v>11.700000000000728</v>
      </c>
      <c r="D26" s="10">
        <f t="shared" si="1"/>
        <v>35.919000000002235</v>
      </c>
      <c r="E26" s="7">
        <f>'[12]Oct Prod'!E25</f>
        <v>3000000</v>
      </c>
      <c r="F26" s="8">
        <f t="shared" si="2"/>
        <v>3</v>
      </c>
      <c r="G26" s="10">
        <f t="shared" si="3"/>
        <v>9.2099999999999991</v>
      </c>
      <c r="H26" s="7">
        <f>'[12]Oct Prod'!F25</f>
        <v>9010000</v>
      </c>
      <c r="I26" s="8">
        <f t="shared" si="4"/>
        <v>9.01</v>
      </c>
      <c r="J26" s="10">
        <f t="shared" si="5"/>
        <v>27.660699999999999</v>
      </c>
      <c r="K26" s="7">
        <f>'[12]Oct Prod'!H280</f>
        <v>1165853</v>
      </c>
      <c r="L26" s="8">
        <f t="shared" si="6"/>
        <v>1.165853</v>
      </c>
      <c r="M26" s="10">
        <f t="shared" si="7"/>
        <v>3.5791687099999998</v>
      </c>
      <c r="N26" s="21"/>
      <c r="O26" s="7">
        <f>'[12]Oct Prod'!H25</f>
        <v>0</v>
      </c>
      <c r="P26" s="8">
        <f t="shared" si="8"/>
        <v>0</v>
      </c>
      <c r="Q26" s="10">
        <f t="shared" si="9"/>
        <v>0</v>
      </c>
      <c r="R26" s="7">
        <f>'[12]Oct Prod'!C25</f>
        <v>0</v>
      </c>
      <c r="S26" s="8">
        <f t="shared" si="10"/>
        <v>0</v>
      </c>
      <c r="T26" s="10">
        <f t="shared" si="11"/>
        <v>0</v>
      </c>
      <c r="U26" s="7">
        <f>'[12]Oct Prod'!D25</f>
        <v>0</v>
      </c>
      <c r="V26" s="8">
        <f t="shared" si="12"/>
        <v>0</v>
      </c>
      <c r="W26" s="10">
        <f t="shared" si="13"/>
        <v>0</v>
      </c>
      <c r="X26" s="7">
        <f>'[12]Oct Prod'!D280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11700000.000000728</v>
      </c>
      <c r="AC26" s="8">
        <f t="shared" si="16"/>
        <v>11.700000000000728</v>
      </c>
      <c r="AD26" s="8">
        <f t="shared" si="16"/>
        <v>35.919000000002235</v>
      </c>
      <c r="AF26" s="8">
        <f t="shared" si="22"/>
        <v>0</v>
      </c>
    </row>
    <row r="27" spans="1:32" x14ac:dyDescent="0.2">
      <c r="A27" s="28">
        <v>38648</v>
      </c>
      <c r="B27" s="7">
        <f>'[12]Oct Prod'!I26</f>
        <v>11899999.999997817</v>
      </c>
      <c r="C27" s="8">
        <f t="shared" si="0"/>
        <v>11.899999999997817</v>
      </c>
      <c r="D27" s="10">
        <f t="shared" si="1"/>
        <v>36.532999999993294</v>
      </c>
      <c r="E27" s="7">
        <f>'[12]Oct Prod'!E26</f>
        <v>3000000</v>
      </c>
      <c r="F27" s="8">
        <f t="shared" si="2"/>
        <v>3</v>
      </c>
      <c r="G27" s="10">
        <f t="shared" si="3"/>
        <v>9.2099999999999991</v>
      </c>
      <c r="H27" s="7">
        <f>'[12]Oct Prod'!F26</f>
        <v>8920000</v>
      </c>
      <c r="I27" s="8">
        <f t="shared" si="4"/>
        <v>8.92</v>
      </c>
      <c r="J27" s="10">
        <f t="shared" si="5"/>
        <v>27.384399999999999</v>
      </c>
      <c r="K27" s="7">
        <f>'[12]Oct Prod'!H281</f>
        <v>1204381</v>
      </c>
      <c r="L27" s="8">
        <f t="shared" si="6"/>
        <v>1.2043809999999999</v>
      </c>
      <c r="M27" s="10">
        <f t="shared" si="7"/>
        <v>3.6974496699999997</v>
      </c>
      <c r="N27" s="21"/>
      <c r="O27" s="7">
        <f>'[12]Oct Prod'!H26</f>
        <v>0</v>
      </c>
      <c r="P27" s="8">
        <f t="shared" si="8"/>
        <v>0</v>
      </c>
      <c r="Q27" s="10">
        <f t="shared" si="9"/>
        <v>0</v>
      </c>
      <c r="R27" s="7">
        <f>'[12]Oct Prod'!C26</f>
        <v>0</v>
      </c>
      <c r="S27" s="8">
        <f t="shared" si="10"/>
        <v>0</v>
      </c>
      <c r="T27" s="10">
        <f t="shared" si="11"/>
        <v>0</v>
      </c>
      <c r="U27" s="7">
        <f>'[12]Oct Prod'!D26</f>
        <v>0</v>
      </c>
      <c r="V27" s="8">
        <f t="shared" si="12"/>
        <v>0</v>
      </c>
      <c r="W27" s="10">
        <f t="shared" si="13"/>
        <v>0</v>
      </c>
      <c r="X27" s="7">
        <f>'[12]Oct Prod'!D281</f>
        <v>444000.00000000262</v>
      </c>
      <c r="Y27" s="8">
        <f t="shared" si="14"/>
        <v>0.44400000000000261</v>
      </c>
      <c r="Z27" s="10">
        <f t="shared" si="15"/>
        <v>1.3630800000000081</v>
      </c>
      <c r="AA27" s="15"/>
      <c r="AB27" s="7">
        <f t="shared" si="16"/>
        <v>11899999.999997817</v>
      </c>
      <c r="AC27" s="8">
        <f t="shared" si="16"/>
        <v>11.899999999997817</v>
      </c>
      <c r="AD27" s="8">
        <f t="shared" si="16"/>
        <v>36.532999999993294</v>
      </c>
      <c r="AF27" s="8">
        <f t="shared" si="22"/>
        <v>-1.3630800000000081</v>
      </c>
    </row>
    <row r="28" spans="1:32" x14ac:dyDescent="0.2">
      <c r="A28" s="28">
        <v>38649</v>
      </c>
      <c r="B28" s="7">
        <f>'[12]Oct Prod'!I27</f>
        <v>11500000</v>
      </c>
      <c r="C28" s="8">
        <f t="shared" si="0"/>
        <v>11.5</v>
      </c>
      <c r="D28" s="10">
        <f t="shared" si="1"/>
        <v>35.305</v>
      </c>
      <c r="E28" s="7">
        <f>'[12]Oct Prod'!E27</f>
        <v>3000000</v>
      </c>
      <c r="F28" s="8">
        <f t="shared" si="2"/>
        <v>3</v>
      </c>
      <c r="G28" s="10">
        <f t="shared" si="3"/>
        <v>9.2099999999999991</v>
      </c>
      <c r="H28" s="7">
        <f>'[12]Oct Prod'!F27</f>
        <v>8370000.0000000009</v>
      </c>
      <c r="I28" s="8">
        <f t="shared" si="4"/>
        <v>8.370000000000001</v>
      </c>
      <c r="J28" s="10">
        <f t="shared" si="5"/>
        <v>25.695900000000002</v>
      </c>
      <c r="K28" s="7">
        <f>'[12]Oct Prod'!H282</f>
        <v>1102756</v>
      </c>
      <c r="L28" s="8">
        <f t="shared" si="6"/>
        <v>1.1027560000000001</v>
      </c>
      <c r="M28" s="10">
        <f t="shared" si="7"/>
        <v>3.3854609199999999</v>
      </c>
      <c r="N28" s="21"/>
      <c r="O28" s="7">
        <f>'[12]Oct Prod'!H27</f>
        <v>0</v>
      </c>
      <c r="P28" s="8">
        <f t="shared" si="8"/>
        <v>0</v>
      </c>
      <c r="Q28" s="10">
        <f t="shared" si="9"/>
        <v>0</v>
      </c>
      <c r="R28" s="7">
        <f>'[12]Oct Prod'!C27</f>
        <v>0</v>
      </c>
      <c r="S28" s="8">
        <f t="shared" si="10"/>
        <v>0</v>
      </c>
      <c r="T28" s="10">
        <f t="shared" si="11"/>
        <v>0</v>
      </c>
      <c r="U28" s="7">
        <f>'[12]Oct Prod'!D27</f>
        <v>0</v>
      </c>
      <c r="V28" s="8">
        <f t="shared" si="12"/>
        <v>0</v>
      </c>
      <c r="W28" s="10">
        <f t="shared" si="13"/>
        <v>0</v>
      </c>
      <c r="X28" s="7">
        <f>'[12]Oct Prod'!D282</f>
        <v>36999.999999999032</v>
      </c>
      <c r="Y28" s="8">
        <f t="shared" si="14"/>
        <v>3.6999999999999034E-2</v>
      </c>
      <c r="Z28" s="10">
        <f t="shared" si="15"/>
        <v>0.11358999999999703</v>
      </c>
      <c r="AA28" s="15"/>
      <c r="AB28" s="7">
        <f t="shared" si="16"/>
        <v>11500000</v>
      </c>
      <c r="AC28" s="8">
        <f t="shared" si="16"/>
        <v>11.5</v>
      </c>
      <c r="AD28" s="8">
        <f t="shared" si="16"/>
        <v>35.305</v>
      </c>
      <c r="AF28" s="8">
        <f t="shared" si="22"/>
        <v>-0.11358999999999703</v>
      </c>
    </row>
    <row r="29" spans="1:32" x14ac:dyDescent="0.2">
      <c r="A29" s="28">
        <v>38650</v>
      </c>
      <c r="B29" s="7">
        <f>'[12]Oct Prod'!I28</f>
        <v>11100000.000002183</v>
      </c>
      <c r="C29" s="8">
        <f t="shared" si="0"/>
        <v>11.100000000002183</v>
      </c>
      <c r="D29" s="10">
        <f t="shared" si="1"/>
        <v>34.077000000006699</v>
      </c>
      <c r="E29" s="7">
        <f>'[12]Oct Prod'!E28</f>
        <v>3000000</v>
      </c>
      <c r="F29" s="8">
        <f t="shared" si="2"/>
        <v>3</v>
      </c>
      <c r="G29" s="10">
        <f t="shared" si="3"/>
        <v>9.2099999999999991</v>
      </c>
      <c r="H29" s="7">
        <f>'[12]Oct Prod'!F28</f>
        <v>8040000.0000000009</v>
      </c>
      <c r="I29" s="8">
        <f t="shared" si="4"/>
        <v>8.0400000000000009</v>
      </c>
      <c r="J29" s="10">
        <f t="shared" si="5"/>
        <v>24.6828</v>
      </c>
      <c r="K29" s="7">
        <f>'[12]Oct Prod'!H283</f>
        <v>1069737</v>
      </c>
      <c r="L29" s="8">
        <f t="shared" si="6"/>
        <v>1.0697369999999999</v>
      </c>
      <c r="M29" s="10">
        <f t="shared" si="7"/>
        <v>3.2840925899999998</v>
      </c>
      <c r="N29" s="21"/>
      <c r="O29" s="7">
        <f>'[12]Oct Prod'!H28</f>
        <v>0</v>
      </c>
      <c r="P29" s="8">
        <f t="shared" si="8"/>
        <v>0</v>
      </c>
      <c r="Q29" s="10">
        <f t="shared" si="9"/>
        <v>0</v>
      </c>
      <c r="R29" s="7">
        <f>'[12]Oct Prod'!C28</f>
        <v>0</v>
      </c>
      <c r="S29" s="8">
        <f t="shared" si="10"/>
        <v>0</v>
      </c>
      <c r="T29" s="10">
        <f t="shared" si="11"/>
        <v>0</v>
      </c>
      <c r="U29" s="7">
        <f>'[12]Oct Prod'!D28</f>
        <v>0</v>
      </c>
      <c r="V29" s="8">
        <f t="shared" si="12"/>
        <v>0</v>
      </c>
      <c r="W29" s="10">
        <f t="shared" si="13"/>
        <v>0</v>
      </c>
      <c r="X29" s="7">
        <f>'[12]Oct Prod'!D283</f>
        <v>73000.000000000393</v>
      </c>
      <c r="Y29" s="8">
        <f t="shared" si="14"/>
        <v>7.3000000000000398E-2</v>
      </c>
      <c r="Z29" s="10">
        <f t="shared" si="15"/>
        <v>0.2241100000000012</v>
      </c>
      <c r="AA29" s="15"/>
      <c r="AB29" s="7">
        <f t="shared" si="16"/>
        <v>11100000.000002183</v>
      </c>
      <c r="AC29" s="8">
        <f t="shared" si="16"/>
        <v>11.100000000002183</v>
      </c>
      <c r="AD29" s="8">
        <f t="shared" si="16"/>
        <v>34.077000000006699</v>
      </c>
      <c r="AF29" s="8">
        <f t="shared" si="22"/>
        <v>-0.2241100000000012</v>
      </c>
    </row>
    <row r="30" spans="1:32" x14ac:dyDescent="0.2">
      <c r="A30" s="28">
        <v>38651</v>
      </c>
      <c r="B30" s="7">
        <f>'[12]Oct Prod'!I29</f>
        <v>11899999.999997817</v>
      </c>
      <c r="C30" s="8">
        <f t="shared" si="0"/>
        <v>11.899999999997817</v>
      </c>
      <c r="D30" s="10">
        <f t="shared" si="1"/>
        <v>36.532999999993294</v>
      </c>
      <c r="E30" s="7">
        <f>'[12]Oct Prod'!E29</f>
        <v>3000000</v>
      </c>
      <c r="F30" s="8">
        <f t="shared" si="2"/>
        <v>3</v>
      </c>
      <c r="G30" s="10">
        <f t="shared" si="3"/>
        <v>9.2099999999999991</v>
      </c>
      <c r="H30" s="7">
        <f>'[12]Oct Prod'!F29</f>
        <v>8960000</v>
      </c>
      <c r="I30" s="8">
        <f t="shared" si="4"/>
        <v>8.9600000000000009</v>
      </c>
      <c r="J30" s="10">
        <f t="shared" si="5"/>
        <v>27.507200000000001</v>
      </c>
      <c r="K30" s="7">
        <f>'[12]Oct Prod'!H284</f>
        <v>1033760</v>
      </c>
      <c r="L30" s="8">
        <f t="shared" si="6"/>
        <v>1.03376</v>
      </c>
      <c r="M30" s="10">
        <f t="shared" si="7"/>
        <v>3.1736431999999999</v>
      </c>
      <c r="N30" s="21"/>
      <c r="O30" s="7">
        <f>'[12]Oct Prod'!H29</f>
        <v>0</v>
      </c>
      <c r="P30" s="8">
        <f t="shared" si="8"/>
        <v>0</v>
      </c>
      <c r="Q30" s="10">
        <f t="shared" si="9"/>
        <v>0</v>
      </c>
      <c r="R30" s="7">
        <f>'[12]Oct Prod'!C29</f>
        <v>0</v>
      </c>
      <c r="S30" s="8">
        <f t="shared" si="10"/>
        <v>0</v>
      </c>
      <c r="T30" s="10">
        <f t="shared" si="11"/>
        <v>0</v>
      </c>
      <c r="U30" s="7">
        <f>'[12]Oct Prod'!D29</f>
        <v>0</v>
      </c>
      <c r="V30" s="8">
        <f t="shared" si="12"/>
        <v>0</v>
      </c>
      <c r="W30" s="10">
        <f t="shared" si="13"/>
        <v>0</v>
      </c>
      <c r="X30" s="7">
        <f>'[12]Oct Prod'!D284</f>
        <v>0</v>
      </c>
      <c r="Y30" s="8">
        <f t="shared" si="14"/>
        <v>0</v>
      </c>
      <c r="Z30" s="10">
        <f t="shared" si="15"/>
        <v>0</v>
      </c>
      <c r="AA30" s="15"/>
      <c r="AB30" s="7">
        <f t="shared" si="16"/>
        <v>11899999.999997817</v>
      </c>
      <c r="AC30" s="8">
        <f t="shared" si="16"/>
        <v>11.899999999997817</v>
      </c>
      <c r="AD30" s="8">
        <f>D30+Q30</f>
        <v>36.532999999993294</v>
      </c>
      <c r="AF30" s="8">
        <f t="shared" si="22"/>
        <v>0</v>
      </c>
    </row>
    <row r="31" spans="1:32" x14ac:dyDescent="0.2">
      <c r="A31" s="28">
        <v>38652</v>
      </c>
      <c r="B31" s="7">
        <f>'[12]Oct Prod'!I30</f>
        <v>12600000.000002183</v>
      </c>
      <c r="C31" s="8">
        <f t="shared" si="0"/>
        <v>12.600000000002183</v>
      </c>
      <c r="D31" s="10">
        <f t="shared" si="1"/>
        <v>38.682000000006703</v>
      </c>
      <c r="E31" s="7">
        <f>'[12]Oct Prod'!E30</f>
        <v>3000000</v>
      </c>
      <c r="F31" s="8">
        <f t="shared" si="2"/>
        <v>3</v>
      </c>
      <c r="G31" s="10">
        <f t="shared" si="3"/>
        <v>9.2099999999999991</v>
      </c>
      <c r="H31" s="7">
        <f>'[12]Oct Prod'!F30</f>
        <v>8990000</v>
      </c>
      <c r="I31" s="8">
        <f t="shared" si="4"/>
        <v>8.99</v>
      </c>
      <c r="J31" s="10">
        <f t="shared" si="5"/>
        <v>27.599299999999999</v>
      </c>
      <c r="K31" s="7">
        <f>'[12]Oct Prod'!H285</f>
        <v>993842</v>
      </c>
      <c r="L31" s="8">
        <f t="shared" si="6"/>
        <v>0.993842</v>
      </c>
      <c r="M31" s="10">
        <f t="shared" si="7"/>
        <v>3.05109494</v>
      </c>
      <c r="N31" s="21"/>
      <c r="O31" s="7">
        <f>'[12]Oct Prod'!H30</f>
        <v>0</v>
      </c>
      <c r="P31" s="8">
        <f t="shared" si="8"/>
        <v>0</v>
      </c>
      <c r="Q31" s="10">
        <f t="shared" si="9"/>
        <v>0</v>
      </c>
      <c r="R31" s="7">
        <f>'[12]Oct Prod'!C30</f>
        <v>0</v>
      </c>
      <c r="S31" s="8">
        <f t="shared" si="10"/>
        <v>0</v>
      </c>
      <c r="T31" s="10">
        <f t="shared" si="11"/>
        <v>0</v>
      </c>
      <c r="U31" s="7">
        <f>'[12]Oct Prod'!D30</f>
        <v>0</v>
      </c>
      <c r="V31" s="8">
        <f t="shared" si="12"/>
        <v>0</v>
      </c>
      <c r="W31" s="10">
        <f t="shared" si="13"/>
        <v>0</v>
      </c>
      <c r="X31" s="7">
        <f>'[12]Oct Prod'!D285</f>
        <v>0</v>
      </c>
      <c r="Y31" s="8">
        <f t="shared" si="14"/>
        <v>0</v>
      </c>
      <c r="Z31" s="10">
        <f t="shared" si="15"/>
        <v>0</v>
      </c>
      <c r="AA31" s="15"/>
      <c r="AB31" s="7">
        <f t="shared" si="16"/>
        <v>12600000.000002183</v>
      </c>
      <c r="AC31" s="8">
        <f t="shared" si="16"/>
        <v>12.600000000002183</v>
      </c>
      <c r="AD31" s="8">
        <f t="shared" si="16"/>
        <v>38.682000000006703</v>
      </c>
      <c r="AF31" s="8">
        <f>T31-Q31-Z31</f>
        <v>0</v>
      </c>
    </row>
    <row r="32" spans="1:32" x14ac:dyDescent="0.2">
      <c r="A32" s="28">
        <v>38653</v>
      </c>
      <c r="B32" s="7">
        <f>'[12]Oct Prod'!I31</f>
        <v>12399999.999997817</v>
      </c>
      <c r="C32" s="8">
        <f t="shared" si="0"/>
        <v>12.399999999997817</v>
      </c>
      <c r="D32" s="10">
        <f t="shared" si="1"/>
        <v>38.067999999993297</v>
      </c>
      <c r="E32" s="7">
        <f>'[12]Oct Prod'!E31</f>
        <v>3000000</v>
      </c>
      <c r="F32" s="8">
        <f t="shared" si="2"/>
        <v>3</v>
      </c>
      <c r="G32" s="10">
        <f t="shared" si="3"/>
        <v>9.2099999999999991</v>
      </c>
      <c r="H32" s="7">
        <f>'[12]Oct Prod'!F31</f>
        <v>9120000.0000000019</v>
      </c>
      <c r="I32" s="8">
        <f t="shared" si="4"/>
        <v>9.120000000000001</v>
      </c>
      <c r="J32" s="10">
        <f t="shared" si="5"/>
        <v>27.9984</v>
      </c>
      <c r="K32" s="7">
        <f>'[12]Oct Prod'!H286</f>
        <v>1063361</v>
      </c>
      <c r="L32" s="8">
        <f t="shared" si="6"/>
        <v>1.063361</v>
      </c>
      <c r="M32" s="10">
        <f t="shared" si="7"/>
        <v>3.2645182699999999</v>
      </c>
      <c r="N32" s="21"/>
      <c r="O32" s="7">
        <f>'[12]Oct Prod'!H31</f>
        <v>0</v>
      </c>
      <c r="P32" s="8">
        <f t="shared" si="8"/>
        <v>0</v>
      </c>
      <c r="Q32" s="10">
        <f t="shared" si="9"/>
        <v>0</v>
      </c>
      <c r="R32" s="7">
        <f>'[12]Oct Prod'!C31</f>
        <v>0</v>
      </c>
      <c r="S32" s="8">
        <f t="shared" si="10"/>
        <v>0</v>
      </c>
      <c r="T32" s="10">
        <f t="shared" si="11"/>
        <v>0</v>
      </c>
      <c r="U32" s="7">
        <f>'[12]Oct Prod'!D31</f>
        <v>0</v>
      </c>
      <c r="V32" s="8">
        <f t="shared" si="12"/>
        <v>0</v>
      </c>
      <c r="W32" s="10">
        <f t="shared" si="13"/>
        <v>0</v>
      </c>
      <c r="X32" s="7">
        <f>'[12]Oct Prod'!D286</f>
        <v>239000.00000000076</v>
      </c>
      <c r="Y32" s="8">
        <f t="shared" si="14"/>
        <v>0.23900000000000077</v>
      </c>
      <c r="Z32" s="10">
        <f t="shared" si="15"/>
        <v>0.73373000000000232</v>
      </c>
      <c r="AA32" s="15"/>
      <c r="AB32" s="7">
        <f t="shared" si="16"/>
        <v>12399999.999997817</v>
      </c>
      <c r="AC32" s="8">
        <f t="shared" si="16"/>
        <v>12.399999999997817</v>
      </c>
      <c r="AD32" s="8">
        <f t="shared" si="16"/>
        <v>38.067999999993297</v>
      </c>
      <c r="AF32" s="8">
        <f t="shared" si="22"/>
        <v>-0.73373000000000232</v>
      </c>
    </row>
    <row r="33" spans="1:32" x14ac:dyDescent="0.2">
      <c r="A33" s="28">
        <v>38654</v>
      </c>
      <c r="B33" s="7">
        <f>'[12]Oct Prod'!I32</f>
        <v>12100000.000002183</v>
      </c>
      <c r="C33" s="8">
        <f t="shared" si="0"/>
        <v>12.100000000002183</v>
      </c>
      <c r="D33" s="10">
        <f t="shared" si="1"/>
        <v>37.147000000006699</v>
      </c>
      <c r="E33" s="7">
        <f>'[12]Oct Prod'!E32</f>
        <v>3000000</v>
      </c>
      <c r="F33" s="8">
        <f t="shared" si="2"/>
        <v>3</v>
      </c>
      <c r="G33" s="10">
        <f t="shared" si="3"/>
        <v>9.2099999999999991</v>
      </c>
      <c r="H33" s="7">
        <f>'[12]Oct Prod'!F32</f>
        <v>9030000</v>
      </c>
      <c r="I33" s="8">
        <f t="shared" si="4"/>
        <v>9.0299999999999994</v>
      </c>
      <c r="J33" s="10">
        <f t="shared" si="5"/>
        <v>27.722099999999998</v>
      </c>
      <c r="K33" s="7">
        <f>'[12]Oct Prod'!H287</f>
        <v>1106636</v>
      </c>
      <c r="L33" s="8">
        <f t="shared" ref="L33:L35" si="23">K33/1000000</f>
        <v>1.106636</v>
      </c>
      <c r="M33" s="10">
        <f t="shared" ref="M33:M35" si="24">L33*3.07</f>
        <v>3.3973725199999998</v>
      </c>
      <c r="N33" s="21"/>
      <c r="O33" s="7">
        <f>'[12]Oct Prod'!H32</f>
        <v>0</v>
      </c>
      <c r="P33" s="8">
        <f t="shared" si="8"/>
        <v>0</v>
      </c>
      <c r="Q33" s="10">
        <f t="shared" si="9"/>
        <v>0</v>
      </c>
      <c r="R33" s="7">
        <f>'[12]Oct Prod'!C32</f>
        <v>0</v>
      </c>
      <c r="S33" s="8">
        <f t="shared" si="10"/>
        <v>0</v>
      </c>
      <c r="T33" s="10">
        <f t="shared" si="11"/>
        <v>0</v>
      </c>
      <c r="U33" s="7">
        <f>'[12]Oct Prod'!D32</f>
        <v>0</v>
      </c>
      <c r="V33" s="8">
        <f t="shared" si="12"/>
        <v>0</v>
      </c>
      <c r="W33" s="10">
        <f t="shared" si="13"/>
        <v>0</v>
      </c>
      <c r="X33" s="7">
        <f>'[12]Oct Prod'!D287</f>
        <v>0</v>
      </c>
      <c r="Y33" s="8">
        <f t="shared" si="14"/>
        <v>0</v>
      </c>
      <c r="Z33" s="10">
        <f t="shared" si="15"/>
        <v>0</v>
      </c>
      <c r="AA33" s="15"/>
      <c r="AB33" s="7">
        <f t="shared" si="16"/>
        <v>12100000.000002183</v>
      </c>
      <c r="AC33" s="8">
        <f t="shared" si="16"/>
        <v>12.100000000002183</v>
      </c>
      <c r="AD33" s="8">
        <f t="shared" si="16"/>
        <v>37.147000000006699</v>
      </c>
      <c r="AF33" s="8">
        <f t="shared" si="22"/>
        <v>0</v>
      </c>
    </row>
    <row r="34" spans="1:32" x14ac:dyDescent="0.2">
      <c r="A34" s="28">
        <v>38655</v>
      </c>
      <c r="B34" s="7">
        <f>'[12]Oct Prod'!I33</f>
        <v>11199999.999997091</v>
      </c>
      <c r="C34" s="8">
        <f t="shared" si="0"/>
        <v>11.199999999997091</v>
      </c>
      <c r="D34" s="10">
        <f t="shared" si="1"/>
        <v>34.383999999991069</v>
      </c>
      <c r="E34" s="7">
        <f>'[12]Oct Prod'!E33</f>
        <v>3000000</v>
      </c>
      <c r="F34" s="8">
        <f t="shared" si="2"/>
        <v>3</v>
      </c>
      <c r="G34" s="10">
        <f t="shared" si="3"/>
        <v>9.2099999999999991</v>
      </c>
      <c r="H34" s="7">
        <f>'[12]Oct Prod'!F33</f>
        <v>8109999.9999999991</v>
      </c>
      <c r="I34" s="8">
        <f t="shared" si="4"/>
        <v>8.11</v>
      </c>
      <c r="J34" s="10">
        <f t="shared" si="5"/>
        <v>24.897699999999997</v>
      </c>
      <c r="K34" s="7">
        <f>'[12]Oct Prod'!H288</f>
        <v>944219</v>
      </c>
      <c r="L34" s="8">
        <f t="shared" si="23"/>
        <v>0.94421900000000003</v>
      </c>
      <c r="M34" s="10">
        <f t="shared" si="24"/>
        <v>2.8987523299999998</v>
      </c>
      <c r="N34" s="21"/>
      <c r="O34" s="7">
        <f>'[12]Oct Prod'!H33</f>
        <v>0</v>
      </c>
      <c r="P34" s="8">
        <f t="shared" si="8"/>
        <v>0</v>
      </c>
      <c r="Q34" s="10">
        <f t="shared" si="9"/>
        <v>0</v>
      </c>
      <c r="R34" s="7">
        <f>'[12]Oct Prod'!C33</f>
        <v>0</v>
      </c>
      <c r="S34" s="8">
        <f t="shared" si="10"/>
        <v>0</v>
      </c>
      <c r="T34" s="10">
        <f t="shared" si="11"/>
        <v>0</v>
      </c>
      <c r="U34" s="7">
        <f>'[12]Oct Prod'!D33</f>
        <v>0</v>
      </c>
      <c r="V34" s="8">
        <f t="shared" si="12"/>
        <v>0</v>
      </c>
      <c r="W34" s="10">
        <f t="shared" si="13"/>
        <v>0</v>
      </c>
      <c r="X34" s="7">
        <f>'[12]Oct Prod'!D288</f>
        <v>0</v>
      </c>
      <c r="Y34" s="8">
        <f t="shared" si="14"/>
        <v>0</v>
      </c>
      <c r="Z34" s="10">
        <f t="shared" si="15"/>
        <v>0</v>
      </c>
      <c r="AA34" s="15"/>
      <c r="AB34" s="7">
        <f t="shared" si="16"/>
        <v>11199999.999997091</v>
      </c>
      <c r="AC34" s="8">
        <f t="shared" si="16"/>
        <v>11.199999999997091</v>
      </c>
      <c r="AD34" s="8">
        <f t="shared" si="16"/>
        <v>34.383999999991069</v>
      </c>
      <c r="AF34" s="8">
        <f t="shared" si="22"/>
        <v>0</v>
      </c>
    </row>
    <row r="35" spans="1:32" ht="13.5" thickBot="1" x14ac:dyDescent="0.25">
      <c r="A35" s="28">
        <v>38656</v>
      </c>
      <c r="B35" s="30">
        <f>'[12]Oct Prod'!I34</f>
        <v>11100000.000002183</v>
      </c>
      <c r="C35" s="9">
        <f t="shared" si="0"/>
        <v>11.100000000002183</v>
      </c>
      <c r="D35" s="11">
        <f t="shared" si="1"/>
        <v>34.077000000006699</v>
      </c>
      <c r="E35" s="7">
        <f>'[12]Oct Prod'!E34</f>
        <v>3000000</v>
      </c>
      <c r="F35" s="9">
        <f t="shared" si="2"/>
        <v>3</v>
      </c>
      <c r="G35" s="11">
        <f t="shared" si="3"/>
        <v>9.2099999999999991</v>
      </c>
      <c r="H35" s="30">
        <f>'[12]Oct Prod'!F34</f>
        <v>7940000</v>
      </c>
      <c r="I35" s="9">
        <f t="shared" si="4"/>
        <v>7.94</v>
      </c>
      <c r="J35" s="11">
        <f t="shared" si="5"/>
        <v>24.375800000000002</v>
      </c>
      <c r="K35" s="7">
        <f>'[12]Oct Prod'!H289</f>
        <v>891446</v>
      </c>
      <c r="L35" s="8">
        <f t="shared" si="23"/>
        <v>0.89144599999999996</v>
      </c>
      <c r="M35" s="10">
        <f t="shared" si="24"/>
        <v>2.7367392199999996</v>
      </c>
      <c r="N35" s="21"/>
      <c r="O35" s="30">
        <f>'[12]Oct Prod'!H34</f>
        <v>0</v>
      </c>
      <c r="P35" s="9">
        <f t="shared" si="8"/>
        <v>0</v>
      </c>
      <c r="Q35" s="11">
        <f t="shared" si="9"/>
        <v>0</v>
      </c>
      <c r="R35" s="30">
        <f>'[12]Oct Prod'!C34</f>
        <v>172000</v>
      </c>
      <c r="S35" s="9">
        <f t="shared" si="10"/>
        <v>0.17199999999999999</v>
      </c>
      <c r="T35" s="11">
        <f t="shared" si="11"/>
        <v>0.52803999999999995</v>
      </c>
      <c r="U35" s="30">
        <f>'[12]Oct Prod'!D34</f>
        <v>0</v>
      </c>
      <c r="V35" s="9">
        <f t="shared" si="12"/>
        <v>0</v>
      </c>
      <c r="W35" s="11">
        <f t="shared" si="13"/>
        <v>0</v>
      </c>
      <c r="X35" s="7">
        <f>'[12]Oct Prod'!D289</f>
        <v>0</v>
      </c>
      <c r="Y35" s="9">
        <f t="shared" si="14"/>
        <v>0</v>
      </c>
      <c r="Z35" s="11">
        <f t="shared" si="15"/>
        <v>0</v>
      </c>
      <c r="AA35" s="15"/>
      <c r="AB35" s="7">
        <f t="shared" si="16"/>
        <v>11100000.000002183</v>
      </c>
      <c r="AC35" s="8">
        <f t="shared" si="16"/>
        <v>11.100000000002183</v>
      </c>
      <c r="AD35" s="8">
        <f t="shared" si="16"/>
        <v>34.077000000006699</v>
      </c>
      <c r="AF35" s="8">
        <f t="shared" si="22"/>
        <v>0.52803999999999995</v>
      </c>
    </row>
    <row r="36" spans="1:32" ht="13.5" thickBot="1" x14ac:dyDescent="0.25">
      <c r="A36" s="14"/>
      <c r="B36" s="39"/>
      <c r="C36" s="40">
        <f>SUM(C5:C35)</f>
        <v>380.5</v>
      </c>
      <c r="D36" s="40">
        <f>SUM(D5:D35)</f>
        <v>1168.135</v>
      </c>
      <c r="E36" s="39"/>
      <c r="F36" s="40">
        <f>SUM(F5:F35)</f>
        <v>87</v>
      </c>
      <c r="G36" s="40">
        <f>SUM(G5:G35)</f>
        <v>267.09000000000003</v>
      </c>
      <c r="H36" s="39"/>
      <c r="I36" s="40">
        <f>SUM(I5:I35)</f>
        <v>287.54999999999995</v>
      </c>
      <c r="J36" s="40">
        <f>SUM(J5:J35)</f>
        <v>882.77850000000001</v>
      </c>
      <c r="K36" s="39"/>
      <c r="L36" s="40">
        <f>SUM(L5:L35)</f>
        <v>33.942614999999996</v>
      </c>
      <c r="M36" s="40">
        <f>SUM(M5:M35)</f>
        <v>104.20382804999998</v>
      </c>
      <c r="N36" s="14"/>
      <c r="O36" s="39"/>
      <c r="P36" s="40">
        <f>SUM(P5:P35)</f>
        <v>26.499999999999996</v>
      </c>
      <c r="Q36" s="40">
        <f>SUM(Q5:Q35)</f>
        <v>81.35499999999999</v>
      </c>
      <c r="R36" s="39"/>
      <c r="S36" s="40">
        <f>SUM(S5:S35)</f>
        <v>28.58</v>
      </c>
      <c r="T36" s="40">
        <f>SUM(T5:T35)</f>
        <v>87.740600000000001</v>
      </c>
      <c r="U36" s="39"/>
      <c r="V36" s="40">
        <f>SUM(V5:V35)</f>
        <v>0</v>
      </c>
      <c r="W36" s="40">
        <f>SUM(W5:W35)</f>
        <v>0</v>
      </c>
      <c r="X36" s="39"/>
      <c r="Y36" s="40">
        <f>SUM(Y5:Y35)</f>
        <v>3.4610000000000021</v>
      </c>
      <c r="Z36" s="40">
        <f>SUM(Z5:Z35)</f>
        <v>10.625270000000006</v>
      </c>
      <c r="AA36" s="14"/>
      <c r="AB36" s="39"/>
      <c r="AC36" s="40">
        <f>SUM(AC5:AC35)</f>
        <v>407</v>
      </c>
      <c r="AD36" s="40">
        <f>AC36*3.07</f>
        <v>1249.49</v>
      </c>
      <c r="AF36" s="40">
        <f>SUM(AF5:AF35)</f>
        <v>-4.2396700000000038</v>
      </c>
    </row>
    <row r="37" spans="1:32" x14ac:dyDescent="0.2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V37" s="3"/>
      <c r="W37" s="3"/>
      <c r="X37" s="3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"/>
  <sheetViews>
    <sheetView workbookViewId="0">
      <selection activeCell="E9" sqref="E9"/>
    </sheetView>
  </sheetViews>
  <sheetFormatPr defaultRowHeight="12.75" x14ac:dyDescent="0.2"/>
  <cols>
    <col min="1" max="1" width="8.7109375" style="57" customWidth="1"/>
    <col min="2" max="2" width="8.140625" style="57" customWidth="1"/>
    <col min="3" max="3" width="11.140625" style="57" customWidth="1"/>
    <col min="4" max="4" width="11.28515625" style="57" customWidth="1"/>
  </cols>
  <sheetData>
    <row r="1" spans="1:4" ht="78.75" customHeight="1" x14ac:dyDescent="0.2">
      <c r="A1" s="60" t="s">
        <v>22</v>
      </c>
      <c r="B1" s="60" t="s">
        <v>19</v>
      </c>
      <c r="C1" s="60" t="s">
        <v>20</v>
      </c>
      <c r="D1" s="60" t="s">
        <v>21</v>
      </c>
    </row>
    <row r="2" spans="1:4" ht="14.25" customHeight="1" x14ac:dyDescent="0.2">
      <c r="A2" s="59">
        <v>2007</v>
      </c>
      <c r="B2" s="62">
        <v>2018.45</v>
      </c>
      <c r="C2" s="63">
        <v>21304.77</v>
      </c>
      <c r="D2" s="63">
        <v>418.32</v>
      </c>
    </row>
    <row r="3" spans="1:4" ht="14.25" customHeight="1" x14ac:dyDescent="0.2">
      <c r="A3" s="59">
        <v>2008</v>
      </c>
      <c r="B3" s="62">
        <v>2024.98</v>
      </c>
      <c r="C3" s="63">
        <v>23012.07</v>
      </c>
      <c r="D3" s="63">
        <v>685.99</v>
      </c>
    </row>
    <row r="4" spans="1:4" ht="14.25" customHeight="1" x14ac:dyDescent="0.2">
      <c r="A4" s="59">
        <v>2009</v>
      </c>
      <c r="B4" s="62">
        <v>2018.45</v>
      </c>
      <c r="C4" s="63">
        <v>20699.900000000001</v>
      </c>
      <c r="D4" s="63">
        <v>673.84</v>
      </c>
    </row>
    <row r="5" spans="1:4" ht="14.25" customHeight="1" x14ac:dyDescent="0.2">
      <c r="A5" s="59">
        <v>2010</v>
      </c>
      <c r="B5" s="62">
        <v>1681.12</v>
      </c>
      <c r="C5" s="63">
        <v>19441.12</v>
      </c>
      <c r="D5" s="63">
        <v>952.71</v>
      </c>
    </row>
    <row r="6" spans="1:4" ht="14.25" customHeight="1" x14ac:dyDescent="0.2">
      <c r="A6" s="59">
        <v>2011</v>
      </c>
      <c r="B6" s="62">
        <v>2018.45</v>
      </c>
      <c r="C6" s="63">
        <v>22152.06</v>
      </c>
      <c r="D6" s="63">
        <v>1107.26</v>
      </c>
    </row>
    <row r="7" spans="1:4" ht="14.25" customHeight="1" x14ac:dyDescent="0.2">
      <c r="A7" s="59">
        <v>2012</v>
      </c>
      <c r="B7" s="62">
        <v>2024.98</v>
      </c>
      <c r="C7" s="63">
        <v>24475.3</v>
      </c>
      <c r="D7" s="63">
        <v>1514.93</v>
      </c>
    </row>
    <row r="8" spans="1:4" ht="14.25" customHeight="1" x14ac:dyDescent="0.2">
      <c r="A8" s="58">
        <v>2013</v>
      </c>
      <c r="B8" s="64">
        <f>Summary!M17</f>
        <v>2018.4500000000003</v>
      </c>
      <c r="C8" s="64">
        <f>Summary!B17+Summary!F17</f>
        <v>20035.01341000001</v>
      </c>
      <c r="D8" s="64">
        <f>Summary!K17+Summary!L17</f>
        <v>1317.6880979976008</v>
      </c>
    </row>
    <row r="10" spans="1:4" x14ac:dyDescent="0.2">
      <c r="A10" s="61" t="s">
        <v>23</v>
      </c>
      <c r="B10" s="71" t="s">
        <v>24</v>
      </c>
      <c r="C10" s="72"/>
      <c r="D10" s="72"/>
    </row>
  </sheetData>
  <mergeCells count="1">
    <mergeCell ref="B10:D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9"/>
  <sheetViews>
    <sheetView workbookViewId="0">
      <selection activeCell="B20" sqref="B20"/>
    </sheetView>
  </sheetViews>
  <sheetFormatPr defaultRowHeight="12.75" x14ac:dyDescent="0.2"/>
  <cols>
    <col min="1" max="1" width="14.5703125" bestFit="1" customWidth="1"/>
    <col min="2" max="2" width="16" bestFit="1" customWidth="1"/>
    <col min="3" max="3" width="16.28515625" bestFit="1" customWidth="1"/>
    <col min="4" max="4" width="16.85546875" bestFit="1" customWidth="1"/>
    <col min="5" max="5" width="15.7109375" bestFit="1" customWidth="1"/>
    <col min="6" max="6" width="13.85546875" bestFit="1" customWidth="1"/>
    <col min="7" max="7" width="21.85546875" bestFit="1" customWidth="1"/>
    <col min="8" max="8" width="14.140625" bestFit="1" customWidth="1"/>
    <col min="9" max="9" width="13.5703125" bestFit="1" customWidth="1"/>
    <col min="11" max="11" width="15.7109375" bestFit="1" customWidth="1"/>
    <col min="12" max="12" width="13.7109375" customWidth="1"/>
    <col min="13" max="13" width="15.28515625" customWidth="1"/>
  </cols>
  <sheetData>
    <row r="1" spans="1:13" s="49" customFormat="1" ht="25.5" x14ac:dyDescent="0.2">
      <c r="B1" s="48" t="s">
        <v>10</v>
      </c>
      <c r="C1" s="48" t="s">
        <v>11</v>
      </c>
      <c r="D1" s="48" t="s">
        <v>12</v>
      </c>
      <c r="E1" s="48" t="s">
        <v>13</v>
      </c>
      <c r="F1" s="48" t="s">
        <v>4</v>
      </c>
      <c r="G1" s="48" t="s">
        <v>3</v>
      </c>
      <c r="H1" s="48" t="s">
        <v>6</v>
      </c>
      <c r="I1" s="48" t="s">
        <v>7</v>
      </c>
      <c r="J1" s="48"/>
      <c r="K1" s="54" t="s">
        <v>16</v>
      </c>
      <c r="L1" s="54" t="s">
        <v>17</v>
      </c>
      <c r="M1" s="54" t="s">
        <v>18</v>
      </c>
    </row>
    <row r="2" spans="1:13" s="2" customFormat="1" x14ac:dyDescent="0.2">
      <c r="B2" s="51" t="s">
        <v>2</v>
      </c>
      <c r="C2" s="51" t="s">
        <v>2</v>
      </c>
      <c r="D2" s="51" t="s">
        <v>2</v>
      </c>
      <c r="E2" s="51" t="s">
        <v>2</v>
      </c>
      <c r="F2" s="51" t="s">
        <v>2</v>
      </c>
      <c r="G2" s="51" t="s">
        <v>2</v>
      </c>
      <c r="H2" s="51" t="s">
        <v>2</v>
      </c>
      <c r="I2" s="51" t="s">
        <v>2</v>
      </c>
      <c r="J2" s="19"/>
      <c r="K2" s="51" t="s">
        <v>2</v>
      </c>
      <c r="L2" s="55" t="s">
        <v>2</v>
      </c>
      <c r="M2" s="55" t="s">
        <v>2</v>
      </c>
    </row>
    <row r="3" spans="1:13" x14ac:dyDescent="0.2">
      <c r="A3" s="50">
        <v>41214</v>
      </c>
      <c r="B3" s="18">
        <f>November!D35</f>
        <v>0</v>
      </c>
      <c r="C3" s="18">
        <f>November!G35</f>
        <v>0</v>
      </c>
      <c r="D3" s="18">
        <f>November!J35</f>
        <v>254.62579999999997</v>
      </c>
      <c r="E3" s="18">
        <f>November!M35</f>
        <v>0.34074851</v>
      </c>
      <c r="F3" s="18">
        <f>November!Q35</f>
        <v>1170.6314318999996</v>
      </c>
      <c r="G3" s="18">
        <f>November!T35</f>
        <v>1177.4278899999995</v>
      </c>
      <c r="H3" s="18">
        <f>November!W35</f>
        <v>0</v>
      </c>
      <c r="I3" s="18">
        <f>November!Z35</f>
        <v>6.7969799999999951</v>
      </c>
      <c r="J3" s="50">
        <v>41214</v>
      </c>
      <c r="K3" s="18">
        <v>0</v>
      </c>
      <c r="L3" s="18">
        <v>6.7947659999999956</v>
      </c>
      <c r="M3">
        <v>165.9</v>
      </c>
    </row>
    <row r="4" spans="1:13" x14ac:dyDescent="0.2">
      <c r="A4" s="50">
        <v>41244</v>
      </c>
      <c r="B4" s="18">
        <f>December!D36</f>
        <v>738.94899999999109</v>
      </c>
      <c r="C4" s="18">
        <f>December!G36</f>
        <v>89.03</v>
      </c>
      <c r="D4" s="18">
        <f>December!J36</f>
        <v>624.69587999999999</v>
      </c>
      <c r="E4" s="18">
        <f>December!M36</f>
        <v>5.2170229199999998</v>
      </c>
      <c r="F4" s="18">
        <f>December!Q36</f>
        <v>450.20321999999993</v>
      </c>
      <c r="G4" s="18">
        <f>December!T36</f>
        <v>453.81660999999997</v>
      </c>
      <c r="H4" s="18">
        <f>December!W36</f>
        <v>0.11972999999999999</v>
      </c>
      <c r="I4" s="18">
        <f>December!Z36</f>
        <v>2.3424099999999726</v>
      </c>
      <c r="J4" s="50">
        <v>41244</v>
      </c>
      <c r="K4" s="18">
        <v>5.2153235640000002</v>
      </c>
      <c r="L4" s="18">
        <v>13.589531999999991</v>
      </c>
      <c r="M4">
        <v>171.43</v>
      </c>
    </row>
    <row r="5" spans="1:13" x14ac:dyDescent="0.2">
      <c r="A5" s="50">
        <v>41275</v>
      </c>
      <c r="B5" s="18">
        <f>January!D36</f>
        <v>1122.6990000000021</v>
      </c>
      <c r="C5" s="18">
        <f>January!G36</f>
        <v>644.69999999999993</v>
      </c>
      <c r="D5" s="18">
        <f>January!J36</f>
        <v>578.90990000000011</v>
      </c>
      <c r="E5" s="18">
        <f>January!M36</f>
        <v>5.2213178500000001</v>
      </c>
      <c r="F5" s="18">
        <f>January!Q36</f>
        <v>-3.9909999999972426E-2</v>
      </c>
      <c r="G5" s="18">
        <f>January!T36</f>
        <v>0</v>
      </c>
      <c r="H5" s="18">
        <f>January!W36</f>
        <v>0</v>
      </c>
      <c r="I5" s="18">
        <f>January!Z36</f>
        <v>9.2100000000003485E-2</v>
      </c>
      <c r="J5" s="50">
        <v>41275</v>
      </c>
      <c r="K5" s="18">
        <v>5.2196170949999994</v>
      </c>
      <c r="L5" s="18">
        <v>9.2070000000003482E-2</v>
      </c>
      <c r="M5">
        <v>171.43</v>
      </c>
    </row>
    <row r="6" spans="1:13" x14ac:dyDescent="0.2">
      <c r="A6" s="50">
        <v>41306</v>
      </c>
      <c r="B6" s="18">
        <f>February!D34</f>
        <v>920.69300000000453</v>
      </c>
      <c r="C6" s="18">
        <f>February!G34</f>
        <v>531.11000000000013</v>
      </c>
      <c r="D6" s="18">
        <f>February!J34</f>
        <v>425.77829999999994</v>
      </c>
      <c r="E6" s="18">
        <f>February!M34</f>
        <v>21.251893869999996</v>
      </c>
      <c r="F6" s="18">
        <f>February!Q34</f>
        <v>0</v>
      </c>
      <c r="G6" s="18">
        <f>February!T34</f>
        <v>0</v>
      </c>
      <c r="H6" s="18">
        <f>February!W34</f>
        <v>0</v>
      </c>
      <c r="I6" s="18">
        <f>February!Z34</f>
        <v>-3.4087714299999998</v>
      </c>
      <c r="J6" s="50">
        <v>41306</v>
      </c>
      <c r="K6" s="18">
        <v>21.244971429</v>
      </c>
      <c r="L6" s="18">
        <v>1.2910669200000143E-2</v>
      </c>
      <c r="M6">
        <v>154.84</v>
      </c>
    </row>
    <row r="7" spans="1:13" x14ac:dyDescent="0.2">
      <c r="A7" s="50">
        <v>41334</v>
      </c>
      <c r="B7" s="18">
        <f>March!D36</f>
        <v>1022.0029999999933</v>
      </c>
      <c r="C7" s="18">
        <f>March!G36</f>
        <v>442.0800000000001</v>
      </c>
      <c r="D7" s="18">
        <f>March!J36</f>
        <v>582.59389999999996</v>
      </c>
      <c r="E7" s="18">
        <f>March!M36</f>
        <v>87.674883580000014</v>
      </c>
      <c r="F7" s="18">
        <f>March!Q36</f>
        <v>0</v>
      </c>
      <c r="G7" s="18">
        <f>March!T36</f>
        <v>0</v>
      </c>
      <c r="H7" s="18">
        <f>March!W36</f>
        <v>0</v>
      </c>
      <c r="I7" s="18">
        <f>March!Z36</f>
        <v>0</v>
      </c>
      <c r="J7" s="50">
        <v>41334</v>
      </c>
      <c r="K7" s="18">
        <v>87.64632498600001</v>
      </c>
      <c r="L7" s="18">
        <v>0</v>
      </c>
      <c r="M7">
        <v>171.43</v>
      </c>
    </row>
    <row r="8" spans="1:13" x14ac:dyDescent="0.2">
      <c r="A8" s="50">
        <v>41365</v>
      </c>
      <c r="B8" s="18">
        <f>April!D35</f>
        <v>1017.7049999999999</v>
      </c>
      <c r="C8" s="18">
        <f>April!G35</f>
        <v>497.34000000000003</v>
      </c>
      <c r="D8" s="18">
        <f>April!J35</f>
        <v>550.97289999999998</v>
      </c>
      <c r="E8" s="18">
        <f>April!M35</f>
        <v>89.867744669999993</v>
      </c>
      <c r="F8" s="18">
        <f>April!Q35</f>
        <v>0</v>
      </c>
      <c r="G8" s="18">
        <f>April!T35</f>
        <v>0</v>
      </c>
      <c r="H8" s="18">
        <f>April!W35</f>
        <v>0</v>
      </c>
      <c r="I8" s="18">
        <f>April!Z35</f>
        <v>0</v>
      </c>
      <c r="J8" s="50">
        <v>41365</v>
      </c>
      <c r="K8" s="18">
        <v>89.838471788999996</v>
      </c>
      <c r="L8" s="18">
        <v>0</v>
      </c>
      <c r="M8">
        <v>165.9</v>
      </c>
    </row>
    <row r="9" spans="1:13" x14ac:dyDescent="0.2">
      <c r="A9" s="50">
        <v>41395</v>
      </c>
      <c r="B9" s="18">
        <f>May!D36</f>
        <v>1606.5310000000088</v>
      </c>
      <c r="C9" s="18">
        <f>May!G36</f>
        <v>1108.27</v>
      </c>
      <c r="D9" s="18">
        <f>May!J36</f>
        <v>569.57709999999997</v>
      </c>
      <c r="E9" s="18">
        <f>May!M36</f>
        <v>122.42436401000002</v>
      </c>
      <c r="F9" s="18">
        <f>May!Q36</f>
        <v>0</v>
      </c>
      <c r="G9" s="18">
        <f>May!T36</f>
        <v>0</v>
      </c>
      <c r="H9" s="18">
        <f>May!W36</f>
        <v>0</v>
      </c>
      <c r="I9" s="18">
        <f>May!Z36</f>
        <v>0</v>
      </c>
      <c r="J9" s="50">
        <v>41395</v>
      </c>
      <c r="K9" s="18">
        <v>122.38448636700004</v>
      </c>
      <c r="L9" s="18">
        <v>0</v>
      </c>
      <c r="M9">
        <v>171.43</v>
      </c>
    </row>
    <row r="10" spans="1:13" x14ac:dyDescent="0.2">
      <c r="A10" s="50">
        <v>41426</v>
      </c>
      <c r="B10" s="18">
        <f>June!D35</f>
        <v>2478.4109999999978</v>
      </c>
      <c r="C10" s="18">
        <f>June!G35</f>
        <v>1811.3</v>
      </c>
      <c r="D10" s="18">
        <f>June!J35</f>
        <v>782.6658000000001</v>
      </c>
      <c r="E10" s="18" t="e">
        <f>June!M35</f>
        <v>#REF!</v>
      </c>
      <c r="F10" s="18">
        <f>June!Q35</f>
        <v>404.31593000000004</v>
      </c>
      <c r="G10" s="18">
        <f>June!T35</f>
        <v>417.97129000000007</v>
      </c>
      <c r="H10" s="18">
        <f>June!W35</f>
        <v>0</v>
      </c>
      <c r="I10" s="18" t="e">
        <f>June!Z35</f>
        <v>#REF!</v>
      </c>
      <c r="J10" s="50">
        <v>41426</v>
      </c>
      <c r="K10" s="18">
        <v>194.93246774670283</v>
      </c>
      <c r="L10" s="18">
        <v>10.75684500000002</v>
      </c>
      <c r="M10">
        <v>165.9</v>
      </c>
    </row>
    <row r="11" spans="1:13" x14ac:dyDescent="0.2">
      <c r="A11" s="50">
        <v>41456</v>
      </c>
      <c r="B11" s="18">
        <f>July!D36</f>
        <v>2114.6159999999977</v>
      </c>
      <c r="C11" s="18">
        <f>July!G36</f>
        <v>589.43999999999994</v>
      </c>
      <c r="D11" s="18">
        <f>July!J36</f>
        <v>1513.6327999999999</v>
      </c>
      <c r="E11" s="18" t="e">
        <f>July!M36</f>
        <v>#REF!</v>
      </c>
      <c r="F11" s="18">
        <f>July!Q36</f>
        <v>1026.1720600000003</v>
      </c>
      <c r="G11" s="18">
        <f>July!T36</f>
        <v>1057.85753</v>
      </c>
      <c r="H11" s="18">
        <f>July!W36</f>
        <v>6.1399999999999996E-3</v>
      </c>
      <c r="I11" s="18" t="e">
        <f>July!Z36</f>
        <v>#REF!</v>
      </c>
      <c r="J11" s="50">
        <v>41456</v>
      </c>
      <c r="K11" s="18">
        <v>159.2117638808856</v>
      </c>
      <c r="L11" s="18">
        <v>32.025015000000003</v>
      </c>
      <c r="M11">
        <v>171.43</v>
      </c>
    </row>
    <row r="12" spans="1:13" x14ac:dyDescent="0.2">
      <c r="A12" s="50">
        <v>41487</v>
      </c>
      <c r="B12" s="18">
        <f>August!D36</f>
        <v>1915.9869999999955</v>
      </c>
      <c r="C12" s="18">
        <f>August!G36</f>
        <v>589.43999999999994</v>
      </c>
      <c r="D12" s="18">
        <f>August!J36</f>
        <v>1310.3987999999999</v>
      </c>
      <c r="E12" s="18" t="e">
        <f>August!M36</f>
        <v>#REF!</v>
      </c>
      <c r="F12" s="18">
        <f>August!Q36</f>
        <v>1038.7805499999999</v>
      </c>
      <c r="G12" s="18">
        <f>August!T36</f>
        <v>1075.6512499999997</v>
      </c>
      <c r="H12" s="18">
        <f>August!W36</f>
        <v>0</v>
      </c>
      <c r="I12" s="18" t="e">
        <f>August!Z36</f>
        <v>#REF!</v>
      </c>
      <c r="J12" s="50">
        <v>41487</v>
      </c>
      <c r="K12" s="18">
        <v>156.77082742524124</v>
      </c>
      <c r="L12" s="18">
        <v>37.767113999999999</v>
      </c>
      <c r="M12">
        <v>171.43</v>
      </c>
    </row>
    <row r="13" spans="1:13" x14ac:dyDescent="0.2">
      <c r="A13" s="50">
        <v>41518</v>
      </c>
      <c r="B13" s="18">
        <f>September!D35</f>
        <v>1437.0670000000066</v>
      </c>
      <c r="C13" s="18">
        <f>September!G35</f>
        <v>141.21999999999997</v>
      </c>
      <c r="D13" s="18">
        <f>September!J35</f>
        <v>1231.4997999999998</v>
      </c>
      <c r="E13" s="18">
        <f>September!M35</f>
        <v>140.21348208000001</v>
      </c>
      <c r="F13" s="18">
        <f>September!Q35</f>
        <v>523.75427999999988</v>
      </c>
      <c r="G13" s="18">
        <f>September!T35</f>
        <v>550.47248999999999</v>
      </c>
      <c r="H13" s="18">
        <f>September!W35</f>
        <v>0</v>
      </c>
      <c r="I13" s="18">
        <f>September!Z35</f>
        <v>26.718209999999996</v>
      </c>
      <c r="J13" s="50">
        <v>41518</v>
      </c>
      <c r="K13" s="18">
        <v>140.16780993599997</v>
      </c>
      <c r="L13" s="18">
        <v>26.709507000000009</v>
      </c>
      <c r="M13">
        <v>165.9</v>
      </c>
    </row>
    <row r="14" spans="1:13" x14ac:dyDescent="0.2">
      <c r="A14" s="50">
        <v>41548</v>
      </c>
      <c r="B14" s="18">
        <f>October!D36</f>
        <v>1168.135</v>
      </c>
      <c r="C14" s="18">
        <f>October!G36</f>
        <v>267.09000000000003</v>
      </c>
      <c r="D14" s="18">
        <f>October!J36</f>
        <v>882.77850000000001</v>
      </c>
      <c r="E14" s="18">
        <f>October!M36</f>
        <v>104.20382804999998</v>
      </c>
      <c r="F14" s="18">
        <f>October!Q36</f>
        <v>81.35499999999999</v>
      </c>
      <c r="G14" s="18">
        <f>October!T36</f>
        <v>87.740600000000001</v>
      </c>
      <c r="H14" s="18">
        <f>October!W36</f>
        <v>0</v>
      </c>
      <c r="I14" s="18">
        <f>October!Z36</f>
        <v>10.625270000000006</v>
      </c>
      <c r="J14" s="50">
        <v>41548</v>
      </c>
      <c r="K14" s="18">
        <v>104.83310581957096</v>
      </c>
      <c r="L14" s="18">
        <v>10.621809000000008</v>
      </c>
      <c r="M14">
        <v>171.43</v>
      </c>
    </row>
    <row r="15" spans="1:13" x14ac:dyDescent="0.2">
      <c r="A15" s="50">
        <v>41579</v>
      </c>
      <c r="B15" s="18">
        <v>359.80400000000213</v>
      </c>
      <c r="C15" s="18">
        <v>79.819999999999993</v>
      </c>
      <c r="D15" s="18">
        <v>269.11619999999994</v>
      </c>
      <c r="E15" s="18">
        <v>33.812123469999996</v>
      </c>
      <c r="F15" s="18">
        <v>720.10226999999998</v>
      </c>
      <c r="G15" s="18">
        <v>754.17926999999997</v>
      </c>
      <c r="H15" s="18">
        <v>3.0699999999999998E-3</v>
      </c>
      <c r="I15" s="18">
        <v>34.080069999999999</v>
      </c>
      <c r="J15" s="50">
        <v>41579</v>
      </c>
      <c r="K15" s="18">
        <v>33.801109748999998</v>
      </c>
      <c r="L15" s="18">
        <v>34.068968999999996</v>
      </c>
      <c r="M15">
        <v>165.9</v>
      </c>
    </row>
    <row r="16" spans="1:13" x14ac:dyDescent="0.2">
      <c r="A16" s="50">
        <v>41609</v>
      </c>
      <c r="B16" s="18">
        <v>0</v>
      </c>
      <c r="C16" s="18">
        <v>153.5</v>
      </c>
      <c r="D16" s="18">
        <v>0</v>
      </c>
      <c r="E16" s="18">
        <v>1.43689815</v>
      </c>
      <c r="F16" s="18">
        <v>1076.9222300000001</v>
      </c>
      <c r="G16" s="18">
        <v>1125.08439</v>
      </c>
      <c r="H16" s="18">
        <v>0</v>
      </c>
      <c r="I16" s="18">
        <v>48.162159999999993</v>
      </c>
      <c r="J16" s="50">
        <v>41609</v>
      </c>
      <c r="K16" s="18">
        <v>1.4364301050000001</v>
      </c>
      <c r="L16" s="18">
        <v>48.146472000000003</v>
      </c>
      <c r="M16">
        <v>171.43</v>
      </c>
    </row>
    <row r="17" spans="1:13" x14ac:dyDescent="0.2">
      <c r="A17" s="52" t="s">
        <v>14</v>
      </c>
      <c r="B17" s="56">
        <f>SUM(B5:B16)</f>
        <v>15163.651000000009</v>
      </c>
      <c r="C17" s="56">
        <f t="shared" ref="C17:I17" si="0">SUM(C5:C16)</f>
        <v>6855.3099999999995</v>
      </c>
      <c r="D17" s="56">
        <f t="shared" si="0"/>
        <v>8697.9239999999991</v>
      </c>
      <c r="E17" s="56" t="e">
        <f t="shared" si="0"/>
        <v>#REF!</v>
      </c>
      <c r="F17" s="56">
        <f t="shared" si="0"/>
        <v>4871.3624100000006</v>
      </c>
      <c r="G17" s="56">
        <f t="shared" si="0"/>
        <v>5068.9568199999994</v>
      </c>
      <c r="H17" s="56">
        <f t="shared" si="0"/>
        <v>9.2099999999999994E-3</v>
      </c>
      <c r="I17" s="56" t="e">
        <f t="shared" si="0"/>
        <v>#REF!</v>
      </c>
      <c r="J17" s="56"/>
      <c r="K17" s="56">
        <f t="shared" ref="K17" si="1">SUM(K5:K16)</f>
        <v>1117.4873863284008</v>
      </c>
      <c r="L17" s="56">
        <f t="shared" ref="L17:M17" si="2">SUM(L5:L16)</f>
        <v>200.20071166920007</v>
      </c>
      <c r="M17" s="56">
        <f t="shared" si="2"/>
        <v>2018.4500000000003</v>
      </c>
    </row>
    <row r="18" spans="1:13" x14ac:dyDescent="0.2">
      <c r="A18" s="53" t="s">
        <v>15</v>
      </c>
      <c r="B18" s="56">
        <f>SUM(B3:B14)</f>
        <v>15542.795999999998</v>
      </c>
      <c r="C18" s="56">
        <f t="shared" ref="C18:I18" si="3">SUM(C3:C14)</f>
        <v>6711.0199999999995</v>
      </c>
      <c r="D18" s="56">
        <f t="shared" si="3"/>
        <v>9308.1294800000014</v>
      </c>
      <c r="E18" s="56" t="e">
        <f t="shared" si="3"/>
        <v>#REF!</v>
      </c>
      <c r="F18" s="56">
        <f t="shared" si="3"/>
        <v>4695.172561899999</v>
      </c>
      <c r="G18" s="56">
        <f t="shared" si="3"/>
        <v>4820.9376599999996</v>
      </c>
      <c r="H18" s="56">
        <f t="shared" si="3"/>
        <v>0.12586999999999998</v>
      </c>
      <c r="I18" s="56" t="e">
        <f t="shared" si="3"/>
        <v>#REF!</v>
      </c>
      <c r="J18" s="56"/>
      <c r="K18" s="56">
        <f t="shared" ref="K18:L18" si="4">SUM(K3:K14)</f>
        <v>1087.4651700384006</v>
      </c>
      <c r="L18" s="56">
        <f t="shared" si="4"/>
        <v>138.36956866920002</v>
      </c>
      <c r="M18" s="56">
        <f t="shared" ref="M18" si="5">SUM(M3:M14)</f>
        <v>2018.4500000000003</v>
      </c>
    </row>
    <row r="19" spans="1:13" x14ac:dyDescent="0.2">
      <c r="K19" s="18"/>
      <c r="L19" s="1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9E3D5A97D13E42A3FA97F9F6490356" ma:contentTypeVersion="7" ma:contentTypeDescription="Create a new document." ma:contentTypeScope="" ma:versionID="28c826bd0c557c42625fe5e73ffe2532">
  <xsd:schema xmlns:xsd="http://www.w3.org/2001/XMLSchema" xmlns:xs="http://www.w3.org/2001/XMLSchema" xmlns:p="http://schemas.microsoft.com/office/2006/metadata/properties" xmlns:ns2="c3ceea8c-8d7b-4050-a6dd-ca802b319f33" targetNamespace="http://schemas.microsoft.com/office/2006/metadata/properties" ma:root="true" ma:fieldsID="11134dd55bc57a9ac07ab25088c1a3a5" ns2:_="">
    <xsd:import namespace="c3ceea8c-8d7b-4050-a6dd-ca802b319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eea8c-8d7b-4050-a6dd-ca802b319f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E6F25F0-3BAA-471F-95AD-DDCC2D5F55FB}"/>
</file>

<file path=customXml/itemProps2.xml><?xml version="1.0" encoding="utf-8"?>
<ds:datastoreItem xmlns:ds="http://schemas.openxmlformats.org/officeDocument/2006/customXml" ds:itemID="{06B38267-E32E-4CF7-8D97-C9A4B60A824E}"/>
</file>

<file path=customXml/itemProps3.xml><?xml version="1.0" encoding="utf-8"?>
<ds:datastoreItem xmlns:ds="http://schemas.openxmlformats.org/officeDocument/2006/customXml" ds:itemID="{074F052E-788C-41A4-BE2A-5502F8C9889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Sheet2</vt:lpstr>
      <vt:lpstr>Summary</vt:lpstr>
      <vt:lpstr>February!Print_Area</vt:lpstr>
      <vt:lpstr>May!Print_Area</vt:lpstr>
      <vt:lpstr>November!Print_Area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John Orr</cp:lastModifiedBy>
  <cp:lastPrinted>2012-07-11T20:09:08Z</cp:lastPrinted>
  <dcterms:created xsi:type="dcterms:W3CDTF">2004-01-27T20:05:57Z</dcterms:created>
  <dcterms:modified xsi:type="dcterms:W3CDTF">2014-11-03T20:55:19Z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0x010100C69E3D5A97D13E42A3FA97F9F6490356</vt:lpwstr>
  </property>
</Properties>
</file>