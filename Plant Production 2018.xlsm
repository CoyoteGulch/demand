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oyotegulch/Documents/Demand Management /"/>
    </mc:Choice>
  </mc:AlternateContent>
  <xr:revisionPtr revIDLastSave="0" documentId="13_ncr:1_{557E5742-4D80-5C4E-89E3-B1BD969C71BF}" xr6:coauthVersionLast="45" xr6:coauthVersionMax="45" xr10:uidLastSave="{00000000-0000-0000-0000-000000000000}"/>
  <bookViews>
    <workbookView xWindow="28980" yWindow="2800" windowWidth="19680" windowHeight="17040" tabRatio="706" firstSheet="3" activeTab="3" xr2:uid="{00000000-000D-0000-FFFF-FFFF00000000}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6" r:id="rId9"/>
    <sheet name="August" sheetId="11" r:id="rId10"/>
    <sheet name="September" sheetId="12" r:id="rId11"/>
    <sheet name="October" sheetId="5" r:id="rId12"/>
    <sheet name="Summary" sheetId="15" r:id="rId13"/>
  </sheets>
  <externalReferences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7" hidden="1">June!$AC$1:$AC$43</definedName>
    <definedName name="_xlnm._FilterDatabase" localSheetId="10" hidden="1">September!$AC$1:$AC$38</definedName>
    <definedName name="_xlnm.Print_Area" localSheetId="3">February!$A$1:$M$34</definedName>
    <definedName name="_xlnm.Print_Area" localSheetId="6">May!$A$1:$Z$36</definedName>
    <definedName name="_xlnm.Print_Area" localSheetId="0">November!$O$1:$AD$36</definedName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D6" i="5" s="1"/>
  <c r="E6" i="5"/>
  <c r="F6" i="5" s="1"/>
  <c r="G6" i="5" s="1"/>
  <c r="H6" i="5"/>
  <c r="I6" i="5" s="1"/>
  <c r="J6" i="5" s="1"/>
  <c r="K6" i="5"/>
  <c r="L6" i="5" s="1"/>
  <c r="M6" i="5" s="1"/>
  <c r="O6" i="5"/>
  <c r="P6" i="5" s="1"/>
  <c r="Q6" i="5" s="1"/>
  <c r="R6" i="5"/>
  <c r="S6" i="5" s="1"/>
  <c r="T6" i="5" s="1"/>
  <c r="U6" i="5"/>
  <c r="V6" i="5" s="1"/>
  <c r="W6" i="5" s="1"/>
  <c r="X6" i="5"/>
  <c r="Y6" i="5" s="1"/>
  <c r="Z6" i="5" s="1"/>
  <c r="B7" i="5"/>
  <c r="C7" i="5" s="1"/>
  <c r="D7" i="5" s="1"/>
  <c r="E7" i="5"/>
  <c r="F7" i="5" s="1"/>
  <c r="G7" i="5" s="1"/>
  <c r="H7" i="5"/>
  <c r="I7" i="5" s="1"/>
  <c r="J7" i="5" s="1"/>
  <c r="K7" i="5"/>
  <c r="L7" i="5" s="1"/>
  <c r="M7" i="5" s="1"/>
  <c r="O7" i="5"/>
  <c r="P7" i="5" s="1"/>
  <c r="Q7" i="5" s="1"/>
  <c r="R7" i="5"/>
  <c r="S7" i="5" s="1"/>
  <c r="T7" i="5" s="1"/>
  <c r="U7" i="5"/>
  <c r="V7" i="5" s="1"/>
  <c r="W7" i="5" s="1"/>
  <c r="X7" i="5"/>
  <c r="Y7" i="5" s="1"/>
  <c r="Z7" i="5" s="1"/>
  <c r="B8" i="5"/>
  <c r="C8" i="5" s="1"/>
  <c r="D8" i="5" s="1"/>
  <c r="E8" i="5"/>
  <c r="F8" i="5" s="1"/>
  <c r="G8" i="5" s="1"/>
  <c r="H8" i="5"/>
  <c r="I8" i="5" s="1"/>
  <c r="J8" i="5" s="1"/>
  <c r="K8" i="5"/>
  <c r="L8" i="5" s="1"/>
  <c r="M8" i="5" s="1"/>
  <c r="O8" i="5"/>
  <c r="P8" i="5" s="1"/>
  <c r="Q8" i="5" s="1"/>
  <c r="R8" i="5"/>
  <c r="S8" i="5" s="1"/>
  <c r="T8" i="5" s="1"/>
  <c r="U8" i="5"/>
  <c r="V8" i="5" s="1"/>
  <c r="W8" i="5" s="1"/>
  <c r="X8" i="5"/>
  <c r="Y8" i="5" s="1"/>
  <c r="Z8" i="5" s="1"/>
  <c r="B9" i="5"/>
  <c r="C9" i="5" s="1"/>
  <c r="D9" i="5" s="1"/>
  <c r="E9" i="5"/>
  <c r="F9" i="5" s="1"/>
  <c r="G9" i="5" s="1"/>
  <c r="H9" i="5"/>
  <c r="I9" i="5" s="1"/>
  <c r="J9" i="5" s="1"/>
  <c r="K9" i="5"/>
  <c r="L9" i="5" s="1"/>
  <c r="M9" i="5" s="1"/>
  <c r="O9" i="5"/>
  <c r="P9" i="5" s="1"/>
  <c r="Q9" i="5" s="1"/>
  <c r="R9" i="5"/>
  <c r="S9" i="5" s="1"/>
  <c r="T9" i="5" s="1"/>
  <c r="U9" i="5"/>
  <c r="V9" i="5" s="1"/>
  <c r="W9" i="5" s="1"/>
  <c r="X9" i="5"/>
  <c r="Y9" i="5" s="1"/>
  <c r="Z9" i="5" s="1"/>
  <c r="B10" i="5"/>
  <c r="C10" i="5" s="1"/>
  <c r="D10" i="5" s="1"/>
  <c r="E10" i="5"/>
  <c r="F10" i="5" s="1"/>
  <c r="G10" i="5" s="1"/>
  <c r="H10" i="5"/>
  <c r="I10" i="5" s="1"/>
  <c r="J10" i="5" s="1"/>
  <c r="K10" i="5"/>
  <c r="L10" i="5" s="1"/>
  <c r="M10" i="5" s="1"/>
  <c r="O10" i="5"/>
  <c r="P10" i="5" s="1"/>
  <c r="Q10" i="5" s="1"/>
  <c r="R10" i="5"/>
  <c r="S10" i="5" s="1"/>
  <c r="T10" i="5" s="1"/>
  <c r="U10" i="5"/>
  <c r="V10" i="5" s="1"/>
  <c r="W10" i="5" s="1"/>
  <c r="X10" i="5"/>
  <c r="Y10" i="5" s="1"/>
  <c r="Z10" i="5" s="1"/>
  <c r="B11" i="5"/>
  <c r="C11" i="5" s="1"/>
  <c r="D11" i="5" s="1"/>
  <c r="E11" i="5"/>
  <c r="F11" i="5" s="1"/>
  <c r="G11" i="5" s="1"/>
  <c r="H11" i="5"/>
  <c r="I11" i="5" s="1"/>
  <c r="J11" i="5" s="1"/>
  <c r="K11" i="5"/>
  <c r="L11" i="5" s="1"/>
  <c r="M11" i="5" s="1"/>
  <c r="O11" i="5"/>
  <c r="P11" i="5" s="1"/>
  <c r="Q11" i="5" s="1"/>
  <c r="R11" i="5"/>
  <c r="S11" i="5" s="1"/>
  <c r="T11" i="5" s="1"/>
  <c r="U11" i="5"/>
  <c r="V11" i="5" s="1"/>
  <c r="W11" i="5" s="1"/>
  <c r="X11" i="5"/>
  <c r="Y11" i="5" s="1"/>
  <c r="Z11" i="5" s="1"/>
  <c r="B12" i="5"/>
  <c r="C12" i="5" s="1"/>
  <c r="D12" i="5" s="1"/>
  <c r="E12" i="5"/>
  <c r="F12" i="5" s="1"/>
  <c r="G12" i="5" s="1"/>
  <c r="H12" i="5"/>
  <c r="I12" i="5" s="1"/>
  <c r="J12" i="5" s="1"/>
  <c r="K12" i="5"/>
  <c r="L12" i="5" s="1"/>
  <c r="M12" i="5" s="1"/>
  <c r="O12" i="5"/>
  <c r="P12" i="5" s="1"/>
  <c r="Q12" i="5" s="1"/>
  <c r="R12" i="5"/>
  <c r="S12" i="5" s="1"/>
  <c r="T12" i="5" s="1"/>
  <c r="U12" i="5"/>
  <c r="V12" i="5" s="1"/>
  <c r="W12" i="5" s="1"/>
  <c r="X12" i="5"/>
  <c r="Y12" i="5" s="1"/>
  <c r="Z12" i="5" s="1"/>
  <c r="B13" i="5"/>
  <c r="C13" i="5" s="1"/>
  <c r="D13" i="5" s="1"/>
  <c r="E13" i="5"/>
  <c r="F13" i="5" s="1"/>
  <c r="G13" i="5" s="1"/>
  <c r="H13" i="5"/>
  <c r="I13" i="5" s="1"/>
  <c r="J13" i="5" s="1"/>
  <c r="K13" i="5"/>
  <c r="L13" i="5" s="1"/>
  <c r="M13" i="5" s="1"/>
  <c r="O13" i="5"/>
  <c r="P13" i="5" s="1"/>
  <c r="Q13" i="5" s="1"/>
  <c r="R13" i="5"/>
  <c r="S13" i="5" s="1"/>
  <c r="T13" i="5" s="1"/>
  <c r="U13" i="5"/>
  <c r="V13" i="5" s="1"/>
  <c r="W13" i="5" s="1"/>
  <c r="X13" i="5"/>
  <c r="Y13" i="5" s="1"/>
  <c r="Z13" i="5" s="1"/>
  <c r="B14" i="5"/>
  <c r="C14" i="5" s="1"/>
  <c r="D14" i="5" s="1"/>
  <c r="E14" i="5"/>
  <c r="F14" i="5" s="1"/>
  <c r="G14" i="5" s="1"/>
  <c r="H14" i="5"/>
  <c r="I14" i="5" s="1"/>
  <c r="J14" i="5" s="1"/>
  <c r="K14" i="5"/>
  <c r="L14" i="5" s="1"/>
  <c r="M14" i="5" s="1"/>
  <c r="O14" i="5"/>
  <c r="P14" i="5" s="1"/>
  <c r="Q14" i="5" s="1"/>
  <c r="R14" i="5"/>
  <c r="S14" i="5" s="1"/>
  <c r="T14" i="5" s="1"/>
  <c r="U14" i="5"/>
  <c r="V14" i="5" s="1"/>
  <c r="W14" i="5" s="1"/>
  <c r="X14" i="5"/>
  <c r="Y14" i="5" s="1"/>
  <c r="Z14" i="5" s="1"/>
  <c r="B15" i="5"/>
  <c r="C15" i="5" s="1"/>
  <c r="D15" i="5" s="1"/>
  <c r="E15" i="5"/>
  <c r="F15" i="5" s="1"/>
  <c r="G15" i="5" s="1"/>
  <c r="H15" i="5"/>
  <c r="I15" i="5" s="1"/>
  <c r="J15" i="5" s="1"/>
  <c r="K15" i="5"/>
  <c r="L15" i="5" s="1"/>
  <c r="M15" i="5" s="1"/>
  <c r="O15" i="5"/>
  <c r="P15" i="5" s="1"/>
  <c r="Q15" i="5" s="1"/>
  <c r="R15" i="5"/>
  <c r="S15" i="5" s="1"/>
  <c r="T15" i="5" s="1"/>
  <c r="U15" i="5"/>
  <c r="V15" i="5" s="1"/>
  <c r="W15" i="5" s="1"/>
  <c r="X15" i="5"/>
  <c r="Y15" i="5" s="1"/>
  <c r="Z15" i="5" s="1"/>
  <c r="B16" i="5"/>
  <c r="C16" i="5" s="1"/>
  <c r="D16" i="5" s="1"/>
  <c r="E16" i="5"/>
  <c r="F16" i="5" s="1"/>
  <c r="G16" i="5" s="1"/>
  <c r="H16" i="5"/>
  <c r="I16" i="5" s="1"/>
  <c r="J16" i="5" s="1"/>
  <c r="K16" i="5"/>
  <c r="L16" i="5" s="1"/>
  <c r="M16" i="5" s="1"/>
  <c r="O16" i="5"/>
  <c r="P16" i="5" s="1"/>
  <c r="Q16" i="5" s="1"/>
  <c r="R16" i="5"/>
  <c r="S16" i="5" s="1"/>
  <c r="T16" i="5" s="1"/>
  <c r="U16" i="5"/>
  <c r="V16" i="5" s="1"/>
  <c r="W16" i="5" s="1"/>
  <c r="X16" i="5"/>
  <c r="Y16" i="5" s="1"/>
  <c r="Z16" i="5" s="1"/>
  <c r="B17" i="5"/>
  <c r="C17" i="5" s="1"/>
  <c r="D17" i="5" s="1"/>
  <c r="E17" i="5"/>
  <c r="F17" i="5" s="1"/>
  <c r="G17" i="5" s="1"/>
  <c r="H17" i="5"/>
  <c r="I17" i="5" s="1"/>
  <c r="J17" i="5" s="1"/>
  <c r="K17" i="5"/>
  <c r="L17" i="5" s="1"/>
  <c r="M17" i="5" s="1"/>
  <c r="O17" i="5"/>
  <c r="P17" i="5" s="1"/>
  <c r="Q17" i="5" s="1"/>
  <c r="R17" i="5"/>
  <c r="S17" i="5" s="1"/>
  <c r="T17" i="5" s="1"/>
  <c r="U17" i="5"/>
  <c r="V17" i="5" s="1"/>
  <c r="W17" i="5" s="1"/>
  <c r="X17" i="5"/>
  <c r="Y17" i="5" s="1"/>
  <c r="Z17" i="5" s="1"/>
  <c r="B18" i="5"/>
  <c r="C18" i="5" s="1"/>
  <c r="D18" i="5" s="1"/>
  <c r="E18" i="5"/>
  <c r="F18" i="5" s="1"/>
  <c r="G18" i="5" s="1"/>
  <c r="H18" i="5"/>
  <c r="I18" i="5" s="1"/>
  <c r="J18" i="5" s="1"/>
  <c r="K18" i="5"/>
  <c r="L18" i="5" s="1"/>
  <c r="M18" i="5" s="1"/>
  <c r="O18" i="5"/>
  <c r="P18" i="5" s="1"/>
  <c r="Q18" i="5" s="1"/>
  <c r="R18" i="5"/>
  <c r="S18" i="5" s="1"/>
  <c r="T18" i="5" s="1"/>
  <c r="U18" i="5"/>
  <c r="V18" i="5" s="1"/>
  <c r="W18" i="5" s="1"/>
  <c r="X18" i="5"/>
  <c r="Y18" i="5" s="1"/>
  <c r="Z18" i="5" s="1"/>
  <c r="B19" i="5"/>
  <c r="C19" i="5" s="1"/>
  <c r="D19" i="5" s="1"/>
  <c r="E19" i="5"/>
  <c r="F19" i="5" s="1"/>
  <c r="G19" i="5" s="1"/>
  <c r="H19" i="5"/>
  <c r="I19" i="5" s="1"/>
  <c r="J19" i="5" s="1"/>
  <c r="K19" i="5"/>
  <c r="L19" i="5" s="1"/>
  <c r="M19" i="5" s="1"/>
  <c r="O19" i="5"/>
  <c r="P19" i="5" s="1"/>
  <c r="Q19" i="5" s="1"/>
  <c r="R19" i="5"/>
  <c r="S19" i="5" s="1"/>
  <c r="T19" i="5" s="1"/>
  <c r="U19" i="5"/>
  <c r="V19" i="5" s="1"/>
  <c r="W19" i="5" s="1"/>
  <c r="X19" i="5"/>
  <c r="Y19" i="5" s="1"/>
  <c r="Z19" i="5" s="1"/>
  <c r="B20" i="5"/>
  <c r="C20" i="5" s="1"/>
  <c r="D20" i="5" s="1"/>
  <c r="E20" i="5"/>
  <c r="F20" i="5" s="1"/>
  <c r="G20" i="5" s="1"/>
  <c r="H20" i="5"/>
  <c r="I20" i="5" s="1"/>
  <c r="J20" i="5" s="1"/>
  <c r="K20" i="5"/>
  <c r="L20" i="5" s="1"/>
  <c r="M20" i="5" s="1"/>
  <c r="O20" i="5"/>
  <c r="P20" i="5" s="1"/>
  <c r="Q20" i="5" s="1"/>
  <c r="R20" i="5"/>
  <c r="S20" i="5" s="1"/>
  <c r="T20" i="5" s="1"/>
  <c r="U20" i="5"/>
  <c r="V20" i="5" s="1"/>
  <c r="W20" i="5" s="1"/>
  <c r="X20" i="5"/>
  <c r="Y20" i="5" s="1"/>
  <c r="Z20" i="5" s="1"/>
  <c r="B21" i="5"/>
  <c r="C21" i="5" s="1"/>
  <c r="D21" i="5" s="1"/>
  <c r="E21" i="5"/>
  <c r="F21" i="5" s="1"/>
  <c r="G21" i="5" s="1"/>
  <c r="H21" i="5"/>
  <c r="I21" i="5" s="1"/>
  <c r="J21" i="5" s="1"/>
  <c r="K21" i="5"/>
  <c r="L21" i="5" s="1"/>
  <c r="M21" i="5" s="1"/>
  <c r="O21" i="5"/>
  <c r="P21" i="5" s="1"/>
  <c r="Q21" i="5" s="1"/>
  <c r="R21" i="5"/>
  <c r="S21" i="5" s="1"/>
  <c r="T21" i="5" s="1"/>
  <c r="U21" i="5"/>
  <c r="V21" i="5" s="1"/>
  <c r="W21" i="5" s="1"/>
  <c r="X21" i="5"/>
  <c r="Y21" i="5" s="1"/>
  <c r="Z21" i="5" s="1"/>
  <c r="B22" i="5"/>
  <c r="C22" i="5" s="1"/>
  <c r="D22" i="5" s="1"/>
  <c r="E22" i="5"/>
  <c r="F22" i="5" s="1"/>
  <c r="G22" i="5" s="1"/>
  <c r="H22" i="5"/>
  <c r="I22" i="5" s="1"/>
  <c r="J22" i="5" s="1"/>
  <c r="K22" i="5"/>
  <c r="L22" i="5" s="1"/>
  <c r="M22" i="5" s="1"/>
  <c r="O22" i="5"/>
  <c r="P22" i="5" s="1"/>
  <c r="Q22" i="5" s="1"/>
  <c r="R22" i="5"/>
  <c r="S22" i="5" s="1"/>
  <c r="T22" i="5" s="1"/>
  <c r="U22" i="5"/>
  <c r="V22" i="5" s="1"/>
  <c r="W22" i="5" s="1"/>
  <c r="X22" i="5"/>
  <c r="Y22" i="5" s="1"/>
  <c r="Z22" i="5" s="1"/>
  <c r="B23" i="5"/>
  <c r="C23" i="5" s="1"/>
  <c r="D23" i="5" s="1"/>
  <c r="E23" i="5"/>
  <c r="F23" i="5" s="1"/>
  <c r="G23" i="5" s="1"/>
  <c r="H23" i="5"/>
  <c r="I23" i="5" s="1"/>
  <c r="J23" i="5" s="1"/>
  <c r="K23" i="5"/>
  <c r="L23" i="5" s="1"/>
  <c r="M23" i="5" s="1"/>
  <c r="O23" i="5"/>
  <c r="P23" i="5" s="1"/>
  <c r="Q23" i="5" s="1"/>
  <c r="R23" i="5"/>
  <c r="S23" i="5" s="1"/>
  <c r="T23" i="5" s="1"/>
  <c r="U23" i="5"/>
  <c r="V23" i="5" s="1"/>
  <c r="W23" i="5" s="1"/>
  <c r="X23" i="5"/>
  <c r="Y23" i="5" s="1"/>
  <c r="Z23" i="5" s="1"/>
  <c r="B24" i="5"/>
  <c r="C24" i="5" s="1"/>
  <c r="D24" i="5" s="1"/>
  <c r="E24" i="5"/>
  <c r="F24" i="5" s="1"/>
  <c r="G24" i="5" s="1"/>
  <c r="H24" i="5"/>
  <c r="I24" i="5" s="1"/>
  <c r="J24" i="5" s="1"/>
  <c r="K24" i="5"/>
  <c r="L24" i="5" s="1"/>
  <c r="M24" i="5" s="1"/>
  <c r="O24" i="5"/>
  <c r="P24" i="5" s="1"/>
  <c r="Q24" i="5" s="1"/>
  <c r="R24" i="5"/>
  <c r="S24" i="5" s="1"/>
  <c r="T24" i="5" s="1"/>
  <c r="U24" i="5"/>
  <c r="V24" i="5" s="1"/>
  <c r="W24" i="5" s="1"/>
  <c r="X24" i="5"/>
  <c r="Y24" i="5" s="1"/>
  <c r="Z24" i="5" s="1"/>
  <c r="B25" i="5"/>
  <c r="C25" i="5" s="1"/>
  <c r="D25" i="5" s="1"/>
  <c r="E25" i="5"/>
  <c r="F25" i="5" s="1"/>
  <c r="G25" i="5" s="1"/>
  <c r="H25" i="5"/>
  <c r="I25" i="5" s="1"/>
  <c r="J25" i="5" s="1"/>
  <c r="K25" i="5"/>
  <c r="L25" i="5" s="1"/>
  <c r="M25" i="5" s="1"/>
  <c r="O25" i="5"/>
  <c r="P25" i="5" s="1"/>
  <c r="Q25" i="5" s="1"/>
  <c r="R25" i="5"/>
  <c r="S25" i="5" s="1"/>
  <c r="T25" i="5" s="1"/>
  <c r="U25" i="5"/>
  <c r="V25" i="5" s="1"/>
  <c r="W25" i="5" s="1"/>
  <c r="X25" i="5"/>
  <c r="Y25" i="5" s="1"/>
  <c r="Z25" i="5" s="1"/>
  <c r="B26" i="5"/>
  <c r="C26" i="5" s="1"/>
  <c r="D26" i="5" s="1"/>
  <c r="E26" i="5"/>
  <c r="F26" i="5" s="1"/>
  <c r="G26" i="5" s="1"/>
  <c r="H26" i="5"/>
  <c r="I26" i="5" s="1"/>
  <c r="J26" i="5" s="1"/>
  <c r="K26" i="5"/>
  <c r="L26" i="5" s="1"/>
  <c r="M26" i="5" s="1"/>
  <c r="O26" i="5"/>
  <c r="P26" i="5" s="1"/>
  <c r="Q26" i="5" s="1"/>
  <c r="R26" i="5"/>
  <c r="S26" i="5" s="1"/>
  <c r="T26" i="5" s="1"/>
  <c r="U26" i="5"/>
  <c r="V26" i="5" s="1"/>
  <c r="W26" i="5" s="1"/>
  <c r="X26" i="5"/>
  <c r="Y26" i="5" s="1"/>
  <c r="Z26" i="5" s="1"/>
  <c r="B27" i="5"/>
  <c r="C27" i="5" s="1"/>
  <c r="D27" i="5" s="1"/>
  <c r="E27" i="5"/>
  <c r="F27" i="5" s="1"/>
  <c r="G27" i="5" s="1"/>
  <c r="H27" i="5"/>
  <c r="I27" i="5" s="1"/>
  <c r="J27" i="5" s="1"/>
  <c r="K27" i="5"/>
  <c r="L27" i="5" s="1"/>
  <c r="M27" i="5" s="1"/>
  <c r="O27" i="5"/>
  <c r="P27" i="5" s="1"/>
  <c r="Q27" i="5" s="1"/>
  <c r="R27" i="5"/>
  <c r="S27" i="5" s="1"/>
  <c r="T27" i="5" s="1"/>
  <c r="U27" i="5"/>
  <c r="V27" i="5" s="1"/>
  <c r="W27" i="5" s="1"/>
  <c r="X27" i="5"/>
  <c r="Y27" i="5" s="1"/>
  <c r="Z27" i="5" s="1"/>
  <c r="B28" i="5"/>
  <c r="C28" i="5" s="1"/>
  <c r="D28" i="5" s="1"/>
  <c r="E28" i="5"/>
  <c r="F28" i="5" s="1"/>
  <c r="G28" i="5" s="1"/>
  <c r="H28" i="5"/>
  <c r="I28" i="5" s="1"/>
  <c r="J28" i="5" s="1"/>
  <c r="K28" i="5"/>
  <c r="L28" i="5" s="1"/>
  <c r="M28" i="5" s="1"/>
  <c r="O28" i="5"/>
  <c r="P28" i="5" s="1"/>
  <c r="Q28" i="5" s="1"/>
  <c r="R28" i="5"/>
  <c r="S28" i="5" s="1"/>
  <c r="T28" i="5" s="1"/>
  <c r="U28" i="5"/>
  <c r="V28" i="5" s="1"/>
  <c r="W28" i="5" s="1"/>
  <c r="X28" i="5"/>
  <c r="Y28" i="5" s="1"/>
  <c r="Z28" i="5" s="1"/>
  <c r="B29" i="5"/>
  <c r="C29" i="5" s="1"/>
  <c r="D29" i="5" s="1"/>
  <c r="E29" i="5"/>
  <c r="F29" i="5" s="1"/>
  <c r="G29" i="5" s="1"/>
  <c r="H29" i="5"/>
  <c r="I29" i="5" s="1"/>
  <c r="J29" i="5" s="1"/>
  <c r="K29" i="5"/>
  <c r="L29" i="5" s="1"/>
  <c r="M29" i="5" s="1"/>
  <c r="O29" i="5"/>
  <c r="P29" i="5" s="1"/>
  <c r="Q29" i="5" s="1"/>
  <c r="R29" i="5"/>
  <c r="S29" i="5" s="1"/>
  <c r="T29" i="5" s="1"/>
  <c r="U29" i="5"/>
  <c r="V29" i="5" s="1"/>
  <c r="W29" i="5" s="1"/>
  <c r="X29" i="5"/>
  <c r="Y29" i="5" s="1"/>
  <c r="Z29" i="5" s="1"/>
  <c r="B30" i="5"/>
  <c r="C30" i="5" s="1"/>
  <c r="D30" i="5" s="1"/>
  <c r="E30" i="5"/>
  <c r="F30" i="5" s="1"/>
  <c r="G30" i="5" s="1"/>
  <c r="H30" i="5"/>
  <c r="I30" i="5" s="1"/>
  <c r="J30" i="5" s="1"/>
  <c r="K30" i="5"/>
  <c r="L30" i="5" s="1"/>
  <c r="M30" i="5" s="1"/>
  <c r="O30" i="5"/>
  <c r="P30" i="5" s="1"/>
  <c r="Q30" i="5" s="1"/>
  <c r="R30" i="5"/>
  <c r="S30" i="5" s="1"/>
  <c r="T30" i="5" s="1"/>
  <c r="U30" i="5"/>
  <c r="V30" i="5" s="1"/>
  <c r="W30" i="5" s="1"/>
  <c r="X30" i="5"/>
  <c r="Y30" i="5" s="1"/>
  <c r="Z30" i="5" s="1"/>
  <c r="B31" i="5"/>
  <c r="C31" i="5" s="1"/>
  <c r="D31" i="5" s="1"/>
  <c r="E31" i="5"/>
  <c r="F31" i="5" s="1"/>
  <c r="G31" i="5" s="1"/>
  <c r="H31" i="5"/>
  <c r="I31" i="5" s="1"/>
  <c r="J31" i="5" s="1"/>
  <c r="K31" i="5"/>
  <c r="L31" i="5" s="1"/>
  <c r="M31" i="5" s="1"/>
  <c r="O31" i="5"/>
  <c r="P31" i="5" s="1"/>
  <c r="Q31" i="5" s="1"/>
  <c r="R31" i="5"/>
  <c r="S31" i="5" s="1"/>
  <c r="T31" i="5" s="1"/>
  <c r="U31" i="5"/>
  <c r="V31" i="5" s="1"/>
  <c r="W31" i="5" s="1"/>
  <c r="X31" i="5"/>
  <c r="Y31" i="5" s="1"/>
  <c r="Z31" i="5" s="1"/>
  <c r="B32" i="5"/>
  <c r="C32" i="5" s="1"/>
  <c r="D32" i="5" s="1"/>
  <c r="E32" i="5"/>
  <c r="F32" i="5" s="1"/>
  <c r="G32" i="5" s="1"/>
  <c r="H32" i="5"/>
  <c r="I32" i="5" s="1"/>
  <c r="J32" i="5" s="1"/>
  <c r="K32" i="5"/>
  <c r="L32" i="5" s="1"/>
  <c r="M32" i="5" s="1"/>
  <c r="O32" i="5"/>
  <c r="P32" i="5" s="1"/>
  <c r="Q32" i="5" s="1"/>
  <c r="R32" i="5"/>
  <c r="S32" i="5" s="1"/>
  <c r="T32" i="5" s="1"/>
  <c r="U32" i="5"/>
  <c r="V32" i="5" s="1"/>
  <c r="W32" i="5" s="1"/>
  <c r="X32" i="5"/>
  <c r="Y32" i="5" s="1"/>
  <c r="Z32" i="5" s="1"/>
  <c r="B33" i="5"/>
  <c r="C33" i="5" s="1"/>
  <c r="D33" i="5" s="1"/>
  <c r="E33" i="5"/>
  <c r="F33" i="5" s="1"/>
  <c r="G33" i="5" s="1"/>
  <c r="H33" i="5"/>
  <c r="I33" i="5" s="1"/>
  <c r="J33" i="5" s="1"/>
  <c r="K33" i="5"/>
  <c r="L33" i="5" s="1"/>
  <c r="M33" i="5" s="1"/>
  <c r="O33" i="5"/>
  <c r="P33" i="5" s="1"/>
  <c r="Q33" i="5" s="1"/>
  <c r="R33" i="5"/>
  <c r="S33" i="5" s="1"/>
  <c r="T33" i="5" s="1"/>
  <c r="U33" i="5"/>
  <c r="V33" i="5" s="1"/>
  <c r="W33" i="5" s="1"/>
  <c r="X33" i="5"/>
  <c r="Y33" i="5" s="1"/>
  <c r="Z33" i="5" s="1"/>
  <c r="B34" i="5"/>
  <c r="C34" i="5" s="1"/>
  <c r="D34" i="5" s="1"/>
  <c r="E34" i="5"/>
  <c r="F34" i="5" s="1"/>
  <c r="G34" i="5" s="1"/>
  <c r="H34" i="5"/>
  <c r="I34" i="5" s="1"/>
  <c r="J34" i="5" s="1"/>
  <c r="K34" i="5"/>
  <c r="L34" i="5" s="1"/>
  <c r="M34" i="5" s="1"/>
  <c r="O34" i="5"/>
  <c r="P34" i="5" s="1"/>
  <c r="Q34" i="5" s="1"/>
  <c r="R34" i="5"/>
  <c r="S34" i="5" s="1"/>
  <c r="T34" i="5" s="1"/>
  <c r="U34" i="5"/>
  <c r="V34" i="5" s="1"/>
  <c r="W34" i="5" s="1"/>
  <c r="X34" i="5"/>
  <c r="Y34" i="5" s="1"/>
  <c r="Z34" i="5" s="1"/>
  <c r="B35" i="5"/>
  <c r="C35" i="5" s="1"/>
  <c r="D35" i="5" s="1"/>
  <c r="E35" i="5"/>
  <c r="F35" i="5" s="1"/>
  <c r="G35" i="5" s="1"/>
  <c r="H35" i="5"/>
  <c r="I35" i="5" s="1"/>
  <c r="J35" i="5" s="1"/>
  <c r="K35" i="5"/>
  <c r="L35" i="5" s="1"/>
  <c r="M35" i="5" s="1"/>
  <c r="O35" i="5"/>
  <c r="P35" i="5" s="1"/>
  <c r="Q35" i="5" s="1"/>
  <c r="R35" i="5"/>
  <c r="S35" i="5" s="1"/>
  <c r="T35" i="5" s="1"/>
  <c r="U35" i="5"/>
  <c r="V35" i="5" s="1"/>
  <c r="W35" i="5" s="1"/>
  <c r="X35" i="5"/>
  <c r="Y35" i="5" s="1"/>
  <c r="Z35" i="5" s="1"/>
  <c r="X5" i="5"/>
  <c r="U5" i="5"/>
  <c r="R5" i="5"/>
  <c r="O5" i="5"/>
  <c r="K5" i="5"/>
  <c r="H5" i="5"/>
  <c r="E5" i="5"/>
  <c r="B5" i="5"/>
  <c r="AC5" i="16" l="1"/>
  <c r="AD5" i="16" s="1"/>
  <c r="B6" i="12" l="1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5" i="12"/>
  <c r="X6" i="11" l="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5" i="11"/>
  <c r="O6" i="16" l="1"/>
  <c r="X6" i="16" l="1"/>
  <c r="X7" i="16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X21" i="16"/>
  <c r="X22" i="16"/>
  <c r="X23" i="16"/>
  <c r="X24" i="16"/>
  <c r="X25" i="16"/>
  <c r="X26" i="16"/>
  <c r="X27" i="16"/>
  <c r="X28" i="16"/>
  <c r="X29" i="16"/>
  <c r="X30" i="16"/>
  <c r="X31" i="16"/>
  <c r="X32" i="16"/>
  <c r="X33" i="16"/>
  <c r="X34" i="16"/>
  <c r="X35" i="16"/>
  <c r="X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5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AF24" i="16" s="1"/>
  <c r="B25" i="16"/>
  <c r="AF25" i="16" s="1"/>
  <c r="B26" i="16"/>
  <c r="AF26" i="16" s="1"/>
  <c r="B27" i="16"/>
  <c r="AF27" i="16" s="1"/>
  <c r="B28" i="16"/>
  <c r="B29" i="16"/>
  <c r="B30" i="16"/>
  <c r="B31" i="16"/>
  <c r="B32" i="16"/>
  <c r="B33" i="16"/>
  <c r="B34" i="16"/>
  <c r="B35" i="16"/>
  <c r="B5" i="16"/>
  <c r="W39" i="9" l="1"/>
  <c r="X6" i="9" l="1"/>
  <c r="Y6" i="9" s="1"/>
  <c r="Z6" i="9" s="1"/>
  <c r="X7" i="9"/>
  <c r="Y7" i="9" s="1"/>
  <c r="Z7" i="9" s="1"/>
  <c r="X8" i="9"/>
  <c r="Y8" i="9" s="1"/>
  <c r="Z8" i="9" s="1"/>
  <c r="X9" i="9"/>
  <c r="Y9" i="9" s="1"/>
  <c r="Z9" i="9" s="1"/>
  <c r="X10" i="9"/>
  <c r="Y10" i="9" s="1"/>
  <c r="Z10" i="9" s="1"/>
  <c r="X11" i="9"/>
  <c r="Y11" i="9" s="1"/>
  <c r="Z11" i="9" s="1"/>
  <c r="X12" i="9"/>
  <c r="Y12" i="9" s="1"/>
  <c r="Z12" i="9" s="1"/>
  <c r="X13" i="9"/>
  <c r="Y13" i="9" s="1"/>
  <c r="Z13" i="9" s="1"/>
  <c r="X14" i="9"/>
  <c r="Y14" i="9" s="1"/>
  <c r="Z14" i="9" s="1"/>
  <c r="X15" i="9"/>
  <c r="Y15" i="9" s="1"/>
  <c r="Z15" i="9" s="1"/>
  <c r="X16" i="9"/>
  <c r="Y16" i="9" s="1"/>
  <c r="Z16" i="9" s="1"/>
  <c r="X17" i="9"/>
  <c r="Y17" i="9" s="1"/>
  <c r="Z17" i="9" s="1"/>
  <c r="X18" i="9"/>
  <c r="Y18" i="9" s="1"/>
  <c r="Z18" i="9" s="1"/>
  <c r="X19" i="9"/>
  <c r="Y19" i="9" s="1"/>
  <c r="Z19" i="9" s="1"/>
  <c r="X20" i="9"/>
  <c r="Y20" i="9" s="1"/>
  <c r="Z20" i="9" s="1"/>
  <c r="X21" i="9"/>
  <c r="Y21" i="9" s="1"/>
  <c r="Z21" i="9" s="1"/>
  <c r="X22" i="9"/>
  <c r="Y22" i="9" s="1"/>
  <c r="Z22" i="9" s="1"/>
  <c r="X23" i="9"/>
  <c r="Y23" i="9" s="1"/>
  <c r="Z23" i="9" s="1"/>
  <c r="X24" i="9"/>
  <c r="Y24" i="9" s="1"/>
  <c r="Z24" i="9" s="1"/>
  <c r="X25" i="9"/>
  <c r="Y25" i="9" s="1"/>
  <c r="Z25" i="9" s="1"/>
  <c r="X26" i="9"/>
  <c r="Y26" i="9" s="1"/>
  <c r="Z26" i="9" s="1"/>
  <c r="X27" i="9"/>
  <c r="Y27" i="9" s="1"/>
  <c r="Z27" i="9" s="1"/>
  <c r="X28" i="9"/>
  <c r="Y28" i="9" s="1"/>
  <c r="Z28" i="9" s="1"/>
  <c r="X29" i="9"/>
  <c r="Y29" i="9" s="1"/>
  <c r="Z29" i="9" s="1"/>
  <c r="X30" i="9"/>
  <c r="Y30" i="9" s="1"/>
  <c r="Z30" i="9" s="1"/>
  <c r="X31" i="9"/>
  <c r="Y31" i="9" s="1"/>
  <c r="Z31" i="9" s="1"/>
  <c r="X32" i="9"/>
  <c r="Y32" i="9" s="1"/>
  <c r="Z32" i="9" s="1"/>
  <c r="X33" i="9"/>
  <c r="Y33" i="9" s="1"/>
  <c r="Z33" i="9" s="1"/>
  <c r="X34" i="9"/>
  <c r="Y34" i="9" s="1"/>
  <c r="Z34" i="9" s="1"/>
  <c r="X5" i="9"/>
  <c r="Y5" i="9" s="1"/>
  <c r="Z5" i="9" s="1"/>
  <c r="U6" i="9"/>
  <c r="V6" i="9" s="1"/>
  <c r="W6" i="9" s="1"/>
  <c r="U7" i="9"/>
  <c r="V7" i="9" s="1"/>
  <c r="W7" i="9" s="1"/>
  <c r="U8" i="9"/>
  <c r="V8" i="9" s="1"/>
  <c r="W8" i="9" s="1"/>
  <c r="U9" i="9"/>
  <c r="V9" i="9" s="1"/>
  <c r="W9" i="9" s="1"/>
  <c r="U10" i="9"/>
  <c r="V10" i="9" s="1"/>
  <c r="W10" i="9" s="1"/>
  <c r="U11" i="9"/>
  <c r="V11" i="9" s="1"/>
  <c r="W11" i="9" s="1"/>
  <c r="U12" i="9"/>
  <c r="V12" i="9" s="1"/>
  <c r="W12" i="9" s="1"/>
  <c r="U13" i="9"/>
  <c r="V13" i="9" s="1"/>
  <c r="W13" i="9" s="1"/>
  <c r="U14" i="9"/>
  <c r="V14" i="9" s="1"/>
  <c r="W14" i="9" s="1"/>
  <c r="U15" i="9"/>
  <c r="V15" i="9" s="1"/>
  <c r="W15" i="9" s="1"/>
  <c r="U16" i="9"/>
  <c r="V16" i="9" s="1"/>
  <c r="W16" i="9" s="1"/>
  <c r="U17" i="9"/>
  <c r="V17" i="9" s="1"/>
  <c r="W17" i="9" s="1"/>
  <c r="U18" i="9"/>
  <c r="V18" i="9" s="1"/>
  <c r="W18" i="9" s="1"/>
  <c r="U19" i="9"/>
  <c r="V19" i="9" s="1"/>
  <c r="W19" i="9" s="1"/>
  <c r="U20" i="9"/>
  <c r="V20" i="9" s="1"/>
  <c r="W20" i="9" s="1"/>
  <c r="U21" i="9"/>
  <c r="V21" i="9" s="1"/>
  <c r="W21" i="9" s="1"/>
  <c r="U22" i="9"/>
  <c r="V22" i="9" s="1"/>
  <c r="W22" i="9" s="1"/>
  <c r="U23" i="9"/>
  <c r="V23" i="9" s="1"/>
  <c r="W23" i="9" s="1"/>
  <c r="U24" i="9"/>
  <c r="V24" i="9" s="1"/>
  <c r="W24" i="9" s="1"/>
  <c r="U25" i="9"/>
  <c r="V25" i="9" s="1"/>
  <c r="W25" i="9" s="1"/>
  <c r="U26" i="9"/>
  <c r="V26" i="9" s="1"/>
  <c r="W26" i="9" s="1"/>
  <c r="U27" i="9"/>
  <c r="V27" i="9" s="1"/>
  <c r="W27" i="9" s="1"/>
  <c r="U28" i="9"/>
  <c r="V28" i="9" s="1"/>
  <c r="W28" i="9" s="1"/>
  <c r="U29" i="9"/>
  <c r="V29" i="9" s="1"/>
  <c r="W29" i="9" s="1"/>
  <c r="U30" i="9"/>
  <c r="V30" i="9" s="1"/>
  <c r="W30" i="9" s="1"/>
  <c r="U31" i="9"/>
  <c r="V31" i="9" s="1"/>
  <c r="W31" i="9" s="1"/>
  <c r="U32" i="9"/>
  <c r="V32" i="9" s="1"/>
  <c r="W32" i="9" s="1"/>
  <c r="U33" i="9"/>
  <c r="V33" i="9" s="1"/>
  <c r="W33" i="9" s="1"/>
  <c r="U34" i="9"/>
  <c r="V34" i="9" s="1"/>
  <c r="W34" i="9" s="1"/>
  <c r="U5" i="9"/>
  <c r="V5" i="9" s="1"/>
  <c r="R6" i="9"/>
  <c r="S6" i="9" s="1"/>
  <c r="T6" i="9" s="1"/>
  <c r="R7" i="9"/>
  <c r="S7" i="9" s="1"/>
  <c r="T7" i="9" s="1"/>
  <c r="R8" i="9"/>
  <c r="S8" i="9" s="1"/>
  <c r="T8" i="9" s="1"/>
  <c r="R9" i="9"/>
  <c r="S9" i="9" s="1"/>
  <c r="T9" i="9" s="1"/>
  <c r="R10" i="9"/>
  <c r="S10" i="9" s="1"/>
  <c r="T10" i="9" s="1"/>
  <c r="R11" i="9"/>
  <c r="S11" i="9" s="1"/>
  <c r="T11" i="9" s="1"/>
  <c r="R12" i="9"/>
  <c r="S12" i="9" s="1"/>
  <c r="T12" i="9" s="1"/>
  <c r="R13" i="9"/>
  <c r="S13" i="9" s="1"/>
  <c r="T13" i="9" s="1"/>
  <c r="R14" i="9"/>
  <c r="S14" i="9" s="1"/>
  <c r="T14" i="9" s="1"/>
  <c r="R15" i="9"/>
  <c r="S15" i="9" s="1"/>
  <c r="T15" i="9" s="1"/>
  <c r="R16" i="9"/>
  <c r="S16" i="9" s="1"/>
  <c r="T16" i="9" s="1"/>
  <c r="R17" i="9"/>
  <c r="S17" i="9" s="1"/>
  <c r="T17" i="9" s="1"/>
  <c r="R18" i="9"/>
  <c r="S18" i="9" s="1"/>
  <c r="T18" i="9" s="1"/>
  <c r="R19" i="9"/>
  <c r="S19" i="9" s="1"/>
  <c r="T19" i="9" s="1"/>
  <c r="R20" i="9"/>
  <c r="S20" i="9" s="1"/>
  <c r="T20" i="9" s="1"/>
  <c r="R21" i="9"/>
  <c r="S21" i="9" s="1"/>
  <c r="T21" i="9" s="1"/>
  <c r="R22" i="9"/>
  <c r="S22" i="9" s="1"/>
  <c r="T22" i="9" s="1"/>
  <c r="R23" i="9"/>
  <c r="S23" i="9" s="1"/>
  <c r="T23" i="9" s="1"/>
  <c r="R24" i="9"/>
  <c r="S24" i="9" s="1"/>
  <c r="T24" i="9" s="1"/>
  <c r="R25" i="9"/>
  <c r="S25" i="9" s="1"/>
  <c r="T25" i="9" s="1"/>
  <c r="R26" i="9"/>
  <c r="S26" i="9" s="1"/>
  <c r="T26" i="9" s="1"/>
  <c r="R27" i="9"/>
  <c r="S27" i="9" s="1"/>
  <c r="T27" i="9" s="1"/>
  <c r="R28" i="9"/>
  <c r="S28" i="9" s="1"/>
  <c r="T28" i="9" s="1"/>
  <c r="R29" i="9"/>
  <c r="S29" i="9" s="1"/>
  <c r="T29" i="9" s="1"/>
  <c r="R30" i="9"/>
  <c r="S30" i="9" s="1"/>
  <c r="T30" i="9" s="1"/>
  <c r="R31" i="9"/>
  <c r="S31" i="9" s="1"/>
  <c r="T31" i="9" s="1"/>
  <c r="R32" i="9"/>
  <c r="S32" i="9" s="1"/>
  <c r="T32" i="9" s="1"/>
  <c r="R33" i="9"/>
  <c r="S33" i="9" s="1"/>
  <c r="T33" i="9" s="1"/>
  <c r="R34" i="9"/>
  <c r="S34" i="9" s="1"/>
  <c r="T34" i="9" s="1"/>
  <c r="R5" i="9"/>
  <c r="S5" i="9" s="1"/>
  <c r="T5" i="9" s="1"/>
  <c r="O6" i="9"/>
  <c r="P6" i="9" s="1"/>
  <c r="Q6" i="9" s="1"/>
  <c r="O7" i="9"/>
  <c r="P7" i="9" s="1"/>
  <c r="Q7" i="9" s="1"/>
  <c r="O8" i="9"/>
  <c r="P8" i="9" s="1"/>
  <c r="Q8" i="9" s="1"/>
  <c r="O9" i="9"/>
  <c r="P9" i="9" s="1"/>
  <c r="Q9" i="9" s="1"/>
  <c r="O10" i="9"/>
  <c r="P10" i="9" s="1"/>
  <c r="Q10" i="9" s="1"/>
  <c r="O11" i="9"/>
  <c r="P11" i="9" s="1"/>
  <c r="Q11" i="9" s="1"/>
  <c r="O12" i="9"/>
  <c r="P12" i="9" s="1"/>
  <c r="Q12" i="9" s="1"/>
  <c r="O13" i="9"/>
  <c r="P13" i="9" s="1"/>
  <c r="Q13" i="9" s="1"/>
  <c r="O14" i="9"/>
  <c r="P14" i="9" s="1"/>
  <c r="Q14" i="9" s="1"/>
  <c r="O15" i="9"/>
  <c r="P15" i="9" s="1"/>
  <c r="Q15" i="9" s="1"/>
  <c r="O16" i="9"/>
  <c r="P16" i="9" s="1"/>
  <c r="Q16" i="9" s="1"/>
  <c r="O17" i="9"/>
  <c r="P17" i="9" s="1"/>
  <c r="O18" i="9"/>
  <c r="P18" i="9" s="1"/>
  <c r="Q18" i="9" s="1"/>
  <c r="O19" i="9"/>
  <c r="P19" i="9" s="1"/>
  <c r="Q19" i="9" s="1"/>
  <c r="O20" i="9"/>
  <c r="P20" i="9" s="1"/>
  <c r="Q20" i="9" s="1"/>
  <c r="O21" i="9"/>
  <c r="P21" i="9" s="1"/>
  <c r="O22" i="9"/>
  <c r="P22" i="9" s="1"/>
  <c r="Q22" i="9" s="1"/>
  <c r="O23" i="9"/>
  <c r="P23" i="9" s="1"/>
  <c r="Q23" i="9" s="1"/>
  <c r="O24" i="9"/>
  <c r="P24" i="9" s="1"/>
  <c r="Q24" i="9" s="1"/>
  <c r="O25" i="9"/>
  <c r="P25" i="9" s="1"/>
  <c r="Q25" i="9" s="1"/>
  <c r="O26" i="9"/>
  <c r="P26" i="9" s="1"/>
  <c r="Q26" i="9" s="1"/>
  <c r="O27" i="9"/>
  <c r="P27" i="9" s="1"/>
  <c r="Q27" i="9" s="1"/>
  <c r="O28" i="9"/>
  <c r="P28" i="9" s="1"/>
  <c r="Q28" i="9" s="1"/>
  <c r="O29" i="9"/>
  <c r="P29" i="9" s="1"/>
  <c r="Q29" i="9" s="1"/>
  <c r="O30" i="9"/>
  <c r="P30" i="9" s="1"/>
  <c r="Q30" i="9" s="1"/>
  <c r="O31" i="9"/>
  <c r="P31" i="9" s="1"/>
  <c r="Q31" i="9" s="1"/>
  <c r="O32" i="9"/>
  <c r="P32" i="9" s="1"/>
  <c r="O33" i="9"/>
  <c r="P33" i="9" s="1"/>
  <c r="Q33" i="9" s="1"/>
  <c r="O34" i="9"/>
  <c r="P34" i="9" s="1"/>
  <c r="Q34" i="9" s="1"/>
  <c r="O5" i="9"/>
  <c r="P5" i="9" s="1"/>
  <c r="Q5" i="9" s="1"/>
  <c r="K6" i="9"/>
  <c r="L6" i="9" s="1"/>
  <c r="M6" i="9" s="1"/>
  <c r="K7" i="9"/>
  <c r="L7" i="9" s="1"/>
  <c r="M7" i="9" s="1"/>
  <c r="K8" i="9"/>
  <c r="L8" i="9" s="1"/>
  <c r="M8" i="9" s="1"/>
  <c r="K9" i="9"/>
  <c r="L9" i="9" s="1"/>
  <c r="M9" i="9" s="1"/>
  <c r="K10" i="9"/>
  <c r="L10" i="9" s="1"/>
  <c r="M10" i="9" s="1"/>
  <c r="K11" i="9"/>
  <c r="L11" i="9" s="1"/>
  <c r="M11" i="9" s="1"/>
  <c r="K12" i="9"/>
  <c r="L12" i="9" s="1"/>
  <c r="M12" i="9" s="1"/>
  <c r="K13" i="9"/>
  <c r="L13" i="9" s="1"/>
  <c r="M13" i="9" s="1"/>
  <c r="K14" i="9"/>
  <c r="L14" i="9" s="1"/>
  <c r="M14" i="9" s="1"/>
  <c r="K15" i="9"/>
  <c r="L15" i="9" s="1"/>
  <c r="M15" i="9" s="1"/>
  <c r="K16" i="9"/>
  <c r="L16" i="9" s="1"/>
  <c r="M16" i="9" s="1"/>
  <c r="K17" i="9"/>
  <c r="L17" i="9" s="1"/>
  <c r="M17" i="9" s="1"/>
  <c r="K18" i="9"/>
  <c r="L18" i="9" s="1"/>
  <c r="M18" i="9" s="1"/>
  <c r="K19" i="9"/>
  <c r="L19" i="9" s="1"/>
  <c r="M19" i="9" s="1"/>
  <c r="K20" i="9"/>
  <c r="L20" i="9" s="1"/>
  <c r="M20" i="9" s="1"/>
  <c r="K21" i="9"/>
  <c r="L21" i="9" s="1"/>
  <c r="M21" i="9" s="1"/>
  <c r="K22" i="9"/>
  <c r="L22" i="9" s="1"/>
  <c r="M22" i="9" s="1"/>
  <c r="K23" i="9"/>
  <c r="L23" i="9" s="1"/>
  <c r="M23" i="9" s="1"/>
  <c r="K24" i="9"/>
  <c r="L24" i="9" s="1"/>
  <c r="M24" i="9" s="1"/>
  <c r="K25" i="9"/>
  <c r="L25" i="9" s="1"/>
  <c r="M25" i="9" s="1"/>
  <c r="K26" i="9"/>
  <c r="L26" i="9" s="1"/>
  <c r="M26" i="9" s="1"/>
  <c r="K27" i="9"/>
  <c r="L27" i="9" s="1"/>
  <c r="M27" i="9" s="1"/>
  <c r="K28" i="9"/>
  <c r="L28" i="9" s="1"/>
  <c r="M28" i="9" s="1"/>
  <c r="K29" i="9"/>
  <c r="L29" i="9" s="1"/>
  <c r="M29" i="9" s="1"/>
  <c r="K30" i="9"/>
  <c r="L30" i="9" s="1"/>
  <c r="M30" i="9" s="1"/>
  <c r="K31" i="9"/>
  <c r="L31" i="9" s="1"/>
  <c r="M31" i="9" s="1"/>
  <c r="K32" i="9"/>
  <c r="L32" i="9" s="1"/>
  <c r="M32" i="9" s="1"/>
  <c r="K33" i="9"/>
  <c r="L33" i="9" s="1"/>
  <c r="M33" i="9" s="1"/>
  <c r="K34" i="9"/>
  <c r="L34" i="9" s="1"/>
  <c r="M34" i="9" s="1"/>
  <c r="K5" i="9"/>
  <c r="L5" i="9" s="1"/>
  <c r="M5" i="9" s="1"/>
  <c r="H6" i="9"/>
  <c r="I6" i="9" s="1"/>
  <c r="J6" i="9" s="1"/>
  <c r="H7" i="9"/>
  <c r="I7" i="9" s="1"/>
  <c r="J7" i="9" s="1"/>
  <c r="H8" i="9"/>
  <c r="I8" i="9" s="1"/>
  <c r="J8" i="9" s="1"/>
  <c r="H9" i="9"/>
  <c r="I9" i="9" s="1"/>
  <c r="J9" i="9" s="1"/>
  <c r="H10" i="9"/>
  <c r="I10" i="9" s="1"/>
  <c r="J10" i="9" s="1"/>
  <c r="H11" i="9"/>
  <c r="I11" i="9" s="1"/>
  <c r="J11" i="9" s="1"/>
  <c r="H12" i="9"/>
  <c r="I12" i="9" s="1"/>
  <c r="J12" i="9" s="1"/>
  <c r="H13" i="9"/>
  <c r="I13" i="9" s="1"/>
  <c r="J13" i="9" s="1"/>
  <c r="H14" i="9"/>
  <c r="I14" i="9" s="1"/>
  <c r="J14" i="9" s="1"/>
  <c r="H15" i="9"/>
  <c r="I15" i="9" s="1"/>
  <c r="J15" i="9" s="1"/>
  <c r="H16" i="9"/>
  <c r="I16" i="9" s="1"/>
  <c r="J16" i="9" s="1"/>
  <c r="H17" i="9"/>
  <c r="I17" i="9" s="1"/>
  <c r="J17" i="9" s="1"/>
  <c r="H18" i="9"/>
  <c r="I18" i="9" s="1"/>
  <c r="J18" i="9" s="1"/>
  <c r="H19" i="9"/>
  <c r="I19" i="9" s="1"/>
  <c r="J19" i="9" s="1"/>
  <c r="H20" i="9"/>
  <c r="I20" i="9" s="1"/>
  <c r="J20" i="9" s="1"/>
  <c r="H21" i="9"/>
  <c r="I21" i="9" s="1"/>
  <c r="J21" i="9" s="1"/>
  <c r="H22" i="9"/>
  <c r="I22" i="9" s="1"/>
  <c r="J22" i="9" s="1"/>
  <c r="H23" i="9"/>
  <c r="I23" i="9" s="1"/>
  <c r="J23" i="9" s="1"/>
  <c r="H24" i="9"/>
  <c r="I24" i="9" s="1"/>
  <c r="J24" i="9" s="1"/>
  <c r="H25" i="9"/>
  <c r="I25" i="9" s="1"/>
  <c r="J25" i="9" s="1"/>
  <c r="H26" i="9"/>
  <c r="I26" i="9" s="1"/>
  <c r="J26" i="9" s="1"/>
  <c r="H27" i="9"/>
  <c r="I27" i="9" s="1"/>
  <c r="J27" i="9" s="1"/>
  <c r="H28" i="9"/>
  <c r="I28" i="9" s="1"/>
  <c r="J28" i="9" s="1"/>
  <c r="H29" i="9"/>
  <c r="I29" i="9" s="1"/>
  <c r="J29" i="9" s="1"/>
  <c r="H30" i="9"/>
  <c r="I30" i="9" s="1"/>
  <c r="J30" i="9" s="1"/>
  <c r="H31" i="9"/>
  <c r="I31" i="9" s="1"/>
  <c r="J31" i="9" s="1"/>
  <c r="H32" i="9"/>
  <c r="I32" i="9" s="1"/>
  <c r="J32" i="9" s="1"/>
  <c r="H33" i="9"/>
  <c r="I33" i="9" s="1"/>
  <c r="J33" i="9" s="1"/>
  <c r="H34" i="9"/>
  <c r="I34" i="9" s="1"/>
  <c r="J34" i="9" s="1"/>
  <c r="H5" i="9"/>
  <c r="I5" i="9" s="1"/>
  <c r="J5" i="9" s="1"/>
  <c r="E6" i="9"/>
  <c r="F6" i="9" s="1"/>
  <c r="G6" i="9" s="1"/>
  <c r="E7" i="9"/>
  <c r="F7" i="9" s="1"/>
  <c r="G7" i="9" s="1"/>
  <c r="E8" i="9"/>
  <c r="F8" i="9" s="1"/>
  <c r="G8" i="9" s="1"/>
  <c r="E9" i="9"/>
  <c r="F9" i="9" s="1"/>
  <c r="G9" i="9" s="1"/>
  <c r="E10" i="9"/>
  <c r="F10" i="9" s="1"/>
  <c r="G10" i="9" s="1"/>
  <c r="E11" i="9"/>
  <c r="F11" i="9" s="1"/>
  <c r="G11" i="9" s="1"/>
  <c r="E12" i="9"/>
  <c r="F12" i="9" s="1"/>
  <c r="G12" i="9" s="1"/>
  <c r="E13" i="9"/>
  <c r="F13" i="9" s="1"/>
  <c r="G13" i="9" s="1"/>
  <c r="E14" i="9"/>
  <c r="F14" i="9" s="1"/>
  <c r="G14" i="9" s="1"/>
  <c r="E15" i="9"/>
  <c r="F15" i="9" s="1"/>
  <c r="G15" i="9" s="1"/>
  <c r="E16" i="9"/>
  <c r="F16" i="9" s="1"/>
  <c r="G16" i="9" s="1"/>
  <c r="E17" i="9"/>
  <c r="F17" i="9" s="1"/>
  <c r="G17" i="9" s="1"/>
  <c r="E18" i="9"/>
  <c r="F18" i="9" s="1"/>
  <c r="G18" i="9" s="1"/>
  <c r="E19" i="9"/>
  <c r="F19" i="9" s="1"/>
  <c r="G19" i="9" s="1"/>
  <c r="E20" i="9"/>
  <c r="F20" i="9" s="1"/>
  <c r="G20" i="9" s="1"/>
  <c r="E21" i="9"/>
  <c r="F21" i="9" s="1"/>
  <c r="G21" i="9" s="1"/>
  <c r="E22" i="9"/>
  <c r="F22" i="9" s="1"/>
  <c r="G22" i="9" s="1"/>
  <c r="E23" i="9"/>
  <c r="F23" i="9" s="1"/>
  <c r="G23" i="9" s="1"/>
  <c r="E24" i="9"/>
  <c r="F24" i="9" s="1"/>
  <c r="G24" i="9" s="1"/>
  <c r="E25" i="9"/>
  <c r="F25" i="9" s="1"/>
  <c r="G25" i="9" s="1"/>
  <c r="E26" i="9"/>
  <c r="F26" i="9" s="1"/>
  <c r="G26" i="9" s="1"/>
  <c r="E27" i="9"/>
  <c r="F27" i="9" s="1"/>
  <c r="G27" i="9" s="1"/>
  <c r="E28" i="9"/>
  <c r="F28" i="9" s="1"/>
  <c r="G28" i="9" s="1"/>
  <c r="E29" i="9"/>
  <c r="F29" i="9" s="1"/>
  <c r="G29" i="9" s="1"/>
  <c r="E30" i="9"/>
  <c r="F30" i="9" s="1"/>
  <c r="G30" i="9" s="1"/>
  <c r="E31" i="9"/>
  <c r="F31" i="9" s="1"/>
  <c r="G31" i="9" s="1"/>
  <c r="E32" i="9"/>
  <c r="F32" i="9" s="1"/>
  <c r="G32" i="9" s="1"/>
  <c r="E33" i="9"/>
  <c r="F33" i="9" s="1"/>
  <c r="G33" i="9" s="1"/>
  <c r="E34" i="9"/>
  <c r="F34" i="9" s="1"/>
  <c r="G34" i="9" s="1"/>
  <c r="E5" i="9"/>
  <c r="F5" i="9" s="1"/>
  <c r="G5" i="9" s="1"/>
  <c r="B6" i="9"/>
  <c r="C6" i="9" s="1"/>
  <c r="B7" i="9"/>
  <c r="C7" i="9" s="1"/>
  <c r="D7" i="9" s="1"/>
  <c r="AD7" i="9" s="1"/>
  <c r="B8" i="9"/>
  <c r="C8" i="9" s="1"/>
  <c r="D8" i="9" s="1"/>
  <c r="B9" i="9"/>
  <c r="C9" i="9" s="1"/>
  <c r="D9" i="9" s="1"/>
  <c r="AD9" i="9" s="1"/>
  <c r="B10" i="9"/>
  <c r="C10" i="9" s="1"/>
  <c r="D10" i="9" s="1"/>
  <c r="AD10" i="9" s="1"/>
  <c r="B11" i="9"/>
  <c r="B12" i="9"/>
  <c r="AB12" i="9" s="1"/>
  <c r="B13" i="9"/>
  <c r="C13" i="9" s="1"/>
  <c r="D13" i="9" s="1"/>
  <c r="AD13" i="9" s="1"/>
  <c r="B14" i="9"/>
  <c r="C14" i="9" s="1"/>
  <c r="AC14" i="9" s="1"/>
  <c r="B15" i="9"/>
  <c r="C15" i="9" s="1"/>
  <c r="B16" i="9"/>
  <c r="C16" i="9" s="1"/>
  <c r="D16" i="9" s="1"/>
  <c r="B17" i="9"/>
  <c r="C17" i="9" s="1"/>
  <c r="D17" i="9" s="1"/>
  <c r="B18" i="9"/>
  <c r="C18" i="9" s="1"/>
  <c r="B19" i="9"/>
  <c r="C19" i="9" s="1"/>
  <c r="D19" i="9" s="1"/>
  <c r="AD19" i="9" s="1"/>
  <c r="B20" i="9"/>
  <c r="C20" i="9" s="1"/>
  <c r="D20" i="9" s="1"/>
  <c r="AD20" i="9" s="1"/>
  <c r="B21" i="9"/>
  <c r="C21" i="9" s="1"/>
  <c r="D21" i="9" s="1"/>
  <c r="B22" i="9"/>
  <c r="C22" i="9" s="1"/>
  <c r="D22" i="9" s="1"/>
  <c r="AD22" i="9" s="1"/>
  <c r="B23" i="9"/>
  <c r="AB23" i="9" s="1"/>
  <c r="B24" i="9"/>
  <c r="C24" i="9" s="1"/>
  <c r="D24" i="9" s="1"/>
  <c r="AD24" i="9" s="1"/>
  <c r="B25" i="9"/>
  <c r="C25" i="9" s="1"/>
  <c r="AC25" i="9" s="1"/>
  <c r="B26" i="9"/>
  <c r="C26" i="9" s="1"/>
  <c r="D26" i="9" s="1"/>
  <c r="B27" i="9"/>
  <c r="AB27" i="9" s="1"/>
  <c r="B28" i="9"/>
  <c r="C28" i="9" s="1"/>
  <c r="D28" i="9" s="1"/>
  <c r="B29" i="9"/>
  <c r="AB29" i="9" s="1"/>
  <c r="B30" i="9"/>
  <c r="AB30" i="9" s="1"/>
  <c r="B31" i="9"/>
  <c r="C31" i="9" s="1"/>
  <c r="D31" i="9" s="1"/>
  <c r="AD31" i="9" s="1"/>
  <c r="B32" i="9"/>
  <c r="C32" i="9" s="1"/>
  <c r="D32" i="9" s="1"/>
  <c r="B33" i="9"/>
  <c r="AB33" i="9" s="1"/>
  <c r="B34" i="9"/>
  <c r="C34" i="9" s="1"/>
  <c r="D34" i="9" s="1"/>
  <c r="B5" i="9"/>
  <c r="C5" i="9" s="1"/>
  <c r="D5" i="9" s="1"/>
  <c r="AD5" i="9" s="1"/>
  <c r="X6" i="8"/>
  <c r="Y6" i="8" s="1"/>
  <c r="Z6" i="8" s="1"/>
  <c r="X7" i="8"/>
  <c r="Y7" i="8" s="1"/>
  <c r="Z7" i="8" s="1"/>
  <c r="X8" i="8"/>
  <c r="Y8" i="8" s="1"/>
  <c r="Z8" i="8" s="1"/>
  <c r="X9" i="8"/>
  <c r="Y9" i="8" s="1"/>
  <c r="Z9" i="8" s="1"/>
  <c r="X10" i="8"/>
  <c r="Y10" i="8" s="1"/>
  <c r="Z10" i="8" s="1"/>
  <c r="X11" i="8"/>
  <c r="Y11" i="8" s="1"/>
  <c r="Z11" i="8" s="1"/>
  <c r="X12" i="8"/>
  <c r="Y12" i="8" s="1"/>
  <c r="Z12" i="8" s="1"/>
  <c r="X13" i="8"/>
  <c r="Y13" i="8" s="1"/>
  <c r="Z13" i="8" s="1"/>
  <c r="X14" i="8"/>
  <c r="Y14" i="8" s="1"/>
  <c r="Z14" i="8" s="1"/>
  <c r="X15" i="8"/>
  <c r="Y15" i="8" s="1"/>
  <c r="Z15" i="8" s="1"/>
  <c r="X16" i="8"/>
  <c r="Y16" i="8" s="1"/>
  <c r="Z16" i="8" s="1"/>
  <c r="X17" i="8"/>
  <c r="Y17" i="8" s="1"/>
  <c r="Z17" i="8" s="1"/>
  <c r="X18" i="8"/>
  <c r="Y18" i="8" s="1"/>
  <c r="Z18" i="8" s="1"/>
  <c r="X19" i="8"/>
  <c r="Y19" i="8" s="1"/>
  <c r="Z19" i="8" s="1"/>
  <c r="X20" i="8"/>
  <c r="Y20" i="8" s="1"/>
  <c r="Z20" i="8" s="1"/>
  <c r="X21" i="8"/>
  <c r="Y21" i="8" s="1"/>
  <c r="Z21" i="8" s="1"/>
  <c r="X22" i="8"/>
  <c r="Y22" i="8" s="1"/>
  <c r="Z22" i="8" s="1"/>
  <c r="X23" i="8"/>
  <c r="Y23" i="8" s="1"/>
  <c r="Z23" i="8" s="1"/>
  <c r="X24" i="8"/>
  <c r="Y24" i="8" s="1"/>
  <c r="Z24" i="8" s="1"/>
  <c r="X25" i="8"/>
  <c r="Y25" i="8" s="1"/>
  <c r="Z25" i="8" s="1"/>
  <c r="X26" i="8"/>
  <c r="Y26" i="8" s="1"/>
  <c r="Z26" i="8" s="1"/>
  <c r="X27" i="8"/>
  <c r="Y27" i="8" s="1"/>
  <c r="Z27" i="8" s="1"/>
  <c r="X28" i="8"/>
  <c r="Y28" i="8" s="1"/>
  <c r="Z28" i="8" s="1"/>
  <c r="X29" i="8"/>
  <c r="Y29" i="8" s="1"/>
  <c r="Z29" i="8" s="1"/>
  <c r="X30" i="8"/>
  <c r="Y30" i="8" s="1"/>
  <c r="Z30" i="8" s="1"/>
  <c r="X31" i="8"/>
  <c r="Y31" i="8" s="1"/>
  <c r="Z31" i="8" s="1"/>
  <c r="X32" i="8"/>
  <c r="Y32" i="8" s="1"/>
  <c r="Z32" i="8" s="1"/>
  <c r="X33" i="8"/>
  <c r="Y33" i="8" s="1"/>
  <c r="Z33" i="8" s="1"/>
  <c r="X34" i="8"/>
  <c r="Y34" i="8" s="1"/>
  <c r="Z34" i="8" s="1"/>
  <c r="X35" i="8"/>
  <c r="Y35" i="8" s="1"/>
  <c r="Z35" i="8" s="1"/>
  <c r="X5" i="8"/>
  <c r="Y5" i="8" s="1"/>
  <c r="Z5" i="8" s="1"/>
  <c r="U6" i="8"/>
  <c r="V6" i="8" s="1"/>
  <c r="U7" i="8"/>
  <c r="V7" i="8" s="1"/>
  <c r="W7" i="8" s="1"/>
  <c r="U8" i="8"/>
  <c r="V8" i="8" s="1"/>
  <c r="W8" i="8" s="1"/>
  <c r="U9" i="8"/>
  <c r="V9" i="8" s="1"/>
  <c r="W9" i="8" s="1"/>
  <c r="U10" i="8"/>
  <c r="V10" i="8" s="1"/>
  <c r="W10" i="8" s="1"/>
  <c r="U11" i="8"/>
  <c r="V11" i="8" s="1"/>
  <c r="W11" i="8" s="1"/>
  <c r="U12" i="8"/>
  <c r="V12" i="8" s="1"/>
  <c r="W12" i="8" s="1"/>
  <c r="U13" i="8"/>
  <c r="V13" i="8" s="1"/>
  <c r="W13" i="8" s="1"/>
  <c r="U14" i="8"/>
  <c r="V14" i="8" s="1"/>
  <c r="W14" i="8" s="1"/>
  <c r="U15" i="8"/>
  <c r="V15" i="8" s="1"/>
  <c r="W15" i="8" s="1"/>
  <c r="U16" i="8"/>
  <c r="V16" i="8" s="1"/>
  <c r="W16" i="8" s="1"/>
  <c r="U17" i="8"/>
  <c r="V17" i="8" s="1"/>
  <c r="W17" i="8" s="1"/>
  <c r="U18" i="8"/>
  <c r="V18" i="8" s="1"/>
  <c r="W18" i="8" s="1"/>
  <c r="U19" i="8"/>
  <c r="V19" i="8" s="1"/>
  <c r="W19" i="8" s="1"/>
  <c r="U20" i="8"/>
  <c r="V20" i="8" s="1"/>
  <c r="W20" i="8" s="1"/>
  <c r="U21" i="8"/>
  <c r="V21" i="8" s="1"/>
  <c r="W21" i="8" s="1"/>
  <c r="U22" i="8"/>
  <c r="V22" i="8" s="1"/>
  <c r="W22" i="8" s="1"/>
  <c r="U23" i="8"/>
  <c r="V23" i="8" s="1"/>
  <c r="W23" i="8" s="1"/>
  <c r="U24" i="8"/>
  <c r="V24" i="8" s="1"/>
  <c r="W24" i="8" s="1"/>
  <c r="U25" i="8"/>
  <c r="V25" i="8" s="1"/>
  <c r="W25" i="8" s="1"/>
  <c r="U26" i="8"/>
  <c r="V26" i="8" s="1"/>
  <c r="W26" i="8" s="1"/>
  <c r="U27" i="8"/>
  <c r="V27" i="8" s="1"/>
  <c r="W27" i="8" s="1"/>
  <c r="U28" i="8"/>
  <c r="V28" i="8" s="1"/>
  <c r="W28" i="8" s="1"/>
  <c r="U29" i="8"/>
  <c r="V29" i="8" s="1"/>
  <c r="W29" i="8" s="1"/>
  <c r="U30" i="8"/>
  <c r="V30" i="8" s="1"/>
  <c r="W30" i="8" s="1"/>
  <c r="U31" i="8"/>
  <c r="V31" i="8" s="1"/>
  <c r="W31" i="8" s="1"/>
  <c r="U32" i="8"/>
  <c r="V32" i="8" s="1"/>
  <c r="W32" i="8" s="1"/>
  <c r="U33" i="8"/>
  <c r="V33" i="8" s="1"/>
  <c r="W33" i="8" s="1"/>
  <c r="U34" i="8"/>
  <c r="V34" i="8" s="1"/>
  <c r="W34" i="8" s="1"/>
  <c r="U35" i="8"/>
  <c r="V35" i="8" s="1"/>
  <c r="W35" i="8" s="1"/>
  <c r="U5" i="8"/>
  <c r="V5" i="8" s="1"/>
  <c r="W5" i="8" s="1"/>
  <c r="R6" i="8"/>
  <c r="S6" i="8" s="1"/>
  <c r="T6" i="8" s="1"/>
  <c r="R7" i="8"/>
  <c r="S7" i="8" s="1"/>
  <c r="T7" i="8" s="1"/>
  <c r="R8" i="8"/>
  <c r="S8" i="8" s="1"/>
  <c r="T8" i="8" s="1"/>
  <c r="R9" i="8"/>
  <c r="S9" i="8" s="1"/>
  <c r="T9" i="8" s="1"/>
  <c r="R10" i="8"/>
  <c r="S10" i="8" s="1"/>
  <c r="T10" i="8" s="1"/>
  <c r="R11" i="8"/>
  <c r="S11" i="8" s="1"/>
  <c r="T11" i="8" s="1"/>
  <c r="R12" i="8"/>
  <c r="S12" i="8" s="1"/>
  <c r="T12" i="8" s="1"/>
  <c r="R13" i="8"/>
  <c r="S13" i="8" s="1"/>
  <c r="T13" i="8" s="1"/>
  <c r="R14" i="8"/>
  <c r="S14" i="8" s="1"/>
  <c r="T14" i="8" s="1"/>
  <c r="R15" i="8"/>
  <c r="S15" i="8" s="1"/>
  <c r="T15" i="8" s="1"/>
  <c r="R16" i="8"/>
  <c r="S16" i="8" s="1"/>
  <c r="T16" i="8" s="1"/>
  <c r="R17" i="8"/>
  <c r="S17" i="8" s="1"/>
  <c r="T17" i="8" s="1"/>
  <c r="R18" i="8"/>
  <c r="S18" i="8" s="1"/>
  <c r="T18" i="8" s="1"/>
  <c r="R19" i="8"/>
  <c r="S19" i="8" s="1"/>
  <c r="T19" i="8" s="1"/>
  <c r="R20" i="8"/>
  <c r="S20" i="8" s="1"/>
  <c r="T20" i="8" s="1"/>
  <c r="R21" i="8"/>
  <c r="S21" i="8" s="1"/>
  <c r="T21" i="8" s="1"/>
  <c r="R22" i="8"/>
  <c r="S22" i="8" s="1"/>
  <c r="T22" i="8" s="1"/>
  <c r="R23" i="8"/>
  <c r="S23" i="8" s="1"/>
  <c r="T23" i="8" s="1"/>
  <c r="R24" i="8"/>
  <c r="S24" i="8" s="1"/>
  <c r="T24" i="8" s="1"/>
  <c r="R25" i="8"/>
  <c r="S25" i="8" s="1"/>
  <c r="T25" i="8" s="1"/>
  <c r="R26" i="8"/>
  <c r="S26" i="8" s="1"/>
  <c r="T26" i="8" s="1"/>
  <c r="R27" i="8"/>
  <c r="S27" i="8" s="1"/>
  <c r="T27" i="8" s="1"/>
  <c r="R28" i="8"/>
  <c r="S28" i="8" s="1"/>
  <c r="T28" i="8" s="1"/>
  <c r="R29" i="8"/>
  <c r="S29" i="8" s="1"/>
  <c r="T29" i="8" s="1"/>
  <c r="R30" i="8"/>
  <c r="S30" i="8" s="1"/>
  <c r="T30" i="8" s="1"/>
  <c r="R31" i="8"/>
  <c r="S31" i="8" s="1"/>
  <c r="T31" i="8" s="1"/>
  <c r="R32" i="8"/>
  <c r="S32" i="8" s="1"/>
  <c r="T32" i="8" s="1"/>
  <c r="R33" i="8"/>
  <c r="S33" i="8" s="1"/>
  <c r="T33" i="8" s="1"/>
  <c r="R34" i="8"/>
  <c r="S34" i="8" s="1"/>
  <c r="T34" i="8" s="1"/>
  <c r="R35" i="8"/>
  <c r="S35" i="8" s="1"/>
  <c r="T35" i="8" s="1"/>
  <c r="R5" i="8"/>
  <c r="S5" i="8" s="1"/>
  <c r="T5" i="8" s="1"/>
  <c r="O6" i="8"/>
  <c r="P6" i="8" s="1"/>
  <c r="Q6" i="8" s="1"/>
  <c r="O7" i="8"/>
  <c r="P7" i="8" s="1"/>
  <c r="Q7" i="8" s="1"/>
  <c r="O8" i="8"/>
  <c r="P8" i="8" s="1"/>
  <c r="Q8" i="8" s="1"/>
  <c r="O9" i="8"/>
  <c r="P9" i="8" s="1"/>
  <c r="O10" i="8"/>
  <c r="P10" i="8" s="1"/>
  <c r="Q10" i="8" s="1"/>
  <c r="O11" i="8"/>
  <c r="P11" i="8" s="1"/>
  <c r="Q11" i="8" s="1"/>
  <c r="O12" i="8"/>
  <c r="P12" i="8" s="1"/>
  <c r="Q12" i="8" s="1"/>
  <c r="O13" i="8"/>
  <c r="P13" i="8" s="1"/>
  <c r="Q13" i="8" s="1"/>
  <c r="O14" i="8"/>
  <c r="P14" i="8" s="1"/>
  <c r="O15" i="8"/>
  <c r="P15" i="8" s="1"/>
  <c r="Q15" i="8" s="1"/>
  <c r="O16" i="8"/>
  <c r="P16" i="8" s="1"/>
  <c r="Q16" i="8" s="1"/>
  <c r="O17" i="8"/>
  <c r="P17" i="8" s="1"/>
  <c r="Q17" i="8" s="1"/>
  <c r="O18" i="8"/>
  <c r="P18" i="8" s="1"/>
  <c r="O19" i="8"/>
  <c r="P19" i="8" s="1"/>
  <c r="Q19" i="8" s="1"/>
  <c r="O20" i="8"/>
  <c r="P20" i="8" s="1"/>
  <c r="Q20" i="8" s="1"/>
  <c r="O21" i="8"/>
  <c r="P21" i="8" s="1"/>
  <c r="Q21" i="8" s="1"/>
  <c r="O22" i="8"/>
  <c r="P22" i="8" s="1"/>
  <c r="Q22" i="8" s="1"/>
  <c r="O23" i="8"/>
  <c r="P23" i="8" s="1"/>
  <c r="Q23" i="8" s="1"/>
  <c r="O24" i="8"/>
  <c r="P24" i="8" s="1"/>
  <c r="Q24" i="8" s="1"/>
  <c r="O25" i="8"/>
  <c r="P25" i="8" s="1"/>
  <c r="Q25" i="8" s="1"/>
  <c r="O26" i="8"/>
  <c r="P26" i="8" s="1"/>
  <c r="Q26" i="8" s="1"/>
  <c r="O27" i="8"/>
  <c r="P27" i="8" s="1"/>
  <c r="Q27" i="8" s="1"/>
  <c r="O28" i="8"/>
  <c r="P28" i="8" s="1"/>
  <c r="Q28" i="8" s="1"/>
  <c r="O29" i="8"/>
  <c r="P29" i="8" s="1"/>
  <c r="Q29" i="8" s="1"/>
  <c r="O30" i="8"/>
  <c r="P30" i="8" s="1"/>
  <c r="Q30" i="8" s="1"/>
  <c r="O31" i="8"/>
  <c r="P31" i="8" s="1"/>
  <c r="Q31" i="8" s="1"/>
  <c r="O32" i="8"/>
  <c r="P32" i="8" s="1"/>
  <c r="Q32" i="8" s="1"/>
  <c r="O33" i="8"/>
  <c r="P33" i="8" s="1"/>
  <c r="Q33" i="8" s="1"/>
  <c r="O34" i="8"/>
  <c r="P34" i="8" s="1"/>
  <c r="Q34" i="8" s="1"/>
  <c r="O35" i="8"/>
  <c r="P35" i="8" s="1"/>
  <c r="Q35" i="8" s="1"/>
  <c r="O5" i="8"/>
  <c r="P5" i="8" s="1"/>
  <c r="Q5" i="8" s="1"/>
  <c r="K6" i="8"/>
  <c r="L6" i="8" s="1"/>
  <c r="M6" i="8" s="1"/>
  <c r="K7" i="8"/>
  <c r="L7" i="8" s="1"/>
  <c r="M7" i="8" s="1"/>
  <c r="K8" i="8"/>
  <c r="L8" i="8" s="1"/>
  <c r="M8" i="8" s="1"/>
  <c r="K9" i="8"/>
  <c r="L9" i="8" s="1"/>
  <c r="M9" i="8" s="1"/>
  <c r="K10" i="8"/>
  <c r="L10" i="8" s="1"/>
  <c r="M10" i="8" s="1"/>
  <c r="K11" i="8"/>
  <c r="L11" i="8" s="1"/>
  <c r="M11" i="8" s="1"/>
  <c r="K12" i="8"/>
  <c r="L12" i="8" s="1"/>
  <c r="M12" i="8" s="1"/>
  <c r="K13" i="8"/>
  <c r="L13" i="8" s="1"/>
  <c r="M13" i="8" s="1"/>
  <c r="K14" i="8"/>
  <c r="L14" i="8" s="1"/>
  <c r="M14" i="8" s="1"/>
  <c r="K15" i="8"/>
  <c r="L15" i="8" s="1"/>
  <c r="M15" i="8" s="1"/>
  <c r="K16" i="8"/>
  <c r="L16" i="8" s="1"/>
  <c r="M16" i="8" s="1"/>
  <c r="K17" i="8"/>
  <c r="L17" i="8" s="1"/>
  <c r="M17" i="8" s="1"/>
  <c r="K18" i="8"/>
  <c r="L18" i="8" s="1"/>
  <c r="M18" i="8" s="1"/>
  <c r="K19" i="8"/>
  <c r="L19" i="8" s="1"/>
  <c r="M19" i="8" s="1"/>
  <c r="K20" i="8"/>
  <c r="L20" i="8" s="1"/>
  <c r="M20" i="8" s="1"/>
  <c r="K21" i="8"/>
  <c r="L21" i="8" s="1"/>
  <c r="M21" i="8" s="1"/>
  <c r="K22" i="8"/>
  <c r="L22" i="8" s="1"/>
  <c r="M22" i="8" s="1"/>
  <c r="K23" i="8"/>
  <c r="L23" i="8" s="1"/>
  <c r="M23" i="8" s="1"/>
  <c r="K24" i="8"/>
  <c r="L24" i="8" s="1"/>
  <c r="M24" i="8" s="1"/>
  <c r="K25" i="8"/>
  <c r="L25" i="8" s="1"/>
  <c r="M25" i="8" s="1"/>
  <c r="K26" i="8"/>
  <c r="L26" i="8" s="1"/>
  <c r="M26" i="8" s="1"/>
  <c r="K27" i="8"/>
  <c r="L27" i="8" s="1"/>
  <c r="M27" i="8" s="1"/>
  <c r="K28" i="8"/>
  <c r="L28" i="8" s="1"/>
  <c r="M28" i="8" s="1"/>
  <c r="K29" i="8"/>
  <c r="L29" i="8" s="1"/>
  <c r="M29" i="8" s="1"/>
  <c r="K30" i="8"/>
  <c r="L30" i="8" s="1"/>
  <c r="M30" i="8" s="1"/>
  <c r="K31" i="8"/>
  <c r="L31" i="8" s="1"/>
  <c r="M31" i="8" s="1"/>
  <c r="K32" i="8"/>
  <c r="L32" i="8" s="1"/>
  <c r="M32" i="8" s="1"/>
  <c r="K33" i="8"/>
  <c r="L33" i="8" s="1"/>
  <c r="M33" i="8" s="1"/>
  <c r="K34" i="8"/>
  <c r="L34" i="8" s="1"/>
  <c r="M34" i="8" s="1"/>
  <c r="K35" i="8"/>
  <c r="L35" i="8" s="1"/>
  <c r="M35" i="8" s="1"/>
  <c r="K5" i="8"/>
  <c r="L5" i="8" s="1"/>
  <c r="M5" i="8" s="1"/>
  <c r="H6" i="8"/>
  <c r="I6" i="8" s="1"/>
  <c r="J6" i="8" s="1"/>
  <c r="H7" i="8"/>
  <c r="I7" i="8" s="1"/>
  <c r="J7" i="8" s="1"/>
  <c r="H8" i="8"/>
  <c r="I8" i="8" s="1"/>
  <c r="J8" i="8" s="1"/>
  <c r="H9" i="8"/>
  <c r="I9" i="8" s="1"/>
  <c r="J9" i="8" s="1"/>
  <c r="H10" i="8"/>
  <c r="I10" i="8" s="1"/>
  <c r="J10" i="8" s="1"/>
  <c r="H11" i="8"/>
  <c r="I11" i="8" s="1"/>
  <c r="J11" i="8" s="1"/>
  <c r="H12" i="8"/>
  <c r="I12" i="8" s="1"/>
  <c r="J12" i="8" s="1"/>
  <c r="H13" i="8"/>
  <c r="I13" i="8" s="1"/>
  <c r="J13" i="8" s="1"/>
  <c r="H14" i="8"/>
  <c r="I14" i="8" s="1"/>
  <c r="J14" i="8" s="1"/>
  <c r="H15" i="8"/>
  <c r="I15" i="8" s="1"/>
  <c r="J15" i="8" s="1"/>
  <c r="H16" i="8"/>
  <c r="I16" i="8" s="1"/>
  <c r="J16" i="8" s="1"/>
  <c r="H17" i="8"/>
  <c r="I17" i="8" s="1"/>
  <c r="J17" i="8" s="1"/>
  <c r="H18" i="8"/>
  <c r="I18" i="8" s="1"/>
  <c r="J18" i="8" s="1"/>
  <c r="H19" i="8"/>
  <c r="I19" i="8" s="1"/>
  <c r="J19" i="8" s="1"/>
  <c r="H20" i="8"/>
  <c r="I20" i="8" s="1"/>
  <c r="J20" i="8" s="1"/>
  <c r="H21" i="8"/>
  <c r="I21" i="8" s="1"/>
  <c r="J21" i="8" s="1"/>
  <c r="H22" i="8"/>
  <c r="I22" i="8" s="1"/>
  <c r="J22" i="8" s="1"/>
  <c r="H23" i="8"/>
  <c r="I23" i="8" s="1"/>
  <c r="J23" i="8" s="1"/>
  <c r="H24" i="8"/>
  <c r="I24" i="8" s="1"/>
  <c r="J24" i="8" s="1"/>
  <c r="H25" i="8"/>
  <c r="I25" i="8" s="1"/>
  <c r="J25" i="8" s="1"/>
  <c r="H26" i="8"/>
  <c r="I26" i="8" s="1"/>
  <c r="J26" i="8" s="1"/>
  <c r="H27" i="8"/>
  <c r="I27" i="8" s="1"/>
  <c r="J27" i="8" s="1"/>
  <c r="H28" i="8"/>
  <c r="I28" i="8" s="1"/>
  <c r="J28" i="8" s="1"/>
  <c r="H29" i="8"/>
  <c r="I29" i="8" s="1"/>
  <c r="J29" i="8" s="1"/>
  <c r="H30" i="8"/>
  <c r="I30" i="8" s="1"/>
  <c r="J30" i="8" s="1"/>
  <c r="H31" i="8"/>
  <c r="I31" i="8" s="1"/>
  <c r="J31" i="8" s="1"/>
  <c r="H32" i="8"/>
  <c r="I32" i="8" s="1"/>
  <c r="J32" i="8" s="1"/>
  <c r="H33" i="8"/>
  <c r="I33" i="8" s="1"/>
  <c r="J33" i="8" s="1"/>
  <c r="H34" i="8"/>
  <c r="I34" i="8" s="1"/>
  <c r="J34" i="8" s="1"/>
  <c r="H35" i="8"/>
  <c r="I35" i="8" s="1"/>
  <c r="J35" i="8" s="1"/>
  <c r="H5" i="8"/>
  <c r="I5" i="8" s="1"/>
  <c r="J5" i="8" s="1"/>
  <c r="E6" i="8"/>
  <c r="F6" i="8" s="1"/>
  <c r="G6" i="8" s="1"/>
  <c r="E7" i="8"/>
  <c r="F7" i="8" s="1"/>
  <c r="G7" i="8" s="1"/>
  <c r="E8" i="8"/>
  <c r="F8" i="8" s="1"/>
  <c r="G8" i="8" s="1"/>
  <c r="E9" i="8"/>
  <c r="F9" i="8" s="1"/>
  <c r="G9" i="8" s="1"/>
  <c r="E10" i="8"/>
  <c r="F10" i="8" s="1"/>
  <c r="G10" i="8" s="1"/>
  <c r="E11" i="8"/>
  <c r="F11" i="8" s="1"/>
  <c r="G11" i="8" s="1"/>
  <c r="E12" i="8"/>
  <c r="F12" i="8" s="1"/>
  <c r="G12" i="8" s="1"/>
  <c r="E13" i="8"/>
  <c r="F13" i="8" s="1"/>
  <c r="G13" i="8" s="1"/>
  <c r="E14" i="8"/>
  <c r="F14" i="8" s="1"/>
  <c r="G14" i="8" s="1"/>
  <c r="E15" i="8"/>
  <c r="F15" i="8" s="1"/>
  <c r="G15" i="8" s="1"/>
  <c r="E16" i="8"/>
  <c r="F16" i="8" s="1"/>
  <c r="G16" i="8" s="1"/>
  <c r="E17" i="8"/>
  <c r="F17" i="8" s="1"/>
  <c r="G17" i="8" s="1"/>
  <c r="E18" i="8"/>
  <c r="F18" i="8" s="1"/>
  <c r="G18" i="8" s="1"/>
  <c r="E19" i="8"/>
  <c r="F19" i="8" s="1"/>
  <c r="G19" i="8" s="1"/>
  <c r="E20" i="8"/>
  <c r="F20" i="8" s="1"/>
  <c r="G20" i="8" s="1"/>
  <c r="E21" i="8"/>
  <c r="F21" i="8" s="1"/>
  <c r="G21" i="8" s="1"/>
  <c r="E22" i="8"/>
  <c r="F22" i="8" s="1"/>
  <c r="G22" i="8" s="1"/>
  <c r="E23" i="8"/>
  <c r="F23" i="8" s="1"/>
  <c r="G23" i="8" s="1"/>
  <c r="E24" i="8"/>
  <c r="F24" i="8" s="1"/>
  <c r="G24" i="8" s="1"/>
  <c r="E25" i="8"/>
  <c r="F25" i="8" s="1"/>
  <c r="G25" i="8" s="1"/>
  <c r="E26" i="8"/>
  <c r="F26" i="8" s="1"/>
  <c r="G26" i="8" s="1"/>
  <c r="E27" i="8"/>
  <c r="F27" i="8" s="1"/>
  <c r="G27" i="8" s="1"/>
  <c r="E28" i="8"/>
  <c r="F28" i="8" s="1"/>
  <c r="G28" i="8" s="1"/>
  <c r="E29" i="8"/>
  <c r="F29" i="8" s="1"/>
  <c r="G29" i="8" s="1"/>
  <c r="E30" i="8"/>
  <c r="F30" i="8" s="1"/>
  <c r="G30" i="8" s="1"/>
  <c r="E31" i="8"/>
  <c r="F31" i="8" s="1"/>
  <c r="G31" i="8" s="1"/>
  <c r="E32" i="8"/>
  <c r="F32" i="8" s="1"/>
  <c r="G32" i="8" s="1"/>
  <c r="E33" i="8"/>
  <c r="F33" i="8" s="1"/>
  <c r="G33" i="8" s="1"/>
  <c r="E34" i="8"/>
  <c r="F34" i="8" s="1"/>
  <c r="G34" i="8" s="1"/>
  <c r="E35" i="8"/>
  <c r="F35" i="8" s="1"/>
  <c r="G35" i="8" s="1"/>
  <c r="E5" i="8"/>
  <c r="F5" i="8" s="1"/>
  <c r="G5" i="8" s="1"/>
  <c r="B6" i="8"/>
  <c r="C6" i="8" s="1"/>
  <c r="B7" i="8"/>
  <c r="C7" i="8" s="1"/>
  <c r="D7" i="8" s="1"/>
  <c r="AD7" i="8" s="1"/>
  <c r="B8" i="8"/>
  <c r="C8" i="8" s="1"/>
  <c r="B9" i="8"/>
  <c r="C9" i="8" s="1"/>
  <c r="D9" i="8" s="1"/>
  <c r="B10" i="8"/>
  <c r="C10" i="8" s="1"/>
  <c r="D10" i="8" s="1"/>
  <c r="AD10" i="8" s="1"/>
  <c r="B11" i="8"/>
  <c r="C11" i="8" s="1"/>
  <c r="D11" i="8" s="1"/>
  <c r="B12" i="8"/>
  <c r="C12" i="8" s="1"/>
  <c r="B13" i="8"/>
  <c r="C13" i="8" s="1"/>
  <c r="D13" i="8" s="1"/>
  <c r="B14" i="8"/>
  <c r="C14" i="8" s="1"/>
  <c r="D14" i="8" s="1"/>
  <c r="B15" i="8"/>
  <c r="C15" i="8" s="1"/>
  <c r="D15" i="8" s="1"/>
  <c r="AD15" i="8" s="1"/>
  <c r="B16" i="8"/>
  <c r="C16" i="8" s="1"/>
  <c r="B17" i="8"/>
  <c r="C17" i="8" s="1"/>
  <c r="D17" i="8" s="1"/>
  <c r="B18" i="8"/>
  <c r="C18" i="8" s="1"/>
  <c r="D18" i="8" s="1"/>
  <c r="B19" i="8"/>
  <c r="C19" i="8" s="1"/>
  <c r="D19" i="8" s="1"/>
  <c r="AD19" i="8" s="1"/>
  <c r="B20" i="8"/>
  <c r="C20" i="8" s="1"/>
  <c r="D20" i="8" s="1"/>
  <c r="AD20" i="8" s="1"/>
  <c r="B21" i="8"/>
  <c r="AB21" i="8" s="1"/>
  <c r="B22" i="8"/>
  <c r="B23" i="8"/>
  <c r="C23" i="8" s="1"/>
  <c r="D23" i="8" s="1"/>
  <c r="AD23" i="8" s="1"/>
  <c r="B24" i="8"/>
  <c r="C24" i="8" s="1"/>
  <c r="D24" i="8" s="1"/>
  <c r="AD24" i="8" s="1"/>
  <c r="B25" i="8"/>
  <c r="AB25" i="8" s="1"/>
  <c r="B26" i="8"/>
  <c r="C26" i="8" s="1"/>
  <c r="B27" i="8"/>
  <c r="C27" i="8" s="1"/>
  <c r="D27" i="8" s="1"/>
  <c r="AD27" i="8" s="1"/>
  <c r="B28" i="8"/>
  <c r="C28" i="8" s="1"/>
  <c r="D28" i="8" s="1"/>
  <c r="AD28" i="8" s="1"/>
  <c r="B29" i="8"/>
  <c r="C29" i="8" s="1"/>
  <c r="B30" i="8"/>
  <c r="AB30" i="8" s="1"/>
  <c r="B31" i="8"/>
  <c r="C31" i="8" s="1"/>
  <c r="D31" i="8" s="1"/>
  <c r="B32" i="8"/>
  <c r="C32" i="8" s="1"/>
  <c r="B33" i="8"/>
  <c r="AB33" i="8" s="1"/>
  <c r="B34" i="8"/>
  <c r="C34" i="8" s="1"/>
  <c r="D34" i="8" s="1"/>
  <c r="AD34" i="8" s="1"/>
  <c r="B35" i="8"/>
  <c r="C35" i="8" s="1"/>
  <c r="D35" i="8" s="1"/>
  <c r="AD35" i="8" s="1"/>
  <c r="B5" i="8"/>
  <c r="X6" i="7"/>
  <c r="Y6" i="7" s="1"/>
  <c r="Z6" i="7" s="1"/>
  <c r="X7" i="7"/>
  <c r="Y7" i="7" s="1"/>
  <c r="Z7" i="7" s="1"/>
  <c r="X8" i="7"/>
  <c r="Y8" i="7" s="1"/>
  <c r="Z8" i="7" s="1"/>
  <c r="X9" i="7"/>
  <c r="Y9" i="7" s="1"/>
  <c r="X10" i="7"/>
  <c r="Y10" i="7" s="1"/>
  <c r="Z10" i="7" s="1"/>
  <c r="X11" i="7"/>
  <c r="Y11" i="7" s="1"/>
  <c r="Z11" i="7" s="1"/>
  <c r="X12" i="7"/>
  <c r="Y12" i="7" s="1"/>
  <c r="Z12" i="7" s="1"/>
  <c r="X13" i="7"/>
  <c r="Y13" i="7" s="1"/>
  <c r="Z13" i="7" s="1"/>
  <c r="X14" i="7"/>
  <c r="Y14" i="7" s="1"/>
  <c r="Z14" i="7" s="1"/>
  <c r="X15" i="7"/>
  <c r="Y15" i="7" s="1"/>
  <c r="Z15" i="7" s="1"/>
  <c r="X16" i="7"/>
  <c r="Y16" i="7" s="1"/>
  <c r="Z16" i="7" s="1"/>
  <c r="X17" i="7"/>
  <c r="Y17" i="7" s="1"/>
  <c r="Z17" i="7" s="1"/>
  <c r="X18" i="7"/>
  <c r="Y18" i="7" s="1"/>
  <c r="Z18" i="7" s="1"/>
  <c r="X19" i="7"/>
  <c r="Y19" i="7" s="1"/>
  <c r="Z19" i="7" s="1"/>
  <c r="X20" i="7"/>
  <c r="Y20" i="7" s="1"/>
  <c r="Z20" i="7" s="1"/>
  <c r="X21" i="7"/>
  <c r="Y21" i="7" s="1"/>
  <c r="Z21" i="7" s="1"/>
  <c r="X22" i="7"/>
  <c r="Y22" i="7" s="1"/>
  <c r="Z22" i="7" s="1"/>
  <c r="X23" i="7"/>
  <c r="Y23" i="7" s="1"/>
  <c r="Z23" i="7" s="1"/>
  <c r="X24" i="7"/>
  <c r="Y24" i="7" s="1"/>
  <c r="Z24" i="7" s="1"/>
  <c r="X25" i="7"/>
  <c r="Y25" i="7" s="1"/>
  <c r="Z25" i="7" s="1"/>
  <c r="X26" i="7"/>
  <c r="Y26" i="7" s="1"/>
  <c r="Z26" i="7" s="1"/>
  <c r="X27" i="7"/>
  <c r="Y27" i="7" s="1"/>
  <c r="Z27" i="7" s="1"/>
  <c r="X28" i="7"/>
  <c r="Y28" i="7" s="1"/>
  <c r="Z28" i="7" s="1"/>
  <c r="X29" i="7"/>
  <c r="Y29" i="7" s="1"/>
  <c r="Z29" i="7" s="1"/>
  <c r="X30" i="7"/>
  <c r="Y30" i="7" s="1"/>
  <c r="Z30" i="7" s="1"/>
  <c r="X31" i="7"/>
  <c r="Y31" i="7" s="1"/>
  <c r="Z31" i="7" s="1"/>
  <c r="X32" i="7"/>
  <c r="Y32" i="7" s="1"/>
  <c r="Z32" i="7" s="1"/>
  <c r="X33" i="7"/>
  <c r="Y33" i="7" s="1"/>
  <c r="Z33" i="7" s="1"/>
  <c r="X34" i="7"/>
  <c r="Y34" i="7" s="1"/>
  <c r="Z34" i="7" s="1"/>
  <c r="X5" i="7"/>
  <c r="Y5" i="7" s="1"/>
  <c r="Z5" i="7" s="1"/>
  <c r="U6" i="7"/>
  <c r="V6" i="7" s="1"/>
  <c r="W6" i="7" s="1"/>
  <c r="U7" i="7"/>
  <c r="V7" i="7" s="1"/>
  <c r="W7" i="7" s="1"/>
  <c r="U8" i="7"/>
  <c r="V8" i="7" s="1"/>
  <c r="W8" i="7" s="1"/>
  <c r="U9" i="7"/>
  <c r="V9" i="7" s="1"/>
  <c r="W9" i="7" s="1"/>
  <c r="U10" i="7"/>
  <c r="V10" i="7" s="1"/>
  <c r="W10" i="7" s="1"/>
  <c r="U11" i="7"/>
  <c r="V11" i="7" s="1"/>
  <c r="W11" i="7" s="1"/>
  <c r="U12" i="7"/>
  <c r="V12" i="7" s="1"/>
  <c r="W12" i="7" s="1"/>
  <c r="U13" i="7"/>
  <c r="V13" i="7" s="1"/>
  <c r="W13" i="7" s="1"/>
  <c r="U14" i="7"/>
  <c r="V14" i="7" s="1"/>
  <c r="W14" i="7" s="1"/>
  <c r="U15" i="7"/>
  <c r="V15" i="7" s="1"/>
  <c r="W15" i="7" s="1"/>
  <c r="U16" i="7"/>
  <c r="V16" i="7" s="1"/>
  <c r="W16" i="7" s="1"/>
  <c r="U17" i="7"/>
  <c r="V17" i="7" s="1"/>
  <c r="W17" i="7" s="1"/>
  <c r="U18" i="7"/>
  <c r="V18" i="7" s="1"/>
  <c r="W18" i="7" s="1"/>
  <c r="U19" i="7"/>
  <c r="V19" i="7" s="1"/>
  <c r="W19" i="7" s="1"/>
  <c r="U20" i="7"/>
  <c r="V20" i="7" s="1"/>
  <c r="W20" i="7" s="1"/>
  <c r="U21" i="7"/>
  <c r="V21" i="7" s="1"/>
  <c r="W21" i="7" s="1"/>
  <c r="U22" i="7"/>
  <c r="V22" i="7" s="1"/>
  <c r="W22" i="7" s="1"/>
  <c r="U23" i="7"/>
  <c r="V23" i="7" s="1"/>
  <c r="W23" i="7" s="1"/>
  <c r="U24" i="7"/>
  <c r="V24" i="7" s="1"/>
  <c r="W24" i="7" s="1"/>
  <c r="U25" i="7"/>
  <c r="V25" i="7" s="1"/>
  <c r="W25" i="7" s="1"/>
  <c r="U26" i="7"/>
  <c r="V26" i="7" s="1"/>
  <c r="W26" i="7" s="1"/>
  <c r="U27" i="7"/>
  <c r="V27" i="7" s="1"/>
  <c r="W27" i="7" s="1"/>
  <c r="U28" i="7"/>
  <c r="V28" i="7" s="1"/>
  <c r="W28" i="7" s="1"/>
  <c r="U29" i="7"/>
  <c r="V29" i="7" s="1"/>
  <c r="W29" i="7" s="1"/>
  <c r="U30" i="7"/>
  <c r="V30" i="7" s="1"/>
  <c r="W30" i="7" s="1"/>
  <c r="U31" i="7"/>
  <c r="V31" i="7" s="1"/>
  <c r="W31" i="7" s="1"/>
  <c r="U32" i="7"/>
  <c r="V32" i="7" s="1"/>
  <c r="W32" i="7" s="1"/>
  <c r="U33" i="7"/>
  <c r="V33" i="7" s="1"/>
  <c r="W33" i="7" s="1"/>
  <c r="U34" i="7"/>
  <c r="V34" i="7" s="1"/>
  <c r="W34" i="7" s="1"/>
  <c r="U5" i="7"/>
  <c r="V5" i="7" s="1"/>
  <c r="W5" i="7" s="1"/>
  <c r="R6" i="7"/>
  <c r="S6" i="7" s="1"/>
  <c r="T6" i="7" s="1"/>
  <c r="R7" i="7"/>
  <c r="S7" i="7" s="1"/>
  <c r="T7" i="7" s="1"/>
  <c r="R8" i="7"/>
  <c r="S8" i="7" s="1"/>
  <c r="T8" i="7" s="1"/>
  <c r="R9" i="7"/>
  <c r="S9" i="7" s="1"/>
  <c r="T9" i="7" s="1"/>
  <c r="R10" i="7"/>
  <c r="S10" i="7" s="1"/>
  <c r="T10" i="7" s="1"/>
  <c r="R11" i="7"/>
  <c r="S11" i="7" s="1"/>
  <c r="T11" i="7" s="1"/>
  <c r="R12" i="7"/>
  <c r="S12" i="7" s="1"/>
  <c r="T12" i="7" s="1"/>
  <c r="R13" i="7"/>
  <c r="S13" i="7" s="1"/>
  <c r="T13" i="7" s="1"/>
  <c r="R14" i="7"/>
  <c r="S14" i="7" s="1"/>
  <c r="T14" i="7" s="1"/>
  <c r="R15" i="7"/>
  <c r="S15" i="7" s="1"/>
  <c r="T15" i="7" s="1"/>
  <c r="R16" i="7"/>
  <c r="S16" i="7" s="1"/>
  <c r="T16" i="7" s="1"/>
  <c r="R17" i="7"/>
  <c r="S17" i="7" s="1"/>
  <c r="T17" i="7" s="1"/>
  <c r="R18" i="7"/>
  <c r="S18" i="7" s="1"/>
  <c r="T18" i="7" s="1"/>
  <c r="R19" i="7"/>
  <c r="S19" i="7" s="1"/>
  <c r="T19" i="7" s="1"/>
  <c r="R20" i="7"/>
  <c r="S20" i="7" s="1"/>
  <c r="T20" i="7" s="1"/>
  <c r="R21" i="7"/>
  <c r="S21" i="7" s="1"/>
  <c r="T21" i="7" s="1"/>
  <c r="R22" i="7"/>
  <c r="S22" i="7" s="1"/>
  <c r="T22" i="7" s="1"/>
  <c r="R23" i="7"/>
  <c r="S23" i="7" s="1"/>
  <c r="T23" i="7" s="1"/>
  <c r="R24" i="7"/>
  <c r="S24" i="7" s="1"/>
  <c r="T24" i="7" s="1"/>
  <c r="R25" i="7"/>
  <c r="S25" i="7" s="1"/>
  <c r="T25" i="7" s="1"/>
  <c r="R26" i="7"/>
  <c r="S26" i="7" s="1"/>
  <c r="T26" i="7" s="1"/>
  <c r="R27" i="7"/>
  <c r="S27" i="7" s="1"/>
  <c r="T27" i="7" s="1"/>
  <c r="R28" i="7"/>
  <c r="S28" i="7" s="1"/>
  <c r="T28" i="7" s="1"/>
  <c r="R29" i="7"/>
  <c r="S29" i="7" s="1"/>
  <c r="T29" i="7" s="1"/>
  <c r="R30" i="7"/>
  <c r="S30" i="7" s="1"/>
  <c r="T30" i="7" s="1"/>
  <c r="R31" i="7"/>
  <c r="S31" i="7" s="1"/>
  <c r="T31" i="7" s="1"/>
  <c r="R32" i="7"/>
  <c r="S32" i="7" s="1"/>
  <c r="T32" i="7" s="1"/>
  <c r="R33" i="7"/>
  <c r="S33" i="7" s="1"/>
  <c r="T33" i="7" s="1"/>
  <c r="R34" i="7"/>
  <c r="S34" i="7" s="1"/>
  <c r="T34" i="7" s="1"/>
  <c r="R5" i="7"/>
  <c r="S5" i="7" s="1"/>
  <c r="T5" i="7" s="1"/>
  <c r="O6" i="7"/>
  <c r="P6" i="7" s="1"/>
  <c r="Q6" i="7" s="1"/>
  <c r="O7" i="7"/>
  <c r="P7" i="7" s="1"/>
  <c r="Q7" i="7" s="1"/>
  <c r="O8" i="7"/>
  <c r="P8" i="7" s="1"/>
  <c r="Q8" i="7" s="1"/>
  <c r="O9" i="7"/>
  <c r="P9" i="7" s="1"/>
  <c r="Q9" i="7" s="1"/>
  <c r="O10" i="7"/>
  <c r="P10" i="7" s="1"/>
  <c r="Q10" i="7" s="1"/>
  <c r="O11" i="7"/>
  <c r="P11" i="7" s="1"/>
  <c r="Q11" i="7" s="1"/>
  <c r="O12" i="7"/>
  <c r="P12" i="7" s="1"/>
  <c r="Q12" i="7" s="1"/>
  <c r="O13" i="7"/>
  <c r="P13" i="7" s="1"/>
  <c r="Q13" i="7" s="1"/>
  <c r="O14" i="7"/>
  <c r="P14" i="7" s="1"/>
  <c r="Q14" i="7" s="1"/>
  <c r="O15" i="7"/>
  <c r="P15" i="7" s="1"/>
  <c r="Q15" i="7" s="1"/>
  <c r="O16" i="7"/>
  <c r="P16" i="7" s="1"/>
  <c r="Q16" i="7" s="1"/>
  <c r="O17" i="7"/>
  <c r="P17" i="7" s="1"/>
  <c r="Q17" i="7" s="1"/>
  <c r="O18" i="7"/>
  <c r="P18" i="7" s="1"/>
  <c r="Q18" i="7" s="1"/>
  <c r="O19" i="7"/>
  <c r="P19" i="7" s="1"/>
  <c r="Q19" i="7" s="1"/>
  <c r="O20" i="7"/>
  <c r="P20" i="7" s="1"/>
  <c r="Q20" i="7" s="1"/>
  <c r="O21" i="7"/>
  <c r="P21" i="7" s="1"/>
  <c r="Q21" i="7" s="1"/>
  <c r="O22" i="7"/>
  <c r="P22" i="7" s="1"/>
  <c r="Q22" i="7" s="1"/>
  <c r="O23" i="7"/>
  <c r="P23" i="7" s="1"/>
  <c r="Q23" i="7" s="1"/>
  <c r="O24" i="7"/>
  <c r="P24" i="7" s="1"/>
  <c r="O25" i="7"/>
  <c r="P25" i="7" s="1"/>
  <c r="Q25" i="7" s="1"/>
  <c r="O26" i="7"/>
  <c r="P26" i="7" s="1"/>
  <c r="Q26" i="7" s="1"/>
  <c r="O27" i="7"/>
  <c r="P27" i="7" s="1"/>
  <c r="Q27" i="7" s="1"/>
  <c r="O28" i="7"/>
  <c r="P28" i="7" s="1"/>
  <c r="Q28" i="7" s="1"/>
  <c r="O29" i="7"/>
  <c r="P29" i="7" s="1"/>
  <c r="Q29" i="7" s="1"/>
  <c r="O30" i="7"/>
  <c r="P30" i="7" s="1"/>
  <c r="Q30" i="7" s="1"/>
  <c r="O31" i="7"/>
  <c r="P31" i="7" s="1"/>
  <c r="Q31" i="7" s="1"/>
  <c r="O32" i="7"/>
  <c r="P32" i="7" s="1"/>
  <c r="Q32" i="7" s="1"/>
  <c r="O33" i="7"/>
  <c r="P33" i="7" s="1"/>
  <c r="Q33" i="7" s="1"/>
  <c r="O34" i="7"/>
  <c r="P34" i="7" s="1"/>
  <c r="Q34" i="7" s="1"/>
  <c r="O5" i="7"/>
  <c r="P5" i="7" s="1"/>
  <c r="Q5" i="7" s="1"/>
  <c r="K6" i="7"/>
  <c r="L6" i="7" s="1"/>
  <c r="M6" i="7" s="1"/>
  <c r="K7" i="7"/>
  <c r="L7" i="7" s="1"/>
  <c r="M7" i="7" s="1"/>
  <c r="K8" i="7"/>
  <c r="L8" i="7" s="1"/>
  <c r="M8" i="7" s="1"/>
  <c r="K9" i="7"/>
  <c r="L9" i="7" s="1"/>
  <c r="K10" i="7"/>
  <c r="L10" i="7" s="1"/>
  <c r="M10" i="7" s="1"/>
  <c r="K11" i="7"/>
  <c r="L11" i="7" s="1"/>
  <c r="M11" i="7" s="1"/>
  <c r="K12" i="7"/>
  <c r="L12" i="7" s="1"/>
  <c r="M12" i="7" s="1"/>
  <c r="K13" i="7"/>
  <c r="L13" i="7" s="1"/>
  <c r="M13" i="7" s="1"/>
  <c r="K14" i="7"/>
  <c r="L14" i="7" s="1"/>
  <c r="M14" i="7" s="1"/>
  <c r="K15" i="7"/>
  <c r="L15" i="7" s="1"/>
  <c r="M15" i="7" s="1"/>
  <c r="K16" i="7"/>
  <c r="L16" i="7" s="1"/>
  <c r="M16" i="7" s="1"/>
  <c r="K17" i="7"/>
  <c r="L17" i="7" s="1"/>
  <c r="M17" i="7" s="1"/>
  <c r="K18" i="7"/>
  <c r="L18" i="7" s="1"/>
  <c r="M18" i="7" s="1"/>
  <c r="K19" i="7"/>
  <c r="L19" i="7" s="1"/>
  <c r="M19" i="7" s="1"/>
  <c r="K20" i="7"/>
  <c r="L20" i="7" s="1"/>
  <c r="M20" i="7" s="1"/>
  <c r="K21" i="7"/>
  <c r="L21" i="7" s="1"/>
  <c r="M21" i="7" s="1"/>
  <c r="K22" i="7"/>
  <c r="L22" i="7" s="1"/>
  <c r="M22" i="7" s="1"/>
  <c r="K23" i="7"/>
  <c r="L23" i="7" s="1"/>
  <c r="M23" i="7" s="1"/>
  <c r="K24" i="7"/>
  <c r="L24" i="7" s="1"/>
  <c r="M24" i="7" s="1"/>
  <c r="K25" i="7"/>
  <c r="L25" i="7" s="1"/>
  <c r="M25" i="7" s="1"/>
  <c r="K26" i="7"/>
  <c r="L26" i="7" s="1"/>
  <c r="M26" i="7" s="1"/>
  <c r="K27" i="7"/>
  <c r="L27" i="7" s="1"/>
  <c r="M27" i="7" s="1"/>
  <c r="K28" i="7"/>
  <c r="L28" i="7" s="1"/>
  <c r="M28" i="7" s="1"/>
  <c r="K29" i="7"/>
  <c r="L29" i="7" s="1"/>
  <c r="M29" i="7" s="1"/>
  <c r="K30" i="7"/>
  <c r="L30" i="7" s="1"/>
  <c r="M30" i="7" s="1"/>
  <c r="K31" i="7"/>
  <c r="L31" i="7" s="1"/>
  <c r="M31" i="7" s="1"/>
  <c r="K32" i="7"/>
  <c r="L32" i="7" s="1"/>
  <c r="M32" i="7" s="1"/>
  <c r="K33" i="7"/>
  <c r="L33" i="7" s="1"/>
  <c r="M33" i="7" s="1"/>
  <c r="K34" i="7"/>
  <c r="L34" i="7" s="1"/>
  <c r="M34" i="7" s="1"/>
  <c r="K5" i="7"/>
  <c r="L5" i="7" s="1"/>
  <c r="M5" i="7" s="1"/>
  <c r="H6" i="7"/>
  <c r="I6" i="7" s="1"/>
  <c r="J6" i="7" s="1"/>
  <c r="H7" i="7"/>
  <c r="I7" i="7" s="1"/>
  <c r="J7" i="7" s="1"/>
  <c r="H8" i="7"/>
  <c r="I8" i="7" s="1"/>
  <c r="J8" i="7" s="1"/>
  <c r="H9" i="7"/>
  <c r="I9" i="7" s="1"/>
  <c r="J9" i="7" s="1"/>
  <c r="H10" i="7"/>
  <c r="I10" i="7" s="1"/>
  <c r="J10" i="7" s="1"/>
  <c r="H11" i="7"/>
  <c r="I11" i="7" s="1"/>
  <c r="J11" i="7" s="1"/>
  <c r="H12" i="7"/>
  <c r="I12" i="7" s="1"/>
  <c r="J12" i="7" s="1"/>
  <c r="H13" i="7"/>
  <c r="I13" i="7" s="1"/>
  <c r="J13" i="7" s="1"/>
  <c r="H14" i="7"/>
  <c r="I14" i="7" s="1"/>
  <c r="J14" i="7" s="1"/>
  <c r="H15" i="7"/>
  <c r="I15" i="7" s="1"/>
  <c r="J15" i="7" s="1"/>
  <c r="H16" i="7"/>
  <c r="I16" i="7" s="1"/>
  <c r="J16" i="7" s="1"/>
  <c r="H17" i="7"/>
  <c r="I17" i="7" s="1"/>
  <c r="J17" i="7" s="1"/>
  <c r="H18" i="7"/>
  <c r="I18" i="7" s="1"/>
  <c r="J18" i="7" s="1"/>
  <c r="H19" i="7"/>
  <c r="I19" i="7" s="1"/>
  <c r="J19" i="7" s="1"/>
  <c r="H20" i="7"/>
  <c r="I20" i="7" s="1"/>
  <c r="J20" i="7" s="1"/>
  <c r="H21" i="7"/>
  <c r="I21" i="7" s="1"/>
  <c r="J21" i="7" s="1"/>
  <c r="H22" i="7"/>
  <c r="I22" i="7" s="1"/>
  <c r="J22" i="7" s="1"/>
  <c r="H23" i="7"/>
  <c r="I23" i="7" s="1"/>
  <c r="J23" i="7" s="1"/>
  <c r="H24" i="7"/>
  <c r="I24" i="7" s="1"/>
  <c r="J24" i="7" s="1"/>
  <c r="H25" i="7"/>
  <c r="I25" i="7" s="1"/>
  <c r="J25" i="7" s="1"/>
  <c r="H26" i="7"/>
  <c r="I26" i="7" s="1"/>
  <c r="J26" i="7" s="1"/>
  <c r="H27" i="7"/>
  <c r="I27" i="7" s="1"/>
  <c r="J27" i="7" s="1"/>
  <c r="H28" i="7"/>
  <c r="I28" i="7" s="1"/>
  <c r="J28" i="7" s="1"/>
  <c r="H29" i="7"/>
  <c r="I29" i="7" s="1"/>
  <c r="J29" i="7" s="1"/>
  <c r="H30" i="7"/>
  <c r="I30" i="7" s="1"/>
  <c r="J30" i="7" s="1"/>
  <c r="H31" i="7"/>
  <c r="I31" i="7" s="1"/>
  <c r="J31" i="7" s="1"/>
  <c r="H32" i="7"/>
  <c r="I32" i="7" s="1"/>
  <c r="J32" i="7" s="1"/>
  <c r="H33" i="7"/>
  <c r="I33" i="7" s="1"/>
  <c r="J33" i="7" s="1"/>
  <c r="H34" i="7"/>
  <c r="I34" i="7" s="1"/>
  <c r="J34" i="7" s="1"/>
  <c r="H5" i="7"/>
  <c r="I5" i="7" s="1"/>
  <c r="E6" i="7"/>
  <c r="F6" i="7" s="1"/>
  <c r="G6" i="7" s="1"/>
  <c r="E7" i="7"/>
  <c r="F7" i="7" s="1"/>
  <c r="G7" i="7" s="1"/>
  <c r="E8" i="7"/>
  <c r="F8" i="7" s="1"/>
  <c r="G8" i="7" s="1"/>
  <c r="E9" i="7"/>
  <c r="F9" i="7" s="1"/>
  <c r="G9" i="7" s="1"/>
  <c r="E10" i="7"/>
  <c r="F10" i="7" s="1"/>
  <c r="G10" i="7" s="1"/>
  <c r="E11" i="7"/>
  <c r="F11" i="7" s="1"/>
  <c r="G11" i="7" s="1"/>
  <c r="E12" i="7"/>
  <c r="F12" i="7" s="1"/>
  <c r="G12" i="7" s="1"/>
  <c r="E13" i="7"/>
  <c r="F13" i="7" s="1"/>
  <c r="G13" i="7" s="1"/>
  <c r="E14" i="7"/>
  <c r="F14" i="7" s="1"/>
  <c r="G14" i="7" s="1"/>
  <c r="E15" i="7"/>
  <c r="F15" i="7" s="1"/>
  <c r="G15" i="7" s="1"/>
  <c r="E16" i="7"/>
  <c r="F16" i="7" s="1"/>
  <c r="G16" i="7" s="1"/>
  <c r="E17" i="7"/>
  <c r="F17" i="7" s="1"/>
  <c r="G17" i="7" s="1"/>
  <c r="E18" i="7"/>
  <c r="F18" i="7" s="1"/>
  <c r="G18" i="7" s="1"/>
  <c r="E19" i="7"/>
  <c r="F19" i="7" s="1"/>
  <c r="G19" i="7" s="1"/>
  <c r="E20" i="7"/>
  <c r="F20" i="7" s="1"/>
  <c r="G20" i="7" s="1"/>
  <c r="E21" i="7"/>
  <c r="F21" i="7" s="1"/>
  <c r="G21" i="7" s="1"/>
  <c r="E22" i="7"/>
  <c r="F22" i="7" s="1"/>
  <c r="G22" i="7" s="1"/>
  <c r="E23" i="7"/>
  <c r="F23" i="7" s="1"/>
  <c r="G23" i="7" s="1"/>
  <c r="E24" i="7"/>
  <c r="F24" i="7" s="1"/>
  <c r="G24" i="7" s="1"/>
  <c r="E25" i="7"/>
  <c r="F25" i="7" s="1"/>
  <c r="G25" i="7" s="1"/>
  <c r="E26" i="7"/>
  <c r="F26" i="7" s="1"/>
  <c r="G26" i="7" s="1"/>
  <c r="E27" i="7"/>
  <c r="F27" i="7" s="1"/>
  <c r="G27" i="7" s="1"/>
  <c r="E28" i="7"/>
  <c r="F28" i="7" s="1"/>
  <c r="G28" i="7" s="1"/>
  <c r="E29" i="7"/>
  <c r="F29" i="7" s="1"/>
  <c r="G29" i="7" s="1"/>
  <c r="E30" i="7"/>
  <c r="F30" i="7" s="1"/>
  <c r="G30" i="7" s="1"/>
  <c r="E31" i="7"/>
  <c r="F31" i="7" s="1"/>
  <c r="G31" i="7" s="1"/>
  <c r="E32" i="7"/>
  <c r="F32" i="7" s="1"/>
  <c r="G32" i="7" s="1"/>
  <c r="E33" i="7"/>
  <c r="F33" i="7" s="1"/>
  <c r="G33" i="7" s="1"/>
  <c r="E34" i="7"/>
  <c r="F34" i="7" s="1"/>
  <c r="G34" i="7" s="1"/>
  <c r="E5" i="7"/>
  <c r="F5" i="7" s="1"/>
  <c r="G5" i="7" s="1"/>
  <c r="B6" i="7"/>
  <c r="AB6" i="7" s="1"/>
  <c r="B7" i="7"/>
  <c r="B8" i="7"/>
  <c r="AB8" i="7" s="1"/>
  <c r="B9" i="7"/>
  <c r="B10" i="7"/>
  <c r="B11" i="7"/>
  <c r="B12" i="7"/>
  <c r="C12" i="7" s="1"/>
  <c r="D12" i="7" s="1"/>
  <c r="B13" i="7"/>
  <c r="B14" i="7"/>
  <c r="B15" i="7"/>
  <c r="B16" i="7"/>
  <c r="AB16" i="7" s="1"/>
  <c r="B17" i="7"/>
  <c r="B18" i="7"/>
  <c r="B19" i="7"/>
  <c r="B20" i="7"/>
  <c r="AB20" i="7" s="1"/>
  <c r="B21" i="7"/>
  <c r="B22" i="7"/>
  <c r="AB22" i="7" s="1"/>
  <c r="B23" i="7"/>
  <c r="B24" i="7"/>
  <c r="C24" i="7" s="1"/>
  <c r="D24" i="7" s="1"/>
  <c r="B25" i="7"/>
  <c r="B26" i="7"/>
  <c r="B27" i="7"/>
  <c r="B28" i="7"/>
  <c r="AB28" i="7" s="1"/>
  <c r="B29" i="7"/>
  <c r="B30" i="7"/>
  <c r="B31" i="7"/>
  <c r="B32" i="7"/>
  <c r="AB32" i="7" s="1"/>
  <c r="B33" i="7"/>
  <c r="B34" i="7"/>
  <c r="B5" i="7"/>
  <c r="X6" i="6"/>
  <c r="Y6" i="6" s="1"/>
  <c r="Z6" i="6" s="1"/>
  <c r="X7" i="6"/>
  <c r="Y7" i="6" s="1"/>
  <c r="Z7" i="6" s="1"/>
  <c r="X8" i="6"/>
  <c r="Y8" i="6" s="1"/>
  <c r="Z8" i="6" s="1"/>
  <c r="X9" i="6"/>
  <c r="Y9" i="6" s="1"/>
  <c r="Z9" i="6" s="1"/>
  <c r="X10" i="6"/>
  <c r="Y10" i="6" s="1"/>
  <c r="Z10" i="6" s="1"/>
  <c r="X11" i="6"/>
  <c r="Y11" i="6" s="1"/>
  <c r="Z11" i="6" s="1"/>
  <c r="X12" i="6"/>
  <c r="Y12" i="6" s="1"/>
  <c r="Z12" i="6" s="1"/>
  <c r="X13" i="6"/>
  <c r="Y13" i="6" s="1"/>
  <c r="Z13" i="6" s="1"/>
  <c r="X14" i="6"/>
  <c r="Y14" i="6" s="1"/>
  <c r="Z14" i="6" s="1"/>
  <c r="X15" i="6"/>
  <c r="Y15" i="6" s="1"/>
  <c r="Z15" i="6" s="1"/>
  <c r="X16" i="6"/>
  <c r="Y16" i="6" s="1"/>
  <c r="Z16" i="6" s="1"/>
  <c r="X17" i="6"/>
  <c r="Y17" i="6" s="1"/>
  <c r="Z17" i="6" s="1"/>
  <c r="X18" i="6"/>
  <c r="Y18" i="6" s="1"/>
  <c r="Z18" i="6" s="1"/>
  <c r="X19" i="6"/>
  <c r="Y19" i="6" s="1"/>
  <c r="Z19" i="6" s="1"/>
  <c r="X20" i="6"/>
  <c r="Y20" i="6" s="1"/>
  <c r="Z20" i="6" s="1"/>
  <c r="X21" i="6"/>
  <c r="Y21" i="6" s="1"/>
  <c r="Z21" i="6" s="1"/>
  <c r="X22" i="6"/>
  <c r="Y22" i="6" s="1"/>
  <c r="Z22" i="6" s="1"/>
  <c r="X23" i="6"/>
  <c r="Y23" i="6" s="1"/>
  <c r="Z23" i="6" s="1"/>
  <c r="X24" i="6"/>
  <c r="Y24" i="6" s="1"/>
  <c r="Z24" i="6" s="1"/>
  <c r="X25" i="6"/>
  <c r="Y25" i="6" s="1"/>
  <c r="Z25" i="6" s="1"/>
  <c r="X26" i="6"/>
  <c r="Y26" i="6" s="1"/>
  <c r="Z26" i="6" s="1"/>
  <c r="X27" i="6"/>
  <c r="Y27" i="6" s="1"/>
  <c r="Z27" i="6" s="1"/>
  <c r="X28" i="6"/>
  <c r="Y28" i="6" s="1"/>
  <c r="Z28" i="6" s="1"/>
  <c r="X29" i="6"/>
  <c r="Y29" i="6" s="1"/>
  <c r="Z29" i="6" s="1"/>
  <c r="X30" i="6"/>
  <c r="Y30" i="6" s="1"/>
  <c r="Z30" i="6" s="1"/>
  <c r="X31" i="6"/>
  <c r="Y31" i="6" s="1"/>
  <c r="Z31" i="6" s="1"/>
  <c r="X32" i="6"/>
  <c r="Y32" i="6" s="1"/>
  <c r="Z32" i="6" s="1"/>
  <c r="X33" i="6"/>
  <c r="Y33" i="6" s="1"/>
  <c r="Z33" i="6" s="1"/>
  <c r="X34" i="6"/>
  <c r="Y34" i="6" s="1"/>
  <c r="Z34" i="6" s="1"/>
  <c r="X35" i="6"/>
  <c r="Y35" i="6" s="1"/>
  <c r="Z35" i="6" s="1"/>
  <c r="X5" i="6"/>
  <c r="Y5" i="6" s="1"/>
  <c r="Z5" i="6" s="1"/>
  <c r="U6" i="6"/>
  <c r="V6" i="6" s="1"/>
  <c r="W6" i="6" s="1"/>
  <c r="U7" i="6"/>
  <c r="V7" i="6" s="1"/>
  <c r="W7" i="6" s="1"/>
  <c r="U8" i="6"/>
  <c r="V8" i="6" s="1"/>
  <c r="W8" i="6" s="1"/>
  <c r="U9" i="6"/>
  <c r="V9" i="6" s="1"/>
  <c r="W9" i="6" s="1"/>
  <c r="U10" i="6"/>
  <c r="V10" i="6" s="1"/>
  <c r="W10" i="6" s="1"/>
  <c r="U11" i="6"/>
  <c r="V11" i="6" s="1"/>
  <c r="W11" i="6" s="1"/>
  <c r="U12" i="6"/>
  <c r="V12" i="6" s="1"/>
  <c r="W12" i="6" s="1"/>
  <c r="U13" i="6"/>
  <c r="V13" i="6" s="1"/>
  <c r="W13" i="6" s="1"/>
  <c r="U14" i="6"/>
  <c r="V14" i="6" s="1"/>
  <c r="W14" i="6" s="1"/>
  <c r="U15" i="6"/>
  <c r="V15" i="6" s="1"/>
  <c r="W15" i="6" s="1"/>
  <c r="U16" i="6"/>
  <c r="V16" i="6" s="1"/>
  <c r="W16" i="6" s="1"/>
  <c r="U17" i="6"/>
  <c r="V17" i="6" s="1"/>
  <c r="W17" i="6" s="1"/>
  <c r="U18" i="6"/>
  <c r="V18" i="6" s="1"/>
  <c r="W18" i="6" s="1"/>
  <c r="U19" i="6"/>
  <c r="V19" i="6" s="1"/>
  <c r="W19" i="6" s="1"/>
  <c r="U20" i="6"/>
  <c r="V20" i="6" s="1"/>
  <c r="W20" i="6" s="1"/>
  <c r="U21" i="6"/>
  <c r="V21" i="6" s="1"/>
  <c r="W21" i="6" s="1"/>
  <c r="U22" i="6"/>
  <c r="V22" i="6" s="1"/>
  <c r="W22" i="6" s="1"/>
  <c r="U23" i="6"/>
  <c r="V23" i="6" s="1"/>
  <c r="W23" i="6" s="1"/>
  <c r="U24" i="6"/>
  <c r="V24" i="6" s="1"/>
  <c r="W24" i="6" s="1"/>
  <c r="U25" i="6"/>
  <c r="V25" i="6" s="1"/>
  <c r="W25" i="6" s="1"/>
  <c r="U26" i="6"/>
  <c r="V26" i="6" s="1"/>
  <c r="W26" i="6" s="1"/>
  <c r="U27" i="6"/>
  <c r="V27" i="6" s="1"/>
  <c r="W27" i="6" s="1"/>
  <c r="U28" i="6"/>
  <c r="V28" i="6" s="1"/>
  <c r="W28" i="6" s="1"/>
  <c r="U29" i="6"/>
  <c r="V29" i="6" s="1"/>
  <c r="W29" i="6" s="1"/>
  <c r="U30" i="6"/>
  <c r="V30" i="6" s="1"/>
  <c r="W30" i="6" s="1"/>
  <c r="U31" i="6"/>
  <c r="V31" i="6" s="1"/>
  <c r="W31" i="6" s="1"/>
  <c r="U32" i="6"/>
  <c r="V32" i="6" s="1"/>
  <c r="W32" i="6" s="1"/>
  <c r="U33" i="6"/>
  <c r="V33" i="6" s="1"/>
  <c r="W33" i="6" s="1"/>
  <c r="U34" i="6"/>
  <c r="V34" i="6" s="1"/>
  <c r="W34" i="6" s="1"/>
  <c r="U35" i="6"/>
  <c r="V35" i="6" s="1"/>
  <c r="W35" i="6" s="1"/>
  <c r="U5" i="6"/>
  <c r="V5" i="6" s="1"/>
  <c r="W5" i="6" s="1"/>
  <c r="R6" i="6"/>
  <c r="S6" i="6" s="1"/>
  <c r="T6" i="6" s="1"/>
  <c r="R7" i="6"/>
  <c r="S7" i="6" s="1"/>
  <c r="T7" i="6" s="1"/>
  <c r="R8" i="6"/>
  <c r="S8" i="6" s="1"/>
  <c r="T8" i="6" s="1"/>
  <c r="R9" i="6"/>
  <c r="S9" i="6" s="1"/>
  <c r="T9" i="6" s="1"/>
  <c r="R10" i="6"/>
  <c r="S10" i="6" s="1"/>
  <c r="T10" i="6" s="1"/>
  <c r="R11" i="6"/>
  <c r="S11" i="6" s="1"/>
  <c r="T11" i="6" s="1"/>
  <c r="R12" i="6"/>
  <c r="S12" i="6" s="1"/>
  <c r="T12" i="6" s="1"/>
  <c r="R13" i="6"/>
  <c r="S13" i="6" s="1"/>
  <c r="T13" i="6" s="1"/>
  <c r="R14" i="6"/>
  <c r="S14" i="6" s="1"/>
  <c r="T14" i="6" s="1"/>
  <c r="R15" i="6"/>
  <c r="S15" i="6" s="1"/>
  <c r="T15" i="6" s="1"/>
  <c r="R16" i="6"/>
  <c r="S16" i="6" s="1"/>
  <c r="T16" i="6" s="1"/>
  <c r="R17" i="6"/>
  <c r="S17" i="6" s="1"/>
  <c r="T17" i="6" s="1"/>
  <c r="R18" i="6"/>
  <c r="S18" i="6" s="1"/>
  <c r="T18" i="6" s="1"/>
  <c r="R19" i="6"/>
  <c r="S19" i="6" s="1"/>
  <c r="T19" i="6" s="1"/>
  <c r="R20" i="6"/>
  <c r="S20" i="6" s="1"/>
  <c r="T20" i="6" s="1"/>
  <c r="R21" i="6"/>
  <c r="S21" i="6" s="1"/>
  <c r="T21" i="6" s="1"/>
  <c r="R22" i="6"/>
  <c r="S22" i="6" s="1"/>
  <c r="T22" i="6" s="1"/>
  <c r="R23" i="6"/>
  <c r="S23" i="6" s="1"/>
  <c r="T23" i="6" s="1"/>
  <c r="R24" i="6"/>
  <c r="S24" i="6" s="1"/>
  <c r="T24" i="6" s="1"/>
  <c r="R25" i="6"/>
  <c r="S25" i="6" s="1"/>
  <c r="T25" i="6" s="1"/>
  <c r="R26" i="6"/>
  <c r="S26" i="6" s="1"/>
  <c r="T26" i="6" s="1"/>
  <c r="R27" i="6"/>
  <c r="S27" i="6" s="1"/>
  <c r="T27" i="6" s="1"/>
  <c r="R28" i="6"/>
  <c r="S28" i="6" s="1"/>
  <c r="T28" i="6" s="1"/>
  <c r="R29" i="6"/>
  <c r="S29" i="6" s="1"/>
  <c r="T29" i="6" s="1"/>
  <c r="R30" i="6"/>
  <c r="S30" i="6" s="1"/>
  <c r="T30" i="6" s="1"/>
  <c r="R31" i="6"/>
  <c r="S31" i="6" s="1"/>
  <c r="T31" i="6" s="1"/>
  <c r="R32" i="6"/>
  <c r="S32" i="6" s="1"/>
  <c r="T32" i="6" s="1"/>
  <c r="R33" i="6"/>
  <c r="S33" i="6" s="1"/>
  <c r="T33" i="6" s="1"/>
  <c r="R34" i="6"/>
  <c r="S34" i="6" s="1"/>
  <c r="T34" i="6" s="1"/>
  <c r="R35" i="6"/>
  <c r="S35" i="6" s="1"/>
  <c r="T35" i="6" s="1"/>
  <c r="R5" i="6"/>
  <c r="S5" i="6" s="1"/>
  <c r="T5" i="6" s="1"/>
  <c r="O6" i="6"/>
  <c r="P6" i="6" s="1"/>
  <c r="Q6" i="6" s="1"/>
  <c r="O7" i="6"/>
  <c r="P7" i="6" s="1"/>
  <c r="Q7" i="6" s="1"/>
  <c r="O8" i="6"/>
  <c r="P8" i="6" s="1"/>
  <c r="Q8" i="6" s="1"/>
  <c r="O9" i="6"/>
  <c r="P9" i="6" s="1"/>
  <c r="Q9" i="6" s="1"/>
  <c r="O10" i="6"/>
  <c r="P10" i="6" s="1"/>
  <c r="O11" i="6"/>
  <c r="P11" i="6" s="1"/>
  <c r="Q11" i="6" s="1"/>
  <c r="O12" i="6"/>
  <c r="P12" i="6" s="1"/>
  <c r="Q12" i="6" s="1"/>
  <c r="O13" i="6"/>
  <c r="P13" i="6" s="1"/>
  <c r="Q13" i="6" s="1"/>
  <c r="O14" i="6"/>
  <c r="P14" i="6" s="1"/>
  <c r="Q14" i="6" s="1"/>
  <c r="O15" i="6"/>
  <c r="P15" i="6" s="1"/>
  <c r="Q15" i="6" s="1"/>
  <c r="O16" i="6"/>
  <c r="P16" i="6" s="1"/>
  <c r="Q16" i="6" s="1"/>
  <c r="O17" i="6"/>
  <c r="P17" i="6" s="1"/>
  <c r="Q17" i="6" s="1"/>
  <c r="O18" i="6"/>
  <c r="P18" i="6" s="1"/>
  <c r="Q18" i="6" s="1"/>
  <c r="O19" i="6"/>
  <c r="P19" i="6" s="1"/>
  <c r="Q19" i="6" s="1"/>
  <c r="O20" i="6"/>
  <c r="P20" i="6" s="1"/>
  <c r="Q20" i="6" s="1"/>
  <c r="O21" i="6"/>
  <c r="P21" i="6" s="1"/>
  <c r="Q21" i="6" s="1"/>
  <c r="O22" i="6"/>
  <c r="P22" i="6" s="1"/>
  <c r="Q22" i="6" s="1"/>
  <c r="O23" i="6"/>
  <c r="P23" i="6" s="1"/>
  <c r="Q23" i="6" s="1"/>
  <c r="O24" i="6"/>
  <c r="P24" i="6" s="1"/>
  <c r="Q24" i="6" s="1"/>
  <c r="O25" i="6"/>
  <c r="P25" i="6" s="1"/>
  <c r="O26" i="6"/>
  <c r="P26" i="6" s="1"/>
  <c r="Q26" i="6" s="1"/>
  <c r="O27" i="6"/>
  <c r="P27" i="6" s="1"/>
  <c r="Q27" i="6" s="1"/>
  <c r="O28" i="6"/>
  <c r="P28" i="6" s="1"/>
  <c r="Q28" i="6" s="1"/>
  <c r="O29" i="6"/>
  <c r="P29" i="6" s="1"/>
  <c r="Q29" i="6" s="1"/>
  <c r="O30" i="6"/>
  <c r="P30" i="6" s="1"/>
  <c r="Q30" i="6" s="1"/>
  <c r="O31" i="6"/>
  <c r="P31" i="6" s="1"/>
  <c r="Q31" i="6" s="1"/>
  <c r="O32" i="6"/>
  <c r="P32" i="6" s="1"/>
  <c r="Q32" i="6" s="1"/>
  <c r="O33" i="6"/>
  <c r="P33" i="6" s="1"/>
  <c r="Q33" i="6" s="1"/>
  <c r="O34" i="6"/>
  <c r="P34" i="6" s="1"/>
  <c r="Q34" i="6" s="1"/>
  <c r="O35" i="6"/>
  <c r="P35" i="6" s="1"/>
  <c r="Q35" i="6" s="1"/>
  <c r="O5" i="6"/>
  <c r="P5" i="6" s="1"/>
  <c r="Q5" i="6" s="1"/>
  <c r="K6" i="6"/>
  <c r="L6" i="6" s="1"/>
  <c r="M6" i="6" s="1"/>
  <c r="K7" i="6"/>
  <c r="L7" i="6" s="1"/>
  <c r="M7" i="6" s="1"/>
  <c r="K8" i="6"/>
  <c r="L8" i="6" s="1"/>
  <c r="M8" i="6" s="1"/>
  <c r="K9" i="6"/>
  <c r="L9" i="6" s="1"/>
  <c r="M9" i="6" s="1"/>
  <c r="K10" i="6"/>
  <c r="L10" i="6" s="1"/>
  <c r="M10" i="6" s="1"/>
  <c r="K11" i="6"/>
  <c r="L11" i="6" s="1"/>
  <c r="M11" i="6" s="1"/>
  <c r="K12" i="6"/>
  <c r="L12" i="6" s="1"/>
  <c r="M12" i="6" s="1"/>
  <c r="K13" i="6"/>
  <c r="L13" i="6" s="1"/>
  <c r="M13" i="6" s="1"/>
  <c r="K14" i="6"/>
  <c r="L14" i="6" s="1"/>
  <c r="M14" i="6" s="1"/>
  <c r="K15" i="6"/>
  <c r="L15" i="6" s="1"/>
  <c r="M15" i="6" s="1"/>
  <c r="K16" i="6"/>
  <c r="L16" i="6" s="1"/>
  <c r="M16" i="6" s="1"/>
  <c r="K17" i="6"/>
  <c r="L17" i="6" s="1"/>
  <c r="M17" i="6" s="1"/>
  <c r="K18" i="6"/>
  <c r="L18" i="6" s="1"/>
  <c r="M18" i="6" s="1"/>
  <c r="K19" i="6"/>
  <c r="L19" i="6" s="1"/>
  <c r="M19" i="6" s="1"/>
  <c r="K20" i="6"/>
  <c r="L20" i="6" s="1"/>
  <c r="M20" i="6" s="1"/>
  <c r="K21" i="6"/>
  <c r="L21" i="6" s="1"/>
  <c r="M21" i="6" s="1"/>
  <c r="K22" i="6"/>
  <c r="L22" i="6" s="1"/>
  <c r="M22" i="6" s="1"/>
  <c r="K23" i="6"/>
  <c r="L23" i="6" s="1"/>
  <c r="M23" i="6" s="1"/>
  <c r="K24" i="6"/>
  <c r="L24" i="6" s="1"/>
  <c r="M24" i="6" s="1"/>
  <c r="K25" i="6"/>
  <c r="L25" i="6" s="1"/>
  <c r="M25" i="6" s="1"/>
  <c r="K26" i="6"/>
  <c r="L26" i="6" s="1"/>
  <c r="M26" i="6" s="1"/>
  <c r="K27" i="6"/>
  <c r="L27" i="6" s="1"/>
  <c r="M27" i="6" s="1"/>
  <c r="K28" i="6"/>
  <c r="L28" i="6" s="1"/>
  <c r="M28" i="6" s="1"/>
  <c r="K29" i="6"/>
  <c r="L29" i="6" s="1"/>
  <c r="M29" i="6" s="1"/>
  <c r="K30" i="6"/>
  <c r="L30" i="6" s="1"/>
  <c r="M30" i="6" s="1"/>
  <c r="K31" i="6"/>
  <c r="L31" i="6" s="1"/>
  <c r="M31" i="6" s="1"/>
  <c r="K32" i="6"/>
  <c r="L32" i="6" s="1"/>
  <c r="M32" i="6" s="1"/>
  <c r="K33" i="6"/>
  <c r="L33" i="6" s="1"/>
  <c r="M33" i="6" s="1"/>
  <c r="K34" i="6"/>
  <c r="L34" i="6" s="1"/>
  <c r="M34" i="6" s="1"/>
  <c r="K35" i="6"/>
  <c r="L35" i="6" s="1"/>
  <c r="M35" i="6" s="1"/>
  <c r="K5" i="6"/>
  <c r="L5" i="6" s="1"/>
  <c r="M5" i="6" s="1"/>
  <c r="H6" i="6"/>
  <c r="I6" i="6" s="1"/>
  <c r="J6" i="6" s="1"/>
  <c r="H7" i="6"/>
  <c r="I7" i="6" s="1"/>
  <c r="J7" i="6" s="1"/>
  <c r="H8" i="6"/>
  <c r="I8" i="6" s="1"/>
  <c r="J8" i="6" s="1"/>
  <c r="H9" i="6"/>
  <c r="I9" i="6" s="1"/>
  <c r="J9" i="6" s="1"/>
  <c r="H10" i="6"/>
  <c r="I10" i="6" s="1"/>
  <c r="J10" i="6" s="1"/>
  <c r="H11" i="6"/>
  <c r="I11" i="6" s="1"/>
  <c r="J11" i="6" s="1"/>
  <c r="H12" i="6"/>
  <c r="I12" i="6" s="1"/>
  <c r="J12" i="6" s="1"/>
  <c r="H13" i="6"/>
  <c r="I13" i="6" s="1"/>
  <c r="J13" i="6" s="1"/>
  <c r="H14" i="6"/>
  <c r="I14" i="6" s="1"/>
  <c r="J14" i="6" s="1"/>
  <c r="H15" i="6"/>
  <c r="I15" i="6" s="1"/>
  <c r="J15" i="6" s="1"/>
  <c r="H16" i="6"/>
  <c r="I16" i="6" s="1"/>
  <c r="J16" i="6" s="1"/>
  <c r="H17" i="6"/>
  <c r="I17" i="6" s="1"/>
  <c r="J17" i="6" s="1"/>
  <c r="H18" i="6"/>
  <c r="I18" i="6" s="1"/>
  <c r="J18" i="6" s="1"/>
  <c r="H19" i="6"/>
  <c r="I19" i="6" s="1"/>
  <c r="J19" i="6" s="1"/>
  <c r="H20" i="6"/>
  <c r="I20" i="6" s="1"/>
  <c r="J20" i="6" s="1"/>
  <c r="H21" i="6"/>
  <c r="I21" i="6" s="1"/>
  <c r="J21" i="6" s="1"/>
  <c r="H22" i="6"/>
  <c r="I22" i="6" s="1"/>
  <c r="J22" i="6" s="1"/>
  <c r="H23" i="6"/>
  <c r="I23" i="6" s="1"/>
  <c r="J23" i="6" s="1"/>
  <c r="H24" i="6"/>
  <c r="I24" i="6" s="1"/>
  <c r="J24" i="6" s="1"/>
  <c r="H25" i="6"/>
  <c r="I25" i="6" s="1"/>
  <c r="J25" i="6" s="1"/>
  <c r="H26" i="6"/>
  <c r="I26" i="6" s="1"/>
  <c r="J26" i="6" s="1"/>
  <c r="H27" i="6"/>
  <c r="I27" i="6" s="1"/>
  <c r="J27" i="6" s="1"/>
  <c r="H28" i="6"/>
  <c r="I28" i="6" s="1"/>
  <c r="J28" i="6" s="1"/>
  <c r="H29" i="6"/>
  <c r="I29" i="6" s="1"/>
  <c r="J29" i="6" s="1"/>
  <c r="H30" i="6"/>
  <c r="I30" i="6" s="1"/>
  <c r="J30" i="6" s="1"/>
  <c r="H31" i="6"/>
  <c r="I31" i="6" s="1"/>
  <c r="J31" i="6" s="1"/>
  <c r="H32" i="6"/>
  <c r="I32" i="6" s="1"/>
  <c r="J32" i="6" s="1"/>
  <c r="H33" i="6"/>
  <c r="I33" i="6" s="1"/>
  <c r="J33" i="6" s="1"/>
  <c r="H34" i="6"/>
  <c r="I34" i="6" s="1"/>
  <c r="J34" i="6" s="1"/>
  <c r="H35" i="6"/>
  <c r="I35" i="6" s="1"/>
  <c r="J35" i="6" s="1"/>
  <c r="H5" i="6"/>
  <c r="I5" i="6" s="1"/>
  <c r="J5" i="6" s="1"/>
  <c r="E6" i="6"/>
  <c r="F6" i="6" s="1"/>
  <c r="G6" i="6" s="1"/>
  <c r="E7" i="6"/>
  <c r="F7" i="6" s="1"/>
  <c r="G7" i="6" s="1"/>
  <c r="E8" i="6"/>
  <c r="F8" i="6" s="1"/>
  <c r="G8" i="6" s="1"/>
  <c r="E9" i="6"/>
  <c r="F9" i="6" s="1"/>
  <c r="G9" i="6" s="1"/>
  <c r="E10" i="6"/>
  <c r="F10" i="6" s="1"/>
  <c r="G10" i="6" s="1"/>
  <c r="E11" i="6"/>
  <c r="F11" i="6" s="1"/>
  <c r="G11" i="6" s="1"/>
  <c r="E12" i="6"/>
  <c r="F12" i="6" s="1"/>
  <c r="G12" i="6" s="1"/>
  <c r="E13" i="6"/>
  <c r="F13" i="6" s="1"/>
  <c r="G13" i="6" s="1"/>
  <c r="E14" i="6"/>
  <c r="F14" i="6" s="1"/>
  <c r="G14" i="6" s="1"/>
  <c r="E15" i="6"/>
  <c r="F15" i="6" s="1"/>
  <c r="G15" i="6" s="1"/>
  <c r="E16" i="6"/>
  <c r="F16" i="6" s="1"/>
  <c r="G16" i="6" s="1"/>
  <c r="E17" i="6"/>
  <c r="F17" i="6" s="1"/>
  <c r="G17" i="6" s="1"/>
  <c r="E18" i="6"/>
  <c r="F18" i="6" s="1"/>
  <c r="G18" i="6" s="1"/>
  <c r="E19" i="6"/>
  <c r="F19" i="6" s="1"/>
  <c r="G19" i="6" s="1"/>
  <c r="E20" i="6"/>
  <c r="F20" i="6" s="1"/>
  <c r="G20" i="6" s="1"/>
  <c r="E21" i="6"/>
  <c r="F21" i="6" s="1"/>
  <c r="G21" i="6" s="1"/>
  <c r="E22" i="6"/>
  <c r="F22" i="6" s="1"/>
  <c r="G22" i="6" s="1"/>
  <c r="E23" i="6"/>
  <c r="F23" i="6" s="1"/>
  <c r="G23" i="6" s="1"/>
  <c r="E24" i="6"/>
  <c r="F24" i="6" s="1"/>
  <c r="G24" i="6" s="1"/>
  <c r="E25" i="6"/>
  <c r="F25" i="6" s="1"/>
  <c r="G25" i="6" s="1"/>
  <c r="E26" i="6"/>
  <c r="F26" i="6" s="1"/>
  <c r="G26" i="6" s="1"/>
  <c r="E27" i="6"/>
  <c r="F27" i="6" s="1"/>
  <c r="G27" i="6" s="1"/>
  <c r="E28" i="6"/>
  <c r="F28" i="6" s="1"/>
  <c r="G28" i="6" s="1"/>
  <c r="E29" i="6"/>
  <c r="F29" i="6" s="1"/>
  <c r="G29" i="6" s="1"/>
  <c r="E30" i="6"/>
  <c r="F30" i="6" s="1"/>
  <c r="G30" i="6" s="1"/>
  <c r="E31" i="6"/>
  <c r="F31" i="6" s="1"/>
  <c r="G31" i="6" s="1"/>
  <c r="E32" i="6"/>
  <c r="F32" i="6" s="1"/>
  <c r="G32" i="6" s="1"/>
  <c r="E33" i="6"/>
  <c r="F33" i="6" s="1"/>
  <c r="G33" i="6" s="1"/>
  <c r="E34" i="6"/>
  <c r="F34" i="6" s="1"/>
  <c r="G34" i="6" s="1"/>
  <c r="E35" i="6"/>
  <c r="F35" i="6" s="1"/>
  <c r="G35" i="6" s="1"/>
  <c r="E5" i="6"/>
  <c r="F5" i="6" s="1"/>
  <c r="G5" i="6" s="1"/>
  <c r="B6" i="6"/>
  <c r="B7" i="6"/>
  <c r="AB7" i="6" s="1"/>
  <c r="B8" i="6"/>
  <c r="C8" i="6" s="1"/>
  <c r="B9" i="6"/>
  <c r="AB9" i="6" s="1"/>
  <c r="B10" i="6"/>
  <c r="C10" i="6" s="1"/>
  <c r="D10" i="6" s="1"/>
  <c r="B11" i="6"/>
  <c r="AB11" i="6" s="1"/>
  <c r="B12" i="6"/>
  <c r="B13" i="6"/>
  <c r="B14" i="6"/>
  <c r="C14" i="6" s="1"/>
  <c r="D14" i="6" s="1"/>
  <c r="AD14" i="6" s="1"/>
  <c r="B15" i="6"/>
  <c r="B16" i="6"/>
  <c r="C16" i="6" s="1"/>
  <c r="D16" i="6" s="1"/>
  <c r="AD16" i="6" s="1"/>
  <c r="B17" i="6"/>
  <c r="AB17" i="6" s="1"/>
  <c r="B18" i="6"/>
  <c r="C18" i="6" s="1"/>
  <c r="B19" i="6"/>
  <c r="AB19" i="6" s="1"/>
  <c r="B20" i="6"/>
  <c r="B21" i="6"/>
  <c r="C21" i="6" s="1"/>
  <c r="B22" i="6"/>
  <c r="B23" i="6"/>
  <c r="C23" i="6" s="1"/>
  <c r="D23" i="6" s="1"/>
  <c r="B24" i="6"/>
  <c r="AB24" i="6" s="1"/>
  <c r="B25" i="6"/>
  <c r="C25" i="6" s="1"/>
  <c r="D25" i="6" s="1"/>
  <c r="B26" i="6"/>
  <c r="B27" i="6"/>
  <c r="C27" i="6" s="1"/>
  <c r="D27" i="6" s="1"/>
  <c r="B28" i="6"/>
  <c r="B29" i="6"/>
  <c r="C29" i="6" s="1"/>
  <c r="D29" i="6" s="1"/>
  <c r="B30" i="6"/>
  <c r="B31" i="6"/>
  <c r="C31" i="6" s="1"/>
  <c r="D31" i="6" s="1"/>
  <c r="AD31" i="6" s="1"/>
  <c r="B32" i="6"/>
  <c r="B33" i="6"/>
  <c r="C33" i="6" s="1"/>
  <c r="B34" i="6"/>
  <c r="AB34" i="6" s="1"/>
  <c r="B35" i="6"/>
  <c r="C35" i="6" s="1"/>
  <c r="B5" i="6"/>
  <c r="X6" i="4"/>
  <c r="Y6" i="4" s="1"/>
  <c r="Z6" i="4" s="1"/>
  <c r="X7" i="4"/>
  <c r="Y7" i="4" s="1"/>
  <c r="Z7" i="4" s="1"/>
  <c r="X8" i="4"/>
  <c r="Y8" i="4" s="1"/>
  <c r="Z8" i="4" s="1"/>
  <c r="X9" i="4"/>
  <c r="Y9" i="4" s="1"/>
  <c r="Z9" i="4" s="1"/>
  <c r="X10" i="4"/>
  <c r="Y10" i="4" s="1"/>
  <c r="Z10" i="4" s="1"/>
  <c r="X11" i="4"/>
  <c r="Y11" i="4" s="1"/>
  <c r="Z11" i="4" s="1"/>
  <c r="X12" i="4"/>
  <c r="Y12" i="4" s="1"/>
  <c r="Z12" i="4" s="1"/>
  <c r="X13" i="4"/>
  <c r="Y13" i="4" s="1"/>
  <c r="Z13" i="4" s="1"/>
  <c r="X14" i="4"/>
  <c r="Y14" i="4" s="1"/>
  <c r="Z14" i="4" s="1"/>
  <c r="X15" i="4"/>
  <c r="Y15" i="4" s="1"/>
  <c r="Z15" i="4" s="1"/>
  <c r="X16" i="4"/>
  <c r="Y16" i="4" s="1"/>
  <c r="Z16" i="4" s="1"/>
  <c r="X17" i="4"/>
  <c r="Y17" i="4" s="1"/>
  <c r="Z17" i="4" s="1"/>
  <c r="X18" i="4"/>
  <c r="Y18" i="4" s="1"/>
  <c r="Z18" i="4" s="1"/>
  <c r="X19" i="4"/>
  <c r="Y19" i="4" s="1"/>
  <c r="Z19" i="4" s="1"/>
  <c r="X20" i="4"/>
  <c r="Y20" i="4" s="1"/>
  <c r="Z20" i="4" s="1"/>
  <c r="X21" i="4"/>
  <c r="Y21" i="4" s="1"/>
  <c r="Z21" i="4" s="1"/>
  <c r="X22" i="4"/>
  <c r="Y22" i="4" s="1"/>
  <c r="Z22" i="4" s="1"/>
  <c r="X23" i="4"/>
  <c r="Y23" i="4" s="1"/>
  <c r="Z23" i="4" s="1"/>
  <c r="X24" i="4"/>
  <c r="Y24" i="4" s="1"/>
  <c r="Z24" i="4" s="1"/>
  <c r="X25" i="4"/>
  <c r="Y25" i="4" s="1"/>
  <c r="Z25" i="4" s="1"/>
  <c r="X26" i="4"/>
  <c r="Y26" i="4" s="1"/>
  <c r="Z26" i="4" s="1"/>
  <c r="X27" i="4"/>
  <c r="Y27" i="4" s="1"/>
  <c r="Z27" i="4" s="1"/>
  <c r="X28" i="4"/>
  <c r="Y28" i="4" s="1"/>
  <c r="Z28" i="4" s="1"/>
  <c r="X29" i="4"/>
  <c r="Y29" i="4" s="1"/>
  <c r="Z29" i="4" s="1"/>
  <c r="X30" i="4"/>
  <c r="Y30" i="4" s="1"/>
  <c r="Z30" i="4" s="1"/>
  <c r="X31" i="4"/>
  <c r="Y31" i="4" s="1"/>
  <c r="Z31" i="4" s="1"/>
  <c r="X32" i="4"/>
  <c r="Y32" i="4" s="1"/>
  <c r="Z32" i="4" s="1"/>
  <c r="X5" i="4"/>
  <c r="Y5" i="4" s="1"/>
  <c r="U6" i="4"/>
  <c r="V6" i="4" s="1"/>
  <c r="W6" i="4" s="1"/>
  <c r="U7" i="4"/>
  <c r="V7" i="4" s="1"/>
  <c r="W7" i="4" s="1"/>
  <c r="U8" i="4"/>
  <c r="V8" i="4" s="1"/>
  <c r="W8" i="4" s="1"/>
  <c r="U9" i="4"/>
  <c r="V9" i="4" s="1"/>
  <c r="W9" i="4" s="1"/>
  <c r="U10" i="4"/>
  <c r="V10" i="4" s="1"/>
  <c r="W10" i="4" s="1"/>
  <c r="U11" i="4"/>
  <c r="V11" i="4" s="1"/>
  <c r="W11" i="4" s="1"/>
  <c r="U12" i="4"/>
  <c r="V12" i="4" s="1"/>
  <c r="W12" i="4" s="1"/>
  <c r="U13" i="4"/>
  <c r="V13" i="4" s="1"/>
  <c r="W13" i="4" s="1"/>
  <c r="U14" i="4"/>
  <c r="V14" i="4" s="1"/>
  <c r="W14" i="4" s="1"/>
  <c r="U15" i="4"/>
  <c r="V15" i="4" s="1"/>
  <c r="W15" i="4" s="1"/>
  <c r="U16" i="4"/>
  <c r="V16" i="4" s="1"/>
  <c r="W16" i="4" s="1"/>
  <c r="U17" i="4"/>
  <c r="V17" i="4" s="1"/>
  <c r="W17" i="4" s="1"/>
  <c r="U18" i="4"/>
  <c r="V18" i="4" s="1"/>
  <c r="W18" i="4" s="1"/>
  <c r="U19" i="4"/>
  <c r="V19" i="4" s="1"/>
  <c r="W19" i="4" s="1"/>
  <c r="U20" i="4"/>
  <c r="V20" i="4" s="1"/>
  <c r="W20" i="4" s="1"/>
  <c r="U21" i="4"/>
  <c r="V21" i="4" s="1"/>
  <c r="W21" i="4" s="1"/>
  <c r="U22" i="4"/>
  <c r="V22" i="4" s="1"/>
  <c r="W22" i="4" s="1"/>
  <c r="U23" i="4"/>
  <c r="V23" i="4" s="1"/>
  <c r="W23" i="4" s="1"/>
  <c r="U24" i="4"/>
  <c r="V24" i="4" s="1"/>
  <c r="W24" i="4" s="1"/>
  <c r="U25" i="4"/>
  <c r="V25" i="4" s="1"/>
  <c r="W25" i="4" s="1"/>
  <c r="U26" i="4"/>
  <c r="V26" i="4" s="1"/>
  <c r="W26" i="4" s="1"/>
  <c r="U27" i="4"/>
  <c r="V27" i="4" s="1"/>
  <c r="W27" i="4" s="1"/>
  <c r="U28" i="4"/>
  <c r="V28" i="4" s="1"/>
  <c r="W28" i="4" s="1"/>
  <c r="U29" i="4"/>
  <c r="V29" i="4" s="1"/>
  <c r="W29" i="4" s="1"/>
  <c r="U30" i="4"/>
  <c r="V30" i="4" s="1"/>
  <c r="W30" i="4" s="1"/>
  <c r="U31" i="4"/>
  <c r="V31" i="4" s="1"/>
  <c r="W31" i="4" s="1"/>
  <c r="U32" i="4"/>
  <c r="V32" i="4" s="1"/>
  <c r="W32" i="4" s="1"/>
  <c r="U5" i="4"/>
  <c r="V5" i="4" s="1"/>
  <c r="W5" i="4" s="1"/>
  <c r="R6" i="4"/>
  <c r="S6" i="4" s="1"/>
  <c r="T6" i="4" s="1"/>
  <c r="R7" i="4"/>
  <c r="S7" i="4" s="1"/>
  <c r="T7" i="4" s="1"/>
  <c r="R8" i="4"/>
  <c r="S8" i="4" s="1"/>
  <c r="T8" i="4" s="1"/>
  <c r="R9" i="4"/>
  <c r="S9" i="4" s="1"/>
  <c r="T9" i="4" s="1"/>
  <c r="R10" i="4"/>
  <c r="S10" i="4" s="1"/>
  <c r="T10" i="4" s="1"/>
  <c r="R11" i="4"/>
  <c r="S11" i="4" s="1"/>
  <c r="T11" i="4" s="1"/>
  <c r="R12" i="4"/>
  <c r="S12" i="4" s="1"/>
  <c r="T12" i="4" s="1"/>
  <c r="R13" i="4"/>
  <c r="S13" i="4" s="1"/>
  <c r="T13" i="4" s="1"/>
  <c r="R14" i="4"/>
  <c r="S14" i="4" s="1"/>
  <c r="T14" i="4" s="1"/>
  <c r="R15" i="4"/>
  <c r="S15" i="4" s="1"/>
  <c r="T15" i="4" s="1"/>
  <c r="R16" i="4"/>
  <c r="S16" i="4" s="1"/>
  <c r="T16" i="4" s="1"/>
  <c r="R17" i="4"/>
  <c r="S17" i="4" s="1"/>
  <c r="T17" i="4" s="1"/>
  <c r="R18" i="4"/>
  <c r="S18" i="4" s="1"/>
  <c r="T18" i="4" s="1"/>
  <c r="R19" i="4"/>
  <c r="S19" i="4" s="1"/>
  <c r="T19" i="4" s="1"/>
  <c r="R20" i="4"/>
  <c r="S20" i="4" s="1"/>
  <c r="T20" i="4" s="1"/>
  <c r="R21" i="4"/>
  <c r="S21" i="4" s="1"/>
  <c r="T21" i="4" s="1"/>
  <c r="R22" i="4"/>
  <c r="S22" i="4" s="1"/>
  <c r="T22" i="4" s="1"/>
  <c r="R23" i="4"/>
  <c r="S23" i="4" s="1"/>
  <c r="T23" i="4" s="1"/>
  <c r="R24" i="4"/>
  <c r="S24" i="4" s="1"/>
  <c r="T24" i="4" s="1"/>
  <c r="R25" i="4"/>
  <c r="S25" i="4" s="1"/>
  <c r="T25" i="4" s="1"/>
  <c r="R26" i="4"/>
  <c r="S26" i="4" s="1"/>
  <c r="T26" i="4" s="1"/>
  <c r="R27" i="4"/>
  <c r="S27" i="4" s="1"/>
  <c r="T27" i="4" s="1"/>
  <c r="R28" i="4"/>
  <c r="S28" i="4" s="1"/>
  <c r="T28" i="4" s="1"/>
  <c r="R29" i="4"/>
  <c r="S29" i="4" s="1"/>
  <c r="T29" i="4" s="1"/>
  <c r="R30" i="4"/>
  <c r="S30" i="4" s="1"/>
  <c r="T30" i="4" s="1"/>
  <c r="R31" i="4"/>
  <c r="S31" i="4" s="1"/>
  <c r="T31" i="4" s="1"/>
  <c r="R32" i="4"/>
  <c r="S32" i="4" s="1"/>
  <c r="T32" i="4" s="1"/>
  <c r="R5" i="4"/>
  <c r="S5" i="4" s="1"/>
  <c r="T5" i="4" s="1"/>
  <c r="O6" i="4"/>
  <c r="P6" i="4" s="1"/>
  <c r="Q6" i="4" s="1"/>
  <c r="O7" i="4"/>
  <c r="P7" i="4" s="1"/>
  <c r="Q7" i="4" s="1"/>
  <c r="O8" i="4"/>
  <c r="P8" i="4" s="1"/>
  <c r="Q8" i="4" s="1"/>
  <c r="O9" i="4"/>
  <c r="P9" i="4" s="1"/>
  <c r="Q9" i="4" s="1"/>
  <c r="O10" i="4"/>
  <c r="P10" i="4" s="1"/>
  <c r="Q10" i="4" s="1"/>
  <c r="O11" i="4"/>
  <c r="P11" i="4" s="1"/>
  <c r="Q11" i="4" s="1"/>
  <c r="O12" i="4"/>
  <c r="P12" i="4" s="1"/>
  <c r="Q12" i="4" s="1"/>
  <c r="O13" i="4"/>
  <c r="P13" i="4" s="1"/>
  <c r="Q13" i="4" s="1"/>
  <c r="O14" i="4"/>
  <c r="P14" i="4" s="1"/>
  <c r="Q14" i="4" s="1"/>
  <c r="O15" i="4"/>
  <c r="P15" i="4" s="1"/>
  <c r="O16" i="4"/>
  <c r="P16" i="4" s="1"/>
  <c r="Q16" i="4" s="1"/>
  <c r="O17" i="4"/>
  <c r="P17" i="4" s="1"/>
  <c r="Q17" i="4" s="1"/>
  <c r="O18" i="4"/>
  <c r="P18" i="4" s="1"/>
  <c r="Q18" i="4" s="1"/>
  <c r="O19" i="4"/>
  <c r="P19" i="4" s="1"/>
  <c r="O20" i="4"/>
  <c r="P20" i="4" s="1"/>
  <c r="Q20" i="4" s="1"/>
  <c r="O21" i="4"/>
  <c r="P21" i="4" s="1"/>
  <c r="Q21" i="4" s="1"/>
  <c r="O22" i="4"/>
  <c r="P22" i="4" s="1"/>
  <c r="Q22" i="4" s="1"/>
  <c r="O23" i="4"/>
  <c r="P23" i="4" s="1"/>
  <c r="Q23" i="4" s="1"/>
  <c r="O24" i="4"/>
  <c r="P24" i="4" s="1"/>
  <c r="Q24" i="4" s="1"/>
  <c r="O25" i="4"/>
  <c r="P25" i="4" s="1"/>
  <c r="Q25" i="4" s="1"/>
  <c r="O26" i="4"/>
  <c r="P26" i="4" s="1"/>
  <c r="Q26" i="4" s="1"/>
  <c r="O27" i="4"/>
  <c r="P27" i="4" s="1"/>
  <c r="Q27" i="4" s="1"/>
  <c r="O28" i="4"/>
  <c r="P28" i="4" s="1"/>
  <c r="Q28" i="4" s="1"/>
  <c r="O29" i="4"/>
  <c r="P29" i="4" s="1"/>
  <c r="Q29" i="4" s="1"/>
  <c r="O30" i="4"/>
  <c r="P30" i="4" s="1"/>
  <c r="Q30" i="4" s="1"/>
  <c r="O31" i="4"/>
  <c r="P31" i="4" s="1"/>
  <c r="Q31" i="4" s="1"/>
  <c r="O32" i="4"/>
  <c r="P32" i="4" s="1"/>
  <c r="Q32" i="4" s="1"/>
  <c r="O5" i="4"/>
  <c r="P5" i="4" s="1"/>
  <c r="K6" i="4"/>
  <c r="L6" i="4" s="1"/>
  <c r="M6" i="4" s="1"/>
  <c r="K7" i="4"/>
  <c r="L7" i="4" s="1"/>
  <c r="M7" i="4" s="1"/>
  <c r="K8" i="4"/>
  <c r="L8" i="4" s="1"/>
  <c r="M8" i="4" s="1"/>
  <c r="K9" i="4"/>
  <c r="L9" i="4" s="1"/>
  <c r="M9" i="4" s="1"/>
  <c r="K10" i="4"/>
  <c r="L10" i="4" s="1"/>
  <c r="M10" i="4" s="1"/>
  <c r="K11" i="4"/>
  <c r="L11" i="4" s="1"/>
  <c r="M11" i="4" s="1"/>
  <c r="K12" i="4"/>
  <c r="L12" i="4" s="1"/>
  <c r="M12" i="4" s="1"/>
  <c r="K13" i="4"/>
  <c r="L13" i="4" s="1"/>
  <c r="M13" i="4" s="1"/>
  <c r="K14" i="4"/>
  <c r="L14" i="4" s="1"/>
  <c r="M14" i="4" s="1"/>
  <c r="K15" i="4"/>
  <c r="L15" i="4" s="1"/>
  <c r="M15" i="4" s="1"/>
  <c r="K16" i="4"/>
  <c r="L16" i="4" s="1"/>
  <c r="M16" i="4" s="1"/>
  <c r="K17" i="4"/>
  <c r="L17" i="4" s="1"/>
  <c r="M17" i="4" s="1"/>
  <c r="K18" i="4"/>
  <c r="L18" i="4" s="1"/>
  <c r="M18" i="4" s="1"/>
  <c r="K19" i="4"/>
  <c r="L19" i="4" s="1"/>
  <c r="M19" i="4" s="1"/>
  <c r="K20" i="4"/>
  <c r="L20" i="4" s="1"/>
  <c r="M20" i="4" s="1"/>
  <c r="K21" i="4"/>
  <c r="L21" i="4" s="1"/>
  <c r="M21" i="4" s="1"/>
  <c r="K22" i="4"/>
  <c r="L22" i="4" s="1"/>
  <c r="M22" i="4" s="1"/>
  <c r="K23" i="4"/>
  <c r="L23" i="4" s="1"/>
  <c r="M23" i="4" s="1"/>
  <c r="K24" i="4"/>
  <c r="L24" i="4" s="1"/>
  <c r="M24" i="4" s="1"/>
  <c r="K25" i="4"/>
  <c r="L25" i="4" s="1"/>
  <c r="M25" i="4" s="1"/>
  <c r="K26" i="4"/>
  <c r="L26" i="4" s="1"/>
  <c r="M26" i="4" s="1"/>
  <c r="K27" i="4"/>
  <c r="L27" i="4" s="1"/>
  <c r="M27" i="4" s="1"/>
  <c r="K28" i="4"/>
  <c r="L28" i="4" s="1"/>
  <c r="M28" i="4" s="1"/>
  <c r="K29" i="4"/>
  <c r="L29" i="4" s="1"/>
  <c r="M29" i="4" s="1"/>
  <c r="K30" i="4"/>
  <c r="L30" i="4" s="1"/>
  <c r="M30" i="4" s="1"/>
  <c r="K31" i="4"/>
  <c r="L31" i="4" s="1"/>
  <c r="M31" i="4" s="1"/>
  <c r="K32" i="4"/>
  <c r="L32" i="4" s="1"/>
  <c r="M32" i="4" s="1"/>
  <c r="K5" i="4"/>
  <c r="L5" i="4" s="1"/>
  <c r="M5" i="4" s="1"/>
  <c r="H6" i="4"/>
  <c r="I6" i="4" s="1"/>
  <c r="J6" i="4" s="1"/>
  <c r="H7" i="4"/>
  <c r="I7" i="4" s="1"/>
  <c r="J7" i="4" s="1"/>
  <c r="H8" i="4"/>
  <c r="I8" i="4" s="1"/>
  <c r="J8" i="4" s="1"/>
  <c r="H9" i="4"/>
  <c r="I9" i="4" s="1"/>
  <c r="J9" i="4" s="1"/>
  <c r="H10" i="4"/>
  <c r="I10" i="4" s="1"/>
  <c r="J10" i="4" s="1"/>
  <c r="H11" i="4"/>
  <c r="I11" i="4" s="1"/>
  <c r="J11" i="4" s="1"/>
  <c r="H12" i="4"/>
  <c r="I12" i="4" s="1"/>
  <c r="J12" i="4" s="1"/>
  <c r="H13" i="4"/>
  <c r="I13" i="4" s="1"/>
  <c r="J13" i="4" s="1"/>
  <c r="H14" i="4"/>
  <c r="I14" i="4" s="1"/>
  <c r="J14" i="4" s="1"/>
  <c r="H15" i="4"/>
  <c r="I15" i="4" s="1"/>
  <c r="J15" i="4" s="1"/>
  <c r="H16" i="4"/>
  <c r="I16" i="4" s="1"/>
  <c r="J16" i="4" s="1"/>
  <c r="H17" i="4"/>
  <c r="I17" i="4" s="1"/>
  <c r="J17" i="4" s="1"/>
  <c r="H18" i="4"/>
  <c r="I18" i="4" s="1"/>
  <c r="J18" i="4" s="1"/>
  <c r="H19" i="4"/>
  <c r="I19" i="4" s="1"/>
  <c r="J19" i="4" s="1"/>
  <c r="H20" i="4"/>
  <c r="I20" i="4" s="1"/>
  <c r="J20" i="4" s="1"/>
  <c r="H21" i="4"/>
  <c r="I21" i="4" s="1"/>
  <c r="J21" i="4" s="1"/>
  <c r="H22" i="4"/>
  <c r="I22" i="4" s="1"/>
  <c r="J22" i="4" s="1"/>
  <c r="H23" i="4"/>
  <c r="I23" i="4" s="1"/>
  <c r="J23" i="4" s="1"/>
  <c r="H24" i="4"/>
  <c r="I24" i="4" s="1"/>
  <c r="J24" i="4" s="1"/>
  <c r="H25" i="4"/>
  <c r="I25" i="4" s="1"/>
  <c r="J25" i="4" s="1"/>
  <c r="H26" i="4"/>
  <c r="I26" i="4" s="1"/>
  <c r="J26" i="4" s="1"/>
  <c r="H27" i="4"/>
  <c r="I27" i="4" s="1"/>
  <c r="J27" i="4" s="1"/>
  <c r="H28" i="4"/>
  <c r="I28" i="4" s="1"/>
  <c r="J28" i="4" s="1"/>
  <c r="H29" i="4"/>
  <c r="I29" i="4" s="1"/>
  <c r="J29" i="4" s="1"/>
  <c r="H30" i="4"/>
  <c r="I30" i="4" s="1"/>
  <c r="J30" i="4" s="1"/>
  <c r="H31" i="4"/>
  <c r="I31" i="4" s="1"/>
  <c r="J31" i="4" s="1"/>
  <c r="H32" i="4"/>
  <c r="I32" i="4" s="1"/>
  <c r="J32" i="4" s="1"/>
  <c r="H5" i="4"/>
  <c r="I5" i="4" s="1"/>
  <c r="J5" i="4" s="1"/>
  <c r="E6" i="4"/>
  <c r="F6" i="4" s="1"/>
  <c r="G6" i="4" s="1"/>
  <c r="E7" i="4"/>
  <c r="F7" i="4" s="1"/>
  <c r="G7" i="4" s="1"/>
  <c r="E8" i="4"/>
  <c r="F8" i="4" s="1"/>
  <c r="G8" i="4" s="1"/>
  <c r="E9" i="4"/>
  <c r="F9" i="4" s="1"/>
  <c r="G9" i="4" s="1"/>
  <c r="E10" i="4"/>
  <c r="F10" i="4" s="1"/>
  <c r="G10" i="4" s="1"/>
  <c r="E11" i="4"/>
  <c r="F11" i="4" s="1"/>
  <c r="G11" i="4" s="1"/>
  <c r="E12" i="4"/>
  <c r="F12" i="4" s="1"/>
  <c r="G12" i="4" s="1"/>
  <c r="E13" i="4"/>
  <c r="F13" i="4" s="1"/>
  <c r="G13" i="4" s="1"/>
  <c r="E14" i="4"/>
  <c r="F14" i="4" s="1"/>
  <c r="G14" i="4" s="1"/>
  <c r="E15" i="4"/>
  <c r="F15" i="4" s="1"/>
  <c r="G15" i="4" s="1"/>
  <c r="E16" i="4"/>
  <c r="F16" i="4" s="1"/>
  <c r="G16" i="4" s="1"/>
  <c r="E17" i="4"/>
  <c r="F17" i="4" s="1"/>
  <c r="G17" i="4" s="1"/>
  <c r="E18" i="4"/>
  <c r="F18" i="4" s="1"/>
  <c r="G18" i="4" s="1"/>
  <c r="E19" i="4"/>
  <c r="F19" i="4" s="1"/>
  <c r="G19" i="4" s="1"/>
  <c r="E20" i="4"/>
  <c r="F20" i="4" s="1"/>
  <c r="G20" i="4" s="1"/>
  <c r="E21" i="4"/>
  <c r="F21" i="4" s="1"/>
  <c r="G21" i="4" s="1"/>
  <c r="E22" i="4"/>
  <c r="F22" i="4" s="1"/>
  <c r="G22" i="4" s="1"/>
  <c r="E23" i="4"/>
  <c r="F23" i="4" s="1"/>
  <c r="G23" i="4" s="1"/>
  <c r="E24" i="4"/>
  <c r="F24" i="4" s="1"/>
  <c r="G24" i="4" s="1"/>
  <c r="E25" i="4"/>
  <c r="F25" i="4" s="1"/>
  <c r="G25" i="4" s="1"/>
  <c r="E26" i="4"/>
  <c r="F26" i="4" s="1"/>
  <c r="G26" i="4" s="1"/>
  <c r="E27" i="4"/>
  <c r="F27" i="4" s="1"/>
  <c r="G27" i="4" s="1"/>
  <c r="E28" i="4"/>
  <c r="F28" i="4" s="1"/>
  <c r="G28" i="4" s="1"/>
  <c r="E29" i="4"/>
  <c r="F29" i="4" s="1"/>
  <c r="G29" i="4" s="1"/>
  <c r="E30" i="4"/>
  <c r="F30" i="4" s="1"/>
  <c r="G30" i="4" s="1"/>
  <c r="E31" i="4"/>
  <c r="F31" i="4" s="1"/>
  <c r="G31" i="4" s="1"/>
  <c r="E32" i="4"/>
  <c r="F32" i="4" s="1"/>
  <c r="G32" i="4" s="1"/>
  <c r="E5" i="4"/>
  <c r="F5" i="4" s="1"/>
  <c r="B6" i="4"/>
  <c r="AB6" i="4" s="1"/>
  <c r="B7" i="4"/>
  <c r="B8" i="4"/>
  <c r="B9" i="4"/>
  <c r="B10" i="4"/>
  <c r="AB10" i="4" s="1"/>
  <c r="B11" i="4"/>
  <c r="AB11" i="4" s="1"/>
  <c r="B12" i="4"/>
  <c r="B13" i="4"/>
  <c r="B14" i="4"/>
  <c r="C14" i="4" s="1"/>
  <c r="D14" i="4" s="1"/>
  <c r="B15" i="4"/>
  <c r="AB15" i="4" s="1"/>
  <c r="B16" i="4"/>
  <c r="B17" i="4"/>
  <c r="B18" i="4"/>
  <c r="B19" i="4"/>
  <c r="B20" i="4"/>
  <c r="B21" i="4"/>
  <c r="C21" i="4" s="1"/>
  <c r="B22" i="4"/>
  <c r="C22" i="4" s="1"/>
  <c r="D22" i="4" s="1"/>
  <c r="B23" i="4"/>
  <c r="B24" i="4"/>
  <c r="B25" i="4"/>
  <c r="B26" i="4"/>
  <c r="C26" i="4" s="1"/>
  <c r="D26" i="4" s="1"/>
  <c r="B27" i="4"/>
  <c r="C27" i="4" s="1"/>
  <c r="B28" i="4"/>
  <c r="B29" i="4"/>
  <c r="B30" i="4"/>
  <c r="B31" i="4"/>
  <c r="B32" i="4"/>
  <c r="B5" i="4"/>
  <c r="X6" i="1"/>
  <c r="Y6" i="1" s="1"/>
  <c r="Z6" i="1" s="1"/>
  <c r="X7" i="1"/>
  <c r="Y7" i="1" s="1"/>
  <c r="Z7" i="1" s="1"/>
  <c r="X8" i="1"/>
  <c r="Y8" i="1" s="1"/>
  <c r="Z8" i="1" s="1"/>
  <c r="X9" i="1"/>
  <c r="Y9" i="1" s="1"/>
  <c r="Z9" i="1" s="1"/>
  <c r="X10" i="1"/>
  <c r="Y10" i="1" s="1"/>
  <c r="Z10" i="1" s="1"/>
  <c r="X11" i="1"/>
  <c r="Y11" i="1" s="1"/>
  <c r="Z11" i="1" s="1"/>
  <c r="X12" i="1"/>
  <c r="Y12" i="1" s="1"/>
  <c r="Z12" i="1" s="1"/>
  <c r="X13" i="1"/>
  <c r="Y13" i="1" s="1"/>
  <c r="Z13" i="1" s="1"/>
  <c r="X14" i="1"/>
  <c r="Y14" i="1" s="1"/>
  <c r="Z14" i="1" s="1"/>
  <c r="X15" i="1"/>
  <c r="Y15" i="1" s="1"/>
  <c r="Z15" i="1" s="1"/>
  <c r="X16" i="1"/>
  <c r="Y16" i="1" s="1"/>
  <c r="Z16" i="1" s="1"/>
  <c r="X17" i="1"/>
  <c r="Y17" i="1" s="1"/>
  <c r="Z17" i="1" s="1"/>
  <c r="X18" i="1"/>
  <c r="Y18" i="1" s="1"/>
  <c r="Z18" i="1" s="1"/>
  <c r="X19" i="1"/>
  <c r="Y19" i="1" s="1"/>
  <c r="Z19" i="1" s="1"/>
  <c r="X20" i="1"/>
  <c r="Y20" i="1" s="1"/>
  <c r="Z20" i="1" s="1"/>
  <c r="X21" i="1"/>
  <c r="Y21" i="1" s="1"/>
  <c r="Z21" i="1" s="1"/>
  <c r="X22" i="1"/>
  <c r="Y22" i="1" s="1"/>
  <c r="Z22" i="1" s="1"/>
  <c r="X23" i="1"/>
  <c r="Y23" i="1" s="1"/>
  <c r="Z23" i="1" s="1"/>
  <c r="X24" i="1"/>
  <c r="Y24" i="1" s="1"/>
  <c r="Z24" i="1" s="1"/>
  <c r="X25" i="1"/>
  <c r="Y25" i="1" s="1"/>
  <c r="Z25" i="1" s="1"/>
  <c r="X26" i="1"/>
  <c r="Y26" i="1" s="1"/>
  <c r="Z26" i="1" s="1"/>
  <c r="X27" i="1"/>
  <c r="Y27" i="1" s="1"/>
  <c r="Z27" i="1" s="1"/>
  <c r="X28" i="1"/>
  <c r="Y28" i="1" s="1"/>
  <c r="Z28" i="1" s="1"/>
  <c r="X29" i="1"/>
  <c r="Y29" i="1" s="1"/>
  <c r="Z29" i="1" s="1"/>
  <c r="X30" i="1"/>
  <c r="Y30" i="1" s="1"/>
  <c r="Z30" i="1" s="1"/>
  <c r="X31" i="1"/>
  <c r="Y31" i="1" s="1"/>
  <c r="Z31" i="1" s="1"/>
  <c r="X32" i="1"/>
  <c r="Y32" i="1" s="1"/>
  <c r="Z32" i="1" s="1"/>
  <c r="X33" i="1"/>
  <c r="Y33" i="1" s="1"/>
  <c r="Z33" i="1" s="1"/>
  <c r="X34" i="1"/>
  <c r="Y34" i="1" s="1"/>
  <c r="Z34" i="1" s="1"/>
  <c r="X35" i="1"/>
  <c r="Y35" i="1" s="1"/>
  <c r="Z35" i="1" s="1"/>
  <c r="X5" i="1"/>
  <c r="Y5" i="1" s="1"/>
  <c r="Z5" i="1" s="1"/>
  <c r="U6" i="1"/>
  <c r="V6" i="1" s="1"/>
  <c r="W6" i="1" s="1"/>
  <c r="U7" i="1"/>
  <c r="V7" i="1" s="1"/>
  <c r="W7" i="1" s="1"/>
  <c r="U8" i="1"/>
  <c r="V8" i="1" s="1"/>
  <c r="W8" i="1" s="1"/>
  <c r="U9" i="1"/>
  <c r="V9" i="1" s="1"/>
  <c r="W9" i="1" s="1"/>
  <c r="U10" i="1"/>
  <c r="V10" i="1" s="1"/>
  <c r="W10" i="1" s="1"/>
  <c r="U11" i="1"/>
  <c r="V11" i="1" s="1"/>
  <c r="W11" i="1" s="1"/>
  <c r="U12" i="1"/>
  <c r="V12" i="1" s="1"/>
  <c r="W12" i="1" s="1"/>
  <c r="U13" i="1"/>
  <c r="V13" i="1" s="1"/>
  <c r="W13" i="1" s="1"/>
  <c r="U14" i="1"/>
  <c r="V14" i="1" s="1"/>
  <c r="W14" i="1" s="1"/>
  <c r="U15" i="1"/>
  <c r="V15" i="1" s="1"/>
  <c r="W15" i="1" s="1"/>
  <c r="U16" i="1"/>
  <c r="V16" i="1" s="1"/>
  <c r="W16" i="1" s="1"/>
  <c r="U17" i="1"/>
  <c r="V17" i="1" s="1"/>
  <c r="W17" i="1" s="1"/>
  <c r="U18" i="1"/>
  <c r="V18" i="1" s="1"/>
  <c r="W18" i="1" s="1"/>
  <c r="U19" i="1"/>
  <c r="V19" i="1" s="1"/>
  <c r="W19" i="1" s="1"/>
  <c r="U20" i="1"/>
  <c r="V20" i="1" s="1"/>
  <c r="W20" i="1" s="1"/>
  <c r="U21" i="1"/>
  <c r="V21" i="1" s="1"/>
  <c r="W21" i="1" s="1"/>
  <c r="U22" i="1"/>
  <c r="V22" i="1" s="1"/>
  <c r="W22" i="1" s="1"/>
  <c r="U23" i="1"/>
  <c r="V23" i="1" s="1"/>
  <c r="W23" i="1" s="1"/>
  <c r="U24" i="1"/>
  <c r="V24" i="1" s="1"/>
  <c r="W24" i="1" s="1"/>
  <c r="U25" i="1"/>
  <c r="V25" i="1" s="1"/>
  <c r="W25" i="1" s="1"/>
  <c r="U26" i="1"/>
  <c r="V26" i="1" s="1"/>
  <c r="W26" i="1" s="1"/>
  <c r="U27" i="1"/>
  <c r="V27" i="1" s="1"/>
  <c r="W27" i="1" s="1"/>
  <c r="U28" i="1"/>
  <c r="V28" i="1" s="1"/>
  <c r="W28" i="1" s="1"/>
  <c r="U29" i="1"/>
  <c r="V29" i="1" s="1"/>
  <c r="W29" i="1" s="1"/>
  <c r="U30" i="1"/>
  <c r="V30" i="1" s="1"/>
  <c r="W30" i="1" s="1"/>
  <c r="U31" i="1"/>
  <c r="V31" i="1" s="1"/>
  <c r="W31" i="1" s="1"/>
  <c r="U32" i="1"/>
  <c r="V32" i="1" s="1"/>
  <c r="W32" i="1" s="1"/>
  <c r="U33" i="1"/>
  <c r="V33" i="1" s="1"/>
  <c r="W33" i="1" s="1"/>
  <c r="U34" i="1"/>
  <c r="V34" i="1" s="1"/>
  <c r="W34" i="1" s="1"/>
  <c r="U35" i="1"/>
  <c r="V35" i="1" s="1"/>
  <c r="W35" i="1" s="1"/>
  <c r="U5" i="1"/>
  <c r="V5" i="1" s="1"/>
  <c r="W5" i="1" s="1"/>
  <c r="R6" i="1"/>
  <c r="S6" i="1" s="1"/>
  <c r="T6" i="1" s="1"/>
  <c r="R7" i="1"/>
  <c r="S7" i="1" s="1"/>
  <c r="T7" i="1" s="1"/>
  <c r="R8" i="1"/>
  <c r="S8" i="1" s="1"/>
  <c r="T8" i="1" s="1"/>
  <c r="R9" i="1"/>
  <c r="S9" i="1" s="1"/>
  <c r="T9" i="1" s="1"/>
  <c r="R10" i="1"/>
  <c r="S10" i="1" s="1"/>
  <c r="T10" i="1" s="1"/>
  <c r="R11" i="1"/>
  <c r="S11" i="1" s="1"/>
  <c r="T11" i="1" s="1"/>
  <c r="R12" i="1"/>
  <c r="S12" i="1" s="1"/>
  <c r="T12" i="1" s="1"/>
  <c r="R13" i="1"/>
  <c r="S13" i="1" s="1"/>
  <c r="T13" i="1" s="1"/>
  <c r="R14" i="1"/>
  <c r="S14" i="1" s="1"/>
  <c r="T14" i="1" s="1"/>
  <c r="R15" i="1"/>
  <c r="S15" i="1" s="1"/>
  <c r="T15" i="1" s="1"/>
  <c r="R16" i="1"/>
  <c r="S16" i="1" s="1"/>
  <c r="T16" i="1" s="1"/>
  <c r="R17" i="1"/>
  <c r="S17" i="1" s="1"/>
  <c r="T17" i="1" s="1"/>
  <c r="R18" i="1"/>
  <c r="S18" i="1" s="1"/>
  <c r="T18" i="1" s="1"/>
  <c r="R19" i="1"/>
  <c r="S19" i="1" s="1"/>
  <c r="T19" i="1" s="1"/>
  <c r="R20" i="1"/>
  <c r="S20" i="1" s="1"/>
  <c r="T20" i="1" s="1"/>
  <c r="R21" i="1"/>
  <c r="S21" i="1" s="1"/>
  <c r="T21" i="1" s="1"/>
  <c r="R22" i="1"/>
  <c r="S22" i="1" s="1"/>
  <c r="T22" i="1" s="1"/>
  <c r="R23" i="1"/>
  <c r="S23" i="1" s="1"/>
  <c r="T23" i="1" s="1"/>
  <c r="R24" i="1"/>
  <c r="S24" i="1" s="1"/>
  <c r="T24" i="1" s="1"/>
  <c r="R25" i="1"/>
  <c r="S25" i="1" s="1"/>
  <c r="T25" i="1" s="1"/>
  <c r="R26" i="1"/>
  <c r="S26" i="1" s="1"/>
  <c r="T26" i="1" s="1"/>
  <c r="R27" i="1"/>
  <c r="S27" i="1" s="1"/>
  <c r="T27" i="1" s="1"/>
  <c r="R28" i="1"/>
  <c r="S28" i="1" s="1"/>
  <c r="T28" i="1" s="1"/>
  <c r="R29" i="1"/>
  <c r="S29" i="1" s="1"/>
  <c r="T29" i="1" s="1"/>
  <c r="R30" i="1"/>
  <c r="S30" i="1" s="1"/>
  <c r="T30" i="1" s="1"/>
  <c r="R31" i="1"/>
  <c r="S31" i="1" s="1"/>
  <c r="T31" i="1" s="1"/>
  <c r="R32" i="1"/>
  <c r="S32" i="1" s="1"/>
  <c r="T32" i="1" s="1"/>
  <c r="R33" i="1"/>
  <c r="S33" i="1" s="1"/>
  <c r="T33" i="1" s="1"/>
  <c r="R34" i="1"/>
  <c r="S34" i="1" s="1"/>
  <c r="T34" i="1" s="1"/>
  <c r="R35" i="1"/>
  <c r="S35" i="1" s="1"/>
  <c r="T35" i="1" s="1"/>
  <c r="R5" i="1"/>
  <c r="S5" i="1" s="1"/>
  <c r="T5" i="1" s="1"/>
  <c r="O6" i="1"/>
  <c r="P6" i="1" s="1"/>
  <c r="O7" i="1"/>
  <c r="P7" i="1" s="1"/>
  <c r="Q7" i="1" s="1"/>
  <c r="O8" i="1"/>
  <c r="P8" i="1" s="1"/>
  <c r="Q8" i="1" s="1"/>
  <c r="O9" i="1"/>
  <c r="P9" i="1" s="1"/>
  <c r="Q9" i="1" s="1"/>
  <c r="O10" i="1"/>
  <c r="P10" i="1" s="1"/>
  <c r="Q10" i="1" s="1"/>
  <c r="O11" i="1"/>
  <c r="P11" i="1" s="1"/>
  <c r="Q11" i="1" s="1"/>
  <c r="O12" i="1"/>
  <c r="P12" i="1" s="1"/>
  <c r="Q12" i="1" s="1"/>
  <c r="O13" i="1"/>
  <c r="P13" i="1" s="1"/>
  <c r="Q13" i="1" s="1"/>
  <c r="O14" i="1"/>
  <c r="P14" i="1" s="1"/>
  <c r="Q14" i="1" s="1"/>
  <c r="O15" i="1"/>
  <c r="P15" i="1" s="1"/>
  <c r="Q15" i="1" s="1"/>
  <c r="O16" i="1"/>
  <c r="P16" i="1" s="1"/>
  <c r="Q16" i="1" s="1"/>
  <c r="O17" i="1"/>
  <c r="P17" i="1" s="1"/>
  <c r="O18" i="1"/>
  <c r="P18" i="1" s="1"/>
  <c r="O19" i="1"/>
  <c r="P19" i="1" s="1"/>
  <c r="Q19" i="1" s="1"/>
  <c r="O20" i="1"/>
  <c r="P20" i="1" s="1"/>
  <c r="Q20" i="1" s="1"/>
  <c r="O21" i="1"/>
  <c r="P21" i="1" s="1"/>
  <c r="Q21" i="1" s="1"/>
  <c r="O22" i="1"/>
  <c r="P22" i="1" s="1"/>
  <c r="Q22" i="1" s="1"/>
  <c r="O23" i="1"/>
  <c r="P23" i="1" s="1"/>
  <c r="O24" i="1"/>
  <c r="P24" i="1" s="1"/>
  <c r="Q24" i="1" s="1"/>
  <c r="O25" i="1"/>
  <c r="P25" i="1" s="1"/>
  <c r="Q25" i="1" s="1"/>
  <c r="O26" i="1"/>
  <c r="P26" i="1" s="1"/>
  <c r="Q26" i="1" s="1"/>
  <c r="O27" i="1"/>
  <c r="P27" i="1" s="1"/>
  <c r="Q27" i="1" s="1"/>
  <c r="O28" i="1"/>
  <c r="P28" i="1" s="1"/>
  <c r="Q28" i="1" s="1"/>
  <c r="O29" i="1"/>
  <c r="P29" i="1" s="1"/>
  <c r="Q29" i="1" s="1"/>
  <c r="O30" i="1"/>
  <c r="P30" i="1" s="1"/>
  <c r="Q30" i="1" s="1"/>
  <c r="O31" i="1"/>
  <c r="P31" i="1" s="1"/>
  <c r="Q31" i="1" s="1"/>
  <c r="O32" i="1"/>
  <c r="P32" i="1" s="1"/>
  <c r="Q32" i="1" s="1"/>
  <c r="O33" i="1"/>
  <c r="P33" i="1" s="1"/>
  <c r="Q33" i="1" s="1"/>
  <c r="O34" i="1"/>
  <c r="P34" i="1" s="1"/>
  <c r="O35" i="1"/>
  <c r="P35" i="1" s="1"/>
  <c r="Q35" i="1" s="1"/>
  <c r="O5" i="1"/>
  <c r="P5" i="1" s="1"/>
  <c r="Q5" i="1" s="1"/>
  <c r="K6" i="1"/>
  <c r="L6" i="1" s="1"/>
  <c r="M6" i="1" s="1"/>
  <c r="K7" i="1"/>
  <c r="L7" i="1" s="1"/>
  <c r="M7" i="1" s="1"/>
  <c r="K8" i="1"/>
  <c r="L8" i="1" s="1"/>
  <c r="M8" i="1" s="1"/>
  <c r="K9" i="1"/>
  <c r="L9" i="1" s="1"/>
  <c r="M9" i="1" s="1"/>
  <c r="K10" i="1"/>
  <c r="L10" i="1" s="1"/>
  <c r="M10" i="1" s="1"/>
  <c r="K11" i="1"/>
  <c r="L11" i="1" s="1"/>
  <c r="M11" i="1" s="1"/>
  <c r="K12" i="1"/>
  <c r="L12" i="1" s="1"/>
  <c r="M12" i="1" s="1"/>
  <c r="K13" i="1"/>
  <c r="L13" i="1" s="1"/>
  <c r="M13" i="1" s="1"/>
  <c r="K14" i="1"/>
  <c r="L14" i="1" s="1"/>
  <c r="M14" i="1" s="1"/>
  <c r="K15" i="1"/>
  <c r="L15" i="1" s="1"/>
  <c r="M15" i="1" s="1"/>
  <c r="K16" i="1"/>
  <c r="L16" i="1" s="1"/>
  <c r="M16" i="1" s="1"/>
  <c r="K17" i="1"/>
  <c r="L17" i="1" s="1"/>
  <c r="M17" i="1" s="1"/>
  <c r="K18" i="1"/>
  <c r="L18" i="1" s="1"/>
  <c r="M18" i="1" s="1"/>
  <c r="K19" i="1"/>
  <c r="L19" i="1" s="1"/>
  <c r="M19" i="1" s="1"/>
  <c r="K20" i="1"/>
  <c r="L20" i="1" s="1"/>
  <c r="M20" i="1" s="1"/>
  <c r="K21" i="1"/>
  <c r="L21" i="1" s="1"/>
  <c r="M21" i="1" s="1"/>
  <c r="K22" i="1"/>
  <c r="L22" i="1" s="1"/>
  <c r="M22" i="1" s="1"/>
  <c r="K23" i="1"/>
  <c r="L23" i="1" s="1"/>
  <c r="M23" i="1" s="1"/>
  <c r="K24" i="1"/>
  <c r="L24" i="1" s="1"/>
  <c r="M24" i="1" s="1"/>
  <c r="K25" i="1"/>
  <c r="L25" i="1" s="1"/>
  <c r="M25" i="1" s="1"/>
  <c r="K26" i="1"/>
  <c r="L26" i="1" s="1"/>
  <c r="M26" i="1" s="1"/>
  <c r="K27" i="1"/>
  <c r="L27" i="1" s="1"/>
  <c r="M27" i="1" s="1"/>
  <c r="K28" i="1"/>
  <c r="L28" i="1" s="1"/>
  <c r="M28" i="1" s="1"/>
  <c r="K29" i="1"/>
  <c r="L29" i="1" s="1"/>
  <c r="M29" i="1" s="1"/>
  <c r="K30" i="1"/>
  <c r="L30" i="1" s="1"/>
  <c r="M30" i="1" s="1"/>
  <c r="K31" i="1"/>
  <c r="L31" i="1" s="1"/>
  <c r="M31" i="1" s="1"/>
  <c r="K32" i="1"/>
  <c r="L32" i="1" s="1"/>
  <c r="M32" i="1" s="1"/>
  <c r="K33" i="1"/>
  <c r="L33" i="1" s="1"/>
  <c r="M33" i="1" s="1"/>
  <c r="K34" i="1"/>
  <c r="L34" i="1" s="1"/>
  <c r="M34" i="1" s="1"/>
  <c r="K35" i="1"/>
  <c r="L35" i="1" s="1"/>
  <c r="M35" i="1" s="1"/>
  <c r="K5" i="1"/>
  <c r="L5" i="1" s="1"/>
  <c r="M5" i="1" s="1"/>
  <c r="H6" i="1"/>
  <c r="I6" i="1" s="1"/>
  <c r="J6" i="1" s="1"/>
  <c r="H7" i="1"/>
  <c r="I7" i="1" s="1"/>
  <c r="J7" i="1" s="1"/>
  <c r="H8" i="1"/>
  <c r="I8" i="1" s="1"/>
  <c r="J8" i="1" s="1"/>
  <c r="H9" i="1"/>
  <c r="I9" i="1" s="1"/>
  <c r="J9" i="1" s="1"/>
  <c r="H10" i="1"/>
  <c r="I10" i="1" s="1"/>
  <c r="J10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H24" i="1"/>
  <c r="I24" i="1" s="1"/>
  <c r="J24" i="1" s="1"/>
  <c r="H25" i="1"/>
  <c r="I25" i="1" s="1"/>
  <c r="J25" i="1" s="1"/>
  <c r="H26" i="1"/>
  <c r="I26" i="1" s="1"/>
  <c r="J26" i="1" s="1"/>
  <c r="H27" i="1"/>
  <c r="I27" i="1" s="1"/>
  <c r="J27" i="1" s="1"/>
  <c r="H28" i="1"/>
  <c r="I28" i="1" s="1"/>
  <c r="J28" i="1" s="1"/>
  <c r="H29" i="1"/>
  <c r="I29" i="1" s="1"/>
  <c r="J29" i="1" s="1"/>
  <c r="H30" i="1"/>
  <c r="I30" i="1" s="1"/>
  <c r="J30" i="1" s="1"/>
  <c r="H31" i="1"/>
  <c r="I31" i="1" s="1"/>
  <c r="J31" i="1" s="1"/>
  <c r="H32" i="1"/>
  <c r="I32" i="1" s="1"/>
  <c r="J32" i="1" s="1"/>
  <c r="H33" i="1"/>
  <c r="I33" i="1" s="1"/>
  <c r="J33" i="1" s="1"/>
  <c r="H34" i="1"/>
  <c r="I34" i="1" s="1"/>
  <c r="J34" i="1" s="1"/>
  <c r="H35" i="1"/>
  <c r="I35" i="1" s="1"/>
  <c r="J35" i="1" s="1"/>
  <c r="H5" i="1"/>
  <c r="I5" i="1" s="1"/>
  <c r="J5" i="1" s="1"/>
  <c r="E6" i="1"/>
  <c r="F6" i="1" s="1"/>
  <c r="G6" i="1" s="1"/>
  <c r="E7" i="1"/>
  <c r="F7" i="1" s="1"/>
  <c r="G7" i="1" s="1"/>
  <c r="E8" i="1"/>
  <c r="F8" i="1" s="1"/>
  <c r="G8" i="1" s="1"/>
  <c r="E9" i="1"/>
  <c r="F9" i="1" s="1"/>
  <c r="G9" i="1" s="1"/>
  <c r="E10" i="1"/>
  <c r="F10" i="1" s="1"/>
  <c r="G10" i="1" s="1"/>
  <c r="E11" i="1"/>
  <c r="F11" i="1" s="1"/>
  <c r="G11" i="1" s="1"/>
  <c r="E12" i="1"/>
  <c r="F12" i="1" s="1"/>
  <c r="G12" i="1" s="1"/>
  <c r="E13" i="1"/>
  <c r="F13" i="1" s="1"/>
  <c r="G13" i="1" s="1"/>
  <c r="E14" i="1"/>
  <c r="F14" i="1" s="1"/>
  <c r="G14" i="1" s="1"/>
  <c r="E15" i="1"/>
  <c r="F15" i="1" s="1"/>
  <c r="G15" i="1" s="1"/>
  <c r="E16" i="1"/>
  <c r="F16" i="1" s="1"/>
  <c r="G16" i="1" s="1"/>
  <c r="E17" i="1"/>
  <c r="F17" i="1" s="1"/>
  <c r="G17" i="1" s="1"/>
  <c r="E18" i="1"/>
  <c r="F18" i="1" s="1"/>
  <c r="G18" i="1" s="1"/>
  <c r="E19" i="1"/>
  <c r="F19" i="1" s="1"/>
  <c r="G19" i="1" s="1"/>
  <c r="E20" i="1"/>
  <c r="F20" i="1" s="1"/>
  <c r="G20" i="1" s="1"/>
  <c r="E21" i="1"/>
  <c r="F21" i="1" s="1"/>
  <c r="G21" i="1" s="1"/>
  <c r="E22" i="1"/>
  <c r="F22" i="1" s="1"/>
  <c r="G22" i="1" s="1"/>
  <c r="E23" i="1"/>
  <c r="F23" i="1" s="1"/>
  <c r="G23" i="1" s="1"/>
  <c r="E24" i="1"/>
  <c r="F24" i="1" s="1"/>
  <c r="G24" i="1" s="1"/>
  <c r="E25" i="1"/>
  <c r="F25" i="1" s="1"/>
  <c r="G25" i="1" s="1"/>
  <c r="E26" i="1"/>
  <c r="F26" i="1" s="1"/>
  <c r="G26" i="1" s="1"/>
  <c r="E27" i="1"/>
  <c r="F27" i="1" s="1"/>
  <c r="G27" i="1" s="1"/>
  <c r="E28" i="1"/>
  <c r="F28" i="1" s="1"/>
  <c r="G28" i="1" s="1"/>
  <c r="E29" i="1"/>
  <c r="F29" i="1" s="1"/>
  <c r="G29" i="1" s="1"/>
  <c r="E30" i="1"/>
  <c r="F30" i="1" s="1"/>
  <c r="G30" i="1" s="1"/>
  <c r="E31" i="1"/>
  <c r="F31" i="1" s="1"/>
  <c r="G31" i="1" s="1"/>
  <c r="E32" i="1"/>
  <c r="F32" i="1" s="1"/>
  <c r="G32" i="1" s="1"/>
  <c r="E33" i="1"/>
  <c r="F33" i="1" s="1"/>
  <c r="G33" i="1" s="1"/>
  <c r="E34" i="1"/>
  <c r="F34" i="1" s="1"/>
  <c r="G34" i="1" s="1"/>
  <c r="E35" i="1"/>
  <c r="F35" i="1" s="1"/>
  <c r="G35" i="1" s="1"/>
  <c r="E5" i="1"/>
  <c r="F5" i="1" s="1"/>
  <c r="G5" i="1" s="1"/>
  <c r="B6" i="1"/>
  <c r="C6" i="1" s="1"/>
  <c r="D6" i="1" s="1"/>
  <c r="B7" i="1"/>
  <c r="B8" i="1"/>
  <c r="B9" i="1"/>
  <c r="C9" i="1" s="1"/>
  <c r="B10" i="1"/>
  <c r="B11" i="1"/>
  <c r="B12" i="1"/>
  <c r="AB12" i="1" s="1"/>
  <c r="B13" i="1"/>
  <c r="AB13" i="1" s="1"/>
  <c r="B14" i="1"/>
  <c r="B15" i="1"/>
  <c r="B16" i="1"/>
  <c r="B17" i="1"/>
  <c r="AB17" i="1" s="1"/>
  <c r="B18" i="1"/>
  <c r="AB18" i="1" s="1"/>
  <c r="B19" i="1"/>
  <c r="B20" i="1"/>
  <c r="B21" i="1"/>
  <c r="AB21" i="1" s="1"/>
  <c r="B22" i="1"/>
  <c r="B23" i="1"/>
  <c r="AB23" i="1" s="1"/>
  <c r="B24" i="1"/>
  <c r="AB24" i="1" s="1"/>
  <c r="B25" i="1"/>
  <c r="AB25" i="1" s="1"/>
  <c r="B26" i="1"/>
  <c r="AB26" i="1" s="1"/>
  <c r="B27" i="1"/>
  <c r="AB27" i="1" s="1"/>
  <c r="B28" i="1"/>
  <c r="AB28" i="1" s="1"/>
  <c r="B29" i="1"/>
  <c r="AB29" i="1" s="1"/>
  <c r="B30" i="1"/>
  <c r="AB30" i="1" s="1"/>
  <c r="B31" i="1"/>
  <c r="AB31" i="1" s="1"/>
  <c r="B32" i="1"/>
  <c r="AB32" i="1" s="1"/>
  <c r="B33" i="1"/>
  <c r="AB33" i="1" s="1"/>
  <c r="B34" i="1"/>
  <c r="B35" i="1"/>
  <c r="AB35" i="1" s="1"/>
  <c r="B5" i="1"/>
  <c r="X6" i="13"/>
  <c r="Y6" i="13" s="1"/>
  <c r="Z6" i="13" s="1"/>
  <c r="X7" i="13"/>
  <c r="Y7" i="13" s="1"/>
  <c r="Z7" i="13" s="1"/>
  <c r="X8" i="13"/>
  <c r="Y8" i="13" s="1"/>
  <c r="Z8" i="13" s="1"/>
  <c r="X9" i="13"/>
  <c r="Y9" i="13" s="1"/>
  <c r="Z9" i="13" s="1"/>
  <c r="X10" i="13"/>
  <c r="Y10" i="13" s="1"/>
  <c r="Z10" i="13" s="1"/>
  <c r="X11" i="13"/>
  <c r="Y11" i="13" s="1"/>
  <c r="Z11" i="13" s="1"/>
  <c r="X12" i="13"/>
  <c r="Y12" i="13" s="1"/>
  <c r="Z12" i="13" s="1"/>
  <c r="X13" i="13"/>
  <c r="Y13" i="13" s="1"/>
  <c r="Z13" i="13" s="1"/>
  <c r="X14" i="13"/>
  <c r="Y14" i="13" s="1"/>
  <c r="Z14" i="13" s="1"/>
  <c r="X15" i="13"/>
  <c r="Y15" i="13" s="1"/>
  <c r="Z15" i="13" s="1"/>
  <c r="X16" i="13"/>
  <c r="Y16" i="13" s="1"/>
  <c r="Z16" i="13" s="1"/>
  <c r="X17" i="13"/>
  <c r="Y17" i="13" s="1"/>
  <c r="Z17" i="13" s="1"/>
  <c r="X18" i="13"/>
  <c r="Y18" i="13" s="1"/>
  <c r="Z18" i="13" s="1"/>
  <c r="X19" i="13"/>
  <c r="Y19" i="13" s="1"/>
  <c r="Z19" i="13" s="1"/>
  <c r="X20" i="13"/>
  <c r="Y20" i="13" s="1"/>
  <c r="Z20" i="13" s="1"/>
  <c r="X21" i="13"/>
  <c r="Y21" i="13" s="1"/>
  <c r="Z21" i="13" s="1"/>
  <c r="X22" i="13"/>
  <c r="Y22" i="13" s="1"/>
  <c r="Z22" i="13" s="1"/>
  <c r="X23" i="13"/>
  <c r="Y23" i="13" s="1"/>
  <c r="Z23" i="13" s="1"/>
  <c r="X24" i="13"/>
  <c r="Y24" i="13" s="1"/>
  <c r="Z24" i="13" s="1"/>
  <c r="X25" i="13"/>
  <c r="Y25" i="13" s="1"/>
  <c r="Z25" i="13" s="1"/>
  <c r="X26" i="13"/>
  <c r="Y26" i="13" s="1"/>
  <c r="Z26" i="13" s="1"/>
  <c r="X27" i="13"/>
  <c r="Y27" i="13" s="1"/>
  <c r="Z27" i="13" s="1"/>
  <c r="X28" i="13"/>
  <c r="Y28" i="13" s="1"/>
  <c r="Z28" i="13" s="1"/>
  <c r="X29" i="13"/>
  <c r="Y29" i="13" s="1"/>
  <c r="Z29" i="13" s="1"/>
  <c r="X30" i="13"/>
  <c r="Y30" i="13" s="1"/>
  <c r="Z30" i="13" s="1"/>
  <c r="X31" i="13"/>
  <c r="Y31" i="13" s="1"/>
  <c r="Z31" i="13" s="1"/>
  <c r="X32" i="13"/>
  <c r="Y32" i="13" s="1"/>
  <c r="Z32" i="13" s="1"/>
  <c r="X33" i="13"/>
  <c r="Y33" i="13" s="1"/>
  <c r="Z33" i="13" s="1"/>
  <c r="X34" i="13"/>
  <c r="Y34" i="13" s="1"/>
  <c r="Z34" i="13" s="1"/>
  <c r="X35" i="13"/>
  <c r="Y35" i="13" s="1"/>
  <c r="Z35" i="13" s="1"/>
  <c r="X5" i="13"/>
  <c r="Y5" i="13" s="1"/>
  <c r="Z5" i="13" s="1"/>
  <c r="U6" i="13"/>
  <c r="V6" i="13" s="1"/>
  <c r="W6" i="13" s="1"/>
  <c r="U7" i="13"/>
  <c r="V7" i="13" s="1"/>
  <c r="U8" i="13"/>
  <c r="V8" i="13" s="1"/>
  <c r="W8" i="13" s="1"/>
  <c r="U9" i="13"/>
  <c r="V9" i="13" s="1"/>
  <c r="W9" i="13" s="1"/>
  <c r="U10" i="13"/>
  <c r="V10" i="13" s="1"/>
  <c r="W10" i="13" s="1"/>
  <c r="U11" i="13"/>
  <c r="V11" i="13" s="1"/>
  <c r="W11" i="13" s="1"/>
  <c r="U12" i="13"/>
  <c r="V12" i="13" s="1"/>
  <c r="W12" i="13" s="1"/>
  <c r="U13" i="13"/>
  <c r="V13" i="13" s="1"/>
  <c r="W13" i="13" s="1"/>
  <c r="U14" i="13"/>
  <c r="V14" i="13" s="1"/>
  <c r="W14" i="13" s="1"/>
  <c r="U15" i="13"/>
  <c r="V15" i="13" s="1"/>
  <c r="W15" i="13" s="1"/>
  <c r="U16" i="13"/>
  <c r="V16" i="13" s="1"/>
  <c r="W16" i="13" s="1"/>
  <c r="U17" i="13"/>
  <c r="V17" i="13" s="1"/>
  <c r="W17" i="13" s="1"/>
  <c r="U18" i="13"/>
  <c r="V18" i="13" s="1"/>
  <c r="W18" i="13" s="1"/>
  <c r="U19" i="13"/>
  <c r="V19" i="13" s="1"/>
  <c r="W19" i="13" s="1"/>
  <c r="U20" i="13"/>
  <c r="V20" i="13" s="1"/>
  <c r="W20" i="13" s="1"/>
  <c r="U21" i="13"/>
  <c r="V21" i="13" s="1"/>
  <c r="W21" i="13" s="1"/>
  <c r="U22" i="13"/>
  <c r="V22" i="13" s="1"/>
  <c r="W22" i="13" s="1"/>
  <c r="U23" i="13"/>
  <c r="V23" i="13" s="1"/>
  <c r="W23" i="13" s="1"/>
  <c r="U24" i="13"/>
  <c r="V24" i="13" s="1"/>
  <c r="W24" i="13" s="1"/>
  <c r="U25" i="13"/>
  <c r="V25" i="13" s="1"/>
  <c r="W25" i="13" s="1"/>
  <c r="U26" i="13"/>
  <c r="V26" i="13" s="1"/>
  <c r="W26" i="13" s="1"/>
  <c r="U27" i="13"/>
  <c r="V27" i="13" s="1"/>
  <c r="W27" i="13" s="1"/>
  <c r="U28" i="13"/>
  <c r="V28" i="13" s="1"/>
  <c r="W28" i="13" s="1"/>
  <c r="U29" i="13"/>
  <c r="V29" i="13" s="1"/>
  <c r="W29" i="13" s="1"/>
  <c r="U30" i="13"/>
  <c r="V30" i="13" s="1"/>
  <c r="W30" i="13" s="1"/>
  <c r="U31" i="13"/>
  <c r="V31" i="13" s="1"/>
  <c r="W31" i="13" s="1"/>
  <c r="U32" i="13"/>
  <c r="V32" i="13" s="1"/>
  <c r="W32" i="13" s="1"/>
  <c r="U33" i="13"/>
  <c r="V33" i="13" s="1"/>
  <c r="W33" i="13" s="1"/>
  <c r="U34" i="13"/>
  <c r="V34" i="13" s="1"/>
  <c r="W34" i="13" s="1"/>
  <c r="U35" i="13"/>
  <c r="V35" i="13" s="1"/>
  <c r="W35" i="13" s="1"/>
  <c r="U5" i="13"/>
  <c r="V5" i="13" s="1"/>
  <c r="W5" i="13" s="1"/>
  <c r="R6" i="13"/>
  <c r="S6" i="13" s="1"/>
  <c r="T6" i="13" s="1"/>
  <c r="R7" i="13"/>
  <c r="S7" i="13" s="1"/>
  <c r="T7" i="13" s="1"/>
  <c r="R8" i="13"/>
  <c r="S8" i="13" s="1"/>
  <c r="T8" i="13" s="1"/>
  <c r="R9" i="13"/>
  <c r="S9" i="13" s="1"/>
  <c r="T9" i="13" s="1"/>
  <c r="R10" i="13"/>
  <c r="S10" i="13" s="1"/>
  <c r="T10" i="13" s="1"/>
  <c r="R11" i="13"/>
  <c r="S11" i="13" s="1"/>
  <c r="T11" i="13" s="1"/>
  <c r="R12" i="13"/>
  <c r="S12" i="13" s="1"/>
  <c r="T12" i="13" s="1"/>
  <c r="R13" i="13"/>
  <c r="S13" i="13" s="1"/>
  <c r="T13" i="13" s="1"/>
  <c r="R14" i="13"/>
  <c r="S14" i="13" s="1"/>
  <c r="T14" i="13" s="1"/>
  <c r="R15" i="13"/>
  <c r="S15" i="13" s="1"/>
  <c r="T15" i="13" s="1"/>
  <c r="R16" i="13"/>
  <c r="S16" i="13" s="1"/>
  <c r="T16" i="13" s="1"/>
  <c r="R17" i="13"/>
  <c r="S17" i="13" s="1"/>
  <c r="T17" i="13" s="1"/>
  <c r="R18" i="13"/>
  <c r="S18" i="13" s="1"/>
  <c r="T18" i="13" s="1"/>
  <c r="R19" i="13"/>
  <c r="S19" i="13" s="1"/>
  <c r="T19" i="13" s="1"/>
  <c r="R20" i="13"/>
  <c r="S20" i="13" s="1"/>
  <c r="T20" i="13" s="1"/>
  <c r="R21" i="13"/>
  <c r="S21" i="13" s="1"/>
  <c r="T21" i="13" s="1"/>
  <c r="R22" i="13"/>
  <c r="S22" i="13" s="1"/>
  <c r="T22" i="13" s="1"/>
  <c r="R23" i="13"/>
  <c r="S23" i="13" s="1"/>
  <c r="T23" i="13" s="1"/>
  <c r="R24" i="13"/>
  <c r="S24" i="13" s="1"/>
  <c r="T24" i="13" s="1"/>
  <c r="R25" i="13"/>
  <c r="S25" i="13" s="1"/>
  <c r="T25" i="13" s="1"/>
  <c r="R26" i="13"/>
  <c r="S26" i="13" s="1"/>
  <c r="T26" i="13" s="1"/>
  <c r="R27" i="13"/>
  <c r="S27" i="13" s="1"/>
  <c r="T27" i="13" s="1"/>
  <c r="R28" i="13"/>
  <c r="S28" i="13" s="1"/>
  <c r="T28" i="13" s="1"/>
  <c r="R29" i="13"/>
  <c r="S29" i="13" s="1"/>
  <c r="T29" i="13" s="1"/>
  <c r="R30" i="13"/>
  <c r="S30" i="13" s="1"/>
  <c r="T30" i="13" s="1"/>
  <c r="R31" i="13"/>
  <c r="S31" i="13" s="1"/>
  <c r="T31" i="13" s="1"/>
  <c r="R32" i="13"/>
  <c r="S32" i="13" s="1"/>
  <c r="T32" i="13" s="1"/>
  <c r="R33" i="13"/>
  <c r="S33" i="13" s="1"/>
  <c r="T33" i="13" s="1"/>
  <c r="R34" i="13"/>
  <c r="S34" i="13" s="1"/>
  <c r="T34" i="13" s="1"/>
  <c r="R35" i="13"/>
  <c r="S35" i="13" s="1"/>
  <c r="T35" i="13" s="1"/>
  <c r="R5" i="13"/>
  <c r="S5" i="13" s="1"/>
  <c r="T5" i="13" s="1"/>
  <c r="O6" i="13"/>
  <c r="P6" i="13" s="1"/>
  <c r="Q6" i="13" s="1"/>
  <c r="O7" i="13"/>
  <c r="P7" i="13" s="1"/>
  <c r="Q7" i="13" s="1"/>
  <c r="O8" i="13"/>
  <c r="P8" i="13" s="1"/>
  <c r="Q8" i="13" s="1"/>
  <c r="O9" i="13"/>
  <c r="P9" i="13" s="1"/>
  <c r="Q9" i="13" s="1"/>
  <c r="O10" i="13"/>
  <c r="P10" i="13" s="1"/>
  <c r="Q10" i="13" s="1"/>
  <c r="O11" i="13"/>
  <c r="P11" i="13" s="1"/>
  <c r="Q11" i="13" s="1"/>
  <c r="O12" i="13"/>
  <c r="P12" i="13" s="1"/>
  <c r="Q12" i="13" s="1"/>
  <c r="O13" i="13"/>
  <c r="P13" i="13" s="1"/>
  <c r="Q13" i="13" s="1"/>
  <c r="O14" i="13"/>
  <c r="P14" i="13" s="1"/>
  <c r="Q14" i="13" s="1"/>
  <c r="O15" i="13"/>
  <c r="P15" i="13" s="1"/>
  <c r="Q15" i="13" s="1"/>
  <c r="O16" i="13"/>
  <c r="P16" i="13" s="1"/>
  <c r="Q16" i="13" s="1"/>
  <c r="O17" i="13"/>
  <c r="P17" i="13" s="1"/>
  <c r="Q17" i="13" s="1"/>
  <c r="O18" i="13"/>
  <c r="P18" i="13" s="1"/>
  <c r="O19" i="13"/>
  <c r="P19" i="13" s="1"/>
  <c r="Q19" i="13" s="1"/>
  <c r="O20" i="13"/>
  <c r="P20" i="13" s="1"/>
  <c r="Q20" i="13" s="1"/>
  <c r="O21" i="13"/>
  <c r="P21" i="13" s="1"/>
  <c r="Q21" i="13" s="1"/>
  <c r="O22" i="13"/>
  <c r="P22" i="13" s="1"/>
  <c r="Q22" i="13" s="1"/>
  <c r="O23" i="13"/>
  <c r="P23" i="13" s="1"/>
  <c r="Q23" i="13" s="1"/>
  <c r="O24" i="13"/>
  <c r="P24" i="13" s="1"/>
  <c r="Q24" i="13" s="1"/>
  <c r="O25" i="13"/>
  <c r="P25" i="13" s="1"/>
  <c r="Q25" i="13" s="1"/>
  <c r="O26" i="13"/>
  <c r="P26" i="13" s="1"/>
  <c r="Q26" i="13" s="1"/>
  <c r="O27" i="13"/>
  <c r="P27" i="13" s="1"/>
  <c r="Q27" i="13" s="1"/>
  <c r="O28" i="13"/>
  <c r="P28" i="13" s="1"/>
  <c r="Q28" i="13" s="1"/>
  <c r="O29" i="13"/>
  <c r="P29" i="13" s="1"/>
  <c r="Q29" i="13" s="1"/>
  <c r="O30" i="13"/>
  <c r="P30" i="13" s="1"/>
  <c r="O31" i="13"/>
  <c r="P31" i="13" s="1"/>
  <c r="Q31" i="13" s="1"/>
  <c r="O32" i="13"/>
  <c r="P32" i="13" s="1"/>
  <c r="Q32" i="13" s="1"/>
  <c r="O33" i="13"/>
  <c r="P33" i="13" s="1"/>
  <c r="Q33" i="13" s="1"/>
  <c r="O34" i="13"/>
  <c r="P34" i="13" s="1"/>
  <c r="Q34" i="13" s="1"/>
  <c r="O35" i="13"/>
  <c r="P35" i="13" s="1"/>
  <c r="Q35" i="13" s="1"/>
  <c r="O5" i="13"/>
  <c r="P5" i="13" s="1"/>
  <c r="K6" i="13"/>
  <c r="L6" i="13" s="1"/>
  <c r="M6" i="13" s="1"/>
  <c r="K7" i="13"/>
  <c r="L7" i="13" s="1"/>
  <c r="M7" i="13" s="1"/>
  <c r="K8" i="13"/>
  <c r="L8" i="13" s="1"/>
  <c r="M8" i="13" s="1"/>
  <c r="K9" i="13"/>
  <c r="L9" i="13" s="1"/>
  <c r="M9" i="13" s="1"/>
  <c r="K10" i="13"/>
  <c r="L10" i="13" s="1"/>
  <c r="M10" i="13" s="1"/>
  <c r="K11" i="13"/>
  <c r="L11" i="13" s="1"/>
  <c r="M11" i="13" s="1"/>
  <c r="K12" i="13"/>
  <c r="L12" i="13" s="1"/>
  <c r="M12" i="13" s="1"/>
  <c r="K13" i="13"/>
  <c r="L13" i="13" s="1"/>
  <c r="M13" i="13" s="1"/>
  <c r="K14" i="13"/>
  <c r="L14" i="13" s="1"/>
  <c r="M14" i="13" s="1"/>
  <c r="K15" i="13"/>
  <c r="L15" i="13" s="1"/>
  <c r="M15" i="13" s="1"/>
  <c r="K16" i="13"/>
  <c r="L16" i="13" s="1"/>
  <c r="M16" i="13" s="1"/>
  <c r="K17" i="13"/>
  <c r="L17" i="13" s="1"/>
  <c r="M17" i="13" s="1"/>
  <c r="K18" i="13"/>
  <c r="L18" i="13" s="1"/>
  <c r="M18" i="13" s="1"/>
  <c r="K19" i="13"/>
  <c r="L19" i="13" s="1"/>
  <c r="M19" i="13" s="1"/>
  <c r="K20" i="13"/>
  <c r="L20" i="13" s="1"/>
  <c r="M20" i="13" s="1"/>
  <c r="K21" i="13"/>
  <c r="L21" i="13" s="1"/>
  <c r="M21" i="13" s="1"/>
  <c r="K22" i="13"/>
  <c r="L22" i="13" s="1"/>
  <c r="M22" i="13" s="1"/>
  <c r="K23" i="13"/>
  <c r="L23" i="13" s="1"/>
  <c r="M23" i="13" s="1"/>
  <c r="K24" i="13"/>
  <c r="L24" i="13" s="1"/>
  <c r="M24" i="13" s="1"/>
  <c r="K25" i="13"/>
  <c r="L25" i="13" s="1"/>
  <c r="M25" i="13" s="1"/>
  <c r="K26" i="13"/>
  <c r="L26" i="13" s="1"/>
  <c r="M26" i="13" s="1"/>
  <c r="K27" i="13"/>
  <c r="L27" i="13" s="1"/>
  <c r="M27" i="13" s="1"/>
  <c r="K28" i="13"/>
  <c r="L28" i="13" s="1"/>
  <c r="M28" i="13" s="1"/>
  <c r="K29" i="13"/>
  <c r="L29" i="13" s="1"/>
  <c r="M29" i="13" s="1"/>
  <c r="K30" i="13"/>
  <c r="L30" i="13" s="1"/>
  <c r="M30" i="13" s="1"/>
  <c r="K31" i="13"/>
  <c r="L31" i="13" s="1"/>
  <c r="M31" i="13" s="1"/>
  <c r="K32" i="13"/>
  <c r="L32" i="13" s="1"/>
  <c r="M32" i="13" s="1"/>
  <c r="K33" i="13"/>
  <c r="L33" i="13" s="1"/>
  <c r="M33" i="13" s="1"/>
  <c r="K34" i="13"/>
  <c r="L34" i="13" s="1"/>
  <c r="M34" i="13" s="1"/>
  <c r="K35" i="13"/>
  <c r="L35" i="13" s="1"/>
  <c r="M35" i="13" s="1"/>
  <c r="K5" i="13"/>
  <c r="L5" i="13" s="1"/>
  <c r="M5" i="13" s="1"/>
  <c r="H6" i="13"/>
  <c r="I6" i="13" s="1"/>
  <c r="J6" i="13" s="1"/>
  <c r="H7" i="13"/>
  <c r="I7" i="13" s="1"/>
  <c r="J7" i="13" s="1"/>
  <c r="H8" i="13"/>
  <c r="I8" i="13" s="1"/>
  <c r="J8" i="13" s="1"/>
  <c r="H9" i="13"/>
  <c r="I9" i="13" s="1"/>
  <c r="J9" i="13" s="1"/>
  <c r="H10" i="13"/>
  <c r="I10" i="13" s="1"/>
  <c r="J10" i="13" s="1"/>
  <c r="H11" i="13"/>
  <c r="I11" i="13" s="1"/>
  <c r="J11" i="13" s="1"/>
  <c r="H12" i="13"/>
  <c r="I12" i="13" s="1"/>
  <c r="J12" i="13" s="1"/>
  <c r="H13" i="13"/>
  <c r="I13" i="13" s="1"/>
  <c r="J13" i="13" s="1"/>
  <c r="H14" i="13"/>
  <c r="I14" i="13" s="1"/>
  <c r="J14" i="13" s="1"/>
  <c r="H15" i="13"/>
  <c r="I15" i="13" s="1"/>
  <c r="J15" i="13" s="1"/>
  <c r="H16" i="13"/>
  <c r="I16" i="13" s="1"/>
  <c r="J16" i="13" s="1"/>
  <c r="H17" i="13"/>
  <c r="I17" i="13" s="1"/>
  <c r="J17" i="13" s="1"/>
  <c r="H18" i="13"/>
  <c r="I18" i="13" s="1"/>
  <c r="J18" i="13" s="1"/>
  <c r="H19" i="13"/>
  <c r="I19" i="13" s="1"/>
  <c r="J19" i="13" s="1"/>
  <c r="H20" i="13"/>
  <c r="I20" i="13" s="1"/>
  <c r="J20" i="13" s="1"/>
  <c r="H21" i="13"/>
  <c r="I21" i="13" s="1"/>
  <c r="J21" i="13" s="1"/>
  <c r="H22" i="13"/>
  <c r="I22" i="13" s="1"/>
  <c r="J22" i="13" s="1"/>
  <c r="H23" i="13"/>
  <c r="I23" i="13" s="1"/>
  <c r="J23" i="13" s="1"/>
  <c r="H24" i="13"/>
  <c r="I24" i="13" s="1"/>
  <c r="J24" i="13" s="1"/>
  <c r="H25" i="13"/>
  <c r="I25" i="13" s="1"/>
  <c r="J25" i="13" s="1"/>
  <c r="H26" i="13"/>
  <c r="I26" i="13" s="1"/>
  <c r="J26" i="13" s="1"/>
  <c r="H27" i="13"/>
  <c r="I27" i="13" s="1"/>
  <c r="J27" i="13" s="1"/>
  <c r="H28" i="13"/>
  <c r="I28" i="13" s="1"/>
  <c r="J28" i="13" s="1"/>
  <c r="H29" i="13"/>
  <c r="I29" i="13" s="1"/>
  <c r="J29" i="13" s="1"/>
  <c r="H30" i="13"/>
  <c r="I30" i="13" s="1"/>
  <c r="J30" i="13" s="1"/>
  <c r="H31" i="13"/>
  <c r="I31" i="13" s="1"/>
  <c r="J31" i="13" s="1"/>
  <c r="H32" i="13"/>
  <c r="I32" i="13" s="1"/>
  <c r="J32" i="13" s="1"/>
  <c r="H33" i="13"/>
  <c r="I33" i="13" s="1"/>
  <c r="J33" i="13" s="1"/>
  <c r="H34" i="13"/>
  <c r="I34" i="13" s="1"/>
  <c r="J34" i="13" s="1"/>
  <c r="H35" i="13"/>
  <c r="I35" i="13" s="1"/>
  <c r="J35" i="13" s="1"/>
  <c r="H5" i="13"/>
  <c r="I5" i="13" s="1"/>
  <c r="J5" i="13" s="1"/>
  <c r="E6" i="13"/>
  <c r="F6" i="13" s="1"/>
  <c r="G6" i="13" s="1"/>
  <c r="E7" i="13"/>
  <c r="F7" i="13" s="1"/>
  <c r="G7" i="13" s="1"/>
  <c r="E8" i="13"/>
  <c r="F8" i="13" s="1"/>
  <c r="G8" i="13" s="1"/>
  <c r="E9" i="13"/>
  <c r="F9" i="13" s="1"/>
  <c r="G9" i="13" s="1"/>
  <c r="E10" i="13"/>
  <c r="F10" i="13" s="1"/>
  <c r="G10" i="13" s="1"/>
  <c r="E11" i="13"/>
  <c r="F11" i="13" s="1"/>
  <c r="G11" i="13" s="1"/>
  <c r="E12" i="13"/>
  <c r="F12" i="13" s="1"/>
  <c r="G12" i="13" s="1"/>
  <c r="E13" i="13"/>
  <c r="F13" i="13" s="1"/>
  <c r="G13" i="13" s="1"/>
  <c r="E14" i="13"/>
  <c r="F14" i="13" s="1"/>
  <c r="G14" i="13" s="1"/>
  <c r="E15" i="13"/>
  <c r="F15" i="13" s="1"/>
  <c r="G15" i="13" s="1"/>
  <c r="E16" i="13"/>
  <c r="F16" i="13" s="1"/>
  <c r="G16" i="13" s="1"/>
  <c r="E17" i="13"/>
  <c r="F17" i="13" s="1"/>
  <c r="G17" i="13" s="1"/>
  <c r="E18" i="13"/>
  <c r="F18" i="13" s="1"/>
  <c r="G18" i="13" s="1"/>
  <c r="E19" i="13"/>
  <c r="F19" i="13" s="1"/>
  <c r="G19" i="13" s="1"/>
  <c r="E20" i="13"/>
  <c r="F20" i="13" s="1"/>
  <c r="G20" i="13" s="1"/>
  <c r="E21" i="13"/>
  <c r="F21" i="13" s="1"/>
  <c r="G21" i="13" s="1"/>
  <c r="E22" i="13"/>
  <c r="F22" i="13" s="1"/>
  <c r="G22" i="13" s="1"/>
  <c r="E23" i="13"/>
  <c r="F23" i="13" s="1"/>
  <c r="G23" i="13" s="1"/>
  <c r="E24" i="13"/>
  <c r="F24" i="13" s="1"/>
  <c r="G24" i="13" s="1"/>
  <c r="E25" i="13"/>
  <c r="F25" i="13" s="1"/>
  <c r="G25" i="13" s="1"/>
  <c r="E26" i="13"/>
  <c r="F26" i="13" s="1"/>
  <c r="G26" i="13" s="1"/>
  <c r="E27" i="13"/>
  <c r="F27" i="13" s="1"/>
  <c r="G27" i="13" s="1"/>
  <c r="E28" i="13"/>
  <c r="F28" i="13" s="1"/>
  <c r="G28" i="13" s="1"/>
  <c r="E29" i="13"/>
  <c r="F29" i="13" s="1"/>
  <c r="G29" i="13" s="1"/>
  <c r="E30" i="13"/>
  <c r="F30" i="13" s="1"/>
  <c r="G30" i="13" s="1"/>
  <c r="E31" i="13"/>
  <c r="F31" i="13" s="1"/>
  <c r="G31" i="13" s="1"/>
  <c r="E32" i="13"/>
  <c r="F32" i="13" s="1"/>
  <c r="G32" i="13" s="1"/>
  <c r="E33" i="13"/>
  <c r="F33" i="13" s="1"/>
  <c r="G33" i="13" s="1"/>
  <c r="E34" i="13"/>
  <c r="F34" i="13" s="1"/>
  <c r="G34" i="13" s="1"/>
  <c r="E35" i="13"/>
  <c r="F35" i="13" s="1"/>
  <c r="G35" i="13" s="1"/>
  <c r="E5" i="13"/>
  <c r="F5" i="13" s="1"/>
  <c r="G5" i="13" s="1"/>
  <c r="B6" i="13"/>
  <c r="C6" i="13" s="1"/>
  <c r="B7" i="13"/>
  <c r="AB7" i="13" s="1"/>
  <c r="B8" i="13"/>
  <c r="C8" i="13" s="1"/>
  <c r="B9" i="13"/>
  <c r="AB9" i="13" s="1"/>
  <c r="B10" i="13"/>
  <c r="AB10" i="13" s="1"/>
  <c r="B11" i="13"/>
  <c r="AB11" i="13" s="1"/>
  <c r="B12" i="13"/>
  <c r="AB12" i="13" s="1"/>
  <c r="B13" i="13"/>
  <c r="C13" i="13" s="1"/>
  <c r="D13" i="13" s="1"/>
  <c r="B14" i="13"/>
  <c r="AB14" i="13" s="1"/>
  <c r="B15" i="13"/>
  <c r="C15" i="13" s="1"/>
  <c r="B16" i="13"/>
  <c r="C16" i="13" s="1"/>
  <c r="B17" i="13"/>
  <c r="C17" i="13" s="1"/>
  <c r="B18" i="13"/>
  <c r="AB18" i="13" s="1"/>
  <c r="B19" i="13"/>
  <c r="AB19" i="13" s="1"/>
  <c r="B20" i="13"/>
  <c r="C20" i="13" s="1"/>
  <c r="B21" i="13"/>
  <c r="C21" i="13" s="1"/>
  <c r="D21" i="13" s="1"/>
  <c r="B22" i="13"/>
  <c r="C22" i="13" s="1"/>
  <c r="B23" i="13"/>
  <c r="AB23" i="13" s="1"/>
  <c r="B24" i="13"/>
  <c r="C24" i="13" s="1"/>
  <c r="B25" i="13"/>
  <c r="C25" i="13" s="1"/>
  <c r="D25" i="13" s="1"/>
  <c r="AD25" i="13" s="1"/>
  <c r="B26" i="13"/>
  <c r="C26" i="13" s="1"/>
  <c r="D26" i="13" s="1"/>
  <c r="AD26" i="13" s="1"/>
  <c r="B27" i="13"/>
  <c r="C27" i="13" s="1"/>
  <c r="B28" i="13"/>
  <c r="C28" i="13" s="1"/>
  <c r="AC28" i="13" s="1"/>
  <c r="B29" i="13"/>
  <c r="AB29" i="13" s="1"/>
  <c r="B30" i="13"/>
  <c r="AB30" i="13" s="1"/>
  <c r="B31" i="13"/>
  <c r="AB31" i="13" s="1"/>
  <c r="B32" i="13"/>
  <c r="AB32" i="13" s="1"/>
  <c r="B33" i="13"/>
  <c r="AB33" i="13" s="1"/>
  <c r="B34" i="13"/>
  <c r="AB34" i="13" s="1"/>
  <c r="B35" i="13"/>
  <c r="AB35" i="13" s="1"/>
  <c r="B5" i="13"/>
  <c r="C5" i="13" s="1"/>
  <c r="D5" i="13" s="1"/>
  <c r="X6" i="14"/>
  <c r="Y6" i="14" s="1"/>
  <c r="Z6" i="14" s="1"/>
  <c r="X7" i="14"/>
  <c r="Y7" i="14" s="1"/>
  <c r="Z7" i="14" s="1"/>
  <c r="X8" i="14"/>
  <c r="Y8" i="14" s="1"/>
  <c r="Z8" i="14" s="1"/>
  <c r="X9" i="14"/>
  <c r="Y9" i="14" s="1"/>
  <c r="Z9" i="14" s="1"/>
  <c r="X10" i="14"/>
  <c r="Y10" i="14" s="1"/>
  <c r="Z10" i="14" s="1"/>
  <c r="X11" i="14"/>
  <c r="Y11" i="14" s="1"/>
  <c r="Z11" i="14" s="1"/>
  <c r="X12" i="14"/>
  <c r="Y12" i="14" s="1"/>
  <c r="Z12" i="14" s="1"/>
  <c r="X13" i="14"/>
  <c r="Y13" i="14" s="1"/>
  <c r="Z13" i="14" s="1"/>
  <c r="X14" i="14"/>
  <c r="Y14" i="14" s="1"/>
  <c r="Z14" i="14" s="1"/>
  <c r="X15" i="14"/>
  <c r="Y15" i="14" s="1"/>
  <c r="Z15" i="14" s="1"/>
  <c r="X16" i="14"/>
  <c r="Y16" i="14" s="1"/>
  <c r="Z16" i="14" s="1"/>
  <c r="X17" i="14"/>
  <c r="Y17" i="14" s="1"/>
  <c r="Z17" i="14" s="1"/>
  <c r="X18" i="14"/>
  <c r="Y18" i="14" s="1"/>
  <c r="Z18" i="14" s="1"/>
  <c r="X19" i="14"/>
  <c r="Y19" i="14" s="1"/>
  <c r="Z19" i="14" s="1"/>
  <c r="X20" i="14"/>
  <c r="Y20" i="14" s="1"/>
  <c r="Z20" i="14" s="1"/>
  <c r="X21" i="14"/>
  <c r="Y21" i="14" s="1"/>
  <c r="Z21" i="14" s="1"/>
  <c r="X22" i="14"/>
  <c r="Y22" i="14" s="1"/>
  <c r="Z22" i="14" s="1"/>
  <c r="X23" i="14"/>
  <c r="Y23" i="14" s="1"/>
  <c r="Z23" i="14" s="1"/>
  <c r="X24" i="14"/>
  <c r="Y24" i="14" s="1"/>
  <c r="Z24" i="14" s="1"/>
  <c r="X25" i="14"/>
  <c r="Y25" i="14" s="1"/>
  <c r="Z25" i="14" s="1"/>
  <c r="X26" i="14"/>
  <c r="Y26" i="14" s="1"/>
  <c r="Z26" i="14" s="1"/>
  <c r="X27" i="14"/>
  <c r="Y27" i="14" s="1"/>
  <c r="Z27" i="14" s="1"/>
  <c r="X28" i="14"/>
  <c r="Y28" i="14" s="1"/>
  <c r="Z28" i="14" s="1"/>
  <c r="X29" i="14"/>
  <c r="Y29" i="14" s="1"/>
  <c r="Z29" i="14" s="1"/>
  <c r="X30" i="14"/>
  <c r="Y30" i="14" s="1"/>
  <c r="Z30" i="14" s="1"/>
  <c r="X31" i="14"/>
  <c r="Y31" i="14" s="1"/>
  <c r="Z31" i="14" s="1"/>
  <c r="X32" i="14"/>
  <c r="Y32" i="14" s="1"/>
  <c r="Z32" i="14" s="1"/>
  <c r="X33" i="14"/>
  <c r="Y33" i="14" s="1"/>
  <c r="Z33" i="14" s="1"/>
  <c r="X34" i="14"/>
  <c r="Y34" i="14" s="1"/>
  <c r="Z34" i="14" s="1"/>
  <c r="X5" i="14"/>
  <c r="Y5" i="14" s="1"/>
  <c r="Z5" i="14" s="1"/>
  <c r="U6" i="14"/>
  <c r="V6" i="14" s="1"/>
  <c r="W6" i="14" s="1"/>
  <c r="U7" i="14"/>
  <c r="V7" i="14" s="1"/>
  <c r="W7" i="14" s="1"/>
  <c r="U8" i="14"/>
  <c r="V8" i="14" s="1"/>
  <c r="W8" i="14" s="1"/>
  <c r="U9" i="14"/>
  <c r="V9" i="14" s="1"/>
  <c r="W9" i="14" s="1"/>
  <c r="U10" i="14"/>
  <c r="V10" i="14" s="1"/>
  <c r="W10" i="14" s="1"/>
  <c r="U11" i="14"/>
  <c r="V11" i="14" s="1"/>
  <c r="W11" i="14" s="1"/>
  <c r="U12" i="14"/>
  <c r="V12" i="14" s="1"/>
  <c r="W12" i="14" s="1"/>
  <c r="U13" i="14"/>
  <c r="V13" i="14" s="1"/>
  <c r="W13" i="14" s="1"/>
  <c r="U14" i="14"/>
  <c r="V14" i="14" s="1"/>
  <c r="W14" i="14" s="1"/>
  <c r="U15" i="14"/>
  <c r="V15" i="14" s="1"/>
  <c r="W15" i="14" s="1"/>
  <c r="U16" i="14"/>
  <c r="V16" i="14" s="1"/>
  <c r="W16" i="14" s="1"/>
  <c r="U17" i="14"/>
  <c r="V17" i="14" s="1"/>
  <c r="W17" i="14" s="1"/>
  <c r="U18" i="14"/>
  <c r="V18" i="14" s="1"/>
  <c r="W18" i="14" s="1"/>
  <c r="U19" i="14"/>
  <c r="V19" i="14" s="1"/>
  <c r="W19" i="14" s="1"/>
  <c r="U20" i="14"/>
  <c r="V20" i="14" s="1"/>
  <c r="W20" i="14" s="1"/>
  <c r="U21" i="14"/>
  <c r="V21" i="14" s="1"/>
  <c r="W21" i="14" s="1"/>
  <c r="U22" i="14"/>
  <c r="V22" i="14" s="1"/>
  <c r="W22" i="14" s="1"/>
  <c r="U23" i="14"/>
  <c r="V23" i="14" s="1"/>
  <c r="W23" i="14" s="1"/>
  <c r="U24" i="14"/>
  <c r="V24" i="14" s="1"/>
  <c r="W24" i="14" s="1"/>
  <c r="U25" i="14"/>
  <c r="V25" i="14" s="1"/>
  <c r="W25" i="14" s="1"/>
  <c r="U26" i="14"/>
  <c r="V26" i="14" s="1"/>
  <c r="W26" i="14" s="1"/>
  <c r="U27" i="14"/>
  <c r="V27" i="14" s="1"/>
  <c r="W27" i="14" s="1"/>
  <c r="U28" i="14"/>
  <c r="V28" i="14" s="1"/>
  <c r="W28" i="14" s="1"/>
  <c r="U29" i="14"/>
  <c r="V29" i="14" s="1"/>
  <c r="W29" i="14" s="1"/>
  <c r="U30" i="14"/>
  <c r="V30" i="14" s="1"/>
  <c r="W30" i="14" s="1"/>
  <c r="U31" i="14"/>
  <c r="V31" i="14" s="1"/>
  <c r="W31" i="14" s="1"/>
  <c r="U32" i="14"/>
  <c r="V32" i="14" s="1"/>
  <c r="W32" i="14" s="1"/>
  <c r="U33" i="14"/>
  <c r="V33" i="14" s="1"/>
  <c r="W33" i="14" s="1"/>
  <c r="U34" i="14"/>
  <c r="V34" i="14" s="1"/>
  <c r="W34" i="14" s="1"/>
  <c r="U5" i="14"/>
  <c r="V5" i="14" s="1"/>
  <c r="W5" i="14" s="1"/>
  <c r="R6" i="14"/>
  <c r="S6" i="14" s="1"/>
  <c r="T6" i="14" s="1"/>
  <c r="R7" i="14"/>
  <c r="S7" i="14" s="1"/>
  <c r="T7" i="14" s="1"/>
  <c r="R8" i="14"/>
  <c r="S8" i="14" s="1"/>
  <c r="T8" i="14" s="1"/>
  <c r="R9" i="14"/>
  <c r="S9" i="14" s="1"/>
  <c r="T9" i="14" s="1"/>
  <c r="R10" i="14"/>
  <c r="S10" i="14" s="1"/>
  <c r="T10" i="14" s="1"/>
  <c r="R11" i="14"/>
  <c r="S11" i="14" s="1"/>
  <c r="T11" i="14" s="1"/>
  <c r="R12" i="14"/>
  <c r="S12" i="14" s="1"/>
  <c r="T12" i="14" s="1"/>
  <c r="R13" i="14"/>
  <c r="S13" i="14" s="1"/>
  <c r="T13" i="14" s="1"/>
  <c r="R14" i="14"/>
  <c r="S14" i="14" s="1"/>
  <c r="T14" i="14" s="1"/>
  <c r="R15" i="14"/>
  <c r="S15" i="14" s="1"/>
  <c r="T15" i="14" s="1"/>
  <c r="R16" i="14"/>
  <c r="S16" i="14" s="1"/>
  <c r="T16" i="14" s="1"/>
  <c r="R17" i="14"/>
  <c r="S17" i="14" s="1"/>
  <c r="T17" i="14" s="1"/>
  <c r="R18" i="14"/>
  <c r="S18" i="14" s="1"/>
  <c r="T18" i="14" s="1"/>
  <c r="R19" i="14"/>
  <c r="S19" i="14" s="1"/>
  <c r="T19" i="14" s="1"/>
  <c r="R20" i="14"/>
  <c r="S20" i="14" s="1"/>
  <c r="T20" i="14" s="1"/>
  <c r="R21" i="14"/>
  <c r="S21" i="14" s="1"/>
  <c r="T21" i="14" s="1"/>
  <c r="R22" i="14"/>
  <c r="S22" i="14" s="1"/>
  <c r="T22" i="14" s="1"/>
  <c r="R23" i="14"/>
  <c r="S23" i="14" s="1"/>
  <c r="T23" i="14" s="1"/>
  <c r="R24" i="14"/>
  <c r="S24" i="14" s="1"/>
  <c r="T24" i="14" s="1"/>
  <c r="R25" i="14"/>
  <c r="S25" i="14" s="1"/>
  <c r="T25" i="14" s="1"/>
  <c r="R26" i="14"/>
  <c r="S26" i="14" s="1"/>
  <c r="T26" i="14" s="1"/>
  <c r="R27" i="14"/>
  <c r="S27" i="14" s="1"/>
  <c r="T27" i="14" s="1"/>
  <c r="R28" i="14"/>
  <c r="S28" i="14" s="1"/>
  <c r="T28" i="14" s="1"/>
  <c r="R29" i="14"/>
  <c r="S29" i="14" s="1"/>
  <c r="T29" i="14" s="1"/>
  <c r="R30" i="14"/>
  <c r="S30" i="14" s="1"/>
  <c r="T30" i="14" s="1"/>
  <c r="R31" i="14"/>
  <c r="S31" i="14" s="1"/>
  <c r="T31" i="14" s="1"/>
  <c r="R32" i="14"/>
  <c r="S32" i="14" s="1"/>
  <c r="T32" i="14" s="1"/>
  <c r="R33" i="14"/>
  <c r="S33" i="14" s="1"/>
  <c r="T33" i="14" s="1"/>
  <c r="R34" i="14"/>
  <c r="S34" i="14" s="1"/>
  <c r="T34" i="14" s="1"/>
  <c r="R5" i="14"/>
  <c r="S5" i="14" s="1"/>
  <c r="T5" i="14" s="1"/>
  <c r="O6" i="14"/>
  <c r="P6" i="14" s="1"/>
  <c r="Q6" i="14" s="1"/>
  <c r="O7" i="14"/>
  <c r="P7" i="14" s="1"/>
  <c r="Q7" i="14" s="1"/>
  <c r="O8" i="14"/>
  <c r="P8" i="14" s="1"/>
  <c r="Q8" i="14" s="1"/>
  <c r="O9" i="14"/>
  <c r="P9" i="14" s="1"/>
  <c r="Q9" i="14" s="1"/>
  <c r="O10" i="14"/>
  <c r="P10" i="14" s="1"/>
  <c r="Q10" i="14" s="1"/>
  <c r="O11" i="14"/>
  <c r="P11" i="14" s="1"/>
  <c r="Q11" i="14" s="1"/>
  <c r="O12" i="14"/>
  <c r="P12" i="14" s="1"/>
  <c r="Q12" i="14" s="1"/>
  <c r="O13" i="14"/>
  <c r="P13" i="14" s="1"/>
  <c r="Q13" i="14" s="1"/>
  <c r="O14" i="14"/>
  <c r="P14" i="14" s="1"/>
  <c r="Q14" i="14" s="1"/>
  <c r="O15" i="14"/>
  <c r="P15" i="14" s="1"/>
  <c r="Q15" i="14" s="1"/>
  <c r="O16" i="14"/>
  <c r="P16" i="14" s="1"/>
  <c r="Q16" i="14" s="1"/>
  <c r="O17" i="14"/>
  <c r="P17" i="14" s="1"/>
  <c r="Q17" i="14" s="1"/>
  <c r="O18" i="14"/>
  <c r="P18" i="14" s="1"/>
  <c r="Q18" i="14" s="1"/>
  <c r="O19" i="14"/>
  <c r="P19" i="14" s="1"/>
  <c r="Q19" i="14" s="1"/>
  <c r="O20" i="14"/>
  <c r="P20" i="14" s="1"/>
  <c r="Q20" i="14" s="1"/>
  <c r="O21" i="14"/>
  <c r="P21" i="14" s="1"/>
  <c r="Q21" i="14" s="1"/>
  <c r="O22" i="14"/>
  <c r="P22" i="14" s="1"/>
  <c r="Q22" i="14" s="1"/>
  <c r="O23" i="14"/>
  <c r="P23" i="14" s="1"/>
  <c r="Q23" i="14" s="1"/>
  <c r="O24" i="14"/>
  <c r="P24" i="14" s="1"/>
  <c r="Q24" i="14" s="1"/>
  <c r="O25" i="14"/>
  <c r="P25" i="14" s="1"/>
  <c r="Q25" i="14" s="1"/>
  <c r="O26" i="14"/>
  <c r="P26" i="14" s="1"/>
  <c r="Q26" i="14" s="1"/>
  <c r="O27" i="14"/>
  <c r="P27" i="14" s="1"/>
  <c r="Q27" i="14" s="1"/>
  <c r="O28" i="14"/>
  <c r="P28" i="14" s="1"/>
  <c r="Q28" i="14" s="1"/>
  <c r="O29" i="14"/>
  <c r="P29" i="14" s="1"/>
  <c r="Q29" i="14" s="1"/>
  <c r="O30" i="14"/>
  <c r="P30" i="14" s="1"/>
  <c r="Q30" i="14" s="1"/>
  <c r="O31" i="14"/>
  <c r="P31" i="14" s="1"/>
  <c r="Q31" i="14" s="1"/>
  <c r="O32" i="14"/>
  <c r="P32" i="14" s="1"/>
  <c r="Q32" i="14" s="1"/>
  <c r="O33" i="14"/>
  <c r="P33" i="14" s="1"/>
  <c r="Q33" i="14" s="1"/>
  <c r="O34" i="14"/>
  <c r="P34" i="14" s="1"/>
  <c r="Q34" i="14" s="1"/>
  <c r="O5" i="14"/>
  <c r="P5" i="14" s="1"/>
  <c r="Q5" i="14" s="1"/>
  <c r="K6" i="14"/>
  <c r="L6" i="14" s="1"/>
  <c r="M6" i="14" s="1"/>
  <c r="K7" i="14"/>
  <c r="L7" i="14" s="1"/>
  <c r="M7" i="14" s="1"/>
  <c r="K8" i="14"/>
  <c r="L8" i="14" s="1"/>
  <c r="M8" i="14" s="1"/>
  <c r="K9" i="14"/>
  <c r="L9" i="14" s="1"/>
  <c r="M9" i="14" s="1"/>
  <c r="K10" i="14"/>
  <c r="L10" i="14" s="1"/>
  <c r="M10" i="14" s="1"/>
  <c r="K11" i="14"/>
  <c r="L11" i="14" s="1"/>
  <c r="M11" i="14" s="1"/>
  <c r="K12" i="14"/>
  <c r="L12" i="14" s="1"/>
  <c r="M12" i="14" s="1"/>
  <c r="K13" i="14"/>
  <c r="L13" i="14" s="1"/>
  <c r="M13" i="14" s="1"/>
  <c r="K14" i="14"/>
  <c r="L14" i="14" s="1"/>
  <c r="M14" i="14" s="1"/>
  <c r="K15" i="14"/>
  <c r="L15" i="14" s="1"/>
  <c r="M15" i="14" s="1"/>
  <c r="K16" i="14"/>
  <c r="L16" i="14" s="1"/>
  <c r="M16" i="14" s="1"/>
  <c r="K17" i="14"/>
  <c r="L17" i="14" s="1"/>
  <c r="M17" i="14" s="1"/>
  <c r="K18" i="14"/>
  <c r="L18" i="14" s="1"/>
  <c r="M18" i="14" s="1"/>
  <c r="K19" i="14"/>
  <c r="L19" i="14" s="1"/>
  <c r="M19" i="14" s="1"/>
  <c r="K20" i="14"/>
  <c r="L20" i="14" s="1"/>
  <c r="M20" i="14" s="1"/>
  <c r="K21" i="14"/>
  <c r="L21" i="14" s="1"/>
  <c r="M21" i="14" s="1"/>
  <c r="K22" i="14"/>
  <c r="L22" i="14" s="1"/>
  <c r="M22" i="14" s="1"/>
  <c r="K23" i="14"/>
  <c r="L23" i="14" s="1"/>
  <c r="M23" i="14" s="1"/>
  <c r="K24" i="14"/>
  <c r="L24" i="14" s="1"/>
  <c r="M24" i="14" s="1"/>
  <c r="K25" i="14"/>
  <c r="L25" i="14" s="1"/>
  <c r="M25" i="14" s="1"/>
  <c r="K26" i="14"/>
  <c r="L26" i="14" s="1"/>
  <c r="M26" i="14" s="1"/>
  <c r="K27" i="14"/>
  <c r="L27" i="14" s="1"/>
  <c r="M27" i="14" s="1"/>
  <c r="K28" i="14"/>
  <c r="L28" i="14" s="1"/>
  <c r="M28" i="14" s="1"/>
  <c r="K29" i="14"/>
  <c r="L29" i="14" s="1"/>
  <c r="M29" i="14" s="1"/>
  <c r="K30" i="14"/>
  <c r="L30" i="14" s="1"/>
  <c r="M30" i="14" s="1"/>
  <c r="K31" i="14"/>
  <c r="L31" i="14" s="1"/>
  <c r="M31" i="14" s="1"/>
  <c r="K32" i="14"/>
  <c r="L32" i="14" s="1"/>
  <c r="M32" i="14" s="1"/>
  <c r="K33" i="14"/>
  <c r="L33" i="14" s="1"/>
  <c r="M33" i="14" s="1"/>
  <c r="K34" i="14"/>
  <c r="L34" i="14" s="1"/>
  <c r="M34" i="14" s="1"/>
  <c r="K5" i="14"/>
  <c r="L5" i="14" s="1"/>
  <c r="M5" i="14" s="1"/>
  <c r="H6" i="14"/>
  <c r="I6" i="14" s="1"/>
  <c r="J6" i="14" s="1"/>
  <c r="H7" i="14"/>
  <c r="I7" i="14" s="1"/>
  <c r="J7" i="14" s="1"/>
  <c r="H8" i="14"/>
  <c r="I8" i="14" s="1"/>
  <c r="H9" i="14"/>
  <c r="I9" i="14" s="1"/>
  <c r="J9" i="14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H24" i="14"/>
  <c r="I24" i="14" s="1"/>
  <c r="J24" i="14" s="1"/>
  <c r="H25" i="14"/>
  <c r="I25" i="14" s="1"/>
  <c r="J25" i="14" s="1"/>
  <c r="H26" i="14"/>
  <c r="I26" i="14" s="1"/>
  <c r="J26" i="14" s="1"/>
  <c r="H27" i="14"/>
  <c r="I27" i="14" s="1"/>
  <c r="J27" i="14" s="1"/>
  <c r="H28" i="14"/>
  <c r="I28" i="14" s="1"/>
  <c r="J28" i="14" s="1"/>
  <c r="H29" i="14"/>
  <c r="I29" i="14" s="1"/>
  <c r="J29" i="14" s="1"/>
  <c r="H30" i="14"/>
  <c r="I30" i="14" s="1"/>
  <c r="J30" i="14" s="1"/>
  <c r="H31" i="14"/>
  <c r="I31" i="14" s="1"/>
  <c r="J31" i="14" s="1"/>
  <c r="H32" i="14"/>
  <c r="I32" i="14" s="1"/>
  <c r="J32" i="14" s="1"/>
  <c r="H33" i="14"/>
  <c r="I33" i="14" s="1"/>
  <c r="J33" i="14" s="1"/>
  <c r="H34" i="14"/>
  <c r="I34" i="14" s="1"/>
  <c r="J34" i="14" s="1"/>
  <c r="H5" i="14"/>
  <c r="I5" i="14" s="1"/>
  <c r="J5" i="14" s="1"/>
  <c r="E6" i="14"/>
  <c r="F6" i="14" s="1"/>
  <c r="G6" i="14" s="1"/>
  <c r="E7" i="14"/>
  <c r="F7" i="14" s="1"/>
  <c r="G7" i="14" s="1"/>
  <c r="E8" i="14"/>
  <c r="F8" i="14" s="1"/>
  <c r="G8" i="14" s="1"/>
  <c r="E9" i="14"/>
  <c r="F9" i="14" s="1"/>
  <c r="G9" i="14" s="1"/>
  <c r="E10" i="14"/>
  <c r="F10" i="14" s="1"/>
  <c r="G10" i="14" s="1"/>
  <c r="E11" i="14"/>
  <c r="F11" i="14" s="1"/>
  <c r="G11" i="14" s="1"/>
  <c r="E12" i="14"/>
  <c r="F12" i="14" s="1"/>
  <c r="G12" i="14" s="1"/>
  <c r="E13" i="14"/>
  <c r="F13" i="14" s="1"/>
  <c r="G13" i="14" s="1"/>
  <c r="E14" i="14"/>
  <c r="F14" i="14" s="1"/>
  <c r="G14" i="14" s="1"/>
  <c r="E15" i="14"/>
  <c r="F15" i="14" s="1"/>
  <c r="G15" i="14" s="1"/>
  <c r="E16" i="14"/>
  <c r="F16" i="14" s="1"/>
  <c r="G16" i="14" s="1"/>
  <c r="E17" i="14"/>
  <c r="F17" i="14" s="1"/>
  <c r="G17" i="14" s="1"/>
  <c r="E18" i="14"/>
  <c r="F18" i="14" s="1"/>
  <c r="G18" i="14" s="1"/>
  <c r="E19" i="14"/>
  <c r="F19" i="14" s="1"/>
  <c r="G19" i="14" s="1"/>
  <c r="E20" i="14"/>
  <c r="F20" i="14" s="1"/>
  <c r="G20" i="14" s="1"/>
  <c r="E21" i="14"/>
  <c r="F21" i="14" s="1"/>
  <c r="G21" i="14" s="1"/>
  <c r="E22" i="14"/>
  <c r="F22" i="14" s="1"/>
  <c r="G22" i="14" s="1"/>
  <c r="E23" i="14"/>
  <c r="F23" i="14" s="1"/>
  <c r="G23" i="14" s="1"/>
  <c r="E24" i="14"/>
  <c r="F24" i="14" s="1"/>
  <c r="G24" i="14" s="1"/>
  <c r="E25" i="14"/>
  <c r="F25" i="14" s="1"/>
  <c r="G25" i="14" s="1"/>
  <c r="E26" i="14"/>
  <c r="F26" i="14" s="1"/>
  <c r="G26" i="14" s="1"/>
  <c r="E27" i="14"/>
  <c r="F27" i="14" s="1"/>
  <c r="G27" i="14" s="1"/>
  <c r="E28" i="14"/>
  <c r="F28" i="14" s="1"/>
  <c r="G28" i="14" s="1"/>
  <c r="E29" i="14"/>
  <c r="F29" i="14" s="1"/>
  <c r="G29" i="14" s="1"/>
  <c r="E30" i="14"/>
  <c r="F30" i="14" s="1"/>
  <c r="G30" i="14" s="1"/>
  <c r="E31" i="14"/>
  <c r="F31" i="14" s="1"/>
  <c r="G31" i="14" s="1"/>
  <c r="E32" i="14"/>
  <c r="F32" i="14" s="1"/>
  <c r="G32" i="14" s="1"/>
  <c r="E33" i="14"/>
  <c r="F33" i="14" s="1"/>
  <c r="G33" i="14" s="1"/>
  <c r="E34" i="14"/>
  <c r="F34" i="14" s="1"/>
  <c r="G34" i="14" s="1"/>
  <c r="E5" i="14"/>
  <c r="F5" i="14" s="1"/>
  <c r="B6" i="14"/>
  <c r="AB6" i="14" s="1"/>
  <c r="B7" i="14"/>
  <c r="AB7" i="14" s="1"/>
  <c r="B8" i="14"/>
  <c r="AB8" i="14" s="1"/>
  <c r="B9" i="14"/>
  <c r="B10" i="14"/>
  <c r="AB10" i="14" s="1"/>
  <c r="B11" i="14"/>
  <c r="AB11" i="14" s="1"/>
  <c r="B12" i="14"/>
  <c r="AB12" i="14" s="1"/>
  <c r="B13" i="14"/>
  <c r="AB13" i="14" s="1"/>
  <c r="B14" i="14"/>
  <c r="AB14" i="14" s="1"/>
  <c r="B15" i="14"/>
  <c r="C15" i="14" s="1"/>
  <c r="B16" i="14"/>
  <c r="AB16" i="14" s="1"/>
  <c r="B17" i="14"/>
  <c r="B18" i="14"/>
  <c r="AB18" i="14" s="1"/>
  <c r="B19" i="14"/>
  <c r="AB19" i="14" s="1"/>
  <c r="B20" i="14"/>
  <c r="B21" i="14"/>
  <c r="AB21" i="14" s="1"/>
  <c r="B22" i="14"/>
  <c r="AB22" i="14" s="1"/>
  <c r="B23" i="14"/>
  <c r="AB23" i="14" s="1"/>
  <c r="B24" i="14"/>
  <c r="B25" i="14"/>
  <c r="AB25" i="14" s="1"/>
  <c r="B26" i="14"/>
  <c r="AB26" i="14" s="1"/>
  <c r="B27" i="14"/>
  <c r="B28" i="14"/>
  <c r="B29" i="14"/>
  <c r="B30" i="14"/>
  <c r="AB30" i="14" s="1"/>
  <c r="B31" i="14"/>
  <c r="AB31" i="14" s="1"/>
  <c r="B32" i="14"/>
  <c r="B33" i="14"/>
  <c r="B34" i="14"/>
  <c r="AB34" i="14" s="1"/>
  <c r="B5" i="14"/>
  <c r="AB5" i="14" s="1"/>
  <c r="Y5" i="5"/>
  <c r="Z5" i="5" s="1"/>
  <c r="V5" i="5"/>
  <c r="W5" i="5" s="1"/>
  <c r="S5" i="5"/>
  <c r="T5" i="5" s="1"/>
  <c r="P5" i="5"/>
  <c r="Q5" i="5" s="1"/>
  <c r="L5" i="5"/>
  <c r="M5" i="5" s="1"/>
  <c r="I5" i="5"/>
  <c r="J5" i="5" s="1"/>
  <c r="F5" i="5"/>
  <c r="G5" i="5" s="1"/>
  <c r="AB7" i="5"/>
  <c r="AD21" i="5"/>
  <c r="AB34" i="5"/>
  <c r="I6" i="16"/>
  <c r="J6" i="16" s="1"/>
  <c r="I7" i="16"/>
  <c r="J7" i="16" s="1"/>
  <c r="I8" i="16"/>
  <c r="J8" i="16" s="1"/>
  <c r="I9" i="16"/>
  <c r="J9" i="16" s="1"/>
  <c r="I10" i="16"/>
  <c r="J10" i="16" s="1"/>
  <c r="I11" i="16"/>
  <c r="J11" i="16" s="1"/>
  <c r="I12" i="16"/>
  <c r="J12" i="16" s="1"/>
  <c r="I13" i="16"/>
  <c r="J13" i="16" s="1"/>
  <c r="I14" i="16"/>
  <c r="J14" i="16" s="1"/>
  <c r="I16" i="16"/>
  <c r="J16" i="16" s="1"/>
  <c r="I17" i="16"/>
  <c r="J17" i="16" s="1"/>
  <c r="I18" i="16"/>
  <c r="J18" i="16" s="1"/>
  <c r="I19" i="16"/>
  <c r="J19" i="16" s="1"/>
  <c r="I20" i="16"/>
  <c r="J20" i="16" s="1"/>
  <c r="I21" i="16"/>
  <c r="J21" i="16" s="1"/>
  <c r="I22" i="16"/>
  <c r="J22" i="16" s="1"/>
  <c r="I23" i="16"/>
  <c r="J23" i="16" s="1"/>
  <c r="I24" i="16"/>
  <c r="J24" i="16" s="1"/>
  <c r="I25" i="16"/>
  <c r="J25" i="16" s="1"/>
  <c r="I26" i="16"/>
  <c r="J26" i="16" s="1"/>
  <c r="I27" i="16"/>
  <c r="J27" i="16" s="1"/>
  <c r="I28" i="16"/>
  <c r="J28" i="16" s="1"/>
  <c r="I29" i="16"/>
  <c r="J29" i="16" s="1"/>
  <c r="I30" i="16"/>
  <c r="J30" i="16" s="1"/>
  <c r="I32" i="16"/>
  <c r="J32" i="16" s="1"/>
  <c r="I33" i="16"/>
  <c r="J33" i="16" s="1"/>
  <c r="I34" i="16"/>
  <c r="J34" i="16" s="1"/>
  <c r="I35" i="16"/>
  <c r="J35" i="16" s="1"/>
  <c r="I5" i="16"/>
  <c r="J5" i="16" s="1"/>
  <c r="V23" i="11"/>
  <c r="W23" i="11" s="1"/>
  <c r="V6" i="12"/>
  <c r="W6" i="12" s="1"/>
  <c r="V7" i="12"/>
  <c r="W7" i="12" s="1"/>
  <c r="V8" i="12"/>
  <c r="W8" i="12" s="1"/>
  <c r="V10" i="12"/>
  <c r="W10" i="12" s="1"/>
  <c r="V11" i="12"/>
  <c r="W11" i="12" s="1"/>
  <c r="V12" i="12"/>
  <c r="W12" i="12" s="1"/>
  <c r="V13" i="12"/>
  <c r="W13" i="12" s="1"/>
  <c r="V14" i="12"/>
  <c r="W14" i="12" s="1"/>
  <c r="V16" i="12"/>
  <c r="W16" i="12" s="1"/>
  <c r="V17" i="12"/>
  <c r="W17" i="12" s="1"/>
  <c r="V18" i="12"/>
  <c r="W18" i="12" s="1"/>
  <c r="V19" i="12"/>
  <c r="W19" i="12" s="1"/>
  <c r="V21" i="12"/>
  <c r="W21" i="12" s="1"/>
  <c r="V22" i="12"/>
  <c r="W22" i="12" s="1"/>
  <c r="V23" i="12"/>
  <c r="W23" i="12" s="1"/>
  <c r="V24" i="12"/>
  <c r="W24" i="12" s="1"/>
  <c r="V25" i="12"/>
  <c r="W25" i="12" s="1"/>
  <c r="V26" i="12"/>
  <c r="W26" i="12" s="1"/>
  <c r="V28" i="12"/>
  <c r="W28" i="12" s="1"/>
  <c r="V29" i="12"/>
  <c r="W29" i="12" s="1"/>
  <c r="V30" i="12"/>
  <c r="W30" i="12" s="1"/>
  <c r="V31" i="12"/>
  <c r="W31" i="12" s="1"/>
  <c r="V32" i="12"/>
  <c r="W32" i="12" s="1"/>
  <c r="V33" i="12"/>
  <c r="W33" i="12" s="1"/>
  <c r="V34" i="12"/>
  <c r="W34" i="12" s="1"/>
  <c r="V5" i="12"/>
  <c r="W5" i="12" s="1"/>
  <c r="V6" i="11"/>
  <c r="W6" i="11" s="1"/>
  <c r="V7" i="11"/>
  <c r="W7" i="11" s="1"/>
  <c r="V8" i="11"/>
  <c r="W8" i="11" s="1"/>
  <c r="V9" i="11"/>
  <c r="W9" i="11" s="1"/>
  <c r="V10" i="11"/>
  <c r="W10" i="11" s="1"/>
  <c r="V11" i="11"/>
  <c r="W11" i="11" s="1"/>
  <c r="V12" i="11"/>
  <c r="W12" i="11" s="1"/>
  <c r="V14" i="11"/>
  <c r="W14" i="11" s="1"/>
  <c r="V15" i="11"/>
  <c r="W15" i="11" s="1"/>
  <c r="V16" i="11"/>
  <c r="W16" i="11" s="1"/>
  <c r="V17" i="11"/>
  <c r="W17" i="11" s="1"/>
  <c r="V18" i="11"/>
  <c r="W18" i="11" s="1"/>
  <c r="V19" i="11"/>
  <c r="W19" i="11" s="1"/>
  <c r="V20" i="11"/>
  <c r="W20" i="11" s="1"/>
  <c r="V21" i="11"/>
  <c r="W21" i="11" s="1"/>
  <c r="V22" i="11"/>
  <c r="W22" i="11" s="1"/>
  <c r="V24" i="11"/>
  <c r="W24" i="11" s="1"/>
  <c r="V25" i="11"/>
  <c r="W25" i="11" s="1"/>
  <c r="V26" i="11"/>
  <c r="W26" i="11" s="1"/>
  <c r="V27" i="11"/>
  <c r="W27" i="11" s="1"/>
  <c r="V28" i="11"/>
  <c r="W28" i="11" s="1"/>
  <c r="V29" i="11"/>
  <c r="W29" i="11" s="1"/>
  <c r="V30" i="11"/>
  <c r="W30" i="11" s="1"/>
  <c r="V31" i="11"/>
  <c r="W31" i="11" s="1"/>
  <c r="V32" i="11"/>
  <c r="W32" i="11" s="1"/>
  <c r="V33" i="11"/>
  <c r="W33" i="11" s="1"/>
  <c r="V35" i="11"/>
  <c r="W35" i="11" s="1"/>
  <c r="V5" i="11"/>
  <c r="W5" i="11" s="1"/>
  <c r="V6" i="16"/>
  <c r="W6" i="16" s="1"/>
  <c r="V7" i="16"/>
  <c r="W7" i="16" s="1"/>
  <c r="V8" i="16"/>
  <c r="W8" i="16" s="1"/>
  <c r="V9" i="16"/>
  <c r="W9" i="16" s="1"/>
  <c r="V10" i="16"/>
  <c r="W10" i="16" s="1"/>
  <c r="V12" i="16"/>
  <c r="W12" i="16" s="1"/>
  <c r="V13" i="16"/>
  <c r="W13" i="16" s="1"/>
  <c r="V14" i="16"/>
  <c r="W14" i="16" s="1"/>
  <c r="V15" i="16"/>
  <c r="W15" i="16" s="1"/>
  <c r="V16" i="16"/>
  <c r="W16" i="16" s="1"/>
  <c r="V17" i="16"/>
  <c r="W17" i="16" s="1"/>
  <c r="V18" i="16"/>
  <c r="W18" i="16" s="1"/>
  <c r="V19" i="16"/>
  <c r="W19" i="16" s="1"/>
  <c r="V20" i="16"/>
  <c r="W20" i="16" s="1"/>
  <c r="V21" i="16"/>
  <c r="W21" i="16" s="1"/>
  <c r="V22" i="16"/>
  <c r="W22" i="16" s="1"/>
  <c r="V23" i="16"/>
  <c r="W23" i="16" s="1"/>
  <c r="V24" i="16"/>
  <c r="W24" i="16" s="1"/>
  <c r="V25" i="16"/>
  <c r="W25" i="16" s="1"/>
  <c r="V26" i="16"/>
  <c r="W26" i="16" s="1"/>
  <c r="V28" i="16"/>
  <c r="W28" i="16" s="1"/>
  <c r="V29" i="16"/>
  <c r="W29" i="16" s="1"/>
  <c r="V30" i="16"/>
  <c r="W30" i="16" s="1"/>
  <c r="V31" i="16"/>
  <c r="W31" i="16" s="1"/>
  <c r="V32" i="16"/>
  <c r="W32" i="16" s="1"/>
  <c r="V33" i="16"/>
  <c r="W33" i="16" s="1"/>
  <c r="V34" i="16"/>
  <c r="W34" i="16" s="1"/>
  <c r="V35" i="16"/>
  <c r="W35" i="16" s="1"/>
  <c r="V5" i="16"/>
  <c r="W5" i="16" s="1"/>
  <c r="L6" i="16"/>
  <c r="M6" i="16" s="1"/>
  <c r="L7" i="16"/>
  <c r="M7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C6" i="12"/>
  <c r="D6" i="12" s="1"/>
  <c r="F6" i="12"/>
  <c r="G6" i="12" s="1"/>
  <c r="I6" i="12"/>
  <c r="J6" i="12" s="1"/>
  <c r="L6" i="12"/>
  <c r="M6" i="12" s="1"/>
  <c r="P6" i="12"/>
  <c r="Q6" i="12" s="1"/>
  <c r="S6" i="12"/>
  <c r="T6" i="12" s="1"/>
  <c r="Y6" i="12"/>
  <c r="Z6" i="12" s="1"/>
  <c r="C7" i="12"/>
  <c r="D7" i="12" s="1"/>
  <c r="F7" i="12"/>
  <c r="G7" i="12" s="1"/>
  <c r="I7" i="12"/>
  <c r="J7" i="12" s="1"/>
  <c r="L7" i="12"/>
  <c r="M7" i="12" s="1"/>
  <c r="P7" i="12"/>
  <c r="Q7" i="12" s="1"/>
  <c r="S7" i="12"/>
  <c r="T7" i="12" s="1"/>
  <c r="Y7" i="12"/>
  <c r="Z7" i="12" s="1"/>
  <c r="C8" i="12"/>
  <c r="D8" i="12" s="1"/>
  <c r="F8" i="12"/>
  <c r="G8" i="12" s="1"/>
  <c r="I8" i="12"/>
  <c r="J8" i="12" s="1"/>
  <c r="L8" i="12"/>
  <c r="M8" i="12" s="1"/>
  <c r="P8" i="12"/>
  <c r="Q8" i="12" s="1"/>
  <c r="S8" i="12"/>
  <c r="T8" i="12" s="1"/>
  <c r="Y8" i="12"/>
  <c r="Z8" i="12" s="1"/>
  <c r="C9" i="12"/>
  <c r="D9" i="12" s="1"/>
  <c r="F9" i="12"/>
  <c r="G9" i="12" s="1"/>
  <c r="I9" i="12"/>
  <c r="J9" i="12" s="1"/>
  <c r="L9" i="12"/>
  <c r="M9" i="12" s="1"/>
  <c r="P9" i="12"/>
  <c r="Q9" i="12" s="1"/>
  <c r="S9" i="12"/>
  <c r="T9" i="12" s="1"/>
  <c r="Y9" i="12"/>
  <c r="Z9" i="12" s="1"/>
  <c r="C10" i="12"/>
  <c r="D10" i="12" s="1"/>
  <c r="F10" i="12"/>
  <c r="G10" i="12" s="1"/>
  <c r="I10" i="12"/>
  <c r="J10" i="12" s="1"/>
  <c r="L10" i="12"/>
  <c r="M10" i="12" s="1"/>
  <c r="S10" i="12"/>
  <c r="T10" i="12" s="1"/>
  <c r="Y10" i="12"/>
  <c r="Z10" i="12" s="1"/>
  <c r="C11" i="12"/>
  <c r="D11" i="12" s="1"/>
  <c r="F11" i="12"/>
  <c r="G11" i="12" s="1"/>
  <c r="I11" i="12"/>
  <c r="J11" i="12" s="1"/>
  <c r="L11" i="12"/>
  <c r="M11" i="12" s="1"/>
  <c r="P11" i="12"/>
  <c r="Q11" i="12" s="1"/>
  <c r="S11" i="12"/>
  <c r="T11" i="12" s="1"/>
  <c r="Y11" i="12"/>
  <c r="Z11" i="12" s="1"/>
  <c r="C12" i="12"/>
  <c r="D12" i="12" s="1"/>
  <c r="F12" i="12"/>
  <c r="G12" i="12" s="1"/>
  <c r="I12" i="12"/>
  <c r="J12" i="12" s="1"/>
  <c r="L12" i="12"/>
  <c r="M12" i="12" s="1"/>
  <c r="P12" i="12"/>
  <c r="Q12" i="12" s="1"/>
  <c r="S12" i="12"/>
  <c r="T12" i="12" s="1"/>
  <c r="Y12" i="12"/>
  <c r="Z12" i="12" s="1"/>
  <c r="C13" i="12"/>
  <c r="D13" i="12" s="1"/>
  <c r="F13" i="12"/>
  <c r="G13" i="12" s="1"/>
  <c r="I13" i="12"/>
  <c r="J13" i="12" s="1"/>
  <c r="L13" i="12"/>
  <c r="M13" i="12" s="1"/>
  <c r="P13" i="12"/>
  <c r="Q13" i="12" s="1"/>
  <c r="S13" i="12"/>
  <c r="T13" i="12" s="1"/>
  <c r="Y13" i="12"/>
  <c r="Z13" i="12" s="1"/>
  <c r="C14" i="12"/>
  <c r="D14" i="12" s="1"/>
  <c r="F14" i="12"/>
  <c r="G14" i="12" s="1"/>
  <c r="I14" i="12"/>
  <c r="J14" i="12" s="1"/>
  <c r="L14" i="12"/>
  <c r="M14" i="12" s="1"/>
  <c r="P14" i="12"/>
  <c r="Q14" i="12" s="1"/>
  <c r="S14" i="12"/>
  <c r="T14" i="12" s="1"/>
  <c r="Y14" i="12"/>
  <c r="Z14" i="12" s="1"/>
  <c r="C15" i="12"/>
  <c r="D15" i="12" s="1"/>
  <c r="F15" i="12"/>
  <c r="G15" i="12" s="1"/>
  <c r="I15" i="12"/>
  <c r="J15" i="12" s="1"/>
  <c r="L15" i="12"/>
  <c r="M15" i="12" s="1"/>
  <c r="P15" i="12"/>
  <c r="Q15" i="12" s="1"/>
  <c r="S15" i="12"/>
  <c r="T15" i="12" s="1"/>
  <c r="V15" i="12"/>
  <c r="W15" i="12" s="1"/>
  <c r="Y15" i="12"/>
  <c r="Z15" i="12" s="1"/>
  <c r="C16" i="12"/>
  <c r="D16" i="12" s="1"/>
  <c r="F16" i="12"/>
  <c r="G16" i="12" s="1"/>
  <c r="I16" i="12"/>
  <c r="J16" i="12" s="1"/>
  <c r="L16" i="12"/>
  <c r="M16" i="12" s="1"/>
  <c r="P16" i="12"/>
  <c r="Q16" i="12" s="1"/>
  <c r="S16" i="12"/>
  <c r="T16" i="12" s="1"/>
  <c r="Y16" i="12"/>
  <c r="Z16" i="12" s="1"/>
  <c r="C17" i="12"/>
  <c r="D17" i="12" s="1"/>
  <c r="F17" i="12"/>
  <c r="G17" i="12" s="1"/>
  <c r="I17" i="12"/>
  <c r="J17" i="12" s="1"/>
  <c r="L17" i="12"/>
  <c r="M17" i="12" s="1"/>
  <c r="P17" i="12"/>
  <c r="Q17" i="12" s="1"/>
  <c r="S17" i="12"/>
  <c r="T17" i="12" s="1"/>
  <c r="Y17" i="12"/>
  <c r="Z17" i="12" s="1"/>
  <c r="C18" i="12"/>
  <c r="D18" i="12" s="1"/>
  <c r="F18" i="12"/>
  <c r="G18" i="12" s="1"/>
  <c r="I18" i="12"/>
  <c r="J18" i="12" s="1"/>
  <c r="L18" i="12"/>
  <c r="M18" i="12" s="1"/>
  <c r="P18" i="12"/>
  <c r="Q18" i="12" s="1"/>
  <c r="S18" i="12"/>
  <c r="T18" i="12" s="1"/>
  <c r="Y18" i="12"/>
  <c r="Z18" i="12" s="1"/>
  <c r="C19" i="12"/>
  <c r="D19" i="12" s="1"/>
  <c r="F19" i="12"/>
  <c r="G19" i="12" s="1"/>
  <c r="I19" i="12"/>
  <c r="J19" i="12" s="1"/>
  <c r="L19" i="12"/>
  <c r="M19" i="12" s="1"/>
  <c r="P19" i="12"/>
  <c r="Q19" i="12" s="1"/>
  <c r="S19" i="12"/>
  <c r="T19" i="12" s="1"/>
  <c r="Y19" i="12"/>
  <c r="Z19" i="12" s="1"/>
  <c r="F20" i="12"/>
  <c r="G20" i="12" s="1"/>
  <c r="I20" i="12"/>
  <c r="J20" i="12" s="1"/>
  <c r="L20" i="12"/>
  <c r="M20" i="12" s="1"/>
  <c r="P20" i="12"/>
  <c r="Q20" i="12" s="1"/>
  <c r="S20" i="12"/>
  <c r="T20" i="12" s="1"/>
  <c r="V20" i="12"/>
  <c r="W20" i="12" s="1"/>
  <c r="Y20" i="12"/>
  <c r="Z20" i="12" s="1"/>
  <c r="C21" i="12"/>
  <c r="D21" i="12" s="1"/>
  <c r="F21" i="12"/>
  <c r="G21" i="12" s="1"/>
  <c r="I21" i="12"/>
  <c r="J21" i="12" s="1"/>
  <c r="L21" i="12"/>
  <c r="M21" i="12" s="1"/>
  <c r="P21" i="12"/>
  <c r="Q21" i="12" s="1"/>
  <c r="S21" i="12"/>
  <c r="T21" i="12" s="1"/>
  <c r="Y21" i="12"/>
  <c r="Z21" i="12" s="1"/>
  <c r="C22" i="12"/>
  <c r="D22" i="12" s="1"/>
  <c r="F22" i="12"/>
  <c r="G22" i="12" s="1"/>
  <c r="I22" i="12"/>
  <c r="J22" i="12" s="1"/>
  <c r="L22" i="12"/>
  <c r="M22" i="12" s="1"/>
  <c r="P22" i="12"/>
  <c r="Q22" i="12" s="1"/>
  <c r="S22" i="12"/>
  <c r="T22" i="12" s="1"/>
  <c r="Y22" i="12"/>
  <c r="Z22" i="12" s="1"/>
  <c r="C23" i="12"/>
  <c r="D23" i="12" s="1"/>
  <c r="F23" i="12"/>
  <c r="G23" i="12" s="1"/>
  <c r="I23" i="12"/>
  <c r="J23" i="12" s="1"/>
  <c r="L23" i="12"/>
  <c r="M23" i="12" s="1"/>
  <c r="P23" i="12"/>
  <c r="Q23" i="12" s="1"/>
  <c r="S23" i="12"/>
  <c r="T23" i="12" s="1"/>
  <c r="Y23" i="12"/>
  <c r="Z23" i="12" s="1"/>
  <c r="C24" i="12"/>
  <c r="D24" i="12" s="1"/>
  <c r="F24" i="12"/>
  <c r="G24" i="12" s="1"/>
  <c r="I24" i="12"/>
  <c r="J24" i="12" s="1"/>
  <c r="L24" i="12"/>
  <c r="M24" i="12" s="1"/>
  <c r="P24" i="12"/>
  <c r="Q24" i="12" s="1"/>
  <c r="S24" i="12"/>
  <c r="T24" i="12" s="1"/>
  <c r="Y24" i="12"/>
  <c r="Z24" i="12" s="1"/>
  <c r="C25" i="12"/>
  <c r="D25" i="12" s="1"/>
  <c r="F25" i="12"/>
  <c r="G25" i="12" s="1"/>
  <c r="I25" i="12"/>
  <c r="J25" i="12" s="1"/>
  <c r="L25" i="12"/>
  <c r="M25" i="12" s="1"/>
  <c r="P25" i="12"/>
  <c r="Q25" i="12" s="1"/>
  <c r="S25" i="12"/>
  <c r="T25" i="12" s="1"/>
  <c r="Y25" i="12"/>
  <c r="Z25" i="12" s="1"/>
  <c r="C26" i="12"/>
  <c r="D26" i="12" s="1"/>
  <c r="F26" i="12"/>
  <c r="G26" i="12" s="1"/>
  <c r="I26" i="12"/>
  <c r="J26" i="12" s="1"/>
  <c r="L26" i="12"/>
  <c r="M26" i="12" s="1"/>
  <c r="P26" i="12"/>
  <c r="Q26" i="12" s="1"/>
  <c r="S26" i="12"/>
  <c r="T26" i="12" s="1"/>
  <c r="Y26" i="12"/>
  <c r="Z26" i="12" s="1"/>
  <c r="C27" i="12"/>
  <c r="D27" i="12" s="1"/>
  <c r="F27" i="12"/>
  <c r="G27" i="12" s="1"/>
  <c r="I27" i="12"/>
  <c r="J27" i="12" s="1"/>
  <c r="L27" i="12"/>
  <c r="M27" i="12" s="1"/>
  <c r="P27" i="12"/>
  <c r="Q27" i="12" s="1"/>
  <c r="S27" i="12"/>
  <c r="T27" i="12" s="1"/>
  <c r="V27" i="12"/>
  <c r="W27" i="12" s="1"/>
  <c r="Y27" i="12"/>
  <c r="Z27" i="12" s="1"/>
  <c r="C28" i="12"/>
  <c r="D28" i="12" s="1"/>
  <c r="F28" i="12"/>
  <c r="G28" i="12" s="1"/>
  <c r="I28" i="12"/>
  <c r="J28" i="12" s="1"/>
  <c r="L28" i="12"/>
  <c r="M28" i="12" s="1"/>
  <c r="P28" i="12"/>
  <c r="Q28" i="12" s="1"/>
  <c r="S28" i="12"/>
  <c r="T28" i="12" s="1"/>
  <c r="Y28" i="12"/>
  <c r="Z28" i="12" s="1"/>
  <c r="C29" i="12"/>
  <c r="D29" i="12" s="1"/>
  <c r="F29" i="12"/>
  <c r="G29" i="12" s="1"/>
  <c r="I29" i="12"/>
  <c r="J29" i="12" s="1"/>
  <c r="L29" i="12"/>
  <c r="M29" i="12" s="1"/>
  <c r="P29" i="12"/>
  <c r="Q29" i="12" s="1"/>
  <c r="S29" i="12"/>
  <c r="T29" i="12" s="1"/>
  <c r="Y29" i="12"/>
  <c r="Z29" i="12" s="1"/>
  <c r="C30" i="12"/>
  <c r="D30" i="12" s="1"/>
  <c r="F30" i="12"/>
  <c r="G30" i="12" s="1"/>
  <c r="I30" i="12"/>
  <c r="J30" i="12" s="1"/>
  <c r="L30" i="12"/>
  <c r="M30" i="12" s="1"/>
  <c r="P30" i="12"/>
  <c r="Q30" i="12" s="1"/>
  <c r="S30" i="12"/>
  <c r="T30" i="12" s="1"/>
  <c r="Y30" i="12"/>
  <c r="Z30" i="12" s="1"/>
  <c r="C31" i="12"/>
  <c r="D31" i="12" s="1"/>
  <c r="F31" i="12"/>
  <c r="G31" i="12" s="1"/>
  <c r="I31" i="12"/>
  <c r="J31" i="12" s="1"/>
  <c r="L31" i="12"/>
  <c r="M31" i="12" s="1"/>
  <c r="P31" i="12"/>
  <c r="S31" i="12"/>
  <c r="T31" i="12" s="1"/>
  <c r="Y31" i="12"/>
  <c r="Z31" i="12" s="1"/>
  <c r="C32" i="12"/>
  <c r="D32" i="12" s="1"/>
  <c r="F32" i="12"/>
  <c r="G32" i="12" s="1"/>
  <c r="I32" i="12"/>
  <c r="J32" i="12" s="1"/>
  <c r="L32" i="12"/>
  <c r="M32" i="12" s="1"/>
  <c r="P32" i="12"/>
  <c r="Q32" i="12" s="1"/>
  <c r="S32" i="12"/>
  <c r="T32" i="12" s="1"/>
  <c r="Y32" i="12"/>
  <c r="Z32" i="12" s="1"/>
  <c r="C33" i="12"/>
  <c r="D33" i="12" s="1"/>
  <c r="F33" i="12"/>
  <c r="G33" i="12" s="1"/>
  <c r="I33" i="12"/>
  <c r="J33" i="12" s="1"/>
  <c r="L33" i="12"/>
  <c r="M33" i="12" s="1"/>
  <c r="P33" i="12"/>
  <c r="Q33" i="12" s="1"/>
  <c r="S33" i="12"/>
  <c r="T33" i="12" s="1"/>
  <c r="Y33" i="12"/>
  <c r="Z33" i="12" s="1"/>
  <c r="C34" i="12"/>
  <c r="D34" i="12" s="1"/>
  <c r="F34" i="12"/>
  <c r="G34" i="12" s="1"/>
  <c r="I34" i="12"/>
  <c r="J34" i="12" s="1"/>
  <c r="L34" i="12"/>
  <c r="M34" i="12" s="1"/>
  <c r="P34" i="12"/>
  <c r="Q34" i="12" s="1"/>
  <c r="S34" i="12"/>
  <c r="T34" i="12" s="1"/>
  <c r="Y34" i="12"/>
  <c r="Z34" i="12" s="1"/>
  <c r="Y5" i="12"/>
  <c r="Z5" i="12" s="1"/>
  <c r="S5" i="12"/>
  <c r="T5" i="12" s="1"/>
  <c r="P5" i="12"/>
  <c r="Q5" i="12" s="1"/>
  <c r="L5" i="12"/>
  <c r="M5" i="12" s="1"/>
  <c r="I5" i="12"/>
  <c r="J5" i="12" s="1"/>
  <c r="F5" i="12"/>
  <c r="G5" i="12" s="1"/>
  <c r="C5" i="12"/>
  <c r="D5" i="12" s="1"/>
  <c r="C6" i="11"/>
  <c r="D6" i="11" s="1"/>
  <c r="F6" i="11"/>
  <c r="G6" i="11" s="1"/>
  <c r="I6" i="11"/>
  <c r="J6" i="11" s="1"/>
  <c r="L6" i="11"/>
  <c r="M6" i="11" s="1"/>
  <c r="P6" i="11"/>
  <c r="Q6" i="11" s="1"/>
  <c r="S6" i="11"/>
  <c r="T6" i="11" s="1"/>
  <c r="Y6" i="11"/>
  <c r="Z6" i="11" s="1"/>
  <c r="C7" i="11"/>
  <c r="D7" i="11" s="1"/>
  <c r="F7" i="11"/>
  <c r="G7" i="11" s="1"/>
  <c r="I7" i="11"/>
  <c r="J7" i="11" s="1"/>
  <c r="L7" i="11"/>
  <c r="M7" i="11" s="1"/>
  <c r="P7" i="11"/>
  <c r="Q7" i="11" s="1"/>
  <c r="S7" i="11"/>
  <c r="T7" i="11" s="1"/>
  <c r="Y7" i="11"/>
  <c r="C8" i="11"/>
  <c r="D8" i="11" s="1"/>
  <c r="F8" i="11"/>
  <c r="G8" i="11" s="1"/>
  <c r="I8" i="11"/>
  <c r="J8" i="11" s="1"/>
  <c r="L8" i="11"/>
  <c r="M8" i="11" s="1"/>
  <c r="P8" i="11"/>
  <c r="Q8" i="11" s="1"/>
  <c r="S8" i="11"/>
  <c r="T8" i="11" s="1"/>
  <c r="Y8" i="11"/>
  <c r="Z8" i="11" s="1"/>
  <c r="C9" i="11"/>
  <c r="D9" i="11" s="1"/>
  <c r="F9" i="11"/>
  <c r="G9" i="11" s="1"/>
  <c r="I9" i="11"/>
  <c r="J9" i="11" s="1"/>
  <c r="L9" i="11"/>
  <c r="M9" i="11" s="1"/>
  <c r="P9" i="11"/>
  <c r="Q9" i="11" s="1"/>
  <c r="S9" i="11"/>
  <c r="T9" i="11" s="1"/>
  <c r="Y9" i="11"/>
  <c r="Z9" i="11" s="1"/>
  <c r="C10" i="11"/>
  <c r="D10" i="11" s="1"/>
  <c r="F10" i="11"/>
  <c r="G10" i="11" s="1"/>
  <c r="I10" i="11"/>
  <c r="J10" i="11" s="1"/>
  <c r="L10" i="11"/>
  <c r="M10" i="11" s="1"/>
  <c r="P10" i="11"/>
  <c r="Q10" i="11" s="1"/>
  <c r="S10" i="11"/>
  <c r="T10" i="11" s="1"/>
  <c r="Y10" i="11"/>
  <c r="Z10" i="11" s="1"/>
  <c r="C11" i="11"/>
  <c r="D11" i="11" s="1"/>
  <c r="F11" i="11"/>
  <c r="G11" i="11" s="1"/>
  <c r="I11" i="11"/>
  <c r="J11" i="11" s="1"/>
  <c r="L11" i="11"/>
  <c r="M11" i="11" s="1"/>
  <c r="S11" i="11"/>
  <c r="T11" i="11" s="1"/>
  <c r="Y11" i="11"/>
  <c r="Z11" i="11" s="1"/>
  <c r="C12" i="11"/>
  <c r="D12" i="11" s="1"/>
  <c r="F12" i="11"/>
  <c r="G12" i="11" s="1"/>
  <c r="I12" i="11"/>
  <c r="J12" i="11" s="1"/>
  <c r="L12" i="11"/>
  <c r="M12" i="11" s="1"/>
  <c r="P12" i="11"/>
  <c r="Q12" i="11" s="1"/>
  <c r="S12" i="11"/>
  <c r="T12" i="11" s="1"/>
  <c r="Y12" i="11"/>
  <c r="Z12" i="11" s="1"/>
  <c r="C13" i="11"/>
  <c r="D13" i="11" s="1"/>
  <c r="F13" i="11"/>
  <c r="G13" i="11" s="1"/>
  <c r="I13" i="11"/>
  <c r="J13" i="11" s="1"/>
  <c r="L13" i="11"/>
  <c r="M13" i="11" s="1"/>
  <c r="P13" i="11"/>
  <c r="Q13" i="11" s="1"/>
  <c r="S13" i="11"/>
  <c r="T13" i="11" s="1"/>
  <c r="V13" i="11"/>
  <c r="W13" i="11" s="1"/>
  <c r="Y13" i="11"/>
  <c r="Z13" i="11" s="1"/>
  <c r="C14" i="11"/>
  <c r="D14" i="11" s="1"/>
  <c r="F14" i="11"/>
  <c r="G14" i="11" s="1"/>
  <c r="I14" i="11"/>
  <c r="J14" i="11" s="1"/>
  <c r="L14" i="11"/>
  <c r="M14" i="11" s="1"/>
  <c r="P14" i="11"/>
  <c r="Q14" i="11" s="1"/>
  <c r="S14" i="11"/>
  <c r="T14" i="11" s="1"/>
  <c r="Y14" i="11"/>
  <c r="Z14" i="11" s="1"/>
  <c r="C15" i="11"/>
  <c r="D15" i="11" s="1"/>
  <c r="F15" i="11"/>
  <c r="G15" i="11" s="1"/>
  <c r="I15" i="11"/>
  <c r="J15" i="11" s="1"/>
  <c r="L15" i="11"/>
  <c r="M15" i="11" s="1"/>
  <c r="P15" i="11"/>
  <c r="Q15" i="11" s="1"/>
  <c r="S15" i="11"/>
  <c r="T15" i="11" s="1"/>
  <c r="Y15" i="11"/>
  <c r="Z15" i="11" s="1"/>
  <c r="C16" i="11"/>
  <c r="F16" i="11"/>
  <c r="G16" i="11" s="1"/>
  <c r="I16" i="11"/>
  <c r="J16" i="11" s="1"/>
  <c r="L16" i="11"/>
  <c r="M16" i="11" s="1"/>
  <c r="P16" i="11"/>
  <c r="Q16" i="11" s="1"/>
  <c r="S16" i="11"/>
  <c r="T16" i="11" s="1"/>
  <c r="Y16" i="11"/>
  <c r="Z16" i="11" s="1"/>
  <c r="C17" i="11"/>
  <c r="D17" i="11" s="1"/>
  <c r="F17" i="11"/>
  <c r="G17" i="11" s="1"/>
  <c r="I17" i="11"/>
  <c r="J17" i="11" s="1"/>
  <c r="L17" i="11"/>
  <c r="M17" i="11" s="1"/>
  <c r="P17" i="11"/>
  <c r="Q17" i="11" s="1"/>
  <c r="S17" i="11"/>
  <c r="T17" i="11" s="1"/>
  <c r="Y17" i="11"/>
  <c r="Z17" i="11" s="1"/>
  <c r="C18" i="11"/>
  <c r="D18" i="11" s="1"/>
  <c r="F18" i="11"/>
  <c r="G18" i="11" s="1"/>
  <c r="I18" i="11"/>
  <c r="J18" i="11" s="1"/>
  <c r="L18" i="11"/>
  <c r="M18" i="11" s="1"/>
  <c r="P18" i="11"/>
  <c r="Q18" i="11" s="1"/>
  <c r="S18" i="11"/>
  <c r="T18" i="11" s="1"/>
  <c r="Y18" i="11"/>
  <c r="Z18" i="11" s="1"/>
  <c r="C19" i="11"/>
  <c r="D19" i="11" s="1"/>
  <c r="F19" i="11"/>
  <c r="G19" i="11" s="1"/>
  <c r="I19" i="11"/>
  <c r="J19" i="11" s="1"/>
  <c r="L19" i="11"/>
  <c r="M19" i="11" s="1"/>
  <c r="P19" i="11"/>
  <c r="Q19" i="11" s="1"/>
  <c r="S19" i="11"/>
  <c r="T19" i="11" s="1"/>
  <c r="Y19" i="11"/>
  <c r="Z19" i="11" s="1"/>
  <c r="C20" i="11"/>
  <c r="D20" i="11" s="1"/>
  <c r="F20" i="11"/>
  <c r="G20" i="11" s="1"/>
  <c r="I20" i="11"/>
  <c r="J20" i="11" s="1"/>
  <c r="L20" i="11"/>
  <c r="M20" i="11" s="1"/>
  <c r="P20" i="11"/>
  <c r="Q20" i="11" s="1"/>
  <c r="S20" i="11"/>
  <c r="T20" i="11" s="1"/>
  <c r="Y20" i="11"/>
  <c r="Z20" i="11" s="1"/>
  <c r="C21" i="11"/>
  <c r="D21" i="11" s="1"/>
  <c r="F21" i="11"/>
  <c r="G21" i="11" s="1"/>
  <c r="I21" i="11"/>
  <c r="J21" i="11" s="1"/>
  <c r="L21" i="11"/>
  <c r="M21" i="11" s="1"/>
  <c r="P21" i="11"/>
  <c r="Q21" i="11" s="1"/>
  <c r="S21" i="11"/>
  <c r="T21" i="11" s="1"/>
  <c r="Y21" i="11"/>
  <c r="Z21" i="11" s="1"/>
  <c r="C22" i="11"/>
  <c r="D22" i="11" s="1"/>
  <c r="F22" i="11"/>
  <c r="G22" i="11" s="1"/>
  <c r="I22" i="11"/>
  <c r="J22" i="11" s="1"/>
  <c r="L22" i="11"/>
  <c r="M22" i="11" s="1"/>
  <c r="P22" i="11"/>
  <c r="Q22" i="11" s="1"/>
  <c r="S22" i="11"/>
  <c r="T22" i="11" s="1"/>
  <c r="Y22" i="11"/>
  <c r="Z22" i="11" s="1"/>
  <c r="C23" i="11"/>
  <c r="D23" i="11" s="1"/>
  <c r="F23" i="11"/>
  <c r="G23" i="11" s="1"/>
  <c r="I23" i="11"/>
  <c r="J23" i="11" s="1"/>
  <c r="L23" i="11"/>
  <c r="M23" i="11" s="1"/>
  <c r="P23" i="11"/>
  <c r="Q23" i="11" s="1"/>
  <c r="S23" i="11"/>
  <c r="T23" i="11" s="1"/>
  <c r="Y23" i="11"/>
  <c r="Z23" i="11" s="1"/>
  <c r="C24" i="11"/>
  <c r="D24" i="11" s="1"/>
  <c r="F24" i="11"/>
  <c r="G24" i="11" s="1"/>
  <c r="I24" i="11"/>
  <c r="J24" i="11" s="1"/>
  <c r="L24" i="11"/>
  <c r="M24" i="11" s="1"/>
  <c r="P24" i="11"/>
  <c r="Q24" i="11" s="1"/>
  <c r="S24" i="11"/>
  <c r="T24" i="11" s="1"/>
  <c r="Y24" i="11"/>
  <c r="Z24" i="11" s="1"/>
  <c r="C25" i="11"/>
  <c r="D25" i="11" s="1"/>
  <c r="F25" i="11"/>
  <c r="G25" i="11" s="1"/>
  <c r="I25" i="11"/>
  <c r="J25" i="11" s="1"/>
  <c r="L25" i="11"/>
  <c r="M25" i="11" s="1"/>
  <c r="P25" i="11"/>
  <c r="Q25" i="11" s="1"/>
  <c r="S25" i="11"/>
  <c r="T25" i="11" s="1"/>
  <c r="Y25" i="11"/>
  <c r="Z25" i="11" s="1"/>
  <c r="C26" i="11"/>
  <c r="D26" i="11" s="1"/>
  <c r="F26" i="11"/>
  <c r="G26" i="11" s="1"/>
  <c r="I26" i="11"/>
  <c r="J26" i="11" s="1"/>
  <c r="L26" i="11"/>
  <c r="M26" i="11" s="1"/>
  <c r="P26" i="11"/>
  <c r="Q26" i="11" s="1"/>
  <c r="S26" i="11"/>
  <c r="T26" i="11" s="1"/>
  <c r="Y26" i="11"/>
  <c r="Z26" i="11" s="1"/>
  <c r="F27" i="11"/>
  <c r="G27" i="11" s="1"/>
  <c r="I27" i="11"/>
  <c r="J27" i="11" s="1"/>
  <c r="L27" i="11"/>
  <c r="M27" i="11" s="1"/>
  <c r="P27" i="11"/>
  <c r="Q27" i="11" s="1"/>
  <c r="S27" i="11"/>
  <c r="T27" i="11" s="1"/>
  <c r="Y27" i="11"/>
  <c r="Z27" i="11" s="1"/>
  <c r="C28" i="11"/>
  <c r="D28" i="11" s="1"/>
  <c r="F28" i="11"/>
  <c r="G28" i="11" s="1"/>
  <c r="I28" i="11"/>
  <c r="J28" i="11" s="1"/>
  <c r="L28" i="11"/>
  <c r="M28" i="11" s="1"/>
  <c r="P28" i="11"/>
  <c r="Q28" i="11" s="1"/>
  <c r="S28" i="11"/>
  <c r="T28" i="11" s="1"/>
  <c r="Y28" i="11"/>
  <c r="Z28" i="11" s="1"/>
  <c r="C29" i="11"/>
  <c r="D29" i="11" s="1"/>
  <c r="F29" i="11"/>
  <c r="G29" i="11" s="1"/>
  <c r="I29" i="11"/>
  <c r="J29" i="11" s="1"/>
  <c r="L29" i="11"/>
  <c r="M29" i="11" s="1"/>
  <c r="P29" i="11"/>
  <c r="Q29" i="11" s="1"/>
  <c r="S29" i="11"/>
  <c r="T29" i="11" s="1"/>
  <c r="Y29" i="11"/>
  <c r="Z29" i="11" s="1"/>
  <c r="C30" i="11"/>
  <c r="D30" i="11" s="1"/>
  <c r="F30" i="11"/>
  <c r="G30" i="11" s="1"/>
  <c r="I30" i="11"/>
  <c r="J30" i="11" s="1"/>
  <c r="L30" i="11"/>
  <c r="M30" i="11" s="1"/>
  <c r="P30" i="11"/>
  <c r="Q30" i="11" s="1"/>
  <c r="S30" i="11"/>
  <c r="T30" i="11" s="1"/>
  <c r="Y30" i="11"/>
  <c r="Z30" i="11" s="1"/>
  <c r="C31" i="11"/>
  <c r="D31" i="11" s="1"/>
  <c r="F31" i="11"/>
  <c r="G31" i="11" s="1"/>
  <c r="I31" i="11"/>
  <c r="J31" i="11" s="1"/>
  <c r="L31" i="11"/>
  <c r="M31" i="11" s="1"/>
  <c r="P31" i="11"/>
  <c r="Q31" i="11" s="1"/>
  <c r="S31" i="11"/>
  <c r="T31" i="11" s="1"/>
  <c r="Y31" i="11"/>
  <c r="Z31" i="11" s="1"/>
  <c r="F32" i="11"/>
  <c r="G32" i="11" s="1"/>
  <c r="I32" i="11"/>
  <c r="J32" i="11" s="1"/>
  <c r="L32" i="11"/>
  <c r="M32" i="11" s="1"/>
  <c r="P32" i="11"/>
  <c r="Q32" i="11" s="1"/>
  <c r="S32" i="11"/>
  <c r="T32" i="11" s="1"/>
  <c r="Y32" i="11"/>
  <c r="Z32" i="11" s="1"/>
  <c r="C33" i="11"/>
  <c r="D33" i="11" s="1"/>
  <c r="F33" i="11"/>
  <c r="G33" i="11" s="1"/>
  <c r="I33" i="11"/>
  <c r="J33" i="11" s="1"/>
  <c r="L33" i="11"/>
  <c r="M33" i="11" s="1"/>
  <c r="P33" i="11"/>
  <c r="Q33" i="11" s="1"/>
  <c r="S33" i="11"/>
  <c r="T33" i="11" s="1"/>
  <c r="Y33" i="11"/>
  <c r="Z33" i="11" s="1"/>
  <c r="C34" i="11"/>
  <c r="D34" i="11" s="1"/>
  <c r="F34" i="11"/>
  <c r="G34" i="11" s="1"/>
  <c r="I34" i="11"/>
  <c r="J34" i="11" s="1"/>
  <c r="L34" i="11"/>
  <c r="M34" i="11" s="1"/>
  <c r="P34" i="11"/>
  <c r="Q34" i="11" s="1"/>
  <c r="S34" i="11"/>
  <c r="T34" i="11" s="1"/>
  <c r="V34" i="11"/>
  <c r="W34" i="11" s="1"/>
  <c r="Y34" i="11"/>
  <c r="Z34" i="11" s="1"/>
  <c r="C35" i="11"/>
  <c r="D35" i="11" s="1"/>
  <c r="F35" i="11"/>
  <c r="G35" i="11" s="1"/>
  <c r="I35" i="11"/>
  <c r="J35" i="11" s="1"/>
  <c r="L35" i="11"/>
  <c r="M35" i="11" s="1"/>
  <c r="P35" i="11"/>
  <c r="Q35" i="11" s="1"/>
  <c r="S35" i="11"/>
  <c r="T35" i="11" s="1"/>
  <c r="Y35" i="11"/>
  <c r="Z35" i="11" s="1"/>
  <c r="Y5" i="11"/>
  <c r="Z5" i="11" s="1"/>
  <c r="S5" i="11"/>
  <c r="T5" i="11" s="1"/>
  <c r="P5" i="11"/>
  <c r="L5" i="11"/>
  <c r="I5" i="11"/>
  <c r="J5" i="11" s="1"/>
  <c r="F5" i="11"/>
  <c r="C5" i="11"/>
  <c r="Y6" i="16"/>
  <c r="Z6" i="16" s="1"/>
  <c r="Y7" i="16"/>
  <c r="Z7" i="16" s="1"/>
  <c r="Y8" i="16"/>
  <c r="Z8" i="16" s="1"/>
  <c r="Y9" i="16"/>
  <c r="Z9" i="16" s="1"/>
  <c r="Y10" i="16"/>
  <c r="Z10" i="16" s="1"/>
  <c r="Y11" i="16"/>
  <c r="Z11" i="16" s="1"/>
  <c r="Y12" i="16"/>
  <c r="Z12" i="16" s="1"/>
  <c r="Y13" i="16"/>
  <c r="Z13" i="16" s="1"/>
  <c r="Y14" i="16"/>
  <c r="Z14" i="16" s="1"/>
  <c r="Y15" i="16"/>
  <c r="Z15" i="16" s="1"/>
  <c r="Y16" i="16"/>
  <c r="Z16" i="16" s="1"/>
  <c r="Y17" i="16"/>
  <c r="Z17" i="16" s="1"/>
  <c r="Y18" i="16"/>
  <c r="Z18" i="16" s="1"/>
  <c r="Y19" i="16"/>
  <c r="Z19" i="16" s="1"/>
  <c r="Y20" i="16"/>
  <c r="Z20" i="16" s="1"/>
  <c r="Y21" i="16"/>
  <c r="Z21" i="16" s="1"/>
  <c r="Y22" i="16"/>
  <c r="Z22" i="16" s="1"/>
  <c r="Y23" i="16"/>
  <c r="Z23" i="16" s="1"/>
  <c r="Y24" i="16"/>
  <c r="Z24" i="16" s="1"/>
  <c r="Y25" i="16"/>
  <c r="Z25" i="16" s="1"/>
  <c r="Y26" i="16"/>
  <c r="Z26" i="16" s="1"/>
  <c r="Y27" i="16"/>
  <c r="Z27" i="16" s="1"/>
  <c r="Y28" i="16"/>
  <c r="Z28" i="16" s="1"/>
  <c r="Y29" i="16"/>
  <c r="Z29" i="16" s="1"/>
  <c r="Y30" i="16"/>
  <c r="Z30" i="16" s="1"/>
  <c r="Y31" i="16"/>
  <c r="Z31" i="16" s="1"/>
  <c r="Y32" i="16"/>
  <c r="Z32" i="16" s="1"/>
  <c r="Y33" i="16"/>
  <c r="Z33" i="16" s="1"/>
  <c r="Y34" i="16"/>
  <c r="Z34" i="16" s="1"/>
  <c r="Y35" i="16"/>
  <c r="Z35" i="16" s="1"/>
  <c r="Y5" i="16"/>
  <c r="Z5" i="16" s="1"/>
  <c r="F6" i="16"/>
  <c r="G6" i="16" s="1"/>
  <c r="P6" i="16"/>
  <c r="Q6" i="16" s="1"/>
  <c r="S6" i="16"/>
  <c r="T6" i="16" s="1"/>
  <c r="C7" i="16"/>
  <c r="D7" i="16" s="1"/>
  <c r="F7" i="16"/>
  <c r="G7" i="16" s="1"/>
  <c r="P7" i="16"/>
  <c r="Q7" i="16" s="1"/>
  <c r="S7" i="16"/>
  <c r="T7" i="16" s="1"/>
  <c r="C8" i="16"/>
  <c r="F8" i="16"/>
  <c r="G8" i="16" s="1"/>
  <c r="L8" i="16"/>
  <c r="M8" i="16" s="1"/>
  <c r="P8" i="16"/>
  <c r="Q8" i="16" s="1"/>
  <c r="S8" i="16"/>
  <c r="T8" i="16" s="1"/>
  <c r="C9" i="16"/>
  <c r="D9" i="16" s="1"/>
  <c r="F9" i="16"/>
  <c r="G9" i="16" s="1"/>
  <c r="P9" i="16"/>
  <c r="Q9" i="16" s="1"/>
  <c r="S9" i="16"/>
  <c r="T9" i="16" s="1"/>
  <c r="C10" i="16"/>
  <c r="D10" i="16" s="1"/>
  <c r="F10" i="16"/>
  <c r="G10" i="16" s="1"/>
  <c r="P10" i="16"/>
  <c r="Q10" i="16" s="1"/>
  <c r="S10" i="16"/>
  <c r="T10" i="16" s="1"/>
  <c r="C11" i="16"/>
  <c r="D11" i="16" s="1"/>
  <c r="F11" i="16"/>
  <c r="G11" i="16" s="1"/>
  <c r="P11" i="16"/>
  <c r="S11" i="16"/>
  <c r="T11" i="16" s="1"/>
  <c r="V11" i="16"/>
  <c r="W11" i="16" s="1"/>
  <c r="C12" i="16"/>
  <c r="D12" i="16" s="1"/>
  <c r="F12" i="16"/>
  <c r="G12" i="16" s="1"/>
  <c r="P12" i="16"/>
  <c r="S12" i="16"/>
  <c r="T12" i="16" s="1"/>
  <c r="C13" i="16"/>
  <c r="D13" i="16" s="1"/>
  <c r="F13" i="16"/>
  <c r="G13" i="16" s="1"/>
  <c r="P13" i="16"/>
  <c r="Q13" i="16" s="1"/>
  <c r="S13" i="16"/>
  <c r="T13" i="16" s="1"/>
  <c r="C14" i="16"/>
  <c r="F14" i="16"/>
  <c r="G14" i="16" s="1"/>
  <c r="P14" i="16"/>
  <c r="Q14" i="16" s="1"/>
  <c r="S14" i="16"/>
  <c r="T14" i="16" s="1"/>
  <c r="C15" i="16"/>
  <c r="F15" i="16"/>
  <c r="G15" i="16" s="1"/>
  <c r="I15" i="16"/>
  <c r="J15" i="16" s="1"/>
  <c r="P15" i="16"/>
  <c r="Q15" i="16" s="1"/>
  <c r="S15" i="16"/>
  <c r="T15" i="16" s="1"/>
  <c r="C16" i="16"/>
  <c r="D16" i="16" s="1"/>
  <c r="F16" i="16"/>
  <c r="G16" i="16" s="1"/>
  <c r="S16" i="16"/>
  <c r="T16" i="16" s="1"/>
  <c r="F17" i="16"/>
  <c r="G17" i="16" s="1"/>
  <c r="P17" i="16"/>
  <c r="Q17" i="16" s="1"/>
  <c r="S17" i="16"/>
  <c r="T17" i="16" s="1"/>
  <c r="C18" i="16"/>
  <c r="D18" i="16" s="1"/>
  <c r="F18" i="16"/>
  <c r="G18" i="16" s="1"/>
  <c r="P18" i="16"/>
  <c r="Q18" i="16" s="1"/>
  <c r="S18" i="16"/>
  <c r="T18" i="16" s="1"/>
  <c r="C19" i="16"/>
  <c r="D19" i="16" s="1"/>
  <c r="F19" i="16"/>
  <c r="G19" i="16" s="1"/>
  <c r="P19" i="16"/>
  <c r="S19" i="16"/>
  <c r="T19" i="16" s="1"/>
  <c r="C20" i="16"/>
  <c r="D20" i="16" s="1"/>
  <c r="F20" i="16"/>
  <c r="G20" i="16" s="1"/>
  <c r="P20" i="16"/>
  <c r="Q20" i="16" s="1"/>
  <c r="S20" i="16"/>
  <c r="T20" i="16" s="1"/>
  <c r="C21" i="16"/>
  <c r="D21" i="16" s="1"/>
  <c r="F21" i="16"/>
  <c r="G21" i="16" s="1"/>
  <c r="P21" i="16"/>
  <c r="S21" i="16"/>
  <c r="T21" i="16" s="1"/>
  <c r="C22" i="16"/>
  <c r="D22" i="16" s="1"/>
  <c r="F22" i="16"/>
  <c r="G22" i="16" s="1"/>
  <c r="S22" i="16"/>
  <c r="T22" i="16" s="1"/>
  <c r="C23" i="16"/>
  <c r="D23" i="16" s="1"/>
  <c r="F23" i="16"/>
  <c r="G23" i="16" s="1"/>
  <c r="P23" i="16"/>
  <c r="Q23" i="16" s="1"/>
  <c r="S23" i="16"/>
  <c r="T23" i="16" s="1"/>
  <c r="C24" i="16"/>
  <c r="F24" i="16"/>
  <c r="G24" i="16" s="1"/>
  <c r="L24" i="16"/>
  <c r="M24" i="16" s="1"/>
  <c r="P24" i="16"/>
  <c r="Q24" i="16" s="1"/>
  <c r="S24" i="16"/>
  <c r="T24" i="16" s="1"/>
  <c r="C25" i="16"/>
  <c r="F25" i="16"/>
  <c r="G25" i="16" s="1"/>
  <c r="P25" i="16"/>
  <c r="S25" i="16"/>
  <c r="T25" i="16" s="1"/>
  <c r="C26" i="16"/>
  <c r="F26" i="16"/>
  <c r="G26" i="16" s="1"/>
  <c r="P26" i="16"/>
  <c r="Q26" i="16" s="1"/>
  <c r="S26" i="16"/>
  <c r="T26" i="16" s="1"/>
  <c r="F27" i="16"/>
  <c r="G27" i="16" s="1"/>
  <c r="P27" i="16"/>
  <c r="Q27" i="16" s="1"/>
  <c r="S27" i="16"/>
  <c r="T27" i="16" s="1"/>
  <c r="V27" i="16"/>
  <c r="W27" i="16" s="1"/>
  <c r="C28" i="16"/>
  <c r="D28" i="16" s="1"/>
  <c r="F28" i="16"/>
  <c r="G28" i="16" s="1"/>
  <c r="S28" i="16"/>
  <c r="T28" i="16" s="1"/>
  <c r="C29" i="16"/>
  <c r="D29" i="16" s="1"/>
  <c r="F29" i="16"/>
  <c r="G29" i="16" s="1"/>
  <c r="P29" i="16"/>
  <c r="Q29" i="16" s="1"/>
  <c r="S29" i="16"/>
  <c r="T29" i="16" s="1"/>
  <c r="C30" i="16"/>
  <c r="F30" i="16"/>
  <c r="G30" i="16" s="1"/>
  <c r="P30" i="16"/>
  <c r="Q30" i="16" s="1"/>
  <c r="S30" i="16"/>
  <c r="T30" i="16" s="1"/>
  <c r="F31" i="16"/>
  <c r="G31" i="16" s="1"/>
  <c r="I31" i="16"/>
  <c r="J31" i="16" s="1"/>
  <c r="P31" i="16"/>
  <c r="Q31" i="16" s="1"/>
  <c r="S31" i="16"/>
  <c r="T31" i="16" s="1"/>
  <c r="C32" i="16"/>
  <c r="D32" i="16" s="1"/>
  <c r="F32" i="16"/>
  <c r="G32" i="16" s="1"/>
  <c r="P32" i="16"/>
  <c r="S32" i="16"/>
  <c r="T32" i="16" s="1"/>
  <c r="C33" i="16"/>
  <c r="D33" i="16" s="1"/>
  <c r="F33" i="16"/>
  <c r="G33" i="16" s="1"/>
  <c r="S33" i="16"/>
  <c r="T33" i="16" s="1"/>
  <c r="F34" i="16"/>
  <c r="G34" i="16" s="1"/>
  <c r="P34" i="16"/>
  <c r="Q34" i="16" s="1"/>
  <c r="S34" i="16"/>
  <c r="T34" i="16" s="1"/>
  <c r="C35" i="16"/>
  <c r="D35" i="16" s="1"/>
  <c r="F35" i="16"/>
  <c r="G35" i="16" s="1"/>
  <c r="P35" i="16"/>
  <c r="Q35" i="16" s="1"/>
  <c r="S35" i="16"/>
  <c r="T35" i="16" s="1"/>
  <c r="S5" i="16"/>
  <c r="T5" i="16" s="1"/>
  <c r="F5" i="16"/>
  <c r="G5" i="16" s="1"/>
  <c r="C5" i="16"/>
  <c r="D5" i="16" s="1"/>
  <c r="L5" i="16"/>
  <c r="M5" i="16" s="1"/>
  <c r="P33" i="4"/>
  <c r="Q33" i="4"/>
  <c r="S33" i="4"/>
  <c r="T33" i="4"/>
  <c r="V33" i="4"/>
  <c r="W33" i="4"/>
  <c r="Y33" i="4"/>
  <c r="Z33" i="4"/>
  <c r="C33" i="4"/>
  <c r="D33" i="4"/>
  <c r="F33" i="4"/>
  <c r="G33" i="4"/>
  <c r="I33" i="4"/>
  <c r="J33" i="4"/>
  <c r="L33" i="4"/>
  <c r="M33" i="4"/>
  <c r="AC33" i="4"/>
  <c r="AB33" i="4"/>
  <c r="AC6" i="16"/>
  <c r="AD6" i="16" s="1"/>
  <c r="AC7" i="16"/>
  <c r="AD7" i="16" s="1"/>
  <c r="AC8" i="16"/>
  <c r="AD8" i="16"/>
  <c r="AC9" i="16"/>
  <c r="AD9" i="16" s="1"/>
  <c r="AC10" i="16"/>
  <c r="AD10" i="16"/>
  <c r="AC11" i="16"/>
  <c r="AD11" i="16" s="1"/>
  <c r="AC12" i="16"/>
  <c r="AD12" i="16"/>
  <c r="AC13" i="16"/>
  <c r="AD13" i="16" s="1"/>
  <c r="AC14" i="16"/>
  <c r="AD14" i="16"/>
  <c r="AC15" i="16"/>
  <c r="AD15" i="16" s="1"/>
  <c r="AC16" i="16"/>
  <c r="AD16" i="16"/>
  <c r="AC17" i="16"/>
  <c r="AD17" i="16" s="1"/>
  <c r="AC18" i="16"/>
  <c r="AD18" i="16"/>
  <c r="AC19" i="16"/>
  <c r="AD19" i="16" s="1"/>
  <c r="AC20" i="16"/>
  <c r="AD20" i="16"/>
  <c r="AC21" i="16"/>
  <c r="AD21" i="16" s="1"/>
  <c r="AC22" i="16"/>
  <c r="AD22" i="16"/>
  <c r="AC23" i="16"/>
  <c r="AD23" i="16" s="1"/>
  <c r="AC24" i="16"/>
  <c r="AD24" i="16" s="1"/>
  <c r="AC25" i="16"/>
  <c r="AD25" i="16" s="1"/>
  <c r="AC26" i="16"/>
  <c r="AD26" i="16" s="1"/>
  <c r="AC27" i="16"/>
  <c r="AD27" i="16" s="1"/>
  <c r="AC28" i="16"/>
  <c r="AD28" i="16"/>
  <c r="AC29" i="16"/>
  <c r="AD29" i="16" s="1"/>
  <c r="AC30" i="16"/>
  <c r="AD30" i="16"/>
  <c r="AC31" i="16"/>
  <c r="AD31" i="16"/>
  <c r="AC32" i="16"/>
  <c r="AD32" i="16"/>
  <c r="AC33" i="16"/>
  <c r="AD33" i="16"/>
  <c r="AC34" i="16"/>
  <c r="AD34" i="16"/>
  <c r="AC35" i="16"/>
  <c r="AD35" i="16"/>
  <c r="AB35" i="7"/>
  <c r="AB34" i="4"/>
  <c r="AB35" i="14"/>
  <c r="AB7" i="12"/>
  <c r="AB8" i="12"/>
  <c r="AB9" i="12"/>
  <c r="AB23" i="12"/>
  <c r="AB17" i="11"/>
  <c r="AF18" i="16"/>
  <c r="AB26" i="12"/>
  <c r="AB20" i="11"/>
  <c r="AB8" i="11"/>
  <c r="AB17" i="12"/>
  <c r="AB22" i="11"/>
  <c r="AB5" i="11"/>
  <c r="AB29" i="12"/>
  <c r="AF19" i="16"/>
  <c r="AB12" i="11"/>
  <c r="AB33" i="11"/>
  <c r="AB12" i="12"/>
  <c r="AB34" i="11"/>
  <c r="AB24" i="12"/>
  <c r="AB23" i="11"/>
  <c r="AB6" i="11"/>
  <c r="AB14" i="11"/>
  <c r="AB24" i="11"/>
  <c r="AF20" i="16"/>
  <c r="AB33" i="12"/>
  <c r="AB9" i="11"/>
  <c r="AB34" i="12"/>
  <c r="AF23" i="16"/>
  <c r="AF5" i="16"/>
  <c r="AB26" i="11"/>
  <c r="AB21" i="11"/>
  <c r="AB32" i="12"/>
  <c r="AB22" i="12"/>
  <c r="AB16" i="12"/>
  <c r="AB18" i="11"/>
  <c r="AB31" i="11"/>
  <c r="AB19" i="11"/>
  <c r="AB21" i="12"/>
  <c r="AB14" i="12"/>
  <c r="AF10" i="16"/>
  <c r="AF21" i="16"/>
  <c r="AB29" i="11"/>
  <c r="AB19" i="12"/>
  <c r="AF9" i="16"/>
  <c r="AF32" i="16"/>
  <c r="AF13" i="16"/>
  <c r="AF8" i="16"/>
  <c r="AB35" i="11"/>
  <c r="AB25" i="11"/>
  <c r="AB25" i="12"/>
  <c r="AB15" i="12"/>
  <c r="AB11" i="12"/>
  <c r="AF35" i="16"/>
  <c r="AF7" i="16"/>
  <c r="AF15" i="16"/>
  <c r="P5" i="16"/>
  <c r="AB31" i="12"/>
  <c r="AB16" i="11"/>
  <c r="AB30" i="11"/>
  <c r="AB15" i="11"/>
  <c r="AB7" i="11"/>
  <c r="AF11" i="16"/>
  <c r="AB13" i="11"/>
  <c r="AB30" i="12"/>
  <c r="AB13" i="12"/>
  <c r="AF12" i="16"/>
  <c r="AB5" i="12"/>
  <c r="AB28" i="11"/>
  <c r="AB27" i="12"/>
  <c r="AF30" i="16"/>
  <c r="P33" i="16"/>
  <c r="AF33" i="16"/>
  <c r="C27" i="16"/>
  <c r="C20" i="12"/>
  <c r="D20" i="12" s="1"/>
  <c r="AB20" i="12"/>
  <c r="P10" i="12"/>
  <c r="Q10" i="12" s="1"/>
  <c r="AB10" i="12"/>
  <c r="P28" i="16"/>
  <c r="AF28" i="16"/>
  <c r="U35" i="12"/>
  <c r="V9" i="12"/>
  <c r="W9" i="12" s="1"/>
  <c r="AF14" i="16"/>
  <c r="P16" i="16"/>
  <c r="Q16" i="16" s="1"/>
  <c r="AF16" i="16"/>
  <c r="C31" i="16"/>
  <c r="D31" i="16" s="1"/>
  <c r="AF31" i="16"/>
  <c r="E35" i="12"/>
  <c r="AF29" i="16"/>
  <c r="C34" i="16"/>
  <c r="D34" i="16" s="1"/>
  <c r="AF34" i="16"/>
  <c r="P22" i="16"/>
  <c r="Q22" i="16" s="1"/>
  <c r="AF22" i="16"/>
  <c r="C17" i="16"/>
  <c r="AF17" i="16"/>
  <c r="C6" i="16"/>
  <c r="D6" i="16" s="1"/>
  <c r="AF6" i="16"/>
  <c r="C32" i="11"/>
  <c r="D32" i="11" s="1"/>
  <c r="AB32" i="11"/>
  <c r="C27" i="11"/>
  <c r="D27" i="11" s="1"/>
  <c r="AB27" i="11"/>
  <c r="P11" i="11"/>
  <c r="Q11" i="11" s="1"/>
  <c r="AB11" i="11"/>
  <c r="H35" i="12"/>
  <c r="AB10" i="11"/>
  <c r="O35" i="12"/>
  <c r="B35" i="12"/>
  <c r="AB28" i="12"/>
  <c r="K35" i="12"/>
  <c r="AB18" i="12"/>
  <c r="AB6" i="12"/>
  <c r="AC23" i="12" l="1"/>
  <c r="AD16" i="9"/>
  <c r="C21" i="8"/>
  <c r="D21" i="8" s="1"/>
  <c r="AD21" i="8" s="1"/>
  <c r="AB32" i="9"/>
  <c r="AC25" i="12"/>
  <c r="C12" i="9"/>
  <c r="D12" i="9" s="1"/>
  <c r="AD12" i="9" s="1"/>
  <c r="AC16" i="12"/>
  <c r="AC30" i="12"/>
  <c r="AC15" i="12"/>
  <c r="AC34" i="12"/>
  <c r="AC33" i="12"/>
  <c r="AC17" i="12"/>
  <c r="AC11" i="12"/>
  <c r="AC8" i="12"/>
  <c r="AC10" i="12"/>
  <c r="F35" i="12"/>
  <c r="AC5" i="12"/>
  <c r="AC6" i="12"/>
  <c r="AC12" i="12"/>
  <c r="P35" i="12"/>
  <c r="Q35" i="12" s="1"/>
  <c r="F13" i="15" s="1"/>
  <c r="AC9" i="12"/>
  <c r="AC26" i="12"/>
  <c r="AD10" i="12"/>
  <c r="AD9" i="12"/>
  <c r="AC7" i="12"/>
  <c r="AC17" i="11"/>
  <c r="AC24" i="12"/>
  <c r="AD33" i="12"/>
  <c r="AC18" i="12"/>
  <c r="AC28" i="12"/>
  <c r="Y35" i="12"/>
  <c r="Z35" i="12" s="1"/>
  <c r="I13" i="15" s="1"/>
  <c r="AC21" i="12"/>
  <c r="AC29" i="12"/>
  <c r="AC19" i="12"/>
  <c r="AC24" i="11"/>
  <c r="AC13" i="12"/>
  <c r="AF29" i="12"/>
  <c r="AF21" i="12"/>
  <c r="AD21" i="12"/>
  <c r="AF13" i="12"/>
  <c r="AD12" i="12"/>
  <c r="AD15" i="12"/>
  <c r="AC20" i="12"/>
  <c r="I35" i="12"/>
  <c r="J35" i="12" s="1"/>
  <c r="D13" i="15" s="1"/>
  <c r="AC32" i="12"/>
  <c r="AC22" i="12"/>
  <c r="AD13" i="12"/>
  <c r="V35" i="12"/>
  <c r="W35" i="12" s="1"/>
  <c r="H13" i="15" s="1"/>
  <c r="L35" i="12"/>
  <c r="M35" i="12" s="1"/>
  <c r="E13" i="15" s="1"/>
  <c r="S35" i="12"/>
  <c r="T35" i="12" s="1"/>
  <c r="G13" i="15" s="1"/>
  <c r="C35" i="12"/>
  <c r="AC27" i="12"/>
  <c r="AC14" i="12"/>
  <c r="AC31" i="12"/>
  <c r="D35" i="12"/>
  <c r="B13" i="15" s="1"/>
  <c r="AD29" i="12"/>
  <c r="AD26" i="12"/>
  <c r="AD22" i="12"/>
  <c r="AB35" i="12"/>
  <c r="G35" i="12"/>
  <c r="C13" i="15" s="1"/>
  <c r="AF12" i="12"/>
  <c r="AF33" i="12"/>
  <c r="AF22" i="12"/>
  <c r="AF15" i="12"/>
  <c r="AF9" i="12"/>
  <c r="AF10" i="12"/>
  <c r="AD32" i="12"/>
  <c r="AF32" i="12"/>
  <c r="AF27" i="12"/>
  <c r="AD27" i="12"/>
  <c r="AD23" i="12"/>
  <c r="AF23" i="12"/>
  <c r="AF7" i="12"/>
  <c r="AD7" i="12"/>
  <c r="AF6" i="12"/>
  <c r="AD6" i="12"/>
  <c r="AD28" i="12"/>
  <c r="AF28" i="12"/>
  <c r="AD19" i="12"/>
  <c r="AF19" i="12"/>
  <c r="AD34" i="12"/>
  <c r="AF34" i="12"/>
  <c r="AD30" i="12"/>
  <c r="AF30" i="12"/>
  <c r="AF20" i="12"/>
  <c r="AD20" i="12"/>
  <c r="AD18" i="12"/>
  <c r="AF18" i="12"/>
  <c r="AD14" i="12"/>
  <c r="AF14" i="12"/>
  <c r="AF11" i="12"/>
  <c r="AD11" i="12"/>
  <c r="AD25" i="12"/>
  <c r="AF25" i="12"/>
  <c r="AF24" i="12"/>
  <c r="AD24" i="12"/>
  <c r="AF17" i="12"/>
  <c r="AD17" i="12"/>
  <c r="AD16" i="12"/>
  <c r="AF16" i="12"/>
  <c r="AD8" i="12"/>
  <c r="AF8" i="12"/>
  <c r="AF26" i="12"/>
  <c r="Q31" i="12"/>
  <c r="AD5" i="12"/>
  <c r="AF5" i="12"/>
  <c r="AC7" i="11"/>
  <c r="AC30" i="11"/>
  <c r="AD32" i="11"/>
  <c r="AC28" i="11"/>
  <c r="AG26" i="16"/>
  <c r="AC9" i="11"/>
  <c r="AC21" i="11"/>
  <c r="D27" i="16"/>
  <c r="AH27" i="16" s="1"/>
  <c r="AG27" i="16"/>
  <c r="D25" i="16"/>
  <c r="AG25" i="16"/>
  <c r="AC20" i="11"/>
  <c r="D24" i="16"/>
  <c r="AH24" i="16" s="1"/>
  <c r="AG24" i="16"/>
  <c r="AC14" i="11"/>
  <c r="L36" i="11"/>
  <c r="M36" i="11" s="1"/>
  <c r="E12" i="15" s="1"/>
  <c r="AF16" i="11"/>
  <c r="AF9" i="11"/>
  <c r="AF8" i="11"/>
  <c r="AC12" i="11"/>
  <c r="AF25" i="11"/>
  <c r="AC16" i="11"/>
  <c r="Y36" i="11"/>
  <c r="Z36" i="11" s="1"/>
  <c r="I12" i="15" s="1"/>
  <c r="AF15" i="11"/>
  <c r="D16" i="11"/>
  <c r="AD16" i="11" s="1"/>
  <c r="Z7" i="11"/>
  <c r="AF7" i="11" s="1"/>
  <c r="AC34" i="11"/>
  <c r="AC31" i="11"/>
  <c r="AC29" i="11"/>
  <c r="AC22" i="11"/>
  <c r="P36" i="11"/>
  <c r="Q36" i="11" s="1"/>
  <c r="F12" i="15" s="1"/>
  <c r="F36" i="11"/>
  <c r="G36" i="11" s="1"/>
  <c r="C12" i="15" s="1"/>
  <c r="AF23" i="11"/>
  <c r="AC32" i="11"/>
  <c r="AC11" i="11"/>
  <c r="AC35" i="11"/>
  <c r="AC26" i="11"/>
  <c r="AC18" i="11"/>
  <c r="AF24" i="11"/>
  <c r="AD10" i="11"/>
  <c r="C36" i="11"/>
  <c r="D36" i="11" s="1"/>
  <c r="B12" i="15" s="1"/>
  <c r="AF22" i="11"/>
  <c r="AF10" i="11"/>
  <c r="AF33" i="11"/>
  <c r="AF32" i="11"/>
  <c r="AF34" i="11"/>
  <c r="AF20" i="11"/>
  <c r="V36" i="11"/>
  <c r="W36" i="11" s="1"/>
  <c r="H12" i="15" s="1"/>
  <c r="AF11" i="11"/>
  <c r="AF30" i="11"/>
  <c r="AF13" i="11"/>
  <c r="AF35" i="11"/>
  <c r="AF31" i="11"/>
  <c r="AF18" i="11"/>
  <c r="AF27" i="11"/>
  <c r="AF21" i="11"/>
  <c r="AF19" i="11"/>
  <c r="AF29" i="11"/>
  <c r="AF28" i="11"/>
  <c r="AF26" i="11"/>
  <c r="AF17" i="11"/>
  <c r="AF12" i="11"/>
  <c r="AF6" i="11"/>
  <c r="S36" i="11"/>
  <c r="T36" i="11" s="1"/>
  <c r="G12" i="15" s="1"/>
  <c r="AD14" i="11"/>
  <c r="AF14" i="11"/>
  <c r="AD27" i="11"/>
  <c r="AD35" i="11"/>
  <c r="AD22" i="11"/>
  <c r="AD18" i="11"/>
  <c r="AD11" i="11"/>
  <c r="AD6" i="11"/>
  <c r="AD31" i="11"/>
  <c r="AD30" i="11"/>
  <c r="AD20" i="11"/>
  <c r="AD19" i="11"/>
  <c r="AD8" i="11"/>
  <c r="AD7" i="11"/>
  <c r="AD34" i="11"/>
  <c r="AD29" i="11"/>
  <c r="AD28" i="11"/>
  <c r="AD25" i="11"/>
  <c r="AD24" i="11"/>
  <c r="AD23" i="11"/>
  <c r="AD21" i="11"/>
  <c r="AD9" i="11"/>
  <c r="AD33" i="11"/>
  <c r="AD26" i="11"/>
  <c r="AD17" i="11"/>
  <c r="AD15" i="11"/>
  <c r="AD13" i="11"/>
  <c r="AD12" i="11"/>
  <c r="Q5" i="11"/>
  <c r="AF5" i="11" s="1"/>
  <c r="M5" i="11"/>
  <c r="I36" i="11"/>
  <c r="J36" i="11" s="1"/>
  <c r="D12" i="15" s="1"/>
  <c r="G5" i="11"/>
  <c r="AC15" i="11"/>
  <c r="AC6" i="11"/>
  <c r="AC27" i="11"/>
  <c r="AC23" i="11"/>
  <c r="AC33" i="11"/>
  <c r="AC10" i="11"/>
  <c r="AC25" i="11"/>
  <c r="AC8" i="11"/>
  <c r="AC19" i="11"/>
  <c r="AC13" i="11"/>
  <c r="AC5" i="11"/>
  <c r="D5" i="11"/>
  <c r="AB18" i="9"/>
  <c r="AG5" i="16"/>
  <c r="AC36" i="16"/>
  <c r="AD36" i="16" s="1"/>
  <c r="AB18" i="6"/>
  <c r="AC10" i="9"/>
  <c r="AG33" i="16"/>
  <c r="C10" i="14"/>
  <c r="D10" i="14" s="1"/>
  <c r="AD10" i="14" s="1"/>
  <c r="AB22" i="13"/>
  <c r="C13" i="14"/>
  <c r="D13" i="14" s="1"/>
  <c r="AD13" i="14" s="1"/>
  <c r="C34" i="6"/>
  <c r="D34" i="6" s="1"/>
  <c r="AD34" i="6" s="1"/>
  <c r="AB14" i="8"/>
  <c r="C11" i="4"/>
  <c r="D11" i="4" s="1"/>
  <c r="AD11" i="4" s="1"/>
  <c r="D25" i="9"/>
  <c r="AD25" i="9" s="1"/>
  <c r="AB25" i="9"/>
  <c r="AC21" i="5"/>
  <c r="AC10" i="8"/>
  <c r="AG28" i="16"/>
  <c r="AG17" i="16"/>
  <c r="AC14" i="6"/>
  <c r="AB18" i="8"/>
  <c r="C34" i="13"/>
  <c r="D34" i="13" s="1"/>
  <c r="AD34" i="13" s="1"/>
  <c r="C33" i="9"/>
  <c r="AC33" i="9" s="1"/>
  <c r="AH31" i="16"/>
  <c r="AC13" i="9"/>
  <c r="AB10" i="6"/>
  <c r="C18" i="1"/>
  <c r="D18" i="1" s="1"/>
  <c r="C15" i="4"/>
  <c r="D15" i="4" s="1"/>
  <c r="C29" i="9"/>
  <c r="AC29" i="9" s="1"/>
  <c r="AB17" i="9"/>
  <c r="C21" i="14"/>
  <c r="D21" i="14" s="1"/>
  <c r="AD21" i="14" s="1"/>
  <c r="AC9" i="9"/>
  <c r="AB9" i="9"/>
  <c r="AB21" i="9"/>
  <c r="AB6" i="8"/>
  <c r="AB14" i="6"/>
  <c r="AB6" i="13"/>
  <c r="C16" i="7"/>
  <c r="D16" i="7" s="1"/>
  <c r="AD16" i="7" s="1"/>
  <c r="C30" i="8"/>
  <c r="D30" i="8" s="1"/>
  <c r="AD30" i="8" s="1"/>
  <c r="AB13" i="9"/>
  <c r="AB21" i="5"/>
  <c r="AG32" i="16"/>
  <c r="AG14" i="16"/>
  <c r="Q28" i="16"/>
  <c r="AH28" i="16" s="1"/>
  <c r="Y36" i="16"/>
  <c r="Z36" i="16" s="1"/>
  <c r="I11" i="15" s="1"/>
  <c r="Q32" i="16"/>
  <c r="AH32" i="16" s="1"/>
  <c r="AB22" i="9"/>
  <c r="AB15" i="13"/>
  <c r="C22" i="14"/>
  <c r="D22" i="14" s="1"/>
  <c r="AD22" i="14" s="1"/>
  <c r="C27" i="1"/>
  <c r="D27" i="1" s="1"/>
  <c r="AD27" i="1" s="1"/>
  <c r="C7" i="6"/>
  <c r="AC7" i="6" s="1"/>
  <c r="I36" i="16"/>
  <c r="J36" i="16" s="1"/>
  <c r="D11" i="15" s="1"/>
  <c r="S36" i="16"/>
  <c r="T36" i="16" s="1"/>
  <c r="G11" i="15" s="1"/>
  <c r="AG35" i="16"/>
  <c r="AG20" i="16"/>
  <c r="AB27" i="13"/>
  <c r="AG31" i="16"/>
  <c r="AB15" i="8"/>
  <c r="C7" i="13"/>
  <c r="D7" i="13" s="1"/>
  <c r="AD7" i="13" s="1"/>
  <c r="C31" i="13"/>
  <c r="D31" i="13" s="1"/>
  <c r="AD31" i="13" s="1"/>
  <c r="AG21" i="16"/>
  <c r="AG19" i="16"/>
  <c r="AG16" i="16"/>
  <c r="AG10" i="16"/>
  <c r="F36" i="16"/>
  <c r="G36" i="16" s="1"/>
  <c r="L36" i="16"/>
  <c r="M36" i="16" s="1"/>
  <c r="E11" i="15" s="1"/>
  <c r="AG9" i="16"/>
  <c r="AG13" i="16"/>
  <c r="C36" i="16"/>
  <c r="D36" i="16" s="1"/>
  <c r="B11" i="15" s="1"/>
  <c r="AG29" i="16"/>
  <c r="AG12" i="16"/>
  <c r="AH22" i="16"/>
  <c r="AG34" i="16"/>
  <c r="AG18" i="16"/>
  <c r="AG22" i="16"/>
  <c r="AG11" i="16"/>
  <c r="V36" i="16"/>
  <c r="W36" i="16" s="1"/>
  <c r="H11" i="15" s="1"/>
  <c r="AH35" i="16"/>
  <c r="P36" i="16"/>
  <c r="Q36" i="16" s="1"/>
  <c r="F11" i="15" s="1"/>
  <c r="Q12" i="16"/>
  <c r="AH12" i="16" s="1"/>
  <c r="Q33" i="16"/>
  <c r="AH33" i="16" s="1"/>
  <c r="AG30" i="16"/>
  <c r="Q25" i="16"/>
  <c r="AH23" i="16"/>
  <c r="Q21" i="16"/>
  <c r="AH21" i="16" s="1"/>
  <c r="Q19" i="16"/>
  <c r="AH19" i="16" s="1"/>
  <c r="Q11" i="16"/>
  <c r="AH11" i="16" s="1"/>
  <c r="AH6" i="16"/>
  <c r="AH34" i="16"/>
  <c r="AH18" i="16"/>
  <c r="AH20" i="16"/>
  <c r="AH9" i="16"/>
  <c r="AG8" i="16"/>
  <c r="AH29" i="16"/>
  <c r="AH16" i="16"/>
  <c r="AG15" i="16"/>
  <c r="AH13" i="16"/>
  <c r="AH10" i="16"/>
  <c r="AH7" i="16"/>
  <c r="Q5" i="16"/>
  <c r="AH5" i="16" s="1"/>
  <c r="AG7" i="16"/>
  <c r="D17" i="16"/>
  <c r="AH17" i="16" s="1"/>
  <c r="AG23" i="16"/>
  <c r="D30" i="16"/>
  <c r="AH30" i="16" s="1"/>
  <c r="D26" i="16"/>
  <c r="AH26" i="16" s="1"/>
  <c r="D15" i="16"/>
  <c r="AH15" i="16" s="1"/>
  <c r="D14" i="16"/>
  <c r="AH14" i="16" s="1"/>
  <c r="D8" i="16"/>
  <c r="AH8" i="16" s="1"/>
  <c r="AG6" i="16"/>
  <c r="AC19" i="8"/>
  <c r="AB23" i="6"/>
  <c r="C19" i="13"/>
  <c r="AC19" i="13" s="1"/>
  <c r="C26" i="14"/>
  <c r="D26" i="14" s="1"/>
  <c r="AD26" i="14" s="1"/>
  <c r="AB18" i="5"/>
  <c r="C30" i="9"/>
  <c r="D30" i="9" s="1"/>
  <c r="AD30" i="9" s="1"/>
  <c r="AB6" i="9"/>
  <c r="D14" i="9"/>
  <c r="AD14" i="9" s="1"/>
  <c r="AB31" i="8"/>
  <c r="AB31" i="6"/>
  <c r="Y35" i="9"/>
  <c r="Z35" i="9" s="1"/>
  <c r="I10" i="15" s="1"/>
  <c r="S35" i="9"/>
  <c r="T35" i="9" s="1"/>
  <c r="G10" i="15" s="1"/>
  <c r="C8" i="7"/>
  <c r="D8" i="7" s="1"/>
  <c r="AD8" i="7" s="1"/>
  <c r="AB20" i="9"/>
  <c r="C33" i="1"/>
  <c r="D33" i="1" s="1"/>
  <c r="AD33" i="1" s="1"/>
  <c r="C28" i="7"/>
  <c r="D28" i="7" s="1"/>
  <c r="AD28" i="7" s="1"/>
  <c r="C20" i="7"/>
  <c r="D20" i="7" s="1"/>
  <c r="AD20" i="7" s="1"/>
  <c r="C33" i="8"/>
  <c r="D33" i="8" s="1"/>
  <c r="AD33" i="8" s="1"/>
  <c r="L35" i="9"/>
  <c r="M35" i="9" s="1"/>
  <c r="E10" i="15" s="1"/>
  <c r="AB29" i="8"/>
  <c r="C29" i="1"/>
  <c r="AC29" i="1" s="1"/>
  <c r="AB9" i="1"/>
  <c r="AD12" i="7"/>
  <c r="AB9" i="8"/>
  <c r="AB17" i="8"/>
  <c r="AB21" i="6"/>
  <c r="AB33" i="6"/>
  <c r="C17" i="1"/>
  <c r="D17" i="1" s="1"/>
  <c r="C13" i="1"/>
  <c r="D13" i="1" s="1"/>
  <c r="AD13" i="1" s="1"/>
  <c r="C9" i="6"/>
  <c r="D9" i="6" s="1"/>
  <c r="AD9" i="6" s="1"/>
  <c r="AB12" i="7"/>
  <c r="C25" i="8"/>
  <c r="D25" i="8" s="1"/>
  <c r="AD25" i="8" s="1"/>
  <c r="AB8" i="9"/>
  <c r="AB24" i="9"/>
  <c r="AC22" i="4"/>
  <c r="AB13" i="8"/>
  <c r="C6" i="4"/>
  <c r="D6" i="4" s="1"/>
  <c r="AD6" i="4" s="1"/>
  <c r="C17" i="6"/>
  <c r="D17" i="6" s="1"/>
  <c r="AD17" i="6" s="1"/>
  <c r="AB22" i="4"/>
  <c r="AB24" i="7"/>
  <c r="AB28" i="9"/>
  <c r="AB16" i="9"/>
  <c r="AB29" i="6"/>
  <c r="C25" i="1"/>
  <c r="AC25" i="1" s="1"/>
  <c r="C10" i="4"/>
  <c r="D10" i="4" s="1"/>
  <c r="AD10" i="4" s="1"/>
  <c r="C32" i="7"/>
  <c r="D32" i="7" s="1"/>
  <c r="AD32" i="7" s="1"/>
  <c r="AB27" i="5"/>
  <c r="C23" i="14"/>
  <c r="D23" i="14" s="1"/>
  <c r="AD23" i="14" s="1"/>
  <c r="AF30" i="6"/>
  <c r="D29" i="8"/>
  <c r="AD29" i="8" s="1"/>
  <c r="AC29" i="8"/>
  <c r="Q9" i="8"/>
  <c r="AD9" i="8" s="1"/>
  <c r="AC9" i="8"/>
  <c r="AD19" i="5"/>
  <c r="C27" i="14"/>
  <c r="D27" i="14" s="1"/>
  <c r="AD27" i="14" s="1"/>
  <c r="AB27" i="14"/>
  <c r="AB28" i="13"/>
  <c r="C11" i="14"/>
  <c r="D11" i="14" s="1"/>
  <c r="AD11" i="14" s="1"/>
  <c r="AB26" i="4"/>
  <c r="AB14" i="4"/>
  <c r="AB25" i="6"/>
  <c r="AB21" i="13"/>
  <c r="C21" i="1"/>
  <c r="D21" i="1" s="1"/>
  <c r="AD21" i="1" s="1"/>
  <c r="AD15" i="5"/>
  <c r="AB15" i="5"/>
  <c r="AD23" i="5"/>
  <c r="AC24" i="9"/>
  <c r="C12" i="13"/>
  <c r="D12" i="13" s="1"/>
  <c r="AD12" i="13" s="1"/>
  <c r="C32" i="13"/>
  <c r="D32" i="13" s="1"/>
  <c r="AD32" i="13" s="1"/>
  <c r="AB35" i="5"/>
  <c r="C30" i="4"/>
  <c r="D30" i="4" s="1"/>
  <c r="AD30" i="4" s="1"/>
  <c r="AB30" i="4"/>
  <c r="AB18" i="4"/>
  <c r="C18" i="4"/>
  <c r="AD14" i="4"/>
  <c r="AB13" i="6"/>
  <c r="C13" i="6"/>
  <c r="D13" i="6" s="1"/>
  <c r="AD13" i="6" s="1"/>
  <c r="AD35" i="5"/>
  <c r="AC35" i="5"/>
  <c r="D16" i="13"/>
  <c r="AD16" i="13" s="1"/>
  <c r="AC16" i="13"/>
  <c r="D15" i="14"/>
  <c r="AD15" i="14" s="1"/>
  <c r="AC15" i="14"/>
  <c r="D20" i="13"/>
  <c r="AD20" i="13" s="1"/>
  <c r="AC20" i="13"/>
  <c r="AD31" i="5"/>
  <c r="AC31" i="5"/>
  <c r="D24" i="13"/>
  <c r="AD24" i="13" s="1"/>
  <c r="AC24" i="13"/>
  <c r="AC16" i="9"/>
  <c r="AC14" i="4"/>
  <c r="AB5" i="13"/>
  <c r="AB8" i="13"/>
  <c r="AB20" i="13"/>
  <c r="AB24" i="13"/>
  <c r="C31" i="14"/>
  <c r="D31" i="14" s="1"/>
  <c r="AD31" i="14" s="1"/>
  <c r="C19" i="14"/>
  <c r="D19" i="14" s="1"/>
  <c r="AD19" i="14" s="1"/>
  <c r="C5" i="14"/>
  <c r="D5" i="14" s="1"/>
  <c r="AD5" i="14" s="1"/>
  <c r="AB31" i="5"/>
  <c r="AB11" i="5"/>
  <c r="AB15" i="14"/>
  <c r="AB16" i="13"/>
  <c r="AF20" i="6"/>
  <c r="AB19" i="5"/>
  <c r="AF12" i="5"/>
  <c r="AC28" i="9"/>
  <c r="AD28" i="9"/>
  <c r="AC19" i="5"/>
  <c r="AB23" i="5"/>
  <c r="C7" i="14"/>
  <c r="D7" i="14" s="1"/>
  <c r="AD7" i="14" s="1"/>
  <c r="D27" i="4"/>
  <c r="AD27" i="4" s="1"/>
  <c r="AC27" i="4"/>
  <c r="AC32" i="9"/>
  <c r="AB33" i="5"/>
  <c r="AB25" i="5"/>
  <c r="AB33" i="14"/>
  <c r="C33" i="14"/>
  <c r="D33" i="14" s="1"/>
  <c r="AD33" i="14" s="1"/>
  <c r="AB34" i="1"/>
  <c r="C34" i="1"/>
  <c r="D34" i="1" s="1"/>
  <c r="C26" i="6"/>
  <c r="D26" i="6" s="1"/>
  <c r="AD26" i="6" s="1"/>
  <c r="AB26" i="6"/>
  <c r="C21" i="7"/>
  <c r="AB21" i="7"/>
  <c r="AB9" i="7"/>
  <c r="C9" i="7"/>
  <c r="AC9" i="7" s="1"/>
  <c r="AC12" i="9"/>
  <c r="AC29" i="6"/>
  <c r="AB10" i="8"/>
  <c r="AB26" i="8"/>
  <c r="AB34" i="8"/>
  <c r="C10" i="13"/>
  <c r="D10" i="13" s="1"/>
  <c r="AD10" i="13" s="1"/>
  <c r="C18" i="13"/>
  <c r="D18" i="13" s="1"/>
  <c r="AB26" i="13"/>
  <c r="C30" i="13"/>
  <c r="D30" i="13" s="1"/>
  <c r="C30" i="1"/>
  <c r="AC30" i="1" s="1"/>
  <c r="C26" i="1"/>
  <c r="D26" i="1" s="1"/>
  <c r="AD26" i="1" s="1"/>
  <c r="AB27" i="4"/>
  <c r="AC9" i="1"/>
  <c r="D9" i="1"/>
  <c r="AD9" i="1" s="1"/>
  <c r="AB29" i="5"/>
  <c r="AB17" i="5"/>
  <c r="AB29" i="14"/>
  <c r="C29" i="14"/>
  <c r="D29" i="14" s="1"/>
  <c r="AD29" i="14" s="1"/>
  <c r="AB10" i="1"/>
  <c r="C10" i="1"/>
  <c r="D10" i="1" s="1"/>
  <c r="AD10" i="1" s="1"/>
  <c r="AB31" i="4"/>
  <c r="C31" i="4"/>
  <c r="AC31" i="4" s="1"/>
  <c r="AB19" i="4"/>
  <c r="C19" i="4"/>
  <c r="D19" i="4" s="1"/>
  <c r="AB7" i="4"/>
  <c r="C7" i="4"/>
  <c r="D7" i="4" s="1"/>
  <c r="AD7" i="4" s="1"/>
  <c r="C30" i="6"/>
  <c r="D30" i="6" s="1"/>
  <c r="AD30" i="6" s="1"/>
  <c r="AB30" i="6"/>
  <c r="C6" i="6"/>
  <c r="AC6" i="6" s="1"/>
  <c r="AB6" i="6"/>
  <c r="AB29" i="7"/>
  <c r="C29" i="7"/>
  <c r="AB13" i="7"/>
  <c r="C13" i="7"/>
  <c r="AC17" i="9"/>
  <c r="AB13" i="5"/>
  <c r="AB9" i="5"/>
  <c r="AB17" i="14"/>
  <c r="C17" i="14"/>
  <c r="D17" i="14" s="1"/>
  <c r="AD17" i="14" s="1"/>
  <c r="AB9" i="14"/>
  <c r="C9" i="14"/>
  <c r="D9" i="14" s="1"/>
  <c r="AD9" i="14" s="1"/>
  <c r="AB22" i="1"/>
  <c r="C22" i="1"/>
  <c r="D22" i="1" s="1"/>
  <c r="AD22" i="1" s="1"/>
  <c r="AB14" i="1"/>
  <c r="C14" i="1"/>
  <c r="D14" i="1" s="1"/>
  <c r="AD14" i="1" s="1"/>
  <c r="AB23" i="4"/>
  <c r="C23" i="4"/>
  <c r="AC23" i="4" s="1"/>
  <c r="C22" i="6"/>
  <c r="AB22" i="6"/>
  <c r="AB33" i="7"/>
  <c r="C33" i="7"/>
  <c r="AB25" i="7"/>
  <c r="C25" i="7"/>
  <c r="D25" i="7" s="1"/>
  <c r="AD25" i="7" s="1"/>
  <c r="C17" i="7"/>
  <c r="D17" i="7" s="1"/>
  <c r="AD17" i="7" s="1"/>
  <c r="AB17" i="7"/>
  <c r="C22" i="8"/>
  <c r="AB22" i="8"/>
  <c r="C14" i="13"/>
  <c r="C25" i="14"/>
  <c r="D25" i="14" s="1"/>
  <c r="AD25" i="14" s="1"/>
  <c r="AD26" i="4"/>
  <c r="AB6" i="1"/>
  <c r="N15" i="13"/>
  <c r="AC26" i="4"/>
  <c r="AD17" i="8"/>
  <c r="AD13" i="8"/>
  <c r="AF34" i="5"/>
  <c r="AF30" i="5"/>
  <c r="AF26" i="5"/>
  <c r="AF22" i="5"/>
  <c r="AF18" i="5"/>
  <c r="AF10" i="5"/>
  <c r="AF25" i="5"/>
  <c r="N13" i="13"/>
  <c r="N9" i="13"/>
  <c r="N8" i="13"/>
  <c r="AF26" i="6"/>
  <c r="AF14" i="6"/>
  <c r="AD26" i="9"/>
  <c r="AD18" i="5"/>
  <c r="AC18" i="5"/>
  <c r="D18" i="9"/>
  <c r="AD18" i="9" s="1"/>
  <c r="AC18" i="9"/>
  <c r="D27" i="13"/>
  <c r="AD27" i="13" s="1"/>
  <c r="AC27" i="13"/>
  <c r="D6" i="9"/>
  <c r="AD6" i="9" s="1"/>
  <c r="AC6" i="9"/>
  <c r="AB30" i="5"/>
  <c r="AD30" i="5"/>
  <c r="AD22" i="5"/>
  <c r="AB22" i="5"/>
  <c r="AB14" i="5"/>
  <c r="AB6" i="5"/>
  <c r="AB11" i="1"/>
  <c r="C11" i="1"/>
  <c r="AB28" i="4"/>
  <c r="C28" i="4"/>
  <c r="AC28" i="4" s="1"/>
  <c r="AB12" i="4"/>
  <c r="C12" i="4"/>
  <c r="AC22" i="9"/>
  <c r="AB14" i="9"/>
  <c r="AB10" i="9"/>
  <c r="AC23" i="8"/>
  <c r="AC34" i="8"/>
  <c r="AC31" i="6"/>
  <c r="AB19" i="8"/>
  <c r="AB35" i="8"/>
  <c r="C11" i="13"/>
  <c r="C23" i="13"/>
  <c r="AC23" i="13" s="1"/>
  <c r="D28" i="13"/>
  <c r="AD28" i="13" s="1"/>
  <c r="C35" i="13"/>
  <c r="D35" i="13" s="1"/>
  <c r="AD35" i="13" s="1"/>
  <c r="C34" i="14"/>
  <c r="D34" i="14" s="1"/>
  <c r="AD34" i="14" s="1"/>
  <c r="C11" i="6"/>
  <c r="AB10" i="5"/>
  <c r="AB19" i="1"/>
  <c r="C19" i="1"/>
  <c r="D19" i="1" s="1"/>
  <c r="AD19" i="1" s="1"/>
  <c r="AB7" i="1"/>
  <c r="C7" i="1"/>
  <c r="AB32" i="4"/>
  <c r="C32" i="4"/>
  <c r="AB20" i="4"/>
  <c r="C20" i="4"/>
  <c r="D20" i="4" s="1"/>
  <c r="AD20" i="4" s="1"/>
  <c r="AB30" i="7"/>
  <c r="C30" i="7"/>
  <c r="D30" i="7" s="1"/>
  <c r="AD30" i="7" s="1"/>
  <c r="AB18" i="7"/>
  <c r="C18" i="7"/>
  <c r="AB10" i="7"/>
  <c r="C10" i="7"/>
  <c r="AB34" i="9"/>
  <c r="AB11" i="8"/>
  <c r="AB27" i="8"/>
  <c r="C30" i="14"/>
  <c r="D30" i="14" s="1"/>
  <c r="AD30" i="14" s="1"/>
  <c r="C14" i="14"/>
  <c r="N12" i="13"/>
  <c r="C31" i="1"/>
  <c r="D31" i="1" s="1"/>
  <c r="AD31" i="1" s="1"/>
  <c r="C23" i="1"/>
  <c r="D23" i="1" s="1"/>
  <c r="C19" i="6"/>
  <c r="D19" i="6" s="1"/>
  <c r="AD19" i="6" s="1"/>
  <c r="AF6" i="5"/>
  <c r="AD26" i="5"/>
  <c r="AB26" i="5"/>
  <c r="AB15" i="1"/>
  <c r="C15" i="1"/>
  <c r="AB24" i="4"/>
  <c r="C24" i="4"/>
  <c r="AC24" i="4" s="1"/>
  <c r="AB16" i="4"/>
  <c r="C16" i="4"/>
  <c r="D16" i="4" s="1"/>
  <c r="AD16" i="4" s="1"/>
  <c r="AB8" i="4"/>
  <c r="C8" i="4"/>
  <c r="D8" i="4" s="1"/>
  <c r="AD8" i="4" s="1"/>
  <c r="AD23" i="6"/>
  <c r="AB15" i="6"/>
  <c r="C15" i="6"/>
  <c r="AB34" i="7"/>
  <c r="C34" i="7"/>
  <c r="D34" i="7" s="1"/>
  <c r="AD34" i="7" s="1"/>
  <c r="AB26" i="7"/>
  <c r="C26" i="7"/>
  <c r="AB14" i="7"/>
  <c r="C14" i="7"/>
  <c r="D14" i="7" s="1"/>
  <c r="AD14" i="7" s="1"/>
  <c r="AD31" i="8"/>
  <c r="AB26" i="9"/>
  <c r="AC27" i="8"/>
  <c r="AC7" i="8"/>
  <c r="AB7" i="8"/>
  <c r="AB23" i="8"/>
  <c r="AB27" i="6"/>
  <c r="AB35" i="6"/>
  <c r="C18" i="14"/>
  <c r="C6" i="14"/>
  <c r="C35" i="1"/>
  <c r="C22" i="7"/>
  <c r="C6" i="7"/>
  <c r="D6" i="7" s="1"/>
  <c r="AD6" i="7" s="1"/>
  <c r="AD34" i="5"/>
  <c r="AF18" i="6"/>
  <c r="AC10" i="6"/>
  <c r="AC12" i="7"/>
  <c r="Q17" i="9"/>
  <c r="AD17" i="9" s="1"/>
  <c r="AC8" i="9"/>
  <c r="AC23" i="5"/>
  <c r="AC23" i="6"/>
  <c r="F35" i="7"/>
  <c r="Q6" i="1"/>
  <c r="AD6" i="1" s="1"/>
  <c r="AC6" i="1"/>
  <c r="Q19" i="4"/>
  <c r="AD29" i="6"/>
  <c r="D21" i="6"/>
  <c r="AD21" i="6" s="1"/>
  <c r="AC21" i="6"/>
  <c r="Q21" i="9"/>
  <c r="AD21" i="9" s="1"/>
  <c r="AC21" i="9"/>
  <c r="AD8" i="9"/>
  <c r="F35" i="9"/>
  <c r="G35" i="9" s="1"/>
  <c r="AC27" i="6"/>
  <c r="Q10" i="6"/>
  <c r="AD10" i="6" s="1"/>
  <c r="AD27" i="5"/>
  <c r="AC27" i="5"/>
  <c r="AD11" i="5"/>
  <c r="AC11" i="5"/>
  <c r="D6" i="8"/>
  <c r="AD6" i="8" s="1"/>
  <c r="AC6" i="8"/>
  <c r="D8" i="13"/>
  <c r="AD8" i="13" s="1"/>
  <c r="AC8" i="13"/>
  <c r="Q23" i="1"/>
  <c r="AF23" i="5"/>
  <c r="D18" i="6"/>
  <c r="AD18" i="6" s="1"/>
  <c r="AC18" i="6"/>
  <c r="D35" i="6"/>
  <c r="AD35" i="6" s="1"/>
  <c r="AC35" i="6"/>
  <c r="D26" i="8"/>
  <c r="AD26" i="8" s="1"/>
  <c r="AC26" i="8"/>
  <c r="AC18" i="8"/>
  <c r="Q18" i="8"/>
  <c r="AD18" i="8" s="1"/>
  <c r="Q14" i="8"/>
  <c r="AD14" i="8" s="1"/>
  <c r="AC14" i="8"/>
  <c r="AD34" i="9"/>
  <c r="J36" i="5"/>
  <c r="D14" i="15" s="1"/>
  <c r="AF28" i="6"/>
  <c r="AF24" i="6"/>
  <c r="AF16" i="6"/>
  <c r="AF12" i="6"/>
  <c r="AF35" i="6"/>
  <c r="AF31" i="6"/>
  <c r="AF23" i="6"/>
  <c r="AF19" i="6"/>
  <c r="AF15" i="6"/>
  <c r="AF11" i="6"/>
  <c r="AF29" i="6"/>
  <c r="AF13" i="6"/>
  <c r="AF5" i="5"/>
  <c r="AF24" i="5"/>
  <c r="AF20" i="5"/>
  <c r="AF16" i="5"/>
  <c r="AF8" i="5"/>
  <c r="AF19" i="5"/>
  <c r="AF15" i="5"/>
  <c r="AF7" i="5"/>
  <c r="AF21" i="5"/>
  <c r="AF17" i="5"/>
  <c r="AF13" i="5"/>
  <c r="N11" i="13"/>
  <c r="Z36" i="6"/>
  <c r="I7" i="15" s="1"/>
  <c r="AF6" i="6"/>
  <c r="AF34" i="6"/>
  <c r="AF27" i="6"/>
  <c r="AF9" i="6"/>
  <c r="AC34" i="9"/>
  <c r="AC26" i="13"/>
  <c r="I36" i="8"/>
  <c r="J36" i="8" s="1"/>
  <c r="D9" i="15" s="1"/>
  <c r="AC11" i="8"/>
  <c r="AC20" i="8"/>
  <c r="AC15" i="8"/>
  <c r="AC13" i="8"/>
  <c r="AB8" i="6"/>
  <c r="AD22" i="4"/>
  <c r="AB21" i="4"/>
  <c r="F34" i="4"/>
  <c r="AF33" i="6"/>
  <c r="AF17" i="6"/>
  <c r="W35" i="7"/>
  <c r="H8" i="15" s="1"/>
  <c r="S36" i="5"/>
  <c r="AB5" i="9"/>
  <c r="L35" i="14"/>
  <c r="P35" i="14"/>
  <c r="AC35" i="8"/>
  <c r="AD11" i="8"/>
  <c r="J36" i="1"/>
  <c r="D5" i="15" s="1"/>
  <c r="T34" i="4"/>
  <c r="G6" i="15" s="1"/>
  <c r="C28" i="6"/>
  <c r="D28" i="6" s="1"/>
  <c r="AD28" i="6" s="1"/>
  <c r="AB28" i="6"/>
  <c r="AF32" i="6"/>
  <c r="AC26" i="9"/>
  <c r="AC31" i="8"/>
  <c r="AC17" i="8"/>
  <c r="Y36" i="8"/>
  <c r="Z36" i="8" s="1"/>
  <c r="I9" i="15" s="1"/>
  <c r="G5" i="4"/>
  <c r="G34" i="4" s="1"/>
  <c r="C6" i="15" s="1"/>
  <c r="I34" i="4"/>
  <c r="Q18" i="1"/>
  <c r="M36" i="5"/>
  <c r="E14" i="15" s="1"/>
  <c r="AF32" i="5"/>
  <c r="AF28" i="5"/>
  <c r="AF33" i="5"/>
  <c r="AF29" i="5"/>
  <c r="Q35" i="14"/>
  <c r="F3" i="15" s="1"/>
  <c r="N7" i="13"/>
  <c r="N14" i="13"/>
  <c r="N10" i="13"/>
  <c r="AD13" i="13"/>
  <c r="AD27" i="6"/>
  <c r="AF22" i="6"/>
  <c r="AB32" i="5"/>
  <c r="T36" i="13"/>
  <c r="G4" i="15" s="1"/>
  <c r="W7" i="13"/>
  <c r="W36" i="13" s="1"/>
  <c r="H4" i="15" s="1"/>
  <c r="V36" i="13"/>
  <c r="W36" i="1"/>
  <c r="H5" i="15" s="1"/>
  <c r="M34" i="4"/>
  <c r="E6" i="15" s="1"/>
  <c r="T36" i="6"/>
  <c r="G7" i="15" s="1"/>
  <c r="AC15" i="9"/>
  <c r="D15" i="9"/>
  <c r="AD15" i="9" s="1"/>
  <c r="AF5" i="6"/>
  <c r="W35" i="14"/>
  <c r="H3" i="15" s="1"/>
  <c r="Y35" i="14"/>
  <c r="L36" i="13"/>
  <c r="Q5" i="13"/>
  <c r="P36" i="13"/>
  <c r="Q34" i="1"/>
  <c r="G36" i="13"/>
  <c r="C4" i="15" s="1"/>
  <c r="N4" i="13"/>
  <c r="D22" i="13"/>
  <c r="AD22" i="13" s="1"/>
  <c r="AC22" i="13"/>
  <c r="Q24" i="7"/>
  <c r="AD24" i="7" s="1"/>
  <c r="AC24" i="7"/>
  <c r="AB28" i="5"/>
  <c r="T35" i="14"/>
  <c r="G3" i="15" s="1"/>
  <c r="AD21" i="13"/>
  <c r="J36" i="13"/>
  <c r="D4" i="15" s="1"/>
  <c r="G36" i="1"/>
  <c r="C5" i="15" s="1"/>
  <c r="V36" i="1"/>
  <c r="S36" i="1"/>
  <c r="D6" i="13"/>
  <c r="AC6" i="13"/>
  <c r="Q30" i="13"/>
  <c r="P34" i="4"/>
  <c r="Q5" i="4"/>
  <c r="Z35" i="14"/>
  <c r="I3" i="15" s="1"/>
  <c r="Y36" i="13"/>
  <c r="M36" i="13"/>
  <c r="E4" i="15" s="1"/>
  <c r="AF7" i="6"/>
  <c r="Z36" i="1"/>
  <c r="I5" i="15" s="1"/>
  <c r="S36" i="6"/>
  <c r="D15" i="13"/>
  <c r="AD15" i="13" s="1"/>
  <c r="AC15" i="13"/>
  <c r="Z36" i="13"/>
  <c r="I4" i="15" s="1"/>
  <c r="Q17" i="1"/>
  <c r="D33" i="6"/>
  <c r="AD33" i="6" s="1"/>
  <c r="AC33" i="6"/>
  <c r="AB16" i="5"/>
  <c r="AB32" i="14"/>
  <c r="C32" i="14"/>
  <c r="AB24" i="14"/>
  <c r="C24" i="14"/>
  <c r="J8" i="14"/>
  <c r="J35" i="14" s="1"/>
  <c r="D3" i="15" s="1"/>
  <c r="I35" i="14"/>
  <c r="AB20" i="1"/>
  <c r="C20" i="1"/>
  <c r="AB5" i="4"/>
  <c r="C5" i="4"/>
  <c r="AC21" i="4"/>
  <c r="D21" i="4"/>
  <c r="AD21" i="4" s="1"/>
  <c r="AB9" i="4"/>
  <c r="C9" i="4"/>
  <c r="Z5" i="4"/>
  <c r="Z34" i="4" s="1"/>
  <c r="I6" i="15" s="1"/>
  <c r="Y34" i="4"/>
  <c r="D8" i="6"/>
  <c r="AD8" i="6" s="1"/>
  <c r="AC8" i="6"/>
  <c r="G36" i="6"/>
  <c r="C7" i="15" s="1"/>
  <c r="M36" i="6"/>
  <c r="E7" i="15" s="1"/>
  <c r="C5" i="7"/>
  <c r="AB5" i="7"/>
  <c r="C19" i="7"/>
  <c r="AB19" i="7"/>
  <c r="G35" i="7"/>
  <c r="C8" i="15" s="1"/>
  <c r="AB5" i="8"/>
  <c r="C5" i="8"/>
  <c r="W6" i="8"/>
  <c r="V36" i="8"/>
  <c r="W36" i="8" s="1"/>
  <c r="H9" i="15" s="1"/>
  <c r="W5" i="9"/>
  <c r="V35" i="9"/>
  <c r="W35" i="9" s="1"/>
  <c r="H10" i="15" s="1"/>
  <c r="AC20" i="9"/>
  <c r="AC31" i="9"/>
  <c r="AC7" i="9"/>
  <c r="Q32" i="9"/>
  <c r="AD32" i="9" s="1"/>
  <c r="AC19" i="9"/>
  <c r="L36" i="5"/>
  <c r="P36" i="5"/>
  <c r="AC5" i="9"/>
  <c r="AC21" i="13"/>
  <c r="AC25" i="13"/>
  <c r="AC13" i="13"/>
  <c r="S35" i="14"/>
  <c r="V34" i="4"/>
  <c r="V36" i="6"/>
  <c r="AC28" i="8"/>
  <c r="I36" i="1"/>
  <c r="L36" i="1"/>
  <c r="I35" i="9"/>
  <c r="J35" i="9" s="1"/>
  <c r="D10" i="15" s="1"/>
  <c r="L36" i="6"/>
  <c r="P36" i="8"/>
  <c r="Q36" i="8" s="1"/>
  <c r="F9" i="15" s="1"/>
  <c r="C29" i="13"/>
  <c r="Q18" i="13"/>
  <c r="C24" i="1"/>
  <c r="Q25" i="6"/>
  <c r="AC25" i="6"/>
  <c r="C24" i="6"/>
  <c r="AB20" i="5"/>
  <c r="AB12" i="5"/>
  <c r="G36" i="5"/>
  <c r="C14" i="15" s="1"/>
  <c r="F36" i="5"/>
  <c r="T36" i="5"/>
  <c r="G14" i="15" s="1"/>
  <c r="W36" i="5"/>
  <c r="H14" i="15" s="1"/>
  <c r="V36" i="5"/>
  <c r="C5" i="5"/>
  <c r="AB5" i="5"/>
  <c r="AB20" i="14"/>
  <c r="C20" i="14"/>
  <c r="AC17" i="13"/>
  <c r="D17" i="13"/>
  <c r="AD17" i="13" s="1"/>
  <c r="F36" i="13"/>
  <c r="AB5" i="1"/>
  <c r="C5" i="1"/>
  <c r="AB16" i="1"/>
  <c r="C16" i="1"/>
  <c r="C8" i="1"/>
  <c r="AB8" i="1"/>
  <c r="T36" i="1"/>
  <c r="G5" i="15" s="1"/>
  <c r="AB29" i="4"/>
  <c r="C29" i="4"/>
  <c r="AB13" i="4"/>
  <c r="C13" i="4"/>
  <c r="AB5" i="6"/>
  <c r="C5" i="6"/>
  <c r="AB20" i="6"/>
  <c r="C20" i="6"/>
  <c r="C12" i="6"/>
  <c r="AB12" i="6"/>
  <c r="C27" i="7"/>
  <c r="AB27" i="7"/>
  <c r="AB15" i="7"/>
  <c r="C15" i="7"/>
  <c r="M9" i="7"/>
  <c r="M35" i="7" s="1"/>
  <c r="E8" i="15" s="1"/>
  <c r="L35" i="7"/>
  <c r="T35" i="7"/>
  <c r="G8" i="15" s="1"/>
  <c r="D32" i="8"/>
  <c r="AD32" i="8" s="1"/>
  <c r="AC32" i="8"/>
  <c r="D16" i="8"/>
  <c r="AD16" i="8" s="1"/>
  <c r="AC16" i="8"/>
  <c r="D8" i="8"/>
  <c r="AD8" i="8" s="1"/>
  <c r="AC8" i="8"/>
  <c r="C11" i="9"/>
  <c r="AB11" i="9"/>
  <c r="P35" i="9"/>
  <c r="Q35" i="9" s="1"/>
  <c r="F10" i="15" s="1"/>
  <c r="C27" i="9"/>
  <c r="AB31" i="9"/>
  <c r="AB15" i="9"/>
  <c r="C23" i="9"/>
  <c r="AB19" i="9"/>
  <c r="I36" i="13"/>
  <c r="I36" i="6"/>
  <c r="AC16" i="6"/>
  <c r="AC24" i="8"/>
  <c r="S35" i="7"/>
  <c r="N6" i="13"/>
  <c r="Y36" i="6"/>
  <c r="V35" i="7"/>
  <c r="AC5" i="13"/>
  <c r="C9" i="13"/>
  <c r="AB13" i="13"/>
  <c r="AB25" i="13"/>
  <c r="V35" i="14"/>
  <c r="N5" i="13"/>
  <c r="C28" i="1"/>
  <c r="Y36" i="1"/>
  <c r="AB24" i="5"/>
  <c r="AB8" i="5"/>
  <c r="Y36" i="5"/>
  <c r="AB28" i="14"/>
  <c r="C28" i="14"/>
  <c r="M35" i="14"/>
  <c r="E3" i="15" s="1"/>
  <c r="AB25" i="4"/>
  <c r="C25" i="4"/>
  <c r="AB17" i="4"/>
  <c r="C17" i="4"/>
  <c r="J34" i="4"/>
  <c r="D6" i="15" s="1"/>
  <c r="L34" i="4"/>
  <c r="W34" i="4"/>
  <c r="H6" i="15" s="1"/>
  <c r="C32" i="6"/>
  <c r="AB32" i="6"/>
  <c r="J36" i="6"/>
  <c r="D7" i="15" s="1"/>
  <c r="P36" i="6"/>
  <c r="AB31" i="7"/>
  <c r="C31" i="7"/>
  <c r="AB23" i="7"/>
  <c r="C23" i="7"/>
  <c r="C11" i="7"/>
  <c r="AB11" i="7"/>
  <c r="AB7" i="7"/>
  <c r="C7" i="7"/>
  <c r="J5" i="7"/>
  <c r="J35" i="7" s="1"/>
  <c r="D8" i="15" s="1"/>
  <c r="I35" i="7"/>
  <c r="Z9" i="7"/>
  <c r="Z35" i="7" s="1"/>
  <c r="I8" i="15" s="1"/>
  <c r="Y35" i="7"/>
  <c r="D12" i="8"/>
  <c r="AD12" i="8" s="1"/>
  <c r="AC12" i="8"/>
  <c r="I36" i="5"/>
  <c r="AB7" i="9"/>
  <c r="S36" i="13"/>
  <c r="W36" i="6"/>
  <c r="H7" i="15" s="1"/>
  <c r="F36" i="6"/>
  <c r="P36" i="1"/>
  <c r="S34" i="4"/>
  <c r="P35" i="7"/>
  <c r="S36" i="8"/>
  <c r="T36" i="8" s="1"/>
  <c r="G9" i="15" s="1"/>
  <c r="F36" i="8"/>
  <c r="G36" i="8" s="1"/>
  <c r="L36" i="8"/>
  <c r="M36" i="8" s="1"/>
  <c r="E9" i="15" s="1"/>
  <c r="AB8" i="8"/>
  <c r="AB12" i="8"/>
  <c r="AB16" i="8"/>
  <c r="AB20" i="8"/>
  <c r="AB24" i="8"/>
  <c r="AB28" i="8"/>
  <c r="AB32" i="8"/>
  <c r="AB16" i="6"/>
  <c r="AB17" i="13"/>
  <c r="C33" i="13"/>
  <c r="C16" i="14"/>
  <c r="C12" i="14"/>
  <c r="C8" i="14"/>
  <c r="F35" i="14"/>
  <c r="G5" i="14"/>
  <c r="G35" i="14" s="1"/>
  <c r="C3" i="15" s="1"/>
  <c r="C32" i="1"/>
  <c r="C12" i="1"/>
  <c r="M36" i="1"/>
  <c r="E5" i="15" s="1"/>
  <c r="Q15" i="4"/>
  <c r="AF21" i="6"/>
  <c r="AF8" i="6"/>
  <c r="F36" i="1"/>
  <c r="AC21" i="8" l="1"/>
  <c r="AC13" i="14"/>
  <c r="AC35" i="12"/>
  <c r="AF35" i="12"/>
  <c r="AD35" i="12"/>
  <c r="AF31" i="12"/>
  <c r="AD31" i="12"/>
  <c r="AD15" i="4"/>
  <c r="AC21" i="14"/>
  <c r="AH25" i="16"/>
  <c r="AD5" i="11"/>
  <c r="AF36" i="11"/>
  <c r="AC16" i="7"/>
  <c r="AC15" i="4"/>
  <c r="AC36" i="11"/>
  <c r="AD36" i="11" s="1"/>
  <c r="AC11" i="4"/>
  <c r="AC10" i="14"/>
  <c r="AC34" i="6"/>
  <c r="AC31" i="13"/>
  <c r="AC22" i="14"/>
  <c r="AD18" i="1"/>
  <c r="AC18" i="1"/>
  <c r="AC30" i="8"/>
  <c r="D33" i="9"/>
  <c r="AD33" i="9" s="1"/>
  <c r="AC27" i="1"/>
  <c r="AC34" i="13"/>
  <c r="D29" i="9"/>
  <c r="AD29" i="9" s="1"/>
  <c r="AG36" i="16"/>
  <c r="AH36" i="16" s="1"/>
  <c r="AC7" i="13"/>
  <c r="D7" i="6"/>
  <c r="AD7" i="6" s="1"/>
  <c r="D9" i="7"/>
  <c r="AD9" i="7" s="1"/>
  <c r="D19" i="13"/>
  <c r="AD19" i="13" s="1"/>
  <c r="AC21" i="1"/>
  <c r="C35" i="9"/>
  <c r="D35" i="9" s="1"/>
  <c r="B10" i="15" s="1"/>
  <c r="AD23" i="1"/>
  <c r="AC30" i="13"/>
  <c r="AC30" i="9"/>
  <c r="AC31" i="14"/>
  <c r="AC26" i="14"/>
  <c r="AC33" i="1"/>
  <c r="AC31" i="1"/>
  <c r="AF35" i="5"/>
  <c r="AC25" i="14"/>
  <c r="D29" i="1"/>
  <c r="AD29" i="1" s="1"/>
  <c r="AC33" i="14"/>
  <c r="AC13" i="1"/>
  <c r="AC27" i="14"/>
  <c r="AC10" i="4"/>
  <c r="AC20" i="7"/>
  <c r="C9" i="15"/>
  <c r="F38" i="8"/>
  <c r="AC19" i="6"/>
  <c r="AC6" i="4"/>
  <c r="AC32" i="13"/>
  <c r="D25" i="1"/>
  <c r="AD25" i="1" s="1"/>
  <c r="AC17" i="1"/>
  <c r="AC17" i="7"/>
  <c r="AC19" i="14"/>
  <c r="AC11" i="14"/>
  <c r="AC28" i="7"/>
  <c r="AD17" i="1"/>
  <c r="AF27" i="5"/>
  <c r="AC33" i="8"/>
  <c r="AC30" i="14"/>
  <c r="AF31" i="5"/>
  <c r="AC6" i="7"/>
  <c r="AC12" i="13"/>
  <c r="AC25" i="8"/>
  <c r="AC23" i="14"/>
  <c r="AC8" i="7"/>
  <c r="AC34" i="1"/>
  <c r="AC14" i="7"/>
  <c r="D24" i="4"/>
  <c r="AD24" i="4" s="1"/>
  <c r="AC17" i="6"/>
  <c r="AC9" i="6"/>
  <c r="AC30" i="6"/>
  <c r="AC32" i="7"/>
  <c r="AC18" i="13"/>
  <c r="AC22" i="5"/>
  <c r="AC26" i="1"/>
  <c r="AD18" i="13"/>
  <c r="D6" i="6"/>
  <c r="AD6" i="6" s="1"/>
  <c r="AD30" i="13"/>
  <c r="AD34" i="1"/>
  <c r="AC20" i="4"/>
  <c r="AC35" i="13"/>
  <c r="AC22" i="1"/>
  <c r="AC5" i="14"/>
  <c r="D18" i="4"/>
  <c r="AD18" i="4" s="1"/>
  <c r="AC18" i="4"/>
  <c r="AC13" i="6"/>
  <c r="D23" i="4"/>
  <c r="AD23" i="4" s="1"/>
  <c r="AC15" i="5"/>
  <c r="AC17" i="14"/>
  <c r="AC30" i="4"/>
  <c r="AC29" i="14"/>
  <c r="D30" i="1"/>
  <c r="AD30" i="1" s="1"/>
  <c r="AD7" i="5"/>
  <c r="AC7" i="5"/>
  <c r="AC26" i="5"/>
  <c r="AC7" i="14"/>
  <c r="AC26" i="6"/>
  <c r="AC7" i="4"/>
  <c r="D31" i="4"/>
  <c r="AD31" i="4" s="1"/>
  <c r="AC8" i="4"/>
  <c r="AC9" i="14"/>
  <c r="AC14" i="5"/>
  <c r="AC23" i="1"/>
  <c r="AC14" i="1"/>
  <c r="AC10" i="13"/>
  <c r="AD13" i="5"/>
  <c r="AC13" i="5"/>
  <c r="AD29" i="5"/>
  <c r="AC29" i="5"/>
  <c r="AC29" i="7"/>
  <c r="D29" i="7"/>
  <c r="AD29" i="7" s="1"/>
  <c r="D21" i="7"/>
  <c r="AD21" i="7" s="1"/>
  <c r="AC21" i="7"/>
  <c r="AD25" i="5"/>
  <c r="AC25" i="5"/>
  <c r="AC16" i="4"/>
  <c r="AC25" i="7"/>
  <c r="AC28" i="6"/>
  <c r="AF10" i="6"/>
  <c r="AC34" i="14"/>
  <c r="AC19" i="4"/>
  <c r="AC10" i="1"/>
  <c r="D22" i="8"/>
  <c r="AD22" i="8" s="1"/>
  <c r="AC22" i="8"/>
  <c r="D22" i="6"/>
  <c r="AD22" i="6" s="1"/>
  <c r="AC22" i="6"/>
  <c r="AD9" i="5"/>
  <c r="AC9" i="5"/>
  <c r="AD17" i="5"/>
  <c r="AC17" i="5"/>
  <c r="AD19" i="4"/>
  <c r="D28" i="4"/>
  <c r="AD28" i="4" s="1"/>
  <c r="D14" i="13"/>
  <c r="AD14" i="13" s="1"/>
  <c r="AC14" i="13"/>
  <c r="D33" i="7"/>
  <c r="AD33" i="7" s="1"/>
  <c r="AC33" i="7"/>
  <c r="D13" i="7"/>
  <c r="AD13" i="7" s="1"/>
  <c r="AC13" i="7"/>
  <c r="AD33" i="5"/>
  <c r="AC33" i="5"/>
  <c r="D15" i="1"/>
  <c r="AD15" i="1" s="1"/>
  <c r="AC15" i="1"/>
  <c r="D10" i="7"/>
  <c r="AD10" i="7" s="1"/>
  <c r="AC10" i="7"/>
  <c r="D23" i="13"/>
  <c r="AD23" i="13" s="1"/>
  <c r="AC34" i="5"/>
  <c r="AC19" i="1"/>
  <c r="D35" i="1"/>
  <c r="AD35" i="1" s="1"/>
  <c r="AC35" i="1"/>
  <c r="AC26" i="7"/>
  <c r="D26" i="7"/>
  <c r="AD26" i="7" s="1"/>
  <c r="D15" i="6"/>
  <c r="AD15" i="6" s="1"/>
  <c r="AC15" i="6"/>
  <c r="AC34" i="7"/>
  <c r="AD10" i="5"/>
  <c r="AC10" i="5"/>
  <c r="D12" i="4"/>
  <c r="AD12" i="4" s="1"/>
  <c r="AC12" i="4"/>
  <c r="AD6" i="5"/>
  <c r="AC6" i="5"/>
  <c r="D6" i="14"/>
  <c r="AD6" i="14" s="1"/>
  <c r="AC6" i="14"/>
  <c r="D32" i="4"/>
  <c r="AD32" i="4" s="1"/>
  <c r="AC32" i="4"/>
  <c r="D11" i="6"/>
  <c r="AD11" i="6" s="1"/>
  <c r="AC11" i="6"/>
  <c r="D11" i="1"/>
  <c r="AD11" i="1" s="1"/>
  <c r="AC11" i="1"/>
  <c r="AC30" i="5"/>
  <c r="D18" i="14"/>
  <c r="AD18" i="14" s="1"/>
  <c r="AC18" i="14"/>
  <c r="AC11" i="13"/>
  <c r="D11" i="13"/>
  <c r="AD11" i="13" s="1"/>
  <c r="AC30" i="7"/>
  <c r="D22" i="7"/>
  <c r="AD22" i="7" s="1"/>
  <c r="AC22" i="7"/>
  <c r="D14" i="14"/>
  <c r="AD14" i="14" s="1"/>
  <c r="AC14" i="14"/>
  <c r="D18" i="7"/>
  <c r="AD18" i="7" s="1"/>
  <c r="AC18" i="7"/>
  <c r="D7" i="1"/>
  <c r="AD7" i="1" s="1"/>
  <c r="AC7" i="1"/>
  <c r="C11" i="15"/>
  <c r="C10" i="15"/>
  <c r="Q36" i="5"/>
  <c r="F14" i="15" s="1"/>
  <c r="AF11" i="5"/>
  <c r="AD14" i="5"/>
  <c r="AF14" i="5"/>
  <c r="D20" i="6"/>
  <c r="AD20" i="6" s="1"/>
  <c r="AC20" i="6"/>
  <c r="AD32" i="5"/>
  <c r="AC32" i="5"/>
  <c r="AC8" i="14"/>
  <c r="D8" i="14"/>
  <c r="C35" i="14"/>
  <c r="AC35" i="14" s="1"/>
  <c r="AC33" i="13"/>
  <c r="D33" i="13"/>
  <c r="AD33" i="13" s="1"/>
  <c r="D31" i="7"/>
  <c r="AD31" i="7" s="1"/>
  <c r="AC31" i="7"/>
  <c r="D27" i="9"/>
  <c r="AD27" i="9" s="1"/>
  <c r="AC27" i="9"/>
  <c r="D27" i="7"/>
  <c r="AD27" i="7" s="1"/>
  <c r="AC27" i="7"/>
  <c r="AC5" i="1"/>
  <c r="D5" i="1"/>
  <c r="C36" i="1"/>
  <c r="D5" i="5"/>
  <c r="C36" i="5"/>
  <c r="AC5" i="5"/>
  <c r="D9" i="4"/>
  <c r="AD9" i="4" s="1"/>
  <c r="AC9" i="4"/>
  <c r="D5" i="4"/>
  <c r="C34" i="4"/>
  <c r="AC34" i="4" s="1"/>
  <c r="AC5" i="4"/>
  <c r="D32" i="14"/>
  <c r="AD32" i="14" s="1"/>
  <c r="AC32" i="14"/>
  <c r="AD6" i="13"/>
  <c r="AD28" i="5"/>
  <c r="AC28" i="5"/>
  <c r="D11" i="9"/>
  <c r="AD11" i="9" s="1"/>
  <c r="AC11" i="9"/>
  <c r="D13" i="4"/>
  <c r="AD13" i="4" s="1"/>
  <c r="AC13" i="4"/>
  <c r="AD12" i="5"/>
  <c r="AC12" i="5"/>
  <c r="D5" i="8"/>
  <c r="AD5" i="8" s="1"/>
  <c r="AC5" i="8"/>
  <c r="C36" i="8"/>
  <c r="D36" i="8" s="1"/>
  <c r="B9" i="15" s="1"/>
  <c r="D19" i="7"/>
  <c r="AD19" i="7" s="1"/>
  <c r="AC19" i="7"/>
  <c r="D32" i="1"/>
  <c r="AD32" i="1" s="1"/>
  <c r="AC32" i="1"/>
  <c r="D12" i="14"/>
  <c r="AD12" i="14" s="1"/>
  <c r="AC12" i="14"/>
  <c r="D11" i="7"/>
  <c r="AD11" i="7" s="1"/>
  <c r="AC11" i="7"/>
  <c r="D32" i="6"/>
  <c r="AD32" i="6" s="1"/>
  <c r="AC32" i="6"/>
  <c r="AC17" i="4"/>
  <c r="D17" i="4"/>
  <c r="AD17" i="4" s="1"/>
  <c r="E17" i="15"/>
  <c r="AF9" i="5"/>
  <c r="Z36" i="5"/>
  <c r="I14" i="15" s="1"/>
  <c r="I17" i="15" s="1"/>
  <c r="AD24" i="5"/>
  <c r="AC24" i="5"/>
  <c r="D28" i="1"/>
  <c r="AD28" i="1" s="1"/>
  <c r="AC28" i="1"/>
  <c r="D9" i="13"/>
  <c r="AD9" i="13" s="1"/>
  <c r="AC9" i="13"/>
  <c r="D23" i="9"/>
  <c r="AD23" i="9" s="1"/>
  <c r="AC23" i="9"/>
  <c r="D15" i="7"/>
  <c r="AD15" i="7" s="1"/>
  <c r="AC15" i="7"/>
  <c r="C36" i="6"/>
  <c r="AC5" i="6"/>
  <c r="D5" i="6"/>
  <c r="AC29" i="4"/>
  <c r="D29" i="4"/>
  <c r="AD29" i="4" s="1"/>
  <c r="AC8" i="1"/>
  <c r="D8" i="1"/>
  <c r="AD8" i="1" s="1"/>
  <c r="AC20" i="14"/>
  <c r="D20" i="14"/>
  <c r="AD20" i="14" s="1"/>
  <c r="AD20" i="5"/>
  <c r="AC20" i="5"/>
  <c r="AF25" i="6"/>
  <c r="AD25" i="6"/>
  <c r="AC29" i="13"/>
  <c r="D29" i="13"/>
  <c r="AD29" i="13" s="1"/>
  <c r="D5" i="7"/>
  <c r="AC5" i="7"/>
  <c r="C35" i="7"/>
  <c r="AC35" i="7" s="1"/>
  <c r="D17" i="15"/>
  <c r="Q36" i="1"/>
  <c r="F5" i="15" s="1"/>
  <c r="AC25" i="4"/>
  <c r="D25" i="4"/>
  <c r="AD25" i="4" s="1"/>
  <c r="AD8" i="5"/>
  <c r="AC8" i="5"/>
  <c r="D24" i="6"/>
  <c r="AD24" i="6" s="1"/>
  <c r="AC24" i="6"/>
  <c r="D12" i="1"/>
  <c r="AD12" i="1" s="1"/>
  <c r="AC12" i="1"/>
  <c r="D16" i="14"/>
  <c r="AD16" i="14" s="1"/>
  <c r="AC16" i="14"/>
  <c r="D7" i="7"/>
  <c r="AD7" i="7" s="1"/>
  <c r="AC7" i="7"/>
  <c r="AC23" i="7"/>
  <c r="D23" i="7"/>
  <c r="AD23" i="7" s="1"/>
  <c r="D28" i="14"/>
  <c r="AD28" i="14" s="1"/>
  <c r="AC28" i="14"/>
  <c r="D12" i="6"/>
  <c r="AD12" i="6" s="1"/>
  <c r="AC12" i="6"/>
  <c r="D16" i="1"/>
  <c r="AD16" i="1" s="1"/>
  <c r="AC16" i="1"/>
  <c r="D24" i="1"/>
  <c r="AD24" i="1" s="1"/>
  <c r="AC24" i="1"/>
  <c r="AC20" i="1"/>
  <c r="D20" i="1"/>
  <c r="AD20" i="1" s="1"/>
  <c r="D24" i="14"/>
  <c r="AD24" i="14" s="1"/>
  <c r="AC24" i="14"/>
  <c r="AD16" i="5"/>
  <c r="AC16" i="5"/>
  <c r="Q34" i="4"/>
  <c r="F6" i="15" s="1"/>
  <c r="C36" i="13"/>
  <c r="G17" i="15"/>
  <c r="Q36" i="13"/>
  <c r="F4" i="15" s="1"/>
  <c r="AD5" i="13"/>
  <c r="H17" i="15"/>
  <c r="Q35" i="7"/>
  <c r="F8" i="15" s="1"/>
  <c r="Q36" i="6"/>
  <c r="F7" i="15" s="1"/>
  <c r="AC35" i="9" l="1"/>
  <c r="AD35" i="9" s="1"/>
  <c r="C17" i="15"/>
  <c r="AC36" i="8"/>
  <c r="AD36" i="8" s="1"/>
  <c r="AF36" i="6"/>
  <c r="AF36" i="5"/>
  <c r="AC36" i="13"/>
  <c r="AD36" i="13"/>
  <c r="D36" i="13"/>
  <c r="B4" i="15" s="1"/>
  <c r="AD5" i="7"/>
  <c r="D35" i="7"/>
  <c r="AD8" i="14"/>
  <c r="D35" i="14"/>
  <c r="D36" i="6"/>
  <c r="B7" i="15" s="1"/>
  <c r="AD5" i="6"/>
  <c r="AC36" i="5"/>
  <c r="D36" i="1"/>
  <c r="B5" i="15" s="1"/>
  <c r="AD5" i="1"/>
  <c r="AC36" i="6"/>
  <c r="AD36" i="6" s="1"/>
  <c r="D34" i="4"/>
  <c r="AD5" i="4"/>
  <c r="AC36" i="1"/>
  <c r="AD36" i="1" s="1"/>
  <c r="F17" i="15"/>
  <c r="AD5" i="5"/>
  <c r="AD36" i="5" s="1"/>
  <c r="D36" i="5"/>
  <c r="B14" i="15" s="1"/>
  <c r="B6" i="15" l="1"/>
  <c r="AD34" i="4"/>
  <c r="B8" i="15"/>
  <c r="AD35" i="7"/>
  <c r="B3" i="15"/>
  <c r="AD35" i="14"/>
  <c r="B17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Diedrich</author>
  </authors>
  <commentList>
    <comment ref="B3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Dave Diedrich:</t>
        </r>
        <r>
          <rPr>
            <sz val="9"/>
            <color indexed="81"/>
            <rFont val="Tahoma"/>
            <family val="2"/>
          </rPr>
          <t xml:space="preserve">
Make sure 1st quarter 2018 links are set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mhull</author>
  </authors>
  <commentList>
    <comment ref="AB24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mjensen: Denver Interconnect used while SLPL was repaired.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<sst xmlns="http://schemas.openxmlformats.org/spreadsheetml/2006/main" count="462" uniqueCount="18">
  <si>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</si>
  <si>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</si>
  <si>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</si>
  <si>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</si>
  <si>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</si>
  <si>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</si>
  <si>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</si>
  <si>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</si>
  <si>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</si>
  <si>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</si>
  <si>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</si>
  <si>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</si>
  <si>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</si>
  <si>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</si>
  <si>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>TOTAL</t>
  </si>
  <si>
    <t>Standley to EGL #4</t>
  </si>
  <si>
    <t xml:space="preserve">UPDATE LINK </t>
  </si>
  <si>
    <t>Standley to EGL4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</si>
</sst>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DFD6B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5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2" fontId="0" fillId="0" borderId="6" xfId="0" applyNumberFormat="1" applyFill="1" applyBorder="1"/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Border="1"/>
    <xf numFmtId="2" fontId="0" fillId="0" borderId="10" xfId="0" applyNumberFormat="1" applyBorder="1"/>
    <xf numFmtId="0" fontId="3" fillId="0" borderId="0" xfId="0" applyFont="1" applyFill="1" applyAlignment="1"/>
    <xf numFmtId="0" fontId="0" fillId="2" borderId="0" xfId="0" applyFill="1" applyAlignment="1"/>
    <xf numFmtId="0" fontId="2" fillId="0" borderId="0" xfId="0" applyFont="1" applyFill="1"/>
    <xf numFmtId="0" fontId="3" fillId="0" borderId="0" xfId="1" applyAlignment="1">
      <alignment horizontal="left"/>
    </xf>
    <xf numFmtId="0" fontId="3" fillId="0" borderId="0" xfId="1" applyFill="1" applyBorder="1" applyAlignment="1">
      <alignment horizontal="left"/>
    </xf>
    <xf numFmtId="0" fontId="3" fillId="0" borderId="0" xfId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17" fontId="3" fillId="0" borderId="0" xfId="1" applyNumberFormat="1"/>
    <xf numFmtId="2" fontId="3" fillId="0" borderId="0" xfId="1" applyNumberFormat="1"/>
    <xf numFmtId="0" fontId="3" fillId="0" borderId="0" xfId="1"/>
    <xf numFmtId="0" fontId="3" fillId="0" borderId="0" xfId="1" applyFont="1"/>
    <xf numFmtId="0" fontId="0" fillId="0" borderId="10" xfId="0" applyFill="1" applyBorder="1" applyAlignment="1">
      <alignment horizontal="center" wrapText="1"/>
    </xf>
    <xf numFmtId="0" fontId="4" fillId="2" borderId="0" xfId="0" applyFont="1" applyFill="1" applyAlignment="1"/>
    <xf numFmtId="3" fontId="0" fillId="3" borderId="1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4" fillId="0" borderId="0" xfId="0" applyFont="1" applyFill="1" applyAlignment="1"/>
    <xf numFmtId="3" fontId="0" fillId="4" borderId="1" xfId="0" applyNumberFormat="1" applyFill="1" applyBorder="1"/>
    <xf numFmtId="2" fontId="0" fillId="4" borderId="2" xfId="0" applyNumberFormat="1" applyFill="1" applyBorder="1"/>
    <xf numFmtId="2" fontId="0" fillId="4" borderId="3" xfId="0" applyNumberFormat="1" applyFill="1" applyBorder="1"/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DFD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Operations/2017/2017%20Shift%20Sheet%204Q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Operations/2018/2018%20Shift%20Sheet%201Q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Operations/2018/2018%20Shift%20Sheet%202Q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Operations/2018/2018%20Shift%20Sheet%203Q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Operations/2018/2018%20Shift%20Sheet%204Q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Oct Chem"/>
      <sheetName val="Nov Chem"/>
      <sheetName val="Dec Chem"/>
    </sheetNames>
    <sheetDataSet>
      <sheetData sheetId="0"/>
      <sheetData sheetId="1"/>
      <sheetData sheetId="2"/>
      <sheetData sheetId="3"/>
      <sheetData sheetId="4"/>
      <sheetData sheetId="5">
        <row r="37">
          <cell r="C37">
            <v>0</v>
          </cell>
          <cell r="E37">
            <v>5000000</v>
          </cell>
          <cell r="F37">
            <v>3022000</v>
          </cell>
          <cell r="G37">
            <v>7630000</v>
          </cell>
          <cell r="I37">
            <v>0</v>
          </cell>
          <cell r="J37">
            <v>11299999.999999272</v>
          </cell>
          <cell r="T37">
            <v>1073069</v>
          </cell>
          <cell r="AB37">
            <v>0</v>
          </cell>
        </row>
        <row r="38">
          <cell r="C38">
            <v>0</v>
          </cell>
          <cell r="E38">
            <v>3000000</v>
          </cell>
          <cell r="F38">
            <v>1775000</v>
          </cell>
          <cell r="G38">
            <v>9960000</v>
          </cell>
          <cell r="I38">
            <v>0</v>
          </cell>
          <cell r="J38">
            <v>12200000.000000728</v>
          </cell>
          <cell r="T38">
            <v>1168220</v>
          </cell>
          <cell r="AB38">
            <v>0</v>
          </cell>
        </row>
        <row r="39">
          <cell r="C39">
            <v>0</v>
          </cell>
          <cell r="E39">
            <v>4000000</v>
          </cell>
          <cell r="F39">
            <v>0</v>
          </cell>
          <cell r="G39">
            <v>9190000</v>
          </cell>
          <cell r="I39">
            <v>0</v>
          </cell>
          <cell r="J39">
            <v>11099999.999999454</v>
          </cell>
          <cell r="T39">
            <v>1050120</v>
          </cell>
          <cell r="AB39">
            <v>0</v>
          </cell>
        </row>
        <row r="40">
          <cell r="C40">
            <v>0</v>
          </cell>
          <cell r="E40">
            <v>3000000</v>
          </cell>
          <cell r="F40">
            <v>0</v>
          </cell>
          <cell r="G40">
            <v>10900000</v>
          </cell>
          <cell r="I40">
            <v>0</v>
          </cell>
          <cell r="J40">
            <v>13100000.000000363</v>
          </cell>
          <cell r="T40">
            <v>1132539</v>
          </cell>
          <cell r="AB40">
            <v>0</v>
          </cell>
        </row>
        <row r="41">
          <cell r="C41">
            <v>0</v>
          </cell>
          <cell r="E41">
            <v>3000000</v>
          </cell>
          <cell r="F41">
            <v>0</v>
          </cell>
          <cell r="G41">
            <v>12640000</v>
          </cell>
          <cell r="I41">
            <v>0</v>
          </cell>
          <cell r="J41">
            <v>14099999.999999454</v>
          </cell>
          <cell r="T41">
            <v>1315934</v>
          </cell>
          <cell r="AB41">
            <v>0</v>
          </cell>
        </row>
        <row r="42">
          <cell r="C42">
            <v>0</v>
          </cell>
          <cell r="E42">
            <v>3000000</v>
          </cell>
          <cell r="F42">
            <v>0</v>
          </cell>
          <cell r="G42">
            <v>10080000</v>
          </cell>
          <cell r="I42">
            <v>0</v>
          </cell>
          <cell r="J42">
            <v>12100000.000000363</v>
          </cell>
          <cell r="T42">
            <v>1120044</v>
          </cell>
          <cell r="AB42">
            <v>0</v>
          </cell>
        </row>
        <row r="43">
          <cell r="C43">
            <v>0</v>
          </cell>
          <cell r="E43">
            <v>3000000</v>
          </cell>
          <cell r="F43">
            <v>0</v>
          </cell>
          <cell r="G43">
            <v>10000000</v>
          </cell>
          <cell r="I43">
            <v>0</v>
          </cell>
          <cell r="J43">
            <v>11300000.000000183</v>
          </cell>
          <cell r="T43">
            <v>1197178</v>
          </cell>
          <cell r="AB43">
            <v>0</v>
          </cell>
        </row>
        <row r="44">
          <cell r="C44">
            <v>0</v>
          </cell>
          <cell r="E44">
            <v>3000000</v>
          </cell>
          <cell r="F44">
            <v>0</v>
          </cell>
          <cell r="G44">
            <v>9960000</v>
          </cell>
          <cell r="I44">
            <v>0</v>
          </cell>
          <cell r="J44">
            <v>12000000</v>
          </cell>
          <cell r="T44">
            <v>1126429</v>
          </cell>
          <cell r="AB44">
            <v>0</v>
          </cell>
        </row>
        <row r="45">
          <cell r="C45">
            <v>0</v>
          </cell>
          <cell r="E45">
            <v>3000000</v>
          </cell>
          <cell r="F45">
            <v>0</v>
          </cell>
          <cell r="G45">
            <v>10020000</v>
          </cell>
          <cell r="I45">
            <v>0</v>
          </cell>
          <cell r="J45">
            <v>12199999.999999817</v>
          </cell>
          <cell r="T45">
            <v>1212792</v>
          </cell>
          <cell r="AB45">
            <v>0</v>
          </cell>
        </row>
        <row r="46">
          <cell r="C46">
            <v>0</v>
          </cell>
          <cell r="E46">
            <v>3000000</v>
          </cell>
          <cell r="F46">
            <v>0</v>
          </cell>
          <cell r="G46">
            <v>10020000</v>
          </cell>
          <cell r="I46">
            <v>0</v>
          </cell>
          <cell r="J46">
            <v>11899999.999999637</v>
          </cell>
          <cell r="T46">
            <v>1131080</v>
          </cell>
          <cell r="AB46">
            <v>0</v>
          </cell>
        </row>
        <row r="47">
          <cell r="C47">
            <v>0</v>
          </cell>
          <cell r="E47">
            <v>4000000</v>
          </cell>
          <cell r="F47">
            <v>0</v>
          </cell>
          <cell r="G47">
            <v>10000000</v>
          </cell>
          <cell r="I47">
            <v>0</v>
          </cell>
          <cell r="J47">
            <v>11900000.000000546</v>
          </cell>
          <cell r="T47">
            <v>1157402</v>
          </cell>
          <cell r="AB47">
            <v>0</v>
          </cell>
        </row>
        <row r="48">
          <cell r="C48">
            <v>0</v>
          </cell>
          <cell r="E48">
            <v>3000000</v>
          </cell>
          <cell r="F48">
            <v>0</v>
          </cell>
          <cell r="G48">
            <v>10750000</v>
          </cell>
          <cell r="I48">
            <v>0</v>
          </cell>
          <cell r="J48">
            <v>12099999.999999454</v>
          </cell>
          <cell r="T48">
            <v>1270701.5</v>
          </cell>
          <cell r="AB48">
            <v>0</v>
          </cell>
        </row>
        <row r="49">
          <cell r="C49">
            <v>0</v>
          </cell>
          <cell r="E49">
            <v>3000000</v>
          </cell>
          <cell r="F49">
            <v>0</v>
          </cell>
          <cell r="G49">
            <v>12160000</v>
          </cell>
          <cell r="I49">
            <v>0</v>
          </cell>
          <cell r="J49">
            <v>14300000.000000183</v>
          </cell>
          <cell r="T49">
            <v>1383987</v>
          </cell>
          <cell r="AB49">
            <v>0</v>
          </cell>
        </row>
        <row r="50">
          <cell r="C50">
            <v>0</v>
          </cell>
          <cell r="E50">
            <v>3000000</v>
          </cell>
          <cell r="F50">
            <v>0</v>
          </cell>
          <cell r="G50">
            <v>11820000</v>
          </cell>
          <cell r="I50">
            <v>0</v>
          </cell>
          <cell r="J50">
            <v>13100000.000000363</v>
          </cell>
          <cell r="T50">
            <v>1261217</v>
          </cell>
          <cell r="AB50">
            <v>0</v>
          </cell>
        </row>
        <row r="51">
          <cell r="C51">
            <v>0</v>
          </cell>
          <cell r="E51">
            <v>3000000</v>
          </cell>
          <cell r="F51">
            <v>0</v>
          </cell>
          <cell r="G51">
            <v>9910000</v>
          </cell>
          <cell r="I51">
            <v>0</v>
          </cell>
          <cell r="J51">
            <v>11599999.999999454</v>
          </cell>
          <cell r="T51">
            <v>1169627</v>
          </cell>
          <cell r="AB51">
            <v>0</v>
          </cell>
        </row>
        <row r="52">
          <cell r="C52">
            <v>0</v>
          </cell>
          <cell r="E52">
            <v>3000000</v>
          </cell>
          <cell r="F52">
            <v>0</v>
          </cell>
          <cell r="G52">
            <v>9980000</v>
          </cell>
          <cell r="I52">
            <v>0</v>
          </cell>
          <cell r="J52">
            <v>11500000</v>
          </cell>
          <cell r="T52">
            <v>1197989</v>
          </cell>
          <cell r="AB52">
            <v>308999.9999999975</v>
          </cell>
        </row>
        <row r="53">
          <cell r="C53">
            <v>0</v>
          </cell>
          <cell r="E53">
            <v>3000000</v>
          </cell>
          <cell r="F53">
            <v>0</v>
          </cell>
          <cell r="G53">
            <v>10890000</v>
          </cell>
          <cell r="I53">
            <v>0</v>
          </cell>
          <cell r="J53">
            <v>12900000.000000546</v>
          </cell>
          <cell r="T53">
            <v>1204992</v>
          </cell>
          <cell r="AB53">
            <v>381999.9999999979</v>
          </cell>
        </row>
        <row r="54">
          <cell r="C54">
            <v>0</v>
          </cell>
          <cell r="E54">
            <v>3000000</v>
          </cell>
          <cell r="F54">
            <v>0</v>
          </cell>
          <cell r="G54">
            <v>12070000</v>
          </cell>
          <cell r="I54">
            <v>0</v>
          </cell>
          <cell r="J54">
            <v>13899999.999999637</v>
          </cell>
          <cell r="T54">
            <v>1336907</v>
          </cell>
          <cell r="AB54">
            <v>0</v>
          </cell>
        </row>
        <row r="55">
          <cell r="C55">
            <v>0</v>
          </cell>
          <cell r="E55">
            <v>3000000</v>
          </cell>
          <cell r="F55">
            <v>0</v>
          </cell>
          <cell r="G55">
            <v>11860000</v>
          </cell>
          <cell r="I55">
            <v>0</v>
          </cell>
          <cell r="J55">
            <v>13100000.000000363</v>
          </cell>
          <cell r="T55">
            <v>1342285</v>
          </cell>
          <cell r="AB55">
            <v>0</v>
          </cell>
        </row>
        <row r="56">
          <cell r="C56">
            <v>1000000</v>
          </cell>
          <cell r="E56">
            <v>3000000</v>
          </cell>
          <cell r="F56">
            <v>0</v>
          </cell>
          <cell r="G56">
            <v>8270000</v>
          </cell>
          <cell r="I56">
            <v>1000000</v>
          </cell>
          <cell r="J56">
            <v>10300000.000000183</v>
          </cell>
          <cell r="T56">
            <v>1049898</v>
          </cell>
          <cell r="AB56">
            <v>0</v>
          </cell>
        </row>
        <row r="57">
          <cell r="C57">
            <v>5200000</v>
          </cell>
          <cell r="E57">
            <v>3000000</v>
          </cell>
          <cell r="F57">
            <v>0</v>
          </cell>
          <cell r="G57">
            <v>5200000</v>
          </cell>
          <cell r="I57">
            <v>5074000</v>
          </cell>
          <cell r="J57">
            <v>7699999.9999998184</v>
          </cell>
          <cell r="T57">
            <v>794557</v>
          </cell>
          <cell r="AB57">
            <v>121999.99999999988</v>
          </cell>
        </row>
        <row r="58">
          <cell r="C58">
            <v>5483000</v>
          </cell>
          <cell r="E58">
            <v>3000000</v>
          </cell>
          <cell r="F58">
            <v>498000</v>
          </cell>
          <cell r="G58">
            <v>4950000</v>
          </cell>
          <cell r="I58">
            <v>5304000.0000000009</v>
          </cell>
          <cell r="J58">
            <v>7099999.9999994542</v>
          </cell>
          <cell r="T58">
            <v>700505</v>
          </cell>
          <cell r="AB58">
            <v>173999.99999999948</v>
          </cell>
        </row>
        <row r="59">
          <cell r="C59">
            <v>5604000</v>
          </cell>
          <cell r="E59">
            <v>3000000</v>
          </cell>
          <cell r="F59">
            <v>1354000</v>
          </cell>
          <cell r="G59">
            <v>5030000</v>
          </cell>
          <cell r="I59">
            <v>5477999.9999999953</v>
          </cell>
          <cell r="J59">
            <v>7200000.0000007274</v>
          </cell>
          <cell r="T59">
            <v>728075</v>
          </cell>
          <cell r="AB59">
            <v>123000.00000000466</v>
          </cell>
        </row>
        <row r="60">
          <cell r="C60">
            <v>6363000</v>
          </cell>
          <cell r="E60">
            <v>3000000</v>
          </cell>
          <cell r="F60">
            <v>1556000</v>
          </cell>
          <cell r="G60">
            <v>5030000</v>
          </cell>
          <cell r="I60">
            <v>6184000.0000000009</v>
          </cell>
          <cell r="J60">
            <v>7299999.9999992726</v>
          </cell>
          <cell r="T60">
            <v>754375</v>
          </cell>
          <cell r="AB60">
            <v>173999.99999999948</v>
          </cell>
        </row>
        <row r="61">
          <cell r="C61">
            <v>6205000</v>
          </cell>
          <cell r="E61">
            <v>3000000</v>
          </cell>
          <cell r="F61">
            <v>1546000</v>
          </cell>
          <cell r="G61">
            <v>5000000</v>
          </cell>
          <cell r="I61">
            <v>6081000.0000000047</v>
          </cell>
          <cell r="J61">
            <v>7200000.0000007274</v>
          </cell>
          <cell r="T61">
            <v>768450</v>
          </cell>
          <cell r="AB61">
            <v>120999.99999999511</v>
          </cell>
        </row>
        <row r="62">
          <cell r="C62">
            <v>5153000</v>
          </cell>
          <cell r="E62">
            <v>3000000</v>
          </cell>
          <cell r="F62">
            <v>1535000</v>
          </cell>
          <cell r="G62">
            <v>5000000</v>
          </cell>
          <cell r="I62">
            <v>4956999.9999999972</v>
          </cell>
          <cell r="J62">
            <v>7199999.9999998184</v>
          </cell>
          <cell r="T62">
            <v>722999</v>
          </cell>
          <cell r="AB62">
            <v>191000.0000000025</v>
          </cell>
        </row>
        <row r="63">
          <cell r="C63">
            <v>5074000</v>
          </cell>
          <cell r="E63">
            <v>3000000</v>
          </cell>
          <cell r="F63">
            <v>1533000</v>
          </cell>
          <cell r="G63">
            <v>5010000</v>
          </cell>
          <cell r="I63">
            <v>4961999.9999999981</v>
          </cell>
          <cell r="J63">
            <v>7099999.9999994542</v>
          </cell>
          <cell r="T63">
            <v>725736</v>
          </cell>
          <cell r="AB63">
            <v>109000.00000000176</v>
          </cell>
        </row>
        <row r="64">
          <cell r="C64">
            <v>5843000</v>
          </cell>
          <cell r="E64">
            <v>3000000</v>
          </cell>
          <cell r="F64">
            <v>1515000</v>
          </cell>
          <cell r="G64">
            <v>4980000</v>
          </cell>
          <cell r="I64">
            <v>5720000.0000000028</v>
          </cell>
          <cell r="J64">
            <v>7200000.0000007274</v>
          </cell>
          <cell r="T64">
            <v>722017</v>
          </cell>
          <cell r="AB64">
            <v>119999.99999999744</v>
          </cell>
        </row>
        <row r="65">
          <cell r="C65">
            <v>6617000</v>
          </cell>
          <cell r="E65">
            <v>3000000</v>
          </cell>
          <cell r="F65">
            <v>1523000</v>
          </cell>
          <cell r="G65">
            <v>4980000</v>
          </cell>
          <cell r="I65">
            <v>6486000</v>
          </cell>
          <cell r="J65">
            <v>7099999.9999994542</v>
          </cell>
          <cell r="T65">
            <v>745873</v>
          </cell>
          <cell r="AB65">
            <v>128000.00000000012</v>
          </cell>
        </row>
        <row r="66">
          <cell r="C66">
            <v>8495000</v>
          </cell>
          <cell r="E66">
            <v>1000000</v>
          </cell>
          <cell r="F66">
            <v>678000</v>
          </cell>
          <cell r="G66">
            <v>4940000</v>
          </cell>
          <cell r="I66">
            <v>8322999.9999999981</v>
          </cell>
          <cell r="J66">
            <v>4900000.0000005458</v>
          </cell>
          <cell r="T66">
            <v>635315</v>
          </cell>
          <cell r="AB66">
            <v>167000.0000000016</v>
          </cell>
        </row>
        <row r="67">
          <cell r="C67">
            <v>12086000</v>
          </cell>
          <cell r="E67">
            <v>0</v>
          </cell>
          <cell r="F67">
            <v>0</v>
          </cell>
          <cell r="G67">
            <v>4520000</v>
          </cell>
          <cell r="I67">
            <v>11767999.999999998</v>
          </cell>
          <cell r="J67">
            <v>0</v>
          </cell>
          <cell r="T67">
            <v>6151</v>
          </cell>
          <cell r="AB67">
            <v>310000.00000000227</v>
          </cell>
        </row>
        <row r="68">
          <cell r="C68">
            <v>12022000</v>
          </cell>
          <cell r="E68">
            <v>0</v>
          </cell>
          <cell r="F68">
            <v>0</v>
          </cell>
          <cell r="G68">
            <v>4960000</v>
          </cell>
          <cell r="I68">
            <v>11911000.000000004</v>
          </cell>
          <cell r="J68">
            <v>0</v>
          </cell>
          <cell r="T68">
            <v>456746</v>
          </cell>
          <cell r="AB68">
            <v>107999.99999999699</v>
          </cell>
        </row>
        <row r="69">
          <cell r="C69">
            <v>13056000</v>
          </cell>
          <cell r="E69">
            <v>0</v>
          </cell>
          <cell r="F69">
            <v>0</v>
          </cell>
          <cell r="G69">
            <v>5020000</v>
          </cell>
          <cell r="I69">
            <v>12799999.999999998</v>
          </cell>
          <cell r="J69">
            <v>0</v>
          </cell>
          <cell r="T69">
            <v>0</v>
          </cell>
          <cell r="AB69">
            <v>249000.00000000233</v>
          </cell>
        </row>
        <row r="70">
          <cell r="C70">
            <v>13054000</v>
          </cell>
          <cell r="E70">
            <v>0</v>
          </cell>
          <cell r="F70">
            <v>0</v>
          </cell>
          <cell r="G70">
            <v>4830000</v>
          </cell>
          <cell r="I70">
            <v>12745000.000000006</v>
          </cell>
          <cell r="J70">
            <v>0</v>
          </cell>
          <cell r="T70">
            <v>0</v>
          </cell>
          <cell r="AB70">
            <v>300999.99999999482</v>
          </cell>
        </row>
        <row r="71">
          <cell r="C71">
            <v>13103000</v>
          </cell>
          <cell r="E71">
            <v>3000000</v>
          </cell>
          <cell r="F71">
            <v>0</v>
          </cell>
          <cell r="G71">
            <v>2080000</v>
          </cell>
          <cell r="I71">
            <v>12867999.999999994</v>
          </cell>
          <cell r="J71">
            <v>0</v>
          </cell>
          <cell r="T71">
            <v>0</v>
          </cell>
          <cell r="AB71">
            <v>229000.00000000632</v>
          </cell>
        </row>
        <row r="72">
          <cell r="C72">
            <v>13410000</v>
          </cell>
          <cell r="E72">
            <v>5000000</v>
          </cell>
          <cell r="F72">
            <v>0</v>
          </cell>
          <cell r="G72">
            <v>0</v>
          </cell>
          <cell r="I72">
            <v>13104000.000000006</v>
          </cell>
          <cell r="J72">
            <v>0</v>
          </cell>
          <cell r="T72">
            <v>389197</v>
          </cell>
          <cell r="AB72">
            <v>297999.9999999947</v>
          </cell>
        </row>
        <row r="73">
          <cell r="C73">
            <v>13590000</v>
          </cell>
          <cell r="E73">
            <v>5000000</v>
          </cell>
          <cell r="F73">
            <v>0</v>
          </cell>
          <cell r="G73">
            <v>0</v>
          </cell>
          <cell r="I73">
            <v>13333000</v>
          </cell>
          <cell r="J73">
            <v>0</v>
          </cell>
          <cell r="T73">
            <v>374506</v>
          </cell>
          <cell r="AB73">
            <v>250000</v>
          </cell>
        </row>
        <row r="74">
          <cell r="C74">
            <v>12367000</v>
          </cell>
          <cell r="E74">
            <v>5000000</v>
          </cell>
          <cell r="F74">
            <v>0</v>
          </cell>
          <cell r="G74">
            <v>0</v>
          </cell>
          <cell r="I74">
            <v>12196999.999999996</v>
          </cell>
          <cell r="J74">
            <v>0</v>
          </cell>
          <cell r="T74">
            <v>294184</v>
          </cell>
          <cell r="AB74">
            <v>166000.00000000393</v>
          </cell>
        </row>
        <row r="75">
          <cell r="C75">
            <v>12193000</v>
          </cell>
          <cell r="E75">
            <v>3000000</v>
          </cell>
          <cell r="F75">
            <v>0</v>
          </cell>
          <cell r="G75">
            <v>0</v>
          </cell>
          <cell r="I75">
            <v>11886000.000000006</v>
          </cell>
          <cell r="J75">
            <v>0</v>
          </cell>
          <cell r="T75">
            <v>0</v>
          </cell>
          <cell r="AB75">
            <v>297999.9999999947</v>
          </cell>
        </row>
        <row r="76">
          <cell r="C76">
            <v>12767000</v>
          </cell>
          <cell r="E76">
            <v>0</v>
          </cell>
          <cell r="F76">
            <v>0</v>
          </cell>
          <cell r="G76">
            <v>0</v>
          </cell>
          <cell r="I76">
            <v>12508999.999999998</v>
          </cell>
          <cell r="J76">
            <v>0</v>
          </cell>
          <cell r="T76">
            <v>0</v>
          </cell>
          <cell r="AB76">
            <v>252000.00000000244</v>
          </cell>
        </row>
        <row r="77">
          <cell r="C77">
            <v>12961000</v>
          </cell>
          <cell r="E77">
            <v>1000000</v>
          </cell>
          <cell r="F77">
            <v>0</v>
          </cell>
          <cell r="G77">
            <v>0</v>
          </cell>
          <cell r="I77">
            <v>12654000</v>
          </cell>
          <cell r="J77">
            <v>0</v>
          </cell>
          <cell r="T77">
            <v>0</v>
          </cell>
          <cell r="AB77">
            <v>298999.99999999948</v>
          </cell>
        </row>
        <row r="78">
          <cell r="C78">
            <v>13406000</v>
          </cell>
          <cell r="E78">
            <v>0</v>
          </cell>
          <cell r="F78">
            <v>0</v>
          </cell>
          <cell r="G78">
            <v>0</v>
          </cell>
          <cell r="I78">
            <v>13108000</v>
          </cell>
          <cell r="J78">
            <v>0</v>
          </cell>
          <cell r="T78">
            <v>0</v>
          </cell>
          <cell r="AB78">
            <v>289999.99999999913</v>
          </cell>
        </row>
        <row r="79">
          <cell r="C79">
            <v>13512000</v>
          </cell>
          <cell r="E79">
            <v>0</v>
          </cell>
          <cell r="F79">
            <v>0</v>
          </cell>
          <cell r="G79">
            <v>0</v>
          </cell>
          <cell r="I79">
            <v>13267999.999999998</v>
          </cell>
          <cell r="J79">
            <v>0</v>
          </cell>
          <cell r="T79">
            <v>0</v>
          </cell>
          <cell r="AB79">
            <v>237000.00000000186</v>
          </cell>
        </row>
        <row r="80">
          <cell r="C80">
            <v>13417000</v>
          </cell>
          <cell r="E80">
            <v>0</v>
          </cell>
          <cell r="F80">
            <v>0</v>
          </cell>
          <cell r="G80">
            <v>0</v>
          </cell>
          <cell r="I80">
            <v>13113000</v>
          </cell>
          <cell r="J80">
            <v>0</v>
          </cell>
          <cell r="T80">
            <v>153694</v>
          </cell>
          <cell r="AB80">
            <v>295999.99999999936</v>
          </cell>
        </row>
        <row r="81">
          <cell r="C81">
            <v>13485000</v>
          </cell>
          <cell r="E81">
            <v>0</v>
          </cell>
          <cell r="F81">
            <v>0</v>
          </cell>
          <cell r="G81">
            <v>0</v>
          </cell>
          <cell r="I81">
            <v>13295999.999999998</v>
          </cell>
          <cell r="J81">
            <v>0</v>
          </cell>
          <cell r="T81">
            <v>105677</v>
          </cell>
          <cell r="AB81">
            <v>185000.00000000227</v>
          </cell>
        </row>
        <row r="82">
          <cell r="C82">
            <v>12553000</v>
          </cell>
          <cell r="E82">
            <v>0</v>
          </cell>
          <cell r="F82">
            <v>0</v>
          </cell>
          <cell r="G82">
            <v>0</v>
          </cell>
          <cell r="I82">
            <v>12248000</v>
          </cell>
          <cell r="J82">
            <v>0</v>
          </cell>
          <cell r="T82">
            <v>0</v>
          </cell>
          <cell r="AB82">
            <v>295999.99999999936</v>
          </cell>
        </row>
        <row r="83">
          <cell r="C83">
            <v>11475000</v>
          </cell>
          <cell r="E83">
            <v>0</v>
          </cell>
          <cell r="F83">
            <v>0</v>
          </cell>
          <cell r="G83">
            <v>0</v>
          </cell>
          <cell r="I83">
            <v>11171999.999999998</v>
          </cell>
          <cell r="J83">
            <v>0</v>
          </cell>
          <cell r="T83">
            <v>0</v>
          </cell>
          <cell r="AB83">
            <v>295000.00000000169</v>
          </cell>
        </row>
        <row r="84">
          <cell r="C84">
            <v>11915000</v>
          </cell>
          <cell r="E84">
            <v>0</v>
          </cell>
          <cell r="F84">
            <v>0</v>
          </cell>
          <cell r="G84">
            <v>0</v>
          </cell>
          <cell r="I84">
            <v>11789000.000000002</v>
          </cell>
          <cell r="J84">
            <v>0</v>
          </cell>
          <cell r="T84">
            <v>0</v>
          </cell>
          <cell r="AB84">
            <v>122999.99999999756</v>
          </cell>
        </row>
        <row r="85">
          <cell r="C85">
            <v>12712000</v>
          </cell>
          <cell r="E85">
            <v>0</v>
          </cell>
          <cell r="F85">
            <v>0</v>
          </cell>
          <cell r="G85">
            <v>0</v>
          </cell>
          <cell r="I85">
            <v>12470000.000000004</v>
          </cell>
          <cell r="J85">
            <v>0</v>
          </cell>
          <cell r="T85">
            <v>0</v>
          </cell>
          <cell r="AB85">
            <v>235999.99999999709</v>
          </cell>
        </row>
        <row r="86">
          <cell r="C86">
            <v>13010000</v>
          </cell>
          <cell r="E86">
            <v>0</v>
          </cell>
          <cell r="F86">
            <v>0</v>
          </cell>
          <cell r="G86">
            <v>0</v>
          </cell>
          <cell r="I86">
            <v>12704999.999999996</v>
          </cell>
          <cell r="J86">
            <v>0</v>
          </cell>
          <cell r="T86">
            <v>97599</v>
          </cell>
          <cell r="AB86">
            <v>297000.00000000413</v>
          </cell>
        </row>
        <row r="87">
          <cell r="C87">
            <v>12101000</v>
          </cell>
          <cell r="E87">
            <v>0</v>
          </cell>
          <cell r="F87">
            <v>0</v>
          </cell>
          <cell r="G87">
            <v>0</v>
          </cell>
          <cell r="I87">
            <v>11802000.000000004</v>
          </cell>
          <cell r="J87">
            <v>0</v>
          </cell>
          <cell r="T87">
            <v>98979</v>
          </cell>
          <cell r="AB87">
            <v>290999.9999999968</v>
          </cell>
        </row>
        <row r="88">
          <cell r="C88">
            <v>12237000</v>
          </cell>
          <cell r="E88">
            <v>0</v>
          </cell>
          <cell r="F88">
            <v>0</v>
          </cell>
          <cell r="G88">
            <v>0</v>
          </cell>
          <cell r="I88">
            <v>11980000</v>
          </cell>
          <cell r="J88">
            <v>0</v>
          </cell>
          <cell r="T88">
            <v>82147</v>
          </cell>
          <cell r="AB88">
            <v>250000</v>
          </cell>
        </row>
        <row r="89">
          <cell r="C89">
            <v>13120000</v>
          </cell>
          <cell r="E89">
            <v>0</v>
          </cell>
          <cell r="F89">
            <v>0</v>
          </cell>
          <cell r="G89">
            <v>10000</v>
          </cell>
          <cell r="I89">
            <v>12877999.999999996</v>
          </cell>
          <cell r="J89">
            <v>0</v>
          </cell>
          <cell r="T89">
            <v>0</v>
          </cell>
          <cell r="AB89">
            <v>236000.00000000422</v>
          </cell>
        </row>
        <row r="90">
          <cell r="C90">
            <v>13186000</v>
          </cell>
          <cell r="E90">
            <v>0</v>
          </cell>
          <cell r="F90">
            <v>0</v>
          </cell>
          <cell r="G90">
            <v>0</v>
          </cell>
          <cell r="I90">
            <v>12880000.000000006</v>
          </cell>
          <cell r="J90">
            <v>0</v>
          </cell>
          <cell r="T90">
            <v>0</v>
          </cell>
          <cell r="AB90">
            <v>297999.9999999947</v>
          </cell>
        </row>
        <row r="91">
          <cell r="C91">
            <v>12921000</v>
          </cell>
          <cell r="E91">
            <v>0</v>
          </cell>
          <cell r="F91">
            <v>0</v>
          </cell>
          <cell r="G91">
            <v>0</v>
          </cell>
          <cell r="I91">
            <v>12732000</v>
          </cell>
          <cell r="J91">
            <v>0</v>
          </cell>
          <cell r="T91">
            <v>0</v>
          </cell>
          <cell r="AB91">
            <v>182999.99999999983</v>
          </cell>
        </row>
        <row r="92">
          <cell r="C92">
            <v>13159000</v>
          </cell>
          <cell r="E92">
            <v>0</v>
          </cell>
          <cell r="F92">
            <v>0</v>
          </cell>
          <cell r="G92">
            <v>0</v>
          </cell>
          <cell r="I92">
            <v>12917999.999999993</v>
          </cell>
          <cell r="J92">
            <v>0</v>
          </cell>
          <cell r="T92">
            <v>120757</v>
          </cell>
          <cell r="AB92">
            <v>235000.00000000655</v>
          </cell>
        </row>
        <row r="93">
          <cell r="C93">
            <v>12493000</v>
          </cell>
          <cell r="E93">
            <v>0</v>
          </cell>
          <cell r="F93">
            <v>0</v>
          </cell>
          <cell r="G93">
            <v>0</v>
          </cell>
          <cell r="I93">
            <v>12190000.000000006</v>
          </cell>
          <cell r="J93">
            <v>0</v>
          </cell>
          <cell r="T93">
            <v>0</v>
          </cell>
          <cell r="AB93">
            <v>294999.99999999459</v>
          </cell>
        </row>
        <row r="94">
          <cell r="C94">
            <v>12819000</v>
          </cell>
          <cell r="E94">
            <v>0</v>
          </cell>
          <cell r="F94">
            <v>0</v>
          </cell>
          <cell r="G94">
            <v>0</v>
          </cell>
          <cell r="I94">
            <v>12632999.999999998</v>
          </cell>
          <cell r="J94">
            <v>0</v>
          </cell>
          <cell r="T94">
            <v>42414</v>
          </cell>
          <cell r="AB94">
            <v>182000.00000000215</v>
          </cell>
        </row>
        <row r="95">
          <cell r="C95">
            <v>12906000</v>
          </cell>
          <cell r="E95">
            <v>0</v>
          </cell>
          <cell r="F95">
            <v>0</v>
          </cell>
          <cell r="G95">
            <v>0</v>
          </cell>
          <cell r="I95">
            <v>12600000.000000004</v>
          </cell>
          <cell r="J95">
            <v>0</v>
          </cell>
          <cell r="T95">
            <v>0</v>
          </cell>
          <cell r="AB95">
            <v>296999.99999999703</v>
          </cell>
        </row>
        <row r="96">
          <cell r="C96">
            <v>12071000</v>
          </cell>
          <cell r="E96">
            <v>0</v>
          </cell>
          <cell r="F96">
            <v>0</v>
          </cell>
          <cell r="G96">
            <v>0</v>
          </cell>
          <cell r="I96">
            <v>11764999.999999998</v>
          </cell>
          <cell r="J96">
            <v>0</v>
          </cell>
          <cell r="T96">
            <v>41253</v>
          </cell>
          <cell r="AB96">
            <v>298000.0000000018</v>
          </cell>
        </row>
        <row r="97">
          <cell r="C97">
            <v>11470000</v>
          </cell>
          <cell r="E97">
            <v>0</v>
          </cell>
          <cell r="F97">
            <v>0</v>
          </cell>
          <cell r="G97">
            <v>0</v>
          </cell>
          <cell r="I97">
            <v>11235999.999999998</v>
          </cell>
          <cell r="J97">
            <v>0</v>
          </cell>
          <cell r="T97">
            <v>84666</v>
          </cell>
          <cell r="AB97">
            <v>228000.00000000154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Jan"/>
      <sheetName val="Feb"/>
      <sheetName val="Mar"/>
    </sheetNames>
    <sheetDataSet>
      <sheetData sheetId="0"/>
      <sheetData sheetId="1"/>
      <sheetData sheetId="2"/>
      <sheetData sheetId="3"/>
      <sheetData sheetId="4"/>
      <sheetData sheetId="5">
        <row r="6">
          <cell r="C6">
            <v>12817000</v>
          </cell>
          <cell r="E6">
            <v>0</v>
          </cell>
          <cell r="F6">
            <v>0</v>
          </cell>
          <cell r="G6">
            <v>0</v>
          </cell>
          <cell r="I6">
            <v>12558999.999999998</v>
          </cell>
          <cell r="J6">
            <v>0</v>
          </cell>
          <cell r="T6">
            <v>0</v>
          </cell>
          <cell r="AB6">
            <v>252000.00000000244</v>
          </cell>
        </row>
        <row r="7">
          <cell r="C7">
            <v>14061000</v>
          </cell>
          <cell r="E7">
            <v>0</v>
          </cell>
          <cell r="F7">
            <v>0</v>
          </cell>
          <cell r="G7">
            <v>0</v>
          </cell>
          <cell r="I7">
            <v>13822000</v>
          </cell>
          <cell r="J7">
            <v>0</v>
          </cell>
          <cell r="T7">
            <v>0</v>
          </cell>
          <cell r="AB7">
            <v>231999.99999999933</v>
          </cell>
        </row>
        <row r="8">
          <cell r="C8">
            <v>13602000</v>
          </cell>
          <cell r="E8">
            <v>0</v>
          </cell>
          <cell r="F8">
            <v>0</v>
          </cell>
          <cell r="G8">
            <v>0</v>
          </cell>
          <cell r="I8">
            <v>13371000.000000006</v>
          </cell>
          <cell r="J8">
            <v>0</v>
          </cell>
          <cell r="T8">
            <v>0</v>
          </cell>
          <cell r="AB8">
            <v>224999.99999999432</v>
          </cell>
        </row>
        <row r="9">
          <cell r="C9">
            <v>11691000</v>
          </cell>
          <cell r="E9">
            <v>0</v>
          </cell>
          <cell r="F9">
            <v>0</v>
          </cell>
          <cell r="G9">
            <v>0</v>
          </cell>
          <cell r="I9">
            <v>11379999.999999996</v>
          </cell>
          <cell r="J9">
            <v>0</v>
          </cell>
          <cell r="T9">
            <v>41014</v>
          </cell>
          <cell r="AB9">
            <v>303000.00000000437</v>
          </cell>
        </row>
        <row r="10">
          <cell r="C10">
            <v>12977000</v>
          </cell>
          <cell r="E10">
            <v>0</v>
          </cell>
          <cell r="F10">
            <v>0</v>
          </cell>
          <cell r="G10">
            <v>0</v>
          </cell>
          <cell r="I10">
            <v>12679000</v>
          </cell>
          <cell r="J10">
            <v>0</v>
          </cell>
          <cell r="T10">
            <v>0</v>
          </cell>
          <cell r="AB10">
            <v>289999.99999999913</v>
          </cell>
        </row>
        <row r="11">
          <cell r="C11">
            <v>13439000</v>
          </cell>
          <cell r="E11">
            <v>0</v>
          </cell>
          <cell r="F11">
            <v>0</v>
          </cell>
          <cell r="G11">
            <v>0</v>
          </cell>
          <cell r="I11">
            <v>13200000</v>
          </cell>
          <cell r="J11">
            <v>0</v>
          </cell>
          <cell r="T11">
            <v>0</v>
          </cell>
          <cell r="AB11">
            <v>231999.99999999933</v>
          </cell>
        </row>
        <row r="12">
          <cell r="C12">
            <v>13617000</v>
          </cell>
          <cell r="E12">
            <v>0</v>
          </cell>
          <cell r="F12">
            <v>2000</v>
          </cell>
          <cell r="G12">
            <v>0</v>
          </cell>
          <cell r="I12">
            <v>13434000.000000002</v>
          </cell>
          <cell r="J12">
            <v>0</v>
          </cell>
          <cell r="T12">
            <v>0</v>
          </cell>
          <cell r="AB12">
            <v>177999.99999999726</v>
          </cell>
        </row>
        <row r="13">
          <cell r="C13">
            <v>13159000</v>
          </cell>
          <cell r="E13">
            <v>0</v>
          </cell>
          <cell r="F13">
            <v>0</v>
          </cell>
          <cell r="G13">
            <v>0</v>
          </cell>
          <cell r="I13">
            <v>12922999.999999996</v>
          </cell>
          <cell r="J13">
            <v>0</v>
          </cell>
          <cell r="T13">
            <v>1</v>
          </cell>
          <cell r="AB13">
            <v>230000.00000000399</v>
          </cell>
        </row>
        <row r="14">
          <cell r="C14">
            <v>12100000</v>
          </cell>
          <cell r="E14">
            <v>0</v>
          </cell>
          <cell r="F14">
            <v>0</v>
          </cell>
          <cell r="G14">
            <v>0</v>
          </cell>
          <cell r="I14">
            <v>11821000</v>
          </cell>
          <cell r="J14">
            <v>0</v>
          </cell>
          <cell r="T14">
            <v>0</v>
          </cell>
          <cell r="AB14">
            <v>271000.00000000081</v>
          </cell>
        </row>
        <row r="15">
          <cell r="C15">
            <v>12758000</v>
          </cell>
          <cell r="E15">
            <v>0</v>
          </cell>
          <cell r="F15">
            <v>0</v>
          </cell>
          <cell r="G15">
            <v>0</v>
          </cell>
          <cell r="I15">
            <v>12411000.000000004</v>
          </cell>
          <cell r="J15">
            <v>0</v>
          </cell>
          <cell r="T15">
            <v>0</v>
          </cell>
          <cell r="AB15">
            <v>336999.99999999622</v>
          </cell>
        </row>
        <row r="16">
          <cell r="C16">
            <v>13310000</v>
          </cell>
          <cell r="E16">
            <v>0</v>
          </cell>
          <cell r="F16">
            <v>0</v>
          </cell>
          <cell r="G16">
            <v>0</v>
          </cell>
          <cell r="I16">
            <v>13141000</v>
          </cell>
          <cell r="J16">
            <v>0</v>
          </cell>
          <cell r="T16">
            <v>0</v>
          </cell>
          <cell r="AB16">
            <v>164999.99999999916</v>
          </cell>
        </row>
        <row r="17">
          <cell r="C17">
            <v>12350000</v>
          </cell>
          <cell r="E17">
            <v>0</v>
          </cell>
          <cell r="F17">
            <v>0</v>
          </cell>
          <cell r="G17">
            <v>0</v>
          </cell>
          <cell r="I17">
            <v>12172999.999999996</v>
          </cell>
          <cell r="J17">
            <v>0</v>
          </cell>
          <cell r="T17">
            <v>0</v>
          </cell>
          <cell r="AB17">
            <v>172000.00000000416</v>
          </cell>
        </row>
        <row r="18">
          <cell r="C18">
            <v>12124000</v>
          </cell>
          <cell r="E18">
            <v>0</v>
          </cell>
          <cell r="F18">
            <v>0</v>
          </cell>
          <cell r="G18">
            <v>0</v>
          </cell>
          <cell r="I18">
            <v>11848000</v>
          </cell>
          <cell r="J18">
            <v>0</v>
          </cell>
          <cell r="T18">
            <v>0</v>
          </cell>
          <cell r="AB18">
            <v>268000.0000000007</v>
          </cell>
        </row>
        <row r="19">
          <cell r="C19">
            <v>11872000</v>
          </cell>
          <cell r="E19">
            <v>0</v>
          </cell>
          <cell r="F19">
            <v>0</v>
          </cell>
          <cell r="G19">
            <v>0</v>
          </cell>
          <cell r="I19">
            <v>11633999.999999998</v>
          </cell>
          <cell r="J19">
            <v>0</v>
          </cell>
          <cell r="T19">
            <v>0</v>
          </cell>
          <cell r="AB19">
            <v>231000.00000000166</v>
          </cell>
        </row>
        <row r="20">
          <cell r="C20">
            <v>12181000</v>
          </cell>
          <cell r="E20">
            <v>0</v>
          </cell>
          <cell r="F20">
            <v>0</v>
          </cell>
          <cell r="G20">
            <v>0</v>
          </cell>
          <cell r="I20">
            <v>11889000.000000002</v>
          </cell>
          <cell r="J20">
            <v>0</v>
          </cell>
          <cell r="T20">
            <v>0</v>
          </cell>
          <cell r="AB20">
            <v>283999.99999999889</v>
          </cell>
        </row>
        <row r="21">
          <cell r="C21">
            <v>12538000</v>
          </cell>
          <cell r="E21">
            <v>0</v>
          </cell>
          <cell r="F21">
            <v>0</v>
          </cell>
          <cell r="G21">
            <v>0</v>
          </cell>
          <cell r="I21">
            <v>12306000</v>
          </cell>
          <cell r="J21">
            <v>0</v>
          </cell>
          <cell r="T21">
            <v>0</v>
          </cell>
          <cell r="AB21">
            <v>225999.9999999991</v>
          </cell>
        </row>
        <row r="22">
          <cell r="C22">
            <v>12955000</v>
          </cell>
          <cell r="E22">
            <v>0</v>
          </cell>
          <cell r="F22">
            <v>0</v>
          </cell>
          <cell r="G22">
            <v>0</v>
          </cell>
          <cell r="I22">
            <v>12833000.000000002</v>
          </cell>
          <cell r="J22">
            <v>0</v>
          </cell>
          <cell r="T22">
            <v>0</v>
          </cell>
          <cell r="AB22">
            <v>116999.99999999732</v>
          </cell>
        </row>
        <row r="23">
          <cell r="C23">
            <v>13030000</v>
          </cell>
          <cell r="E23">
            <v>0</v>
          </cell>
          <cell r="F23">
            <v>0</v>
          </cell>
          <cell r="G23">
            <v>0</v>
          </cell>
          <cell r="I23">
            <v>12743999.999999996</v>
          </cell>
          <cell r="J23">
            <v>0</v>
          </cell>
          <cell r="T23">
            <v>211740</v>
          </cell>
          <cell r="AB23">
            <v>279000.00000000349</v>
          </cell>
        </row>
        <row r="24">
          <cell r="C24">
            <v>13009000</v>
          </cell>
          <cell r="E24">
            <v>0</v>
          </cell>
          <cell r="F24">
            <v>3000</v>
          </cell>
          <cell r="G24">
            <v>0</v>
          </cell>
          <cell r="I24">
            <v>12725000.000000004</v>
          </cell>
          <cell r="J24">
            <v>0</v>
          </cell>
          <cell r="T24">
            <v>8597</v>
          </cell>
          <cell r="AB24">
            <v>275999.99999999627</v>
          </cell>
        </row>
        <row r="25">
          <cell r="C25">
            <v>12995000</v>
          </cell>
          <cell r="E25">
            <v>0</v>
          </cell>
          <cell r="F25">
            <v>0</v>
          </cell>
          <cell r="G25">
            <v>0</v>
          </cell>
          <cell r="I25">
            <v>12716999.999999996</v>
          </cell>
          <cell r="J25">
            <v>0</v>
          </cell>
          <cell r="T25">
            <v>0</v>
          </cell>
          <cell r="AB25">
            <v>270000.00000000314</v>
          </cell>
        </row>
        <row r="26">
          <cell r="C26">
            <v>13154000</v>
          </cell>
          <cell r="E26">
            <v>0</v>
          </cell>
          <cell r="F26">
            <v>0</v>
          </cell>
          <cell r="G26">
            <v>0</v>
          </cell>
          <cell r="I26">
            <v>12916999.999999998</v>
          </cell>
          <cell r="J26">
            <v>0</v>
          </cell>
          <cell r="T26">
            <v>0</v>
          </cell>
          <cell r="AB26">
            <v>231000.00000000166</v>
          </cell>
        </row>
        <row r="27">
          <cell r="C27">
            <v>12912000</v>
          </cell>
          <cell r="E27">
            <v>0</v>
          </cell>
          <cell r="F27">
            <v>0</v>
          </cell>
          <cell r="G27">
            <v>0</v>
          </cell>
          <cell r="I27">
            <v>12736000</v>
          </cell>
          <cell r="J27">
            <v>0</v>
          </cell>
          <cell r="T27">
            <v>0</v>
          </cell>
          <cell r="AB27">
            <v>170999.99999999939</v>
          </cell>
        </row>
        <row r="28">
          <cell r="C28">
            <v>12604000</v>
          </cell>
          <cell r="E28">
            <v>0</v>
          </cell>
          <cell r="F28">
            <v>7000</v>
          </cell>
          <cell r="G28">
            <v>0</v>
          </cell>
          <cell r="I28">
            <v>12258000.000000002</v>
          </cell>
          <cell r="J28">
            <v>0</v>
          </cell>
          <cell r="T28">
            <v>0</v>
          </cell>
          <cell r="AB28">
            <v>335999.99999999854</v>
          </cell>
        </row>
        <row r="29">
          <cell r="C29">
            <v>12278000</v>
          </cell>
          <cell r="E29">
            <v>0</v>
          </cell>
          <cell r="F29">
            <v>1000</v>
          </cell>
          <cell r="G29">
            <v>0</v>
          </cell>
          <cell r="I29">
            <v>12069000.000000004</v>
          </cell>
          <cell r="J29">
            <v>0</v>
          </cell>
          <cell r="T29">
            <v>284803</v>
          </cell>
          <cell r="AB29">
            <v>202999.99999999584</v>
          </cell>
        </row>
        <row r="30">
          <cell r="C30">
            <v>12326000</v>
          </cell>
          <cell r="E30">
            <v>0</v>
          </cell>
          <cell r="F30">
            <v>0</v>
          </cell>
          <cell r="G30">
            <v>0</v>
          </cell>
          <cell r="I30">
            <v>12135999.999999998</v>
          </cell>
          <cell r="J30">
            <v>0</v>
          </cell>
          <cell r="T30">
            <v>0</v>
          </cell>
          <cell r="AB30">
            <v>185000.00000000227</v>
          </cell>
        </row>
        <row r="31">
          <cell r="C31">
            <v>12494000</v>
          </cell>
          <cell r="E31">
            <v>0</v>
          </cell>
          <cell r="F31">
            <v>0</v>
          </cell>
          <cell r="G31">
            <v>0</v>
          </cell>
          <cell r="I31">
            <v>12215000</v>
          </cell>
          <cell r="J31">
            <v>0</v>
          </cell>
          <cell r="T31">
            <v>0</v>
          </cell>
          <cell r="AB31">
            <v>271000.00000000081</v>
          </cell>
        </row>
        <row r="32">
          <cell r="C32">
            <v>12526000</v>
          </cell>
          <cell r="E32">
            <v>0</v>
          </cell>
          <cell r="F32">
            <v>0</v>
          </cell>
          <cell r="G32">
            <v>0</v>
          </cell>
          <cell r="I32">
            <v>12255000.000000002</v>
          </cell>
          <cell r="J32">
            <v>0</v>
          </cell>
          <cell r="T32">
            <v>0</v>
          </cell>
          <cell r="AB32">
            <v>262999.99999999814</v>
          </cell>
        </row>
        <row r="33">
          <cell r="C33">
            <v>12491000</v>
          </cell>
          <cell r="E33">
            <v>0</v>
          </cell>
          <cell r="F33">
            <v>0</v>
          </cell>
          <cell r="G33">
            <v>0</v>
          </cell>
          <cell r="I33">
            <v>12258999.999999998</v>
          </cell>
          <cell r="J33">
            <v>0</v>
          </cell>
          <cell r="T33">
            <v>0</v>
          </cell>
          <cell r="AB33">
            <v>225000.00000000143</v>
          </cell>
        </row>
        <row r="34">
          <cell r="C34">
            <v>12681000</v>
          </cell>
          <cell r="E34">
            <v>0</v>
          </cell>
          <cell r="F34">
            <v>0</v>
          </cell>
          <cell r="G34">
            <v>0</v>
          </cell>
          <cell r="I34">
            <v>12502999.999999998</v>
          </cell>
          <cell r="J34">
            <v>0</v>
          </cell>
          <cell r="T34">
            <v>0</v>
          </cell>
          <cell r="AB34">
            <v>173000.0000000018</v>
          </cell>
        </row>
        <row r="35">
          <cell r="C35">
            <v>13284000</v>
          </cell>
          <cell r="E35">
            <v>0</v>
          </cell>
          <cell r="F35">
            <v>0</v>
          </cell>
          <cell r="G35">
            <v>0</v>
          </cell>
          <cell r="I35">
            <v>13013000.000000002</v>
          </cell>
          <cell r="J35">
            <v>0</v>
          </cell>
          <cell r="T35">
            <v>0</v>
          </cell>
          <cell r="AB35">
            <v>262999.99999999814</v>
          </cell>
        </row>
        <row r="36">
          <cell r="C36">
            <v>13087000</v>
          </cell>
          <cell r="E36">
            <v>0</v>
          </cell>
          <cell r="F36">
            <v>0</v>
          </cell>
          <cell r="G36">
            <v>0</v>
          </cell>
          <cell r="I36">
            <v>12856999.999999996</v>
          </cell>
          <cell r="J36">
            <v>0</v>
          </cell>
          <cell r="T36">
            <v>133004</v>
          </cell>
          <cell r="AB36">
            <v>224000.00000000375</v>
          </cell>
        </row>
        <row r="37">
          <cell r="C37">
            <v>13254000</v>
          </cell>
          <cell r="E37">
            <v>0</v>
          </cell>
          <cell r="F37">
            <v>0</v>
          </cell>
          <cell r="G37">
            <v>0</v>
          </cell>
          <cell r="I37">
            <v>13018000.000000004</v>
          </cell>
          <cell r="J37">
            <v>0</v>
          </cell>
          <cell r="T37">
            <v>26130</v>
          </cell>
          <cell r="AB37">
            <v>229999.99999999689</v>
          </cell>
        </row>
        <row r="38">
          <cell r="C38">
            <v>13631000</v>
          </cell>
          <cell r="E38">
            <v>0</v>
          </cell>
          <cell r="F38">
            <v>0</v>
          </cell>
          <cell r="G38">
            <v>0</v>
          </cell>
          <cell r="I38">
            <v>13245000</v>
          </cell>
          <cell r="J38">
            <v>0</v>
          </cell>
          <cell r="T38">
            <v>0</v>
          </cell>
          <cell r="AB38">
            <v>375000</v>
          </cell>
        </row>
        <row r="39">
          <cell r="C39">
            <v>12861000</v>
          </cell>
          <cell r="E39">
            <v>0</v>
          </cell>
          <cell r="F39">
            <v>0</v>
          </cell>
          <cell r="G39">
            <v>0</v>
          </cell>
          <cell r="I39">
            <v>12700000.000000004</v>
          </cell>
          <cell r="J39">
            <v>0</v>
          </cell>
          <cell r="T39">
            <v>0</v>
          </cell>
          <cell r="AB39">
            <v>156999.99999999648</v>
          </cell>
        </row>
        <row r="40">
          <cell r="C40">
            <v>12524000</v>
          </cell>
          <cell r="E40">
            <v>0</v>
          </cell>
          <cell r="F40">
            <v>0</v>
          </cell>
          <cell r="G40">
            <v>0</v>
          </cell>
          <cell r="I40">
            <v>12239999.999999996</v>
          </cell>
          <cell r="J40">
            <v>0</v>
          </cell>
          <cell r="T40">
            <v>0</v>
          </cell>
          <cell r="AB40">
            <v>276000.00000000338</v>
          </cell>
        </row>
        <row r="41">
          <cell r="C41">
            <v>12514000</v>
          </cell>
          <cell r="E41">
            <v>0</v>
          </cell>
          <cell r="F41">
            <v>0</v>
          </cell>
          <cell r="G41">
            <v>0</v>
          </cell>
          <cell r="I41">
            <v>12223999.999999996</v>
          </cell>
          <cell r="J41">
            <v>0</v>
          </cell>
          <cell r="T41">
            <v>314031</v>
          </cell>
          <cell r="AB41">
            <v>282000.00000000361</v>
          </cell>
        </row>
        <row r="42">
          <cell r="C42">
            <v>12701000</v>
          </cell>
          <cell r="E42">
            <v>0</v>
          </cell>
          <cell r="F42">
            <v>0</v>
          </cell>
          <cell r="G42">
            <v>0</v>
          </cell>
          <cell r="I42">
            <v>12490000.000000006</v>
          </cell>
          <cell r="J42">
            <v>0</v>
          </cell>
          <cell r="T42">
            <v>0</v>
          </cell>
          <cell r="AB42">
            <v>203999.99999999351</v>
          </cell>
        </row>
        <row r="43">
          <cell r="C43">
            <v>13099000</v>
          </cell>
          <cell r="E43">
            <v>0</v>
          </cell>
          <cell r="F43">
            <v>0</v>
          </cell>
          <cell r="G43">
            <v>0</v>
          </cell>
          <cell r="I43">
            <v>12921999.999999996</v>
          </cell>
          <cell r="J43">
            <v>0</v>
          </cell>
          <cell r="T43">
            <v>0</v>
          </cell>
          <cell r="AB43">
            <v>172000.00000000416</v>
          </cell>
        </row>
        <row r="44">
          <cell r="C44">
            <v>12556000</v>
          </cell>
          <cell r="E44">
            <v>0</v>
          </cell>
          <cell r="F44">
            <v>0</v>
          </cell>
          <cell r="G44">
            <v>0</v>
          </cell>
          <cell r="I44">
            <v>12333000.000000002</v>
          </cell>
          <cell r="J44">
            <v>0</v>
          </cell>
          <cell r="T44">
            <v>0</v>
          </cell>
          <cell r="AB44">
            <v>216999.99999999875</v>
          </cell>
        </row>
        <row r="45">
          <cell r="C45">
            <v>12780000</v>
          </cell>
          <cell r="E45">
            <v>0</v>
          </cell>
          <cell r="F45">
            <v>0</v>
          </cell>
          <cell r="G45">
            <v>0</v>
          </cell>
          <cell r="I45">
            <v>12507000</v>
          </cell>
          <cell r="J45">
            <v>0</v>
          </cell>
          <cell r="T45">
            <v>0</v>
          </cell>
          <cell r="AB45">
            <v>265000.00000000058</v>
          </cell>
        </row>
        <row r="46">
          <cell r="C46">
            <v>12368000</v>
          </cell>
          <cell r="E46">
            <v>0</v>
          </cell>
          <cell r="F46">
            <v>0</v>
          </cell>
          <cell r="G46">
            <v>0</v>
          </cell>
          <cell r="I46">
            <v>12144999.999999998</v>
          </cell>
          <cell r="J46">
            <v>0</v>
          </cell>
          <cell r="T46">
            <v>0</v>
          </cell>
          <cell r="AB46">
            <v>216000.00000000108</v>
          </cell>
        </row>
        <row r="47">
          <cell r="C47">
            <v>12643000</v>
          </cell>
          <cell r="E47">
            <v>0</v>
          </cell>
          <cell r="F47">
            <v>0</v>
          </cell>
          <cell r="G47">
            <v>10000</v>
          </cell>
          <cell r="I47">
            <v>12424000.000000002</v>
          </cell>
          <cell r="J47">
            <v>0</v>
          </cell>
          <cell r="T47">
            <v>0</v>
          </cell>
          <cell r="AB47">
            <v>210999.99999999852</v>
          </cell>
        </row>
        <row r="48">
          <cell r="C48">
            <v>12531000</v>
          </cell>
          <cell r="E48">
            <v>0</v>
          </cell>
          <cell r="F48">
            <v>0</v>
          </cell>
          <cell r="G48">
            <v>0</v>
          </cell>
          <cell r="I48">
            <v>12199000.000000002</v>
          </cell>
          <cell r="J48">
            <v>0</v>
          </cell>
          <cell r="T48">
            <v>0</v>
          </cell>
          <cell r="AB48">
            <v>323999.99999999808</v>
          </cell>
        </row>
        <row r="49">
          <cell r="C49">
            <v>12728000</v>
          </cell>
          <cell r="E49">
            <v>0</v>
          </cell>
          <cell r="F49">
            <v>0</v>
          </cell>
          <cell r="G49">
            <v>0</v>
          </cell>
          <cell r="I49">
            <v>12552000</v>
          </cell>
          <cell r="J49">
            <v>0</v>
          </cell>
          <cell r="T49">
            <v>0</v>
          </cell>
          <cell r="AB49">
            <v>170999.99999999939</v>
          </cell>
        </row>
        <row r="50">
          <cell r="C50">
            <v>12966000</v>
          </cell>
          <cell r="E50">
            <v>0</v>
          </cell>
          <cell r="F50">
            <v>0</v>
          </cell>
          <cell r="G50">
            <v>0</v>
          </cell>
          <cell r="I50">
            <v>12747999.999999996</v>
          </cell>
          <cell r="J50">
            <v>0</v>
          </cell>
          <cell r="T50">
            <v>159111</v>
          </cell>
          <cell r="AB50">
            <v>212000.00000000329</v>
          </cell>
        </row>
        <row r="51">
          <cell r="C51">
            <v>13015000</v>
          </cell>
          <cell r="E51">
            <v>0</v>
          </cell>
          <cell r="F51">
            <v>0</v>
          </cell>
          <cell r="G51">
            <v>0</v>
          </cell>
          <cell r="I51">
            <v>12743000.000000004</v>
          </cell>
          <cell r="J51">
            <v>0</v>
          </cell>
          <cell r="T51">
            <v>0</v>
          </cell>
          <cell r="AB51">
            <v>263999.99999999581</v>
          </cell>
        </row>
        <row r="52">
          <cell r="C52">
            <v>13078000</v>
          </cell>
          <cell r="E52">
            <v>0</v>
          </cell>
          <cell r="F52">
            <v>0</v>
          </cell>
          <cell r="G52">
            <v>0</v>
          </cell>
          <cell r="I52">
            <v>12854999.999999994</v>
          </cell>
          <cell r="J52">
            <v>0</v>
          </cell>
          <cell r="T52">
            <v>0</v>
          </cell>
          <cell r="AB52">
            <v>217000.00000000585</v>
          </cell>
        </row>
        <row r="53">
          <cell r="C53">
            <v>13067000</v>
          </cell>
          <cell r="E53">
            <v>0</v>
          </cell>
          <cell r="F53">
            <v>0</v>
          </cell>
          <cell r="G53">
            <v>0</v>
          </cell>
          <cell r="I53">
            <v>12897000</v>
          </cell>
          <cell r="J53">
            <v>0</v>
          </cell>
          <cell r="T53">
            <v>0</v>
          </cell>
          <cell r="AB53">
            <v>164999.99999999916</v>
          </cell>
        </row>
        <row r="54">
          <cell r="C54">
            <v>12990000</v>
          </cell>
          <cell r="E54">
            <v>0</v>
          </cell>
          <cell r="F54">
            <v>0</v>
          </cell>
          <cell r="G54">
            <v>0</v>
          </cell>
          <cell r="I54">
            <v>12718000.000000004</v>
          </cell>
          <cell r="J54">
            <v>0</v>
          </cell>
          <cell r="T54">
            <v>0</v>
          </cell>
          <cell r="AB54">
            <v>263999.99999999581</v>
          </cell>
        </row>
        <row r="55">
          <cell r="C55">
            <v>12583000</v>
          </cell>
          <cell r="E55">
            <v>0</v>
          </cell>
          <cell r="F55">
            <v>0</v>
          </cell>
          <cell r="G55">
            <v>0</v>
          </cell>
          <cell r="I55">
            <v>12359999.999999998</v>
          </cell>
          <cell r="J55">
            <v>0</v>
          </cell>
          <cell r="T55">
            <v>0</v>
          </cell>
          <cell r="AB55">
            <v>216000.00000000108</v>
          </cell>
        </row>
        <row r="56">
          <cell r="C56">
            <v>12570000</v>
          </cell>
          <cell r="E56">
            <v>0</v>
          </cell>
          <cell r="F56">
            <v>0</v>
          </cell>
          <cell r="G56">
            <v>0</v>
          </cell>
          <cell r="I56">
            <v>12284999.999999998</v>
          </cell>
          <cell r="J56">
            <v>0</v>
          </cell>
          <cell r="T56">
            <v>0</v>
          </cell>
          <cell r="AB56">
            <v>277000.00000000105</v>
          </cell>
        </row>
        <row r="57">
          <cell r="C57">
            <v>12349000</v>
          </cell>
          <cell r="E57">
            <v>0</v>
          </cell>
          <cell r="F57">
            <v>0</v>
          </cell>
          <cell r="G57">
            <v>0</v>
          </cell>
          <cell r="I57">
            <v>12192999.999999996</v>
          </cell>
          <cell r="J57">
            <v>0</v>
          </cell>
          <cell r="T57">
            <v>337258</v>
          </cell>
          <cell r="AB57">
            <v>151000.00000000335</v>
          </cell>
        </row>
        <row r="58">
          <cell r="C58">
            <v>12649000</v>
          </cell>
          <cell r="E58">
            <v>0</v>
          </cell>
          <cell r="F58">
            <v>0</v>
          </cell>
          <cell r="G58">
            <v>0</v>
          </cell>
          <cell r="I58">
            <v>12426000.000000002</v>
          </cell>
          <cell r="J58">
            <v>0</v>
          </cell>
          <cell r="T58">
            <v>319689</v>
          </cell>
          <cell r="AB58">
            <v>216999.99999999875</v>
          </cell>
        </row>
        <row r="59">
          <cell r="C59">
            <v>12456000</v>
          </cell>
          <cell r="E59">
            <v>0</v>
          </cell>
          <cell r="F59">
            <v>0</v>
          </cell>
          <cell r="G59">
            <v>0</v>
          </cell>
          <cell r="I59">
            <v>12170999.999999998</v>
          </cell>
          <cell r="J59">
            <v>0</v>
          </cell>
          <cell r="T59">
            <v>0</v>
          </cell>
          <cell r="AB59">
            <v>277000.00000000105</v>
          </cell>
        </row>
        <row r="60">
          <cell r="C60">
            <v>12581000</v>
          </cell>
          <cell r="E60">
            <v>0</v>
          </cell>
          <cell r="F60">
            <v>0</v>
          </cell>
          <cell r="G60">
            <v>0</v>
          </cell>
          <cell r="I60">
            <v>12313000.000000002</v>
          </cell>
          <cell r="J60">
            <v>0</v>
          </cell>
          <cell r="T60">
            <v>0</v>
          </cell>
          <cell r="AB60">
            <v>259999.99999999802</v>
          </cell>
        </row>
        <row r="61">
          <cell r="C61">
            <v>12413000</v>
          </cell>
          <cell r="E61">
            <v>0</v>
          </cell>
          <cell r="F61">
            <v>0</v>
          </cell>
          <cell r="G61">
            <v>0</v>
          </cell>
          <cell r="I61">
            <v>12302000.000000004</v>
          </cell>
          <cell r="J61">
            <v>0</v>
          </cell>
          <cell r="T61">
            <v>0</v>
          </cell>
          <cell r="AB61">
            <v>107999.99999999699</v>
          </cell>
        </row>
        <row r="62">
          <cell r="C62">
            <v>12518000</v>
          </cell>
          <cell r="E62">
            <v>1000000</v>
          </cell>
          <cell r="F62">
            <v>584000</v>
          </cell>
          <cell r="G62">
            <v>0</v>
          </cell>
          <cell r="I62">
            <v>12233999.999999996</v>
          </cell>
          <cell r="J62">
            <v>0</v>
          </cell>
          <cell r="T62">
            <v>357336</v>
          </cell>
          <cell r="AB62">
            <v>276000.00000000338</v>
          </cell>
        </row>
        <row r="63">
          <cell r="C63">
            <v>12917000</v>
          </cell>
          <cell r="E63">
            <v>0</v>
          </cell>
          <cell r="F63">
            <v>930000</v>
          </cell>
          <cell r="G63">
            <v>0</v>
          </cell>
          <cell r="I63">
            <v>12696999.999999998</v>
          </cell>
          <cell r="J63">
            <v>0</v>
          </cell>
          <cell r="T63">
            <v>0</v>
          </cell>
          <cell r="AB63">
            <v>213000.00000000096</v>
          </cell>
        </row>
        <row r="64">
          <cell r="C64">
            <v>12919000</v>
          </cell>
          <cell r="E64">
            <v>0</v>
          </cell>
          <cell r="F64">
            <v>940000</v>
          </cell>
          <cell r="G64">
            <v>0</v>
          </cell>
          <cell r="I64">
            <v>12696000.000000002</v>
          </cell>
          <cell r="J64">
            <v>0</v>
          </cell>
          <cell r="T64">
            <v>0</v>
          </cell>
          <cell r="AB64">
            <v>216999.99999999875</v>
          </cell>
        </row>
        <row r="65">
          <cell r="C65">
            <v>13065000</v>
          </cell>
          <cell r="E65">
            <v>0</v>
          </cell>
          <cell r="F65">
            <v>946000</v>
          </cell>
          <cell r="G65">
            <v>0</v>
          </cell>
          <cell r="I65">
            <v>12795999.999999996</v>
          </cell>
          <cell r="J65">
            <v>0</v>
          </cell>
          <cell r="T65">
            <v>0</v>
          </cell>
          <cell r="AB65">
            <v>261000.00000000279</v>
          </cell>
        </row>
        <row r="66">
          <cell r="C66">
            <v>13022000</v>
          </cell>
          <cell r="E66">
            <v>0</v>
          </cell>
          <cell r="F66">
            <v>935000</v>
          </cell>
          <cell r="G66">
            <v>0</v>
          </cell>
          <cell r="I66">
            <v>12737000.000000006</v>
          </cell>
          <cell r="J66">
            <v>0</v>
          </cell>
          <cell r="T66">
            <v>0</v>
          </cell>
          <cell r="AB66">
            <v>276999.99999999395</v>
          </cell>
        </row>
        <row r="67">
          <cell r="C67">
            <v>13010000</v>
          </cell>
          <cell r="E67">
            <v>0</v>
          </cell>
          <cell r="F67">
            <v>927000</v>
          </cell>
          <cell r="G67">
            <v>0</v>
          </cell>
          <cell r="I67">
            <v>12791999.999999994</v>
          </cell>
          <cell r="J67">
            <v>0</v>
          </cell>
          <cell r="T67">
            <v>0</v>
          </cell>
          <cell r="AB67">
            <v>211000.00000000562</v>
          </cell>
        </row>
        <row r="68">
          <cell r="C68">
            <v>13019000</v>
          </cell>
          <cell r="E68">
            <v>0</v>
          </cell>
          <cell r="F68">
            <v>924000</v>
          </cell>
          <cell r="G68">
            <v>0</v>
          </cell>
          <cell r="I68">
            <v>12904000.000000006</v>
          </cell>
          <cell r="J68">
            <v>0</v>
          </cell>
          <cell r="T68">
            <v>0</v>
          </cell>
          <cell r="AB68">
            <v>111999.99999999478</v>
          </cell>
        </row>
        <row r="69">
          <cell r="C69">
            <v>12869000</v>
          </cell>
          <cell r="E69">
            <v>0</v>
          </cell>
          <cell r="F69">
            <v>2660000</v>
          </cell>
          <cell r="G69">
            <v>0</v>
          </cell>
          <cell r="I69">
            <v>12538999.999999994</v>
          </cell>
          <cell r="J69">
            <v>0</v>
          </cell>
          <cell r="T69">
            <v>39505</v>
          </cell>
          <cell r="AB69">
            <v>321000.00000000506</v>
          </cell>
        </row>
        <row r="70">
          <cell r="C70">
            <v>13106000</v>
          </cell>
          <cell r="E70">
            <v>3000000</v>
          </cell>
          <cell r="F70">
            <v>3347000</v>
          </cell>
          <cell r="G70">
            <v>0</v>
          </cell>
          <cell r="I70">
            <v>12834000.000000004</v>
          </cell>
          <cell r="J70">
            <v>0</v>
          </cell>
          <cell r="T70">
            <v>2316615</v>
          </cell>
          <cell r="AB70">
            <v>263999.99999999581</v>
          </cell>
        </row>
        <row r="71">
          <cell r="C71">
            <v>13009000</v>
          </cell>
          <cell r="E71">
            <v>5000000</v>
          </cell>
          <cell r="F71">
            <v>3326000</v>
          </cell>
          <cell r="G71">
            <v>0</v>
          </cell>
          <cell r="I71">
            <v>12675000.000000002</v>
          </cell>
          <cell r="J71">
            <v>0</v>
          </cell>
          <cell r="T71">
            <v>5406059</v>
          </cell>
          <cell r="AB71">
            <v>323999.99999999808</v>
          </cell>
        </row>
        <row r="72">
          <cell r="C72">
            <v>12996000</v>
          </cell>
          <cell r="E72">
            <v>7000000</v>
          </cell>
          <cell r="F72">
            <v>3318000</v>
          </cell>
          <cell r="G72">
            <v>0</v>
          </cell>
          <cell r="I72">
            <v>12587999.999999996</v>
          </cell>
          <cell r="J72">
            <v>0</v>
          </cell>
          <cell r="T72">
            <v>3565951</v>
          </cell>
          <cell r="AB72">
            <v>105000.00000000397</v>
          </cell>
        </row>
        <row r="73">
          <cell r="C73">
            <v>12840000</v>
          </cell>
          <cell r="E73">
            <v>5000000</v>
          </cell>
          <cell r="F73">
            <v>3277000</v>
          </cell>
          <cell r="G73">
            <v>0</v>
          </cell>
          <cell r="I73">
            <v>12916000.000000002</v>
          </cell>
          <cell r="J73">
            <v>0</v>
          </cell>
          <cell r="T73">
            <v>3586533</v>
          </cell>
          <cell r="AB73">
            <v>216999.99999999875</v>
          </cell>
        </row>
        <row r="74">
          <cell r="C74">
            <v>13145000</v>
          </cell>
          <cell r="E74">
            <v>6000000</v>
          </cell>
          <cell r="F74">
            <v>3357000</v>
          </cell>
          <cell r="G74">
            <v>0</v>
          </cell>
          <cell r="I74">
            <v>12869000</v>
          </cell>
          <cell r="J74">
            <v>0</v>
          </cell>
          <cell r="T74">
            <v>376506</v>
          </cell>
          <cell r="AB74">
            <v>268000.0000000007</v>
          </cell>
        </row>
        <row r="75">
          <cell r="C75">
            <v>11722000</v>
          </cell>
          <cell r="E75">
            <v>5000000</v>
          </cell>
          <cell r="F75">
            <v>3144000</v>
          </cell>
          <cell r="G75">
            <v>0</v>
          </cell>
          <cell r="I75">
            <v>11499999.999999998</v>
          </cell>
          <cell r="J75">
            <v>0</v>
          </cell>
          <cell r="T75">
            <v>2742401</v>
          </cell>
          <cell r="AB75">
            <v>216000.00000000108</v>
          </cell>
        </row>
        <row r="76">
          <cell r="C76">
            <v>13087000</v>
          </cell>
          <cell r="E76">
            <v>6000000</v>
          </cell>
          <cell r="F76">
            <v>3341000</v>
          </cell>
          <cell r="G76">
            <v>0</v>
          </cell>
          <cell r="I76">
            <v>12863000.000000002</v>
          </cell>
          <cell r="J76">
            <v>0</v>
          </cell>
          <cell r="T76">
            <v>3462249</v>
          </cell>
          <cell r="AB76">
            <v>216999.99999999875</v>
          </cell>
        </row>
        <row r="77">
          <cell r="C77">
            <v>13017000</v>
          </cell>
          <cell r="E77">
            <v>5000000</v>
          </cell>
          <cell r="F77">
            <v>3323000</v>
          </cell>
          <cell r="G77">
            <v>0</v>
          </cell>
          <cell r="I77">
            <v>12800000.000000002</v>
          </cell>
          <cell r="J77">
            <v>99999.999999454303</v>
          </cell>
          <cell r="T77">
            <v>2828633</v>
          </cell>
          <cell r="AB77">
            <v>210999.99999999852</v>
          </cell>
        </row>
        <row r="78">
          <cell r="C78">
            <v>10308000</v>
          </cell>
          <cell r="E78">
            <v>6000000</v>
          </cell>
          <cell r="F78">
            <v>3588000</v>
          </cell>
          <cell r="G78">
            <v>10000</v>
          </cell>
          <cell r="I78">
            <v>10085000.000000002</v>
          </cell>
          <cell r="J78">
            <v>4900000.0000005458</v>
          </cell>
          <cell r="T78">
            <v>369205</v>
          </cell>
          <cell r="AB78">
            <v>216999.99999999875</v>
          </cell>
        </row>
        <row r="79">
          <cell r="C79">
            <v>6991000</v>
          </cell>
          <cell r="E79">
            <v>6000000</v>
          </cell>
          <cell r="F79">
            <v>4036000</v>
          </cell>
          <cell r="G79">
            <v>0</v>
          </cell>
          <cell r="I79">
            <v>6764999.9999999991</v>
          </cell>
          <cell r="J79">
            <v>6899999.9999996359</v>
          </cell>
          <cell r="T79">
            <v>477119</v>
          </cell>
          <cell r="AB79">
            <v>219000.00000000119</v>
          </cell>
        </row>
        <row r="80">
          <cell r="C80">
            <v>6803000</v>
          </cell>
          <cell r="E80">
            <v>7000000</v>
          </cell>
          <cell r="F80">
            <v>4052000</v>
          </cell>
          <cell r="G80">
            <v>0</v>
          </cell>
          <cell r="I80">
            <v>6640999.9999999963</v>
          </cell>
          <cell r="J80">
            <v>5699999.9999998184</v>
          </cell>
          <cell r="T80">
            <v>633720</v>
          </cell>
          <cell r="AB80">
            <v>157000.00000000358</v>
          </cell>
        </row>
        <row r="81">
          <cell r="C81">
            <v>6534000</v>
          </cell>
          <cell r="E81">
            <v>6000000</v>
          </cell>
          <cell r="F81">
            <v>4059000</v>
          </cell>
          <cell r="G81">
            <v>0</v>
          </cell>
          <cell r="I81">
            <v>6426000.0000000028</v>
          </cell>
          <cell r="J81">
            <v>6199999.9999998184</v>
          </cell>
          <cell r="T81">
            <v>584987</v>
          </cell>
          <cell r="AB81">
            <v>104999.99999999687</v>
          </cell>
        </row>
        <row r="82">
          <cell r="C82">
            <v>6486000</v>
          </cell>
          <cell r="E82">
            <v>7000000</v>
          </cell>
          <cell r="F82">
            <v>4031000</v>
          </cell>
          <cell r="G82">
            <v>0</v>
          </cell>
          <cell r="I82">
            <v>6388999.9999999991</v>
          </cell>
          <cell r="J82">
            <v>5500000</v>
          </cell>
          <cell r="T82">
            <v>596997</v>
          </cell>
          <cell r="AB82">
            <v>94000.000000001193</v>
          </cell>
        </row>
        <row r="83">
          <cell r="C83">
            <v>6978000</v>
          </cell>
          <cell r="E83">
            <v>6000000</v>
          </cell>
          <cell r="F83">
            <v>4052000</v>
          </cell>
          <cell r="G83">
            <v>0</v>
          </cell>
          <cell r="I83">
            <v>6975000</v>
          </cell>
          <cell r="J83">
            <v>6300000.0000001816</v>
          </cell>
          <cell r="T83">
            <v>653898</v>
          </cell>
          <cell r="AB83">
            <v>0</v>
          </cell>
        </row>
        <row r="84">
          <cell r="C84">
            <v>6942000</v>
          </cell>
          <cell r="E84">
            <v>7000000</v>
          </cell>
          <cell r="F84">
            <v>4028000</v>
          </cell>
          <cell r="G84">
            <v>0</v>
          </cell>
          <cell r="I84">
            <v>6937000</v>
          </cell>
          <cell r="J84">
            <v>5400000.0000005458</v>
          </cell>
          <cell r="T84">
            <v>603191</v>
          </cell>
          <cell r="AB84">
            <v>0</v>
          </cell>
        </row>
        <row r="85">
          <cell r="C85">
            <v>7087000</v>
          </cell>
          <cell r="E85">
            <v>6000000</v>
          </cell>
          <cell r="F85">
            <v>4035000</v>
          </cell>
          <cell r="G85">
            <v>0</v>
          </cell>
          <cell r="I85">
            <v>7082000</v>
          </cell>
          <cell r="J85">
            <v>6099999.9999994542</v>
          </cell>
          <cell r="T85">
            <v>603751</v>
          </cell>
          <cell r="AB85">
            <v>0</v>
          </cell>
        </row>
        <row r="86">
          <cell r="C86">
            <v>6530000</v>
          </cell>
          <cell r="E86">
            <v>7000000</v>
          </cell>
          <cell r="F86">
            <v>4063000</v>
          </cell>
          <cell r="G86">
            <v>0</v>
          </cell>
          <cell r="I86">
            <v>6527000</v>
          </cell>
          <cell r="J86">
            <v>6100000.0000003641</v>
          </cell>
          <cell r="T86">
            <v>525404</v>
          </cell>
          <cell r="AB86">
            <v>0</v>
          </cell>
        </row>
        <row r="87">
          <cell r="C87">
            <v>6633000</v>
          </cell>
          <cell r="E87">
            <v>6000000</v>
          </cell>
          <cell r="F87">
            <v>4010000</v>
          </cell>
          <cell r="G87">
            <v>0</v>
          </cell>
          <cell r="I87">
            <v>6628000</v>
          </cell>
          <cell r="J87">
            <v>5899999.9999996359</v>
          </cell>
          <cell r="T87">
            <v>577483</v>
          </cell>
          <cell r="AB87">
            <v>0</v>
          </cell>
        </row>
        <row r="88">
          <cell r="C88">
            <v>7032000</v>
          </cell>
          <cell r="E88">
            <v>7000000</v>
          </cell>
          <cell r="F88">
            <v>4057000</v>
          </cell>
          <cell r="G88">
            <v>0</v>
          </cell>
          <cell r="I88">
            <v>7029000</v>
          </cell>
          <cell r="J88">
            <v>5699999.9999998184</v>
          </cell>
          <cell r="T88">
            <v>511687</v>
          </cell>
          <cell r="AB88">
            <v>0</v>
          </cell>
        </row>
        <row r="89">
          <cell r="C89">
            <v>7007000</v>
          </cell>
          <cell r="E89">
            <v>6000000</v>
          </cell>
          <cell r="F89">
            <v>4046000</v>
          </cell>
          <cell r="G89">
            <v>0</v>
          </cell>
          <cell r="I89">
            <v>6999000</v>
          </cell>
          <cell r="J89">
            <v>5900000.0000005458</v>
          </cell>
          <cell r="T89">
            <v>568299</v>
          </cell>
          <cell r="AB89">
            <v>0</v>
          </cell>
        </row>
        <row r="90">
          <cell r="C90">
            <v>7206000</v>
          </cell>
          <cell r="E90">
            <v>7000000</v>
          </cell>
          <cell r="F90">
            <v>4036000</v>
          </cell>
          <cell r="G90">
            <v>0</v>
          </cell>
          <cell r="I90">
            <v>7201000</v>
          </cell>
          <cell r="J90">
            <v>6099999.9999994542</v>
          </cell>
          <cell r="T90">
            <v>673474</v>
          </cell>
          <cell r="AB90">
            <v>0</v>
          </cell>
        </row>
        <row r="91">
          <cell r="C91">
            <v>6665000</v>
          </cell>
          <cell r="E91">
            <v>6000000</v>
          </cell>
          <cell r="F91">
            <v>3697000</v>
          </cell>
          <cell r="G91">
            <v>0</v>
          </cell>
          <cell r="I91">
            <v>6665000</v>
          </cell>
          <cell r="J91">
            <v>6000000</v>
          </cell>
          <cell r="T91">
            <v>562493</v>
          </cell>
          <cell r="AB91">
            <v>0</v>
          </cell>
        </row>
        <row r="92">
          <cell r="C92">
            <v>6501000</v>
          </cell>
          <cell r="E92">
            <v>7000000</v>
          </cell>
          <cell r="F92">
            <v>3477000</v>
          </cell>
          <cell r="G92">
            <v>0</v>
          </cell>
          <cell r="I92">
            <v>6497000</v>
          </cell>
          <cell r="J92">
            <v>5300000.0000001816</v>
          </cell>
          <cell r="T92">
            <v>682902</v>
          </cell>
          <cell r="AB92">
            <v>0</v>
          </cell>
        </row>
        <row r="93">
          <cell r="C93">
            <v>6541000</v>
          </cell>
          <cell r="E93">
            <v>6000000</v>
          </cell>
          <cell r="F93">
            <v>3500000</v>
          </cell>
          <cell r="G93">
            <v>0</v>
          </cell>
          <cell r="I93">
            <v>6537000</v>
          </cell>
          <cell r="J93">
            <v>5400000.0000005458</v>
          </cell>
          <cell r="T93">
            <v>609861</v>
          </cell>
          <cell r="AB93">
            <v>0</v>
          </cell>
        </row>
        <row r="94">
          <cell r="C94">
            <v>6423000</v>
          </cell>
          <cell r="E94">
            <v>6000000</v>
          </cell>
          <cell r="F94">
            <v>3438000</v>
          </cell>
          <cell r="G94">
            <v>10000</v>
          </cell>
          <cell r="I94">
            <v>6419000</v>
          </cell>
          <cell r="J94">
            <v>5599999.9999994542</v>
          </cell>
          <cell r="T94">
            <v>473216</v>
          </cell>
          <cell r="AB94">
            <v>0</v>
          </cell>
        </row>
        <row r="95">
          <cell r="C95">
            <v>6531000</v>
          </cell>
          <cell r="E95">
            <v>6000000</v>
          </cell>
          <cell r="F95">
            <v>3492000</v>
          </cell>
          <cell r="G95">
            <v>0</v>
          </cell>
          <cell r="I95">
            <v>6527000</v>
          </cell>
          <cell r="J95">
            <v>5400000.0000005458</v>
          </cell>
          <cell r="T95">
            <v>545803</v>
          </cell>
          <cell r="AB95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Apr"/>
      <sheetName val="May"/>
      <sheetName val="Jun"/>
    </sheetNames>
    <sheetDataSet>
      <sheetData sheetId="0"/>
      <sheetData sheetId="1"/>
      <sheetData sheetId="2"/>
      <sheetData sheetId="3"/>
      <sheetData sheetId="4"/>
      <sheetData sheetId="5">
        <row r="6">
          <cell r="C6">
            <v>6463000</v>
          </cell>
          <cell r="E6">
            <v>6000000</v>
          </cell>
          <cell r="F6">
            <v>3456000</v>
          </cell>
          <cell r="G6">
            <v>0</v>
          </cell>
          <cell r="I6">
            <v>6460000</v>
          </cell>
          <cell r="J6">
            <v>5299999.9999992726</v>
          </cell>
          <cell r="T6">
            <v>554591</v>
          </cell>
          <cell r="AB6">
            <v>0</v>
          </cell>
        </row>
        <row r="7">
          <cell r="C7">
            <v>6587000</v>
          </cell>
          <cell r="E7">
            <v>6000000</v>
          </cell>
          <cell r="F7">
            <v>3493000</v>
          </cell>
          <cell r="G7">
            <v>190000</v>
          </cell>
          <cell r="I7">
            <v>6582000</v>
          </cell>
          <cell r="J7">
            <v>5300000.0000001816</v>
          </cell>
          <cell r="T7">
            <v>650867</v>
          </cell>
          <cell r="AB7">
            <v>0</v>
          </cell>
        </row>
        <row r="8">
          <cell r="C8">
            <v>7392000</v>
          </cell>
          <cell r="E8">
            <v>6000000</v>
          </cell>
          <cell r="F8">
            <v>3487000</v>
          </cell>
          <cell r="G8">
            <v>0</v>
          </cell>
          <cell r="I8">
            <v>7389000</v>
          </cell>
          <cell r="J8">
            <v>5400000.0000005458</v>
          </cell>
          <cell r="T8">
            <v>574819</v>
          </cell>
          <cell r="AB8">
            <v>0</v>
          </cell>
        </row>
        <row r="9">
          <cell r="C9">
            <v>7955000</v>
          </cell>
          <cell r="E9">
            <v>6000000</v>
          </cell>
          <cell r="F9">
            <v>3460000</v>
          </cell>
          <cell r="G9">
            <v>0</v>
          </cell>
          <cell r="I9">
            <v>7947000</v>
          </cell>
          <cell r="J9">
            <v>5199999.9999998184</v>
          </cell>
          <cell r="T9">
            <v>552485</v>
          </cell>
          <cell r="AB9">
            <v>0</v>
          </cell>
        </row>
        <row r="10">
          <cell r="C10">
            <v>7944000</v>
          </cell>
          <cell r="E10">
            <v>6000000</v>
          </cell>
          <cell r="F10">
            <v>3457000</v>
          </cell>
          <cell r="G10">
            <v>0</v>
          </cell>
          <cell r="I10">
            <v>7933000</v>
          </cell>
          <cell r="J10">
            <v>5199999.9999998184</v>
          </cell>
          <cell r="T10">
            <v>564438</v>
          </cell>
          <cell r="AB10">
            <v>0</v>
          </cell>
        </row>
        <row r="11">
          <cell r="C11">
            <v>8114000</v>
          </cell>
          <cell r="E11">
            <v>6000000</v>
          </cell>
          <cell r="F11">
            <v>3529000</v>
          </cell>
          <cell r="G11">
            <v>10000</v>
          </cell>
          <cell r="I11">
            <v>8110000</v>
          </cell>
          <cell r="J11">
            <v>6399999.9999996359</v>
          </cell>
          <cell r="T11">
            <v>530878</v>
          </cell>
          <cell r="AB11">
            <v>0</v>
          </cell>
        </row>
        <row r="12">
          <cell r="C12">
            <v>7398000</v>
          </cell>
          <cell r="E12">
            <v>6000000</v>
          </cell>
          <cell r="F12">
            <v>3469000</v>
          </cell>
          <cell r="G12">
            <v>0</v>
          </cell>
          <cell r="I12">
            <v>7392000</v>
          </cell>
          <cell r="J12">
            <v>5300000.0000001816</v>
          </cell>
          <cell r="T12">
            <v>598890</v>
          </cell>
          <cell r="AB12">
            <v>0</v>
          </cell>
        </row>
        <row r="13">
          <cell r="C13">
            <v>7017000</v>
          </cell>
          <cell r="E13">
            <v>6000000</v>
          </cell>
          <cell r="F13">
            <v>3482000</v>
          </cell>
          <cell r="G13">
            <v>0</v>
          </cell>
          <cell r="I13">
            <v>7012000</v>
          </cell>
          <cell r="J13">
            <v>5300000.0000001816</v>
          </cell>
          <cell r="T13">
            <v>484220</v>
          </cell>
          <cell r="AB13">
            <v>0</v>
          </cell>
        </row>
        <row r="14">
          <cell r="C14">
            <v>2954000</v>
          </cell>
          <cell r="E14">
            <v>6000000</v>
          </cell>
          <cell r="F14">
            <v>3424000</v>
          </cell>
          <cell r="G14">
            <v>3310000</v>
          </cell>
          <cell r="I14">
            <v>2952000</v>
          </cell>
          <cell r="J14">
            <v>7500000</v>
          </cell>
          <cell r="T14">
            <v>844977</v>
          </cell>
          <cell r="AB14">
            <v>0</v>
          </cell>
        </row>
        <row r="15">
          <cell r="C15">
            <v>62000</v>
          </cell>
          <cell r="E15">
            <v>8000000</v>
          </cell>
          <cell r="F15">
            <v>3371000</v>
          </cell>
          <cell r="G15">
            <v>7020000</v>
          </cell>
          <cell r="I15">
            <v>0</v>
          </cell>
          <cell r="J15">
            <v>13399999.999999637</v>
          </cell>
          <cell r="T15">
            <v>1309554</v>
          </cell>
          <cell r="AB15">
            <v>0</v>
          </cell>
        </row>
        <row r="16">
          <cell r="C16">
            <v>0</v>
          </cell>
          <cell r="E16">
            <v>8000000</v>
          </cell>
          <cell r="F16">
            <v>3256000</v>
          </cell>
          <cell r="G16">
            <v>8590000</v>
          </cell>
          <cell r="I16">
            <v>0</v>
          </cell>
          <cell r="J16">
            <v>15600000.000000363</v>
          </cell>
          <cell r="T16">
            <v>1519616</v>
          </cell>
          <cell r="AB16">
            <v>0</v>
          </cell>
        </row>
        <row r="17">
          <cell r="C17">
            <v>0</v>
          </cell>
          <cell r="E17">
            <v>8000000</v>
          </cell>
          <cell r="F17">
            <v>3499000</v>
          </cell>
          <cell r="G17">
            <v>9990000</v>
          </cell>
          <cell r="I17">
            <v>0</v>
          </cell>
          <cell r="J17">
            <v>16199999.999999817</v>
          </cell>
          <cell r="T17">
            <v>1588878</v>
          </cell>
          <cell r="AB17">
            <v>0</v>
          </cell>
        </row>
        <row r="18">
          <cell r="C18">
            <v>0</v>
          </cell>
          <cell r="E18">
            <v>8000000</v>
          </cell>
          <cell r="F18">
            <v>3533000</v>
          </cell>
          <cell r="G18">
            <v>6660000</v>
          </cell>
          <cell r="I18">
            <v>0</v>
          </cell>
          <cell r="J18">
            <v>12600000.000000363</v>
          </cell>
          <cell r="T18">
            <v>1303972</v>
          </cell>
          <cell r="AB18">
            <v>0</v>
          </cell>
        </row>
        <row r="19">
          <cell r="C19">
            <v>0</v>
          </cell>
          <cell r="E19">
            <v>8000000</v>
          </cell>
          <cell r="F19">
            <v>3478000</v>
          </cell>
          <cell r="G19">
            <v>4970000</v>
          </cell>
          <cell r="I19">
            <v>0</v>
          </cell>
          <cell r="J19">
            <v>11599999.999999454</v>
          </cell>
          <cell r="T19">
            <v>1157935</v>
          </cell>
          <cell r="AB19">
            <v>0</v>
          </cell>
        </row>
        <row r="20">
          <cell r="C20">
            <v>0</v>
          </cell>
          <cell r="E20">
            <v>8000000</v>
          </cell>
          <cell r="F20">
            <v>3495000</v>
          </cell>
          <cell r="G20">
            <v>5870000</v>
          </cell>
          <cell r="I20">
            <v>0</v>
          </cell>
          <cell r="J20">
            <v>13800000.000000183</v>
          </cell>
          <cell r="T20">
            <v>1150846</v>
          </cell>
          <cell r="AB20">
            <v>0</v>
          </cell>
        </row>
        <row r="21">
          <cell r="C21">
            <v>0</v>
          </cell>
          <cell r="E21">
            <v>8000000</v>
          </cell>
          <cell r="F21">
            <v>3457000</v>
          </cell>
          <cell r="G21">
            <v>8920000</v>
          </cell>
          <cell r="I21">
            <v>0</v>
          </cell>
          <cell r="J21">
            <v>15000000</v>
          </cell>
          <cell r="T21">
            <v>1595367</v>
          </cell>
          <cell r="AB21">
            <v>0</v>
          </cell>
        </row>
        <row r="22">
          <cell r="C22">
            <v>0</v>
          </cell>
          <cell r="E22">
            <v>7000000</v>
          </cell>
          <cell r="F22">
            <v>4091000</v>
          </cell>
          <cell r="G22">
            <v>9620000</v>
          </cell>
          <cell r="I22">
            <v>0</v>
          </cell>
          <cell r="J22">
            <v>16199999.999999817</v>
          </cell>
          <cell r="T22">
            <v>1429998</v>
          </cell>
          <cell r="AB22">
            <v>0</v>
          </cell>
        </row>
        <row r="23">
          <cell r="C23">
            <v>0</v>
          </cell>
          <cell r="E23">
            <v>9000000</v>
          </cell>
          <cell r="F23">
            <v>5676000</v>
          </cell>
          <cell r="G23">
            <v>12210000</v>
          </cell>
          <cell r="I23">
            <v>0</v>
          </cell>
          <cell r="J23">
            <v>17800000.000000183</v>
          </cell>
          <cell r="T23">
            <v>2012974</v>
          </cell>
          <cell r="AB23">
            <v>0</v>
          </cell>
        </row>
        <row r="24">
          <cell r="C24">
            <v>0</v>
          </cell>
          <cell r="E24">
            <v>8000000</v>
          </cell>
          <cell r="F24">
            <v>3485000</v>
          </cell>
          <cell r="G24">
            <v>5660000</v>
          </cell>
          <cell r="I24">
            <v>0</v>
          </cell>
          <cell r="J24">
            <v>12800000.000000183</v>
          </cell>
          <cell r="T24">
            <v>1199194</v>
          </cell>
          <cell r="AB24">
            <v>0</v>
          </cell>
        </row>
        <row r="25">
          <cell r="C25">
            <v>0</v>
          </cell>
          <cell r="E25">
            <v>8000000</v>
          </cell>
          <cell r="F25">
            <v>3452000</v>
          </cell>
          <cell r="G25">
            <v>10140000</v>
          </cell>
          <cell r="I25">
            <v>0</v>
          </cell>
          <cell r="J25">
            <v>16800000.000000183</v>
          </cell>
          <cell r="T25">
            <v>1623402</v>
          </cell>
          <cell r="AB25">
            <v>0</v>
          </cell>
        </row>
        <row r="26">
          <cell r="C26">
            <v>0</v>
          </cell>
          <cell r="E26">
            <v>9000000</v>
          </cell>
          <cell r="F26">
            <v>3505000</v>
          </cell>
          <cell r="G26">
            <v>10950000</v>
          </cell>
          <cell r="I26">
            <v>0</v>
          </cell>
          <cell r="J26">
            <v>17300000.000000183</v>
          </cell>
          <cell r="T26">
            <v>1663622</v>
          </cell>
          <cell r="AB26">
            <v>0</v>
          </cell>
        </row>
        <row r="27">
          <cell r="C27">
            <v>0</v>
          </cell>
          <cell r="E27">
            <v>7000000</v>
          </cell>
          <cell r="F27">
            <v>3482000</v>
          </cell>
          <cell r="G27">
            <v>4940000</v>
          </cell>
          <cell r="I27">
            <v>0</v>
          </cell>
          <cell r="J27">
            <v>12000000</v>
          </cell>
          <cell r="T27">
            <v>1128176</v>
          </cell>
          <cell r="AB27">
            <v>0</v>
          </cell>
        </row>
        <row r="28">
          <cell r="C28">
            <v>0</v>
          </cell>
          <cell r="E28">
            <v>9000000</v>
          </cell>
          <cell r="F28">
            <v>3543000</v>
          </cell>
          <cell r="G28">
            <v>7370000</v>
          </cell>
          <cell r="I28">
            <v>0</v>
          </cell>
          <cell r="J28">
            <v>14000000</v>
          </cell>
          <cell r="T28">
            <v>1467778</v>
          </cell>
          <cell r="AB28">
            <v>0</v>
          </cell>
        </row>
        <row r="29">
          <cell r="C29">
            <v>0</v>
          </cell>
          <cell r="E29">
            <v>8000000</v>
          </cell>
          <cell r="F29">
            <v>3480000</v>
          </cell>
          <cell r="G29">
            <v>8010000</v>
          </cell>
          <cell r="I29">
            <v>0</v>
          </cell>
          <cell r="J29">
            <v>15399999.999999637</v>
          </cell>
          <cell r="T29">
            <v>1440518</v>
          </cell>
          <cell r="AB29">
            <v>0</v>
          </cell>
        </row>
        <row r="30">
          <cell r="C30">
            <v>0</v>
          </cell>
          <cell r="E30">
            <v>9000000</v>
          </cell>
          <cell r="F30">
            <v>3486000</v>
          </cell>
          <cell r="G30">
            <v>6520000</v>
          </cell>
          <cell r="I30">
            <v>0</v>
          </cell>
          <cell r="J30">
            <v>13100000.000000363</v>
          </cell>
          <cell r="T30">
            <v>1280183</v>
          </cell>
          <cell r="AB30">
            <v>0</v>
          </cell>
        </row>
        <row r="31">
          <cell r="C31">
            <v>0</v>
          </cell>
          <cell r="E31">
            <v>9000000</v>
          </cell>
          <cell r="F31">
            <v>3607000</v>
          </cell>
          <cell r="G31">
            <v>6990000</v>
          </cell>
          <cell r="I31">
            <v>0</v>
          </cell>
          <cell r="J31">
            <v>14899999.999999637</v>
          </cell>
          <cell r="T31">
            <v>1425586</v>
          </cell>
          <cell r="AB31">
            <v>0</v>
          </cell>
        </row>
        <row r="32">
          <cell r="C32">
            <v>0</v>
          </cell>
          <cell r="E32">
            <v>8000000</v>
          </cell>
          <cell r="F32">
            <v>3394000</v>
          </cell>
          <cell r="G32">
            <v>10610000</v>
          </cell>
          <cell r="I32">
            <v>0</v>
          </cell>
          <cell r="J32">
            <v>17100000.000000365</v>
          </cell>
          <cell r="T32">
            <v>1650846</v>
          </cell>
          <cell r="AB32">
            <v>0</v>
          </cell>
        </row>
        <row r="33">
          <cell r="C33">
            <v>0</v>
          </cell>
          <cell r="E33">
            <v>8000000</v>
          </cell>
          <cell r="F33">
            <v>3486000</v>
          </cell>
          <cell r="G33">
            <v>12530000</v>
          </cell>
          <cell r="I33">
            <v>0</v>
          </cell>
          <cell r="J33">
            <v>19199999.999998908</v>
          </cell>
          <cell r="T33">
            <v>1780764</v>
          </cell>
          <cell r="AB33">
            <v>0</v>
          </cell>
        </row>
        <row r="34">
          <cell r="C34">
            <v>0</v>
          </cell>
          <cell r="E34">
            <v>9000000</v>
          </cell>
          <cell r="F34">
            <v>3496000</v>
          </cell>
          <cell r="G34">
            <v>13200000</v>
          </cell>
          <cell r="I34">
            <v>0</v>
          </cell>
          <cell r="J34">
            <v>19600000.000000365</v>
          </cell>
          <cell r="T34">
            <v>1882574</v>
          </cell>
          <cell r="AB34">
            <v>0</v>
          </cell>
        </row>
        <row r="35">
          <cell r="C35">
            <v>0</v>
          </cell>
          <cell r="E35">
            <v>11000000</v>
          </cell>
          <cell r="F35">
            <v>3461000</v>
          </cell>
          <cell r="G35">
            <v>11720000</v>
          </cell>
          <cell r="I35">
            <v>0</v>
          </cell>
          <cell r="J35">
            <v>20300000.000001092</v>
          </cell>
          <cell r="T35">
            <v>1971550</v>
          </cell>
          <cell r="AB35">
            <v>0</v>
          </cell>
        </row>
        <row r="36">
          <cell r="C36">
            <v>0</v>
          </cell>
          <cell r="E36">
            <v>16000000</v>
          </cell>
          <cell r="F36">
            <v>3561000</v>
          </cell>
          <cell r="G36">
            <v>8750000</v>
          </cell>
          <cell r="I36">
            <v>0</v>
          </cell>
          <cell r="J36">
            <v>22500000</v>
          </cell>
          <cell r="T36">
            <v>2133175</v>
          </cell>
          <cell r="AB36">
            <v>0</v>
          </cell>
        </row>
        <row r="37">
          <cell r="C37">
            <v>0</v>
          </cell>
          <cell r="E37">
            <v>11000000</v>
          </cell>
          <cell r="F37">
            <v>3569000</v>
          </cell>
          <cell r="G37">
            <v>5040000</v>
          </cell>
          <cell r="I37">
            <v>0</v>
          </cell>
          <cell r="J37">
            <v>13899999.999999637</v>
          </cell>
          <cell r="T37">
            <v>1483488</v>
          </cell>
          <cell r="AB37">
            <v>0</v>
          </cell>
        </row>
        <row r="38">
          <cell r="C38">
            <v>0</v>
          </cell>
          <cell r="E38">
            <v>8000000</v>
          </cell>
          <cell r="F38">
            <v>3541000</v>
          </cell>
          <cell r="G38">
            <v>6200000</v>
          </cell>
          <cell r="I38">
            <v>0</v>
          </cell>
          <cell r="J38">
            <v>13199999.999998908</v>
          </cell>
          <cell r="T38">
            <v>1338401</v>
          </cell>
          <cell r="AB38">
            <v>0</v>
          </cell>
        </row>
        <row r="39">
          <cell r="C39">
            <v>0</v>
          </cell>
          <cell r="E39">
            <v>13000000</v>
          </cell>
          <cell r="F39">
            <v>3597000</v>
          </cell>
          <cell r="G39">
            <v>8010000</v>
          </cell>
          <cell r="I39">
            <v>0</v>
          </cell>
          <cell r="J39">
            <v>19200000.000000726</v>
          </cell>
          <cell r="T39">
            <v>1530393</v>
          </cell>
          <cell r="AB39">
            <v>0</v>
          </cell>
        </row>
        <row r="40">
          <cell r="C40">
            <v>0</v>
          </cell>
          <cell r="E40">
            <v>13000000</v>
          </cell>
          <cell r="F40">
            <v>3650000</v>
          </cell>
          <cell r="G40">
            <v>7870000</v>
          </cell>
          <cell r="I40">
            <v>0</v>
          </cell>
          <cell r="J40">
            <v>18600000.000000365</v>
          </cell>
          <cell r="T40">
            <v>1431781</v>
          </cell>
          <cell r="AB40">
            <v>0</v>
          </cell>
        </row>
        <row r="41">
          <cell r="C41">
            <v>0</v>
          </cell>
          <cell r="E41">
            <v>12000000</v>
          </cell>
          <cell r="F41">
            <v>3398000</v>
          </cell>
          <cell r="G41">
            <v>6770000</v>
          </cell>
          <cell r="I41">
            <v>0</v>
          </cell>
          <cell r="J41">
            <v>17299999.999999274</v>
          </cell>
          <cell r="T41">
            <v>1775499</v>
          </cell>
          <cell r="AB41">
            <v>0</v>
          </cell>
        </row>
        <row r="42">
          <cell r="C42">
            <v>0</v>
          </cell>
          <cell r="E42">
            <v>17000000</v>
          </cell>
          <cell r="F42">
            <v>3542000</v>
          </cell>
          <cell r="G42">
            <v>7950000</v>
          </cell>
          <cell r="I42">
            <v>0</v>
          </cell>
          <cell r="J42">
            <v>21899999.999999635</v>
          </cell>
          <cell r="T42">
            <v>2109507</v>
          </cell>
          <cell r="AB42">
            <v>0</v>
          </cell>
        </row>
        <row r="43">
          <cell r="C43">
            <v>1600000</v>
          </cell>
          <cell r="E43">
            <v>16000000</v>
          </cell>
          <cell r="F43">
            <v>3467000</v>
          </cell>
          <cell r="G43">
            <v>5660000</v>
          </cell>
          <cell r="I43">
            <v>1600000</v>
          </cell>
          <cell r="J43">
            <v>19500000</v>
          </cell>
          <cell r="T43">
            <v>1726167</v>
          </cell>
          <cell r="AB43">
            <v>0</v>
          </cell>
        </row>
        <row r="44">
          <cell r="C44">
            <v>4650000</v>
          </cell>
          <cell r="E44">
            <v>13000000</v>
          </cell>
          <cell r="F44">
            <v>3398000</v>
          </cell>
          <cell r="G44">
            <v>4930000</v>
          </cell>
          <cell r="I44">
            <v>4548000.0000000056</v>
          </cell>
          <cell r="J44">
            <v>17500000</v>
          </cell>
          <cell r="T44">
            <v>1591186</v>
          </cell>
          <cell r="AB44">
            <v>99999.99999999431</v>
          </cell>
        </row>
        <row r="45">
          <cell r="C45">
            <v>5700000</v>
          </cell>
          <cell r="E45">
            <v>14000000</v>
          </cell>
          <cell r="F45">
            <v>3456000</v>
          </cell>
          <cell r="G45">
            <v>5080000</v>
          </cell>
          <cell r="I45">
            <v>5596999.9999999916</v>
          </cell>
          <cell r="J45">
            <v>17000000</v>
          </cell>
          <cell r="T45">
            <v>1670163</v>
          </cell>
          <cell r="AB45">
            <v>100000.00000000853</v>
          </cell>
        </row>
        <row r="46">
          <cell r="C46">
            <v>8229000</v>
          </cell>
          <cell r="E46">
            <v>14000000</v>
          </cell>
          <cell r="F46">
            <v>3465000</v>
          </cell>
          <cell r="G46">
            <v>5110000</v>
          </cell>
          <cell r="I46">
            <v>8127000.0000000056</v>
          </cell>
          <cell r="J46">
            <v>17300000.000001092</v>
          </cell>
          <cell r="T46">
            <v>1681759</v>
          </cell>
          <cell r="AB46">
            <v>99999.99999999431</v>
          </cell>
        </row>
        <row r="47">
          <cell r="C47">
            <v>7400000</v>
          </cell>
          <cell r="E47">
            <v>11000000</v>
          </cell>
          <cell r="F47">
            <v>3425000</v>
          </cell>
          <cell r="G47">
            <v>5040000</v>
          </cell>
          <cell r="I47">
            <v>7291999.9999999916</v>
          </cell>
          <cell r="J47">
            <v>14500000</v>
          </cell>
          <cell r="T47">
            <v>1350602</v>
          </cell>
          <cell r="AB47">
            <v>100000.00000000853</v>
          </cell>
        </row>
        <row r="48">
          <cell r="C48">
            <v>6002000</v>
          </cell>
          <cell r="E48">
            <v>8000000</v>
          </cell>
          <cell r="F48">
            <v>3439000</v>
          </cell>
          <cell r="G48">
            <v>5060000</v>
          </cell>
          <cell r="I48">
            <v>5899000.0000000056</v>
          </cell>
          <cell r="J48">
            <v>11399999.999999637</v>
          </cell>
          <cell r="T48">
            <v>1194042</v>
          </cell>
          <cell r="AB48">
            <v>99999.99999999431</v>
          </cell>
        </row>
        <row r="49">
          <cell r="C49">
            <v>6817000</v>
          </cell>
          <cell r="E49">
            <v>8000000</v>
          </cell>
          <cell r="F49">
            <v>3446000</v>
          </cell>
          <cell r="G49">
            <v>5060000</v>
          </cell>
          <cell r="I49">
            <v>6712000.0000000056</v>
          </cell>
          <cell r="J49">
            <v>11799999.999999272</v>
          </cell>
          <cell r="T49">
            <v>1211079</v>
          </cell>
          <cell r="AB49">
            <v>99999.99999999431</v>
          </cell>
        </row>
        <row r="50">
          <cell r="C50">
            <v>6988000</v>
          </cell>
          <cell r="E50">
            <v>10000000</v>
          </cell>
          <cell r="F50">
            <v>3431000</v>
          </cell>
          <cell r="G50">
            <v>5050000</v>
          </cell>
          <cell r="I50">
            <v>6884999.9999999916</v>
          </cell>
          <cell r="J50">
            <v>13600000.000000363</v>
          </cell>
          <cell r="T50">
            <v>1464419</v>
          </cell>
          <cell r="AB50">
            <v>100000.00000000853</v>
          </cell>
        </row>
        <row r="51">
          <cell r="C51">
            <v>9193000</v>
          </cell>
          <cell r="E51">
            <v>11000000</v>
          </cell>
          <cell r="F51">
            <v>3437000</v>
          </cell>
          <cell r="G51">
            <v>5060000</v>
          </cell>
          <cell r="I51">
            <v>9146999.9999999981</v>
          </cell>
          <cell r="J51">
            <v>13800000.000001092</v>
          </cell>
          <cell r="T51">
            <v>1367252</v>
          </cell>
          <cell r="AB51">
            <v>42000.000000001593</v>
          </cell>
        </row>
        <row r="52">
          <cell r="C52">
            <v>10275000</v>
          </cell>
          <cell r="E52">
            <v>14000000</v>
          </cell>
          <cell r="F52">
            <v>3423000</v>
          </cell>
          <cell r="G52">
            <v>5010000</v>
          </cell>
          <cell r="I52">
            <v>9860000.0000000037</v>
          </cell>
          <cell r="J52">
            <v>16799999.999999274</v>
          </cell>
          <cell r="T52">
            <v>1595842</v>
          </cell>
          <cell r="AB52">
            <v>406999.99999999645</v>
          </cell>
        </row>
        <row r="53">
          <cell r="C53">
            <v>9887000</v>
          </cell>
          <cell r="E53">
            <v>12000000</v>
          </cell>
          <cell r="F53">
            <v>3446000</v>
          </cell>
          <cell r="G53">
            <v>4990000</v>
          </cell>
          <cell r="I53">
            <v>9568000.0000000019</v>
          </cell>
          <cell r="J53">
            <v>15700000.000000728</v>
          </cell>
          <cell r="T53">
            <v>1467536</v>
          </cell>
          <cell r="AB53">
            <v>311999.99999999761</v>
          </cell>
        </row>
        <row r="54">
          <cell r="C54">
            <v>6552000</v>
          </cell>
          <cell r="E54">
            <v>12000000</v>
          </cell>
          <cell r="F54">
            <v>3459000</v>
          </cell>
          <cell r="G54">
            <v>3710000</v>
          </cell>
          <cell r="I54">
            <v>6254999.9999999981</v>
          </cell>
          <cell r="J54">
            <v>11099999.999998545</v>
          </cell>
          <cell r="T54">
            <v>1066104</v>
          </cell>
          <cell r="AB54">
            <v>292000.00000000157</v>
          </cell>
        </row>
        <row r="55">
          <cell r="C55">
            <v>9058000</v>
          </cell>
          <cell r="E55">
            <v>5000000</v>
          </cell>
          <cell r="F55">
            <v>3441000</v>
          </cell>
          <cell r="G55">
            <v>4730000</v>
          </cell>
          <cell r="I55">
            <v>8933000</v>
          </cell>
          <cell r="J55">
            <v>11700000.000000728</v>
          </cell>
          <cell r="T55">
            <v>1124471</v>
          </cell>
          <cell r="AB55">
            <v>121999.99999999988</v>
          </cell>
        </row>
        <row r="56">
          <cell r="C56">
            <v>10460000</v>
          </cell>
          <cell r="E56">
            <v>6000000</v>
          </cell>
          <cell r="F56">
            <v>3440000</v>
          </cell>
          <cell r="G56">
            <v>4990000</v>
          </cell>
          <cell r="I56">
            <v>10089000.000000006</v>
          </cell>
          <cell r="J56">
            <v>10799999.999999272</v>
          </cell>
          <cell r="T56">
            <v>1027609</v>
          </cell>
          <cell r="AB56">
            <v>364999.99999999488</v>
          </cell>
        </row>
        <row r="57">
          <cell r="C57">
            <v>10056000</v>
          </cell>
          <cell r="E57">
            <v>12000000</v>
          </cell>
          <cell r="F57">
            <v>3438000</v>
          </cell>
          <cell r="G57">
            <v>4990000</v>
          </cell>
          <cell r="I57">
            <v>9674999.9999999907</v>
          </cell>
          <cell r="J57">
            <v>15000000</v>
          </cell>
          <cell r="T57">
            <v>1452692</v>
          </cell>
          <cell r="AB57">
            <v>374000.00000000943</v>
          </cell>
        </row>
        <row r="58">
          <cell r="C58">
            <v>8042000</v>
          </cell>
          <cell r="E58">
            <v>16000000</v>
          </cell>
          <cell r="F58">
            <v>3451000</v>
          </cell>
          <cell r="G58">
            <v>5020000</v>
          </cell>
          <cell r="I58">
            <v>7787000</v>
          </cell>
          <cell r="J58">
            <v>18700000.000000726</v>
          </cell>
          <cell r="T58">
            <v>1721871</v>
          </cell>
          <cell r="AB58">
            <v>250000</v>
          </cell>
        </row>
        <row r="59">
          <cell r="C59">
            <v>12092000</v>
          </cell>
          <cell r="E59">
            <v>13000000</v>
          </cell>
          <cell r="F59">
            <v>3444000</v>
          </cell>
          <cell r="G59">
            <v>5000000</v>
          </cell>
          <cell r="I59">
            <v>11932000.000000004</v>
          </cell>
          <cell r="J59">
            <v>17000000</v>
          </cell>
          <cell r="T59">
            <v>1666652</v>
          </cell>
          <cell r="AB59">
            <v>156999.99999999648</v>
          </cell>
        </row>
        <row r="60">
          <cell r="C60">
            <v>13994000</v>
          </cell>
          <cell r="E60">
            <v>17000000</v>
          </cell>
          <cell r="F60">
            <v>3446000</v>
          </cell>
          <cell r="G60">
            <v>5000000</v>
          </cell>
          <cell r="I60">
            <v>13577999.999999998</v>
          </cell>
          <cell r="J60">
            <v>18799999.999999274</v>
          </cell>
          <cell r="T60">
            <v>1945632</v>
          </cell>
          <cell r="AB60">
            <v>408000.00000000122</v>
          </cell>
        </row>
        <row r="61">
          <cell r="C61">
            <v>13952000</v>
          </cell>
          <cell r="E61">
            <v>18000000</v>
          </cell>
          <cell r="F61">
            <v>3436000</v>
          </cell>
          <cell r="G61">
            <v>4980000</v>
          </cell>
          <cell r="I61">
            <v>13601999.999999996</v>
          </cell>
          <cell r="J61">
            <v>20700000.000000726</v>
          </cell>
          <cell r="T61">
            <v>2073061</v>
          </cell>
          <cell r="AB61">
            <v>343000.00000000355</v>
          </cell>
        </row>
        <row r="62">
          <cell r="C62">
            <v>13764000</v>
          </cell>
          <cell r="E62">
            <v>17000000</v>
          </cell>
          <cell r="F62">
            <v>3464000</v>
          </cell>
          <cell r="G62">
            <v>5010000</v>
          </cell>
          <cell r="I62">
            <v>13362000.000000009</v>
          </cell>
          <cell r="J62">
            <v>19799999.999999274</v>
          </cell>
          <cell r="T62">
            <v>1932322</v>
          </cell>
          <cell r="AB62">
            <v>393999.99999999127</v>
          </cell>
        </row>
        <row r="63">
          <cell r="C63">
            <v>13701000</v>
          </cell>
          <cell r="E63">
            <v>14000000</v>
          </cell>
          <cell r="F63">
            <v>3450000</v>
          </cell>
          <cell r="G63">
            <v>5020000</v>
          </cell>
          <cell r="I63">
            <v>13335000</v>
          </cell>
          <cell r="J63">
            <v>17000000</v>
          </cell>
          <cell r="T63">
            <v>1749576</v>
          </cell>
          <cell r="AB63">
            <v>359999.99999999942</v>
          </cell>
        </row>
        <row r="64">
          <cell r="C64">
            <v>13882000</v>
          </cell>
          <cell r="E64">
            <v>12000000</v>
          </cell>
          <cell r="F64">
            <v>3421000</v>
          </cell>
          <cell r="G64">
            <v>4960000</v>
          </cell>
          <cell r="I64">
            <v>13552999.999999998</v>
          </cell>
          <cell r="J64">
            <v>16000000</v>
          </cell>
          <cell r="T64">
            <v>1678238</v>
          </cell>
          <cell r="AB64">
            <v>322000.00000000274</v>
          </cell>
        </row>
        <row r="65">
          <cell r="C65">
            <v>14675000</v>
          </cell>
          <cell r="E65">
            <v>16000000</v>
          </cell>
          <cell r="F65">
            <v>3465000</v>
          </cell>
          <cell r="G65">
            <v>5020000</v>
          </cell>
          <cell r="I65">
            <v>14325000.000000006</v>
          </cell>
          <cell r="J65">
            <v>17900000.000001457</v>
          </cell>
          <cell r="T65">
            <v>1801869</v>
          </cell>
          <cell r="AB65">
            <v>343999.99999999406</v>
          </cell>
        </row>
        <row r="66">
          <cell r="C66">
            <v>13800000</v>
          </cell>
          <cell r="E66">
            <v>12000000</v>
          </cell>
          <cell r="F66">
            <v>3442000</v>
          </cell>
          <cell r="G66">
            <v>4990000</v>
          </cell>
          <cell r="I66">
            <v>13342999.999999987</v>
          </cell>
          <cell r="J66">
            <v>16500000</v>
          </cell>
          <cell r="T66">
            <v>1707485</v>
          </cell>
          <cell r="AB66">
            <v>449000.00000001228</v>
          </cell>
        </row>
        <row r="67">
          <cell r="C67">
            <v>14656000</v>
          </cell>
          <cell r="E67">
            <v>16000000</v>
          </cell>
          <cell r="F67">
            <v>3461000</v>
          </cell>
          <cell r="G67">
            <v>6540000</v>
          </cell>
          <cell r="I67">
            <v>14290000.000000006</v>
          </cell>
          <cell r="J67">
            <v>20500000</v>
          </cell>
          <cell r="T67">
            <v>2076051</v>
          </cell>
          <cell r="AB67">
            <v>358999.99999999464</v>
          </cell>
        </row>
        <row r="68">
          <cell r="C68">
            <v>14487000</v>
          </cell>
          <cell r="E68">
            <v>19000000</v>
          </cell>
          <cell r="F68">
            <v>3448000</v>
          </cell>
          <cell r="G68">
            <v>7930000</v>
          </cell>
          <cell r="I68">
            <v>14040999.999999998</v>
          </cell>
          <cell r="J68">
            <v>24500000</v>
          </cell>
          <cell r="T68">
            <v>2373466</v>
          </cell>
          <cell r="AB68">
            <v>438000.00000000239</v>
          </cell>
        </row>
        <row r="69">
          <cell r="C69">
            <v>13707000</v>
          </cell>
          <cell r="E69">
            <v>18000000</v>
          </cell>
          <cell r="F69">
            <v>3460000</v>
          </cell>
          <cell r="G69">
            <v>7450000</v>
          </cell>
          <cell r="I69">
            <v>13424000.000000009</v>
          </cell>
          <cell r="J69">
            <v>22399999.999999635</v>
          </cell>
          <cell r="T69">
            <v>2164663</v>
          </cell>
          <cell r="AB69">
            <v>277999.99999999156</v>
          </cell>
        </row>
        <row r="70">
          <cell r="C70">
            <v>15527000</v>
          </cell>
          <cell r="E70">
            <v>17000000</v>
          </cell>
          <cell r="F70">
            <v>3460000</v>
          </cell>
          <cell r="G70">
            <v>7510000</v>
          </cell>
          <cell r="I70">
            <v>15138999.999999994</v>
          </cell>
          <cell r="J70">
            <v>22199999.999998908</v>
          </cell>
          <cell r="T70">
            <v>2229931</v>
          </cell>
          <cell r="AB70">
            <v>382000.00000000501</v>
          </cell>
        </row>
        <row r="71">
          <cell r="C71">
            <v>10278000</v>
          </cell>
          <cell r="E71">
            <v>21000000</v>
          </cell>
          <cell r="F71">
            <v>3467000</v>
          </cell>
          <cell r="G71">
            <v>8090000</v>
          </cell>
          <cell r="I71">
            <v>9878000.0000000037</v>
          </cell>
          <cell r="J71">
            <v>26500000</v>
          </cell>
          <cell r="T71">
            <v>2411446</v>
          </cell>
          <cell r="AB71">
            <v>391999.99999999593</v>
          </cell>
        </row>
        <row r="72">
          <cell r="C72">
            <v>14307000</v>
          </cell>
          <cell r="E72">
            <v>21000000</v>
          </cell>
          <cell r="F72">
            <v>3410000</v>
          </cell>
          <cell r="G72">
            <v>8400000</v>
          </cell>
          <cell r="I72">
            <v>14007999.999999989</v>
          </cell>
          <cell r="J72">
            <v>26500000</v>
          </cell>
          <cell r="T72">
            <v>2360206</v>
          </cell>
          <cell r="AB72">
            <v>294000.00000001112</v>
          </cell>
        </row>
        <row r="73">
          <cell r="C73">
            <v>12681000</v>
          </cell>
          <cell r="E73">
            <v>18000000</v>
          </cell>
          <cell r="F73">
            <v>3470000</v>
          </cell>
          <cell r="G73">
            <v>7390000</v>
          </cell>
          <cell r="I73">
            <v>12325000.000000011</v>
          </cell>
          <cell r="J73">
            <v>23200000.000000726</v>
          </cell>
          <cell r="T73">
            <v>2122676</v>
          </cell>
          <cell r="AB73">
            <v>348999.99999998952</v>
          </cell>
        </row>
        <row r="74">
          <cell r="C74">
            <v>14472000</v>
          </cell>
          <cell r="E74">
            <v>24000000</v>
          </cell>
          <cell r="F74">
            <v>3474000</v>
          </cell>
          <cell r="G74">
            <v>10820000</v>
          </cell>
          <cell r="I74">
            <v>14145999.999999993</v>
          </cell>
          <cell r="J74">
            <v>31899999.999999635</v>
          </cell>
          <cell r="T74">
            <v>2977482</v>
          </cell>
          <cell r="AB74">
            <v>320000.00000000739</v>
          </cell>
        </row>
        <row r="75">
          <cell r="C75">
            <v>13050000</v>
          </cell>
          <cell r="E75">
            <v>21000000</v>
          </cell>
          <cell r="F75">
            <v>3433000</v>
          </cell>
          <cell r="G75">
            <v>9930000</v>
          </cell>
          <cell r="I75">
            <v>12698000.000000002</v>
          </cell>
          <cell r="J75">
            <v>27500000</v>
          </cell>
          <cell r="T75">
            <v>2674467</v>
          </cell>
          <cell r="AB75">
            <v>344999.99999999884</v>
          </cell>
        </row>
        <row r="76">
          <cell r="C76">
            <v>14080000</v>
          </cell>
          <cell r="E76">
            <v>21000000</v>
          </cell>
          <cell r="F76">
            <v>3481000</v>
          </cell>
          <cell r="G76">
            <v>10010000</v>
          </cell>
          <cell r="I76">
            <v>13722999.999999996</v>
          </cell>
          <cell r="J76">
            <v>28500000</v>
          </cell>
          <cell r="T76">
            <v>2750342</v>
          </cell>
          <cell r="AB76">
            <v>349000.00000000373</v>
          </cell>
        </row>
        <row r="77">
          <cell r="C77">
            <v>14281000</v>
          </cell>
          <cell r="E77">
            <v>20000000</v>
          </cell>
          <cell r="F77">
            <v>3434000</v>
          </cell>
          <cell r="G77">
            <v>8860000</v>
          </cell>
          <cell r="I77">
            <v>13880000</v>
          </cell>
          <cell r="J77">
            <v>25500000</v>
          </cell>
          <cell r="T77">
            <v>2563420</v>
          </cell>
          <cell r="AB77">
            <v>393000.0000000007</v>
          </cell>
        </row>
        <row r="78">
          <cell r="C78">
            <v>13076000</v>
          </cell>
          <cell r="E78">
            <v>21000000</v>
          </cell>
          <cell r="F78">
            <v>3461000</v>
          </cell>
          <cell r="G78">
            <v>9630000</v>
          </cell>
          <cell r="I78">
            <v>12801000.000000009</v>
          </cell>
          <cell r="J78">
            <v>28300000.000001092</v>
          </cell>
          <cell r="T78">
            <v>2546783</v>
          </cell>
          <cell r="AB78">
            <v>268999.99999999127</v>
          </cell>
        </row>
        <row r="79">
          <cell r="C79">
            <v>14174000</v>
          </cell>
          <cell r="E79">
            <v>24000000</v>
          </cell>
          <cell r="F79">
            <v>3491000</v>
          </cell>
          <cell r="G79">
            <v>9860000</v>
          </cell>
          <cell r="I79">
            <v>13801000</v>
          </cell>
          <cell r="J79">
            <v>29899999.999999635</v>
          </cell>
          <cell r="T79">
            <v>2916806</v>
          </cell>
          <cell r="AB79">
            <v>365999.99999999965</v>
          </cell>
        </row>
        <row r="80">
          <cell r="C80">
            <v>13623000</v>
          </cell>
          <cell r="E80">
            <v>20000000</v>
          </cell>
          <cell r="F80">
            <v>3492000</v>
          </cell>
          <cell r="G80">
            <v>8510000</v>
          </cell>
          <cell r="I80">
            <v>13359999.999999991</v>
          </cell>
          <cell r="J80">
            <v>26299999.999999274</v>
          </cell>
          <cell r="T80">
            <v>2543020</v>
          </cell>
          <cell r="AB80">
            <v>255000.00000000966</v>
          </cell>
        </row>
        <row r="81">
          <cell r="C81">
            <v>13916000</v>
          </cell>
          <cell r="E81">
            <v>20000000</v>
          </cell>
          <cell r="F81">
            <v>3414000</v>
          </cell>
          <cell r="G81">
            <v>9890000</v>
          </cell>
          <cell r="I81">
            <v>13599000.000000002</v>
          </cell>
          <cell r="J81">
            <v>27300000.000001092</v>
          </cell>
          <cell r="T81">
            <v>2620404</v>
          </cell>
          <cell r="AB81">
            <v>311999.99999999761</v>
          </cell>
        </row>
        <row r="82">
          <cell r="C82">
            <v>13555000</v>
          </cell>
          <cell r="E82">
            <v>19000000</v>
          </cell>
          <cell r="F82">
            <v>3470000</v>
          </cell>
          <cell r="G82">
            <v>8880000</v>
          </cell>
          <cell r="I82">
            <v>13160000</v>
          </cell>
          <cell r="J82">
            <v>25199999.999998908</v>
          </cell>
          <cell r="T82">
            <v>2361254</v>
          </cell>
          <cell r="AB82">
            <v>387000.00000000047</v>
          </cell>
        </row>
        <row r="83">
          <cell r="C83">
            <v>12543000</v>
          </cell>
          <cell r="E83">
            <v>19000000</v>
          </cell>
          <cell r="F83">
            <v>3469000</v>
          </cell>
          <cell r="G83">
            <v>7790000</v>
          </cell>
          <cell r="I83">
            <v>12204000.000000011</v>
          </cell>
          <cell r="J83">
            <v>24500000</v>
          </cell>
          <cell r="T83">
            <v>2220501</v>
          </cell>
          <cell r="AB83">
            <v>330999.99999998888</v>
          </cell>
        </row>
        <row r="84">
          <cell r="C84">
            <v>11514000</v>
          </cell>
          <cell r="E84">
            <v>12000000</v>
          </cell>
          <cell r="F84">
            <v>3468000</v>
          </cell>
          <cell r="G84">
            <v>5520000</v>
          </cell>
          <cell r="I84">
            <v>11226999.999999989</v>
          </cell>
          <cell r="J84">
            <v>15500000</v>
          </cell>
          <cell r="T84">
            <v>1558704</v>
          </cell>
          <cell r="AB84">
            <v>282000.00000001071</v>
          </cell>
        </row>
        <row r="85">
          <cell r="C85">
            <v>10977000</v>
          </cell>
          <cell r="E85">
            <v>10000000</v>
          </cell>
          <cell r="F85">
            <v>3447000</v>
          </cell>
          <cell r="G85">
            <v>4990000</v>
          </cell>
          <cell r="I85">
            <v>10812999.999999998</v>
          </cell>
          <cell r="J85">
            <v>13399999.999999637</v>
          </cell>
          <cell r="T85">
            <v>1321262</v>
          </cell>
          <cell r="AB85">
            <v>161000.00000000137</v>
          </cell>
        </row>
        <row r="86">
          <cell r="C86">
            <v>9448000</v>
          </cell>
          <cell r="E86">
            <v>13000000</v>
          </cell>
          <cell r="F86">
            <v>3414000</v>
          </cell>
          <cell r="G86">
            <v>5960000</v>
          </cell>
          <cell r="I86">
            <v>9157999.9999999981</v>
          </cell>
          <cell r="J86">
            <v>17400000.000001457</v>
          </cell>
          <cell r="T86">
            <v>1695548</v>
          </cell>
          <cell r="AB86">
            <v>283000.00000000122</v>
          </cell>
        </row>
        <row r="87">
          <cell r="C87">
            <v>12601000</v>
          </cell>
          <cell r="E87">
            <v>13000000</v>
          </cell>
          <cell r="F87">
            <v>3508000</v>
          </cell>
          <cell r="G87">
            <v>6040000</v>
          </cell>
          <cell r="I87">
            <v>12257000.000000002</v>
          </cell>
          <cell r="J87">
            <v>17000000</v>
          </cell>
          <cell r="T87">
            <v>1746882</v>
          </cell>
          <cell r="AB87">
            <v>335999.99999999854</v>
          </cell>
        </row>
        <row r="88">
          <cell r="C88">
            <v>12546000</v>
          </cell>
          <cell r="E88">
            <v>19000000</v>
          </cell>
          <cell r="F88">
            <v>3458000</v>
          </cell>
          <cell r="G88">
            <v>8440000</v>
          </cell>
          <cell r="I88">
            <v>12206000.000000011</v>
          </cell>
          <cell r="J88">
            <v>24699999.999998908</v>
          </cell>
          <cell r="T88">
            <v>2306588</v>
          </cell>
          <cell r="AB88">
            <v>333999.999999989</v>
          </cell>
        </row>
        <row r="89">
          <cell r="C89">
            <v>13510000</v>
          </cell>
          <cell r="E89">
            <v>18000000</v>
          </cell>
          <cell r="F89">
            <v>3476000</v>
          </cell>
          <cell r="G89">
            <v>8030000</v>
          </cell>
          <cell r="I89">
            <v>13220999.999999994</v>
          </cell>
          <cell r="J89">
            <v>23500000</v>
          </cell>
          <cell r="T89">
            <v>2271661</v>
          </cell>
          <cell r="AB89">
            <v>284000.00000000605</v>
          </cell>
        </row>
        <row r="90">
          <cell r="C90">
            <v>12522000</v>
          </cell>
          <cell r="E90">
            <v>16000000</v>
          </cell>
          <cell r="F90">
            <v>3433000</v>
          </cell>
          <cell r="G90">
            <v>7590000</v>
          </cell>
          <cell r="I90">
            <v>12214000.000000004</v>
          </cell>
          <cell r="J90">
            <v>20700000.000000726</v>
          </cell>
          <cell r="T90">
            <v>2095372</v>
          </cell>
          <cell r="AB90">
            <v>299999.99999999715</v>
          </cell>
        </row>
        <row r="91">
          <cell r="C91">
            <v>12989000</v>
          </cell>
          <cell r="E91">
            <v>17000000</v>
          </cell>
          <cell r="F91">
            <v>3465000</v>
          </cell>
          <cell r="G91">
            <v>7680000</v>
          </cell>
          <cell r="I91">
            <v>12711000.000000004</v>
          </cell>
          <cell r="J91">
            <v>22799999.999999274</v>
          </cell>
          <cell r="T91">
            <v>2307148</v>
          </cell>
          <cell r="AB91">
            <v>272999.99999999616</v>
          </cell>
        </row>
        <row r="92">
          <cell r="C92">
            <v>12736000</v>
          </cell>
          <cell r="E92">
            <v>18000000</v>
          </cell>
          <cell r="F92">
            <v>3485000</v>
          </cell>
          <cell r="G92">
            <v>7850000</v>
          </cell>
          <cell r="I92">
            <v>12377999.999999991</v>
          </cell>
          <cell r="J92">
            <v>22200000.000000726</v>
          </cell>
          <cell r="T92">
            <v>2293283</v>
          </cell>
          <cell r="AB92">
            <v>350000.0000000085</v>
          </cell>
        </row>
        <row r="93">
          <cell r="C93">
            <v>13645000</v>
          </cell>
          <cell r="E93">
            <v>20000000</v>
          </cell>
          <cell r="F93">
            <v>1381000</v>
          </cell>
          <cell r="G93">
            <v>9340000</v>
          </cell>
          <cell r="I93">
            <v>13326000.000000002</v>
          </cell>
          <cell r="J93">
            <v>27199999.999998908</v>
          </cell>
          <cell r="T93">
            <v>2500831</v>
          </cell>
          <cell r="AB93">
            <v>311999.99999999761</v>
          </cell>
        </row>
        <row r="94">
          <cell r="C94">
            <v>12469000</v>
          </cell>
          <cell r="E94">
            <v>23000000</v>
          </cell>
          <cell r="F94">
            <v>0</v>
          </cell>
          <cell r="G94">
            <v>9160000</v>
          </cell>
          <cell r="I94">
            <v>12160999.999999993</v>
          </cell>
          <cell r="J94">
            <v>28300000.000001092</v>
          </cell>
          <cell r="T94">
            <v>2673106</v>
          </cell>
          <cell r="AB94">
            <v>302000.00000000669</v>
          </cell>
        </row>
        <row r="95">
          <cell r="C95">
            <v>12042000</v>
          </cell>
          <cell r="E95">
            <v>22000000</v>
          </cell>
          <cell r="F95">
            <v>0</v>
          </cell>
          <cell r="G95">
            <v>9730000</v>
          </cell>
          <cell r="I95">
            <v>11717000.000000002</v>
          </cell>
          <cell r="J95">
            <v>28399999.999999635</v>
          </cell>
          <cell r="T95">
            <v>2726959</v>
          </cell>
          <cell r="AB95">
            <v>317999.99999999785</v>
          </cell>
        </row>
        <row r="96">
          <cell r="C96">
            <v>12822000</v>
          </cell>
          <cell r="E96">
            <v>18000000</v>
          </cell>
          <cell r="F96">
            <v>0</v>
          </cell>
          <cell r="G96">
            <v>7930000</v>
          </cell>
          <cell r="I96">
            <v>12410999.999999998</v>
          </cell>
          <cell r="J96">
            <v>23700000.000000726</v>
          </cell>
          <cell r="T96">
            <v>2278545</v>
          </cell>
          <cell r="AB96">
            <v>402000.00000000105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July"/>
      <sheetName val="Aug"/>
      <sheetName val="Sept"/>
    </sheetNames>
    <sheetDataSet>
      <sheetData sheetId="0"/>
      <sheetData sheetId="1"/>
      <sheetData sheetId="2"/>
      <sheetData sheetId="3"/>
      <sheetData sheetId="4"/>
      <sheetData sheetId="5">
        <row r="6">
          <cell r="C6">
            <v>13405000</v>
          </cell>
          <cell r="E6">
            <v>20000000</v>
          </cell>
          <cell r="F6">
            <v>0</v>
          </cell>
          <cell r="G6">
            <v>8290000</v>
          </cell>
          <cell r="I6">
            <v>13118000.000000004</v>
          </cell>
          <cell r="J6">
            <v>25000000</v>
          </cell>
          <cell r="T6">
            <v>2462696</v>
          </cell>
          <cell r="AB6">
            <v>278999.99999999639</v>
          </cell>
        </row>
        <row r="7">
          <cell r="C7">
            <v>14345000</v>
          </cell>
          <cell r="E7">
            <v>22000000</v>
          </cell>
          <cell r="F7">
            <v>0</v>
          </cell>
          <cell r="G7">
            <v>9480000</v>
          </cell>
          <cell r="I7">
            <v>14014000.000000007</v>
          </cell>
          <cell r="J7">
            <v>28500000</v>
          </cell>
          <cell r="T7">
            <v>2732178</v>
          </cell>
          <cell r="AB7">
            <v>325999.99999999342</v>
          </cell>
        </row>
        <row r="8">
          <cell r="C8">
            <v>13901000</v>
          </cell>
          <cell r="E8">
            <v>19000000</v>
          </cell>
          <cell r="F8">
            <v>0</v>
          </cell>
          <cell r="G8">
            <v>8950000</v>
          </cell>
          <cell r="I8">
            <v>13607999.999999998</v>
          </cell>
          <cell r="J8">
            <v>26000000</v>
          </cell>
          <cell r="T8">
            <v>2424251</v>
          </cell>
          <cell r="AB8">
            <v>286000.00000000134</v>
          </cell>
        </row>
        <row r="9">
          <cell r="C9">
            <v>14817000</v>
          </cell>
          <cell r="E9">
            <v>20000000</v>
          </cell>
          <cell r="F9">
            <v>0</v>
          </cell>
          <cell r="G9">
            <v>9820000</v>
          </cell>
          <cell r="I9">
            <v>14473000.000000002</v>
          </cell>
          <cell r="J9">
            <v>25500000</v>
          </cell>
          <cell r="T9">
            <v>2675825</v>
          </cell>
          <cell r="AB9">
            <v>335999.99999999854</v>
          </cell>
        </row>
        <row r="10">
          <cell r="C10">
            <v>12521000</v>
          </cell>
          <cell r="E10">
            <v>18000000</v>
          </cell>
          <cell r="F10">
            <v>0</v>
          </cell>
          <cell r="G10">
            <v>7880000</v>
          </cell>
          <cell r="I10">
            <v>12097999.999999994</v>
          </cell>
          <cell r="J10">
            <v>24299999.999999274</v>
          </cell>
          <cell r="T10">
            <v>2248175</v>
          </cell>
          <cell r="AB10">
            <v>415000.00000000623</v>
          </cell>
        </row>
        <row r="11">
          <cell r="C11">
            <v>12507000</v>
          </cell>
          <cell r="E11">
            <v>17000000</v>
          </cell>
          <cell r="F11">
            <v>0</v>
          </cell>
          <cell r="G11">
            <v>7480000</v>
          </cell>
          <cell r="I11">
            <v>12267999.999999996</v>
          </cell>
          <cell r="J11">
            <v>22299999.999999274</v>
          </cell>
          <cell r="T11">
            <v>2148979</v>
          </cell>
          <cell r="AB11">
            <v>236000.00000000422</v>
          </cell>
        </row>
        <row r="12">
          <cell r="C12">
            <v>12034000</v>
          </cell>
          <cell r="E12">
            <v>23000000</v>
          </cell>
          <cell r="F12">
            <v>0</v>
          </cell>
          <cell r="G12">
            <v>9870000</v>
          </cell>
          <cell r="I12">
            <v>11723000.000000013</v>
          </cell>
          <cell r="J12">
            <v>28800000.000001092</v>
          </cell>
          <cell r="T12">
            <v>2731526</v>
          </cell>
          <cell r="AB12">
            <v>303999.99999998783</v>
          </cell>
        </row>
        <row r="13">
          <cell r="C13">
            <v>11991000</v>
          </cell>
          <cell r="E13">
            <v>16000000</v>
          </cell>
          <cell r="F13">
            <v>0</v>
          </cell>
          <cell r="G13">
            <v>8230000</v>
          </cell>
          <cell r="I13">
            <v>11674999.999999998</v>
          </cell>
          <cell r="J13">
            <v>23199999.999998908</v>
          </cell>
          <cell r="T13">
            <v>1877862</v>
          </cell>
          <cell r="AB13">
            <v>310000.00000000227</v>
          </cell>
        </row>
        <row r="14">
          <cell r="C14">
            <v>13877000</v>
          </cell>
          <cell r="E14">
            <v>19000000</v>
          </cell>
          <cell r="F14">
            <v>0</v>
          </cell>
          <cell r="G14">
            <v>7970000</v>
          </cell>
          <cell r="I14">
            <v>13505999.999999996</v>
          </cell>
          <cell r="J14">
            <v>25100000.000000365</v>
          </cell>
          <cell r="T14">
            <v>2387399</v>
          </cell>
          <cell r="AB14">
            <v>364000.00000000431</v>
          </cell>
        </row>
        <row r="15">
          <cell r="C15">
            <v>13205000</v>
          </cell>
          <cell r="E15">
            <v>21000000</v>
          </cell>
          <cell r="F15">
            <v>0</v>
          </cell>
          <cell r="G15">
            <v>9960000</v>
          </cell>
          <cell r="I15">
            <v>12896999.999999993</v>
          </cell>
          <cell r="J15">
            <v>28300000.000001092</v>
          </cell>
          <cell r="T15">
            <v>2708090</v>
          </cell>
          <cell r="AB15">
            <v>302000.00000000669</v>
          </cell>
        </row>
        <row r="16">
          <cell r="C16">
            <v>12014000</v>
          </cell>
          <cell r="E16">
            <v>24000000</v>
          </cell>
          <cell r="F16">
            <v>0</v>
          </cell>
          <cell r="G16">
            <v>11380000</v>
          </cell>
          <cell r="I16">
            <v>11759000</v>
          </cell>
          <cell r="J16">
            <v>31500000</v>
          </cell>
          <cell r="T16">
            <v>2976220</v>
          </cell>
          <cell r="AB16">
            <v>250000</v>
          </cell>
        </row>
        <row r="17">
          <cell r="C17">
            <v>11961000</v>
          </cell>
          <cell r="E17">
            <v>21000000</v>
          </cell>
          <cell r="F17">
            <v>0</v>
          </cell>
          <cell r="G17">
            <v>10790000</v>
          </cell>
          <cell r="I17">
            <v>11611000.000000006</v>
          </cell>
          <cell r="J17">
            <v>29299999.999999274</v>
          </cell>
          <cell r="T17">
            <v>2660927</v>
          </cell>
          <cell r="AB17">
            <v>343999.99999999406</v>
          </cell>
        </row>
        <row r="18">
          <cell r="C18">
            <v>11407000</v>
          </cell>
          <cell r="E18">
            <v>22000000</v>
          </cell>
          <cell r="F18">
            <v>0</v>
          </cell>
          <cell r="G18">
            <v>10020000</v>
          </cell>
          <cell r="I18">
            <v>11022999.999999994</v>
          </cell>
          <cell r="J18">
            <v>29399999.999999635</v>
          </cell>
          <cell r="T18">
            <v>2765540</v>
          </cell>
          <cell r="AB18">
            <v>376000.00000000477</v>
          </cell>
        </row>
        <row r="19">
          <cell r="C19">
            <v>11556000</v>
          </cell>
          <cell r="E19">
            <v>23000000</v>
          </cell>
          <cell r="F19">
            <v>0</v>
          </cell>
          <cell r="G19">
            <v>11410000</v>
          </cell>
          <cell r="I19">
            <v>11300000.000000009</v>
          </cell>
          <cell r="J19">
            <v>31000000</v>
          </cell>
          <cell r="T19">
            <v>2828827</v>
          </cell>
          <cell r="AB19">
            <v>250999.99999999057</v>
          </cell>
        </row>
        <row r="20">
          <cell r="C20">
            <v>11293000</v>
          </cell>
          <cell r="E20">
            <v>19000000</v>
          </cell>
          <cell r="F20">
            <v>0</v>
          </cell>
          <cell r="G20">
            <v>8980000</v>
          </cell>
          <cell r="I20">
            <v>11003999.999999994</v>
          </cell>
          <cell r="J20">
            <v>26200000.000000726</v>
          </cell>
          <cell r="T20">
            <v>2483984</v>
          </cell>
          <cell r="AB20">
            <v>284000.00000000605</v>
          </cell>
        </row>
        <row r="21">
          <cell r="C21">
            <v>11287000</v>
          </cell>
          <cell r="E21">
            <v>18000000</v>
          </cell>
          <cell r="F21">
            <v>0</v>
          </cell>
          <cell r="G21">
            <v>8280000</v>
          </cell>
          <cell r="I21">
            <v>10974000.000000002</v>
          </cell>
          <cell r="J21">
            <v>23100000.000000365</v>
          </cell>
          <cell r="T21">
            <v>2193101</v>
          </cell>
          <cell r="AB21">
            <v>305999.99999999738</v>
          </cell>
        </row>
        <row r="22">
          <cell r="C22">
            <v>9862000</v>
          </cell>
          <cell r="E22">
            <v>19000000</v>
          </cell>
          <cell r="F22">
            <v>0</v>
          </cell>
          <cell r="G22">
            <v>8530000</v>
          </cell>
          <cell r="I22">
            <v>9535000.0000000019</v>
          </cell>
          <cell r="J22">
            <v>25500000</v>
          </cell>
          <cell r="T22">
            <v>2491391</v>
          </cell>
          <cell r="AB22">
            <v>320999.99999999796</v>
          </cell>
        </row>
        <row r="23">
          <cell r="C23">
            <v>11250000</v>
          </cell>
          <cell r="E23">
            <v>21000000</v>
          </cell>
          <cell r="F23">
            <v>0</v>
          </cell>
          <cell r="G23">
            <v>10340000</v>
          </cell>
          <cell r="I23">
            <v>11014999.999999996</v>
          </cell>
          <cell r="J23">
            <v>28299999.999999274</v>
          </cell>
          <cell r="T23">
            <v>2724755</v>
          </cell>
          <cell r="AB23">
            <v>230000.00000000399</v>
          </cell>
        </row>
        <row r="24">
          <cell r="C24">
            <v>11112000</v>
          </cell>
          <cell r="E24">
            <v>21000000</v>
          </cell>
          <cell r="F24">
            <v>0</v>
          </cell>
          <cell r="G24">
            <v>10520000</v>
          </cell>
          <cell r="I24">
            <v>10780000.000000007</v>
          </cell>
          <cell r="J24">
            <v>27700000.000000726</v>
          </cell>
          <cell r="T24">
            <v>2757793</v>
          </cell>
          <cell r="AB24">
            <v>325999.99999999342</v>
          </cell>
        </row>
        <row r="25">
          <cell r="C25">
            <v>7930000</v>
          </cell>
          <cell r="E25">
            <v>21000000</v>
          </cell>
          <cell r="F25">
            <v>0</v>
          </cell>
          <cell r="G25">
            <v>12140000</v>
          </cell>
          <cell r="I25">
            <v>7668999.9999999953</v>
          </cell>
          <cell r="J25">
            <v>34500000</v>
          </cell>
          <cell r="T25">
            <v>3184830</v>
          </cell>
          <cell r="AB25">
            <v>257000.00000000501</v>
          </cell>
        </row>
        <row r="26">
          <cell r="C26">
            <v>0</v>
          </cell>
          <cell r="E26">
            <v>21000000</v>
          </cell>
          <cell r="F26">
            <v>0</v>
          </cell>
          <cell r="G26">
            <v>12380000</v>
          </cell>
          <cell r="I26">
            <v>0</v>
          </cell>
          <cell r="J26">
            <v>33199999.999998908</v>
          </cell>
          <cell r="T26">
            <v>3118731</v>
          </cell>
          <cell r="AB26">
            <v>0</v>
          </cell>
        </row>
        <row r="27">
          <cell r="C27">
            <v>0</v>
          </cell>
          <cell r="E27">
            <v>33000000</v>
          </cell>
          <cell r="F27">
            <v>0</v>
          </cell>
          <cell r="G27">
            <v>12990000</v>
          </cell>
          <cell r="I27">
            <v>0</v>
          </cell>
          <cell r="J27">
            <v>34200000.00000073</v>
          </cell>
          <cell r="T27">
            <v>3180747</v>
          </cell>
          <cell r="AB27">
            <v>0</v>
          </cell>
        </row>
        <row r="28">
          <cell r="C28">
            <v>3952000</v>
          </cell>
          <cell r="E28">
            <v>20000000</v>
          </cell>
          <cell r="F28">
            <v>0</v>
          </cell>
          <cell r="G28">
            <v>9470000</v>
          </cell>
          <cell r="I28">
            <v>3297999.9999999949</v>
          </cell>
          <cell r="J28">
            <v>26500000</v>
          </cell>
          <cell r="T28">
            <v>2453630</v>
          </cell>
          <cell r="AB28">
            <v>632000.00000000501</v>
          </cell>
        </row>
        <row r="29">
          <cell r="C29">
            <v>7667000</v>
          </cell>
          <cell r="E29">
            <v>12000000</v>
          </cell>
          <cell r="F29">
            <v>0</v>
          </cell>
          <cell r="G29">
            <v>5800000</v>
          </cell>
          <cell r="I29">
            <v>7406000.0000000093</v>
          </cell>
          <cell r="J29">
            <v>17199999.999998908</v>
          </cell>
          <cell r="T29">
            <v>1530039</v>
          </cell>
          <cell r="AB29">
            <v>256999.9999999908</v>
          </cell>
        </row>
        <row r="30">
          <cell r="C30">
            <v>10540000</v>
          </cell>
          <cell r="E30">
            <v>14000000</v>
          </cell>
          <cell r="F30">
            <v>0</v>
          </cell>
          <cell r="G30">
            <v>9060000</v>
          </cell>
          <cell r="I30">
            <v>10295999.999999996</v>
          </cell>
          <cell r="J30">
            <v>20700000.000000726</v>
          </cell>
          <cell r="T30">
            <v>1877912</v>
          </cell>
          <cell r="AB30">
            <v>239000.00000000431</v>
          </cell>
        </row>
        <row r="31">
          <cell r="C31">
            <v>8939000</v>
          </cell>
          <cell r="E31">
            <v>8000000</v>
          </cell>
          <cell r="F31">
            <v>0</v>
          </cell>
          <cell r="G31">
            <v>8160000</v>
          </cell>
          <cell r="I31">
            <v>8560000</v>
          </cell>
          <cell r="J31">
            <v>15100000.000000363</v>
          </cell>
          <cell r="T31">
            <v>1377361</v>
          </cell>
          <cell r="AB31">
            <v>371999.99999999988</v>
          </cell>
        </row>
        <row r="32">
          <cell r="C32">
            <v>9848000</v>
          </cell>
          <cell r="E32">
            <v>10000000</v>
          </cell>
          <cell r="F32">
            <v>0</v>
          </cell>
          <cell r="G32">
            <v>10060000</v>
          </cell>
          <cell r="I32">
            <v>9600000.0000000056</v>
          </cell>
          <cell r="J32">
            <v>17799999.999999274</v>
          </cell>
          <cell r="T32">
            <v>1734783</v>
          </cell>
          <cell r="AB32">
            <v>242999.99999999499</v>
          </cell>
        </row>
        <row r="33">
          <cell r="C33">
            <v>7837000</v>
          </cell>
          <cell r="E33">
            <v>8000000</v>
          </cell>
          <cell r="F33">
            <v>0</v>
          </cell>
          <cell r="G33">
            <v>9580000</v>
          </cell>
          <cell r="I33">
            <v>7603000.0000000009</v>
          </cell>
          <cell r="J33">
            <v>16800000.000001092</v>
          </cell>
          <cell r="T33">
            <v>1523745</v>
          </cell>
          <cell r="AB33">
            <v>228999.99999999921</v>
          </cell>
        </row>
        <row r="34">
          <cell r="C34">
            <v>10975000</v>
          </cell>
          <cell r="E34">
            <v>8000000</v>
          </cell>
          <cell r="F34">
            <v>0</v>
          </cell>
          <cell r="G34">
            <v>10620000</v>
          </cell>
          <cell r="I34">
            <v>10786999.999999998</v>
          </cell>
          <cell r="J34">
            <v>17199999.999998908</v>
          </cell>
          <cell r="T34">
            <v>1650625</v>
          </cell>
          <cell r="AB34">
            <v>185000.00000000227</v>
          </cell>
        </row>
        <row r="35">
          <cell r="C35">
            <v>11785000</v>
          </cell>
          <cell r="E35">
            <v>9000000</v>
          </cell>
          <cell r="F35">
            <v>0</v>
          </cell>
          <cell r="G35">
            <v>12280000</v>
          </cell>
          <cell r="I35">
            <v>11476000.000000002</v>
          </cell>
          <cell r="J35">
            <v>19500000</v>
          </cell>
          <cell r="T35">
            <v>1997205</v>
          </cell>
          <cell r="AB35">
            <v>302999.99999999726</v>
          </cell>
        </row>
        <row r="36">
          <cell r="C36">
            <v>11308000</v>
          </cell>
          <cell r="E36">
            <v>9000000</v>
          </cell>
          <cell r="F36">
            <v>0</v>
          </cell>
          <cell r="G36">
            <v>13260000</v>
          </cell>
          <cell r="I36">
            <v>10916000</v>
          </cell>
          <cell r="J36">
            <v>19800000.000001092</v>
          </cell>
          <cell r="T36">
            <v>2003362</v>
          </cell>
          <cell r="AB36">
            <v>384000.00000000035</v>
          </cell>
        </row>
        <row r="37">
          <cell r="C37">
            <v>13759000</v>
          </cell>
          <cell r="E37">
            <v>12000000</v>
          </cell>
          <cell r="F37">
            <v>0</v>
          </cell>
          <cell r="G37">
            <v>14460000</v>
          </cell>
          <cell r="I37">
            <v>13455999.999999994</v>
          </cell>
          <cell r="J37">
            <v>23399999.999999635</v>
          </cell>
          <cell r="T37">
            <v>2271881</v>
          </cell>
          <cell r="AB37">
            <v>296000.00000000646</v>
          </cell>
        </row>
        <row r="38">
          <cell r="C38">
            <v>12587000</v>
          </cell>
          <cell r="E38">
            <v>9000000</v>
          </cell>
          <cell r="F38">
            <v>0</v>
          </cell>
          <cell r="G38">
            <v>11510000</v>
          </cell>
          <cell r="I38">
            <v>12228000</v>
          </cell>
          <cell r="J38">
            <v>18699999.999998908</v>
          </cell>
          <cell r="T38">
            <v>1703982</v>
          </cell>
          <cell r="AB38">
            <v>353999.99999999919</v>
          </cell>
        </row>
        <row r="39">
          <cell r="C39">
            <v>12617000</v>
          </cell>
          <cell r="E39">
            <v>9000000</v>
          </cell>
          <cell r="F39">
            <v>0</v>
          </cell>
          <cell r="G39">
            <v>15140000</v>
          </cell>
          <cell r="I39">
            <v>12201999.999999994</v>
          </cell>
          <cell r="J39">
            <v>23300000.000001092</v>
          </cell>
          <cell r="T39">
            <v>2132136</v>
          </cell>
          <cell r="AB39">
            <v>406000.00000000594</v>
          </cell>
        </row>
        <row r="40">
          <cell r="C40">
            <v>12726000</v>
          </cell>
          <cell r="E40">
            <v>8000000</v>
          </cell>
          <cell r="F40">
            <v>0</v>
          </cell>
          <cell r="G40">
            <v>15340000</v>
          </cell>
          <cell r="I40">
            <v>12449000.000000009</v>
          </cell>
          <cell r="J40">
            <v>20199999.999998908</v>
          </cell>
          <cell r="T40">
            <v>2014239</v>
          </cell>
          <cell r="AB40">
            <v>271999.99999999139</v>
          </cell>
        </row>
        <row r="41">
          <cell r="C41">
            <v>12840000</v>
          </cell>
          <cell r="E41">
            <v>7000000</v>
          </cell>
          <cell r="F41">
            <v>0</v>
          </cell>
          <cell r="G41">
            <v>15730000</v>
          </cell>
          <cell r="I41">
            <v>12465999.999999991</v>
          </cell>
          <cell r="J41">
            <v>21700000.000000726</v>
          </cell>
          <cell r="T41">
            <v>1968098</v>
          </cell>
          <cell r="AB41">
            <v>368000.0000000092</v>
          </cell>
        </row>
        <row r="42">
          <cell r="C42">
            <v>11907000</v>
          </cell>
          <cell r="E42">
            <v>8000000</v>
          </cell>
          <cell r="F42">
            <v>0</v>
          </cell>
          <cell r="G42">
            <v>13140000</v>
          </cell>
          <cell r="I42">
            <v>11578000.000000007</v>
          </cell>
          <cell r="J42">
            <v>19000000</v>
          </cell>
          <cell r="T42">
            <v>1742341</v>
          </cell>
          <cell r="AB42">
            <v>319999.99999999319</v>
          </cell>
        </row>
        <row r="43">
          <cell r="C43">
            <v>12714000</v>
          </cell>
          <cell r="E43">
            <v>9000000</v>
          </cell>
          <cell r="F43">
            <v>0</v>
          </cell>
          <cell r="G43">
            <v>15510000</v>
          </cell>
          <cell r="I43">
            <v>12417999.999999998</v>
          </cell>
          <cell r="J43">
            <v>21700000.000000726</v>
          </cell>
          <cell r="T43">
            <v>2247804</v>
          </cell>
          <cell r="AB43">
            <v>292000.00000000157</v>
          </cell>
        </row>
        <row r="44">
          <cell r="C44">
            <v>13060000</v>
          </cell>
          <cell r="E44">
            <v>9000000</v>
          </cell>
          <cell r="F44">
            <v>0</v>
          </cell>
          <cell r="G44">
            <v>14730000</v>
          </cell>
          <cell r="I44">
            <v>12681000</v>
          </cell>
          <cell r="J44">
            <v>22599999.999998543</v>
          </cell>
          <cell r="T44">
            <v>1953126</v>
          </cell>
          <cell r="AB44">
            <v>371999.99999999988</v>
          </cell>
        </row>
        <row r="45">
          <cell r="C45">
            <v>13667000</v>
          </cell>
          <cell r="E45">
            <v>9000000</v>
          </cell>
          <cell r="F45">
            <v>0</v>
          </cell>
          <cell r="G45">
            <v>14080000</v>
          </cell>
          <cell r="I45">
            <v>13350999.999999998</v>
          </cell>
          <cell r="J45">
            <v>20300000.000001092</v>
          </cell>
          <cell r="T45">
            <v>1928576</v>
          </cell>
          <cell r="AB45">
            <v>310000.00000000227</v>
          </cell>
        </row>
        <row r="46">
          <cell r="C46">
            <v>13603000</v>
          </cell>
          <cell r="E46">
            <v>6000000</v>
          </cell>
          <cell r="F46">
            <v>0</v>
          </cell>
          <cell r="G46">
            <v>18270000</v>
          </cell>
          <cell r="I46">
            <v>13179000.000000004</v>
          </cell>
          <cell r="J46">
            <v>23199999.999998908</v>
          </cell>
          <cell r="T46">
            <v>2386608</v>
          </cell>
          <cell r="AB46">
            <v>415999.9999999968</v>
          </cell>
        </row>
        <row r="47">
          <cell r="C47">
            <v>12231000</v>
          </cell>
          <cell r="E47">
            <v>8000000</v>
          </cell>
          <cell r="F47">
            <v>0</v>
          </cell>
          <cell r="G47">
            <v>19550000</v>
          </cell>
          <cell r="I47">
            <v>11971999.999999994</v>
          </cell>
          <cell r="J47">
            <v>25100000.000000365</v>
          </cell>
          <cell r="T47">
            <v>2438912</v>
          </cell>
          <cell r="AB47">
            <v>254000.00000000489</v>
          </cell>
        </row>
        <row r="48">
          <cell r="C48">
            <v>13079000</v>
          </cell>
          <cell r="E48">
            <v>7000000</v>
          </cell>
          <cell r="F48">
            <v>0</v>
          </cell>
          <cell r="G48">
            <v>17850000</v>
          </cell>
          <cell r="I48">
            <v>12817000.000000009</v>
          </cell>
          <cell r="J48">
            <v>23500000</v>
          </cell>
          <cell r="T48">
            <v>2158422</v>
          </cell>
          <cell r="AB48">
            <v>256999.9999999908</v>
          </cell>
        </row>
        <row r="49">
          <cell r="C49">
            <v>14563000</v>
          </cell>
          <cell r="E49">
            <v>9000000</v>
          </cell>
          <cell r="F49">
            <v>0</v>
          </cell>
          <cell r="G49">
            <v>17930000</v>
          </cell>
          <cell r="I49">
            <v>14213999.999999996</v>
          </cell>
          <cell r="J49">
            <v>23600000.000000365</v>
          </cell>
          <cell r="T49">
            <v>2191708</v>
          </cell>
          <cell r="AB49">
            <v>343000.00000000355</v>
          </cell>
        </row>
        <row r="50">
          <cell r="C50">
            <v>14560000</v>
          </cell>
          <cell r="E50">
            <v>8000000</v>
          </cell>
          <cell r="F50">
            <v>0</v>
          </cell>
          <cell r="G50">
            <v>14950000</v>
          </cell>
          <cell r="I50">
            <v>14125999.999999998</v>
          </cell>
          <cell r="J50">
            <v>21399999.999999635</v>
          </cell>
          <cell r="T50">
            <v>2074562</v>
          </cell>
          <cell r="AB50">
            <v>426000.00000000192</v>
          </cell>
        </row>
        <row r="51">
          <cell r="C51">
            <v>11966000</v>
          </cell>
          <cell r="E51">
            <v>8000000</v>
          </cell>
          <cell r="F51">
            <v>0</v>
          </cell>
          <cell r="G51">
            <v>13170000</v>
          </cell>
          <cell r="I51">
            <v>11513000.000000002</v>
          </cell>
          <cell r="J51">
            <v>19399999.999999635</v>
          </cell>
          <cell r="T51">
            <v>1789226</v>
          </cell>
          <cell r="AB51">
            <v>442999.99999999785</v>
          </cell>
        </row>
        <row r="52">
          <cell r="C52">
            <v>11513000</v>
          </cell>
          <cell r="E52">
            <v>9000000</v>
          </cell>
          <cell r="F52">
            <v>0</v>
          </cell>
          <cell r="G52">
            <v>13030000</v>
          </cell>
          <cell r="I52">
            <v>11347999.999999994</v>
          </cell>
          <cell r="J52">
            <v>19600000.000000365</v>
          </cell>
          <cell r="T52">
            <v>1931335</v>
          </cell>
          <cell r="AB52">
            <v>162000.00000000614</v>
          </cell>
        </row>
        <row r="53">
          <cell r="C53">
            <v>12716000</v>
          </cell>
          <cell r="E53">
            <v>11000000</v>
          </cell>
          <cell r="F53">
            <v>0</v>
          </cell>
          <cell r="G53">
            <v>16830000</v>
          </cell>
          <cell r="I53">
            <v>12409000.000000007</v>
          </cell>
          <cell r="J53">
            <v>24899999.999999635</v>
          </cell>
          <cell r="T53">
            <v>2493294</v>
          </cell>
          <cell r="AB53">
            <v>301999.99999999249</v>
          </cell>
        </row>
        <row r="54">
          <cell r="C54">
            <v>12311000</v>
          </cell>
          <cell r="E54">
            <v>11000000</v>
          </cell>
          <cell r="F54">
            <v>0</v>
          </cell>
          <cell r="G54">
            <v>16500000</v>
          </cell>
          <cell r="I54">
            <v>11917000.000000004</v>
          </cell>
          <cell r="J54">
            <v>24200000.000000726</v>
          </cell>
          <cell r="T54">
            <v>2330400</v>
          </cell>
          <cell r="AB54">
            <v>385999.99999999569</v>
          </cell>
        </row>
        <row r="55">
          <cell r="C55">
            <v>10763000</v>
          </cell>
          <cell r="E55">
            <v>8000000</v>
          </cell>
          <cell r="F55">
            <v>0</v>
          </cell>
          <cell r="G55">
            <v>10850000</v>
          </cell>
          <cell r="I55">
            <v>10467999.999999994</v>
          </cell>
          <cell r="J55">
            <v>17100000.000000365</v>
          </cell>
          <cell r="T55">
            <v>1625065</v>
          </cell>
          <cell r="AB55">
            <v>290000.00000000623</v>
          </cell>
        </row>
        <row r="56">
          <cell r="C56">
            <v>10856000</v>
          </cell>
          <cell r="E56">
            <v>8000000</v>
          </cell>
          <cell r="F56">
            <v>0</v>
          </cell>
          <cell r="G56">
            <v>12690000</v>
          </cell>
          <cell r="I56">
            <v>10547000.000000002</v>
          </cell>
          <cell r="J56">
            <v>18899999.999999635</v>
          </cell>
          <cell r="T56">
            <v>1709734</v>
          </cell>
          <cell r="AB56">
            <v>302999.99999999726</v>
          </cell>
        </row>
        <row r="57">
          <cell r="C57">
            <v>10737000</v>
          </cell>
          <cell r="E57">
            <v>9000000</v>
          </cell>
          <cell r="F57">
            <v>0</v>
          </cell>
          <cell r="G57">
            <v>12830000</v>
          </cell>
          <cell r="I57">
            <v>10419999.999999998</v>
          </cell>
          <cell r="J57">
            <v>18799999.999999274</v>
          </cell>
          <cell r="T57">
            <v>1835303</v>
          </cell>
          <cell r="AB57">
            <v>310000.00000000227</v>
          </cell>
        </row>
        <row r="58">
          <cell r="C58">
            <v>11851000</v>
          </cell>
          <cell r="E58">
            <v>8000000</v>
          </cell>
          <cell r="F58">
            <v>0</v>
          </cell>
          <cell r="G58">
            <v>13230000</v>
          </cell>
          <cell r="I58">
            <v>11619000</v>
          </cell>
          <cell r="J58">
            <v>18700000.000000726</v>
          </cell>
          <cell r="T58">
            <v>1874141</v>
          </cell>
          <cell r="AB58">
            <v>228999.99999999921</v>
          </cell>
        </row>
        <row r="59">
          <cell r="C59">
            <v>10579000</v>
          </cell>
          <cell r="E59">
            <v>8000000</v>
          </cell>
          <cell r="F59">
            <v>0</v>
          </cell>
          <cell r="G59">
            <v>14180000</v>
          </cell>
          <cell r="I59">
            <v>10238000.000000002</v>
          </cell>
          <cell r="J59">
            <v>20000000</v>
          </cell>
          <cell r="T59">
            <v>2040894</v>
          </cell>
          <cell r="AB59">
            <v>332999.99999999843</v>
          </cell>
        </row>
        <row r="60">
          <cell r="C60">
            <v>11701000</v>
          </cell>
          <cell r="E60">
            <v>10000000</v>
          </cell>
          <cell r="F60">
            <v>0</v>
          </cell>
          <cell r="G60">
            <v>14590000</v>
          </cell>
          <cell r="I60">
            <v>11472000</v>
          </cell>
          <cell r="J60">
            <v>21500000</v>
          </cell>
          <cell r="T60">
            <v>2193455</v>
          </cell>
          <cell r="AB60">
            <v>225999.9999999991</v>
          </cell>
        </row>
        <row r="61">
          <cell r="C61">
            <v>11911000</v>
          </cell>
          <cell r="E61">
            <v>11000000</v>
          </cell>
          <cell r="F61">
            <v>0</v>
          </cell>
          <cell r="G61">
            <v>16480000</v>
          </cell>
          <cell r="I61">
            <v>11544999.999999991</v>
          </cell>
          <cell r="J61">
            <v>24399999.999999635</v>
          </cell>
          <cell r="T61">
            <v>2486896</v>
          </cell>
          <cell r="AB61">
            <v>359000.00000000885</v>
          </cell>
        </row>
        <row r="62">
          <cell r="C62">
            <v>11942000</v>
          </cell>
          <cell r="E62">
            <v>11000000</v>
          </cell>
          <cell r="F62">
            <v>0</v>
          </cell>
          <cell r="G62">
            <v>16410000</v>
          </cell>
          <cell r="I62">
            <v>11623000.000000007</v>
          </cell>
          <cell r="J62">
            <v>23500000</v>
          </cell>
          <cell r="T62">
            <v>2677019</v>
          </cell>
          <cell r="AB62">
            <v>310999.99999999284</v>
          </cell>
        </row>
        <row r="63">
          <cell r="C63">
            <v>12490000</v>
          </cell>
          <cell r="E63">
            <v>10000000</v>
          </cell>
          <cell r="F63">
            <v>0</v>
          </cell>
          <cell r="G63">
            <v>15700000</v>
          </cell>
          <cell r="I63">
            <v>12243000</v>
          </cell>
          <cell r="J63">
            <v>23800000.000001092</v>
          </cell>
          <cell r="T63">
            <v>2452630</v>
          </cell>
          <cell r="AB63">
            <v>240999.99999999965</v>
          </cell>
        </row>
        <row r="64">
          <cell r="C64">
            <v>11794000</v>
          </cell>
          <cell r="E64">
            <v>10000000</v>
          </cell>
          <cell r="F64">
            <v>0</v>
          </cell>
          <cell r="G64">
            <v>14680000</v>
          </cell>
          <cell r="I64">
            <v>11643000</v>
          </cell>
          <cell r="J64">
            <v>21299999.999999274</v>
          </cell>
          <cell r="T64">
            <v>2273772</v>
          </cell>
          <cell r="AB64">
            <v>146000.00000000079</v>
          </cell>
        </row>
        <row r="65">
          <cell r="C65">
            <v>11912000</v>
          </cell>
          <cell r="E65">
            <v>10000000</v>
          </cell>
          <cell r="F65">
            <v>0</v>
          </cell>
          <cell r="G65">
            <v>14060000</v>
          </cell>
          <cell r="I65">
            <v>11727999.999999998</v>
          </cell>
          <cell r="J65">
            <v>21200000.000000726</v>
          </cell>
          <cell r="T65">
            <v>2302701</v>
          </cell>
          <cell r="AB65">
            <v>179000.00000000204</v>
          </cell>
        </row>
        <row r="66">
          <cell r="C66">
            <v>11637000</v>
          </cell>
          <cell r="E66">
            <v>10000000</v>
          </cell>
          <cell r="F66">
            <v>0</v>
          </cell>
          <cell r="G66">
            <v>15240000</v>
          </cell>
          <cell r="I66">
            <v>11362000.000000004</v>
          </cell>
          <cell r="J66">
            <v>22000000</v>
          </cell>
          <cell r="T66">
            <v>2449724</v>
          </cell>
          <cell r="AB66">
            <v>266999.99999999593</v>
          </cell>
        </row>
        <row r="67">
          <cell r="C67">
            <v>12624000</v>
          </cell>
          <cell r="E67">
            <v>10000000</v>
          </cell>
          <cell r="F67">
            <v>0</v>
          </cell>
          <cell r="G67">
            <v>15550000</v>
          </cell>
          <cell r="I67">
            <v>12411999.999999996</v>
          </cell>
          <cell r="J67">
            <v>23000000</v>
          </cell>
          <cell r="T67">
            <v>2284306</v>
          </cell>
          <cell r="AB67">
            <v>206000.00000000306</v>
          </cell>
        </row>
        <row r="68">
          <cell r="C68">
            <v>11932000</v>
          </cell>
          <cell r="E68">
            <v>10000000</v>
          </cell>
          <cell r="F68">
            <v>0</v>
          </cell>
          <cell r="G68">
            <v>14770000</v>
          </cell>
          <cell r="I68">
            <v>11693000</v>
          </cell>
          <cell r="J68">
            <v>22199999.999998908</v>
          </cell>
          <cell r="T68">
            <v>2370330</v>
          </cell>
          <cell r="AB68">
            <v>231999.99999999933</v>
          </cell>
        </row>
        <row r="69">
          <cell r="C69">
            <v>11534000</v>
          </cell>
          <cell r="E69">
            <v>10000000</v>
          </cell>
          <cell r="F69">
            <v>0</v>
          </cell>
          <cell r="G69">
            <v>15140000</v>
          </cell>
          <cell r="I69">
            <v>11376999.999999998</v>
          </cell>
          <cell r="J69">
            <v>21399999.999999635</v>
          </cell>
          <cell r="T69">
            <v>2293680</v>
          </cell>
          <cell r="AB69">
            <v>152000.00000000102</v>
          </cell>
        </row>
        <row r="70">
          <cell r="C70">
            <v>11656000</v>
          </cell>
          <cell r="E70">
            <v>11000000</v>
          </cell>
          <cell r="F70">
            <v>0</v>
          </cell>
          <cell r="G70">
            <v>14770000</v>
          </cell>
          <cell r="I70">
            <v>11431000.000000006</v>
          </cell>
          <cell r="J70">
            <v>22300000.000001092</v>
          </cell>
          <cell r="T70">
            <v>2485326</v>
          </cell>
          <cell r="AB70">
            <v>218999.99999999409</v>
          </cell>
        </row>
        <row r="71">
          <cell r="C71">
            <v>12128000</v>
          </cell>
          <cell r="E71">
            <v>9000000</v>
          </cell>
          <cell r="F71">
            <v>0</v>
          </cell>
          <cell r="G71">
            <v>15130000</v>
          </cell>
          <cell r="I71">
            <v>11893999.999999996</v>
          </cell>
          <cell r="J71">
            <v>22100000.000000365</v>
          </cell>
          <cell r="T71">
            <v>2256143</v>
          </cell>
          <cell r="AB71">
            <v>227000.00000000387</v>
          </cell>
        </row>
        <row r="72">
          <cell r="C72">
            <v>11589000</v>
          </cell>
          <cell r="E72">
            <v>9000000</v>
          </cell>
          <cell r="F72">
            <v>0</v>
          </cell>
          <cell r="G72">
            <v>12580000</v>
          </cell>
          <cell r="I72">
            <v>11437999.999999994</v>
          </cell>
          <cell r="J72">
            <v>18599999.999998543</v>
          </cell>
          <cell r="T72">
            <v>1848646</v>
          </cell>
          <cell r="AB72">
            <v>147000.00000000556</v>
          </cell>
        </row>
        <row r="73">
          <cell r="C73">
            <v>8389000</v>
          </cell>
          <cell r="E73">
            <v>7000000</v>
          </cell>
          <cell r="F73">
            <v>0</v>
          </cell>
          <cell r="G73">
            <v>9860000</v>
          </cell>
          <cell r="I73">
            <v>8151000.0000000056</v>
          </cell>
          <cell r="J73">
            <v>15300000.000001092</v>
          </cell>
          <cell r="T73">
            <v>1588596</v>
          </cell>
          <cell r="AB73">
            <v>230999.99999999453</v>
          </cell>
        </row>
        <row r="74">
          <cell r="C74">
            <v>11949000</v>
          </cell>
          <cell r="E74">
            <v>7000000</v>
          </cell>
          <cell r="F74">
            <v>0</v>
          </cell>
          <cell r="G74">
            <v>10030000</v>
          </cell>
          <cell r="I74">
            <v>11730999.999999996</v>
          </cell>
          <cell r="J74">
            <v>16000000</v>
          </cell>
          <cell r="T74">
            <v>1483946</v>
          </cell>
          <cell r="AB74">
            <v>212000.00000000329</v>
          </cell>
        </row>
        <row r="75">
          <cell r="C75">
            <v>13361000</v>
          </cell>
          <cell r="E75">
            <v>7000000</v>
          </cell>
          <cell r="F75">
            <v>0</v>
          </cell>
          <cell r="G75">
            <v>10220000</v>
          </cell>
          <cell r="I75">
            <v>13244000</v>
          </cell>
          <cell r="J75">
            <v>15500000</v>
          </cell>
          <cell r="T75">
            <v>1574142</v>
          </cell>
          <cell r="AB75">
            <v>112999.99999999955</v>
          </cell>
        </row>
        <row r="76">
          <cell r="C76">
            <v>12436000</v>
          </cell>
          <cell r="E76">
            <v>8000000</v>
          </cell>
          <cell r="F76">
            <v>0</v>
          </cell>
          <cell r="G76">
            <v>12730000</v>
          </cell>
          <cell r="I76">
            <v>12155999.999999994</v>
          </cell>
          <cell r="J76">
            <v>19000000</v>
          </cell>
          <cell r="T76">
            <v>2130876</v>
          </cell>
          <cell r="AB76">
            <v>272000.00000000559</v>
          </cell>
        </row>
        <row r="77">
          <cell r="C77">
            <v>12158000</v>
          </cell>
          <cell r="E77">
            <v>9000000</v>
          </cell>
          <cell r="F77">
            <v>0</v>
          </cell>
          <cell r="G77">
            <v>14010000</v>
          </cell>
          <cell r="I77">
            <v>11946000.000000011</v>
          </cell>
          <cell r="J77">
            <v>21000000</v>
          </cell>
          <cell r="T77">
            <v>1961807</v>
          </cell>
          <cell r="AB77">
            <v>205999.99999998885</v>
          </cell>
        </row>
        <row r="78">
          <cell r="C78">
            <v>11828000</v>
          </cell>
          <cell r="E78">
            <v>10000000</v>
          </cell>
          <cell r="F78">
            <v>0</v>
          </cell>
          <cell r="G78">
            <v>14780000</v>
          </cell>
          <cell r="I78">
            <v>11649999.999999998</v>
          </cell>
          <cell r="J78">
            <v>21899999.999999635</v>
          </cell>
          <cell r="T78">
            <v>2364850</v>
          </cell>
          <cell r="AB78">
            <v>173000.0000000018</v>
          </cell>
        </row>
        <row r="79">
          <cell r="C79">
            <v>12164000</v>
          </cell>
          <cell r="E79">
            <v>9000000</v>
          </cell>
          <cell r="F79">
            <v>0</v>
          </cell>
          <cell r="G79">
            <v>13370000</v>
          </cell>
          <cell r="I79">
            <v>11889999.999999994</v>
          </cell>
          <cell r="J79">
            <v>20399999.999999635</v>
          </cell>
          <cell r="T79">
            <v>2070455</v>
          </cell>
          <cell r="AB79">
            <v>266000.00000000536</v>
          </cell>
        </row>
        <row r="80">
          <cell r="C80">
            <v>12226000</v>
          </cell>
          <cell r="E80">
            <v>10000000</v>
          </cell>
          <cell r="F80">
            <v>0</v>
          </cell>
          <cell r="G80">
            <v>13760000</v>
          </cell>
          <cell r="I80">
            <v>12009000.000000006</v>
          </cell>
          <cell r="J80">
            <v>21200000.000000726</v>
          </cell>
          <cell r="T80">
            <v>2093291</v>
          </cell>
          <cell r="AB80">
            <v>209999.99999999374</v>
          </cell>
        </row>
        <row r="81">
          <cell r="C81">
            <v>12704000</v>
          </cell>
          <cell r="E81">
            <v>10000000</v>
          </cell>
          <cell r="F81">
            <v>0</v>
          </cell>
          <cell r="G81">
            <v>15160000</v>
          </cell>
          <cell r="I81">
            <v>12586999.999999996</v>
          </cell>
          <cell r="J81">
            <v>22100000.000000365</v>
          </cell>
          <cell r="T81">
            <v>2323022</v>
          </cell>
          <cell r="AB81">
            <v>114000.00000000432</v>
          </cell>
        </row>
        <row r="82">
          <cell r="C82">
            <v>12511000</v>
          </cell>
          <cell r="E82">
            <v>10000000</v>
          </cell>
          <cell r="F82">
            <v>0</v>
          </cell>
          <cell r="G82">
            <v>14000000</v>
          </cell>
          <cell r="I82">
            <v>12230999.999999994</v>
          </cell>
          <cell r="J82">
            <v>21299999.999999274</v>
          </cell>
          <cell r="T82">
            <v>2452801</v>
          </cell>
          <cell r="AB82">
            <v>272000.00000000559</v>
          </cell>
        </row>
        <row r="83">
          <cell r="C83">
            <v>12519000</v>
          </cell>
          <cell r="E83">
            <v>10000000</v>
          </cell>
          <cell r="F83">
            <v>0</v>
          </cell>
          <cell r="G83">
            <v>15020000</v>
          </cell>
          <cell r="I83">
            <v>12245000.000000009</v>
          </cell>
          <cell r="J83">
            <v>22100000.000000365</v>
          </cell>
          <cell r="T83">
            <v>2474278</v>
          </cell>
          <cell r="AB83">
            <v>265999.99999999115</v>
          </cell>
        </row>
        <row r="84">
          <cell r="C84">
            <v>12749000</v>
          </cell>
          <cell r="E84">
            <v>10000000</v>
          </cell>
          <cell r="F84">
            <v>0</v>
          </cell>
          <cell r="G84">
            <v>15030000</v>
          </cell>
          <cell r="I84">
            <v>12519999.999999996</v>
          </cell>
          <cell r="J84">
            <v>22299999.999999274</v>
          </cell>
          <cell r="T84">
            <v>2163927</v>
          </cell>
          <cell r="AB84">
            <v>221000.00000000364</v>
          </cell>
        </row>
        <row r="85">
          <cell r="C85">
            <v>12287000</v>
          </cell>
          <cell r="E85">
            <v>10000000</v>
          </cell>
          <cell r="F85">
            <v>0</v>
          </cell>
          <cell r="G85">
            <v>13910000</v>
          </cell>
          <cell r="I85">
            <v>12118000.000000004</v>
          </cell>
          <cell r="J85">
            <v>21399999.999999635</v>
          </cell>
          <cell r="T85">
            <v>2085927</v>
          </cell>
          <cell r="AB85">
            <v>165999.99999999683</v>
          </cell>
        </row>
        <row r="86">
          <cell r="C86">
            <v>12478000</v>
          </cell>
          <cell r="E86">
            <v>9000000</v>
          </cell>
          <cell r="F86">
            <v>0</v>
          </cell>
          <cell r="G86">
            <v>13380000</v>
          </cell>
          <cell r="I86">
            <v>12263000.000000002</v>
          </cell>
          <cell r="J86">
            <v>20700000.000000726</v>
          </cell>
          <cell r="T86">
            <v>2124259</v>
          </cell>
          <cell r="AB86">
            <v>207999.9999999984</v>
          </cell>
        </row>
        <row r="87">
          <cell r="C87">
            <v>10304000</v>
          </cell>
          <cell r="E87">
            <v>6000000</v>
          </cell>
          <cell r="F87">
            <v>0</v>
          </cell>
          <cell r="G87">
            <v>10430000</v>
          </cell>
          <cell r="I87">
            <v>10018999.999999998</v>
          </cell>
          <cell r="J87">
            <v>15000000</v>
          </cell>
          <cell r="T87">
            <v>1561464</v>
          </cell>
          <cell r="AB87">
            <v>277000.00000000105</v>
          </cell>
        </row>
        <row r="88">
          <cell r="C88">
            <v>11019000</v>
          </cell>
          <cell r="E88">
            <v>9000000</v>
          </cell>
          <cell r="F88">
            <v>0</v>
          </cell>
          <cell r="G88">
            <v>13610000</v>
          </cell>
          <cell r="I88">
            <v>10909999.999999991</v>
          </cell>
          <cell r="J88">
            <v>20200000.000000726</v>
          </cell>
          <cell r="T88">
            <v>1955302</v>
          </cell>
          <cell r="AB88">
            <v>106000.00000000876</v>
          </cell>
        </row>
        <row r="89">
          <cell r="C89">
            <v>9560000</v>
          </cell>
          <cell r="E89">
            <v>9000000</v>
          </cell>
          <cell r="F89">
            <v>0</v>
          </cell>
          <cell r="G89">
            <v>13220000</v>
          </cell>
          <cell r="I89">
            <v>9285000.0000000037</v>
          </cell>
          <cell r="J89">
            <v>19000000</v>
          </cell>
          <cell r="T89">
            <v>2208848</v>
          </cell>
          <cell r="AB89">
            <v>266999.99999999593</v>
          </cell>
        </row>
        <row r="90">
          <cell r="C90">
            <v>9969000</v>
          </cell>
          <cell r="E90">
            <v>10000000</v>
          </cell>
          <cell r="F90">
            <v>0</v>
          </cell>
          <cell r="G90">
            <v>15800000</v>
          </cell>
          <cell r="I90">
            <v>9845999.9999999963</v>
          </cell>
          <cell r="J90">
            <v>23000000</v>
          </cell>
          <cell r="T90">
            <v>2253798</v>
          </cell>
          <cell r="AB90">
            <v>120000.00000000454</v>
          </cell>
        </row>
        <row r="91">
          <cell r="C91">
            <v>10086000</v>
          </cell>
          <cell r="E91">
            <v>9000000</v>
          </cell>
          <cell r="F91">
            <v>0</v>
          </cell>
          <cell r="G91">
            <v>15200000</v>
          </cell>
          <cell r="I91">
            <v>9982000.0000000056</v>
          </cell>
          <cell r="J91">
            <v>21500000</v>
          </cell>
          <cell r="T91">
            <v>2344147</v>
          </cell>
          <cell r="AB91">
            <v>99999.99999999431</v>
          </cell>
        </row>
        <row r="92">
          <cell r="C92">
            <v>10365000</v>
          </cell>
          <cell r="E92">
            <v>8000000</v>
          </cell>
          <cell r="F92">
            <v>0</v>
          </cell>
          <cell r="G92">
            <v>12610000</v>
          </cell>
          <cell r="I92">
            <v>10134999.999999996</v>
          </cell>
          <cell r="J92">
            <v>18299999.999999274</v>
          </cell>
          <cell r="T92">
            <v>2020304</v>
          </cell>
          <cell r="AB92">
            <v>224000.00000000375</v>
          </cell>
        </row>
        <row r="93">
          <cell r="C93">
            <v>10260000</v>
          </cell>
          <cell r="E93">
            <v>9000000</v>
          </cell>
          <cell r="F93">
            <v>0</v>
          </cell>
          <cell r="G93">
            <v>14900000</v>
          </cell>
          <cell r="I93">
            <v>10046999.999999996</v>
          </cell>
          <cell r="J93">
            <v>20799999.999999274</v>
          </cell>
          <cell r="T93">
            <v>2228913</v>
          </cell>
          <cell r="AB93">
            <v>206000.00000000306</v>
          </cell>
        </row>
        <row r="94">
          <cell r="C94">
            <v>9134000</v>
          </cell>
          <cell r="E94">
            <v>8000000</v>
          </cell>
          <cell r="F94">
            <v>0</v>
          </cell>
          <cell r="G94">
            <v>13530000</v>
          </cell>
          <cell r="I94">
            <v>9011000.0000000093</v>
          </cell>
          <cell r="J94">
            <v>19900000.000001457</v>
          </cell>
          <cell r="T94">
            <v>1975691</v>
          </cell>
          <cell r="AB94">
            <v>119999.99999999034</v>
          </cell>
        </row>
        <row r="95">
          <cell r="C95">
            <v>9401000</v>
          </cell>
          <cell r="E95">
            <v>9000000</v>
          </cell>
          <cell r="F95">
            <v>0</v>
          </cell>
          <cell r="G95">
            <v>12750000</v>
          </cell>
          <cell r="I95">
            <v>9236999.9999999944</v>
          </cell>
          <cell r="J95">
            <v>18699999.999998908</v>
          </cell>
          <cell r="T95">
            <v>2056665</v>
          </cell>
          <cell r="AB95">
            <v>159000.00000000602</v>
          </cell>
        </row>
        <row r="96">
          <cell r="C96">
            <v>9910000</v>
          </cell>
          <cell r="E96">
            <v>6000000</v>
          </cell>
          <cell r="F96">
            <v>0</v>
          </cell>
          <cell r="G96">
            <v>12400000</v>
          </cell>
          <cell r="I96">
            <v>9685000.0000000056</v>
          </cell>
          <cell r="J96">
            <v>17000000</v>
          </cell>
          <cell r="T96">
            <v>1824926</v>
          </cell>
          <cell r="AB96">
            <v>218999.99999999409</v>
          </cell>
        </row>
        <row r="97">
          <cell r="C97">
            <v>9955000</v>
          </cell>
          <cell r="E97">
            <v>7000000</v>
          </cell>
          <cell r="F97">
            <v>0</v>
          </cell>
          <cell r="G97">
            <v>12820000</v>
          </cell>
          <cell r="I97">
            <v>9892999.9999999981</v>
          </cell>
          <cell r="J97">
            <v>17399999.999999635</v>
          </cell>
          <cell r="T97">
            <v>1812289</v>
          </cell>
          <cell r="AB97">
            <v>60000.00000000227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Oct"/>
      <sheetName val="Nov"/>
      <sheetName val="Dec"/>
    </sheetNames>
    <sheetDataSet>
      <sheetData sheetId="0"/>
      <sheetData sheetId="1"/>
      <sheetData sheetId="2"/>
      <sheetData sheetId="3"/>
      <sheetData sheetId="4"/>
      <sheetData sheetId="5">
        <row r="6">
          <cell r="C6">
            <v>9709000</v>
          </cell>
          <cell r="E6">
            <v>8000000</v>
          </cell>
          <cell r="F6">
            <v>0</v>
          </cell>
          <cell r="G6">
            <v>12050000</v>
          </cell>
          <cell r="I6">
            <v>9436000</v>
          </cell>
          <cell r="J6">
            <v>16900000.000001457</v>
          </cell>
          <cell r="T6">
            <v>1778308</v>
          </cell>
          <cell r="AB6">
            <v>265000.00000000058</v>
          </cell>
        </row>
        <row r="7">
          <cell r="C7">
            <v>7811000</v>
          </cell>
          <cell r="E7">
            <v>6000000</v>
          </cell>
          <cell r="F7">
            <v>0</v>
          </cell>
          <cell r="G7">
            <v>9790000</v>
          </cell>
          <cell r="I7">
            <v>7658999.9999999944</v>
          </cell>
          <cell r="J7">
            <v>15399999.999999637</v>
          </cell>
          <cell r="T7">
            <v>1438252</v>
          </cell>
          <cell r="AB7">
            <v>147000.00000000556</v>
          </cell>
        </row>
        <row r="8">
          <cell r="C8">
            <v>10090000</v>
          </cell>
          <cell r="E8">
            <v>8000000</v>
          </cell>
          <cell r="F8">
            <v>0</v>
          </cell>
          <cell r="G8">
            <v>10190000</v>
          </cell>
          <cell r="I8">
            <v>9906000.000000013</v>
          </cell>
          <cell r="J8">
            <v>15500000</v>
          </cell>
          <cell r="T8">
            <v>1783956</v>
          </cell>
          <cell r="AB8">
            <v>178999.99999998783</v>
          </cell>
        </row>
        <row r="9">
          <cell r="C9">
            <v>9739000</v>
          </cell>
          <cell r="E9">
            <v>6000000</v>
          </cell>
          <cell r="F9">
            <v>0</v>
          </cell>
          <cell r="G9">
            <v>9810000</v>
          </cell>
          <cell r="I9">
            <v>9568999.9999999888</v>
          </cell>
          <cell r="J9">
            <v>14699999.999998908</v>
          </cell>
          <cell r="T9">
            <v>1796510</v>
          </cell>
          <cell r="AB9">
            <v>166000.00000001103</v>
          </cell>
        </row>
        <row r="10">
          <cell r="C10">
            <v>9185000</v>
          </cell>
          <cell r="E10">
            <v>7000000</v>
          </cell>
          <cell r="F10">
            <v>0</v>
          </cell>
          <cell r="G10">
            <v>9580000</v>
          </cell>
          <cell r="I10">
            <v>9137000.0000000075</v>
          </cell>
          <cell r="J10">
            <v>14400000.000001455</v>
          </cell>
          <cell r="T10">
            <v>1466132</v>
          </cell>
          <cell r="AB10">
            <v>45999.999999992273</v>
          </cell>
        </row>
        <row r="11">
          <cell r="C11">
            <v>7273000</v>
          </cell>
          <cell r="E11">
            <v>5000000</v>
          </cell>
          <cell r="F11">
            <v>0</v>
          </cell>
          <cell r="G11">
            <v>7590000</v>
          </cell>
          <cell r="I11">
            <v>7032999.9999999963</v>
          </cell>
          <cell r="J11">
            <v>11899999.999999637</v>
          </cell>
          <cell r="T11">
            <v>1240237</v>
          </cell>
          <cell r="AB11">
            <v>233000.0000000041</v>
          </cell>
        </row>
        <row r="12">
          <cell r="C12">
            <v>7330000</v>
          </cell>
          <cell r="E12">
            <v>5000000</v>
          </cell>
          <cell r="F12">
            <v>0</v>
          </cell>
          <cell r="G12">
            <v>7470000</v>
          </cell>
          <cell r="I12">
            <v>7233999.9999999963</v>
          </cell>
          <cell r="J12">
            <v>10899999.999999637</v>
          </cell>
          <cell r="T12">
            <v>1245393</v>
          </cell>
          <cell r="AB12">
            <v>93000.000000003522</v>
          </cell>
        </row>
        <row r="13">
          <cell r="C13">
            <v>6526000</v>
          </cell>
          <cell r="E13">
            <v>5000000</v>
          </cell>
          <cell r="F13">
            <v>0</v>
          </cell>
          <cell r="G13">
            <v>7840000</v>
          </cell>
          <cell r="I13">
            <v>6346000.0000000028</v>
          </cell>
          <cell r="J13">
            <v>11700000.000000728</v>
          </cell>
          <cell r="T13">
            <v>1198729</v>
          </cell>
          <cell r="AB13">
            <v>174999.99999999715</v>
          </cell>
        </row>
        <row r="14">
          <cell r="C14">
            <v>6148000</v>
          </cell>
          <cell r="E14">
            <v>5000000</v>
          </cell>
          <cell r="F14">
            <v>0</v>
          </cell>
          <cell r="G14">
            <v>7530000</v>
          </cell>
          <cell r="I14">
            <v>5990000.0000000084</v>
          </cell>
          <cell r="J14">
            <v>10799999.999999272</v>
          </cell>
          <cell r="T14">
            <v>1296612</v>
          </cell>
          <cell r="AB14">
            <v>152999.99999999159</v>
          </cell>
        </row>
        <row r="15">
          <cell r="C15">
            <v>5440000</v>
          </cell>
          <cell r="E15">
            <v>5000000</v>
          </cell>
          <cell r="F15">
            <v>0</v>
          </cell>
          <cell r="G15">
            <v>6040000</v>
          </cell>
          <cell r="I15">
            <v>5269999.9999999981</v>
          </cell>
          <cell r="J15">
            <v>9500000</v>
          </cell>
          <cell r="T15">
            <v>1227076</v>
          </cell>
          <cell r="AB15">
            <v>167000.0000000016</v>
          </cell>
        </row>
        <row r="16">
          <cell r="C16">
            <v>2527000</v>
          </cell>
          <cell r="E16">
            <v>6000000</v>
          </cell>
          <cell r="F16">
            <v>0</v>
          </cell>
          <cell r="G16">
            <v>5790000</v>
          </cell>
          <cell r="I16">
            <v>2424999.9999999963</v>
          </cell>
          <cell r="J16">
            <v>9299999.9999992717</v>
          </cell>
          <cell r="T16">
            <v>1052161</v>
          </cell>
          <cell r="AB16">
            <v>99000.000000003754</v>
          </cell>
        </row>
        <row r="17">
          <cell r="C17">
            <v>0</v>
          </cell>
          <cell r="E17">
            <v>5000000</v>
          </cell>
          <cell r="F17">
            <v>0</v>
          </cell>
          <cell r="G17">
            <v>9150000</v>
          </cell>
          <cell r="I17">
            <v>0</v>
          </cell>
          <cell r="J17">
            <v>13200000.000000728</v>
          </cell>
          <cell r="T17">
            <v>1342885</v>
          </cell>
          <cell r="AB17">
            <v>87000.000000003303</v>
          </cell>
        </row>
        <row r="18">
          <cell r="C18">
            <v>0</v>
          </cell>
          <cell r="E18">
            <v>6000000</v>
          </cell>
          <cell r="F18">
            <v>0</v>
          </cell>
          <cell r="G18">
            <v>10010000</v>
          </cell>
          <cell r="I18">
            <v>0</v>
          </cell>
          <cell r="J18">
            <v>12799999.999999272</v>
          </cell>
          <cell r="T18">
            <v>1677832</v>
          </cell>
          <cell r="AB18">
            <v>52999.999999997272</v>
          </cell>
        </row>
        <row r="19">
          <cell r="C19">
            <v>0</v>
          </cell>
          <cell r="E19">
            <v>5000000</v>
          </cell>
          <cell r="F19">
            <v>0</v>
          </cell>
          <cell r="G19">
            <v>9980000</v>
          </cell>
          <cell r="I19">
            <v>0</v>
          </cell>
          <cell r="J19">
            <v>13400000.000001455</v>
          </cell>
          <cell r="T19">
            <v>1503787</v>
          </cell>
          <cell r="AB19">
            <v>0</v>
          </cell>
        </row>
        <row r="20">
          <cell r="C20">
            <v>0</v>
          </cell>
          <cell r="E20">
            <v>6000000</v>
          </cell>
          <cell r="F20">
            <v>0</v>
          </cell>
          <cell r="G20">
            <v>10110000</v>
          </cell>
          <cell r="I20">
            <v>0</v>
          </cell>
          <cell r="J20">
            <v>13699999.999998908</v>
          </cell>
          <cell r="T20">
            <v>1519910</v>
          </cell>
          <cell r="AB20">
            <v>0</v>
          </cell>
        </row>
        <row r="21">
          <cell r="C21">
            <v>0</v>
          </cell>
          <cell r="E21">
            <v>5000000</v>
          </cell>
          <cell r="F21">
            <v>0</v>
          </cell>
          <cell r="G21">
            <v>9900000</v>
          </cell>
          <cell r="I21">
            <v>0</v>
          </cell>
          <cell r="J21">
            <v>12700000.000000728</v>
          </cell>
          <cell r="T21">
            <v>1661711</v>
          </cell>
          <cell r="AB21">
            <v>0</v>
          </cell>
        </row>
        <row r="22">
          <cell r="C22">
            <v>0</v>
          </cell>
          <cell r="E22">
            <v>5000000</v>
          </cell>
          <cell r="F22">
            <v>0</v>
          </cell>
          <cell r="G22">
            <v>9970000</v>
          </cell>
          <cell r="I22">
            <v>0</v>
          </cell>
          <cell r="J22">
            <v>13299999.999999272</v>
          </cell>
          <cell r="T22">
            <v>1359607</v>
          </cell>
          <cell r="AB22">
            <v>0</v>
          </cell>
        </row>
        <row r="23">
          <cell r="C23">
            <v>0</v>
          </cell>
          <cell r="E23">
            <v>5000000</v>
          </cell>
          <cell r="F23">
            <v>0</v>
          </cell>
          <cell r="G23">
            <v>9990000</v>
          </cell>
          <cell r="I23">
            <v>0</v>
          </cell>
          <cell r="J23">
            <v>13200000.000000728</v>
          </cell>
          <cell r="T23">
            <v>1400609</v>
          </cell>
          <cell r="AB23">
            <v>0</v>
          </cell>
        </row>
        <row r="24">
          <cell r="C24">
            <v>0</v>
          </cell>
          <cell r="E24">
            <v>5000000</v>
          </cell>
          <cell r="F24">
            <v>0</v>
          </cell>
          <cell r="G24">
            <v>10040000</v>
          </cell>
          <cell r="I24">
            <v>0</v>
          </cell>
          <cell r="J24">
            <v>13000000</v>
          </cell>
          <cell r="T24">
            <v>1378897</v>
          </cell>
          <cell r="AB24">
            <v>0</v>
          </cell>
        </row>
        <row r="25">
          <cell r="C25">
            <v>0</v>
          </cell>
          <cell r="E25">
            <v>5000000</v>
          </cell>
          <cell r="F25">
            <v>0</v>
          </cell>
          <cell r="G25">
            <v>10000000</v>
          </cell>
          <cell r="I25">
            <v>0</v>
          </cell>
          <cell r="J25">
            <v>13199999.999998908</v>
          </cell>
          <cell r="T25">
            <v>1487883</v>
          </cell>
          <cell r="AB25">
            <v>0</v>
          </cell>
        </row>
        <row r="26">
          <cell r="C26">
            <v>0</v>
          </cell>
          <cell r="E26">
            <v>5000000</v>
          </cell>
          <cell r="F26">
            <v>0</v>
          </cell>
          <cell r="G26">
            <v>9980000</v>
          </cell>
          <cell r="I26">
            <v>0</v>
          </cell>
          <cell r="J26">
            <v>13300000.000001092</v>
          </cell>
          <cell r="T26">
            <v>1566498</v>
          </cell>
          <cell r="AB26">
            <v>0</v>
          </cell>
        </row>
        <row r="27">
          <cell r="C27">
            <v>0</v>
          </cell>
          <cell r="E27">
            <v>5000000</v>
          </cell>
          <cell r="F27">
            <v>0</v>
          </cell>
          <cell r="G27">
            <v>9940000</v>
          </cell>
          <cell r="I27">
            <v>0</v>
          </cell>
          <cell r="J27">
            <v>13000000</v>
          </cell>
          <cell r="T27">
            <v>1454944</v>
          </cell>
          <cell r="AB27">
            <v>0</v>
          </cell>
        </row>
        <row r="28">
          <cell r="C28">
            <v>0</v>
          </cell>
          <cell r="E28">
            <v>6000000</v>
          </cell>
          <cell r="F28">
            <v>0</v>
          </cell>
          <cell r="G28">
            <v>10070000</v>
          </cell>
          <cell r="I28">
            <v>0</v>
          </cell>
          <cell r="J28">
            <v>13699999.999998908</v>
          </cell>
          <cell r="T28">
            <v>1506908</v>
          </cell>
          <cell r="AB28">
            <v>0</v>
          </cell>
        </row>
        <row r="29">
          <cell r="C29">
            <v>0</v>
          </cell>
          <cell r="E29">
            <v>5000000</v>
          </cell>
          <cell r="F29">
            <v>0</v>
          </cell>
          <cell r="G29">
            <v>10010000</v>
          </cell>
          <cell r="I29">
            <v>0</v>
          </cell>
          <cell r="J29">
            <v>13300000.000001092</v>
          </cell>
          <cell r="T29">
            <v>1424228</v>
          </cell>
          <cell r="AB29">
            <v>0</v>
          </cell>
        </row>
        <row r="30">
          <cell r="C30">
            <v>0</v>
          </cell>
          <cell r="E30">
            <v>5000000</v>
          </cell>
          <cell r="F30">
            <v>0</v>
          </cell>
          <cell r="G30">
            <v>9220000</v>
          </cell>
          <cell r="I30">
            <v>0</v>
          </cell>
          <cell r="J30">
            <v>12600000.000000363</v>
          </cell>
          <cell r="T30">
            <v>1614892</v>
          </cell>
          <cell r="AB30">
            <v>0</v>
          </cell>
        </row>
        <row r="31">
          <cell r="C31">
            <v>0</v>
          </cell>
          <cell r="E31">
            <v>5000000</v>
          </cell>
          <cell r="F31">
            <v>0</v>
          </cell>
          <cell r="G31">
            <v>7410000</v>
          </cell>
          <cell r="I31">
            <v>0</v>
          </cell>
          <cell r="J31">
            <v>11500000</v>
          </cell>
          <cell r="T31">
            <v>1109280</v>
          </cell>
          <cell r="AB31">
            <v>0</v>
          </cell>
        </row>
        <row r="32">
          <cell r="C32">
            <v>0</v>
          </cell>
          <cell r="E32">
            <v>6000000</v>
          </cell>
          <cell r="F32">
            <v>0</v>
          </cell>
          <cell r="G32">
            <v>8950000</v>
          </cell>
          <cell r="I32">
            <v>0</v>
          </cell>
          <cell r="J32">
            <v>11899999.999999637</v>
          </cell>
          <cell r="T32">
            <v>1357094</v>
          </cell>
          <cell r="AB32">
            <v>0</v>
          </cell>
        </row>
        <row r="33">
          <cell r="C33">
            <v>0</v>
          </cell>
          <cell r="E33">
            <v>5000000</v>
          </cell>
          <cell r="F33">
            <v>0</v>
          </cell>
          <cell r="G33">
            <v>9650000</v>
          </cell>
          <cell r="I33">
            <v>0</v>
          </cell>
          <cell r="J33">
            <v>13500000</v>
          </cell>
          <cell r="T33">
            <v>1465860</v>
          </cell>
          <cell r="AB33">
            <v>0</v>
          </cell>
        </row>
        <row r="34">
          <cell r="C34">
            <v>0</v>
          </cell>
          <cell r="E34">
            <v>6000000</v>
          </cell>
          <cell r="F34">
            <v>0</v>
          </cell>
          <cell r="G34">
            <v>10580000</v>
          </cell>
          <cell r="I34">
            <v>0</v>
          </cell>
          <cell r="J34">
            <v>14100000.000000363</v>
          </cell>
          <cell r="T34">
            <v>1574185</v>
          </cell>
          <cell r="AB34">
            <v>0</v>
          </cell>
        </row>
        <row r="35">
          <cell r="C35">
            <v>0</v>
          </cell>
          <cell r="E35">
            <v>6000000</v>
          </cell>
          <cell r="F35">
            <v>0</v>
          </cell>
          <cell r="G35">
            <v>9840000</v>
          </cell>
          <cell r="I35">
            <v>0</v>
          </cell>
          <cell r="J35">
            <v>13199999.999998908</v>
          </cell>
          <cell r="T35">
            <v>1521857</v>
          </cell>
          <cell r="AB35">
            <v>0</v>
          </cell>
        </row>
        <row r="36">
          <cell r="C36">
            <v>0</v>
          </cell>
          <cell r="E36">
            <v>6000000</v>
          </cell>
          <cell r="F36">
            <v>0</v>
          </cell>
          <cell r="G36">
            <v>8300000</v>
          </cell>
          <cell r="I36">
            <v>0</v>
          </cell>
          <cell r="J36">
            <v>12200000.000000728</v>
          </cell>
          <cell r="T36">
            <v>1307992</v>
          </cell>
          <cell r="AB36">
            <v>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36"/>
  <sheetViews>
    <sheetView workbookViewId="0">
      <pane xSplit="1" ySplit="4" topLeftCell="I20" activePane="bottomRight" state="frozen"/>
      <selection pane="topRight" activeCell="B1" sqref="B1"/>
      <selection pane="bottomLeft" activeCell="A5" sqref="A5"/>
      <selection pane="bottomRight" activeCell="W35" activeCellId="1" sqref="T35 W35"/>
    </sheetView>
  </sheetViews>
  <sheetFormatPr baseColWidth="10" defaultColWidth="8.83203125" defaultRowHeight="13" x14ac:dyDescent="0.15"/>
  <cols>
    <col min="2" max="2" width="12" customWidth="1"/>
    <col min="5" max="5" width="11.33203125" customWidth="1"/>
    <col min="8" max="8" width="15.5" bestFit="1" customWidth="1"/>
    <col min="11" max="11" width="13.83203125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15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4" thickBot="1" x14ac:dyDescent="0.2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">
      <c r="A3" s="3"/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6</v>
      </c>
      <c r="V3" s="63"/>
      <c r="W3" s="64"/>
      <c r="X3" s="62" t="s">
        <v>7</v>
      </c>
      <c r="Y3" s="63"/>
      <c r="Z3" s="64"/>
      <c r="AA3" s="19"/>
      <c r="AB3" s="59" t="s">
        <v>8</v>
      </c>
      <c r="AC3" s="60"/>
      <c r="AD3" s="61"/>
    </row>
    <row r="4" spans="1:30" x14ac:dyDescent="0.1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15">
      <c r="A5" s="1">
        <v>43040</v>
      </c>
      <c r="B5" s="7">
        <f>'[1]Production Summary'!J37</f>
        <v>11299999.999999272</v>
      </c>
      <c r="C5" s="8">
        <f t="shared" ref="C5:C34" si="0">B5/1000000</f>
        <v>11.299999999999272</v>
      </c>
      <c r="D5" s="10">
        <f t="shared" ref="D5:D34" si="1">C5*3.07</f>
        <v>34.690999999997764</v>
      </c>
      <c r="E5" s="7">
        <f>'[1]Production Summary'!E37</f>
        <v>5000000</v>
      </c>
      <c r="F5" s="8">
        <f t="shared" ref="F5:F34" si="2">E5/1000000</f>
        <v>5</v>
      </c>
      <c r="G5" s="10">
        <f t="shared" ref="G5:G34" si="3">F5*3.07</f>
        <v>15.35</v>
      </c>
      <c r="H5" s="7">
        <f>'[1]Production Summary'!G37</f>
        <v>7630000</v>
      </c>
      <c r="I5" s="8">
        <f>H5/1000000</f>
        <v>7.63</v>
      </c>
      <c r="J5" s="10">
        <f t="shared" ref="J5:J34" si="4">I5*3.07</f>
        <v>23.424099999999999</v>
      </c>
      <c r="K5" s="7">
        <f>'[1]Production Summary'!T37</f>
        <v>1073069</v>
      </c>
      <c r="L5" s="8">
        <f t="shared" ref="L5:L7" si="5">K5/10000000</f>
        <v>0.1073069</v>
      </c>
      <c r="M5" s="10">
        <f t="shared" ref="M5:M34" si="6">L5*3.07</f>
        <v>0.32943218299999999</v>
      </c>
      <c r="N5" s="21"/>
      <c r="O5" s="7">
        <f>'[1]Production Summary'!I37</f>
        <v>0</v>
      </c>
      <c r="P5" s="8">
        <f t="shared" ref="P5:P16" si="7">O5/1000000</f>
        <v>0</v>
      </c>
      <c r="Q5" s="10">
        <f t="shared" ref="Q5:Q34" si="8">P5*3.07</f>
        <v>0</v>
      </c>
      <c r="R5" s="7">
        <f>'[1]Production Summary'!C37</f>
        <v>0</v>
      </c>
      <c r="S5" s="8">
        <f t="shared" ref="S5:S17" si="9">R5/1000000</f>
        <v>0</v>
      </c>
      <c r="T5" s="10">
        <f t="shared" ref="T5:T34" si="10">S5*3.07</f>
        <v>0</v>
      </c>
      <c r="U5" s="7">
        <f>'[1]Production Summary'!F37</f>
        <v>3022000</v>
      </c>
      <c r="V5" s="8">
        <f t="shared" ref="V5:V34" si="11">U5/1000000</f>
        <v>3.0219999999999998</v>
      </c>
      <c r="W5" s="10">
        <f t="shared" ref="W5:W34" si="12">V5*3.07</f>
        <v>9.2775399999999983</v>
      </c>
      <c r="X5" s="7">
        <f>'[1]Production Summary'!AB37</f>
        <v>0</v>
      </c>
      <c r="Y5" s="8">
        <f t="shared" ref="Y5:Y34" si="13">X5/1000000</f>
        <v>0</v>
      </c>
      <c r="Z5" s="10">
        <f t="shared" ref="Z5:Z34" si="14">Y5*3.07</f>
        <v>0</v>
      </c>
      <c r="AA5" s="15"/>
      <c r="AB5" s="7">
        <f>B5+O5</f>
        <v>11299999.999999272</v>
      </c>
      <c r="AC5" s="8">
        <f>C5+P5</f>
        <v>11.299999999999272</v>
      </c>
      <c r="AD5" s="8">
        <f>D5+Q5</f>
        <v>34.690999999997764</v>
      </c>
    </row>
    <row r="6" spans="1:30" x14ac:dyDescent="0.15">
      <c r="A6" s="1">
        <v>43041</v>
      </c>
      <c r="B6" s="7">
        <f>'[1]Production Summary'!J38</f>
        <v>12200000.000000728</v>
      </c>
      <c r="C6" s="8">
        <f t="shared" si="0"/>
        <v>12.200000000000728</v>
      </c>
      <c r="D6" s="10">
        <f t="shared" si="1"/>
        <v>37.454000000002232</v>
      </c>
      <c r="E6" s="7">
        <f>'[1]Production Summary'!E38</f>
        <v>3000000</v>
      </c>
      <c r="F6" s="8">
        <f t="shared" si="2"/>
        <v>3</v>
      </c>
      <c r="G6" s="10">
        <f t="shared" si="3"/>
        <v>9.2099999999999991</v>
      </c>
      <c r="H6" s="7">
        <f>'[1]Production Summary'!G38</f>
        <v>9960000</v>
      </c>
      <c r="I6" s="8">
        <f t="shared" ref="I6:I34" si="15">H6/1000000</f>
        <v>9.9600000000000009</v>
      </c>
      <c r="J6" s="10">
        <f t="shared" si="4"/>
        <v>30.577200000000001</v>
      </c>
      <c r="K6" s="7">
        <f>'[1]Production Summary'!T38</f>
        <v>1168220</v>
      </c>
      <c r="L6" s="8">
        <f t="shared" si="5"/>
        <v>0.116822</v>
      </c>
      <c r="M6" s="10">
        <f t="shared" si="6"/>
        <v>0.35864353999999998</v>
      </c>
      <c r="N6" s="21"/>
      <c r="O6" s="7">
        <f>'[1]Production Summary'!I38</f>
        <v>0</v>
      </c>
      <c r="P6" s="8">
        <f t="shared" si="7"/>
        <v>0</v>
      </c>
      <c r="Q6" s="10">
        <f t="shared" si="8"/>
        <v>0</v>
      </c>
      <c r="R6" s="7">
        <f>'[1]Production Summary'!C38</f>
        <v>0</v>
      </c>
      <c r="S6" s="8">
        <f t="shared" si="9"/>
        <v>0</v>
      </c>
      <c r="T6" s="10">
        <f t="shared" si="10"/>
        <v>0</v>
      </c>
      <c r="U6" s="7">
        <f>'[1]Production Summary'!F38</f>
        <v>1775000</v>
      </c>
      <c r="V6" s="8">
        <f t="shared" si="11"/>
        <v>1.7749999999999999</v>
      </c>
      <c r="W6" s="10">
        <f t="shared" si="12"/>
        <v>5.4492499999999993</v>
      </c>
      <c r="X6" s="7">
        <f>'[1]Production Summary'!AB38</f>
        <v>0</v>
      </c>
      <c r="Y6" s="8">
        <f t="shared" si="13"/>
        <v>0</v>
      </c>
      <c r="Z6" s="10">
        <f t="shared" si="14"/>
        <v>0</v>
      </c>
      <c r="AA6" s="15"/>
      <c r="AB6" s="7">
        <f t="shared" ref="AB6:AD35" si="16">B6+O6</f>
        <v>12200000.000000728</v>
      </c>
      <c r="AC6" s="8">
        <f t="shared" si="16"/>
        <v>12.200000000000728</v>
      </c>
      <c r="AD6" s="8">
        <f t="shared" si="16"/>
        <v>37.454000000002232</v>
      </c>
    </row>
    <row r="7" spans="1:30" x14ac:dyDescent="0.15">
      <c r="A7" s="1">
        <v>43042</v>
      </c>
      <c r="B7" s="7">
        <f>'[1]Production Summary'!J39</f>
        <v>11099999.999999454</v>
      </c>
      <c r="C7" s="8">
        <f t="shared" si="0"/>
        <v>11.099999999999454</v>
      </c>
      <c r="D7" s="10">
        <f t="shared" si="1"/>
        <v>34.076999999998321</v>
      </c>
      <c r="E7" s="7">
        <f>'[1]Production Summary'!E39</f>
        <v>4000000</v>
      </c>
      <c r="F7" s="8">
        <f t="shared" si="2"/>
        <v>4</v>
      </c>
      <c r="G7" s="10">
        <f t="shared" si="3"/>
        <v>12.28</v>
      </c>
      <c r="H7" s="7">
        <f>'[1]Production Summary'!G39</f>
        <v>9190000</v>
      </c>
      <c r="I7" s="8">
        <f t="shared" si="15"/>
        <v>9.19</v>
      </c>
      <c r="J7" s="10">
        <f t="shared" si="4"/>
        <v>28.213299999999997</v>
      </c>
      <c r="K7" s="7">
        <f>'[1]Production Summary'!T39</f>
        <v>1050120</v>
      </c>
      <c r="L7" s="8">
        <f t="shared" si="5"/>
        <v>0.10501199999999999</v>
      </c>
      <c r="M7" s="10">
        <f t="shared" si="6"/>
        <v>0.32238683999999995</v>
      </c>
      <c r="N7" s="21"/>
      <c r="O7" s="7">
        <f>'[1]Production Summary'!I39</f>
        <v>0</v>
      </c>
      <c r="P7" s="8">
        <f t="shared" si="7"/>
        <v>0</v>
      </c>
      <c r="Q7" s="10">
        <f t="shared" si="8"/>
        <v>0</v>
      </c>
      <c r="R7" s="7">
        <f>'[1]Production Summary'!C39</f>
        <v>0</v>
      </c>
      <c r="S7" s="8">
        <f t="shared" si="9"/>
        <v>0</v>
      </c>
      <c r="T7" s="10">
        <f t="shared" si="10"/>
        <v>0</v>
      </c>
      <c r="U7" s="7">
        <f>'[1]Production Summary'!F39</f>
        <v>0</v>
      </c>
      <c r="V7" s="8">
        <f t="shared" si="11"/>
        <v>0</v>
      </c>
      <c r="W7" s="10">
        <f t="shared" si="12"/>
        <v>0</v>
      </c>
      <c r="X7" s="7">
        <f>'[1]Production Summary'!AB39</f>
        <v>0</v>
      </c>
      <c r="Y7" s="8">
        <f t="shared" si="13"/>
        <v>0</v>
      </c>
      <c r="Z7" s="10">
        <f t="shared" si="14"/>
        <v>0</v>
      </c>
      <c r="AA7" s="15"/>
      <c r="AB7" s="7">
        <f t="shared" si="16"/>
        <v>11099999.999999454</v>
      </c>
      <c r="AC7" s="8">
        <f t="shared" si="16"/>
        <v>11.099999999999454</v>
      </c>
      <c r="AD7" s="8">
        <f t="shared" si="16"/>
        <v>34.076999999998321</v>
      </c>
    </row>
    <row r="8" spans="1:30" x14ac:dyDescent="0.15">
      <c r="A8" s="1">
        <v>43043</v>
      </c>
      <c r="B8" s="7">
        <f>'[1]Production Summary'!J40</f>
        <v>13100000.000000363</v>
      </c>
      <c r="C8" s="8">
        <f t="shared" si="0"/>
        <v>13.100000000000364</v>
      </c>
      <c r="D8" s="10">
        <f t="shared" si="1"/>
        <v>40.217000000001114</v>
      </c>
      <c r="E8" s="7">
        <f>'[1]Production Summary'!E40</f>
        <v>3000000</v>
      </c>
      <c r="F8" s="8">
        <f t="shared" si="2"/>
        <v>3</v>
      </c>
      <c r="G8" s="10">
        <f t="shared" si="3"/>
        <v>9.2099999999999991</v>
      </c>
      <c r="H8" s="7">
        <f>'[1]Production Summary'!G40</f>
        <v>10900000</v>
      </c>
      <c r="I8" s="8">
        <f t="shared" si="15"/>
        <v>10.9</v>
      </c>
      <c r="J8" s="10">
        <f t="shared" si="4"/>
        <v>33.463000000000001</v>
      </c>
      <c r="K8" s="7">
        <f>'[1]Production Summary'!T40</f>
        <v>1132539</v>
      </c>
      <c r="L8" s="8">
        <f>K8/10000000</f>
        <v>0.1132539</v>
      </c>
      <c r="M8" s="10">
        <f t="shared" si="6"/>
        <v>0.34768947299999997</v>
      </c>
      <c r="N8" s="21"/>
      <c r="O8" s="7">
        <f>'[1]Production Summary'!I40</f>
        <v>0</v>
      </c>
      <c r="P8" s="8">
        <f t="shared" si="7"/>
        <v>0</v>
      </c>
      <c r="Q8" s="10">
        <f t="shared" si="8"/>
        <v>0</v>
      </c>
      <c r="R8" s="7">
        <f>'[1]Production Summary'!C40</f>
        <v>0</v>
      </c>
      <c r="S8" s="8">
        <f t="shared" si="9"/>
        <v>0</v>
      </c>
      <c r="T8" s="10">
        <f t="shared" si="10"/>
        <v>0</v>
      </c>
      <c r="U8" s="7">
        <f>'[1]Production Summary'!F40</f>
        <v>0</v>
      </c>
      <c r="V8" s="8">
        <f t="shared" si="11"/>
        <v>0</v>
      </c>
      <c r="W8" s="10">
        <f t="shared" si="12"/>
        <v>0</v>
      </c>
      <c r="X8" s="7">
        <f>'[1]Production Summary'!AB40</f>
        <v>0</v>
      </c>
      <c r="Y8" s="8">
        <f t="shared" si="13"/>
        <v>0</v>
      </c>
      <c r="Z8" s="10">
        <f t="shared" si="14"/>
        <v>0</v>
      </c>
      <c r="AA8" s="15"/>
      <c r="AB8" s="7">
        <f t="shared" si="16"/>
        <v>13100000.000000363</v>
      </c>
      <c r="AC8" s="8">
        <f t="shared" si="16"/>
        <v>13.100000000000364</v>
      </c>
      <c r="AD8" s="8">
        <f>D8+Q8</f>
        <v>40.217000000001114</v>
      </c>
    </row>
    <row r="9" spans="1:30" x14ac:dyDescent="0.15">
      <c r="A9" s="1">
        <v>43044</v>
      </c>
      <c r="B9" s="7">
        <f>'[1]Production Summary'!J41</f>
        <v>14099999.999999454</v>
      </c>
      <c r="C9" s="8">
        <f t="shared" si="0"/>
        <v>14.099999999999454</v>
      </c>
      <c r="D9" s="10">
        <f t="shared" si="1"/>
        <v>43.286999999998322</v>
      </c>
      <c r="E9" s="7">
        <f>'[1]Production Summary'!E41</f>
        <v>3000000</v>
      </c>
      <c r="F9" s="8">
        <f t="shared" si="2"/>
        <v>3</v>
      </c>
      <c r="G9" s="10">
        <f t="shared" si="3"/>
        <v>9.2099999999999991</v>
      </c>
      <c r="H9" s="7">
        <f>'[1]Production Summary'!G41</f>
        <v>12640000</v>
      </c>
      <c r="I9" s="8">
        <f t="shared" si="15"/>
        <v>12.64</v>
      </c>
      <c r="J9" s="10">
        <f t="shared" si="4"/>
        <v>38.8048</v>
      </c>
      <c r="K9" s="7">
        <f>'[1]Production Summary'!T41</f>
        <v>1315934</v>
      </c>
      <c r="L9" s="8">
        <f t="shared" ref="L9:L34" si="17">K9/10000000</f>
        <v>0.1315934</v>
      </c>
      <c r="M9" s="10">
        <f t="shared" si="6"/>
        <v>0.40399173799999999</v>
      </c>
      <c r="N9" s="21"/>
      <c r="O9" s="7">
        <f>'[1]Production Summary'!I41</f>
        <v>0</v>
      </c>
      <c r="P9" s="8">
        <f t="shared" si="7"/>
        <v>0</v>
      </c>
      <c r="Q9" s="10">
        <f t="shared" si="8"/>
        <v>0</v>
      </c>
      <c r="R9" s="7">
        <f>'[1]Production Summary'!C41</f>
        <v>0</v>
      </c>
      <c r="S9" s="8">
        <f t="shared" si="9"/>
        <v>0</v>
      </c>
      <c r="T9" s="10">
        <f t="shared" si="10"/>
        <v>0</v>
      </c>
      <c r="U9" s="7">
        <f>'[1]Production Summary'!F41</f>
        <v>0</v>
      </c>
      <c r="V9" s="8">
        <f t="shared" si="11"/>
        <v>0</v>
      </c>
      <c r="W9" s="10">
        <f t="shared" si="12"/>
        <v>0</v>
      </c>
      <c r="X9" s="7">
        <f>'[1]Production Summary'!AB41</f>
        <v>0</v>
      </c>
      <c r="Y9" s="8">
        <f t="shared" si="13"/>
        <v>0</v>
      </c>
      <c r="Z9" s="10">
        <f t="shared" si="14"/>
        <v>0</v>
      </c>
      <c r="AA9" s="15"/>
      <c r="AB9" s="7">
        <f t="shared" si="16"/>
        <v>14099999.999999454</v>
      </c>
      <c r="AC9" s="8">
        <f t="shared" si="16"/>
        <v>14.099999999999454</v>
      </c>
      <c r="AD9" s="8">
        <f t="shared" si="16"/>
        <v>43.286999999998322</v>
      </c>
    </row>
    <row r="10" spans="1:30" x14ac:dyDescent="0.15">
      <c r="A10" s="1">
        <v>43045</v>
      </c>
      <c r="B10" s="7">
        <f>'[1]Production Summary'!J42</f>
        <v>12100000.000000363</v>
      </c>
      <c r="C10" s="8">
        <f t="shared" si="0"/>
        <v>12.100000000000364</v>
      </c>
      <c r="D10" s="10">
        <f t="shared" si="1"/>
        <v>37.147000000001114</v>
      </c>
      <c r="E10" s="7">
        <f>'[1]Production Summary'!E42</f>
        <v>3000000</v>
      </c>
      <c r="F10" s="8">
        <f t="shared" si="2"/>
        <v>3</v>
      </c>
      <c r="G10" s="10">
        <f t="shared" si="3"/>
        <v>9.2099999999999991</v>
      </c>
      <c r="H10" s="7">
        <f>'[1]Production Summary'!G42</f>
        <v>10080000</v>
      </c>
      <c r="I10" s="8">
        <f t="shared" si="15"/>
        <v>10.08</v>
      </c>
      <c r="J10" s="10">
        <f t="shared" si="4"/>
        <v>30.945599999999999</v>
      </c>
      <c r="K10" s="7">
        <f>'[1]Production Summary'!T42</f>
        <v>1120044</v>
      </c>
      <c r="L10" s="8">
        <f t="shared" si="17"/>
        <v>0.1120044</v>
      </c>
      <c r="M10" s="10">
        <f t="shared" si="6"/>
        <v>0.34385350799999997</v>
      </c>
      <c r="N10" s="21"/>
      <c r="O10" s="7">
        <f>'[1]Production Summary'!I42</f>
        <v>0</v>
      </c>
      <c r="P10" s="8">
        <f t="shared" si="7"/>
        <v>0</v>
      </c>
      <c r="Q10" s="10">
        <f t="shared" si="8"/>
        <v>0</v>
      </c>
      <c r="R10" s="7">
        <f>'[1]Production Summary'!C42</f>
        <v>0</v>
      </c>
      <c r="S10" s="8">
        <f t="shared" si="9"/>
        <v>0</v>
      </c>
      <c r="T10" s="10">
        <f t="shared" si="10"/>
        <v>0</v>
      </c>
      <c r="U10" s="7">
        <f>'[1]Production Summary'!F42</f>
        <v>0</v>
      </c>
      <c r="V10" s="8">
        <f t="shared" si="11"/>
        <v>0</v>
      </c>
      <c r="W10" s="10">
        <f t="shared" si="12"/>
        <v>0</v>
      </c>
      <c r="X10" s="7">
        <f>'[1]Production Summary'!AB42</f>
        <v>0</v>
      </c>
      <c r="Y10" s="8">
        <f t="shared" si="13"/>
        <v>0</v>
      </c>
      <c r="Z10" s="10">
        <f t="shared" si="14"/>
        <v>0</v>
      </c>
      <c r="AA10" s="15"/>
      <c r="AB10" s="7">
        <f t="shared" si="16"/>
        <v>12100000.000000363</v>
      </c>
      <c r="AC10" s="8">
        <f t="shared" si="16"/>
        <v>12.100000000000364</v>
      </c>
      <c r="AD10" s="8">
        <f t="shared" si="16"/>
        <v>37.147000000001114</v>
      </c>
    </row>
    <row r="11" spans="1:30" x14ac:dyDescent="0.15">
      <c r="A11" s="1">
        <v>43046</v>
      </c>
      <c r="B11" s="7">
        <f>'[1]Production Summary'!J43</f>
        <v>11300000.000000183</v>
      </c>
      <c r="C11" s="8">
        <f t="shared" si="0"/>
        <v>11.300000000000182</v>
      </c>
      <c r="D11" s="10">
        <f t="shared" si="1"/>
        <v>34.691000000000557</v>
      </c>
      <c r="E11" s="7">
        <f>'[1]Production Summary'!E43</f>
        <v>3000000</v>
      </c>
      <c r="F11" s="8">
        <f t="shared" si="2"/>
        <v>3</v>
      </c>
      <c r="G11" s="10">
        <f t="shared" si="3"/>
        <v>9.2099999999999991</v>
      </c>
      <c r="H11" s="7">
        <f>'[1]Production Summary'!G43</f>
        <v>10000000</v>
      </c>
      <c r="I11" s="8">
        <f t="shared" si="15"/>
        <v>10</v>
      </c>
      <c r="J11" s="10">
        <f t="shared" si="4"/>
        <v>30.7</v>
      </c>
      <c r="K11" s="7">
        <f>'[1]Production Summary'!T43</f>
        <v>1197178</v>
      </c>
      <c r="L11" s="8">
        <f t="shared" si="17"/>
        <v>0.1197178</v>
      </c>
      <c r="M11" s="10">
        <f t="shared" si="6"/>
        <v>0.36753364599999999</v>
      </c>
      <c r="N11" s="21"/>
      <c r="O11" s="7">
        <f>'[1]Production Summary'!I43</f>
        <v>0</v>
      </c>
      <c r="P11" s="8">
        <f t="shared" si="7"/>
        <v>0</v>
      </c>
      <c r="Q11" s="10">
        <f t="shared" si="8"/>
        <v>0</v>
      </c>
      <c r="R11" s="7">
        <f>'[1]Production Summary'!C43</f>
        <v>0</v>
      </c>
      <c r="S11" s="8">
        <f t="shared" si="9"/>
        <v>0</v>
      </c>
      <c r="T11" s="10">
        <f t="shared" si="10"/>
        <v>0</v>
      </c>
      <c r="U11" s="7">
        <f>'[1]Production Summary'!F43</f>
        <v>0</v>
      </c>
      <c r="V11" s="8">
        <f t="shared" si="11"/>
        <v>0</v>
      </c>
      <c r="W11" s="10">
        <f t="shared" si="12"/>
        <v>0</v>
      </c>
      <c r="X11" s="7">
        <f>'[1]Production Summary'!AB43</f>
        <v>0</v>
      </c>
      <c r="Y11" s="8">
        <f t="shared" si="13"/>
        <v>0</v>
      </c>
      <c r="Z11" s="10">
        <f t="shared" si="14"/>
        <v>0</v>
      </c>
      <c r="AA11" s="15"/>
      <c r="AB11" s="7">
        <f t="shared" si="16"/>
        <v>11300000.000000183</v>
      </c>
      <c r="AC11" s="8">
        <f t="shared" si="16"/>
        <v>11.300000000000182</v>
      </c>
      <c r="AD11" s="8">
        <f t="shared" si="16"/>
        <v>34.691000000000557</v>
      </c>
    </row>
    <row r="12" spans="1:30" x14ac:dyDescent="0.15">
      <c r="A12" s="1">
        <v>43047</v>
      </c>
      <c r="B12" s="7">
        <f>'[1]Production Summary'!J44</f>
        <v>12000000</v>
      </c>
      <c r="C12" s="8">
        <f t="shared" si="0"/>
        <v>12</v>
      </c>
      <c r="D12" s="10">
        <f t="shared" si="1"/>
        <v>36.839999999999996</v>
      </c>
      <c r="E12" s="7">
        <f>'[1]Production Summary'!E44</f>
        <v>3000000</v>
      </c>
      <c r="F12" s="8">
        <f t="shared" si="2"/>
        <v>3</v>
      </c>
      <c r="G12" s="10">
        <f t="shared" si="3"/>
        <v>9.2099999999999991</v>
      </c>
      <c r="H12" s="7">
        <f>'[1]Production Summary'!G44</f>
        <v>9960000</v>
      </c>
      <c r="I12" s="8">
        <f t="shared" si="15"/>
        <v>9.9600000000000009</v>
      </c>
      <c r="J12" s="10">
        <f t="shared" si="4"/>
        <v>30.577200000000001</v>
      </c>
      <c r="K12" s="7">
        <f>'[1]Production Summary'!T44</f>
        <v>1126429</v>
      </c>
      <c r="L12" s="8">
        <f t="shared" si="17"/>
        <v>0.1126429</v>
      </c>
      <c r="M12" s="10">
        <f t="shared" si="6"/>
        <v>0.34581370299999997</v>
      </c>
      <c r="N12" s="21"/>
      <c r="O12" s="7">
        <f>'[1]Production Summary'!I44</f>
        <v>0</v>
      </c>
      <c r="P12" s="8">
        <f t="shared" si="7"/>
        <v>0</v>
      </c>
      <c r="Q12" s="10">
        <f t="shared" si="8"/>
        <v>0</v>
      </c>
      <c r="R12" s="7">
        <f>'[1]Production Summary'!C44</f>
        <v>0</v>
      </c>
      <c r="S12" s="8">
        <f t="shared" si="9"/>
        <v>0</v>
      </c>
      <c r="T12" s="10">
        <f t="shared" si="10"/>
        <v>0</v>
      </c>
      <c r="U12" s="7">
        <f>'[1]Production Summary'!F44</f>
        <v>0</v>
      </c>
      <c r="V12" s="8">
        <f t="shared" si="11"/>
        <v>0</v>
      </c>
      <c r="W12" s="10">
        <f t="shared" si="12"/>
        <v>0</v>
      </c>
      <c r="X12" s="7">
        <f>'[1]Production Summary'!AB44</f>
        <v>0</v>
      </c>
      <c r="Y12" s="8">
        <f t="shared" si="13"/>
        <v>0</v>
      </c>
      <c r="Z12" s="10">
        <f t="shared" si="14"/>
        <v>0</v>
      </c>
      <c r="AA12" s="15"/>
      <c r="AB12" s="7">
        <f t="shared" si="16"/>
        <v>12000000</v>
      </c>
      <c r="AC12" s="8">
        <f t="shared" si="16"/>
        <v>12</v>
      </c>
      <c r="AD12" s="8">
        <f t="shared" si="16"/>
        <v>36.839999999999996</v>
      </c>
    </row>
    <row r="13" spans="1:30" x14ac:dyDescent="0.15">
      <c r="A13" s="1">
        <v>43048</v>
      </c>
      <c r="B13" s="7">
        <f>'[1]Production Summary'!J45</f>
        <v>12199999.999999817</v>
      </c>
      <c r="C13" s="8">
        <f t="shared" si="0"/>
        <v>12.199999999999818</v>
      </c>
      <c r="D13" s="10">
        <f t="shared" si="1"/>
        <v>37.453999999999439</v>
      </c>
      <c r="E13" s="7">
        <f>'[1]Production Summary'!E45</f>
        <v>3000000</v>
      </c>
      <c r="F13" s="8">
        <f t="shared" si="2"/>
        <v>3</v>
      </c>
      <c r="G13" s="10">
        <f t="shared" si="3"/>
        <v>9.2099999999999991</v>
      </c>
      <c r="H13" s="7">
        <f>'[1]Production Summary'!G45</f>
        <v>10020000</v>
      </c>
      <c r="I13" s="8">
        <f t="shared" si="15"/>
        <v>10.02</v>
      </c>
      <c r="J13" s="10">
        <f t="shared" si="4"/>
        <v>30.761399999999998</v>
      </c>
      <c r="K13" s="7">
        <f>'[1]Production Summary'!T45</f>
        <v>1212792</v>
      </c>
      <c r="L13" s="8">
        <f t="shared" si="17"/>
        <v>0.1212792</v>
      </c>
      <c r="M13" s="10">
        <f t="shared" si="6"/>
        <v>0.372327144</v>
      </c>
      <c r="N13" s="21"/>
      <c r="O13" s="7">
        <f>'[1]Production Summary'!I45</f>
        <v>0</v>
      </c>
      <c r="P13" s="8">
        <f t="shared" si="7"/>
        <v>0</v>
      </c>
      <c r="Q13" s="10">
        <f t="shared" si="8"/>
        <v>0</v>
      </c>
      <c r="R13" s="7">
        <f>'[1]Production Summary'!C45</f>
        <v>0</v>
      </c>
      <c r="S13" s="8">
        <f t="shared" si="9"/>
        <v>0</v>
      </c>
      <c r="T13" s="10">
        <f t="shared" si="10"/>
        <v>0</v>
      </c>
      <c r="U13" s="7">
        <f>'[1]Production Summary'!F45</f>
        <v>0</v>
      </c>
      <c r="V13" s="8">
        <f t="shared" si="11"/>
        <v>0</v>
      </c>
      <c r="W13" s="10">
        <f t="shared" si="12"/>
        <v>0</v>
      </c>
      <c r="X13" s="7">
        <f>'[1]Production Summary'!AB45</f>
        <v>0</v>
      </c>
      <c r="Y13" s="8">
        <f t="shared" si="13"/>
        <v>0</v>
      </c>
      <c r="Z13" s="10">
        <f t="shared" si="14"/>
        <v>0</v>
      </c>
      <c r="AA13" s="15"/>
      <c r="AB13" s="7">
        <f t="shared" si="16"/>
        <v>12199999.999999817</v>
      </c>
      <c r="AC13" s="8">
        <f t="shared" si="16"/>
        <v>12.199999999999818</v>
      </c>
      <c r="AD13" s="8">
        <f t="shared" si="16"/>
        <v>37.453999999999439</v>
      </c>
    </row>
    <row r="14" spans="1:30" x14ac:dyDescent="0.15">
      <c r="A14" s="1">
        <v>43049</v>
      </c>
      <c r="B14" s="7">
        <f>'[1]Production Summary'!J46</f>
        <v>11899999.999999637</v>
      </c>
      <c r="C14" s="8">
        <f t="shared" si="0"/>
        <v>11.899999999999636</v>
      </c>
      <c r="D14" s="10">
        <f t="shared" si="1"/>
        <v>36.532999999998879</v>
      </c>
      <c r="E14" s="7">
        <f>'[1]Production Summary'!E46</f>
        <v>3000000</v>
      </c>
      <c r="F14" s="8">
        <f t="shared" si="2"/>
        <v>3</v>
      </c>
      <c r="G14" s="10">
        <f t="shared" si="3"/>
        <v>9.2099999999999991</v>
      </c>
      <c r="H14" s="7">
        <f>'[1]Production Summary'!G46</f>
        <v>10020000</v>
      </c>
      <c r="I14" s="8">
        <f t="shared" si="15"/>
        <v>10.02</v>
      </c>
      <c r="J14" s="10">
        <f t="shared" si="4"/>
        <v>30.761399999999998</v>
      </c>
      <c r="K14" s="7">
        <f>'[1]Production Summary'!T46</f>
        <v>1131080</v>
      </c>
      <c r="L14" s="8">
        <f t="shared" si="17"/>
        <v>0.113108</v>
      </c>
      <c r="M14" s="10">
        <f t="shared" si="6"/>
        <v>0.34724156</v>
      </c>
      <c r="N14" s="21"/>
      <c r="O14" s="7">
        <f>'[1]Production Summary'!I46</f>
        <v>0</v>
      </c>
      <c r="P14" s="8">
        <f t="shared" si="7"/>
        <v>0</v>
      </c>
      <c r="Q14" s="10">
        <f t="shared" si="8"/>
        <v>0</v>
      </c>
      <c r="R14" s="7">
        <f>'[1]Production Summary'!C46</f>
        <v>0</v>
      </c>
      <c r="S14" s="8">
        <f t="shared" si="9"/>
        <v>0</v>
      </c>
      <c r="T14" s="10">
        <f t="shared" si="10"/>
        <v>0</v>
      </c>
      <c r="U14" s="7">
        <f>'[1]Production Summary'!F46</f>
        <v>0</v>
      </c>
      <c r="V14" s="8">
        <f t="shared" si="11"/>
        <v>0</v>
      </c>
      <c r="W14" s="10">
        <f t="shared" si="12"/>
        <v>0</v>
      </c>
      <c r="X14" s="7">
        <f>'[1]Production Summary'!AB46</f>
        <v>0</v>
      </c>
      <c r="Y14" s="8">
        <f t="shared" si="13"/>
        <v>0</v>
      </c>
      <c r="Z14" s="10">
        <f t="shared" si="14"/>
        <v>0</v>
      </c>
      <c r="AA14" s="15"/>
      <c r="AB14" s="7">
        <f t="shared" si="16"/>
        <v>11899999.999999637</v>
      </c>
      <c r="AC14" s="8">
        <f t="shared" si="16"/>
        <v>11.899999999999636</v>
      </c>
      <c r="AD14" s="8">
        <f t="shared" si="16"/>
        <v>36.532999999998879</v>
      </c>
    </row>
    <row r="15" spans="1:30" x14ac:dyDescent="0.15">
      <c r="A15" s="1">
        <v>43050</v>
      </c>
      <c r="B15" s="7">
        <f>'[1]Production Summary'!J47</f>
        <v>11900000.000000546</v>
      </c>
      <c r="C15" s="8">
        <f t="shared" si="0"/>
        <v>11.900000000000546</v>
      </c>
      <c r="D15" s="10">
        <f t="shared" si="1"/>
        <v>36.533000000001671</v>
      </c>
      <c r="E15" s="7">
        <f>'[1]Production Summary'!E47</f>
        <v>4000000</v>
      </c>
      <c r="F15" s="8">
        <f t="shared" si="2"/>
        <v>4</v>
      </c>
      <c r="G15" s="10">
        <f t="shared" si="3"/>
        <v>12.28</v>
      </c>
      <c r="H15" s="7">
        <f>'[1]Production Summary'!G47</f>
        <v>10000000</v>
      </c>
      <c r="I15" s="8">
        <f t="shared" si="15"/>
        <v>10</v>
      </c>
      <c r="J15" s="10">
        <f t="shared" si="4"/>
        <v>30.7</v>
      </c>
      <c r="K15" s="7">
        <f>'[1]Production Summary'!T47</f>
        <v>1157402</v>
      </c>
      <c r="L15" s="8">
        <f t="shared" si="17"/>
        <v>0.1157402</v>
      </c>
      <c r="M15" s="10">
        <f t="shared" si="6"/>
        <v>0.35532241399999998</v>
      </c>
      <c r="N15" s="21"/>
      <c r="O15" s="7">
        <f>'[1]Production Summary'!I47</f>
        <v>0</v>
      </c>
      <c r="P15" s="8">
        <f t="shared" si="7"/>
        <v>0</v>
      </c>
      <c r="Q15" s="10">
        <f t="shared" si="8"/>
        <v>0</v>
      </c>
      <c r="R15" s="7">
        <f>'[1]Production Summary'!C47</f>
        <v>0</v>
      </c>
      <c r="S15" s="8">
        <f t="shared" si="9"/>
        <v>0</v>
      </c>
      <c r="T15" s="10">
        <f t="shared" si="10"/>
        <v>0</v>
      </c>
      <c r="U15" s="7">
        <f>'[1]Production Summary'!F47</f>
        <v>0</v>
      </c>
      <c r="V15" s="8">
        <f t="shared" si="11"/>
        <v>0</v>
      </c>
      <c r="W15" s="10">
        <f t="shared" si="12"/>
        <v>0</v>
      </c>
      <c r="X15" s="7">
        <f>'[1]Production Summary'!AB47</f>
        <v>0</v>
      </c>
      <c r="Y15" s="8">
        <f t="shared" si="13"/>
        <v>0</v>
      </c>
      <c r="Z15" s="10">
        <f t="shared" si="14"/>
        <v>0</v>
      </c>
      <c r="AA15" s="15"/>
      <c r="AB15" s="7">
        <f t="shared" si="16"/>
        <v>11900000.000000546</v>
      </c>
      <c r="AC15" s="8">
        <f t="shared" si="16"/>
        <v>11.900000000000546</v>
      </c>
      <c r="AD15" s="8">
        <f t="shared" si="16"/>
        <v>36.533000000001671</v>
      </c>
    </row>
    <row r="16" spans="1:30" x14ac:dyDescent="0.15">
      <c r="A16" s="1">
        <v>43051</v>
      </c>
      <c r="B16" s="7">
        <f>'[1]Production Summary'!J48</f>
        <v>12099999.999999454</v>
      </c>
      <c r="C16" s="8">
        <f t="shared" si="0"/>
        <v>12.099999999999454</v>
      </c>
      <c r="D16" s="10">
        <f t="shared" si="1"/>
        <v>37.146999999998322</v>
      </c>
      <c r="E16" s="7">
        <f>'[1]Production Summary'!E48</f>
        <v>3000000</v>
      </c>
      <c r="F16" s="8">
        <f t="shared" si="2"/>
        <v>3</v>
      </c>
      <c r="G16" s="10">
        <f t="shared" si="3"/>
        <v>9.2099999999999991</v>
      </c>
      <c r="H16" s="7">
        <f>'[1]Production Summary'!G48</f>
        <v>10750000</v>
      </c>
      <c r="I16" s="8">
        <f t="shared" si="15"/>
        <v>10.75</v>
      </c>
      <c r="J16" s="10">
        <f t="shared" si="4"/>
        <v>33.002499999999998</v>
      </c>
      <c r="K16" s="7">
        <f>'[1]Production Summary'!T48</f>
        <v>1270701.5</v>
      </c>
      <c r="L16" s="8">
        <f t="shared" si="17"/>
        <v>0.12707014999999999</v>
      </c>
      <c r="M16" s="10">
        <f t="shared" si="6"/>
        <v>0.39010536049999994</v>
      </c>
      <c r="N16" s="21"/>
      <c r="O16" s="7">
        <f>'[1]Production Summary'!I48</f>
        <v>0</v>
      </c>
      <c r="P16" s="8">
        <f t="shared" si="7"/>
        <v>0</v>
      </c>
      <c r="Q16" s="10">
        <f t="shared" si="8"/>
        <v>0</v>
      </c>
      <c r="R16" s="7">
        <f>'[1]Production Summary'!C48</f>
        <v>0</v>
      </c>
      <c r="S16" s="8">
        <f t="shared" si="9"/>
        <v>0</v>
      </c>
      <c r="T16" s="10">
        <f t="shared" si="10"/>
        <v>0</v>
      </c>
      <c r="U16" s="7">
        <f>'[1]Production Summary'!F48</f>
        <v>0</v>
      </c>
      <c r="V16" s="8">
        <f t="shared" si="11"/>
        <v>0</v>
      </c>
      <c r="W16" s="10">
        <f t="shared" si="12"/>
        <v>0</v>
      </c>
      <c r="X16" s="7">
        <f>'[1]Production Summary'!AB48</f>
        <v>0</v>
      </c>
      <c r="Y16" s="8">
        <f t="shared" si="13"/>
        <v>0</v>
      </c>
      <c r="Z16" s="10">
        <f t="shared" si="14"/>
        <v>0</v>
      </c>
      <c r="AA16" s="15"/>
      <c r="AB16" s="7">
        <f t="shared" si="16"/>
        <v>12099999.999999454</v>
      </c>
      <c r="AC16" s="8">
        <f t="shared" si="16"/>
        <v>12.099999999999454</v>
      </c>
      <c r="AD16" s="8">
        <f t="shared" si="16"/>
        <v>37.146999999998322</v>
      </c>
    </row>
    <row r="17" spans="1:30" x14ac:dyDescent="0.15">
      <c r="A17" s="1">
        <v>43052</v>
      </c>
      <c r="B17" s="7">
        <f>'[1]Production Summary'!J49</f>
        <v>14300000.000000183</v>
      </c>
      <c r="C17" s="8">
        <f t="shared" si="0"/>
        <v>14.300000000000182</v>
      </c>
      <c r="D17" s="10">
        <f t="shared" si="1"/>
        <v>43.901000000000558</v>
      </c>
      <c r="E17" s="7">
        <f>'[1]Production Summary'!E49</f>
        <v>3000000</v>
      </c>
      <c r="F17" s="8">
        <f t="shared" si="2"/>
        <v>3</v>
      </c>
      <c r="G17" s="10">
        <f t="shared" si="3"/>
        <v>9.2099999999999991</v>
      </c>
      <c r="H17" s="7">
        <f>'[1]Production Summary'!G49</f>
        <v>12160000</v>
      </c>
      <c r="I17" s="8">
        <f t="shared" si="15"/>
        <v>12.16</v>
      </c>
      <c r="J17" s="10">
        <f t="shared" si="4"/>
        <v>37.331199999999995</v>
      </c>
      <c r="K17" s="7">
        <f>'[1]Production Summary'!T49</f>
        <v>1383987</v>
      </c>
      <c r="L17" s="8">
        <f t="shared" si="17"/>
        <v>0.13839870000000001</v>
      </c>
      <c r="M17" s="10">
        <f t="shared" si="6"/>
        <v>0.42488400900000001</v>
      </c>
      <c r="N17" s="21"/>
      <c r="O17" s="7">
        <f>'[1]Production Summary'!I49</f>
        <v>0</v>
      </c>
      <c r="P17" s="8">
        <f t="shared" ref="P17:P34" si="18">O17/1000000</f>
        <v>0</v>
      </c>
      <c r="Q17" s="10">
        <f t="shared" si="8"/>
        <v>0</v>
      </c>
      <c r="R17" s="7">
        <f>'[1]Production Summary'!C49</f>
        <v>0</v>
      </c>
      <c r="S17" s="8">
        <f t="shared" si="9"/>
        <v>0</v>
      </c>
      <c r="T17" s="10">
        <f t="shared" si="10"/>
        <v>0</v>
      </c>
      <c r="U17" s="7">
        <f>'[1]Production Summary'!F49</f>
        <v>0</v>
      </c>
      <c r="V17" s="8">
        <f t="shared" si="11"/>
        <v>0</v>
      </c>
      <c r="W17" s="10">
        <f t="shared" si="12"/>
        <v>0</v>
      </c>
      <c r="X17" s="7">
        <f>'[1]Production Summary'!AB49</f>
        <v>0</v>
      </c>
      <c r="Y17" s="8">
        <f t="shared" si="13"/>
        <v>0</v>
      </c>
      <c r="Z17" s="10">
        <f t="shared" si="14"/>
        <v>0</v>
      </c>
      <c r="AA17" s="15"/>
      <c r="AB17" s="7">
        <f t="shared" si="16"/>
        <v>14300000.000000183</v>
      </c>
      <c r="AC17" s="8">
        <f t="shared" si="16"/>
        <v>14.300000000000182</v>
      </c>
      <c r="AD17" s="8">
        <f t="shared" si="16"/>
        <v>43.901000000000558</v>
      </c>
    </row>
    <row r="18" spans="1:30" x14ac:dyDescent="0.15">
      <c r="A18" s="1">
        <v>43053</v>
      </c>
      <c r="B18" s="7">
        <f>'[1]Production Summary'!J50</f>
        <v>13100000.000000363</v>
      </c>
      <c r="C18" s="8">
        <f t="shared" si="0"/>
        <v>13.100000000000364</v>
      </c>
      <c r="D18" s="10">
        <f t="shared" si="1"/>
        <v>40.217000000001114</v>
      </c>
      <c r="E18" s="7">
        <f>'[1]Production Summary'!E50</f>
        <v>3000000</v>
      </c>
      <c r="F18" s="8">
        <f t="shared" si="2"/>
        <v>3</v>
      </c>
      <c r="G18" s="10">
        <f t="shared" si="3"/>
        <v>9.2099999999999991</v>
      </c>
      <c r="H18" s="7">
        <f>'[1]Production Summary'!G50</f>
        <v>11820000</v>
      </c>
      <c r="I18" s="8">
        <f t="shared" si="15"/>
        <v>11.82</v>
      </c>
      <c r="J18" s="10">
        <f t="shared" si="4"/>
        <v>36.287399999999998</v>
      </c>
      <c r="K18" s="7">
        <f>'[1]Production Summary'!T50</f>
        <v>1261217</v>
      </c>
      <c r="L18" s="8">
        <f t="shared" si="17"/>
        <v>0.1261217</v>
      </c>
      <c r="M18" s="10">
        <f t="shared" si="6"/>
        <v>0.38719361899999999</v>
      </c>
      <c r="N18" s="21"/>
      <c r="O18" s="7">
        <f>'[1]Production Summary'!I50</f>
        <v>0</v>
      </c>
      <c r="P18" s="8">
        <f t="shared" si="18"/>
        <v>0</v>
      </c>
      <c r="Q18" s="10">
        <f t="shared" si="8"/>
        <v>0</v>
      </c>
      <c r="R18" s="7">
        <f>'[1]Production Summary'!C50</f>
        <v>0</v>
      </c>
      <c r="S18" s="8">
        <f t="shared" ref="S18:S34" si="19">R18/1000000</f>
        <v>0</v>
      </c>
      <c r="T18" s="10">
        <f t="shared" si="10"/>
        <v>0</v>
      </c>
      <c r="U18" s="7">
        <f>'[1]Production Summary'!F50</f>
        <v>0</v>
      </c>
      <c r="V18" s="8">
        <f t="shared" si="11"/>
        <v>0</v>
      </c>
      <c r="W18" s="10">
        <f t="shared" si="12"/>
        <v>0</v>
      </c>
      <c r="X18" s="7">
        <f>'[1]Production Summary'!AB50</f>
        <v>0</v>
      </c>
      <c r="Y18" s="8">
        <f t="shared" si="13"/>
        <v>0</v>
      </c>
      <c r="Z18" s="10">
        <f t="shared" si="14"/>
        <v>0</v>
      </c>
      <c r="AA18" s="15"/>
      <c r="AB18" s="7">
        <f t="shared" si="16"/>
        <v>13100000.000000363</v>
      </c>
      <c r="AC18" s="8">
        <f t="shared" si="16"/>
        <v>13.100000000000364</v>
      </c>
      <c r="AD18" s="8">
        <f t="shared" si="16"/>
        <v>40.217000000001114</v>
      </c>
    </row>
    <row r="19" spans="1:30" x14ac:dyDescent="0.15">
      <c r="A19" s="1">
        <v>43054</v>
      </c>
      <c r="B19" s="7">
        <f>'[1]Production Summary'!J51</f>
        <v>11599999.999999454</v>
      </c>
      <c r="C19" s="8">
        <f t="shared" si="0"/>
        <v>11.599999999999454</v>
      </c>
      <c r="D19" s="10">
        <f t="shared" si="1"/>
        <v>35.611999999998325</v>
      </c>
      <c r="E19" s="7">
        <f>'[1]Production Summary'!E51</f>
        <v>3000000</v>
      </c>
      <c r="F19" s="8">
        <f t="shared" si="2"/>
        <v>3</v>
      </c>
      <c r="G19" s="10">
        <f t="shared" si="3"/>
        <v>9.2099999999999991</v>
      </c>
      <c r="H19" s="7">
        <f>'[1]Production Summary'!G51</f>
        <v>9910000</v>
      </c>
      <c r="I19" s="8">
        <f t="shared" si="15"/>
        <v>9.91</v>
      </c>
      <c r="J19" s="10">
        <f t="shared" si="4"/>
        <v>30.4237</v>
      </c>
      <c r="K19" s="7">
        <f>'[1]Production Summary'!T51</f>
        <v>1169627</v>
      </c>
      <c r="L19" s="8">
        <f t="shared" si="17"/>
        <v>0.1169627</v>
      </c>
      <c r="M19" s="10">
        <f t="shared" si="6"/>
        <v>0.35907548899999997</v>
      </c>
      <c r="N19" s="21"/>
      <c r="O19" s="7">
        <f>'[1]Production Summary'!I51</f>
        <v>0</v>
      </c>
      <c r="P19" s="8">
        <f t="shared" si="18"/>
        <v>0</v>
      </c>
      <c r="Q19" s="10">
        <f t="shared" si="8"/>
        <v>0</v>
      </c>
      <c r="R19" s="7">
        <f>'[1]Production Summary'!C51</f>
        <v>0</v>
      </c>
      <c r="S19" s="8">
        <f t="shared" si="19"/>
        <v>0</v>
      </c>
      <c r="T19" s="10">
        <f t="shared" si="10"/>
        <v>0</v>
      </c>
      <c r="U19" s="7">
        <f>'[1]Production Summary'!F51</f>
        <v>0</v>
      </c>
      <c r="V19" s="8">
        <f t="shared" si="11"/>
        <v>0</v>
      </c>
      <c r="W19" s="10">
        <f t="shared" si="12"/>
        <v>0</v>
      </c>
      <c r="X19" s="7">
        <f>'[1]Production Summary'!AB51</f>
        <v>0</v>
      </c>
      <c r="Y19" s="8">
        <f t="shared" si="13"/>
        <v>0</v>
      </c>
      <c r="Z19" s="10">
        <f t="shared" si="14"/>
        <v>0</v>
      </c>
      <c r="AA19" s="15"/>
      <c r="AB19" s="7">
        <f t="shared" si="16"/>
        <v>11599999.999999454</v>
      </c>
      <c r="AC19" s="8">
        <f t="shared" si="16"/>
        <v>11.599999999999454</v>
      </c>
      <c r="AD19" s="8">
        <f>D19+Q19</f>
        <v>35.611999999998325</v>
      </c>
    </row>
    <row r="20" spans="1:30" x14ac:dyDescent="0.15">
      <c r="A20" s="1">
        <v>43055</v>
      </c>
      <c r="B20" s="7">
        <f>'[1]Production Summary'!J52</f>
        <v>11500000</v>
      </c>
      <c r="C20" s="8">
        <f t="shared" si="0"/>
        <v>11.5</v>
      </c>
      <c r="D20" s="10">
        <f t="shared" si="1"/>
        <v>35.305</v>
      </c>
      <c r="E20" s="7">
        <f>'[1]Production Summary'!E52</f>
        <v>3000000</v>
      </c>
      <c r="F20" s="8">
        <f t="shared" si="2"/>
        <v>3</v>
      </c>
      <c r="G20" s="10">
        <f t="shared" si="3"/>
        <v>9.2099999999999991</v>
      </c>
      <c r="H20" s="7">
        <f>'[1]Production Summary'!G52</f>
        <v>9980000</v>
      </c>
      <c r="I20" s="8">
        <f t="shared" si="15"/>
        <v>9.98</v>
      </c>
      <c r="J20" s="10">
        <f t="shared" si="4"/>
        <v>30.6386</v>
      </c>
      <c r="K20" s="7">
        <f>'[1]Production Summary'!T52</f>
        <v>1197989</v>
      </c>
      <c r="L20" s="8">
        <f t="shared" si="17"/>
        <v>0.1197989</v>
      </c>
      <c r="M20" s="10">
        <f t="shared" si="6"/>
        <v>0.36778262299999998</v>
      </c>
      <c r="N20" s="21"/>
      <c r="O20" s="7">
        <f>'[1]Production Summary'!I52</f>
        <v>0</v>
      </c>
      <c r="P20" s="8">
        <f t="shared" si="18"/>
        <v>0</v>
      </c>
      <c r="Q20" s="10">
        <f t="shared" si="8"/>
        <v>0</v>
      </c>
      <c r="R20" s="7">
        <f>'[1]Production Summary'!C52</f>
        <v>0</v>
      </c>
      <c r="S20" s="8">
        <f t="shared" si="19"/>
        <v>0</v>
      </c>
      <c r="T20" s="10">
        <f t="shared" si="10"/>
        <v>0</v>
      </c>
      <c r="U20" s="7">
        <f>'[1]Production Summary'!F52</f>
        <v>0</v>
      </c>
      <c r="V20" s="8">
        <f t="shared" si="11"/>
        <v>0</v>
      </c>
      <c r="W20" s="10">
        <f t="shared" si="12"/>
        <v>0</v>
      </c>
      <c r="X20" s="7">
        <f>'[1]Production Summary'!AB52</f>
        <v>308999.9999999975</v>
      </c>
      <c r="Y20" s="8">
        <f t="shared" si="13"/>
        <v>0.3089999999999975</v>
      </c>
      <c r="Z20" s="10">
        <f t="shared" si="14"/>
        <v>0.94862999999999231</v>
      </c>
      <c r="AA20" s="15"/>
      <c r="AB20" s="7">
        <f t="shared" si="16"/>
        <v>11500000</v>
      </c>
      <c r="AC20" s="8">
        <f t="shared" si="16"/>
        <v>11.5</v>
      </c>
      <c r="AD20" s="8">
        <f t="shared" si="16"/>
        <v>35.305</v>
      </c>
    </row>
    <row r="21" spans="1:30" x14ac:dyDescent="0.15">
      <c r="A21" s="1">
        <v>43056</v>
      </c>
      <c r="B21" s="7">
        <f>'[1]Production Summary'!J53</f>
        <v>12900000.000000546</v>
      </c>
      <c r="C21" s="8">
        <f t="shared" si="0"/>
        <v>12.900000000000546</v>
      </c>
      <c r="D21" s="10">
        <f t="shared" si="1"/>
        <v>39.603000000001671</v>
      </c>
      <c r="E21" s="7">
        <f>'[1]Production Summary'!E53</f>
        <v>3000000</v>
      </c>
      <c r="F21" s="8">
        <f t="shared" si="2"/>
        <v>3</v>
      </c>
      <c r="G21" s="10">
        <f t="shared" si="3"/>
        <v>9.2099999999999991</v>
      </c>
      <c r="H21" s="7">
        <f>'[1]Production Summary'!G53</f>
        <v>10890000</v>
      </c>
      <c r="I21" s="8">
        <f t="shared" si="15"/>
        <v>10.89</v>
      </c>
      <c r="J21" s="10">
        <f t="shared" si="4"/>
        <v>33.432299999999998</v>
      </c>
      <c r="K21" s="7">
        <f>'[1]Production Summary'!T53</f>
        <v>1204992</v>
      </c>
      <c r="L21" s="8">
        <f t="shared" si="17"/>
        <v>0.1204992</v>
      </c>
      <c r="M21" s="10">
        <f t="shared" si="6"/>
        <v>0.36993254399999997</v>
      </c>
      <c r="N21" s="21"/>
      <c r="O21" s="7">
        <f>'[1]Production Summary'!I53</f>
        <v>0</v>
      </c>
      <c r="P21" s="8">
        <f t="shared" si="18"/>
        <v>0</v>
      </c>
      <c r="Q21" s="10">
        <f t="shared" si="8"/>
        <v>0</v>
      </c>
      <c r="R21" s="7">
        <f>'[1]Production Summary'!C53</f>
        <v>0</v>
      </c>
      <c r="S21" s="8">
        <f t="shared" si="19"/>
        <v>0</v>
      </c>
      <c r="T21" s="10">
        <f t="shared" si="10"/>
        <v>0</v>
      </c>
      <c r="U21" s="7">
        <f>'[1]Production Summary'!F53</f>
        <v>0</v>
      </c>
      <c r="V21" s="8">
        <f t="shared" si="11"/>
        <v>0</v>
      </c>
      <c r="W21" s="10">
        <f t="shared" si="12"/>
        <v>0</v>
      </c>
      <c r="X21" s="7">
        <f>'[1]Production Summary'!AB53</f>
        <v>381999.9999999979</v>
      </c>
      <c r="Y21" s="8">
        <f t="shared" si="13"/>
        <v>0.3819999999999979</v>
      </c>
      <c r="Z21" s="10">
        <f t="shared" si="14"/>
        <v>1.1727399999999935</v>
      </c>
      <c r="AA21" s="15"/>
      <c r="AB21" s="7">
        <f t="shared" si="16"/>
        <v>12900000.000000546</v>
      </c>
      <c r="AC21" s="8">
        <f t="shared" si="16"/>
        <v>12.900000000000546</v>
      </c>
      <c r="AD21" s="8">
        <f t="shared" si="16"/>
        <v>39.603000000001671</v>
      </c>
    </row>
    <row r="22" spans="1:30" x14ac:dyDescent="0.15">
      <c r="A22" s="1">
        <v>43057</v>
      </c>
      <c r="B22" s="7">
        <f>'[1]Production Summary'!J54</f>
        <v>13899999.999999637</v>
      </c>
      <c r="C22" s="8">
        <f t="shared" si="0"/>
        <v>13.899999999999636</v>
      </c>
      <c r="D22" s="10">
        <f t="shared" si="1"/>
        <v>42.672999999998879</v>
      </c>
      <c r="E22" s="7">
        <f>'[1]Production Summary'!E54</f>
        <v>3000000</v>
      </c>
      <c r="F22" s="8">
        <f t="shared" si="2"/>
        <v>3</v>
      </c>
      <c r="G22" s="10">
        <f t="shared" si="3"/>
        <v>9.2099999999999991</v>
      </c>
      <c r="H22" s="7">
        <f>'[1]Production Summary'!G54</f>
        <v>12070000</v>
      </c>
      <c r="I22" s="8">
        <f t="shared" si="15"/>
        <v>12.07</v>
      </c>
      <c r="J22" s="10">
        <f t="shared" si="4"/>
        <v>37.054899999999996</v>
      </c>
      <c r="K22" s="7">
        <f>'[1]Production Summary'!T54</f>
        <v>1336907</v>
      </c>
      <c r="L22" s="8">
        <f t="shared" si="17"/>
        <v>0.1336907</v>
      </c>
      <c r="M22" s="10">
        <f t="shared" si="6"/>
        <v>0.41043044899999997</v>
      </c>
      <c r="N22" s="21"/>
      <c r="O22" s="7">
        <f>'[1]Production Summary'!I54</f>
        <v>0</v>
      </c>
      <c r="P22" s="8">
        <f t="shared" si="18"/>
        <v>0</v>
      </c>
      <c r="Q22" s="10">
        <f t="shared" si="8"/>
        <v>0</v>
      </c>
      <c r="R22" s="7">
        <f>'[1]Production Summary'!C54</f>
        <v>0</v>
      </c>
      <c r="S22" s="8">
        <f t="shared" si="19"/>
        <v>0</v>
      </c>
      <c r="T22" s="10">
        <f t="shared" si="10"/>
        <v>0</v>
      </c>
      <c r="U22" s="7">
        <f>'[1]Production Summary'!F54</f>
        <v>0</v>
      </c>
      <c r="V22" s="8">
        <f t="shared" si="11"/>
        <v>0</v>
      </c>
      <c r="W22" s="10">
        <f t="shared" si="12"/>
        <v>0</v>
      </c>
      <c r="X22" s="7">
        <f>'[1]Production Summary'!AB54</f>
        <v>0</v>
      </c>
      <c r="Y22" s="8">
        <f t="shared" si="13"/>
        <v>0</v>
      </c>
      <c r="Z22" s="10">
        <f t="shared" si="14"/>
        <v>0</v>
      </c>
      <c r="AA22" s="15"/>
      <c r="AB22" s="7">
        <f t="shared" si="16"/>
        <v>13899999.999999637</v>
      </c>
      <c r="AC22" s="8">
        <f t="shared" si="16"/>
        <v>13.899999999999636</v>
      </c>
      <c r="AD22" s="8">
        <f t="shared" si="16"/>
        <v>42.672999999998879</v>
      </c>
    </row>
    <row r="23" spans="1:30" x14ac:dyDescent="0.15">
      <c r="A23" s="1">
        <v>43058</v>
      </c>
      <c r="B23" s="7">
        <f>'[1]Production Summary'!J55</f>
        <v>13100000.000000363</v>
      </c>
      <c r="C23" s="8">
        <f t="shared" si="0"/>
        <v>13.100000000000364</v>
      </c>
      <c r="D23" s="10">
        <f t="shared" si="1"/>
        <v>40.217000000001114</v>
      </c>
      <c r="E23" s="7">
        <f>'[1]Production Summary'!E55</f>
        <v>3000000</v>
      </c>
      <c r="F23" s="8">
        <f t="shared" si="2"/>
        <v>3</v>
      </c>
      <c r="G23" s="10">
        <f t="shared" si="3"/>
        <v>9.2099999999999991</v>
      </c>
      <c r="H23" s="7">
        <f>'[1]Production Summary'!G55</f>
        <v>11860000</v>
      </c>
      <c r="I23" s="8">
        <f t="shared" si="15"/>
        <v>11.86</v>
      </c>
      <c r="J23" s="10">
        <f t="shared" si="4"/>
        <v>36.410199999999996</v>
      </c>
      <c r="K23" s="7">
        <f>'[1]Production Summary'!T55</f>
        <v>1342285</v>
      </c>
      <c r="L23" s="8">
        <f t="shared" si="17"/>
        <v>0.1342285</v>
      </c>
      <c r="M23" s="10">
        <f t="shared" si="6"/>
        <v>0.41208149499999996</v>
      </c>
      <c r="N23" s="21"/>
      <c r="O23" s="7">
        <f>'[1]Production Summary'!I55</f>
        <v>0</v>
      </c>
      <c r="P23" s="8">
        <f t="shared" si="18"/>
        <v>0</v>
      </c>
      <c r="Q23" s="10">
        <f t="shared" si="8"/>
        <v>0</v>
      </c>
      <c r="R23" s="7">
        <f>'[1]Production Summary'!C55</f>
        <v>0</v>
      </c>
      <c r="S23" s="8">
        <f t="shared" si="19"/>
        <v>0</v>
      </c>
      <c r="T23" s="10">
        <f t="shared" si="10"/>
        <v>0</v>
      </c>
      <c r="U23" s="7">
        <f>'[1]Production Summary'!F55</f>
        <v>0</v>
      </c>
      <c r="V23" s="8">
        <f t="shared" si="11"/>
        <v>0</v>
      </c>
      <c r="W23" s="10">
        <f t="shared" si="12"/>
        <v>0</v>
      </c>
      <c r="X23" s="7">
        <f>'[1]Production Summary'!AB55</f>
        <v>0</v>
      </c>
      <c r="Y23" s="8">
        <f t="shared" si="13"/>
        <v>0</v>
      </c>
      <c r="Z23" s="10">
        <f t="shared" si="14"/>
        <v>0</v>
      </c>
      <c r="AA23" s="15"/>
      <c r="AB23" s="7">
        <f t="shared" si="16"/>
        <v>13100000.000000363</v>
      </c>
      <c r="AC23" s="8">
        <f t="shared" si="16"/>
        <v>13.100000000000364</v>
      </c>
      <c r="AD23" s="8">
        <f t="shared" si="16"/>
        <v>40.217000000001114</v>
      </c>
    </row>
    <row r="24" spans="1:30" x14ac:dyDescent="0.15">
      <c r="A24" s="1">
        <v>43059</v>
      </c>
      <c r="B24" s="7">
        <f>'[1]Production Summary'!J56</f>
        <v>10300000.000000183</v>
      </c>
      <c r="C24" s="8">
        <f t="shared" si="0"/>
        <v>10.300000000000182</v>
      </c>
      <c r="D24" s="10">
        <f t="shared" si="1"/>
        <v>31.621000000000556</v>
      </c>
      <c r="E24" s="7">
        <f>'[1]Production Summary'!E56</f>
        <v>3000000</v>
      </c>
      <c r="F24" s="8">
        <f t="shared" si="2"/>
        <v>3</v>
      </c>
      <c r="G24" s="10">
        <f t="shared" si="3"/>
        <v>9.2099999999999991</v>
      </c>
      <c r="H24" s="7">
        <f>'[1]Production Summary'!G56</f>
        <v>8270000</v>
      </c>
      <c r="I24" s="8">
        <f t="shared" si="15"/>
        <v>8.27</v>
      </c>
      <c r="J24" s="10">
        <f t="shared" si="4"/>
        <v>25.388899999999996</v>
      </c>
      <c r="K24" s="7">
        <f>'[1]Production Summary'!T56</f>
        <v>1049898</v>
      </c>
      <c r="L24" s="8">
        <f t="shared" si="17"/>
        <v>0.10498979999999999</v>
      </c>
      <c r="M24" s="10">
        <f t="shared" si="6"/>
        <v>0.32231868599999997</v>
      </c>
      <c r="N24" s="21"/>
      <c r="O24" s="7">
        <f>'[1]Production Summary'!I56</f>
        <v>1000000</v>
      </c>
      <c r="P24" s="8">
        <f t="shared" si="18"/>
        <v>1</v>
      </c>
      <c r="Q24" s="10">
        <f t="shared" si="8"/>
        <v>3.07</v>
      </c>
      <c r="R24" s="7">
        <f>'[1]Production Summary'!C56</f>
        <v>1000000</v>
      </c>
      <c r="S24" s="8">
        <f t="shared" si="19"/>
        <v>1</v>
      </c>
      <c r="T24" s="10">
        <f t="shared" si="10"/>
        <v>3.07</v>
      </c>
      <c r="U24" s="7">
        <f>'[1]Production Summary'!F56</f>
        <v>0</v>
      </c>
      <c r="V24" s="8">
        <f t="shared" si="11"/>
        <v>0</v>
      </c>
      <c r="W24" s="10">
        <f t="shared" si="12"/>
        <v>0</v>
      </c>
      <c r="X24" s="7">
        <f>'[1]Production Summary'!AB56</f>
        <v>0</v>
      </c>
      <c r="Y24" s="8">
        <f t="shared" si="13"/>
        <v>0</v>
      </c>
      <c r="Z24" s="10">
        <f t="shared" si="14"/>
        <v>0</v>
      </c>
      <c r="AA24" s="15"/>
      <c r="AB24" s="7">
        <f t="shared" si="16"/>
        <v>11300000.000000183</v>
      </c>
      <c r="AC24" s="8">
        <f t="shared" si="16"/>
        <v>11.300000000000182</v>
      </c>
      <c r="AD24" s="8">
        <f>D24+Q24</f>
        <v>34.691000000000557</v>
      </c>
    </row>
    <row r="25" spans="1:30" x14ac:dyDescent="0.15">
      <c r="A25" s="1">
        <v>43060</v>
      </c>
      <c r="B25" s="7">
        <f>'[1]Production Summary'!J57</f>
        <v>7699999.9999998184</v>
      </c>
      <c r="C25" s="8">
        <f t="shared" si="0"/>
        <v>7.6999999999998181</v>
      </c>
      <c r="D25" s="10">
        <f t="shared" si="1"/>
        <v>23.638999999999442</v>
      </c>
      <c r="E25" s="7">
        <f>'[1]Production Summary'!E57</f>
        <v>3000000</v>
      </c>
      <c r="F25" s="8">
        <f t="shared" si="2"/>
        <v>3</v>
      </c>
      <c r="G25" s="10">
        <f t="shared" si="3"/>
        <v>9.2099999999999991</v>
      </c>
      <c r="H25" s="7">
        <f>'[1]Production Summary'!G57</f>
        <v>5200000</v>
      </c>
      <c r="I25" s="8">
        <f t="shared" si="15"/>
        <v>5.2</v>
      </c>
      <c r="J25" s="10">
        <f t="shared" si="4"/>
        <v>15.964</v>
      </c>
      <c r="K25" s="7">
        <f>'[1]Production Summary'!T57</f>
        <v>794557</v>
      </c>
      <c r="L25" s="8">
        <f t="shared" si="17"/>
        <v>7.9455700000000004E-2</v>
      </c>
      <c r="M25" s="10">
        <f t="shared" si="6"/>
        <v>0.24392899900000001</v>
      </c>
      <c r="N25" s="21"/>
      <c r="O25" s="7">
        <f>'[1]Production Summary'!I57</f>
        <v>5074000</v>
      </c>
      <c r="P25" s="8">
        <f t="shared" si="18"/>
        <v>5.0739999999999998</v>
      </c>
      <c r="Q25" s="10">
        <f t="shared" si="8"/>
        <v>15.577179999999998</v>
      </c>
      <c r="R25" s="7">
        <f>'[1]Production Summary'!C57</f>
        <v>5200000</v>
      </c>
      <c r="S25" s="8">
        <f t="shared" si="19"/>
        <v>5.2</v>
      </c>
      <c r="T25" s="10">
        <f t="shared" si="10"/>
        <v>15.964</v>
      </c>
      <c r="U25" s="7">
        <f>'[1]Production Summary'!F57</f>
        <v>0</v>
      </c>
      <c r="V25" s="8">
        <f t="shared" si="11"/>
        <v>0</v>
      </c>
      <c r="W25" s="10">
        <f t="shared" si="12"/>
        <v>0</v>
      </c>
      <c r="X25" s="7">
        <f>'[1]Production Summary'!AB57</f>
        <v>121999.99999999988</v>
      </c>
      <c r="Y25" s="8">
        <f t="shared" si="13"/>
        <v>0.12199999999999989</v>
      </c>
      <c r="Z25" s="10">
        <f t="shared" si="14"/>
        <v>0.37453999999999965</v>
      </c>
      <c r="AA25" s="15"/>
      <c r="AB25" s="7">
        <f t="shared" si="16"/>
        <v>12773999.999999817</v>
      </c>
      <c r="AC25" s="8">
        <f t="shared" si="16"/>
        <v>12.773999999999818</v>
      </c>
      <c r="AD25" s="8">
        <f t="shared" si="16"/>
        <v>39.21617999999944</v>
      </c>
    </row>
    <row r="26" spans="1:30" x14ac:dyDescent="0.15">
      <c r="A26" s="1">
        <v>43061</v>
      </c>
      <c r="B26" s="7">
        <f>'[1]Production Summary'!J58</f>
        <v>7099999.9999994542</v>
      </c>
      <c r="C26" s="8">
        <f t="shared" si="0"/>
        <v>7.0999999999994543</v>
      </c>
      <c r="D26" s="10">
        <f t="shared" si="1"/>
        <v>21.796999999998324</v>
      </c>
      <c r="E26" s="7">
        <f>'[1]Production Summary'!E58</f>
        <v>3000000</v>
      </c>
      <c r="F26" s="8">
        <f t="shared" si="2"/>
        <v>3</v>
      </c>
      <c r="G26" s="10">
        <f t="shared" si="3"/>
        <v>9.2099999999999991</v>
      </c>
      <c r="H26" s="7">
        <f>'[1]Production Summary'!G58</f>
        <v>4950000</v>
      </c>
      <c r="I26" s="8">
        <f t="shared" si="15"/>
        <v>4.95</v>
      </c>
      <c r="J26" s="10">
        <f t="shared" si="4"/>
        <v>15.1965</v>
      </c>
      <c r="K26" s="7">
        <f>'[1]Production Summary'!T58</f>
        <v>700505</v>
      </c>
      <c r="L26" s="8">
        <f t="shared" si="17"/>
        <v>7.0050500000000002E-2</v>
      </c>
      <c r="M26" s="10">
        <f t="shared" si="6"/>
        <v>0.21505503500000001</v>
      </c>
      <c r="N26" s="21"/>
      <c r="O26" s="7">
        <f>'[1]Production Summary'!I58</f>
        <v>5304000.0000000009</v>
      </c>
      <c r="P26" s="8">
        <f t="shared" si="18"/>
        <v>5.3040000000000012</v>
      </c>
      <c r="Q26" s="10">
        <f t="shared" si="8"/>
        <v>16.283280000000001</v>
      </c>
      <c r="R26" s="7">
        <f>'[1]Production Summary'!C58</f>
        <v>5483000</v>
      </c>
      <c r="S26" s="8">
        <f t="shared" si="19"/>
        <v>5.4829999999999997</v>
      </c>
      <c r="T26" s="10">
        <f t="shared" si="10"/>
        <v>16.832809999999998</v>
      </c>
      <c r="U26" s="7">
        <f>'[1]Production Summary'!F58</f>
        <v>498000</v>
      </c>
      <c r="V26" s="8">
        <f t="shared" si="11"/>
        <v>0.498</v>
      </c>
      <c r="W26" s="10">
        <f t="shared" si="12"/>
        <v>1.5288599999999999</v>
      </c>
      <c r="X26" s="7">
        <f>'[1]Production Summary'!AB58</f>
        <v>173999.99999999948</v>
      </c>
      <c r="Y26" s="8">
        <f t="shared" si="13"/>
        <v>0.17399999999999949</v>
      </c>
      <c r="Z26" s="10">
        <f t="shared" si="14"/>
        <v>0.53417999999999843</v>
      </c>
      <c r="AA26" s="15"/>
      <c r="AB26" s="7">
        <f t="shared" si="16"/>
        <v>12403999.999999456</v>
      </c>
      <c r="AC26" s="8">
        <f t="shared" si="16"/>
        <v>12.403999999999456</v>
      </c>
      <c r="AD26" s="8">
        <f t="shared" si="16"/>
        <v>38.080279999998325</v>
      </c>
    </row>
    <row r="27" spans="1:30" x14ac:dyDescent="0.15">
      <c r="A27" s="1">
        <v>43062</v>
      </c>
      <c r="B27" s="7">
        <f>'[1]Production Summary'!J59</f>
        <v>7200000.0000007274</v>
      </c>
      <c r="C27" s="8">
        <f t="shared" si="0"/>
        <v>7.2000000000007276</v>
      </c>
      <c r="D27" s="10">
        <f t="shared" si="1"/>
        <v>22.104000000002234</v>
      </c>
      <c r="E27" s="7">
        <f>'[1]Production Summary'!E59</f>
        <v>3000000</v>
      </c>
      <c r="F27" s="8">
        <f t="shared" si="2"/>
        <v>3</v>
      </c>
      <c r="G27" s="10">
        <f t="shared" si="3"/>
        <v>9.2099999999999991</v>
      </c>
      <c r="H27" s="7">
        <f>'[1]Production Summary'!G59</f>
        <v>5030000</v>
      </c>
      <c r="I27" s="8">
        <f t="shared" si="15"/>
        <v>5.03</v>
      </c>
      <c r="J27" s="10">
        <f t="shared" si="4"/>
        <v>15.4421</v>
      </c>
      <c r="K27" s="7">
        <f>'[1]Production Summary'!T59</f>
        <v>728075</v>
      </c>
      <c r="L27" s="8">
        <f t="shared" si="17"/>
        <v>7.2807499999999997E-2</v>
      </c>
      <c r="M27" s="10">
        <f t="shared" si="6"/>
        <v>0.22351902499999998</v>
      </c>
      <c r="N27" s="21"/>
      <c r="O27" s="7">
        <f>'[1]Production Summary'!I59</f>
        <v>5477999.9999999953</v>
      </c>
      <c r="P27" s="8">
        <f t="shared" si="18"/>
        <v>5.4779999999999953</v>
      </c>
      <c r="Q27" s="10">
        <f t="shared" si="8"/>
        <v>16.817459999999986</v>
      </c>
      <c r="R27" s="7">
        <f>'[1]Production Summary'!C59</f>
        <v>5604000</v>
      </c>
      <c r="S27" s="8">
        <f t="shared" si="19"/>
        <v>5.6040000000000001</v>
      </c>
      <c r="T27" s="10">
        <f t="shared" si="10"/>
        <v>17.204280000000001</v>
      </c>
      <c r="U27" s="7">
        <f>'[1]Production Summary'!F59</f>
        <v>1354000</v>
      </c>
      <c r="V27" s="8">
        <f t="shared" si="11"/>
        <v>1.3540000000000001</v>
      </c>
      <c r="W27" s="10">
        <f t="shared" si="12"/>
        <v>4.1567800000000004</v>
      </c>
      <c r="X27" s="7">
        <f>'[1]Production Summary'!AB59</f>
        <v>123000.00000000466</v>
      </c>
      <c r="Y27" s="8">
        <f t="shared" si="13"/>
        <v>0.12300000000000466</v>
      </c>
      <c r="Z27" s="10">
        <f t="shared" si="14"/>
        <v>0.37761000000001427</v>
      </c>
      <c r="AA27" s="15"/>
      <c r="AB27" s="7">
        <f t="shared" si="16"/>
        <v>12678000.000000723</v>
      </c>
      <c r="AC27" s="8">
        <f t="shared" si="16"/>
        <v>12.678000000000722</v>
      </c>
      <c r="AD27" s="8">
        <f t="shared" si="16"/>
        <v>38.92146000000222</v>
      </c>
    </row>
    <row r="28" spans="1:30" x14ac:dyDescent="0.15">
      <c r="A28" s="1">
        <v>43063</v>
      </c>
      <c r="B28" s="7">
        <f>'[1]Production Summary'!J60</f>
        <v>7299999.9999992726</v>
      </c>
      <c r="C28" s="8">
        <f t="shared" si="0"/>
        <v>7.2999999999992724</v>
      </c>
      <c r="D28" s="10">
        <f t="shared" si="1"/>
        <v>22.410999999997767</v>
      </c>
      <c r="E28" s="7">
        <f>'[1]Production Summary'!E60</f>
        <v>3000000</v>
      </c>
      <c r="F28" s="8">
        <f t="shared" si="2"/>
        <v>3</v>
      </c>
      <c r="G28" s="10">
        <f t="shared" si="3"/>
        <v>9.2099999999999991</v>
      </c>
      <c r="H28" s="7">
        <f>'[1]Production Summary'!G60</f>
        <v>5030000</v>
      </c>
      <c r="I28" s="8">
        <f t="shared" si="15"/>
        <v>5.03</v>
      </c>
      <c r="J28" s="10">
        <f t="shared" si="4"/>
        <v>15.4421</v>
      </c>
      <c r="K28" s="7">
        <f>'[1]Production Summary'!T60</f>
        <v>754375</v>
      </c>
      <c r="L28" s="8">
        <f t="shared" si="17"/>
        <v>7.5437500000000005E-2</v>
      </c>
      <c r="M28" s="10">
        <f t="shared" si="6"/>
        <v>0.23159312500000001</v>
      </c>
      <c r="N28" s="21"/>
      <c r="O28" s="7">
        <f>'[1]Production Summary'!I60</f>
        <v>6184000.0000000009</v>
      </c>
      <c r="P28" s="8">
        <f t="shared" si="18"/>
        <v>6.1840000000000011</v>
      </c>
      <c r="Q28" s="10">
        <f t="shared" si="8"/>
        <v>18.984880000000004</v>
      </c>
      <c r="R28" s="7">
        <f>'[1]Production Summary'!C60</f>
        <v>6363000</v>
      </c>
      <c r="S28" s="8">
        <f t="shared" si="19"/>
        <v>6.3630000000000004</v>
      </c>
      <c r="T28" s="10">
        <f t="shared" si="10"/>
        <v>19.534410000000001</v>
      </c>
      <c r="U28" s="7">
        <f>'[1]Production Summary'!F60</f>
        <v>1556000</v>
      </c>
      <c r="V28" s="8">
        <f t="shared" si="11"/>
        <v>1.556</v>
      </c>
      <c r="W28" s="10">
        <f t="shared" si="12"/>
        <v>4.7769199999999996</v>
      </c>
      <c r="X28" s="7">
        <f>'[1]Production Summary'!AB60</f>
        <v>173999.99999999948</v>
      </c>
      <c r="Y28" s="8">
        <f t="shared" si="13"/>
        <v>0.17399999999999949</v>
      </c>
      <c r="Z28" s="10">
        <f t="shared" si="14"/>
        <v>0.53417999999999843</v>
      </c>
      <c r="AA28" s="15"/>
      <c r="AB28" s="7">
        <f t="shared" si="16"/>
        <v>13483999.999999274</v>
      </c>
      <c r="AC28" s="8">
        <f t="shared" si="16"/>
        <v>13.483999999999273</v>
      </c>
      <c r="AD28" s="8">
        <f t="shared" si="16"/>
        <v>41.395879999997774</v>
      </c>
    </row>
    <row r="29" spans="1:30" x14ac:dyDescent="0.15">
      <c r="A29" s="1">
        <v>43064</v>
      </c>
      <c r="B29" s="7">
        <f>'[1]Production Summary'!J61</f>
        <v>7200000.0000007274</v>
      </c>
      <c r="C29" s="8">
        <f t="shared" si="0"/>
        <v>7.2000000000007276</v>
      </c>
      <c r="D29" s="10">
        <f t="shared" si="1"/>
        <v>22.104000000002234</v>
      </c>
      <c r="E29" s="7">
        <f>'[1]Production Summary'!E61</f>
        <v>3000000</v>
      </c>
      <c r="F29" s="8">
        <f t="shared" si="2"/>
        <v>3</v>
      </c>
      <c r="G29" s="10">
        <f t="shared" si="3"/>
        <v>9.2099999999999991</v>
      </c>
      <c r="H29" s="7">
        <f>'[1]Production Summary'!G61</f>
        <v>5000000</v>
      </c>
      <c r="I29" s="8">
        <f t="shared" si="15"/>
        <v>5</v>
      </c>
      <c r="J29" s="10">
        <f t="shared" si="4"/>
        <v>15.35</v>
      </c>
      <c r="K29" s="7">
        <f>'[1]Production Summary'!T61</f>
        <v>768450</v>
      </c>
      <c r="L29" s="8">
        <f t="shared" si="17"/>
        <v>7.6844999999999997E-2</v>
      </c>
      <c r="M29" s="10">
        <f t="shared" si="6"/>
        <v>0.23591414999999999</v>
      </c>
      <c r="N29" s="21"/>
      <c r="O29" s="7">
        <f>'[1]Production Summary'!I61</f>
        <v>6081000.0000000047</v>
      </c>
      <c r="P29" s="8">
        <f t="shared" si="18"/>
        <v>6.0810000000000048</v>
      </c>
      <c r="Q29" s="10">
        <f t="shared" si="8"/>
        <v>18.668670000000013</v>
      </c>
      <c r="R29" s="7">
        <f>'[1]Production Summary'!C61</f>
        <v>6205000</v>
      </c>
      <c r="S29" s="8">
        <f t="shared" si="19"/>
        <v>6.2050000000000001</v>
      </c>
      <c r="T29" s="10">
        <f t="shared" si="10"/>
        <v>19.04935</v>
      </c>
      <c r="U29" s="7">
        <f>'[1]Production Summary'!F61</f>
        <v>1546000</v>
      </c>
      <c r="V29" s="8">
        <f t="shared" si="11"/>
        <v>1.546</v>
      </c>
      <c r="W29" s="10">
        <f t="shared" si="12"/>
        <v>4.7462200000000001</v>
      </c>
      <c r="X29" s="7">
        <f>'[1]Production Summary'!AB61</f>
        <v>120999.99999999511</v>
      </c>
      <c r="Y29" s="8">
        <f t="shared" si="13"/>
        <v>0.12099999999999511</v>
      </c>
      <c r="Z29" s="10">
        <f t="shared" si="14"/>
        <v>0.37146999999998498</v>
      </c>
      <c r="AA29" s="15"/>
      <c r="AB29" s="7">
        <f t="shared" si="16"/>
        <v>13281000.000000732</v>
      </c>
      <c r="AC29" s="8">
        <f t="shared" si="16"/>
        <v>13.281000000000732</v>
      </c>
      <c r="AD29" s="8">
        <f t="shared" si="16"/>
        <v>40.77267000000225</v>
      </c>
    </row>
    <row r="30" spans="1:30" x14ac:dyDescent="0.15">
      <c r="A30" s="1">
        <v>43065</v>
      </c>
      <c r="B30" s="7">
        <f>'[1]Production Summary'!J62</f>
        <v>7199999.9999998184</v>
      </c>
      <c r="C30" s="8">
        <f t="shared" si="0"/>
        <v>7.1999999999998181</v>
      </c>
      <c r="D30" s="10">
        <f t="shared" si="1"/>
        <v>22.103999999999441</v>
      </c>
      <c r="E30" s="7">
        <f>'[1]Production Summary'!E62</f>
        <v>3000000</v>
      </c>
      <c r="F30" s="8">
        <f t="shared" si="2"/>
        <v>3</v>
      </c>
      <c r="G30" s="10">
        <f t="shared" si="3"/>
        <v>9.2099999999999991</v>
      </c>
      <c r="H30" s="7">
        <f>'[1]Production Summary'!G62</f>
        <v>5000000</v>
      </c>
      <c r="I30" s="8">
        <f t="shared" si="15"/>
        <v>5</v>
      </c>
      <c r="J30" s="10">
        <f t="shared" si="4"/>
        <v>15.35</v>
      </c>
      <c r="K30" s="7">
        <f>'[1]Production Summary'!T62</f>
        <v>722999</v>
      </c>
      <c r="L30" s="8">
        <f t="shared" si="17"/>
        <v>7.22999E-2</v>
      </c>
      <c r="M30" s="10">
        <f t="shared" si="6"/>
        <v>0.22196069299999999</v>
      </c>
      <c r="N30" s="21"/>
      <c r="O30" s="7">
        <f>'[1]Production Summary'!I62</f>
        <v>4956999.9999999972</v>
      </c>
      <c r="P30" s="8">
        <f t="shared" si="18"/>
        <v>4.9569999999999972</v>
      </c>
      <c r="Q30" s="10">
        <f t="shared" si="8"/>
        <v>15.21798999999999</v>
      </c>
      <c r="R30" s="7">
        <f>'[1]Production Summary'!C62</f>
        <v>5153000</v>
      </c>
      <c r="S30" s="8">
        <f t="shared" si="19"/>
        <v>5.1529999999999996</v>
      </c>
      <c r="T30" s="10">
        <f t="shared" si="10"/>
        <v>15.819709999999997</v>
      </c>
      <c r="U30" s="7">
        <f>'[1]Production Summary'!F62</f>
        <v>1535000</v>
      </c>
      <c r="V30" s="8">
        <f t="shared" si="11"/>
        <v>1.5349999999999999</v>
      </c>
      <c r="W30" s="10">
        <f t="shared" si="12"/>
        <v>4.7124499999999996</v>
      </c>
      <c r="X30" s="7">
        <f>'[1]Production Summary'!AB62</f>
        <v>191000.0000000025</v>
      </c>
      <c r="Y30" s="8">
        <f t="shared" si="13"/>
        <v>0.1910000000000025</v>
      </c>
      <c r="Z30" s="10">
        <f t="shared" si="14"/>
        <v>0.58637000000000761</v>
      </c>
      <c r="AA30" s="15"/>
      <c r="AB30" s="7">
        <f t="shared" si="16"/>
        <v>12156999.999999816</v>
      </c>
      <c r="AC30" s="8">
        <f t="shared" si="16"/>
        <v>12.156999999999815</v>
      </c>
      <c r="AD30" s="8">
        <f>D30+Q30</f>
        <v>37.321989999999431</v>
      </c>
    </row>
    <row r="31" spans="1:30" x14ac:dyDescent="0.15">
      <c r="A31" s="1">
        <v>43066</v>
      </c>
      <c r="B31" s="7">
        <f>'[1]Production Summary'!J63</f>
        <v>7099999.9999994542</v>
      </c>
      <c r="C31" s="8">
        <f t="shared" si="0"/>
        <v>7.0999999999994543</v>
      </c>
      <c r="D31" s="10">
        <f t="shared" si="1"/>
        <v>21.796999999998324</v>
      </c>
      <c r="E31" s="7">
        <f>'[1]Production Summary'!E63</f>
        <v>3000000</v>
      </c>
      <c r="F31" s="8">
        <f t="shared" si="2"/>
        <v>3</v>
      </c>
      <c r="G31" s="10">
        <f t="shared" si="3"/>
        <v>9.2099999999999991</v>
      </c>
      <c r="H31" s="7">
        <f>'[1]Production Summary'!G63</f>
        <v>5010000</v>
      </c>
      <c r="I31" s="8">
        <f t="shared" si="15"/>
        <v>5.01</v>
      </c>
      <c r="J31" s="10">
        <f t="shared" si="4"/>
        <v>15.380699999999999</v>
      </c>
      <c r="K31" s="7">
        <f>'[1]Production Summary'!T63</f>
        <v>725736</v>
      </c>
      <c r="L31" s="8">
        <f t="shared" si="17"/>
        <v>7.2573600000000002E-2</v>
      </c>
      <c r="M31" s="10">
        <f t="shared" si="6"/>
        <v>0.222800952</v>
      </c>
      <c r="N31" s="21"/>
      <c r="O31" s="7">
        <f>'[1]Production Summary'!I63</f>
        <v>4961999.9999999981</v>
      </c>
      <c r="P31" s="8">
        <f t="shared" si="18"/>
        <v>4.961999999999998</v>
      </c>
      <c r="Q31" s="10">
        <f t="shared" si="8"/>
        <v>15.233339999999993</v>
      </c>
      <c r="R31" s="7">
        <f>'[1]Production Summary'!C63</f>
        <v>5074000</v>
      </c>
      <c r="S31" s="8">
        <f t="shared" si="19"/>
        <v>5.0739999999999998</v>
      </c>
      <c r="T31" s="10">
        <f t="shared" si="10"/>
        <v>15.577179999999998</v>
      </c>
      <c r="U31" s="7">
        <f>'[1]Production Summary'!F63</f>
        <v>1533000</v>
      </c>
      <c r="V31" s="8">
        <f t="shared" si="11"/>
        <v>1.5329999999999999</v>
      </c>
      <c r="W31" s="10">
        <f t="shared" si="12"/>
        <v>4.7063099999999993</v>
      </c>
      <c r="X31" s="7">
        <f>'[1]Production Summary'!AB63</f>
        <v>109000.00000000176</v>
      </c>
      <c r="Y31" s="8">
        <f t="shared" si="13"/>
        <v>0.10900000000000176</v>
      </c>
      <c r="Z31" s="10">
        <f t="shared" si="14"/>
        <v>0.33463000000000537</v>
      </c>
      <c r="AA31" s="15"/>
      <c r="AB31" s="7">
        <f t="shared" si="16"/>
        <v>12061999.999999452</v>
      </c>
      <c r="AC31" s="8">
        <f t="shared" si="16"/>
        <v>12.061999999999452</v>
      </c>
      <c r="AD31" s="8">
        <f t="shared" si="16"/>
        <v>37.030339999998318</v>
      </c>
    </row>
    <row r="32" spans="1:30" x14ac:dyDescent="0.15">
      <c r="A32" s="1">
        <v>43067</v>
      </c>
      <c r="B32" s="7">
        <f>'[1]Production Summary'!J64</f>
        <v>7200000.0000007274</v>
      </c>
      <c r="C32" s="8">
        <f t="shared" si="0"/>
        <v>7.2000000000007276</v>
      </c>
      <c r="D32" s="10">
        <f t="shared" si="1"/>
        <v>22.104000000002234</v>
      </c>
      <c r="E32" s="7">
        <f>'[1]Production Summary'!E64</f>
        <v>3000000</v>
      </c>
      <c r="F32" s="8">
        <f t="shared" si="2"/>
        <v>3</v>
      </c>
      <c r="G32" s="10">
        <f t="shared" si="3"/>
        <v>9.2099999999999991</v>
      </c>
      <c r="H32" s="7">
        <f>'[1]Production Summary'!G64</f>
        <v>4980000</v>
      </c>
      <c r="I32" s="8">
        <f t="shared" si="15"/>
        <v>4.9800000000000004</v>
      </c>
      <c r="J32" s="10">
        <f t="shared" si="4"/>
        <v>15.288600000000001</v>
      </c>
      <c r="K32" s="7">
        <f>'[1]Production Summary'!T64</f>
        <v>722017</v>
      </c>
      <c r="L32" s="8">
        <f t="shared" si="17"/>
        <v>7.2201699999999994E-2</v>
      </c>
      <c r="M32" s="10">
        <f t="shared" si="6"/>
        <v>0.22165921899999996</v>
      </c>
      <c r="N32" s="21"/>
      <c r="O32" s="7">
        <f>'[1]Production Summary'!I64</f>
        <v>5720000.0000000028</v>
      </c>
      <c r="P32" s="8">
        <f t="shared" si="18"/>
        <v>5.7200000000000024</v>
      </c>
      <c r="Q32" s="10">
        <f t="shared" si="8"/>
        <v>17.560400000000005</v>
      </c>
      <c r="R32" s="7">
        <f>'[1]Production Summary'!C64</f>
        <v>5843000</v>
      </c>
      <c r="S32" s="8">
        <f t="shared" si="19"/>
        <v>5.843</v>
      </c>
      <c r="T32" s="10">
        <f t="shared" si="10"/>
        <v>17.938009999999998</v>
      </c>
      <c r="U32" s="7">
        <f>'[1]Production Summary'!F64</f>
        <v>1515000</v>
      </c>
      <c r="V32" s="8">
        <f t="shared" si="11"/>
        <v>1.5149999999999999</v>
      </c>
      <c r="W32" s="10">
        <f t="shared" si="12"/>
        <v>4.6510499999999997</v>
      </c>
      <c r="X32" s="7">
        <f>'[1]Production Summary'!AB64</f>
        <v>119999.99999999744</v>
      </c>
      <c r="Y32" s="8">
        <f t="shared" si="13"/>
        <v>0.11999999999999744</v>
      </c>
      <c r="Z32" s="10">
        <f t="shared" si="14"/>
        <v>0.36839999999999212</v>
      </c>
      <c r="AA32" s="15"/>
      <c r="AB32" s="7">
        <f t="shared" si="16"/>
        <v>12920000.00000073</v>
      </c>
      <c r="AC32" s="8">
        <f t="shared" si="16"/>
        <v>12.92000000000073</v>
      </c>
      <c r="AD32" s="8">
        <f t="shared" si="16"/>
        <v>39.664400000002239</v>
      </c>
    </row>
    <row r="33" spans="1:30" x14ac:dyDescent="0.15">
      <c r="A33" s="1">
        <v>43068</v>
      </c>
      <c r="B33" s="7">
        <f>'[1]Production Summary'!J65</f>
        <v>7099999.9999994542</v>
      </c>
      <c r="C33" s="8">
        <f t="shared" si="0"/>
        <v>7.0999999999994543</v>
      </c>
      <c r="D33" s="10">
        <f t="shared" si="1"/>
        <v>21.796999999998324</v>
      </c>
      <c r="E33" s="7">
        <f>'[1]Production Summary'!E65</f>
        <v>3000000</v>
      </c>
      <c r="F33" s="8">
        <f t="shared" si="2"/>
        <v>3</v>
      </c>
      <c r="G33" s="10">
        <f t="shared" si="3"/>
        <v>9.2099999999999991</v>
      </c>
      <c r="H33" s="7">
        <f>'[1]Production Summary'!G65</f>
        <v>4980000</v>
      </c>
      <c r="I33" s="8">
        <f t="shared" si="15"/>
        <v>4.9800000000000004</v>
      </c>
      <c r="J33" s="10">
        <f t="shared" si="4"/>
        <v>15.288600000000001</v>
      </c>
      <c r="K33" s="7">
        <f>'[1]Production Summary'!T65</f>
        <v>745873</v>
      </c>
      <c r="L33" s="8">
        <f t="shared" si="17"/>
        <v>7.4587299999999995E-2</v>
      </c>
      <c r="M33" s="10">
        <f t="shared" si="6"/>
        <v>0.22898301099999999</v>
      </c>
      <c r="N33" s="21"/>
      <c r="O33" s="7">
        <f>'[1]Production Summary'!I65</f>
        <v>6486000</v>
      </c>
      <c r="P33" s="8">
        <f t="shared" si="18"/>
        <v>6.4859999999999998</v>
      </c>
      <c r="Q33" s="10">
        <f t="shared" si="8"/>
        <v>19.912019999999998</v>
      </c>
      <c r="R33" s="7">
        <f>'[1]Production Summary'!C65</f>
        <v>6617000</v>
      </c>
      <c r="S33" s="8">
        <f t="shared" si="19"/>
        <v>6.617</v>
      </c>
      <c r="T33" s="10">
        <f t="shared" si="10"/>
        <v>20.31419</v>
      </c>
      <c r="U33" s="7">
        <f>'[1]Production Summary'!F65</f>
        <v>1523000</v>
      </c>
      <c r="V33" s="8">
        <f t="shared" si="11"/>
        <v>1.5229999999999999</v>
      </c>
      <c r="W33" s="10">
        <f t="shared" si="12"/>
        <v>4.6756099999999998</v>
      </c>
      <c r="X33" s="7">
        <f>'[1]Production Summary'!AB65</f>
        <v>128000.00000000012</v>
      </c>
      <c r="Y33" s="8">
        <f t="shared" si="13"/>
        <v>0.12800000000000011</v>
      </c>
      <c r="Z33" s="10">
        <f t="shared" si="14"/>
        <v>0.39296000000000031</v>
      </c>
      <c r="AA33" s="15"/>
      <c r="AB33" s="7">
        <f t="shared" si="16"/>
        <v>13585999.999999454</v>
      </c>
      <c r="AC33" s="8">
        <f t="shared" si="16"/>
        <v>13.585999999999455</v>
      </c>
      <c r="AD33" s="8">
        <f t="shared" si="16"/>
        <v>41.709019999998318</v>
      </c>
    </row>
    <row r="34" spans="1:30" ht="14" thickBot="1" x14ac:dyDescent="0.2">
      <c r="A34" s="1">
        <v>43069</v>
      </c>
      <c r="B34" s="7">
        <f>'[1]Production Summary'!J66</f>
        <v>4900000.0000005458</v>
      </c>
      <c r="C34" s="8">
        <f t="shared" si="0"/>
        <v>4.9000000000005457</v>
      </c>
      <c r="D34" s="10">
        <f t="shared" si="1"/>
        <v>15.043000000001674</v>
      </c>
      <c r="E34" s="7">
        <f>'[1]Production Summary'!E66</f>
        <v>1000000</v>
      </c>
      <c r="F34" s="8">
        <f t="shared" si="2"/>
        <v>1</v>
      </c>
      <c r="G34" s="10">
        <f t="shared" si="3"/>
        <v>3.07</v>
      </c>
      <c r="H34" s="7">
        <f>'[1]Production Summary'!G66</f>
        <v>4940000</v>
      </c>
      <c r="I34" s="8">
        <f t="shared" si="15"/>
        <v>4.9400000000000004</v>
      </c>
      <c r="J34" s="10">
        <f t="shared" si="4"/>
        <v>15.165800000000001</v>
      </c>
      <c r="K34" s="7">
        <f>'[1]Production Summary'!T66</f>
        <v>635315</v>
      </c>
      <c r="L34" s="8">
        <f t="shared" si="17"/>
        <v>6.3531500000000005E-2</v>
      </c>
      <c r="M34" s="10">
        <f t="shared" si="6"/>
        <v>0.19504170500000001</v>
      </c>
      <c r="N34" s="21"/>
      <c r="O34" s="7">
        <f>'[1]Production Summary'!I66</f>
        <v>8322999.9999999981</v>
      </c>
      <c r="P34" s="8">
        <f t="shared" si="18"/>
        <v>8.3229999999999986</v>
      </c>
      <c r="Q34" s="10">
        <f t="shared" si="8"/>
        <v>25.551609999999993</v>
      </c>
      <c r="R34" s="7">
        <f>'[1]Production Summary'!C66</f>
        <v>8495000</v>
      </c>
      <c r="S34" s="8">
        <f t="shared" si="19"/>
        <v>8.4949999999999992</v>
      </c>
      <c r="T34" s="10">
        <f t="shared" si="10"/>
        <v>26.079649999999997</v>
      </c>
      <c r="U34" s="7">
        <f>'[1]Production Summary'!F66</f>
        <v>678000</v>
      </c>
      <c r="V34" s="8">
        <f t="shared" si="11"/>
        <v>0.67800000000000005</v>
      </c>
      <c r="W34" s="10">
        <f t="shared" si="12"/>
        <v>2.0814599999999999</v>
      </c>
      <c r="X34" s="7">
        <f>'[1]Production Summary'!AB66</f>
        <v>167000.0000000016</v>
      </c>
      <c r="Y34" s="8">
        <f t="shared" si="13"/>
        <v>0.16700000000000159</v>
      </c>
      <c r="Z34" s="10">
        <f t="shared" si="14"/>
        <v>0.51269000000000486</v>
      </c>
      <c r="AA34" s="15"/>
      <c r="AB34" s="7">
        <f t="shared" si="16"/>
        <v>13223000.000000544</v>
      </c>
      <c r="AC34" s="8">
        <f t="shared" si="16"/>
        <v>13.223000000000544</v>
      </c>
      <c r="AD34" s="8">
        <f t="shared" si="16"/>
        <v>40.594610000001666</v>
      </c>
    </row>
    <row r="35" spans="1:30" ht="14" thickBot="1" x14ac:dyDescent="0.2">
      <c r="A35" s="20"/>
      <c r="B35" s="37"/>
      <c r="C35" s="38">
        <f>SUM(C5:C34)</f>
        <v>316</v>
      </c>
      <c r="D35" s="38">
        <f>SUM(D5:D34)</f>
        <v>970.11999999999989</v>
      </c>
      <c r="E35" s="37"/>
      <c r="F35" s="38">
        <f>SUM(F5:F34)</f>
        <v>92</v>
      </c>
      <c r="G35" s="38">
        <f>SUM(G5:G34)</f>
        <v>282.44</v>
      </c>
      <c r="H35" s="37"/>
      <c r="I35" s="38">
        <f>SUM(I5:I34)</f>
        <v>258.22999999999996</v>
      </c>
      <c r="J35" s="38">
        <f>SUM(J5:J34)</f>
        <v>792.76610000000005</v>
      </c>
      <c r="K35" s="37"/>
      <c r="L35" s="38">
        <f>SUM(L5:L34)</f>
        <v>3.1200312499999994</v>
      </c>
      <c r="M35" s="38">
        <f>SUM(M5:M34)</f>
        <v>9.5784959374999978</v>
      </c>
      <c r="N35" s="14"/>
      <c r="O35" s="37"/>
      <c r="P35" s="38">
        <f>SUM(P5:P34)</f>
        <v>59.569000000000003</v>
      </c>
      <c r="Q35" s="38">
        <f>SUM(Q5:Q34)</f>
        <v>182.87682999999998</v>
      </c>
      <c r="R35" s="37"/>
      <c r="S35" s="38">
        <f>SUM(S5:S34)</f>
        <v>61.036999999999992</v>
      </c>
      <c r="T35" s="38">
        <f>SUM(T5:T34)</f>
        <v>187.38359</v>
      </c>
      <c r="U35" s="37"/>
      <c r="V35" s="38">
        <f>SUM(V5:V34)</f>
        <v>16.535</v>
      </c>
      <c r="W35" s="38">
        <f>SUM(W5:W34)</f>
        <v>50.762449999999994</v>
      </c>
      <c r="X35" s="37"/>
      <c r="Y35" s="38">
        <f>SUM(Y5:Y34)</f>
        <v>2.1199999999999974</v>
      </c>
      <c r="Z35" s="38">
        <f>SUM(Z5:Z34)</f>
        <v>6.5083999999999911</v>
      </c>
      <c r="AA35" s="14"/>
      <c r="AB35" s="37">
        <f t="shared" si="16"/>
        <v>0</v>
      </c>
      <c r="AC35" s="38">
        <f t="shared" si="16"/>
        <v>375.56900000000002</v>
      </c>
      <c r="AD35" s="38">
        <f t="shared" si="16"/>
        <v>1152.9968299999998</v>
      </c>
    </row>
    <row r="36" spans="1:30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29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pageSetup scale="7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37"/>
  <sheetViews>
    <sheetView workbookViewId="0">
      <pane xSplit="1" ySplit="4" topLeftCell="N23" activePane="bottomRight" state="frozen"/>
      <selection pane="topRight" activeCell="B1" sqref="B1"/>
      <selection pane="bottomLeft" activeCell="A5" sqref="A5"/>
      <selection pane="bottomRight" activeCell="J5" sqref="J5:J9"/>
    </sheetView>
  </sheetViews>
  <sheetFormatPr baseColWidth="10" defaultColWidth="8.83203125" defaultRowHeight="13" x14ac:dyDescent="0.15"/>
  <cols>
    <col min="2" max="2" width="14.5" bestFit="1" customWidth="1"/>
    <col min="5" max="5" width="11" customWidth="1"/>
    <col min="8" max="8" width="13.5" bestFit="1" customWidth="1"/>
    <col min="11" max="11" width="10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15">
      <c r="B1" s="39"/>
      <c r="C1" s="25"/>
      <c r="D1" s="25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4" thickBot="1" x14ac:dyDescent="0.2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">
      <c r="A3" s="3"/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6</v>
      </c>
      <c r="V3" s="63"/>
      <c r="W3" s="64"/>
      <c r="X3" s="62" t="s">
        <v>7</v>
      </c>
      <c r="Y3" s="63"/>
      <c r="Z3" s="64"/>
      <c r="AA3" s="19"/>
      <c r="AB3" s="59" t="s">
        <v>8</v>
      </c>
      <c r="AC3" s="60"/>
      <c r="AD3" s="61"/>
    </row>
    <row r="4" spans="1:30" x14ac:dyDescent="0.1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54">
        <f>J5+G5</f>
        <v>13.876399999999999</v>
      </c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15">
      <c r="A5" s="1">
        <v>43070</v>
      </c>
      <c r="B5" s="7">
        <f>'[1]Production Summary'!J67</f>
        <v>0</v>
      </c>
      <c r="C5" s="8">
        <f t="shared" ref="C5:C35" si="0">B5/1000000</f>
        <v>0</v>
      </c>
      <c r="D5" s="10">
        <f t="shared" ref="D5:D35" si="1">C5*3.07</f>
        <v>0</v>
      </c>
      <c r="E5" s="7">
        <f>'[1]Production Summary'!E67</f>
        <v>0</v>
      </c>
      <c r="F5" s="8">
        <f t="shared" ref="F5:F35" si="2">E5/1000000</f>
        <v>0</v>
      </c>
      <c r="G5" s="10">
        <f t="shared" ref="G5:G35" si="3">F5*3.07</f>
        <v>0</v>
      </c>
      <c r="H5" s="7">
        <f>'[1]Production Summary'!G67</f>
        <v>4520000</v>
      </c>
      <c r="I5" s="8">
        <f t="shared" ref="I5:I33" si="4">H5/1000000</f>
        <v>4.5199999999999996</v>
      </c>
      <c r="J5" s="10">
        <f t="shared" ref="J5:J35" si="5">I5*3.07</f>
        <v>13.876399999999999</v>
      </c>
      <c r="K5" s="7">
        <f>'[1]Production Summary'!T67</f>
        <v>6151</v>
      </c>
      <c r="L5" s="8">
        <f t="shared" ref="L5:L35" si="6">K5/1000000</f>
        <v>6.1510000000000002E-3</v>
      </c>
      <c r="M5" s="10">
        <f t="shared" ref="M5:M35" si="7">L5*3.07</f>
        <v>1.8883569999999999E-2</v>
      </c>
      <c r="N5" s="54">
        <f t="shared" ref="N5:N15" si="8">J6+G6</f>
        <v>15.2272</v>
      </c>
      <c r="O5" s="7">
        <f>'[1]Production Summary'!I67</f>
        <v>11767999.999999998</v>
      </c>
      <c r="P5" s="8">
        <f t="shared" ref="P5:P35" si="9">O5/1000000</f>
        <v>11.767999999999999</v>
      </c>
      <c r="Q5" s="10">
        <f t="shared" ref="Q5:Q35" si="10">P5*3.07</f>
        <v>36.127759999999995</v>
      </c>
      <c r="R5" s="7">
        <f>'[1]Production Summary'!C67</f>
        <v>12086000</v>
      </c>
      <c r="S5" s="8">
        <f t="shared" ref="S5:S35" si="11">R5/1000000</f>
        <v>12.086</v>
      </c>
      <c r="T5" s="10">
        <f t="shared" ref="T5:T35" si="12">S5*3.07</f>
        <v>37.104019999999998</v>
      </c>
      <c r="U5" s="7">
        <f>'[1]Production Summary'!F67</f>
        <v>0</v>
      </c>
      <c r="V5" s="8">
        <f t="shared" ref="V5:V35" si="13">U5/1000000</f>
        <v>0</v>
      </c>
      <c r="W5" s="10">
        <f t="shared" ref="W5:W35" si="14">V5*3.07</f>
        <v>0</v>
      </c>
      <c r="X5" s="7">
        <f>'[1]Production Summary'!AB67</f>
        <v>310000.00000000227</v>
      </c>
      <c r="Y5" s="8">
        <f t="shared" ref="Y5:Y35" si="15">X5/1000000</f>
        <v>0.31000000000000227</v>
      </c>
      <c r="Z5" s="10">
        <f t="shared" ref="Z5:Z35" si="16">Y5*3.07</f>
        <v>0.95170000000000698</v>
      </c>
      <c r="AA5" s="15"/>
      <c r="AB5" s="7">
        <f>B5+O5</f>
        <v>11767999.999999998</v>
      </c>
      <c r="AC5" s="8">
        <f>C5+P5</f>
        <v>11.767999999999999</v>
      </c>
      <c r="AD5" s="8">
        <f>D5+Q5</f>
        <v>36.127759999999995</v>
      </c>
    </row>
    <row r="6" spans="1:30" x14ac:dyDescent="0.15">
      <c r="A6" s="1">
        <v>43071</v>
      </c>
      <c r="B6" s="7">
        <f>'[1]Production Summary'!J68</f>
        <v>0</v>
      </c>
      <c r="C6" s="8">
        <f t="shared" si="0"/>
        <v>0</v>
      </c>
      <c r="D6" s="10">
        <f t="shared" si="1"/>
        <v>0</v>
      </c>
      <c r="E6" s="7">
        <f>'[1]Production Summary'!E68</f>
        <v>0</v>
      </c>
      <c r="F6" s="8">
        <f t="shared" si="2"/>
        <v>0</v>
      </c>
      <c r="G6" s="10">
        <f t="shared" si="3"/>
        <v>0</v>
      </c>
      <c r="H6" s="7">
        <f>'[1]Production Summary'!G68</f>
        <v>4960000</v>
      </c>
      <c r="I6" s="8">
        <f t="shared" si="4"/>
        <v>4.96</v>
      </c>
      <c r="J6" s="10">
        <f t="shared" si="5"/>
        <v>15.2272</v>
      </c>
      <c r="K6" s="7">
        <f>'[1]Production Summary'!T68</f>
        <v>456746</v>
      </c>
      <c r="L6" s="8">
        <f t="shared" si="6"/>
        <v>0.45674599999999999</v>
      </c>
      <c r="M6" s="10">
        <f t="shared" si="7"/>
        <v>1.40221022</v>
      </c>
      <c r="N6" s="54">
        <f t="shared" si="8"/>
        <v>15.411399999999999</v>
      </c>
      <c r="O6" s="7">
        <f>'[1]Production Summary'!I68</f>
        <v>11911000.000000004</v>
      </c>
      <c r="P6" s="8">
        <f t="shared" si="9"/>
        <v>11.911000000000003</v>
      </c>
      <c r="Q6" s="10">
        <f t="shared" si="10"/>
        <v>36.566770000000005</v>
      </c>
      <c r="R6" s="7">
        <f>'[1]Production Summary'!C68</f>
        <v>12022000</v>
      </c>
      <c r="S6" s="8">
        <f t="shared" si="11"/>
        <v>12.022</v>
      </c>
      <c r="T6" s="10">
        <f t="shared" si="12"/>
        <v>36.907539999999997</v>
      </c>
      <c r="U6" s="7">
        <f>'[1]Production Summary'!F68</f>
        <v>0</v>
      </c>
      <c r="V6" s="8">
        <f t="shared" si="13"/>
        <v>0</v>
      </c>
      <c r="W6" s="10">
        <f t="shared" si="14"/>
        <v>0</v>
      </c>
      <c r="X6" s="7">
        <f>'[1]Production Summary'!AB68</f>
        <v>107999.99999999699</v>
      </c>
      <c r="Y6" s="8">
        <f t="shared" si="15"/>
        <v>0.10799999999999699</v>
      </c>
      <c r="Z6" s="10">
        <f t="shared" si="16"/>
        <v>0.33155999999999075</v>
      </c>
      <c r="AA6" s="15"/>
      <c r="AB6" s="7">
        <f t="shared" ref="AB6:AD35" si="17">B6+O6</f>
        <v>11911000.000000004</v>
      </c>
      <c r="AC6" s="8">
        <f t="shared" si="17"/>
        <v>11.911000000000003</v>
      </c>
      <c r="AD6" s="8">
        <f t="shared" si="17"/>
        <v>36.566770000000005</v>
      </c>
    </row>
    <row r="7" spans="1:30" x14ac:dyDescent="0.15">
      <c r="A7" s="1">
        <v>43072</v>
      </c>
      <c r="B7" s="7">
        <f>'[1]Production Summary'!J69</f>
        <v>0</v>
      </c>
      <c r="C7" s="8">
        <f t="shared" si="0"/>
        <v>0</v>
      </c>
      <c r="D7" s="10">
        <f t="shared" si="1"/>
        <v>0</v>
      </c>
      <c r="E7" s="7">
        <f>'[1]Production Summary'!E69</f>
        <v>0</v>
      </c>
      <c r="F7" s="8">
        <f t="shared" si="2"/>
        <v>0</v>
      </c>
      <c r="G7" s="10">
        <f t="shared" si="3"/>
        <v>0</v>
      </c>
      <c r="H7" s="7">
        <f>'[1]Production Summary'!G69</f>
        <v>5020000</v>
      </c>
      <c r="I7" s="8">
        <f t="shared" si="4"/>
        <v>5.0199999999999996</v>
      </c>
      <c r="J7" s="10">
        <f t="shared" si="5"/>
        <v>15.411399999999999</v>
      </c>
      <c r="K7" s="7">
        <f>'[1]Production Summary'!T69</f>
        <v>0</v>
      </c>
      <c r="L7" s="8">
        <f t="shared" si="6"/>
        <v>0</v>
      </c>
      <c r="M7" s="10">
        <f t="shared" si="7"/>
        <v>0</v>
      </c>
      <c r="N7" s="54">
        <f t="shared" si="8"/>
        <v>14.828099999999999</v>
      </c>
      <c r="O7" s="7">
        <f>'[1]Production Summary'!I69</f>
        <v>12799999.999999998</v>
      </c>
      <c r="P7" s="8">
        <f t="shared" si="9"/>
        <v>12.799999999999999</v>
      </c>
      <c r="Q7" s="10">
        <f t="shared" si="10"/>
        <v>39.295999999999992</v>
      </c>
      <c r="R7" s="7">
        <f>'[1]Production Summary'!C69</f>
        <v>13056000</v>
      </c>
      <c r="S7" s="8">
        <f t="shared" si="11"/>
        <v>13.055999999999999</v>
      </c>
      <c r="T7" s="10">
        <f t="shared" si="12"/>
        <v>40.081919999999997</v>
      </c>
      <c r="U7" s="7">
        <f>'[1]Production Summary'!F69</f>
        <v>0</v>
      </c>
      <c r="V7" s="8">
        <f t="shared" si="13"/>
        <v>0</v>
      </c>
      <c r="W7" s="10">
        <f t="shared" si="14"/>
        <v>0</v>
      </c>
      <c r="X7" s="7">
        <f>'[1]Production Summary'!AB69</f>
        <v>249000.00000000233</v>
      </c>
      <c r="Y7" s="8">
        <f t="shared" si="15"/>
        <v>0.24900000000000233</v>
      </c>
      <c r="Z7" s="10">
        <f t="shared" si="16"/>
        <v>0.76443000000000716</v>
      </c>
      <c r="AA7" s="15"/>
      <c r="AB7" s="7">
        <f t="shared" si="17"/>
        <v>12799999.999999998</v>
      </c>
      <c r="AC7" s="8">
        <f t="shared" si="17"/>
        <v>12.799999999999999</v>
      </c>
      <c r="AD7" s="8">
        <f t="shared" si="17"/>
        <v>39.295999999999992</v>
      </c>
    </row>
    <row r="8" spans="1:30" x14ac:dyDescent="0.15">
      <c r="A8" s="1">
        <v>43073</v>
      </c>
      <c r="B8" s="7">
        <f>'[1]Production Summary'!J70</f>
        <v>0</v>
      </c>
      <c r="C8" s="8">
        <f t="shared" si="0"/>
        <v>0</v>
      </c>
      <c r="D8" s="10">
        <f t="shared" si="1"/>
        <v>0</v>
      </c>
      <c r="E8" s="7">
        <f>'[1]Production Summary'!E70</f>
        <v>0</v>
      </c>
      <c r="F8" s="8">
        <f t="shared" si="2"/>
        <v>0</v>
      </c>
      <c r="G8" s="10">
        <f t="shared" si="3"/>
        <v>0</v>
      </c>
      <c r="H8" s="7">
        <f>'[1]Production Summary'!G70</f>
        <v>4830000</v>
      </c>
      <c r="I8" s="8">
        <f t="shared" si="4"/>
        <v>4.83</v>
      </c>
      <c r="J8" s="10">
        <f t="shared" si="5"/>
        <v>14.828099999999999</v>
      </c>
      <c r="K8" s="7">
        <f>'[1]Production Summary'!T70</f>
        <v>0</v>
      </c>
      <c r="L8" s="8">
        <f t="shared" si="6"/>
        <v>0</v>
      </c>
      <c r="M8" s="10">
        <f t="shared" si="7"/>
        <v>0</v>
      </c>
      <c r="N8" s="54">
        <f t="shared" si="8"/>
        <v>15.595599999999999</v>
      </c>
      <c r="O8" s="7">
        <f>'[1]Production Summary'!I70</f>
        <v>12745000.000000006</v>
      </c>
      <c r="P8" s="8">
        <f t="shared" si="9"/>
        <v>12.745000000000006</v>
      </c>
      <c r="Q8" s="10">
        <f t="shared" si="10"/>
        <v>39.127150000000015</v>
      </c>
      <c r="R8" s="7">
        <f>'[1]Production Summary'!C70</f>
        <v>13054000</v>
      </c>
      <c r="S8" s="8">
        <f t="shared" si="11"/>
        <v>13.054</v>
      </c>
      <c r="T8" s="10">
        <f t="shared" si="12"/>
        <v>40.075780000000002</v>
      </c>
      <c r="U8" s="7">
        <f>'[1]Production Summary'!F70</f>
        <v>0</v>
      </c>
      <c r="V8" s="8">
        <f t="shared" si="13"/>
        <v>0</v>
      </c>
      <c r="W8" s="10">
        <f t="shared" si="14"/>
        <v>0</v>
      </c>
      <c r="X8" s="7">
        <f>'[1]Production Summary'!AB70</f>
        <v>300999.99999999482</v>
      </c>
      <c r="Y8" s="8">
        <f t="shared" si="15"/>
        <v>0.30099999999999483</v>
      </c>
      <c r="Z8" s="10">
        <f t="shared" si="16"/>
        <v>0.92406999999998407</v>
      </c>
      <c r="AA8" s="15"/>
      <c r="AB8" s="7">
        <f t="shared" si="17"/>
        <v>12745000.000000006</v>
      </c>
      <c r="AC8" s="8">
        <f t="shared" si="17"/>
        <v>12.745000000000006</v>
      </c>
      <c r="AD8" s="8">
        <f>D8+Q8</f>
        <v>39.127150000000015</v>
      </c>
    </row>
    <row r="9" spans="1:30" x14ac:dyDescent="0.15">
      <c r="A9" s="1">
        <v>43074</v>
      </c>
      <c r="B9" s="7">
        <f>'[1]Production Summary'!J71</f>
        <v>0</v>
      </c>
      <c r="C9" s="8">
        <f t="shared" si="0"/>
        <v>0</v>
      </c>
      <c r="D9" s="10">
        <f t="shared" si="1"/>
        <v>0</v>
      </c>
      <c r="E9" s="7">
        <f>'[1]Production Summary'!E71</f>
        <v>3000000</v>
      </c>
      <c r="F9" s="8">
        <f t="shared" si="2"/>
        <v>3</v>
      </c>
      <c r="G9" s="10">
        <f t="shared" si="3"/>
        <v>9.2099999999999991</v>
      </c>
      <c r="H9" s="7">
        <f>'[1]Production Summary'!G71</f>
        <v>2080000</v>
      </c>
      <c r="I9" s="8">
        <f t="shared" si="4"/>
        <v>2.08</v>
      </c>
      <c r="J9" s="10">
        <f t="shared" si="5"/>
        <v>6.3856000000000002</v>
      </c>
      <c r="K9" s="7">
        <f>'[1]Production Summary'!T71</f>
        <v>0</v>
      </c>
      <c r="L9" s="8">
        <f t="shared" si="6"/>
        <v>0</v>
      </c>
      <c r="M9" s="10">
        <f t="shared" si="7"/>
        <v>0</v>
      </c>
      <c r="N9" s="54">
        <f t="shared" si="8"/>
        <v>15.35</v>
      </c>
      <c r="O9" s="7">
        <f>'[1]Production Summary'!I71</f>
        <v>12867999.999999994</v>
      </c>
      <c r="P9" s="8">
        <f t="shared" si="9"/>
        <v>12.867999999999995</v>
      </c>
      <c r="Q9" s="10">
        <f t="shared" si="10"/>
        <v>39.504759999999983</v>
      </c>
      <c r="R9" s="7">
        <f>'[1]Production Summary'!C71</f>
        <v>13103000</v>
      </c>
      <c r="S9" s="8">
        <f t="shared" si="11"/>
        <v>13.103</v>
      </c>
      <c r="T9" s="10">
        <f t="shared" si="12"/>
        <v>40.226209999999995</v>
      </c>
      <c r="U9" s="7">
        <f>'[1]Production Summary'!F71</f>
        <v>0</v>
      </c>
      <c r="V9" s="8">
        <f t="shared" si="13"/>
        <v>0</v>
      </c>
      <c r="W9" s="10">
        <f t="shared" si="14"/>
        <v>0</v>
      </c>
      <c r="X9" s="7">
        <f>'[1]Production Summary'!AB71</f>
        <v>229000.00000000632</v>
      </c>
      <c r="Y9" s="8">
        <f t="shared" si="15"/>
        <v>0.22900000000000631</v>
      </c>
      <c r="Z9" s="10">
        <f t="shared" si="16"/>
        <v>0.70303000000001936</v>
      </c>
      <c r="AA9" s="15"/>
      <c r="AB9" s="7">
        <f t="shared" si="17"/>
        <v>12867999.999999994</v>
      </c>
      <c r="AC9" s="8">
        <f t="shared" si="17"/>
        <v>12.867999999999995</v>
      </c>
      <c r="AD9" s="8">
        <f t="shared" si="17"/>
        <v>39.504759999999983</v>
      </c>
    </row>
    <row r="10" spans="1:30" x14ac:dyDescent="0.15">
      <c r="A10" s="1">
        <v>43075</v>
      </c>
      <c r="B10" s="7">
        <f>'[1]Production Summary'!J72</f>
        <v>0</v>
      </c>
      <c r="C10" s="8">
        <f t="shared" si="0"/>
        <v>0</v>
      </c>
      <c r="D10" s="10">
        <f t="shared" si="1"/>
        <v>0</v>
      </c>
      <c r="E10" s="7">
        <f>'[1]Production Summary'!E72</f>
        <v>5000000</v>
      </c>
      <c r="F10" s="8">
        <f t="shared" si="2"/>
        <v>5</v>
      </c>
      <c r="G10" s="10">
        <f t="shared" si="3"/>
        <v>15.35</v>
      </c>
      <c r="H10" s="7">
        <f>'[1]Production Summary'!G72</f>
        <v>0</v>
      </c>
      <c r="I10" s="8">
        <f t="shared" si="4"/>
        <v>0</v>
      </c>
      <c r="J10" s="10">
        <f t="shared" si="5"/>
        <v>0</v>
      </c>
      <c r="K10" s="7">
        <f>'[1]Production Summary'!T72</f>
        <v>389197</v>
      </c>
      <c r="L10" s="8">
        <f t="shared" si="6"/>
        <v>0.38919700000000002</v>
      </c>
      <c r="M10" s="10">
        <f t="shared" si="7"/>
        <v>1.19483479</v>
      </c>
      <c r="N10" s="54">
        <f t="shared" si="8"/>
        <v>15.35</v>
      </c>
      <c r="O10" s="7">
        <f>'[1]Production Summary'!I72</f>
        <v>13104000.000000006</v>
      </c>
      <c r="P10" s="8">
        <f t="shared" si="9"/>
        <v>13.104000000000006</v>
      </c>
      <c r="Q10" s="10">
        <f t="shared" si="10"/>
        <v>40.229280000000017</v>
      </c>
      <c r="R10" s="7">
        <f>'[1]Production Summary'!C72</f>
        <v>13410000</v>
      </c>
      <c r="S10" s="8">
        <f t="shared" si="11"/>
        <v>13.41</v>
      </c>
      <c r="T10" s="10">
        <f t="shared" si="12"/>
        <v>41.168700000000001</v>
      </c>
      <c r="U10" s="7">
        <f>'[1]Production Summary'!F72</f>
        <v>0</v>
      </c>
      <c r="V10" s="8">
        <f t="shared" si="13"/>
        <v>0</v>
      </c>
      <c r="W10" s="10">
        <f t="shared" si="14"/>
        <v>0</v>
      </c>
      <c r="X10" s="7">
        <f>'[1]Production Summary'!AB72</f>
        <v>297999.9999999947</v>
      </c>
      <c r="Y10" s="8">
        <f t="shared" si="15"/>
        <v>0.29799999999999471</v>
      </c>
      <c r="Z10" s="10">
        <f t="shared" si="16"/>
        <v>0.91485999999998369</v>
      </c>
      <c r="AA10" s="15"/>
      <c r="AB10" s="7">
        <f t="shared" si="17"/>
        <v>13104000.000000006</v>
      </c>
      <c r="AC10" s="8">
        <f t="shared" si="17"/>
        <v>13.104000000000006</v>
      </c>
      <c r="AD10" s="8">
        <f t="shared" si="17"/>
        <v>40.229280000000017</v>
      </c>
    </row>
    <row r="11" spans="1:30" x14ac:dyDescent="0.15">
      <c r="A11" s="1">
        <v>43076</v>
      </c>
      <c r="B11" s="7">
        <f>'[1]Production Summary'!J73</f>
        <v>0</v>
      </c>
      <c r="C11" s="8">
        <f t="shared" si="0"/>
        <v>0</v>
      </c>
      <c r="D11" s="10">
        <f t="shared" si="1"/>
        <v>0</v>
      </c>
      <c r="E11" s="7">
        <f>'[1]Production Summary'!E73</f>
        <v>5000000</v>
      </c>
      <c r="F11" s="8">
        <f t="shared" si="2"/>
        <v>5</v>
      </c>
      <c r="G11" s="10">
        <f t="shared" si="3"/>
        <v>15.35</v>
      </c>
      <c r="H11" s="7">
        <f>'[1]Production Summary'!G73</f>
        <v>0</v>
      </c>
      <c r="I11" s="8">
        <f t="shared" si="4"/>
        <v>0</v>
      </c>
      <c r="J11" s="10">
        <f t="shared" si="5"/>
        <v>0</v>
      </c>
      <c r="K11" s="7">
        <f>'[1]Production Summary'!T73</f>
        <v>374506</v>
      </c>
      <c r="L11" s="8">
        <f t="shared" si="6"/>
        <v>0.37450600000000001</v>
      </c>
      <c r="M11" s="10">
        <f t="shared" si="7"/>
        <v>1.14973342</v>
      </c>
      <c r="N11" s="54">
        <f t="shared" si="8"/>
        <v>15.35</v>
      </c>
      <c r="O11" s="7">
        <f>'[1]Production Summary'!I73</f>
        <v>13333000</v>
      </c>
      <c r="P11" s="8">
        <f t="shared" si="9"/>
        <v>13.333</v>
      </c>
      <c r="Q11" s="10">
        <f t="shared" si="10"/>
        <v>40.932310000000001</v>
      </c>
      <c r="R11" s="7">
        <f>'[1]Production Summary'!C73</f>
        <v>13590000</v>
      </c>
      <c r="S11" s="8">
        <f t="shared" si="11"/>
        <v>13.59</v>
      </c>
      <c r="T11" s="10">
        <f t="shared" si="12"/>
        <v>41.721299999999999</v>
      </c>
      <c r="U11" s="7">
        <f>'[1]Production Summary'!F73</f>
        <v>0</v>
      </c>
      <c r="V11" s="8">
        <f t="shared" si="13"/>
        <v>0</v>
      </c>
      <c r="W11" s="10">
        <f t="shared" si="14"/>
        <v>0</v>
      </c>
      <c r="X11" s="7">
        <f>'[1]Production Summary'!AB73</f>
        <v>250000</v>
      </c>
      <c r="Y11" s="8">
        <f t="shared" si="15"/>
        <v>0.25</v>
      </c>
      <c r="Z11" s="10">
        <f t="shared" si="16"/>
        <v>0.76749999999999996</v>
      </c>
      <c r="AA11" s="15"/>
      <c r="AB11" s="7">
        <f t="shared" si="17"/>
        <v>13333000</v>
      </c>
      <c r="AC11" s="8">
        <f t="shared" si="17"/>
        <v>13.333</v>
      </c>
      <c r="AD11" s="8">
        <f t="shared" si="17"/>
        <v>40.932310000000001</v>
      </c>
    </row>
    <row r="12" spans="1:30" x14ac:dyDescent="0.15">
      <c r="A12" s="1">
        <v>43077</v>
      </c>
      <c r="B12" s="7">
        <f>'[1]Production Summary'!J74</f>
        <v>0</v>
      </c>
      <c r="C12" s="8">
        <f t="shared" si="0"/>
        <v>0</v>
      </c>
      <c r="D12" s="10">
        <f t="shared" si="1"/>
        <v>0</v>
      </c>
      <c r="E12" s="7">
        <f>'[1]Production Summary'!E74</f>
        <v>5000000</v>
      </c>
      <c r="F12" s="8">
        <f t="shared" si="2"/>
        <v>5</v>
      </c>
      <c r="G12" s="10">
        <f t="shared" si="3"/>
        <v>15.35</v>
      </c>
      <c r="H12" s="7">
        <f>'[1]Production Summary'!G74</f>
        <v>0</v>
      </c>
      <c r="I12" s="8">
        <f t="shared" si="4"/>
        <v>0</v>
      </c>
      <c r="J12" s="10">
        <f t="shared" si="5"/>
        <v>0</v>
      </c>
      <c r="K12" s="7">
        <f>'[1]Production Summary'!T74</f>
        <v>294184</v>
      </c>
      <c r="L12" s="8">
        <f t="shared" si="6"/>
        <v>0.294184</v>
      </c>
      <c r="M12" s="10">
        <f t="shared" si="7"/>
        <v>0.90314487999999993</v>
      </c>
      <c r="N12" s="54">
        <f t="shared" si="8"/>
        <v>9.2099999999999991</v>
      </c>
      <c r="O12" s="7">
        <f>'[1]Production Summary'!I74</f>
        <v>12196999.999999996</v>
      </c>
      <c r="P12" s="8">
        <f t="shared" si="9"/>
        <v>12.196999999999996</v>
      </c>
      <c r="Q12" s="10">
        <f t="shared" si="10"/>
        <v>37.444789999999983</v>
      </c>
      <c r="R12" s="7">
        <f>'[1]Production Summary'!C74</f>
        <v>12367000</v>
      </c>
      <c r="S12" s="8">
        <f t="shared" si="11"/>
        <v>12.367000000000001</v>
      </c>
      <c r="T12" s="10">
        <f t="shared" si="12"/>
        <v>37.96669</v>
      </c>
      <c r="U12" s="7">
        <f>'[1]Production Summary'!F74</f>
        <v>0</v>
      </c>
      <c r="V12" s="8">
        <f t="shared" si="13"/>
        <v>0</v>
      </c>
      <c r="W12" s="10">
        <f t="shared" si="14"/>
        <v>0</v>
      </c>
      <c r="X12" s="7">
        <f>'[1]Production Summary'!AB74</f>
        <v>166000.00000000393</v>
      </c>
      <c r="Y12" s="8">
        <f t="shared" si="15"/>
        <v>0.16600000000000392</v>
      </c>
      <c r="Z12" s="10">
        <f t="shared" si="16"/>
        <v>0.50962000000001206</v>
      </c>
      <c r="AA12" s="15"/>
      <c r="AB12" s="7">
        <f t="shared" si="17"/>
        <v>12196999.999999996</v>
      </c>
      <c r="AC12" s="8">
        <f t="shared" si="17"/>
        <v>12.196999999999996</v>
      </c>
      <c r="AD12" s="8">
        <f t="shared" si="17"/>
        <v>37.444789999999983</v>
      </c>
    </row>
    <row r="13" spans="1:30" x14ac:dyDescent="0.15">
      <c r="A13" s="1">
        <v>43078</v>
      </c>
      <c r="B13" s="7">
        <f>'[1]Production Summary'!J75</f>
        <v>0</v>
      </c>
      <c r="C13" s="8">
        <f t="shared" si="0"/>
        <v>0</v>
      </c>
      <c r="D13" s="10">
        <f t="shared" si="1"/>
        <v>0</v>
      </c>
      <c r="E13" s="7">
        <f>'[1]Production Summary'!E75</f>
        <v>3000000</v>
      </c>
      <c r="F13" s="8">
        <f t="shared" si="2"/>
        <v>3</v>
      </c>
      <c r="G13" s="10">
        <f t="shared" si="3"/>
        <v>9.2099999999999991</v>
      </c>
      <c r="H13" s="7">
        <f>'[1]Production Summary'!G75</f>
        <v>0</v>
      </c>
      <c r="I13" s="8">
        <f t="shared" si="4"/>
        <v>0</v>
      </c>
      <c r="J13" s="10">
        <f t="shared" si="5"/>
        <v>0</v>
      </c>
      <c r="K13" s="7">
        <f>'[1]Production Summary'!T75</f>
        <v>0</v>
      </c>
      <c r="L13" s="8">
        <f t="shared" si="6"/>
        <v>0</v>
      </c>
      <c r="M13" s="10">
        <f t="shared" si="7"/>
        <v>0</v>
      </c>
      <c r="N13" s="54">
        <f t="shared" si="8"/>
        <v>0</v>
      </c>
      <c r="O13" s="7">
        <f>'[1]Production Summary'!I75</f>
        <v>11886000.000000006</v>
      </c>
      <c r="P13" s="8">
        <f t="shared" si="9"/>
        <v>11.886000000000006</v>
      </c>
      <c r="Q13" s="10">
        <f t="shared" si="10"/>
        <v>36.490020000000015</v>
      </c>
      <c r="R13" s="7">
        <f>'[1]Production Summary'!C75</f>
        <v>12193000</v>
      </c>
      <c r="S13" s="8">
        <f t="shared" si="11"/>
        <v>12.193</v>
      </c>
      <c r="T13" s="10">
        <f t="shared" si="12"/>
        <v>37.432509999999994</v>
      </c>
      <c r="U13" s="7">
        <f>'[1]Production Summary'!F75</f>
        <v>0</v>
      </c>
      <c r="V13" s="8">
        <f t="shared" si="13"/>
        <v>0</v>
      </c>
      <c r="W13" s="10">
        <f t="shared" si="14"/>
        <v>0</v>
      </c>
      <c r="X13" s="7">
        <f>'[1]Production Summary'!AB75</f>
        <v>297999.9999999947</v>
      </c>
      <c r="Y13" s="8">
        <f t="shared" si="15"/>
        <v>0.29799999999999471</v>
      </c>
      <c r="Z13" s="10">
        <f t="shared" si="16"/>
        <v>0.91485999999998369</v>
      </c>
      <c r="AA13" s="15"/>
      <c r="AB13" s="7">
        <f t="shared" si="17"/>
        <v>11886000.000000006</v>
      </c>
      <c r="AC13" s="8">
        <f t="shared" si="17"/>
        <v>11.886000000000006</v>
      </c>
      <c r="AD13" s="8">
        <f t="shared" si="17"/>
        <v>36.490020000000015</v>
      </c>
    </row>
    <row r="14" spans="1:30" x14ac:dyDescent="0.15">
      <c r="A14" s="1">
        <v>43079</v>
      </c>
      <c r="B14" s="7">
        <f>'[1]Production Summary'!J76</f>
        <v>0</v>
      </c>
      <c r="C14" s="8">
        <f t="shared" si="0"/>
        <v>0</v>
      </c>
      <c r="D14" s="10">
        <f t="shared" si="1"/>
        <v>0</v>
      </c>
      <c r="E14" s="7">
        <f>'[1]Production Summary'!E76</f>
        <v>0</v>
      </c>
      <c r="F14" s="8">
        <f t="shared" si="2"/>
        <v>0</v>
      </c>
      <c r="G14" s="10">
        <f t="shared" si="3"/>
        <v>0</v>
      </c>
      <c r="H14" s="7">
        <f>'[1]Production Summary'!G76</f>
        <v>0</v>
      </c>
      <c r="I14" s="8">
        <f t="shared" si="4"/>
        <v>0</v>
      </c>
      <c r="J14" s="10">
        <f t="shared" si="5"/>
        <v>0</v>
      </c>
      <c r="K14" s="7">
        <f>'[1]Production Summary'!T76</f>
        <v>0</v>
      </c>
      <c r="L14" s="8">
        <f t="shared" si="6"/>
        <v>0</v>
      </c>
      <c r="M14" s="10">
        <f t="shared" si="7"/>
        <v>0</v>
      </c>
      <c r="N14" s="54">
        <f t="shared" si="8"/>
        <v>3.07</v>
      </c>
      <c r="O14" s="7">
        <f>'[1]Production Summary'!I76</f>
        <v>12508999.999999998</v>
      </c>
      <c r="P14" s="8">
        <f t="shared" si="9"/>
        <v>12.508999999999999</v>
      </c>
      <c r="Q14" s="10">
        <f t="shared" si="10"/>
        <v>38.402629999999995</v>
      </c>
      <c r="R14" s="7">
        <f>'[1]Production Summary'!C76</f>
        <v>12767000</v>
      </c>
      <c r="S14" s="8">
        <f t="shared" si="11"/>
        <v>12.766999999999999</v>
      </c>
      <c r="T14" s="10">
        <f t="shared" si="12"/>
        <v>39.194689999999994</v>
      </c>
      <c r="U14" s="7">
        <f>'[1]Production Summary'!F76</f>
        <v>0</v>
      </c>
      <c r="V14" s="8">
        <f t="shared" si="13"/>
        <v>0</v>
      </c>
      <c r="W14" s="10">
        <f t="shared" si="14"/>
        <v>0</v>
      </c>
      <c r="X14" s="7">
        <f>'[1]Production Summary'!AB76</f>
        <v>252000.00000000244</v>
      </c>
      <c r="Y14" s="8">
        <f t="shared" si="15"/>
        <v>0.25200000000000244</v>
      </c>
      <c r="Z14" s="10">
        <f t="shared" si="16"/>
        <v>0.77364000000000743</v>
      </c>
      <c r="AA14" s="15"/>
      <c r="AB14" s="7">
        <f t="shared" si="17"/>
        <v>12508999.999999998</v>
      </c>
      <c r="AC14" s="8">
        <f t="shared" si="17"/>
        <v>12.508999999999999</v>
      </c>
      <c r="AD14" s="8">
        <f t="shared" si="17"/>
        <v>38.402629999999995</v>
      </c>
    </row>
    <row r="15" spans="1:30" x14ac:dyDescent="0.15">
      <c r="A15" s="1">
        <v>43080</v>
      </c>
      <c r="B15" s="7">
        <f>'[1]Production Summary'!J77</f>
        <v>0</v>
      </c>
      <c r="C15" s="8">
        <f t="shared" si="0"/>
        <v>0</v>
      </c>
      <c r="D15" s="10">
        <f t="shared" si="1"/>
        <v>0</v>
      </c>
      <c r="E15" s="7">
        <f>'[1]Production Summary'!E77</f>
        <v>1000000</v>
      </c>
      <c r="F15" s="8">
        <f t="shared" si="2"/>
        <v>1</v>
      </c>
      <c r="G15" s="10">
        <f t="shared" si="3"/>
        <v>3.07</v>
      </c>
      <c r="H15" s="7">
        <f>'[1]Production Summary'!G77</f>
        <v>0</v>
      </c>
      <c r="I15" s="8">
        <f t="shared" si="4"/>
        <v>0</v>
      </c>
      <c r="J15" s="10">
        <f t="shared" si="5"/>
        <v>0</v>
      </c>
      <c r="K15" s="7">
        <f>'[1]Production Summary'!T77</f>
        <v>0</v>
      </c>
      <c r="L15" s="8">
        <f t="shared" si="6"/>
        <v>0</v>
      </c>
      <c r="M15" s="10">
        <f t="shared" si="7"/>
        <v>0</v>
      </c>
      <c r="N15" s="54">
        <f t="shared" si="8"/>
        <v>0</v>
      </c>
      <c r="O15" s="7">
        <f>'[1]Production Summary'!I77</f>
        <v>12654000</v>
      </c>
      <c r="P15" s="8">
        <f t="shared" si="9"/>
        <v>12.654</v>
      </c>
      <c r="Q15" s="10">
        <f t="shared" si="10"/>
        <v>38.84778</v>
      </c>
      <c r="R15" s="7">
        <f>'[1]Production Summary'!C77</f>
        <v>12961000</v>
      </c>
      <c r="S15" s="8">
        <f t="shared" si="11"/>
        <v>12.961</v>
      </c>
      <c r="T15" s="10">
        <f t="shared" si="12"/>
        <v>39.79027</v>
      </c>
      <c r="U15" s="7">
        <f>'[1]Production Summary'!F77</f>
        <v>0</v>
      </c>
      <c r="V15" s="8">
        <f t="shared" si="13"/>
        <v>0</v>
      </c>
      <c r="W15" s="10">
        <f t="shared" si="14"/>
        <v>0</v>
      </c>
      <c r="X15" s="7">
        <f>'[1]Production Summary'!AB77</f>
        <v>298999.99999999948</v>
      </c>
      <c r="Y15" s="8">
        <f t="shared" si="15"/>
        <v>0.29899999999999949</v>
      </c>
      <c r="Z15" s="10">
        <f t="shared" si="16"/>
        <v>0.91792999999999836</v>
      </c>
      <c r="AA15" s="15"/>
      <c r="AB15" s="7">
        <f t="shared" si="17"/>
        <v>12654000</v>
      </c>
      <c r="AC15" s="8">
        <f t="shared" si="17"/>
        <v>12.654</v>
      </c>
      <c r="AD15" s="8">
        <f t="shared" si="17"/>
        <v>38.84778</v>
      </c>
    </row>
    <row r="16" spans="1:30" x14ac:dyDescent="0.15">
      <c r="A16" s="1">
        <v>43081</v>
      </c>
      <c r="B16" s="7">
        <f>'[1]Production Summary'!J78</f>
        <v>0</v>
      </c>
      <c r="C16" s="8">
        <f t="shared" si="0"/>
        <v>0</v>
      </c>
      <c r="D16" s="10">
        <f t="shared" si="1"/>
        <v>0</v>
      </c>
      <c r="E16" s="7">
        <f>'[1]Production Summary'!E78</f>
        <v>0</v>
      </c>
      <c r="F16" s="8">
        <f t="shared" si="2"/>
        <v>0</v>
      </c>
      <c r="G16" s="10">
        <f t="shared" si="3"/>
        <v>0</v>
      </c>
      <c r="H16" s="7">
        <f>'[1]Production Summary'!G78</f>
        <v>0</v>
      </c>
      <c r="I16" s="8">
        <f t="shared" si="4"/>
        <v>0</v>
      </c>
      <c r="J16" s="10">
        <f t="shared" si="5"/>
        <v>0</v>
      </c>
      <c r="K16" s="7">
        <f>'[1]Production Summary'!T78</f>
        <v>0</v>
      </c>
      <c r="L16" s="8">
        <f t="shared" si="6"/>
        <v>0</v>
      </c>
      <c r="M16" s="10">
        <f t="shared" si="7"/>
        <v>0</v>
      </c>
      <c r="N16" s="21"/>
      <c r="O16" s="7">
        <f>'[1]Production Summary'!I78</f>
        <v>13108000</v>
      </c>
      <c r="P16" s="8">
        <f t="shared" si="9"/>
        <v>13.108000000000001</v>
      </c>
      <c r="Q16" s="10">
        <f t="shared" si="10"/>
        <v>40.24156</v>
      </c>
      <c r="R16" s="7">
        <f>'[1]Production Summary'!C78</f>
        <v>13406000</v>
      </c>
      <c r="S16" s="8">
        <f t="shared" si="11"/>
        <v>13.406000000000001</v>
      </c>
      <c r="T16" s="10">
        <f t="shared" si="12"/>
        <v>41.156419999999997</v>
      </c>
      <c r="U16" s="7">
        <f>'[1]Production Summary'!F78</f>
        <v>0</v>
      </c>
      <c r="V16" s="8">
        <f t="shared" si="13"/>
        <v>0</v>
      </c>
      <c r="W16" s="10">
        <f t="shared" si="14"/>
        <v>0</v>
      </c>
      <c r="X16" s="7">
        <f>'[1]Production Summary'!AB78</f>
        <v>289999.99999999913</v>
      </c>
      <c r="Y16" s="8">
        <f t="shared" si="15"/>
        <v>0.28999999999999915</v>
      </c>
      <c r="Z16" s="10">
        <f t="shared" si="16"/>
        <v>0.89029999999999732</v>
      </c>
      <c r="AA16" s="15"/>
      <c r="AB16" s="7">
        <f t="shared" si="17"/>
        <v>13108000</v>
      </c>
      <c r="AC16" s="8">
        <f t="shared" si="17"/>
        <v>13.108000000000001</v>
      </c>
      <c r="AD16" s="8">
        <f t="shared" si="17"/>
        <v>40.24156</v>
      </c>
    </row>
    <row r="17" spans="1:30" x14ac:dyDescent="0.15">
      <c r="A17" s="1">
        <v>43082</v>
      </c>
      <c r="B17" s="7">
        <f>'[1]Production Summary'!J79</f>
        <v>0</v>
      </c>
      <c r="C17" s="8">
        <f t="shared" si="0"/>
        <v>0</v>
      </c>
      <c r="D17" s="10">
        <f t="shared" si="1"/>
        <v>0</v>
      </c>
      <c r="E17" s="7">
        <f>'[1]Production Summary'!E79</f>
        <v>0</v>
      </c>
      <c r="F17" s="8">
        <f t="shared" si="2"/>
        <v>0</v>
      </c>
      <c r="G17" s="10">
        <f t="shared" si="3"/>
        <v>0</v>
      </c>
      <c r="H17" s="7">
        <f>'[1]Production Summary'!G79</f>
        <v>0</v>
      </c>
      <c r="I17" s="8">
        <f t="shared" si="4"/>
        <v>0</v>
      </c>
      <c r="J17" s="10">
        <f t="shared" si="5"/>
        <v>0</v>
      </c>
      <c r="K17" s="7">
        <f>'[1]Production Summary'!T79</f>
        <v>0</v>
      </c>
      <c r="L17" s="8">
        <f t="shared" si="6"/>
        <v>0</v>
      </c>
      <c r="M17" s="10">
        <f t="shared" si="7"/>
        <v>0</v>
      </c>
      <c r="N17" s="21"/>
      <c r="O17" s="7">
        <f>'[1]Production Summary'!I79</f>
        <v>13267999.999999998</v>
      </c>
      <c r="P17" s="8">
        <f t="shared" si="9"/>
        <v>13.267999999999999</v>
      </c>
      <c r="Q17" s="10">
        <f t="shared" si="10"/>
        <v>40.732759999999992</v>
      </c>
      <c r="R17" s="7">
        <f>'[1]Production Summary'!C79</f>
        <v>13512000</v>
      </c>
      <c r="S17" s="8">
        <f t="shared" si="11"/>
        <v>13.512</v>
      </c>
      <c r="T17" s="10">
        <f t="shared" si="12"/>
        <v>41.481839999999998</v>
      </c>
      <c r="U17" s="7">
        <f>'[1]Production Summary'!F79</f>
        <v>0</v>
      </c>
      <c r="V17" s="8">
        <f t="shared" si="13"/>
        <v>0</v>
      </c>
      <c r="W17" s="10">
        <f t="shared" si="14"/>
        <v>0</v>
      </c>
      <c r="X17" s="7">
        <f>'[1]Production Summary'!AB79</f>
        <v>237000.00000000186</v>
      </c>
      <c r="Y17" s="8">
        <f t="shared" si="15"/>
        <v>0.23700000000000188</v>
      </c>
      <c r="Z17" s="10">
        <f t="shared" si="16"/>
        <v>0.72759000000000573</v>
      </c>
      <c r="AA17" s="15"/>
      <c r="AB17" s="7">
        <f t="shared" si="17"/>
        <v>13267999.999999998</v>
      </c>
      <c r="AC17" s="8">
        <f t="shared" si="17"/>
        <v>13.267999999999999</v>
      </c>
      <c r="AD17" s="8">
        <f t="shared" si="17"/>
        <v>40.732759999999992</v>
      </c>
    </row>
    <row r="18" spans="1:30" x14ac:dyDescent="0.15">
      <c r="A18" s="1">
        <v>43083</v>
      </c>
      <c r="B18" s="7">
        <f>'[1]Production Summary'!J80</f>
        <v>0</v>
      </c>
      <c r="C18" s="8">
        <f t="shared" si="0"/>
        <v>0</v>
      </c>
      <c r="D18" s="10">
        <f t="shared" si="1"/>
        <v>0</v>
      </c>
      <c r="E18" s="7">
        <f>'[1]Production Summary'!E80</f>
        <v>0</v>
      </c>
      <c r="F18" s="8">
        <f t="shared" si="2"/>
        <v>0</v>
      </c>
      <c r="G18" s="10">
        <f t="shared" si="3"/>
        <v>0</v>
      </c>
      <c r="H18" s="7">
        <f>'[1]Production Summary'!G80</f>
        <v>0</v>
      </c>
      <c r="I18" s="8">
        <f t="shared" si="4"/>
        <v>0</v>
      </c>
      <c r="J18" s="10">
        <f t="shared" si="5"/>
        <v>0</v>
      </c>
      <c r="K18" s="7">
        <f>'[1]Production Summary'!T80</f>
        <v>153694</v>
      </c>
      <c r="L18" s="8">
        <f t="shared" si="6"/>
        <v>0.153694</v>
      </c>
      <c r="M18" s="10">
        <f t="shared" si="7"/>
        <v>0.47184057999999995</v>
      </c>
      <c r="N18" s="21"/>
      <c r="O18" s="7">
        <f>'[1]Production Summary'!I80</f>
        <v>13113000</v>
      </c>
      <c r="P18" s="8">
        <f t="shared" si="9"/>
        <v>13.113</v>
      </c>
      <c r="Q18" s="10">
        <f t="shared" si="10"/>
        <v>40.256909999999998</v>
      </c>
      <c r="R18" s="7">
        <f>'[1]Production Summary'!C80</f>
        <v>13417000</v>
      </c>
      <c r="S18" s="8">
        <f t="shared" si="11"/>
        <v>13.417</v>
      </c>
      <c r="T18" s="10">
        <f t="shared" si="12"/>
        <v>41.190189999999994</v>
      </c>
      <c r="U18" s="7">
        <f>'[1]Production Summary'!F80</f>
        <v>0</v>
      </c>
      <c r="V18" s="8">
        <f t="shared" si="13"/>
        <v>0</v>
      </c>
      <c r="W18" s="10">
        <f t="shared" si="14"/>
        <v>0</v>
      </c>
      <c r="X18" s="7">
        <f>'[1]Production Summary'!AB80</f>
        <v>295999.99999999936</v>
      </c>
      <c r="Y18" s="8">
        <f t="shared" si="15"/>
        <v>0.29599999999999937</v>
      </c>
      <c r="Z18" s="10">
        <f t="shared" si="16"/>
        <v>0.90871999999999808</v>
      </c>
      <c r="AA18" s="15"/>
      <c r="AB18" s="7">
        <f t="shared" si="17"/>
        <v>13113000</v>
      </c>
      <c r="AC18" s="8">
        <f t="shared" si="17"/>
        <v>13.113</v>
      </c>
      <c r="AD18" s="8">
        <f t="shared" si="17"/>
        <v>40.256909999999998</v>
      </c>
    </row>
    <row r="19" spans="1:30" x14ac:dyDescent="0.15">
      <c r="A19" s="1">
        <v>43084</v>
      </c>
      <c r="B19" s="7">
        <f>'[1]Production Summary'!J81</f>
        <v>0</v>
      </c>
      <c r="C19" s="8">
        <f t="shared" si="0"/>
        <v>0</v>
      </c>
      <c r="D19" s="10">
        <f t="shared" si="1"/>
        <v>0</v>
      </c>
      <c r="E19" s="7">
        <f>'[1]Production Summary'!E81</f>
        <v>0</v>
      </c>
      <c r="F19" s="8">
        <f t="shared" si="2"/>
        <v>0</v>
      </c>
      <c r="G19" s="10">
        <f t="shared" si="3"/>
        <v>0</v>
      </c>
      <c r="H19" s="7">
        <f>'[1]Production Summary'!G81</f>
        <v>0</v>
      </c>
      <c r="I19" s="8">
        <f t="shared" si="4"/>
        <v>0</v>
      </c>
      <c r="J19" s="10">
        <f t="shared" si="5"/>
        <v>0</v>
      </c>
      <c r="K19" s="7">
        <f>'[1]Production Summary'!T81</f>
        <v>105677</v>
      </c>
      <c r="L19" s="8">
        <f t="shared" si="6"/>
        <v>0.10567699999999999</v>
      </c>
      <c r="M19" s="10">
        <f t="shared" si="7"/>
        <v>0.32442838999999996</v>
      </c>
      <c r="N19" s="21"/>
      <c r="O19" s="7">
        <f>'[1]Production Summary'!I81</f>
        <v>13295999.999999998</v>
      </c>
      <c r="P19" s="8">
        <f t="shared" si="9"/>
        <v>13.295999999999998</v>
      </c>
      <c r="Q19" s="10">
        <f t="shared" si="10"/>
        <v>40.818719999999992</v>
      </c>
      <c r="R19" s="7">
        <f>'[1]Production Summary'!C81</f>
        <v>13485000</v>
      </c>
      <c r="S19" s="8">
        <f t="shared" si="11"/>
        <v>13.484999999999999</v>
      </c>
      <c r="T19" s="10">
        <f t="shared" si="12"/>
        <v>41.398949999999999</v>
      </c>
      <c r="U19" s="7">
        <f>'[1]Production Summary'!F81</f>
        <v>0</v>
      </c>
      <c r="V19" s="8">
        <f t="shared" si="13"/>
        <v>0</v>
      </c>
      <c r="W19" s="10">
        <f t="shared" si="14"/>
        <v>0</v>
      </c>
      <c r="X19" s="7">
        <f>'[1]Production Summary'!AB81</f>
        <v>185000.00000000227</v>
      </c>
      <c r="Y19" s="8">
        <f t="shared" si="15"/>
        <v>0.18500000000000227</v>
      </c>
      <c r="Z19" s="10">
        <f t="shared" si="16"/>
        <v>0.56795000000000695</v>
      </c>
      <c r="AA19" s="15"/>
      <c r="AB19" s="7">
        <f t="shared" si="17"/>
        <v>13295999.999999998</v>
      </c>
      <c r="AC19" s="8">
        <f t="shared" si="17"/>
        <v>13.295999999999998</v>
      </c>
      <c r="AD19" s="8">
        <f>D19+Q19</f>
        <v>40.818719999999992</v>
      </c>
    </row>
    <row r="20" spans="1:30" x14ac:dyDescent="0.15">
      <c r="A20" s="1">
        <v>43085</v>
      </c>
      <c r="B20" s="7">
        <f>'[1]Production Summary'!J82</f>
        <v>0</v>
      </c>
      <c r="C20" s="8">
        <f t="shared" si="0"/>
        <v>0</v>
      </c>
      <c r="D20" s="10">
        <f t="shared" si="1"/>
        <v>0</v>
      </c>
      <c r="E20" s="7">
        <f>'[1]Production Summary'!E82</f>
        <v>0</v>
      </c>
      <c r="F20" s="8">
        <f t="shared" si="2"/>
        <v>0</v>
      </c>
      <c r="G20" s="10">
        <f t="shared" si="3"/>
        <v>0</v>
      </c>
      <c r="H20" s="7">
        <f>'[1]Production Summary'!G82</f>
        <v>0</v>
      </c>
      <c r="I20" s="8">
        <f t="shared" si="4"/>
        <v>0</v>
      </c>
      <c r="J20" s="10">
        <f t="shared" si="5"/>
        <v>0</v>
      </c>
      <c r="K20" s="7">
        <f>'[1]Production Summary'!T82</f>
        <v>0</v>
      </c>
      <c r="L20" s="8">
        <f t="shared" si="6"/>
        <v>0</v>
      </c>
      <c r="M20" s="10">
        <f t="shared" si="7"/>
        <v>0</v>
      </c>
      <c r="N20" s="21"/>
      <c r="O20" s="7">
        <f>'[1]Production Summary'!I82</f>
        <v>12248000</v>
      </c>
      <c r="P20" s="8">
        <f t="shared" si="9"/>
        <v>12.247999999999999</v>
      </c>
      <c r="Q20" s="10">
        <f t="shared" si="10"/>
        <v>37.601359999999993</v>
      </c>
      <c r="R20" s="7">
        <f>'[1]Production Summary'!C82</f>
        <v>12553000</v>
      </c>
      <c r="S20" s="8">
        <f t="shared" si="11"/>
        <v>12.553000000000001</v>
      </c>
      <c r="T20" s="10">
        <f t="shared" si="12"/>
        <v>38.537709999999997</v>
      </c>
      <c r="U20" s="7">
        <f>'[1]Production Summary'!F82</f>
        <v>0</v>
      </c>
      <c r="V20" s="8">
        <f t="shared" si="13"/>
        <v>0</v>
      </c>
      <c r="W20" s="10">
        <f t="shared" si="14"/>
        <v>0</v>
      </c>
      <c r="X20" s="7">
        <f>'[1]Production Summary'!AB82</f>
        <v>295999.99999999936</v>
      </c>
      <c r="Y20" s="8">
        <f t="shared" si="15"/>
        <v>0.29599999999999937</v>
      </c>
      <c r="Z20" s="10">
        <f t="shared" si="16"/>
        <v>0.90871999999999808</v>
      </c>
      <c r="AA20" s="15"/>
      <c r="AB20" s="7">
        <f t="shared" si="17"/>
        <v>12248000</v>
      </c>
      <c r="AC20" s="8">
        <f t="shared" si="17"/>
        <v>12.247999999999999</v>
      </c>
      <c r="AD20" s="8">
        <f t="shared" si="17"/>
        <v>37.601359999999993</v>
      </c>
    </row>
    <row r="21" spans="1:30" x14ac:dyDescent="0.15">
      <c r="A21" s="1">
        <v>43086</v>
      </c>
      <c r="B21" s="7">
        <f>'[1]Production Summary'!J83</f>
        <v>0</v>
      </c>
      <c r="C21" s="8">
        <f t="shared" si="0"/>
        <v>0</v>
      </c>
      <c r="D21" s="10">
        <f t="shared" si="1"/>
        <v>0</v>
      </c>
      <c r="E21" s="7">
        <f>'[1]Production Summary'!E83</f>
        <v>0</v>
      </c>
      <c r="F21" s="8">
        <f t="shared" si="2"/>
        <v>0</v>
      </c>
      <c r="G21" s="10">
        <f t="shared" si="3"/>
        <v>0</v>
      </c>
      <c r="H21" s="7">
        <f>'[1]Production Summary'!G83</f>
        <v>0</v>
      </c>
      <c r="I21" s="8">
        <f t="shared" si="4"/>
        <v>0</v>
      </c>
      <c r="J21" s="10">
        <f t="shared" si="5"/>
        <v>0</v>
      </c>
      <c r="K21" s="7">
        <f>'[1]Production Summary'!T83</f>
        <v>0</v>
      </c>
      <c r="L21" s="8">
        <f t="shared" si="6"/>
        <v>0</v>
      </c>
      <c r="M21" s="10">
        <f t="shared" si="7"/>
        <v>0</v>
      </c>
      <c r="N21" s="21"/>
      <c r="O21" s="7">
        <f>'[1]Production Summary'!I83</f>
        <v>11171999.999999998</v>
      </c>
      <c r="P21" s="8">
        <f t="shared" si="9"/>
        <v>11.171999999999999</v>
      </c>
      <c r="Q21" s="10">
        <f t="shared" si="10"/>
        <v>34.298039999999993</v>
      </c>
      <c r="R21" s="7">
        <f>'[1]Production Summary'!C83</f>
        <v>11475000</v>
      </c>
      <c r="S21" s="8">
        <f t="shared" si="11"/>
        <v>11.475</v>
      </c>
      <c r="T21" s="10">
        <f t="shared" si="12"/>
        <v>35.228249999999996</v>
      </c>
      <c r="U21" s="7">
        <f>'[1]Production Summary'!F83</f>
        <v>0</v>
      </c>
      <c r="V21" s="8">
        <f t="shared" si="13"/>
        <v>0</v>
      </c>
      <c r="W21" s="10">
        <f t="shared" si="14"/>
        <v>0</v>
      </c>
      <c r="X21" s="7">
        <f>'[1]Production Summary'!AB83</f>
        <v>295000.00000000169</v>
      </c>
      <c r="Y21" s="8">
        <f t="shared" si="15"/>
        <v>0.29500000000000171</v>
      </c>
      <c r="Z21" s="10">
        <f t="shared" si="16"/>
        <v>0.90565000000000517</v>
      </c>
      <c r="AA21" s="15"/>
      <c r="AB21" s="7">
        <f t="shared" si="17"/>
        <v>11171999.999999998</v>
      </c>
      <c r="AC21" s="8">
        <f t="shared" si="17"/>
        <v>11.171999999999999</v>
      </c>
      <c r="AD21" s="8">
        <f t="shared" si="17"/>
        <v>34.298039999999993</v>
      </c>
    </row>
    <row r="22" spans="1:30" x14ac:dyDescent="0.15">
      <c r="A22" s="1">
        <v>43087</v>
      </c>
      <c r="B22" s="7">
        <f>'[1]Production Summary'!J84</f>
        <v>0</v>
      </c>
      <c r="C22" s="8">
        <f t="shared" si="0"/>
        <v>0</v>
      </c>
      <c r="D22" s="10">
        <f t="shared" si="1"/>
        <v>0</v>
      </c>
      <c r="E22" s="7">
        <f>'[1]Production Summary'!E84</f>
        <v>0</v>
      </c>
      <c r="F22" s="8">
        <f t="shared" si="2"/>
        <v>0</v>
      </c>
      <c r="G22" s="10">
        <f t="shared" si="3"/>
        <v>0</v>
      </c>
      <c r="H22" s="7">
        <f>'[1]Production Summary'!G84</f>
        <v>0</v>
      </c>
      <c r="I22" s="8">
        <f t="shared" si="4"/>
        <v>0</v>
      </c>
      <c r="J22" s="10">
        <f t="shared" si="5"/>
        <v>0</v>
      </c>
      <c r="K22" s="7">
        <f>'[1]Production Summary'!T84</f>
        <v>0</v>
      </c>
      <c r="L22" s="8">
        <f t="shared" si="6"/>
        <v>0</v>
      </c>
      <c r="M22" s="10">
        <f t="shared" si="7"/>
        <v>0</v>
      </c>
      <c r="N22" s="21"/>
      <c r="O22" s="7">
        <f>'[1]Production Summary'!I84</f>
        <v>11789000.000000002</v>
      </c>
      <c r="P22" s="8">
        <f t="shared" si="9"/>
        <v>11.789000000000001</v>
      </c>
      <c r="Q22" s="10">
        <f t="shared" si="10"/>
        <v>36.192230000000002</v>
      </c>
      <c r="R22" s="7">
        <f>'[1]Production Summary'!C84</f>
        <v>11915000</v>
      </c>
      <c r="S22" s="8">
        <f t="shared" si="11"/>
        <v>11.914999999999999</v>
      </c>
      <c r="T22" s="10">
        <f t="shared" si="12"/>
        <v>36.579049999999995</v>
      </c>
      <c r="U22" s="7">
        <f>'[1]Production Summary'!F84</f>
        <v>0</v>
      </c>
      <c r="V22" s="8">
        <f t="shared" si="13"/>
        <v>0</v>
      </c>
      <c r="W22" s="10">
        <f t="shared" si="14"/>
        <v>0</v>
      </c>
      <c r="X22" s="7">
        <f>'[1]Production Summary'!AB84</f>
        <v>122999.99999999756</v>
      </c>
      <c r="Y22" s="8">
        <f t="shared" si="15"/>
        <v>0.12299999999999756</v>
      </c>
      <c r="Z22" s="10">
        <f t="shared" si="16"/>
        <v>0.37760999999999245</v>
      </c>
      <c r="AA22" s="15"/>
      <c r="AB22" s="7">
        <f t="shared" si="17"/>
        <v>11789000.000000002</v>
      </c>
      <c r="AC22" s="8">
        <f t="shared" si="17"/>
        <v>11.789000000000001</v>
      </c>
      <c r="AD22" s="8">
        <f t="shared" si="17"/>
        <v>36.192230000000002</v>
      </c>
    </row>
    <row r="23" spans="1:30" x14ac:dyDescent="0.15">
      <c r="A23" s="1">
        <v>43088</v>
      </c>
      <c r="B23" s="7">
        <f>'[1]Production Summary'!J85</f>
        <v>0</v>
      </c>
      <c r="C23" s="8">
        <f t="shared" si="0"/>
        <v>0</v>
      </c>
      <c r="D23" s="10">
        <f t="shared" si="1"/>
        <v>0</v>
      </c>
      <c r="E23" s="7">
        <f>'[1]Production Summary'!E85</f>
        <v>0</v>
      </c>
      <c r="F23" s="8">
        <f t="shared" si="2"/>
        <v>0</v>
      </c>
      <c r="G23" s="10">
        <f t="shared" si="3"/>
        <v>0</v>
      </c>
      <c r="H23" s="7">
        <f>'[1]Production Summary'!G85</f>
        <v>0</v>
      </c>
      <c r="I23" s="8">
        <f t="shared" si="4"/>
        <v>0</v>
      </c>
      <c r="J23" s="10">
        <f t="shared" si="5"/>
        <v>0</v>
      </c>
      <c r="K23" s="7">
        <f>'[1]Production Summary'!T85</f>
        <v>0</v>
      </c>
      <c r="L23" s="8">
        <f t="shared" si="6"/>
        <v>0</v>
      </c>
      <c r="M23" s="10">
        <f t="shared" si="7"/>
        <v>0</v>
      </c>
      <c r="N23" s="21"/>
      <c r="O23" s="7">
        <f>'[1]Production Summary'!I85</f>
        <v>12470000.000000004</v>
      </c>
      <c r="P23" s="8">
        <f t="shared" si="9"/>
        <v>12.470000000000004</v>
      </c>
      <c r="Q23" s="10">
        <f t="shared" si="10"/>
        <v>38.282900000000012</v>
      </c>
      <c r="R23" s="7">
        <f>'[1]Production Summary'!C85</f>
        <v>12712000</v>
      </c>
      <c r="S23" s="8">
        <f t="shared" si="11"/>
        <v>12.712</v>
      </c>
      <c r="T23" s="10">
        <f t="shared" si="12"/>
        <v>39.025839999999995</v>
      </c>
      <c r="U23" s="7">
        <f>'[1]Production Summary'!F85</f>
        <v>0</v>
      </c>
      <c r="V23" s="8">
        <f t="shared" si="13"/>
        <v>0</v>
      </c>
      <c r="W23" s="10">
        <f t="shared" si="14"/>
        <v>0</v>
      </c>
      <c r="X23" s="7">
        <f>'[1]Production Summary'!AB85</f>
        <v>235999.99999999709</v>
      </c>
      <c r="Y23" s="8">
        <f t="shared" si="15"/>
        <v>0.2359999999999971</v>
      </c>
      <c r="Z23" s="10">
        <f t="shared" si="16"/>
        <v>0.72451999999999106</v>
      </c>
      <c r="AA23" s="15"/>
      <c r="AB23" s="7">
        <f t="shared" si="17"/>
        <v>12470000.000000004</v>
      </c>
      <c r="AC23" s="8">
        <f t="shared" si="17"/>
        <v>12.470000000000004</v>
      </c>
      <c r="AD23" s="8">
        <f t="shared" si="17"/>
        <v>38.282900000000012</v>
      </c>
    </row>
    <row r="24" spans="1:30" x14ac:dyDescent="0.15">
      <c r="A24" s="1">
        <v>43089</v>
      </c>
      <c r="B24" s="7">
        <f>'[1]Production Summary'!J86</f>
        <v>0</v>
      </c>
      <c r="C24" s="8">
        <f t="shared" si="0"/>
        <v>0</v>
      </c>
      <c r="D24" s="10">
        <f t="shared" si="1"/>
        <v>0</v>
      </c>
      <c r="E24" s="7">
        <f>'[1]Production Summary'!E86</f>
        <v>0</v>
      </c>
      <c r="F24" s="8">
        <f t="shared" si="2"/>
        <v>0</v>
      </c>
      <c r="G24" s="10">
        <f t="shared" si="3"/>
        <v>0</v>
      </c>
      <c r="H24" s="7">
        <f>'[1]Production Summary'!G86</f>
        <v>0</v>
      </c>
      <c r="I24" s="8">
        <f t="shared" si="4"/>
        <v>0</v>
      </c>
      <c r="J24" s="10">
        <f t="shared" si="5"/>
        <v>0</v>
      </c>
      <c r="K24" s="7">
        <f>'[1]Production Summary'!T86</f>
        <v>97599</v>
      </c>
      <c r="L24" s="8">
        <f t="shared" si="6"/>
        <v>9.7599000000000005E-2</v>
      </c>
      <c r="M24" s="10">
        <f t="shared" si="7"/>
        <v>0.29962893000000002</v>
      </c>
      <c r="N24" s="21"/>
      <c r="O24" s="7">
        <f>'[1]Production Summary'!I86</f>
        <v>12704999.999999996</v>
      </c>
      <c r="P24" s="8">
        <f t="shared" si="9"/>
        <v>12.704999999999997</v>
      </c>
      <c r="Q24" s="10">
        <f t="shared" si="10"/>
        <v>39.004349999999988</v>
      </c>
      <c r="R24" s="7">
        <f>'[1]Production Summary'!C86</f>
        <v>13010000</v>
      </c>
      <c r="S24" s="8">
        <f t="shared" si="11"/>
        <v>13.01</v>
      </c>
      <c r="T24" s="10">
        <f t="shared" si="12"/>
        <v>39.9407</v>
      </c>
      <c r="U24" s="7">
        <f>'[1]Production Summary'!F86</f>
        <v>0</v>
      </c>
      <c r="V24" s="8">
        <f t="shared" si="13"/>
        <v>0</v>
      </c>
      <c r="W24" s="10">
        <f t="shared" si="14"/>
        <v>0</v>
      </c>
      <c r="X24" s="7">
        <f>'[1]Production Summary'!AB86</f>
        <v>297000.00000000413</v>
      </c>
      <c r="Y24" s="8">
        <f t="shared" si="15"/>
        <v>0.29700000000000415</v>
      </c>
      <c r="Z24" s="10">
        <f t="shared" si="16"/>
        <v>0.91179000000001265</v>
      </c>
      <c r="AA24" s="15"/>
      <c r="AB24" s="7">
        <f t="shared" si="17"/>
        <v>12704999.999999996</v>
      </c>
      <c r="AC24" s="8">
        <f t="shared" si="17"/>
        <v>12.704999999999997</v>
      </c>
      <c r="AD24" s="8">
        <f>D24+Q24</f>
        <v>39.004349999999988</v>
      </c>
    </row>
    <row r="25" spans="1:30" x14ac:dyDescent="0.15">
      <c r="A25" s="1">
        <v>43090</v>
      </c>
      <c r="B25" s="7">
        <f>'[1]Production Summary'!J87</f>
        <v>0</v>
      </c>
      <c r="C25" s="8">
        <f t="shared" si="0"/>
        <v>0</v>
      </c>
      <c r="D25" s="10">
        <f t="shared" si="1"/>
        <v>0</v>
      </c>
      <c r="E25" s="7">
        <f>'[1]Production Summary'!E87</f>
        <v>0</v>
      </c>
      <c r="F25" s="8">
        <f t="shared" si="2"/>
        <v>0</v>
      </c>
      <c r="G25" s="10">
        <f t="shared" si="3"/>
        <v>0</v>
      </c>
      <c r="H25" s="7">
        <f>'[1]Production Summary'!G87</f>
        <v>0</v>
      </c>
      <c r="I25" s="8">
        <f t="shared" si="4"/>
        <v>0</v>
      </c>
      <c r="J25" s="10">
        <f t="shared" si="5"/>
        <v>0</v>
      </c>
      <c r="K25" s="7">
        <f>'[1]Production Summary'!T87</f>
        <v>98979</v>
      </c>
      <c r="L25" s="8">
        <f t="shared" si="6"/>
        <v>9.8978999999999998E-2</v>
      </c>
      <c r="M25" s="10">
        <f t="shared" si="7"/>
        <v>0.30386552999999999</v>
      </c>
      <c r="N25" s="21"/>
      <c r="O25" s="7">
        <f>'[1]Production Summary'!I87</f>
        <v>11802000.000000004</v>
      </c>
      <c r="P25" s="8">
        <f t="shared" si="9"/>
        <v>11.802000000000003</v>
      </c>
      <c r="Q25" s="10">
        <f t="shared" si="10"/>
        <v>36.232140000000008</v>
      </c>
      <c r="R25" s="7">
        <f>'[1]Production Summary'!C87</f>
        <v>12101000</v>
      </c>
      <c r="S25" s="8">
        <f t="shared" si="11"/>
        <v>12.101000000000001</v>
      </c>
      <c r="T25" s="10">
        <f t="shared" si="12"/>
        <v>37.150069999999999</v>
      </c>
      <c r="U25" s="7">
        <f>'[1]Production Summary'!F87</f>
        <v>0</v>
      </c>
      <c r="V25" s="8">
        <f t="shared" si="13"/>
        <v>0</v>
      </c>
      <c r="W25" s="10">
        <f t="shared" si="14"/>
        <v>0</v>
      </c>
      <c r="X25" s="7">
        <f>'[1]Production Summary'!AB87</f>
        <v>290999.9999999968</v>
      </c>
      <c r="Y25" s="8">
        <f t="shared" si="15"/>
        <v>0.29099999999999682</v>
      </c>
      <c r="Z25" s="10">
        <f t="shared" si="16"/>
        <v>0.89336999999999023</v>
      </c>
      <c r="AA25" s="15"/>
      <c r="AB25" s="7">
        <f t="shared" si="17"/>
        <v>11802000.000000004</v>
      </c>
      <c r="AC25" s="8">
        <f t="shared" si="17"/>
        <v>11.802000000000003</v>
      </c>
      <c r="AD25" s="8">
        <f t="shared" si="17"/>
        <v>36.232140000000008</v>
      </c>
    </row>
    <row r="26" spans="1:30" x14ac:dyDescent="0.15">
      <c r="A26" s="1">
        <v>43091</v>
      </c>
      <c r="B26" s="7">
        <f>'[1]Production Summary'!J88</f>
        <v>0</v>
      </c>
      <c r="C26" s="8">
        <f t="shared" si="0"/>
        <v>0</v>
      </c>
      <c r="D26" s="10">
        <f t="shared" si="1"/>
        <v>0</v>
      </c>
      <c r="E26" s="7">
        <f>'[1]Production Summary'!E88</f>
        <v>0</v>
      </c>
      <c r="F26" s="8">
        <f t="shared" si="2"/>
        <v>0</v>
      </c>
      <c r="G26" s="10">
        <f t="shared" si="3"/>
        <v>0</v>
      </c>
      <c r="H26" s="7">
        <f>'[1]Production Summary'!G88</f>
        <v>0</v>
      </c>
      <c r="I26" s="8">
        <f t="shared" si="4"/>
        <v>0</v>
      </c>
      <c r="J26" s="10">
        <f t="shared" si="5"/>
        <v>0</v>
      </c>
      <c r="K26" s="7">
        <f>'[1]Production Summary'!T88</f>
        <v>82147</v>
      </c>
      <c r="L26" s="8">
        <f t="shared" si="6"/>
        <v>8.2146999999999998E-2</v>
      </c>
      <c r="M26" s="10">
        <f t="shared" si="7"/>
        <v>0.25219128999999996</v>
      </c>
      <c r="N26" s="21"/>
      <c r="O26" s="7">
        <f>'[1]Production Summary'!I88</f>
        <v>11980000</v>
      </c>
      <c r="P26" s="8">
        <f t="shared" si="9"/>
        <v>11.98</v>
      </c>
      <c r="Q26" s="10">
        <f t="shared" si="10"/>
        <v>36.778599999999997</v>
      </c>
      <c r="R26" s="7">
        <f>'[1]Production Summary'!C88</f>
        <v>12237000</v>
      </c>
      <c r="S26" s="8">
        <f t="shared" si="11"/>
        <v>12.237</v>
      </c>
      <c r="T26" s="10">
        <f t="shared" si="12"/>
        <v>37.567589999999996</v>
      </c>
      <c r="U26" s="7">
        <f>'[1]Production Summary'!F88</f>
        <v>0</v>
      </c>
      <c r="V26" s="8">
        <f t="shared" si="13"/>
        <v>0</v>
      </c>
      <c r="W26" s="10">
        <f t="shared" si="14"/>
        <v>0</v>
      </c>
      <c r="X26" s="7">
        <f>'[1]Production Summary'!AB88</f>
        <v>250000</v>
      </c>
      <c r="Y26" s="8">
        <f t="shared" si="15"/>
        <v>0.25</v>
      </c>
      <c r="Z26" s="10">
        <f t="shared" si="16"/>
        <v>0.76749999999999996</v>
      </c>
      <c r="AA26" s="15"/>
      <c r="AB26" s="7">
        <f t="shared" si="17"/>
        <v>11980000</v>
      </c>
      <c r="AC26" s="8">
        <f t="shared" si="17"/>
        <v>11.98</v>
      </c>
      <c r="AD26" s="8">
        <f t="shared" si="17"/>
        <v>36.778599999999997</v>
      </c>
    </row>
    <row r="27" spans="1:30" x14ac:dyDescent="0.15">
      <c r="A27" s="1">
        <v>43092</v>
      </c>
      <c r="B27" s="7">
        <f>'[1]Production Summary'!J89</f>
        <v>0</v>
      </c>
      <c r="C27" s="8">
        <f t="shared" si="0"/>
        <v>0</v>
      </c>
      <c r="D27" s="10">
        <f t="shared" si="1"/>
        <v>0</v>
      </c>
      <c r="E27" s="7">
        <f>'[1]Production Summary'!E89</f>
        <v>0</v>
      </c>
      <c r="F27" s="8">
        <f t="shared" si="2"/>
        <v>0</v>
      </c>
      <c r="G27" s="10">
        <f t="shared" si="3"/>
        <v>0</v>
      </c>
      <c r="H27" s="7">
        <f>'[1]Production Summary'!G89</f>
        <v>10000</v>
      </c>
      <c r="I27" s="8">
        <f t="shared" si="4"/>
        <v>0.01</v>
      </c>
      <c r="J27" s="10">
        <f t="shared" si="5"/>
        <v>3.0699999999999998E-2</v>
      </c>
      <c r="K27" s="7">
        <f>'[1]Production Summary'!T89</f>
        <v>0</v>
      </c>
      <c r="L27" s="8">
        <f t="shared" si="6"/>
        <v>0</v>
      </c>
      <c r="M27" s="10">
        <f t="shared" si="7"/>
        <v>0</v>
      </c>
      <c r="N27" s="21"/>
      <c r="O27" s="7">
        <f>'[1]Production Summary'!I89</f>
        <v>12877999.999999996</v>
      </c>
      <c r="P27" s="8">
        <f t="shared" si="9"/>
        <v>12.877999999999997</v>
      </c>
      <c r="Q27" s="10">
        <f t="shared" si="10"/>
        <v>39.535459999999986</v>
      </c>
      <c r="R27" s="7">
        <f>'[1]Production Summary'!C89</f>
        <v>13120000</v>
      </c>
      <c r="S27" s="8">
        <f t="shared" si="11"/>
        <v>13.12</v>
      </c>
      <c r="T27" s="10">
        <f t="shared" si="12"/>
        <v>40.278399999999998</v>
      </c>
      <c r="U27" s="7">
        <f>'[1]Production Summary'!F89</f>
        <v>0</v>
      </c>
      <c r="V27" s="8">
        <f t="shared" si="13"/>
        <v>0</v>
      </c>
      <c r="W27" s="10">
        <f t="shared" si="14"/>
        <v>0</v>
      </c>
      <c r="X27" s="7">
        <f>'[1]Production Summary'!AB89</f>
        <v>236000.00000000422</v>
      </c>
      <c r="Y27" s="8">
        <f t="shared" si="15"/>
        <v>0.23600000000000421</v>
      </c>
      <c r="Z27" s="10">
        <f t="shared" si="16"/>
        <v>0.72452000000001293</v>
      </c>
      <c r="AA27" s="15"/>
      <c r="AB27" s="7">
        <f t="shared" si="17"/>
        <v>12877999.999999996</v>
      </c>
      <c r="AC27" s="8">
        <f t="shared" si="17"/>
        <v>12.877999999999997</v>
      </c>
      <c r="AD27" s="8">
        <f t="shared" si="17"/>
        <v>39.535459999999986</v>
      </c>
    </row>
    <row r="28" spans="1:30" x14ac:dyDescent="0.15">
      <c r="A28" s="1">
        <v>43093</v>
      </c>
      <c r="B28" s="7">
        <f>'[1]Production Summary'!J90</f>
        <v>0</v>
      </c>
      <c r="C28" s="8">
        <f t="shared" si="0"/>
        <v>0</v>
      </c>
      <c r="D28" s="10">
        <f t="shared" si="1"/>
        <v>0</v>
      </c>
      <c r="E28" s="7">
        <f>'[1]Production Summary'!E90</f>
        <v>0</v>
      </c>
      <c r="F28" s="8">
        <f t="shared" si="2"/>
        <v>0</v>
      </c>
      <c r="G28" s="10">
        <f t="shared" si="3"/>
        <v>0</v>
      </c>
      <c r="H28" s="7">
        <f>'[1]Production Summary'!G90</f>
        <v>0</v>
      </c>
      <c r="I28" s="8">
        <f t="shared" si="4"/>
        <v>0</v>
      </c>
      <c r="J28" s="10">
        <f t="shared" si="5"/>
        <v>0</v>
      </c>
      <c r="K28" s="7">
        <f>'[1]Production Summary'!T90</f>
        <v>0</v>
      </c>
      <c r="L28" s="8">
        <f t="shared" si="6"/>
        <v>0</v>
      </c>
      <c r="M28" s="10">
        <f t="shared" si="7"/>
        <v>0</v>
      </c>
      <c r="N28" s="21"/>
      <c r="O28" s="7">
        <f>'[1]Production Summary'!I90</f>
        <v>12880000.000000006</v>
      </c>
      <c r="P28" s="8">
        <f t="shared" si="9"/>
        <v>12.880000000000006</v>
      </c>
      <c r="Q28" s="10">
        <f t="shared" si="10"/>
        <v>39.541600000000017</v>
      </c>
      <c r="R28" s="7">
        <f>'[1]Production Summary'!C90</f>
        <v>13186000</v>
      </c>
      <c r="S28" s="8">
        <f t="shared" si="11"/>
        <v>13.186</v>
      </c>
      <c r="T28" s="10">
        <f t="shared" si="12"/>
        <v>40.481020000000001</v>
      </c>
      <c r="U28" s="7">
        <f>'[1]Production Summary'!F90</f>
        <v>0</v>
      </c>
      <c r="V28" s="8">
        <f t="shared" si="13"/>
        <v>0</v>
      </c>
      <c r="W28" s="10">
        <f t="shared" si="14"/>
        <v>0</v>
      </c>
      <c r="X28" s="7">
        <f>'[1]Production Summary'!AB90</f>
        <v>297999.9999999947</v>
      </c>
      <c r="Y28" s="8">
        <f t="shared" si="15"/>
        <v>0.29799999999999471</v>
      </c>
      <c r="Z28" s="10">
        <f t="shared" si="16"/>
        <v>0.91485999999998369</v>
      </c>
      <c r="AA28" s="15"/>
      <c r="AB28" s="7">
        <f t="shared" si="17"/>
        <v>12880000.000000006</v>
      </c>
      <c r="AC28" s="8">
        <f t="shared" si="17"/>
        <v>12.880000000000006</v>
      </c>
      <c r="AD28" s="8">
        <f t="shared" si="17"/>
        <v>39.541600000000017</v>
      </c>
    </row>
    <row r="29" spans="1:30" x14ac:dyDescent="0.15">
      <c r="A29" s="1">
        <v>43094</v>
      </c>
      <c r="B29" s="7">
        <f>'[1]Production Summary'!J91</f>
        <v>0</v>
      </c>
      <c r="C29" s="8">
        <f t="shared" si="0"/>
        <v>0</v>
      </c>
      <c r="D29" s="10">
        <f t="shared" si="1"/>
        <v>0</v>
      </c>
      <c r="E29" s="7">
        <f>'[1]Production Summary'!E91</f>
        <v>0</v>
      </c>
      <c r="F29" s="8">
        <f t="shared" si="2"/>
        <v>0</v>
      </c>
      <c r="G29" s="10">
        <f t="shared" si="3"/>
        <v>0</v>
      </c>
      <c r="H29" s="7">
        <f>'[1]Production Summary'!G91</f>
        <v>0</v>
      </c>
      <c r="I29" s="8">
        <f t="shared" si="4"/>
        <v>0</v>
      </c>
      <c r="J29" s="10">
        <f t="shared" si="5"/>
        <v>0</v>
      </c>
      <c r="K29" s="7">
        <f>'[1]Production Summary'!T91</f>
        <v>0</v>
      </c>
      <c r="L29" s="8">
        <f t="shared" si="6"/>
        <v>0</v>
      </c>
      <c r="M29" s="10">
        <f t="shared" si="7"/>
        <v>0</v>
      </c>
      <c r="N29" s="21"/>
      <c r="O29" s="7">
        <f>'[1]Production Summary'!I91</f>
        <v>12732000</v>
      </c>
      <c r="P29" s="8">
        <f t="shared" si="9"/>
        <v>12.731999999999999</v>
      </c>
      <c r="Q29" s="10">
        <f t="shared" si="10"/>
        <v>39.087239999999994</v>
      </c>
      <c r="R29" s="7">
        <f>'[1]Production Summary'!C91</f>
        <v>12921000</v>
      </c>
      <c r="S29" s="8">
        <f t="shared" si="11"/>
        <v>12.920999999999999</v>
      </c>
      <c r="T29" s="10">
        <f t="shared" si="12"/>
        <v>39.667469999999994</v>
      </c>
      <c r="U29" s="7">
        <f>'[1]Production Summary'!F91</f>
        <v>0</v>
      </c>
      <c r="V29" s="8">
        <f t="shared" si="13"/>
        <v>0</v>
      </c>
      <c r="W29" s="10">
        <f t="shared" si="14"/>
        <v>0</v>
      </c>
      <c r="X29" s="7">
        <f>'[1]Production Summary'!AB91</f>
        <v>182999.99999999983</v>
      </c>
      <c r="Y29" s="8">
        <f t="shared" si="15"/>
        <v>0.18299999999999983</v>
      </c>
      <c r="Z29" s="10">
        <f t="shared" si="16"/>
        <v>0.56180999999999948</v>
      </c>
      <c r="AA29" s="15"/>
      <c r="AB29" s="7">
        <f t="shared" si="17"/>
        <v>12732000</v>
      </c>
      <c r="AC29" s="8">
        <f t="shared" si="17"/>
        <v>12.731999999999999</v>
      </c>
      <c r="AD29" s="8">
        <f t="shared" si="17"/>
        <v>39.087239999999994</v>
      </c>
    </row>
    <row r="30" spans="1:30" x14ac:dyDescent="0.15">
      <c r="A30" s="1">
        <v>43095</v>
      </c>
      <c r="B30" s="7">
        <f>'[1]Production Summary'!J92</f>
        <v>0</v>
      </c>
      <c r="C30" s="8">
        <f t="shared" si="0"/>
        <v>0</v>
      </c>
      <c r="D30" s="10">
        <f t="shared" si="1"/>
        <v>0</v>
      </c>
      <c r="E30" s="7">
        <f>'[1]Production Summary'!E92</f>
        <v>0</v>
      </c>
      <c r="F30" s="8">
        <f t="shared" si="2"/>
        <v>0</v>
      </c>
      <c r="G30" s="10">
        <f t="shared" si="3"/>
        <v>0</v>
      </c>
      <c r="H30" s="7">
        <f>'[1]Production Summary'!G92</f>
        <v>0</v>
      </c>
      <c r="I30" s="8">
        <f>H30/100000000</f>
        <v>0</v>
      </c>
      <c r="J30" s="10">
        <f t="shared" si="5"/>
        <v>0</v>
      </c>
      <c r="K30" s="7">
        <f>'[1]Production Summary'!T92</f>
        <v>120757</v>
      </c>
      <c r="L30" s="8">
        <f t="shared" si="6"/>
        <v>0.120757</v>
      </c>
      <c r="M30" s="10">
        <f t="shared" si="7"/>
        <v>0.37072399</v>
      </c>
      <c r="N30" s="21"/>
      <c r="O30" s="7">
        <f>'[1]Production Summary'!I92</f>
        <v>12917999.999999993</v>
      </c>
      <c r="P30" s="8">
        <f t="shared" si="9"/>
        <v>12.917999999999992</v>
      </c>
      <c r="Q30" s="10">
        <f t="shared" si="10"/>
        <v>39.658259999999977</v>
      </c>
      <c r="R30" s="7">
        <f>'[1]Production Summary'!C92</f>
        <v>13159000</v>
      </c>
      <c r="S30" s="8">
        <f t="shared" si="11"/>
        <v>13.159000000000001</v>
      </c>
      <c r="T30" s="10">
        <f t="shared" si="12"/>
        <v>40.398130000000002</v>
      </c>
      <c r="U30" s="7">
        <f>'[1]Production Summary'!F92</f>
        <v>0</v>
      </c>
      <c r="V30" s="8">
        <f t="shared" si="13"/>
        <v>0</v>
      </c>
      <c r="W30" s="10">
        <f t="shared" si="14"/>
        <v>0</v>
      </c>
      <c r="X30" s="7">
        <f>'[1]Production Summary'!AB92</f>
        <v>235000.00000000655</v>
      </c>
      <c r="Y30" s="8">
        <f t="shared" si="15"/>
        <v>0.23500000000000654</v>
      </c>
      <c r="Z30" s="10">
        <f t="shared" si="16"/>
        <v>0.72145000000002002</v>
      </c>
      <c r="AA30" s="15"/>
      <c r="AB30" s="7">
        <f t="shared" si="17"/>
        <v>12917999.999999993</v>
      </c>
      <c r="AC30" s="8">
        <f t="shared" si="17"/>
        <v>12.917999999999992</v>
      </c>
      <c r="AD30" s="8">
        <f>D30+Q30</f>
        <v>39.658259999999977</v>
      </c>
    </row>
    <row r="31" spans="1:30" x14ac:dyDescent="0.15">
      <c r="A31" s="1">
        <v>43096</v>
      </c>
      <c r="B31" s="7">
        <f>'[1]Production Summary'!J93</f>
        <v>0</v>
      </c>
      <c r="C31" s="8">
        <f t="shared" si="0"/>
        <v>0</v>
      </c>
      <c r="D31" s="10">
        <f t="shared" si="1"/>
        <v>0</v>
      </c>
      <c r="E31" s="7">
        <f>'[1]Production Summary'!E93</f>
        <v>0</v>
      </c>
      <c r="F31" s="8">
        <f t="shared" si="2"/>
        <v>0</v>
      </c>
      <c r="G31" s="10">
        <f t="shared" si="3"/>
        <v>0</v>
      </c>
      <c r="H31" s="7">
        <f>'[1]Production Summary'!G93</f>
        <v>0</v>
      </c>
      <c r="I31" s="8">
        <f t="shared" si="4"/>
        <v>0</v>
      </c>
      <c r="J31" s="10">
        <f t="shared" si="5"/>
        <v>0</v>
      </c>
      <c r="K31" s="7">
        <f>'[1]Production Summary'!T93</f>
        <v>0</v>
      </c>
      <c r="L31" s="8">
        <f t="shared" si="6"/>
        <v>0</v>
      </c>
      <c r="M31" s="10">
        <f t="shared" si="7"/>
        <v>0</v>
      </c>
      <c r="N31" s="21"/>
      <c r="O31" s="7">
        <f>'[1]Production Summary'!I93</f>
        <v>12190000.000000006</v>
      </c>
      <c r="P31" s="8">
        <f t="shared" si="9"/>
        <v>12.190000000000005</v>
      </c>
      <c r="Q31" s="10">
        <f t="shared" si="10"/>
        <v>37.423300000000012</v>
      </c>
      <c r="R31" s="7">
        <f>'[1]Production Summary'!C93</f>
        <v>12493000</v>
      </c>
      <c r="S31" s="8">
        <f t="shared" si="11"/>
        <v>12.493</v>
      </c>
      <c r="T31" s="10">
        <f t="shared" si="12"/>
        <v>38.35351</v>
      </c>
      <c r="U31" s="7">
        <f>'[1]Production Summary'!F93</f>
        <v>0</v>
      </c>
      <c r="V31" s="8">
        <f t="shared" si="13"/>
        <v>0</v>
      </c>
      <c r="W31" s="10">
        <f t="shared" si="14"/>
        <v>0</v>
      </c>
      <c r="X31" s="7">
        <f>'[1]Production Summary'!AB93</f>
        <v>294999.99999999459</v>
      </c>
      <c r="Y31" s="8">
        <f t="shared" si="15"/>
        <v>0.2949999999999946</v>
      </c>
      <c r="Z31" s="10">
        <f t="shared" si="16"/>
        <v>0.90564999999998341</v>
      </c>
      <c r="AA31" s="15"/>
      <c r="AB31" s="7">
        <f t="shared" si="17"/>
        <v>12190000.000000006</v>
      </c>
      <c r="AC31" s="8">
        <f t="shared" si="17"/>
        <v>12.190000000000005</v>
      </c>
      <c r="AD31" s="8">
        <f t="shared" si="17"/>
        <v>37.423300000000012</v>
      </c>
    </row>
    <row r="32" spans="1:30" x14ac:dyDescent="0.15">
      <c r="A32" s="1">
        <v>43097</v>
      </c>
      <c r="B32" s="7">
        <f>'[1]Production Summary'!J94</f>
        <v>0</v>
      </c>
      <c r="C32" s="8">
        <f t="shared" si="0"/>
        <v>0</v>
      </c>
      <c r="D32" s="10">
        <f t="shared" si="1"/>
        <v>0</v>
      </c>
      <c r="E32" s="7">
        <f>'[1]Production Summary'!E94</f>
        <v>0</v>
      </c>
      <c r="F32" s="8">
        <f t="shared" si="2"/>
        <v>0</v>
      </c>
      <c r="G32" s="10">
        <f t="shared" si="3"/>
        <v>0</v>
      </c>
      <c r="H32" s="7">
        <f>'[1]Production Summary'!G94</f>
        <v>0</v>
      </c>
      <c r="I32" s="8">
        <f t="shared" si="4"/>
        <v>0</v>
      </c>
      <c r="J32" s="10">
        <f t="shared" si="5"/>
        <v>0</v>
      </c>
      <c r="K32" s="7">
        <f>'[1]Production Summary'!T94</f>
        <v>42414</v>
      </c>
      <c r="L32" s="8">
        <f t="shared" si="6"/>
        <v>4.2414E-2</v>
      </c>
      <c r="M32" s="10">
        <f t="shared" si="7"/>
        <v>0.13021098</v>
      </c>
      <c r="N32" s="21"/>
      <c r="O32" s="7">
        <f>'[1]Production Summary'!I94</f>
        <v>12632999.999999998</v>
      </c>
      <c r="P32" s="8">
        <f t="shared" si="9"/>
        <v>12.632999999999997</v>
      </c>
      <c r="Q32" s="10">
        <f t="shared" si="10"/>
        <v>38.783309999999993</v>
      </c>
      <c r="R32" s="7">
        <f>'[1]Production Summary'!C94</f>
        <v>12819000</v>
      </c>
      <c r="S32" s="8">
        <f t="shared" si="11"/>
        <v>12.819000000000001</v>
      </c>
      <c r="T32" s="10">
        <f t="shared" si="12"/>
        <v>39.354329999999997</v>
      </c>
      <c r="U32" s="7">
        <f>'[1]Production Summary'!F94</f>
        <v>0</v>
      </c>
      <c r="V32" s="8">
        <f t="shared" si="13"/>
        <v>0</v>
      </c>
      <c r="W32" s="10">
        <f t="shared" si="14"/>
        <v>0</v>
      </c>
      <c r="X32" s="7">
        <f>'[1]Production Summary'!AB94</f>
        <v>182000.00000000215</v>
      </c>
      <c r="Y32" s="8">
        <f t="shared" si="15"/>
        <v>0.18200000000000216</v>
      </c>
      <c r="Z32" s="10">
        <f t="shared" si="16"/>
        <v>0.55874000000000656</v>
      </c>
      <c r="AA32" s="15"/>
      <c r="AB32" s="7">
        <f t="shared" si="17"/>
        <v>12632999.999999998</v>
      </c>
      <c r="AC32" s="8">
        <f t="shared" si="17"/>
        <v>12.632999999999997</v>
      </c>
      <c r="AD32" s="8">
        <f t="shared" si="17"/>
        <v>38.783309999999993</v>
      </c>
    </row>
    <row r="33" spans="1:30" x14ac:dyDescent="0.15">
      <c r="A33" s="1">
        <v>43098</v>
      </c>
      <c r="B33" s="7">
        <f>'[1]Production Summary'!J95</f>
        <v>0</v>
      </c>
      <c r="C33" s="8">
        <f t="shared" si="0"/>
        <v>0</v>
      </c>
      <c r="D33" s="10">
        <f t="shared" si="1"/>
        <v>0</v>
      </c>
      <c r="E33" s="7">
        <f>'[1]Production Summary'!E95</f>
        <v>0</v>
      </c>
      <c r="F33" s="8">
        <f t="shared" si="2"/>
        <v>0</v>
      </c>
      <c r="G33" s="10">
        <f t="shared" si="3"/>
        <v>0</v>
      </c>
      <c r="H33" s="7">
        <f>'[1]Production Summary'!G95</f>
        <v>0</v>
      </c>
      <c r="I33" s="8">
        <f t="shared" si="4"/>
        <v>0</v>
      </c>
      <c r="J33" s="10">
        <f t="shared" si="5"/>
        <v>0</v>
      </c>
      <c r="K33" s="7">
        <f>'[1]Production Summary'!T95</f>
        <v>0</v>
      </c>
      <c r="L33" s="8">
        <f t="shared" si="6"/>
        <v>0</v>
      </c>
      <c r="M33" s="10">
        <f t="shared" si="7"/>
        <v>0</v>
      </c>
      <c r="N33" s="21"/>
      <c r="O33" s="7">
        <f>'[1]Production Summary'!I95</f>
        <v>12600000.000000004</v>
      </c>
      <c r="P33" s="8">
        <f t="shared" si="9"/>
        <v>12.600000000000003</v>
      </c>
      <c r="Q33" s="10">
        <f t="shared" si="10"/>
        <v>38.682000000000009</v>
      </c>
      <c r="R33" s="7">
        <f>'[1]Production Summary'!C95</f>
        <v>12906000</v>
      </c>
      <c r="S33" s="8">
        <f t="shared" si="11"/>
        <v>12.906000000000001</v>
      </c>
      <c r="T33" s="10">
        <f t="shared" si="12"/>
        <v>39.621420000000001</v>
      </c>
      <c r="U33" s="7">
        <f>'[1]Production Summary'!F95</f>
        <v>0</v>
      </c>
      <c r="V33" s="8">
        <f t="shared" si="13"/>
        <v>0</v>
      </c>
      <c r="W33" s="10">
        <f t="shared" si="14"/>
        <v>0</v>
      </c>
      <c r="X33" s="7">
        <f>'[1]Production Summary'!AB95</f>
        <v>296999.99999999703</v>
      </c>
      <c r="Y33" s="8">
        <f t="shared" si="15"/>
        <v>0.29699999999999704</v>
      </c>
      <c r="Z33" s="10">
        <f t="shared" si="16"/>
        <v>0.91178999999999089</v>
      </c>
      <c r="AA33" s="15"/>
      <c r="AB33" s="7">
        <f t="shared" si="17"/>
        <v>12600000.000000004</v>
      </c>
      <c r="AC33" s="8">
        <f t="shared" si="17"/>
        <v>12.600000000000003</v>
      </c>
      <c r="AD33" s="8">
        <f t="shared" si="17"/>
        <v>38.682000000000009</v>
      </c>
    </row>
    <row r="34" spans="1:30" x14ac:dyDescent="0.15">
      <c r="A34" s="1">
        <v>43099</v>
      </c>
      <c r="B34" s="7">
        <f>'[1]Production Summary'!J96</f>
        <v>0</v>
      </c>
      <c r="C34" s="8">
        <f t="shared" si="0"/>
        <v>0</v>
      </c>
      <c r="D34" s="10">
        <f t="shared" si="1"/>
        <v>0</v>
      </c>
      <c r="E34" s="7">
        <f>'[1]Production Summary'!E96</f>
        <v>0</v>
      </c>
      <c r="F34" s="8">
        <f t="shared" si="2"/>
        <v>0</v>
      </c>
      <c r="G34" s="10">
        <f t="shared" si="3"/>
        <v>0</v>
      </c>
      <c r="H34" s="7">
        <f>'[1]Production Summary'!G96</f>
        <v>0</v>
      </c>
      <c r="I34" s="8">
        <f>H34/100000000</f>
        <v>0</v>
      </c>
      <c r="J34" s="10">
        <f t="shared" si="5"/>
        <v>0</v>
      </c>
      <c r="K34" s="7">
        <f>'[1]Production Summary'!T96</f>
        <v>41253</v>
      </c>
      <c r="L34" s="8">
        <f t="shared" si="6"/>
        <v>4.1252999999999998E-2</v>
      </c>
      <c r="M34" s="10">
        <f t="shared" si="7"/>
        <v>0.12664671</v>
      </c>
      <c r="N34" s="21"/>
      <c r="O34" s="7">
        <f>'[1]Production Summary'!I96</f>
        <v>11764999.999999998</v>
      </c>
      <c r="P34" s="8">
        <f t="shared" si="9"/>
        <v>11.764999999999999</v>
      </c>
      <c r="Q34" s="10">
        <f t="shared" si="10"/>
        <v>36.118549999999992</v>
      </c>
      <c r="R34" s="7">
        <f>'[1]Production Summary'!C96</f>
        <v>12071000</v>
      </c>
      <c r="S34" s="8">
        <f t="shared" si="11"/>
        <v>12.071</v>
      </c>
      <c r="T34" s="10">
        <f t="shared" si="12"/>
        <v>37.057969999999997</v>
      </c>
      <c r="U34" s="7">
        <f>'[1]Production Summary'!F96</f>
        <v>0</v>
      </c>
      <c r="V34" s="8">
        <f t="shared" si="13"/>
        <v>0</v>
      </c>
      <c r="W34" s="10">
        <f t="shared" si="14"/>
        <v>0</v>
      </c>
      <c r="X34" s="7">
        <f>'[1]Production Summary'!AB96</f>
        <v>298000.0000000018</v>
      </c>
      <c r="Y34" s="8">
        <f t="shared" si="15"/>
        <v>0.29800000000000182</v>
      </c>
      <c r="Z34" s="10">
        <f t="shared" si="16"/>
        <v>0.91486000000000556</v>
      </c>
      <c r="AA34" s="15"/>
      <c r="AB34" s="7">
        <f t="shared" si="17"/>
        <v>11764999.999999998</v>
      </c>
      <c r="AC34" s="8">
        <f t="shared" si="17"/>
        <v>11.764999999999999</v>
      </c>
      <c r="AD34" s="8">
        <f t="shared" si="17"/>
        <v>36.118549999999992</v>
      </c>
    </row>
    <row r="35" spans="1:30" ht="14" thickBot="1" x14ac:dyDescent="0.2">
      <c r="A35" s="1">
        <v>43100</v>
      </c>
      <c r="B35" s="53">
        <f>'[1]Production Summary'!J97</f>
        <v>0</v>
      </c>
      <c r="C35" s="9">
        <f t="shared" si="0"/>
        <v>0</v>
      </c>
      <c r="D35" s="11">
        <f t="shared" si="1"/>
        <v>0</v>
      </c>
      <c r="E35" s="7">
        <f>'[1]Production Summary'!E97</f>
        <v>0</v>
      </c>
      <c r="F35" s="9">
        <f t="shared" si="2"/>
        <v>0</v>
      </c>
      <c r="G35" s="11">
        <f t="shared" si="3"/>
        <v>0</v>
      </c>
      <c r="H35" s="7">
        <f>'[1]Production Summary'!G97</f>
        <v>0</v>
      </c>
      <c r="I35" s="9">
        <f>H35/100000000</f>
        <v>0</v>
      </c>
      <c r="J35" s="11">
        <f t="shared" si="5"/>
        <v>0</v>
      </c>
      <c r="K35" s="7">
        <f>'[1]Production Summary'!T97</f>
        <v>84666</v>
      </c>
      <c r="L35" s="9">
        <f t="shared" si="6"/>
        <v>8.4666000000000005E-2</v>
      </c>
      <c r="M35" s="11">
        <f t="shared" si="7"/>
        <v>0.25992462</v>
      </c>
      <c r="N35" s="21"/>
      <c r="O35" s="7">
        <f>'[1]Production Summary'!I97</f>
        <v>11235999.999999998</v>
      </c>
      <c r="P35" s="9">
        <f t="shared" si="9"/>
        <v>11.235999999999999</v>
      </c>
      <c r="Q35" s="11">
        <f t="shared" si="10"/>
        <v>34.494519999999994</v>
      </c>
      <c r="R35" s="7">
        <f>'[1]Production Summary'!C97</f>
        <v>11470000</v>
      </c>
      <c r="S35" s="9">
        <f t="shared" si="11"/>
        <v>11.47</v>
      </c>
      <c r="T35" s="11">
        <f t="shared" si="12"/>
        <v>35.212899999999998</v>
      </c>
      <c r="U35" s="7">
        <f>'[1]Production Summary'!F97</f>
        <v>0</v>
      </c>
      <c r="V35" s="9">
        <f t="shared" si="13"/>
        <v>0</v>
      </c>
      <c r="W35" s="11">
        <f t="shared" si="14"/>
        <v>0</v>
      </c>
      <c r="X35" s="7">
        <f>'[1]Production Summary'!AB97</f>
        <v>228000.00000000154</v>
      </c>
      <c r="Y35" s="9">
        <f t="shared" si="15"/>
        <v>0.22800000000000153</v>
      </c>
      <c r="Z35" s="11">
        <f t="shared" si="16"/>
        <v>0.69996000000000469</v>
      </c>
      <c r="AA35" s="15"/>
      <c r="AB35" s="7">
        <f t="shared" si="17"/>
        <v>11235999.999999998</v>
      </c>
      <c r="AC35" s="8">
        <f t="shared" si="17"/>
        <v>11.235999999999999</v>
      </c>
      <c r="AD35" s="8">
        <f t="shared" si="17"/>
        <v>34.494519999999994</v>
      </c>
    </row>
    <row r="36" spans="1:30" ht="14" thickBot="1" x14ac:dyDescent="0.2">
      <c r="A36" s="20"/>
      <c r="B36" s="37"/>
      <c r="C36" s="38">
        <f>SUM(C5:C35)</f>
        <v>0</v>
      </c>
      <c r="D36" s="38">
        <f>SUM(D5:D35)</f>
        <v>0</v>
      </c>
      <c r="E36" s="37"/>
      <c r="F36" s="38">
        <f>SUM(F5:F35)</f>
        <v>22</v>
      </c>
      <c r="G36" s="38">
        <f>SUM(G5:G35)</f>
        <v>67.539999999999992</v>
      </c>
      <c r="H36" s="37"/>
      <c r="I36" s="38">
        <f>SUM(I5:I35)</f>
        <v>21.419999999999998</v>
      </c>
      <c r="J36" s="38">
        <f>SUM(J5:J35)</f>
        <v>65.759399999999999</v>
      </c>
      <c r="K36" s="37"/>
      <c r="L36" s="38">
        <f>SUM(L5:L35)</f>
        <v>2.3479699999999997</v>
      </c>
      <c r="M36" s="38">
        <f>SUM(M5:M35)</f>
        <v>7.2082679000000001</v>
      </c>
      <c r="N36" s="14"/>
      <c r="O36" s="37"/>
      <c r="P36" s="38">
        <f>SUM(P5:P35)</f>
        <v>386.55799999999999</v>
      </c>
      <c r="Q36" s="38">
        <f>SUM(Q5:Q35)</f>
        <v>1186.7330599999996</v>
      </c>
      <c r="R36" s="37"/>
      <c r="S36" s="38">
        <f>SUM(S5:S35)</f>
        <v>394.57700000000006</v>
      </c>
      <c r="T36" s="38">
        <f>SUM(T5:T35)</f>
        <v>1211.35139</v>
      </c>
      <c r="U36" s="37"/>
      <c r="V36" s="38">
        <f>SUM(V5:V35)</f>
        <v>0</v>
      </c>
      <c r="W36" s="38">
        <f>SUM(W5:W35)</f>
        <v>0</v>
      </c>
      <c r="X36" s="37"/>
      <c r="Y36" s="38">
        <f>SUM(Y5:Y35)</f>
        <v>7.8079999999999998</v>
      </c>
      <c r="Z36" s="38">
        <f>SUM(Z5:Z35)</f>
        <v>23.970559999999995</v>
      </c>
      <c r="AA36" s="14"/>
      <c r="AB36" s="37"/>
      <c r="AC36" s="38">
        <f>SUM(AC5:AC35)</f>
        <v>386.55799999999999</v>
      </c>
      <c r="AD36" s="38">
        <f>SUM(AD5:AD35)</f>
        <v>1186.7330599999996</v>
      </c>
    </row>
    <row r="37" spans="1:30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D36"/>
  <sheetViews>
    <sheetView workbookViewId="0">
      <pane xSplit="1" ySplit="4" topLeftCell="N20" activePane="bottomRight" state="frozen"/>
      <selection pane="topRight" activeCell="B1" sqref="B1"/>
      <selection pane="bottomLeft" activeCell="A5" sqref="A5"/>
      <selection pane="bottomRight" activeCell="AB5" sqref="AB5"/>
    </sheetView>
  </sheetViews>
  <sheetFormatPr baseColWidth="10" defaultColWidth="8.83203125" defaultRowHeight="13" x14ac:dyDescent="0.15"/>
  <cols>
    <col min="2" max="2" width="10.83203125" customWidth="1"/>
    <col min="3" max="3" width="7.6640625" style="18" customWidth="1"/>
    <col min="5" max="5" width="13.5" style="3" bestFit="1" customWidth="1"/>
    <col min="6" max="6" width="8.33203125" style="3" customWidth="1"/>
    <col min="7" max="7" width="9.1640625" style="3"/>
    <col min="8" max="8" width="11.6640625" style="3" customWidth="1"/>
    <col min="9" max="10" width="9.1640625" style="3"/>
    <col min="11" max="11" width="11.83203125" style="14" customWidth="1"/>
    <col min="12" max="12" width="11" style="3" customWidth="1"/>
    <col min="13" max="13" width="11.1640625" style="3" bestFit="1" customWidth="1"/>
    <col min="14" max="14" width="9.1640625" style="3"/>
    <col min="15" max="15" width="13.5" style="3" bestFit="1" customWidth="1"/>
    <col min="16" max="17" width="9.1640625" style="3"/>
    <col min="18" max="18" width="11.6640625" style="3" bestFit="1" customWidth="1"/>
    <col min="19" max="21" width="9.1640625" style="3"/>
    <col min="22" max="22" width="11.6640625" bestFit="1" customWidth="1"/>
    <col min="28" max="28" width="12.6640625" customWidth="1"/>
  </cols>
  <sheetData>
    <row r="1" spans="1:30" ht="13.5" customHeight="1" x14ac:dyDescent="0.15">
      <c r="A1" s="41"/>
      <c r="B1" s="39"/>
      <c r="C1" s="25"/>
      <c r="D1" s="25"/>
      <c r="E1" s="25"/>
      <c r="F1" s="25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2">
      <c r="A3" s="3"/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6</v>
      </c>
      <c r="V3" s="63"/>
      <c r="W3" s="64"/>
      <c r="X3" s="62" t="s">
        <v>7</v>
      </c>
      <c r="Y3" s="63"/>
      <c r="Z3" s="64"/>
      <c r="AA3" s="19"/>
      <c r="AB3" s="59" t="s">
        <v>8</v>
      </c>
      <c r="AC3" s="60"/>
      <c r="AD3" s="61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15">
      <c r="A5" s="27">
        <v>43101</v>
      </c>
      <c r="B5" s="7">
        <f>'[2]Production Summary'!J6</f>
        <v>0</v>
      </c>
      <c r="C5" s="8">
        <f>B5/1000000</f>
        <v>0</v>
      </c>
      <c r="D5" s="10">
        <f>C5*3.07</f>
        <v>0</v>
      </c>
      <c r="E5" s="7">
        <f>'[2]Production Summary'!E6</f>
        <v>0</v>
      </c>
      <c r="F5" s="8">
        <f>E5/1000000</f>
        <v>0</v>
      </c>
      <c r="G5" s="10">
        <f>F5*3.07</f>
        <v>0</v>
      </c>
      <c r="H5" s="7">
        <f>'[2]Production Summary'!G6</f>
        <v>0</v>
      </c>
      <c r="I5" s="8">
        <f>H5/1000000</f>
        <v>0</v>
      </c>
      <c r="J5" s="10">
        <f>I5*3.07</f>
        <v>0</v>
      </c>
      <c r="K5" s="7">
        <f>'[2]Production Summary'!T6</f>
        <v>0</v>
      </c>
      <c r="L5" s="8">
        <f>K5/1000000</f>
        <v>0</v>
      </c>
      <c r="M5" s="10">
        <f>L5*3.07</f>
        <v>0</v>
      </c>
      <c r="N5" s="21"/>
      <c r="O5" s="7">
        <f>'[2]Production Summary'!I6</f>
        <v>12558999.999999998</v>
      </c>
      <c r="P5" s="8">
        <f>O5/1000000</f>
        <v>12.558999999999997</v>
      </c>
      <c r="Q5" s="10">
        <f>P5*3.07</f>
        <v>38.556129999999989</v>
      </c>
      <c r="R5" s="7">
        <f>'[2]Production Summary'!C6</f>
        <v>12817000</v>
      </c>
      <c r="S5" s="8">
        <f>R5/1000000</f>
        <v>12.817</v>
      </c>
      <c r="T5" s="10">
        <f>S5*3.07</f>
        <v>39.348189999999995</v>
      </c>
      <c r="U5" s="7">
        <f>'[2]Production Summary'!F6</f>
        <v>0</v>
      </c>
      <c r="V5" s="8">
        <f>U5/1000000</f>
        <v>0</v>
      </c>
      <c r="W5" s="10">
        <f>V5*3.07</f>
        <v>0</v>
      </c>
      <c r="X5" s="7">
        <f>'[2]Production Summary'!AB6</f>
        <v>252000.00000000244</v>
      </c>
      <c r="Y5" s="8">
        <f>X5/1000000</f>
        <v>0.25200000000000244</v>
      </c>
      <c r="Z5" s="10">
        <f>Y5*3.07</f>
        <v>0.77364000000000743</v>
      </c>
      <c r="AA5" s="15"/>
      <c r="AB5" s="7">
        <f>B5+O5</f>
        <v>12558999.999999998</v>
      </c>
      <c r="AC5" s="8">
        <f>C5+P5</f>
        <v>12.558999999999997</v>
      </c>
      <c r="AD5" s="8">
        <f>D5+Q5</f>
        <v>38.556129999999989</v>
      </c>
    </row>
    <row r="6" spans="1:30" x14ac:dyDescent="0.15">
      <c r="A6" s="27">
        <v>43102</v>
      </c>
      <c r="B6" s="7">
        <f>'[2]Production Summary'!J7</f>
        <v>0</v>
      </c>
      <c r="C6" s="8">
        <f t="shared" ref="C6:C35" si="0">B6/1000000</f>
        <v>0</v>
      </c>
      <c r="D6" s="10">
        <f t="shared" ref="D6:D35" si="1">C6*3.07</f>
        <v>0</v>
      </c>
      <c r="E6" s="7">
        <f>'[2]Production Summary'!E7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'[2]Production Summary'!G7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'[2]Production Summary'!T7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'[2]Production Summary'!I7</f>
        <v>13822000</v>
      </c>
      <c r="P6" s="8">
        <f t="shared" ref="P6:P35" si="8">O6/1000000</f>
        <v>13.821999999999999</v>
      </c>
      <c r="Q6" s="10">
        <f t="shared" ref="Q6:Q35" si="9">P6*3.07</f>
        <v>42.433539999999994</v>
      </c>
      <c r="R6" s="7">
        <f>'[2]Production Summary'!C7</f>
        <v>14061000</v>
      </c>
      <c r="S6" s="8">
        <f t="shared" ref="S6:S35" si="10">R6/1000000</f>
        <v>14.061</v>
      </c>
      <c r="T6" s="10">
        <f t="shared" ref="T6:T35" si="11">S6*3.07</f>
        <v>43.167269999999995</v>
      </c>
      <c r="U6" s="7">
        <f>'[2]Production Summary'!F7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'[2]Production Summary'!AB7</f>
        <v>231999.99999999933</v>
      </c>
      <c r="Y6" s="8">
        <f t="shared" ref="Y6:Y35" si="14">X6/1000000</f>
        <v>0.23199999999999932</v>
      </c>
      <c r="Z6" s="10">
        <f t="shared" ref="Z6:Z35" si="15">Y6*3.07</f>
        <v>0.71223999999999787</v>
      </c>
      <c r="AA6" s="15"/>
      <c r="AB6" s="7">
        <f t="shared" ref="AB6:AD35" si="16">B6+O6</f>
        <v>13822000</v>
      </c>
      <c r="AC6" s="8">
        <f t="shared" si="16"/>
        <v>13.821999999999999</v>
      </c>
      <c r="AD6" s="8">
        <f t="shared" si="16"/>
        <v>42.433539999999994</v>
      </c>
    </row>
    <row r="7" spans="1:30" x14ac:dyDescent="0.15">
      <c r="A7" s="27">
        <v>43103</v>
      </c>
      <c r="B7" s="7">
        <f>'[2]Production Summary'!J8</f>
        <v>0</v>
      </c>
      <c r="C7" s="8">
        <f t="shared" si="0"/>
        <v>0</v>
      </c>
      <c r="D7" s="10">
        <f t="shared" si="1"/>
        <v>0</v>
      </c>
      <c r="E7" s="7">
        <f>'[2]Production Summary'!E8</f>
        <v>0</v>
      </c>
      <c r="F7" s="8">
        <f t="shared" si="2"/>
        <v>0</v>
      </c>
      <c r="G7" s="10">
        <f t="shared" si="3"/>
        <v>0</v>
      </c>
      <c r="H7" s="7">
        <f>'[2]Production Summary'!G8</f>
        <v>0</v>
      </c>
      <c r="I7" s="8">
        <f t="shared" si="4"/>
        <v>0</v>
      </c>
      <c r="J7" s="10">
        <f t="shared" si="5"/>
        <v>0</v>
      </c>
      <c r="K7" s="7">
        <f>'[2]Production Summary'!T8</f>
        <v>0</v>
      </c>
      <c r="L7" s="8">
        <f t="shared" si="6"/>
        <v>0</v>
      </c>
      <c r="M7" s="10">
        <f t="shared" si="7"/>
        <v>0</v>
      </c>
      <c r="N7" s="21"/>
      <c r="O7" s="7">
        <f>'[2]Production Summary'!I8</f>
        <v>13371000.000000006</v>
      </c>
      <c r="P7" s="8">
        <f t="shared" si="8"/>
        <v>13.371000000000006</v>
      </c>
      <c r="Q7" s="10">
        <f t="shared" si="9"/>
        <v>41.048970000000018</v>
      </c>
      <c r="R7" s="7">
        <f>'[2]Production Summary'!C8</f>
        <v>13602000</v>
      </c>
      <c r="S7" s="8">
        <f t="shared" si="10"/>
        <v>13.602</v>
      </c>
      <c r="T7" s="10">
        <f t="shared" si="11"/>
        <v>41.758139999999997</v>
      </c>
      <c r="U7" s="7">
        <f>'[2]Production Summary'!F8</f>
        <v>0</v>
      </c>
      <c r="V7" s="8">
        <f t="shared" si="12"/>
        <v>0</v>
      </c>
      <c r="W7" s="10">
        <f t="shared" si="13"/>
        <v>0</v>
      </c>
      <c r="X7" s="7">
        <f>'[2]Production Summary'!AB8</f>
        <v>224999.99999999432</v>
      </c>
      <c r="Y7" s="8">
        <f t="shared" si="14"/>
        <v>0.22499999999999432</v>
      </c>
      <c r="Z7" s="10">
        <f t="shared" si="15"/>
        <v>0.69074999999998254</v>
      </c>
      <c r="AA7" s="15"/>
      <c r="AB7" s="7">
        <f t="shared" si="16"/>
        <v>13371000.000000006</v>
      </c>
      <c r="AC7" s="8">
        <f t="shared" si="16"/>
        <v>13.371000000000006</v>
      </c>
      <c r="AD7" s="8">
        <f t="shared" si="16"/>
        <v>41.048970000000018</v>
      </c>
    </row>
    <row r="8" spans="1:30" x14ac:dyDescent="0.15">
      <c r="A8" s="27">
        <v>43104</v>
      </c>
      <c r="B8" s="7">
        <f>'[2]Production Summary'!J9</f>
        <v>0</v>
      </c>
      <c r="C8" s="8">
        <f t="shared" si="0"/>
        <v>0</v>
      </c>
      <c r="D8" s="10">
        <f t="shared" si="1"/>
        <v>0</v>
      </c>
      <c r="E8" s="7">
        <f>'[2]Production Summary'!E9</f>
        <v>0</v>
      </c>
      <c r="F8" s="8">
        <f t="shared" si="2"/>
        <v>0</v>
      </c>
      <c r="G8" s="10">
        <f t="shared" si="3"/>
        <v>0</v>
      </c>
      <c r="H8" s="7">
        <f>'[2]Production Summary'!G9</f>
        <v>0</v>
      </c>
      <c r="I8" s="8">
        <f t="shared" si="4"/>
        <v>0</v>
      </c>
      <c r="J8" s="10">
        <f t="shared" si="5"/>
        <v>0</v>
      </c>
      <c r="K8" s="7">
        <f>'[2]Production Summary'!T9</f>
        <v>41014</v>
      </c>
      <c r="L8" s="8">
        <f t="shared" si="6"/>
        <v>4.1014000000000002E-2</v>
      </c>
      <c r="M8" s="10">
        <f t="shared" si="7"/>
        <v>0.12591298000000001</v>
      </c>
      <c r="N8" s="21"/>
      <c r="O8" s="7">
        <f>'[2]Production Summary'!I9</f>
        <v>11379999.999999996</v>
      </c>
      <c r="P8" s="8">
        <f t="shared" si="8"/>
        <v>11.379999999999995</v>
      </c>
      <c r="Q8" s="10">
        <f t="shared" si="9"/>
        <v>34.936599999999984</v>
      </c>
      <c r="R8" s="7">
        <f>'[2]Production Summary'!C9</f>
        <v>11691000</v>
      </c>
      <c r="S8" s="8">
        <f t="shared" si="10"/>
        <v>11.691000000000001</v>
      </c>
      <c r="T8" s="10">
        <f t="shared" si="11"/>
        <v>35.891370000000002</v>
      </c>
      <c r="U8" s="7">
        <f>'[2]Production Summary'!F9</f>
        <v>0</v>
      </c>
      <c r="V8" s="8">
        <f t="shared" si="12"/>
        <v>0</v>
      </c>
      <c r="W8" s="10">
        <f t="shared" si="13"/>
        <v>0</v>
      </c>
      <c r="X8" s="7">
        <f>'[2]Production Summary'!AB9</f>
        <v>303000.00000000437</v>
      </c>
      <c r="Y8" s="8">
        <f t="shared" si="14"/>
        <v>0.30300000000000438</v>
      </c>
      <c r="Z8" s="10">
        <f t="shared" si="15"/>
        <v>0.93021000000001342</v>
      </c>
      <c r="AA8" s="15"/>
      <c r="AB8" s="7">
        <f t="shared" si="16"/>
        <v>11379999.999999996</v>
      </c>
      <c r="AC8" s="8">
        <f t="shared" si="16"/>
        <v>11.379999999999995</v>
      </c>
      <c r="AD8" s="8">
        <f>D8+Q8</f>
        <v>34.936599999999984</v>
      </c>
    </row>
    <row r="9" spans="1:30" x14ac:dyDescent="0.15">
      <c r="A9" s="27">
        <v>43105</v>
      </c>
      <c r="B9" s="7">
        <f>'[2]Production Summary'!J10</f>
        <v>0</v>
      </c>
      <c r="C9" s="8">
        <f t="shared" si="0"/>
        <v>0</v>
      </c>
      <c r="D9" s="10">
        <f t="shared" si="1"/>
        <v>0</v>
      </c>
      <c r="E9" s="7">
        <f>'[2]Production Summary'!E10</f>
        <v>0</v>
      </c>
      <c r="F9" s="8">
        <f t="shared" si="2"/>
        <v>0</v>
      </c>
      <c r="G9" s="10">
        <f t="shared" si="3"/>
        <v>0</v>
      </c>
      <c r="H9" s="7">
        <f>'[2]Production Summary'!G10</f>
        <v>0</v>
      </c>
      <c r="I9" s="8">
        <f t="shared" si="4"/>
        <v>0</v>
      </c>
      <c r="J9" s="10">
        <f t="shared" si="5"/>
        <v>0</v>
      </c>
      <c r="K9" s="7">
        <f>'[2]Production Summary'!T10</f>
        <v>0</v>
      </c>
      <c r="L9" s="8">
        <f t="shared" si="6"/>
        <v>0</v>
      </c>
      <c r="M9" s="10">
        <f t="shared" si="7"/>
        <v>0</v>
      </c>
      <c r="N9" s="21"/>
      <c r="O9" s="7">
        <f>'[2]Production Summary'!I10</f>
        <v>12679000</v>
      </c>
      <c r="P9" s="8">
        <f t="shared" si="8"/>
        <v>12.679</v>
      </c>
      <c r="Q9" s="10">
        <f t="shared" si="9"/>
        <v>38.924529999999997</v>
      </c>
      <c r="R9" s="7">
        <f>'[2]Production Summary'!C10</f>
        <v>12977000</v>
      </c>
      <c r="S9" s="8">
        <f t="shared" si="10"/>
        <v>12.977</v>
      </c>
      <c r="T9" s="10">
        <f t="shared" si="11"/>
        <v>39.839390000000002</v>
      </c>
      <c r="U9" s="7">
        <f>'[2]Production Summary'!F10</f>
        <v>0</v>
      </c>
      <c r="V9" s="8">
        <f t="shared" si="12"/>
        <v>0</v>
      </c>
      <c r="W9" s="10">
        <f t="shared" si="13"/>
        <v>0</v>
      </c>
      <c r="X9" s="7">
        <f>'[2]Production Summary'!AB10</f>
        <v>289999.99999999913</v>
      </c>
      <c r="Y9" s="8">
        <f t="shared" si="14"/>
        <v>0.28999999999999915</v>
      </c>
      <c r="Z9" s="10">
        <f t="shared" si="15"/>
        <v>0.89029999999999732</v>
      </c>
      <c r="AA9" s="15"/>
      <c r="AB9" s="7">
        <f t="shared" si="16"/>
        <v>12679000</v>
      </c>
      <c r="AC9" s="8">
        <f t="shared" si="16"/>
        <v>12.679</v>
      </c>
      <c r="AD9" s="8">
        <f t="shared" si="16"/>
        <v>38.924529999999997</v>
      </c>
    </row>
    <row r="10" spans="1:30" x14ac:dyDescent="0.15">
      <c r="A10" s="27">
        <v>43106</v>
      </c>
      <c r="B10" s="7">
        <f>'[2]Production Summary'!J11</f>
        <v>0</v>
      </c>
      <c r="C10" s="8">
        <f t="shared" si="0"/>
        <v>0</v>
      </c>
      <c r="D10" s="10">
        <f t="shared" si="1"/>
        <v>0</v>
      </c>
      <c r="E10" s="7">
        <f>'[2]Production Summary'!E11</f>
        <v>0</v>
      </c>
      <c r="F10" s="8">
        <f t="shared" si="2"/>
        <v>0</v>
      </c>
      <c r="G10" s="10">
        <f t="shared" si="3"/>
        <v>0</v>
      </c>
      <c r="H10" s="7">
        <f>'[2]Production Summary'!G11</f>
        <v>0</v>
      </c>
      <c r="I10" s="8">
        <f t="shared" si="4"/>
        <v>0</v>
      </c>
      <c r="J10" s="10">
        <f t="shared" si="5"/>
        <v>0</v>
      </c>
      <c r="K10" s="7">
        <f>'[2]Production Summary'!T11</f>
        <v>0</v>
      </c>
      <c r="L10" s="8">
        <f t="shared" si="6"/>
        <v>0</v>
      </c>
      <c r="M10" s="10">
        <f t="shared" si="7"/>
        <v>0</v>
      </c>
      <c r="N10" s="21"/>
      <c r="O10" s="7">
        <f>'[2]Production Summary'!I11</f>
        <v>13200000</v>
      </c>
      <c r="P10" s="8">
        <f t="shared" si="8"/>
        <v>13.2</v>
      </c>
      <c r="Q10" s="10">
        <f t="shared" si="9"/>
        <v>40.523999999999994</v>
      </c>
      <c r="R10" s="7">
        <f>'[2]Production Summary'!C11</f>
        <v>13439000</v>
      </c>
      <c r="S10" s="8">
        <f t="shared" si="10"/>
        <v>13.439</v>
      </c>
      <c r="T10" s="10">
        <f t="shared" si="11"/>
        <v>41.257729999999995</v>
      </c>
      <c r="U10" s="7">
        <f>'[2]Production Summary'!F11</f>
        <v>0</v>
      </c>
      <c r="V10" s="8">
        <f t="shared" si="12"/>
        <v>0</v>
      </c>
      <c r="W10" s="10">
        <f t="shared" si="13"/>
        <v>0</v>
      </c>
      <c r="X10" s="7">
        <f>'[2]Production Summary'!AB11</f>
        <v>231999.99999999933</v>
      </c>
      <c r="Y10" s="8">
        <f t="shared" si="14"/>
        <v>0.23199999999999932</v>
      </c>
      <c r="Z10" s="10">
        <f t="shared" si="15"/>
        <v>0.71223999999999787</v>
      </c>
      <c r="AA10" s="15"/>
      <c r="AB10" s="7">
        <f t="shared" si="16"/>
        <v>13200000</v>
      </c>
      <c r="AC10" s="8">
        <f t="shared" si="16"/>
        <v>13.2</v>
      </c>
      <c r="AD10" s="8">
        <f t="shared" si="16"/>
        <v>40.523999999999994</v>
      </c>
    </row>
    <row r="11" spans="1:30" x14ac:dyDescent="0.15">
      <c r="A11" s="27">
        <v>43107</v>
      </c>
      <c r="B11" s="7">
        <f>'[2]Production Summary'!J12</f>
        <v>0</v>
      </c>
      <c r="C11" s="8">
        <f t="shared" si="0"/>
        <v>0</v>
      </c>
      <c r="D11" s="10">
        <f t="shared" si="1"/>
        <v>0</v>
      </c>
      <c r="E11" s="7">
        <f>'[2]Production Summary'!E12</f>
        <v>0</v>
      </c>
      <c r="F11" s="8">
        <f t="shared" si="2"/>
        <v>0</v>
      </c>
      <c r="G11" s="10">
        <f t="shared" si="3"/>
        <v>0</v>
      </c>
      <c r="H11" s="7">
        <f>'[2]Production Summary'!G12</f>
        <v>0</v>
      </c>
      <c r="I11" s="8">
        <f t="shared" si="4"/>
        <v>0</v>
      </c>
      <c r="J11" s="10">
        <f t="shared" si="5"/>
        <v>0</v>
      </c>
      <c r="K11" s="7">
        <f>'[2]Production Summary'!T12</f>
        <v>0</v>
      </c>
      <c r="L11" s="8">
        <f t="shared" si="6"/>
        <v>0</v>
      </c>
      <c r="M11" s="10">
        <f t="shared" si="7"/>
        <v>0</v>
      </c>
      <c r="N11" s="21"/>
      <c r="O11" s="7">
        <f>'[2]Production Summary'!I12</f>
        <v>13434000.000000002</v>
      </c>
      <c r="P11" s="8">
        <f t="shared" si="8"/>
        <v>13.434000000000001</v>
      </c>
      <c r="Q11" s="10">
        <f t="shared" si="9"/>
        <v>41.242380000000004</v>
      </c>
      <c r="R11" s="7">
        <f>'[2]Production Summary'!C12</f>
        <v>13617000</v>
      </c>
      <c r="S11" s="8">
        <f t="shared" si="10"/>
        <v>13.617000000000001</v>
      </c>
      <c r="T11" s="10">
        <f t="shared" si="11"/>
        <v>41.804189999999998</v>
      </c>
      <c r="U11" s="7">
        <f>'[2]Production Summary'!F12</f>
        <v>2000</v>
      </c>
      <c r="V11" s="8">
        <f t="shared" si="12"/>
        <v>2E-3</v>
      </c>
      <c r="W11" s="10">
        <f t="shared" si="13"/>
        <v>6.1399999999999996E-3</v>
      </c>
      <c r="X11" s="7">
        <f>'[2]Production Summary'!AB12</f>
        <v>177999.99999999726</v>
      </c>
      <c r="Y11" s="8">
        <f t="shared" si="14"/>
        <v>0.17799999999999727</v>
      </c>
      <c r="Z11" s="10">
        <f t="shared" si="15"/>
        <v>0.54645999999999162</v>
      </c>
      <c r="AA11" s="15"/>
      <c r="AB11" s="7">
        <f t="shared" si="16"/>
        <v>13434000.000000002</v>
      </c>
      <c r="AC11" s="8">
        <f t="shared" si="16"/>
        <v>13.434000000000001</v>
      </c>
      <c r="AD11" s="8">
        <f t="shared" si="16"/>
        <v>41.242380000000004</v>
      </c>
    </row>
    <row r="12" spans="1:30" x14ac:dyDescent="0.15">
      <c r="A12" s="27">
        <v>43108</v>
      </c>
      <c r="B12" s="7">
        <f>'[2]Production Summary'!J13</f>
        <v>0</v>
      </c>
      <c r="C12" s="8">
        <f t="shared" si="0"/>
        <v>0</v>
      </c>
      <c r="D12" s="10">
        <f t="shared" si="1"/>
        <v>0</v>
      </c>
      <c r="E12" s="7">
        <f>'[2]Production Summary'!E13</f>
        <v>0</v>
      </c>
      <c r="F12" s="8">
        <f t="shared" si="2"/>
        <v>0</v>
      </c>
      <c r="G12" s="10">
        <f t="shared" si="3"/>
        <v>0</v>
      </c>
      <c r="H12" s="7">
        <f>'[2]Production Summary'!G13</f>
        <v>0</v>
      </c>
      <c r="I12" s="8">
        <f t="shared" si="4"/>
        <v>0</v>
      </c>
      <c r="J12" s="10">
        <f t="shared" si="5"/>
        <v>0</v>
      </c>
      <c r="K12" s="7">
        <f>'[2]Production Summary'!T13</f>
        <v>1</v>
      </c>
      <c r="L12" s="8">
        <f t="shared" si="6"/>
        <v>9.9999999999999995E-7</v>
      </c>
      <c r="M12" s="10">
        <f t="shared" si="7"/>
        <v>3.0699999999999998E-6</v>
      </c>
      <c r="N12" s="21"/>
      <c r="O12" s="7">
        <f>'[2]Production Summary'!I13</f>
        <v>12922999.999999996</v>
      </c>
      <c r="P12" s="8">
        <f t="shared" si="8"/>
        <v>12.922999999999996</v>
      </c>
      <c r="Q12" s="10">
        <f t="shared" si="9"/>
        <v>39.673609999999989</v>
      </c>
      <c r="R12" s="7">
        <f>'[2]Production Summary'!C13</f>
        <v>13159000</v>
      </c>
      <c r="S12" s="8">
        <f t="shared" si="10"/>
        <v>13.159000000000001</v>
      </c>
      <c r="T12" s="10">
        <f t="shared" si="11"/>
        <v>40.398130000000002</v>
      </c>
      <c r="U12" s="7">
        <f>'[2]Production Summary'!F13</f>
        <v>0</v>
      </c>
      <c r="V12" s="8">
        <f t="shared" si="12"/>
        <v>0</v>
      </c>
      <c r="W12" s="10">
        <f t="shared" si="13"/>
        <v>0</v>
      </c>
      <c r="X12" s="7">
        <f>'[2]Production Summary'!AB13</f>
        <v>230000.00000000399</v>
      </c>
      <c r="Y12" s="8">
        <f t="shared" si="14"/>
        <v>0.23000000000000398</v>
      </c>
      <c r="Z12" s="10">
        <f t="shared" si="15"/>
        <v>0.70610000000001216</v>
      </c>
      <c r="AA12" s="15"/>
      <c r="AB12" s="7">
        <f t="shared" si="16"/>
        <v>12922999.999999996</v>
      </c>
      <c r="AC12" s="8">
        <f t="shared" si="16"/>
        <v>12.922999999999996</v>
      </c>
      <c r="AD12" s="8">
        <f t="shared" si="16"/>
        <v>39.673609999999989</v>
      </c>
    </row>
    <row r="13" spans="1:30" x14ac:dyDescent="0.15">
      <c r="A13" s="27">
        <v>43109</v>
      </c>
      <c r="B13" s="7">
        <f>'[2]Production Summary'!J14</f>
        <v>0</v>
      </c>
      <c r="C13" s="8">
        <f t="shared" si="0"/>
        <v>0</v>
      </c>
      <c r="D13" s="10">
        <f t="shared" si="1"/>
        <v>0</v>
      </c>
      <c r="E13" s="7">
        <f>'[2]Production Summary'!E14</f>
        <v>0</v>
      </c>
      <c r="F13" s="8">
        <f t="shared" si="2"/>
        <v>0</v>
      </c>
      <c r="G13" s="10">
        <f t="shared" si="3"/>
        <v>0</v>
      </c>
      <c r="H13" s="7">
        <f>'[2]Production Summary'!G14</f>
        <v>0</v>
      </c>
      <c r="I13" s="8">
        <f t="shared" si="4"/>
        <v>0</v>
      </c>
      <c r="J13" s="10">
        <f t="shared" si="5"/>
        <v>0</v>
      </c>
      <c r="K13" s="7">
        <f>'[2]Production Summary'!T14</f>
        <v>0</v>
      </c>
      <c r="L13" s="8">
        <f t="shared" si="6"/>
        <v>0</v>
      </c>
      <c r="M13" s="10">
        <f t="shared" si="7"/>
        <v>0</v>
      </c>
      <c r="N13" s="21"/>
      <c r="O13" s="7">
        <f>'[2]Production Summary'!I14</f>
        <v>11821000</v>
      </c>
      <c r="P13" s="8">
        <f t="shared" si="8"/>
        <v>11.821</v>
      </c>
      <c r="Q13" s="10">
        <f t="shared" si="9"/>
        <v>36.290469999999999</v>
      </c>
      <c r="R13" s="7">
        <f>'[2]Production Summary'!C14</f>
        <v>12100000</v>
      </c>
      <c r="S13" s="8">
        <f t="shared" si="10"/>
        <v>12.1</v>
      </c>
      <c r="T13" s="10">
        <f t="shared" si="11"/>
        <v>37.146999999999998</v>
      </c>
      <c r="U13" s="7">
        <f>'[2]Production Summary'!F14</f>
        <v>0</v>
      </c>
      <c r="V13" s="8">
        <f t="shared" si="12"/>
        <v>0</v>
      </c>
      <c r="W13" s="10">
        <f t="shared" si="13"/>
        <v>0</v>
      </c>
      <c r="X13" s="7">
        <f>'[2]Production Summary'!AB14</f>
        <v>271000.00000000081</v>
      </c>
      <c r="Y13" s="8">
        <f t="shared" si="14"/>
        <v>0.2710000000000008</v>
      </c>
      <c r="Z13" s="10">
        <f t="shared" si="15"/>
        <v>0.83197000000000243</v>
      </c>
      <c r="AA13" s="15"/>
      <c r="AB13" s="7">
        <f t="shared" si="16"/>
        <v>11821000</v>
      </c>
      <c r="AC13" s="8">
        <f t="shared" si="16"/>
        <v>11.821</v>
      </c>
      <c r="AD13" s="8">
        <f t="shared" si="16"/>
        <v>36.290469999999999</v>
      </c>
    </row>
    <row r="14" spans="1:30" x14ac:dyDescent="0.15">
      <c r="A14" s="27">
        <v>43110</v>
      </c>
      <c r="B14" s="7">
        <f>'[2]Production Summary'!J15</f>
        <v>0</v>
      </c>
      <c r="C14" s="8">
        <f t="shared" si="0"/>
        <v>0</v>
      </c>
      <c r="D14" s="10">
        <f t="shared" si="1"/>
        <v>0</v>
      </c>
      <c r="E14" s="7">
        <f>'[2]Production Summary'!E15</f>
        <v>0</v>
      </c>
      <c r="F14" s="8">
        <f t="shared" si="2"/>
        <v>0</v>
      </c>
      <c r="G14" s="10">
        <f t="shared" si="3"/>
        <v>0</v>
      </c>
      <c r="H14" s="7">
        <f>'[2]Production Summary'!G15</f>
        <v>0</v>
      </c>
      <c r="I14" s="8">
        <f t="shared" si="4"/>
        <v>0</v>
      </c>
      <c r="J14" s="10">
        <f t="shared" si="5"/>
        <v>0</v>
      </c>
      <c r="K14" s="7">
        <f>'[2]Production Summary'!T15</f>
        <v>0</v>
      </c>
      <c r="L14" s="8">
        <f t="shared" si="6"/>
        <v>0</v>
      </c>
      <c r="M14" s="10">
        <f t="shared" si="7"/>
        <v>0</v>
      </c>
      <c r="N14" s="21"/>
      <c r="O14" s="7">
        <f>'[2]Production Summary'!I15</f>
        <v>12411000.000000004</v>
      </c>
      <c r="P14" s="8">
        <f t="shared" si="8"/>
        <v>12.411000000000003</v>
      </c>
      <c r="Q14" s="10">
        <f t="shared" si="9"/>
        <v>38.101770000000009</v>
      </c>
      <c r="R14" s="7">
        <f>'[2]Production Summary'!C15</f>
        <v>12758000</v>
      </c>
      <c r="S14" s="8">
        <f t="shared" si="10"/>
        <v>12.757999999999999</v>
      </c>
      <c r="T14" s="10">
        <f t="shared" si="11"/>
        <v>39.167059999999992</v>
      </c>
      <c r="U14" s="7">
        <f>'[2]Production Summary'!F15</f>
        <v>0</v>
      </c>
      <c r="V14" s="8">
        <f t="shared" si="12"/>
        <v>0</v>
      </c>
      <c r="W14" s="10">
        <f t="shared" si="13"/>
        <v>0</v>
      </c>
      <c r="X14" s="7">
        <f>'[2]Production Summary'!AB15</f>
        <v>336999.99999999622</v>
      </c>
      <c r="Y14" s="8">
        <f t="shared" si="14"/>
        <v>0.33699999999999619</v>
      </c>
      <c r="Z14" s="10">
        <f t="shared" si="15"/>
        <v>1.0345899999999884</v>
      </c>
      <c r="AA14" s="15"/>
      <c r="AB14" s="7">
        <f t="shared" si="16"/>
        <v>12411000.000000004</v>
      </c>
      <c r="AC14" s="8">
        <f t="shared" si="16"/>
        <v>12.411000000000003</v>
      </c>
      <c r="AD14" s="8">
        <f t="shared" si="16"/>
        <v>38.101770000000009</v>
      </c>
    </row>
    <row r="15" spans="1:30" x14ac:dyDescent="0.15">
      <c r="A15" s="27">
        <v>43111</v>
      </c>
      <c r="B15" s="7">
        <f>'[2]Production Summary'!J16</f>
        <v>0</v>
      </c>
      <c r="C15" s="8">
        <f t="shared" si="0"/>
        <v>0</v>
      </c>
      <c r="D15" s="10">
        <f t="shared" si="1"/>
        <v>0</v>
      </c>
      <c r="E15" s="7">
        <f>'[2]Production Summary'!E16</f>
        <v>0</v>
      </c>
      <c r="F15" s="8">
        <f t="shared" si="2"/>
        <v>0</v>
      </c>
      <c r="G15" s="10">
        <f t="shared" si="3"/>
        <v>0</v>
      </c>
      <c r="H15" s="7">
        <f>'[2]Production Summary'!G16</f>
        <v>0</v>
      </c>
      <c r="I15" s="8">
        <f t="shared" si="4"/>
        <v>0</v>
      </c>
      <c r="J15" s="10">
        <f t="shared" si="5"/>
        <v>0</v>
      </c>
      <c r="K15" s="7">
        <f>'[2]Production Summary'!T16</f>
        <v>0</v>
      </c>
      <c r="L15" s="8">
        <f t="shared" si="6"/>
        <v>0</v>
      </c>
      <c r="M15" s="10">
        <f t="shared" si="7"/>
        <v>0</v>
      </c>
      <c r="N15" s="21"/>
      <c r="O15" s="7">
        <f>'[2]Production Summary'!I16</f>
        <v>13141000</v>
      </c>
      <c r="P15" s="8">
        <f t="shared" si="8"/>
        <v>13.141</v>
      </c>
      <c r="Q15" s="10">
        <f t="shared" si="9"/>
        <v>40.342869999999998</v>
      </c>
      <c r="R15" s="7">
        <f>'[2]Production Summary'!C16</f>
        <v>13310000</v>
      </c>
      <c r="S15" s="8">
        <f t="shared" si="10"/>
        <v>13.31</v>
      </c>
      <c r="T15" s="10">
        <f t="shared" si="11"/>
        <v>40.861699999999999</v>
      </c>
      <c r="U15" s="7">
        <f>'[2]Production Summary'!F16</f>
        <v>0</v>
      </c>
      <c r="V15" s="8">
        <f t="shared" si="12"/>
        <v>0</v>
      </c>
      <c r="W15" s="10">
        <f t="shared" si="13"/>
        <v>0</v>
      </c>
      <c r="X15" s="7">
        <f>'[2]Production Summary'!AB16</f>
        <v>164999.99999999916</v>
      </c>
      <c r="Y15" s="8">
        <f t="shared" si="14"/>
        <v>0.16499999999999915</v>
      </c>
      <c r="Z15" s="10">
        <f t="shared" si="15"/>
        <v>0.50654999999999739</v>
      </c>
      <c r="AA15" s="15"/>
      <c r="AB15" s="7">
        <f t="shared" si="16"/>
        <v>13141000</v>
      </c>
      <c r="AC15" s="8">
        <f t="shared" si="16"/>
        <v>13.141</v>
      </c>
      <c r="AD15" s="8">
        <f t="shared" si="16"/>
        <v>40.342869999999998</v>
      </c>
    </row>
    <row r="16" spans="1:30" x14ac:dyDescent="0.15">
      <c r="A16" s="27">
        <v>43112</v>
      </c>
      <c r="B16" s="7">
        <f>'[2]Production Summary'!J17</f>
        <v>0</v>
      </c>
      <c r="C16" s="8">
        <f t="shared" si="0"/>
        <v>0</v>
      </c>
      <c r="D16" s="10">
        <f t="shared" si="1"/>
        <v>0</v>
      </c>
      <c r="E16" s="7">
        <f>'[2]Production Summary'!E17</f>
        <v>0</v>
      </c>
      <c r="F16" s="8">
        <f t="shared" si="2"/>
        <v>0</v>
      </c>
      <c r="G16" s="10">
        <f t="shared" si="3"/>
        <v>0</v>
      </c>
      <c r="H16" s="7">
        <f>'[2]Production Summary'!G17</f>
        <v>0</v>
      </c>
      <c r="I16" s="8">
        <f t="shared" si="4"/>
        <v>0</v>
      </c>
      <c r="J16" s="10">
        <f t="shared" si="5"/>
        <v>0</v>
      </c>
      <c r="K16" s="7">
        <f>'[2]Production Summary'!T17</f>
        <v>0</v>
      </c>
      <c r="L16" s="8">
        <f t="shared" si="6"/>
        <v>0</v>
      </c>
      <c r="M16" s="10">
        <f t="shared" si="7"/>
        <v>0</v>
      </c>
      <c r="N16" s="21"/>
      <c r="O16" s="7">
        <f>'[2]Production Summary'!I17</f>
        <v>12172999.999999996</v>
      </c>
      <c r="P16" s="8">
        <f t="shared" si="8"/>
        <v>12.172999999999996</v>
      </c>
      <c r="Q16" s="10">
        <f t="shared" si="9"/>
        <v>37.371109999999987</v>
      </c>
      <c r="R16" s="7">
        <f>'[2]Production Summary'!C17</f>
        <v>12350000</v>
      </c>
      <c r="S16" s="8">
        <f t="shared" si="10"/>
        <v>12.35</v>
      </c>
      <c r="T16" s="10">
        <f t="shared" si="11"/>
        <v>37.914499999999997</v>
      </c>
      <c r="U16" s="7">
        <f>'[2]Production Summary'!F17</f>
        <v>0</v>
      </c>
      <c r="V16" s="8">
        <f t="shared" si="12"/>
        <v>0</v>
      </c>
      <c r="W16" s="10">
        <f t="shared" si="13"/>
        <v>0</v>
      </c>
      <c r="X16" s="7">
        <f>'[2]Production Summary'!AB17</f>
        <v>172000.00000000416</v>
      </c>
      <c r="Y16" s="8">
        <f t="shared" si="14"/>
        <v>0.17200000000000415</v>
      </c>
      <c r="Z16" s="10">
        <f t="shared" si="15"/>
        <v>0.52804000000001272</v>
      </c>
      <c r="AA16" s="15"/>
      <c r="AB16" s="7">
        <f t="shared" si="16"/>
        <v>12172999.999999996</v>
      </c>
      <c r="AC16" s="8">
        <f t="shared" si="16"/>
        <v>12.172999999999996</v>
      </c>
      <c r="AD16" s="8">
        <f t="shared" si="16"/>
        <v>37.371109999999987</v>
      </c>
    </row>
    <row r="17" spans="1:30" x14ac:dyDescent="0.15">
      <c r="A17" s="27">
        <v>43113</v>
      </c>
      <c r="B17" s="7">
        <f>'[2]Production Summary'!J18</f>
        <v>0</v>
      </c>
      <c r="C17" s="8">
        <f t="shared" si="0"/>
        <v>0</v>
      </c>
      <c r="D17" s="10">
        <f t="shared" si="1"/>
        <v>0</v>
      </c>
      <c r="E17" s="7">
        <f>'[2]Production Summary'!E18</f>
        <v>0</v>
      </c>
      <c r="F17" s="8">
        <f t="shared" si="2"/>
        <v>0</v>
      </c>
      <c r="G17" s="10">
        <f t="shared" si="3"/>
        <v>0</v>
      </c>
      <c r="H17" s="7">
        <f>'[2]Production Summary'!G18</f>
        <v>0</v>
      </c>
      <c r="I17" s="8">
        <f t="shared" si="4"/>
        <v>0</v>
      </c>
      <c r="J17" s="10">
        <f t="shared" si="5"/>
        <v>0</v>
      </c>
      <c r="K17" s="7">
        <f>'[2]Production Summary'!T18</f>
        <v>0</v>
      </c>
      <c r="L17" s="8">
        <f t="shared" si="6"/>
        <v>0</v>
      </c>
      <c r="M17" s="10">
        <f t="shared" si="7"/>
        <v>0</v>
      </c>
      <c r="N17" s="21"/>
      <c r="O17" s="7">
        <f>'[2]Production Summary'!I18</f>
        <v>11848000</v>
      </c>
      <c r="P17" s="8">
        <f t="shared" si="8"/>
        <v>11.848000000000001</v>
      </c>
      <c r="Q17" s="10">
        <f t="shared" si="9"/>
        <v>36.373359999999998</v>
      </c>
      <c r="R17" s="7">
        <f>'[2]Production Summary'!C18</f>
        <v>12124000</v>
      </c>
      <c r="S17" s="8">
        <f t="shared" si="10"/>
        <v>12.124000000000001</v>
      </c>
      <c r="T17" s="10">
        <f t="shared" si="11"/>
        <v>37.220680000000002</v>
      </c>
      <c r="U17" s="7">
        <f>'[2]Production Summary'!F18</f>
        <v>0</v>
      </c>
      <c r="V17" s="8">
        <f t="shared" si="12"/>
        <v>0</v>
      </c>
      <c r="W17" s="10">
        <f t="shared" si="13"/>
        <v>0</v>
      </c>
      <c r="X17" s="7">
        <f>'[2]Production Summary'!AB18</f>
        <v>268000.0000000007</v>
      </c>
      <c r="Y17" s="8">
        <f t="shared" si="14"/>
        <v>0.26800000000000068</v>
      </c>
      <c r="Z17" s="10">
        <f t="shared" si="15"/>
        <v>0.82276000000000205</v>
      </c>
      <c r="AA17" s="15"/>
      <c r="AB17" s="7">
        <f t="shared" si="16"/>
        <v>11848000</v>
      </c>
      <c r="AC17" s="8">
        <f t="shared" si="16"/>
        <v>11.848000000000001</v>
      </c>
      <c r="AD17" s="8">
        <f t="shared" si="16"/>
        <v>36.373359999999998</v>
      </c>
    </row>
    <row r="18" spans="1:30" x14ac:dyDescent="0.15">
      <c r="A18" s="27">
        <v>43114</v>
      </c>
      <c r="B18" s="7">
        <f>'[2]Production Summary'!J19</f>
        <v>0</v>
      </c>
      <c r="C18" s="8">
        <f t="shared" si="0"/>
        <v>0</v>
      </c>
      <c r="D18" s="10">
        <f t="shared" si="1"/>
        <v>0</v>
      </c>
      <c r="E18" s="7">
        <f>'[2]Production Summary'!E19</f>
        <v>0</v>
      </c>
      <c r="F18" s="8">
        <f t="shared" si="2"/>
        <v>0</v>
      </c>
      <c r="G18" s="10">
        <f t="shared" si="3"/>
        <v>0</v>
      </c>
      <c r="H18" s="7">
        <f>'[2]Production Summary'!G19</f>
        <v>0</v>
      </c>
      <c r="I18" s="8">
        <f t="shared" si="4"/>
        <v>0</v>
      </c>
      <c r="J18" s="10">
        <f t="shared" si="5"/>
        <v>0</v>
      </c>
      <c r="K18" s="7">
        <f>'[2]Production Summary'!T19</f>
        <v>0</v>
      </c>
      <c r="L18" s="8">
        <f t="shared" si="6"/>
        <v>0</v>
      </c>
      <c r="M18" s="10">
        <f t="shared" si="7"/>
        <v>0</v>
      </c>
      <c r="N18" s="21"/>
      <c r="O18" s="7">
        <f>'[2]Production Summary'!I19</f>
        <v>11633999.999999998</v>
      </c>
      <c r="P18" s="8">
        <f t="shared" si="8"/>
        <v>11.633999999999999</v>
      </c>
      <c r="Q18" s="10">
        <f t="shared" si="9"/>
        <v>35.716379999999994</v>
      </c>
      <c r="R18" s="7">
        <f>'[2]Production Summary'!C19</f>
        <v>11872000</v>
      </c>
      <c r="S18" s="8">
        <f t="shared" si="10"/>
        <v>11.872</v>
      </c>
      <c r="T18" s="10">
        <f t="shared" si="11"/>
        <v>36.447040000000001</v>
      </c>
      <c r="U18" s="7">
        <f>'[2]Production Summary'!F19</f>
        <v>0</v>
      </c>
      <c r="V18" s="8">
        <f t="shared" si="12"/>
        <v>0</v>
      </c>
      <c r="W18" s="10">
        <f t="shared" si="13"/>
        <v>0</v>
      </c>
      <c r="X18" s="7">
        <f>'[2]Production Summary'!AB19</f>
        <v>231000.00000000166</v>
      </c>
      <c r="Y18" s="8">
        <f t="shared" si="14"/>
        <v>0.23100000000000165</v>
      </c>
      <c r="Z18" s="10">
        <f t="shared" si="15"/>
        <v>0.70917000000000507</v>
      </c>
      <c r="AA18" s="15"/>
      <c r="AB18" s="7">
        <f t="shared" si="16"/>
        <v>11633999.999999998</v>
      </c>
      <c r="AC18" s="8">
        <f t="shared" si="16"/>
        <v>11.633999999999999</v>
      </c>
      <c r="AD18" s="8">
        <f t="shared" si="16"/>
        <v>35.716379999999994</v>
      </c>
    </row>
    <row r="19" spans="1:30" x14ac:dyDescent="0.15">
      <c r="A19" s="27">
        <v>43115</v>
      </c>
      <c r="B19" s="7">
        <f>'[2]Production Summary'!J20</f>
        <v>0</v>
      </c>
      <c r="C19" s="8">
        <f t="shared" si="0"/>
        <v>0</v>
      </c>
      <c r="D19" s="10">
        <f t="shared" si="1"/>
        <v>0</v>
      </c>
      <c r="E19" s="7">
        <f>'[2]Production Summary'!E20</f>
        <v>0</v>
      </c>
      <c r="F19" s="8">
        <f t="shared" si="2"/>
        <v>0</v>
      </c>
      <c r="G19" s="10">
        <f t="shared" si="3"/>
        <v>0</v>
      </c>
      <c r="H19" s="7">
        <f>'[2]Production Summary'!G20</f>
        <v>0</v>
      </c>
      <c r="I19" s="8">
        <f t="shared" si="4"/>
        <v>0</v>
      </c>
      <c r="J19" s="10">
        <f t="shared" si="5"/>
        <v>0</v>
      </c>
      <c r="K19" s="7">
        <f>'[2]Production Summary'!T20</f>
        <v>0</v>
      </c>
      <c r="L19" s="8">
        <f t="shared" si="6"/>
        <v>0</v>
      </c>
      <c r="M19" s="10">
        <f t="shared" si="7"/>
        <v>0</v>
      </c>
      <c r="N19" s="21"/>
      <c r="O19" s="7">
        <f>'[2]Production Summary'!I20</f>
        <v>11889000.000000002</v>
      </c>
      <c r="P19" s="8">
        <f t="shared" si="8"/>
        <v>11.889000000000001</v>
      </c>
      <c r="Q19" s="10">
        <f t="shared" si="9"/>
        <v>36.499230000000004</v>
      </c>
      <c r="R19" s="7">
        <f>'[2]Production Summary'!C20</f>
        <v>12181000</v>
      </c>
      <c r="S19" s="8">
        <f t="shared" si="10"/>
        <v>12.180999999999999</v>
      </c>
      <c r="T19" s="10">
        <f t="shared" si="11"/>
        <v>37.395669999999996</v>
      </c>
      <c r="U19" s="7">
        <f>'[2]Production Summary'!F20</f>
        <v>0</v>
      </c>
      <c r="V19" s="8">
        <f t="shared" si="12"/>
        <v>0</v>
      </c>
      <c r="W19" s="10">
        <f t="shared" si="13"/>
        <v>0</v>
      </c>
      <c r="X19" s="7">
        <f>'[2]Production Summary'!AB20</f>
        <v>283999.99999999889</v>
      </c>
      <c r="Y19" s="8">
        <f t="shared" si="14"/>
        <v>0.28399999999999892</v>
      </c>
      <c r="Z19" s="10">
        <f t="shared" si="15"/>
        <v>0.87187999999999666</v>
      </c>
      <c r="AA19" s="15"/>
      <c r="AB19" s="7">
        <f t="shared" si="16"/>
        <v>11889000.000000002</v>
      </c>
      <c r="AC19" s="8">
        <f t="shared" si="16"/>
        <v>11.889000000000001</v>
      </c>
      <c r="AD19" s="8">
        <f>D19+Q19</f>
        <v>36.499230000000004</v>
      </c>
    </row>
    <row r="20" spans="1:30" x14ac:dyDescent="0.15">
      <c r="A20" s="27">
        <v>43116</v>
      </c>
      <c r="B20" s="7">
        <f>'[2]Production Summary'!J21</f>
        <v>0</v>
      </c>
      <c r="C20" s="8">
        <f t="shared" si="0"/>
        <v>0</v>
      </c>
      <c r="D20" s="10">
        <f t="shared" si="1"/>
        <v>0</v>
      </c>
      <c r="E20" s="7">
        <f>'[2]Production Summary'!E21</f>
        <v>0</v>
      </c>
      <c r="F20" s="8">
        <f t="shared" si="2"/>
        <v>0</v>
      </c>
      <c r="G20" s="10">
        <f t="shared" si="3"/>
        <v>0</v>
      </c>
      <c r="H20" s="7">
        <f>'[2]Production Summary'!G21</f>
        <v>0</v>
      </c>
      <c r="I20" s="8">
        <f t="shared" si="4"/>
        <v>0</v>
      </c>
      <c r="J20" s="10">
        <f t="shared" si="5"/>
        <v>0</v>
      </c>
      <c r="K20" s="7">
        <f>'[2]Production Summary'!T21</f>
        <v>0</v>
      </c>
      <c r="L20" s="8">
        <f t="shared" si="6"/>
        <v>0</v>
      </c>
      <c r="M20" s="10">
        <f t="shared" si="7"/>
        <v>0</v>
      </c>
      <c r="N20" s="21"/>
      <c r="O20" s="7">
        <f>'[2]Production Summary'!I21</f>
        <v>12306000</v>
      </c>
      <c r="P20" s="8">
        <f t="shared" si="8"/>
        <v>12.305999999999999</v>
      </c>
      <c r="Q20" s="10">
        <f t="shared" si="9"/>
        <v>37.779419999999995</v>
      </c>
      <c r="R20" s="7">
        <f>'[2]Production Summary'!C21</f>
        <v>12538000</v>
      </c>
      <c r="S20" s="8">
        <f t="shared" si="10"/>
        <v>12.538</v>
      </c>
      <c r="T20" s="10">
        <f t="shared" si="11"/>
        <v>38.491659999999996</v>
      </c>
      <c r="U20" s="7">
        <f>'[2]Production Summary'!F21</f>
        <v>0</v>
      </c>
      <c r="V20" s="8">
        <f t="shared" si="12"/>
        <v>0</v>
      </c>
      <c r="W20" s="10">
        <f t="shared" si="13"/>
        <v>0</v>
      </c>
      <c r="X20" s="7">
        <f>'[2]Production Summary'!AB21</f>
        <v>225999.9999999991</v>
      </c>
      <c r="Y20" s="8">
        <f t="shared" si="14"/>
        <v>0.22599999999999909</v>
      </c>
      <c r="Z20" s="10">
        <f t="shared" si="15"/>
        <v>0.69381999999999722</v>
      </c>
      <c r="AA20" s="15"/>
      <c r="AB20" s="7">
        <f t="shared" si="16"/>
        <v>12306000</v>
      </c>
      <c r="AC20" s="8">
        <f t="shared" si="16"/>
        <v>12.305999999999999</v>
      </c>
      <c r="AD20" s="8">
        <f t="shared" si="16"/>
        <v>37.779419999999995</v>
      </c>
    </row>
    <row r="21" spans="1:30" x14ac:dyDescent="0.15">
      <c r="A21" s="27">
        <v>43117</v>
      </c>
      <c r="B21" s="7">
        <f>'[2]Production Summary'!J22</f>
        <v>0</v>
      </c>
      <c r="C21" s="8">
        <f t="shared" si="0"/>
        <v>0</v>
      </c>
      <c r="D21" s="10">
        <f t="shared" si="1"/>
        <v>0</v>
      </c>
      <c r="E21" s="7">
        <f>'[2]Production Summary'!E22</f>
        <v>0</v>
      </c>
      <c r="F21" s="8">
        <f t="shared" si="2"/>
        <v>0</v>
      </c>
      <c r="G21" s="10">
        <f t="shared" si="3"/>
        <v>0</v>
      </c>
      <c r="H21" s="7">
        <f>'[2]Production Summary'!G22</f>
        <v>0</v>
      </c>
      <c r="I21" s="8">
        <f t="shared" si="4"/>
        <v>0</v>
      </c>
      <c r="J21" s="10">
        <f t="shared" si="5"/>
        <v>0</v>
      </c>
      <c r="K21" s="7">
        <f>'[2]Production Summary'!T22</f>
        <v>0</v>
      </c>
      <c r="L21" s="8">
        <f t="shared" si="6"/>
        <v>0</v>
      </c>
      <c r="M21" s="10">
        <f t="shared" si="7"/>
        <v>0</v>
      </c>
      <c r="N21" s="21"/>
      <c r="O21" s="7">
        <f>'[2]Production Summary'!I22</f>
        <v>12833000.000000002</v>
      </c>
      <c r="P21" s="8">
        <f t="shared" si="8"/>
        <v>12.833000000000002</v>
      </c>
      <c r="Q21" s="10">
        <f t="shared" si="9"/>
        <v>39.397310000000004</v>
      </c>
      <c r="R21" s="7">
        <f>'[2]Production Summary'!C22</f>
        <v>12955000</v>
      </c>
      <c r="S21" s="8">
        <f t="shared" si="10"/>
        <v>12.955</v>
      </c>
      <c r="T21" s="10">
        <f t="shared" si="11"/>
        <v>39.771850000000001</v>
      </c>
      <c r="U21" s="7">
        <f>'[2]Production Summary'!F22</f>
        <v>0</v>
      </c>
      <c r="V21" s="8">
        <f t="shared" si="12"/>
        <v>0</v>
      </c>
      <c r="W21" s="10">
        <f t="shared" si="13"/>
        <v>0</v>
      </c>
      <c r="X21" s="7">
        <f>'[2]Production Summary'!AB22</f>
        <v>116999.99999999732</v>
      </c>
      <c r="Y21" s="8">
        <f t="shared" si="14"/>
        <v>0.11699999999999733</v>
      </c>
      <c r="Z21" s="10">
        <f t="shared" si="15"/>
        <v>0.35918999999999179</v>
      </c>
      <c r="AA21" s="15"/>
      <c r="AB21" s="7">
        <f t="shared" si="16"/>
        <v>12833000.000000002</v>
      </c>
      <c r="AC21" s="8">
        <f t="shared" si="16"/>
        <v>12.833000000000002</v>
      </c>
      <c r="AD21" s="8">
        <f t="shared" si="16"/>
        <v>39.397310000000004</v>
      </c>
    </row>
    <row r="22" spans="1:30" x14ac:dyDescent="0.15">
      <c r="A22" s="27">
        <v>43118</v>
      </c>
      <c r="B22" s="7">
        <f>'[2]Production Summary'!J23</f>
        <v>0</v>
      </c>
      <c r="C22" s="8">
        <f t="shared" si="0"/>
        <v>0</v>
      </c>
      <c r="D22" s="10">
        <f t="shared" si="1"/>
        <v>0</v>
      </c>
      <c r="E22" s="7">
        <f>'[2]Production Summary'!E23</f>
        <v>0</v>
      </c>
      <c r="F22" s="8">
        <f t="shared" si="2"/>
        <v>0</v>
      </c>
      <c r="G22" s="10">
        <f t="shared" si="3"/>
        <v>0</v>
      </c>
      <c r="H22" s="7">
        <f>'[2]Production Summary'!G23</f>
        <v>0</v>
      </c>
      <c r="I22" s="8">
        <f t="shared" si="4"/>
        <v>0</v>
      </c>
      <c r="J22" s="10">
        <f t="shared" si="5"/>
        <v>0</v>
      </c>
      <c r="K22" s="7">
        <f>'[2]Production Summary'!T23</f>
        <v>211740</v>
      </c>
      <c r="L22" s="8">
        <f t="shared" si="6"/>
        <v>0.21174000000000001</v>
      </c>
      <c r="M22" s="10">
        <f t="shared" si="7"/>
        <v>0.6500418</v>
      </c>
      <c r="N22" s="21"/>
      <c r="O22" s="7">
        <f>'[2]Production Summary'!I23</f>
        <v>12743999.999999996</v>
      </c>
      <c r="P22" s="8">
        <f t="shared" si="8"/>
        <v>12.743999999999996</v>
      </c>
      <c r="Q22" s="10">
        <f t="shared" si="9"/>
        <v>39.124079999999985</v>
      </c>
      <c r="R22" s="7">
        <f>'[2]Production Summary'!C23</f>
        <v>13030000</v>
      </c>
      <c r="S22" s="8">
        <f t="shared" si="10"/>
        <v>13.03</v>
      </c>
      <c r="T22" s="10">
        <f t="shared" si="11"/>
        <v>40.002099999999999</v>
      </c>
      <c r="U22" s="7">
        <f>'[2]Production Summary'!F23</f>
        <v>0</v>
      </c>
      <c r="V22" s="8">
        <f t="shared" si="12"/>
        <v>0</v>
      </c>
      <c r="W22" s="10">
        <f t="shared" si="13"/>
        <v>0</v>
      </c>
      <c r="X22" s="7">
        <f>'[2]Production Summary'!AB23</f>
        <v>279000.00000000349</v>
      </c>
      <c r="Y22" s="8">
        <f t="shared" si="14"/>
        <v>0.27900000000000347</v>
      </c>
      <c r="Z22" s="10">
        <f t="shared" si="15"/>
        <v>0.85653000000001056</v>
      </c>
      <c r="AA22" s="15"/>
      <c r="AB22" s="7">
        <f t="shared" si="16"/>
        <v>12743999.999999996</v>
      </c>
      <c r="AC22" s="8">
        <f t="shared" si="16"/>
        <v>12.743999999999996</v>
      </c>
      <c r="AD22" s="8">
        <f t="shared" si="16"/>
        <v>39.124079999999985</v>
      </c>
    </row>
    <row r="23" spans="1:30" x14ac:dyDescent="0.15">
      <c r="A23" s="27">
        <v>43119</v>
      </c>
      <c r="B23" s="7">
        <f>'[2]Production Summary'!J24</f>
        <v>0</v>
      </c>
      <c r="C23" s="8">
        <f t="shared" si="0"/>
        <v>0</v>
      </c>
      <c r="D23" s="10">
        <f t="shared" si="1"/>
        <v>0</v>
      </c>
      <c r="E23" s="7">
        <f>'[2]Production Summary'!E24</f>
        <v>0</v>
      </c>
      <c r="F23" s="8">
        <f t="shared" si="2"/>
        <v>0</v>
      </c>
      <c r="G23" s="10">
        <f t="shared" si="3"/>
        <v>0</v>
      </c>
      <c r="H23" s="7">
        <f>'[2]Production Summary'!G24</f>
        <v>0</v>
      </c>
      <c r="I23" s="8">
        <f t="shared" si="4"/>
        <v>0</v>
      </c>
      <c r="J23" s="10">
        <f t="shared" si="5"/>
        <v>0</v>
      </c>
      <c r="K23" s="7">
        <f>'[2]Production Summary'!T24</f>
        <v>8597</v>
      </c>
      <c r="L23" s="8">
        <f t="shared" si="6"/>
        <v>8.5970000000000005E-3</v>
      </c>
      <c r="M23" s="10">
        <f t="shared" si="7"/>
        <v>2.6392789999999999E-2</v>
      </c>
      <c r="N23" s="21"/>
      <c r="O23" s="7">
        <f>'[2]Production Summary'!I24</f>
        <v>12725000.000000004</v>
      </c>
      <c r="P23" s="8">
        <f t="shared" si="8"/>
        <v>12.725000000000003</v>
      </c>
      <c r="Q23" s="10">
        <f t="shared" si="9"/>
        <v>39.065750000000008</v>
      </c>
      <c r="R23" s="7">
        <f>'[2]Production Summary'!C24</f>
        <v>13009000</v>
      </c>
      <c r="S23" s="8">
        <f t="shared" si="10"/>
        <v>13.009</v>
      </c>
      <c r="T23" s="10">
        <f t="shared" si="11"/>
        <v>39.937629999999999</v>
      </c>
      <c r="U23" s="7">
        <f>'[2]Production Summary'!F24</f>
        <v>3000</v>
      </c>
      <c r="V23" s="8">
        <f t="shared" si="12"/>
        <v>3.0000000000000001E-3</v>
      </c>
      <c r="W23" s="10">
        <f t="shared" si="13"/>
        <v>9.2099999999999994E-3</v>
      </c>
      <c r="X23" s="7">
        <f>'[2]Production Summary'!AB24</f>
        <v>275999.99999999627</v>
      </c>
      <c r="Y23" s="8">
        <f t="shared" si="14"/>
        <v>0.27599999999999625</v>
      </c>
      <c r="Z23" s="10">
        <f t="shared" si="15"/>
        <v>0.84731999999998842</v>
      </c>
      <c r="AA23" s="15"/>
      <c r="AB23" s="7">
        <f t="shared" si="16"/>
        <v>12725000.000000004</v>
      </c>
      <c r="AC23" s="8">
        <f t="shared" si="16"/>
        <v>12.725000000000003</v>
      </c>
      <c r="AD23" s="8">
        <f t="shared" si="16"/>
        <v>39.065750000000008</v>
      </c>
    </row>
    <row r="24" spans="1:30" x14ac:dyDescent="0.15">
      <c r="A24" s="27">
        <v>43120</v>
      </c>
      <c r="B24" s="7">
        <f>'[2]Production Summary'!J25</f>
        <v>0</v>
      </c>
      <c r="C24" s="8">
        <f t="shared" si="0"/>
        <v>0</v>
      </c>
      <c r="D24" s="10">
        <f t="shared" si="1"/>
        <v>0</v>
      </c>
      <c r="E24" s="7">
        <f>'[2]Production Summary'!E25</f>
        <v>0</v>
      </c>
      <c r="F24" s="8">
        <f t="shared" si="2"/>
        <v>0</v>
      </c>
      <c r="G24" s="10">
        <f t="shared" si="3"/>
        <v>0</v>
      </c>
      <c r="H24" s="7">
        <f>'[2]Production Summary'!G25</f>
        <v>0</v>
      </c>
      <c r="I24" s="8">
        <f t="shared" si="4"/>
        <v>0</v>
      </c>
      <c r="J24" s="10">
        <f t="shared" si="5"/>
        <v>0</v>
      </c>
      <c r="K24" s="7">
        <f>'[2]Production Summary'!T25</f>
        <v>0</v>
      </c>
      <c r="L24" s="8">
        <f t="shared" si="6"/>
        <v>0</v>
      </c>
      <c r="M24" s="10">
        <f t="shared" si="7"/>
        <v>0</v>
      </c>
      <c r="N24" s="21"/>
      <c r="O24" s="7">
        <f>'[2]Production Summary'!I25</f>
        <v>12716999.999999996</v>
      </c>
      <c r="P24" s="8">
        <f t="shared" si="8"/>
        <v>12.716999999999997</v>
      </c>
      <c r="Q24" s="10">
        <f t="shared" si="9"/>
        <v>39.041189999999986</v>
      </c>
      <c r="R24" s="7">
        <f>'[2]Production Summary'!C25</f>
        <v>12995000</v>
      </c>
      <c r="S24" s="8">
        <f t="shared" si="10"/>
        <v>12.994999999999999</v>
      </c>
      <c r="T24" s="10">
        <f t="shared" si="11"/>
        <v>39.894649999999999</v>
      </c>
      <c r="U24" s="7">
        <f>'[2]Production Summary'!F25</f>
        <v>0</v>
      </c>
      <c r="V24" s="8">
        <f t="shared" si="12"/>
        <v>0</v>
      </c>
      <c r="W24" s="10">
        <f t="shared" si="13"/>
        <v>0</v>
      </c>
      <c r="X24" s="7">
        <f>'[2]Production Summary'!AB25</f>
        <v>270000.00000000314</v>
      </c>
      <c r="Y24" s="8">
        <f t="shared" si="14"/>
        <v>0.27000000000000313</v>
      </c>
      <c r="Z24" s="10">
        <f t="shared" si="15"/>
        <v>0.82890000000000952</v>
      </c>
      <c r="AA24" s="15"/>
      <c r="AB24" s="7">
        <f t="shared" si="16"/>
        <v>12716999.999999996</v>
      </c>
      <c r="AC24" s="8">
        <f t="shared" si="16"/>
        <v>12.716999999999997</v>
      </c>
      <c r="AD24" s="8">
        <f>D24+Q24</f>
        <v>39.041189999999986</v>
      </c>
    </row>
    <row r="25" spans="1:30" x14ac:dyDescent="0.15">
      <c r="A25" s="27">
        <v>43121</v>
      </c>
      <c r="B25" s="7">
        <f>'[2]Production Summary'!J26</f>
        <v>0</v>
      </c>
      <c r="C25" s="8">
        <f t="shared" si="0"/>
        <v>0</v>
      </c>
      <c r="D25" s="10">
        <f t="shared" si="1"/>
        <v>0</v>
      </c>
      <c r="E25" s="7">
        <f>'[2]Production Summary'!E26</f>
        <v>0</v>
      </c>
      <c r="F25" s="8">
        <f t="shared" si="2"/>
        <v>0</v>
      </c>
      <c r="G25" s="10">
        <f t="shared" si="3"/>
        <v>0</v>
      </c>
      <c r="H25" s="7">
        <f>'[2]Production Summary'!G26</f>
        <v>0</v>
      </c>
      <c r="I25" s="8">
        <f t="shared" si="4"/>
        <v>0</v>
      </c>
      <c r="J25" s="10">
        <f t="shared" si="5"/>
        <v>0</v>
      </c>
      <c r="K25" s="7">
        <f>'[2]Production Summary'!T26</f>
        <v>0</v>
      </c>
      <c r="L25" s="8">
        <f t="shared" si="6"/>
        <v>0</v>
      </c>
      <c r="M25" s="10">
        <f t="shared" si="7"/>
        <v>0</v>
      </c>
      <c r="N25" s="21"/>
      <c r="O25" s="7">
        <f>'[2]Production Summary'!I26</f>
        <v>12916999.999999998</v>
      </c>
      <c r="P25" s="8">
        <f t="shared" si="8"/>
        <v>12.916999999999998</v>
      </c>
      <c r="Q25" s="10">
        <f t="shared" si="9"/>
        <v>39.65518999999999</v>
      </c>
      <c r="R25" s="7">
        <f>'[2]Production Summary'!C26</f>
        <v>13154000</v>
      </c>
      <c r="S25" s="8">
        <f t="shared" si="10"/>
        <v>13.154</v>
      </c>
      <c r="T25" s="10">
        <f t="shared" si="11"/>
        <v>40.382779999999997</v>
      </c>
      <c r="U25" s="7">
        <f>'[2]Production Summary'!F26</f>
        <v>0</v>
      </c>
      <c r="V25" s="8">
        <f t="shared" si="12"/>
        <v>0</v>
      </c>
      <c r="W25" s="10">
        <f t="shared" si="13"/>
        <v>0</v>
      </c>
      <c r="X25" s="7">
        <f>'[2]Production Summary'!AB26</f>
        <v>231000.00000000166</v>
      </c>
      <c r="Y25" s="8">
        <f t="shared" si="14"/>
        <v>0.23100000000000165</v>
      </c>
      <c r="Z25" s="10">
        <f t="shared" si="15"/>
        <v>0.70917000000000507</v>
      </c>
      <c r="AA25" s="15"/>
      <c r="AB25" s="7">
        <f t="shared" si="16"/>
        <v>12916999.999999998</v>
      </c>
      <c r="AC25" s="8">
        <f t="shared" si="16"/>
        <v>12.916999999999998</v>
      </c>
      <c r="AD25" s="8">
        <f t="shared" si="16"/>
        <v>39.65518999999999</v>
      </c>
    </row>
    <row r="26" spans="1:30" x14ac:dyDescent="0.15">
      <c r="A26" s="27">
        <v>43122</v>
      </c>
      <c r="B26" s="7">
        <f>'[2]Production Summary'!J27</f>
        <v>0</v>
      </c>
      <c r="C26" s="8">
        <f t="shared" si="0"/>
        <v>0</v>
      </c>
      <c r="D26" s="10">
        <f t="shared" si="1"/>
        <v>0</v>
      </c>
      <c r="E26" s="7">
        <f>'[2]Production Summary'!E27</f>
        <v>0</v>
      </c>
      <c r="F26" s="8">
        <f t="shared" si="2"/>
        <v>0</v>
      </c>
      <c r="G26" s="10">
        <f t="shared" si="3"/>
        <v>0</v>
      </c>
      <c r="H26" s="7">
        <f>'[2]Production Summary'!G27</f>
        <v>0</v>
      </c>
      <c r="I26" s="8">
        <f t="shared" si="4"/>
        <v>0</v>
      </c>
      <c r="J26" s="10">
        <f t="shared" si="5"/>
        <v>0</v>
      </c>
      <c r="K26" s="7">
        <f>'[2]Production Summary'!T27</f>
        <v>0</v>
      </c>
      <c r="L26" s="8">
        <f t="shared" si="6"/>
        <v>0</v>
      </c>
      <c r="M26" s="10">
        <f t="shared" si="7"/>
        <v>0</v>
      </c>
      <c r="N26" s="21"/>
      <c r="O26" s="7">
        <f>'[2]Production Summary'!I27</f>
        <v>12736000</v>
      </c>
      <c r="P26" s="8">
        <f t="shared" si="8"/>
        <v>12.736000000000001</v>
      </c>
      <c r="Q26" s="10">
        <f t="shared" si="9"/>
        <v>39.099519999999998</v>
      </c>
      <c r="R26" s="7">
        <f>'[2]Production Summary'!C27</f>
        <v>12912000</v>
      </c>
      <c r="S26" s="8">
        <f t="shared" si="10"/>
        <v>12.912000000000001</v>
      </c>
      <c r="T26" s="10">
        <f t="shared" si="11"/>
        <v>39.63984</v>
      </c>
      <c r="U26" s="7">
        <f>'[2]Production Summary'!F27</f>
        <v>0</v>
      </c>
      <c r="V26" s="8">
        <f t="shared" si="12"/>
        <v>0</v>
      </c>
      <c r="W26" s="10">
        <f t="shared" si="13"/>
        <v>0</v>
      </c>
      <c r="X26" s="7">
        <f>'[2]Production Summary'!AB27</f>
        <v>170999.99999999939</v>
      </c>
      <c r="Y26" s="8">
        <f t="shared" si="14"/>
        <v>0.1709999999999994</v>
      </c>
      <c r="Z26" s="10">
        <f t="shared" si="15"/>
        <v>0.52496999999999816</v>
      </c>
      <c r="AA26" s="15"/>
      <c r="AB26" s="7">
        <f t="shared" si="16"/>
        <v>12736000</v>
      </c>
      <c r="AC26" s="8">
        <f t="shared" si="16"/>
        <v>12.736000000000001</v>
      </c>
      <c r="AD26" s="8">
        <f t="shared" si="16"/>
        <v>39.099519999999998</v>
      </c>
    </row>
    <row r="27" spans="1:30" x14ac:dyDescent="0.15">
      <c r="A27" s="27">
        <v>43123</v>
      </c>
      <c r="B27" s="7">
        <f>'[2]Production Summary'!J28</f>
        <v>0</v>
      </c>
      <c r="C27" s="8">
        <f t="shared" si="0"/>
        <v>0</v>
      </c>
      <c r="D27" s="10">
        <f t="shared" si="1"/>
        <v>0</v>
      </c>
      <c r="E27" s="7">
        <f>'[2]Production Summary'!E28</f>
        <v>0</v>
      </c>
      <c r="F27" s="8">
        <f t="shared" si="2"/>
        <v>0</v>
      </c>
      <c r="G27" s="10">
        <f t="shared" si="3"/>
        <v>0</v>
      </c>
      <c r="H27" s="7">
        <f>'[2]Production Summary'!G28</f>
        <v>0</v>
      </c>
      <c r="I27" s="8">
        <f t="shared" si="4"/>
        <v>0</v>
      </c>
      <c r="J27" s="10">
        <f t="shared" si="5"/>
        <v>0</v>
      </c>
      <c r="K27" s="7">
        <f>'[2]Production Summary'!T28</f>
        <v>0</v>
      </c>
      <c r="L27" s="8">
        <f t="shared" si="6"/>
        <v>0</v>
      </c>
      <c r="M27" s="10">
        <f t="shared" si="7"/>
        <v>0</v>
      </c>
      <c r="N27" s="21"/>
      <c r="O27" s="7">
        <f>'[2]Production Summary'!I28</f>
        <v>12258000.000000002</v>
      </c>
      <c r="P27" s="8">
        <f t="shared" si="8"/>
        <v>12.258000000000003</v>
      </c>
      <c r="Q27" s="10">
        <f t="shared" si="9"/>
        <v>37.632060000000003</v>
      </c>
      <c r="R27" s="7">
        <f>'[2]Production Summary'!C28</f>
        <v>12604000</v>
      </c>
      <c r="S27" s="8">
        <f t="shared" si="10"/>
        <v>12.603999999999999</v>
      </c>
      <c r="T27" s="10">
        <f t="shared" si="11"/>
        <v>38.694279999999992</v>
      </c>
      <c r="U27" s="7">
        <f>'[2]Production Summary'!F28</f>
        <v>7000</v>
      </c>
      <c r="V27" s="8">
        <f t="shared" si="12"/>
        <v>7.0000000000000001E-3</v>
      </c>
      <c r="W27" s="10">
        <f t="shared" si="13"/>
        <v>2.1489999999999999E-2</v>
      </c>
      <c r="X27" s="7">
        <f>'[2]Production Summary'!AB28</f>
        <v>335999.99999999854</v>
      </c>
      <c r="Y27" s="8">
        <f t="shared" si="14"/>
        <v>0.33599999999999852</v>
      </c>
      <c r="Z27" s="10">
        <f t="shared" si="15"/>
        <v>1.0315199999999953</v>
      </c>
      <c r="AA27" s="15"/>
      <c r="AB27" s="7">
        <f t="shared" si="16"/>
        <v>12258000.000000002</v>
      </c>
      <c r="AC27" s="8">
        <f t="shared" si="16"/>
        <v>12.258000000000003</v>
      </c>
      <c r="AD27" s="8">
        <f t="shared" si="16"/>
        <v>37.632060000000003</v>
      </c>
    </row>
    <row r="28" spans="1:30" x14ac:dyDescent="0.15">
      <c r="A28" s="27">
        <v>43124</v>
      </c>
      <c r="B28" s="7">
        <f>'[2]Production Summary'!J29</f>
        <v>0</v>
      </c>
      <c r="C28" s="8">
        <f t="shared" si="0"/>
        <v>0</v>
      </c>
      <c r="D28" s="10">
        <f t="shared" si="1"/>
        <v>0</v>
      </c>
      <c r="E28" s="7">
        <f>'[2]Production Summary'!E29</f>
        <v>0</v>
      </c>
      <c r="F28" s="8">
        <f t="shared" si="2"/>
        <v>0</v>
      </c>
      <c r="G28" s="10">
        <f t="shared" si="3"/>
        <v>0</v>
      </c>
      <c r="H28" s="7">
        <f>'[2]Production Summary'!G29</f>
        <v>0</v>
      </c>
      <c r="I28" s="8">
        <f t="shared" si="4"/>
        <v>0</v>
      </c>
      <c r="J28" s="10">
        <f t="shared" si="5"/>
        <v>0</v>
      </c>
      <c r="K28" s="7">
        <f>'[2]Production Summary'!T29</f>
        <v>284803</v>
      </c>
      <c r="L28" s="8">
        <f t="shared" si="6"/>
        <v>0.28480299999999997</v>
      </c>
      <c r="M28" s="10">
        <f t="shared" si="7"/>
        <v>0.87434520999999987</v>
      </c>
      <c r="N28" s="21"/>
      <c r="O28" s="7">
        <f>'[2]Production Summary'!I29</f>
        <v>12069000.000000004</v>
      </c>
      <c r="P28" s="8">
        <f t="shared" si="8"/>
        <v>12.069000000000004</v>
      </c>
      <c r="Q28" s="10">
        <f t="shared" si="9"/>
        <v>37.05183000000001</v>
      </c>
      <c r="R28" s="7">
        <f>'[2]Production Summary'!C29</f>
        <v>12278000</v>
      </c>
      <c r="S28" s="8">
        <f t="shared" si="10"/>
        <v>12.278</v>
      </c>
      <c r="T28" s="10">
        <f t="shared" si="11"/>
        <v>37.693460000000002</v>
      </c>
      <c r="U28" s="7">
        <f>'[2]Production Summary'!F29</f>
        <v>1000</v>
      </c>
      <c r="V28" s="8">
        <f t="shared" si="12"/>
        <v>1E-3</v>
      </c>
      <c r="W28" s="10">
        <f t="shared" si="13"/>
        <v>3.0699999999999998E-3</v>
      </c>
      <c r="X28" s="7">
        <f>'[2]Production Summary'!AB29</f>
        <v>202999.99999999584</v>
      </c>
      <c r="Y28" s="8">
        <f t="shared" si="14"/>
        <v>0.20299999999999585</v>
      </c>
      <c r="Z28" s="10">
        <f t="shared" si="15"/>
        <v>0.62320999999998727</v>
      </c>
      <c r="AA28" s="15"/>
      <c r="AB28" s="7">
        <f t="shared" si="16"/>
        <v>12069000.000000004</v>
      </c>
      <c r="AC28" s="8">
        <f t="shared" si="16"/>
        <v>12.069000000000004</v>
      </c>
      <c r="AD28" s="8">
        <f t="shared" si="16"/>
        <v>37.05183000000001</v>
      </c>
    </row>
    <row r="29" spans="1:30" x14ac:dyDescent="0.15">
      <c r="A29" s="27">
        <v>43125</v>
      </c>
      <c r="B29" s="7">
        <f>'[2]Production Summary'!J30</f>
        <v>0</v>
      </c>
      <c r="C29" s="8">
        <f t="shared" si="0"/>
        <v>0</v>
      </c>
      <c r="D29" s="10">
        <f t="shared" si="1"/>
        <v>0</v>
      </c>
      <c r="E29" s="7">
        <f>'[2]Production Summary'!E30</f>
        <v>0</v>
      </c>
      <c r="F29" s="8">
        <f t="shared" si="2"/>
        <v>0</v>
      </c>
      <c r="G29" s="10">
        <f t="shared" si="3"/>
        <v>0</v>
      </c>
      <c r="H29" s="7">
        <f>'[2]Production Summary'!G30</f>
        <v>0</v>
      </c>
      <c r="I29" s="8">
        <f t="shared" si="4"/>
        <v>0</v>
      </c>
      <c r="J29" s="10">
        <f t="shared" si="5"/>
        <v>0</v>
      </c>
      <c r="K29" s="7">
        <f>'[2]Production Summary'!T30</f>
        <v>0</v>
      </c>
      <c r="L29" s="8">
        <f t="shared" si="6"/>
        <v>0</v>
      </c>
      <c r="M29" s="10">
        <f t="shared" si="7"/>
        <v>0</v>
      </c>
      <c r="N29" s="21"/>
      <c r="O29" s="7">
        <f>'[2]Production Summary'!I30</f>
        <v>12135999.999999998</v>
      </c>
      <c r="P29" s="8">
        <f t="shared" si="8"/>
        <v>12.135999999999997</v>
      </c>
      <c r="Q29" s="10">
        <f t="shared" si="9"/>
        <v>37.257519999999992</v>
      </c>
      <c r="R29" s="7">
        <f>'[2]Production Summary'!C30</f>
        <v>12326000</v>
      </c>
      <c r="S29" s="8">
        <f t="shared" si="10"/>
        <v>12.326000000000001</v>
      </c>
      <c r="T29" s="10">
        <f t="shared" si="11"/>
        <v>37.840820000000001</v>
      </c>
      <c r="U29" s="7">
        <f>'[2]Production Summary'!F30</f>
        <v>0</v>
      </c>
      <c r="V29" s="8">
        <f t="shared" si="12"/>
        <v>0</v>
      </c>
      <c r="W29" s="10">
        <f t="shared" si="13"/>
        <v>0</v>
      </c>
      <c r="X29" s="7">
        <f>'[2]Production Summary'!AB30</f>
        <v>185000.00000000227</v>
      </c>
      <c r="Y29" s="8">
        <f t="shared" si="14"/>
        <v>0.18500000000000227</v>
      </c>
      <c r="Z29" s="10">
        <f t="shared" si="15"/>
        <v>0.56795000000000695</v>
      </c>
      <c r="AA29" s="15"/>
      <c r="AB29" s="7">
        <f t="shared" si="16"/>
        <v>12135999.999999998</v>
      </c>
      <c r="AC29" s="8">
        <f t="shared" si="16"/>
        <v>12.135999999999997</v>
      </c>
      <c r="AD29" s="8">
        <f t="shared" si="16"/>
        <v>37.257519999999992</v>
      </c>
    </row>
    <row r="30" spans="1:30" x14ac:dyDescent="0.15">
      <c r="A30" s="27">
        <v>43126</v>
      </c>
      <c r="B30" s="7">
        <f>'[2]Production Summary'!J31</f>
        <v>0</v>
      </c>
      <c r="C30" s="8">
        <f t="shared" si="0"/>
        <v>0</v>
      </c>
      <c r="D30" s="10">
        <f t="shared" si="1"/>
        <v>0</v>
      </c>
      <c r="E30" s="7">
        <f>'[2]Production Summary'!E31</f>
        <v>0</v>
      </c>
      <c r="F30" s="8">
        <f t="shared" si="2"/>
        <v>0</v>
      </c>
      <c r="G30" s="10">
        <f t="shared" si="3"/>
        <v>0</v>
      </c>
      <c r="H30" s="7">
        <f>'[2]Production Summary'!G31</f>
        <v>0</v>
      </c>
      <c r="I30" s="8">
        <f t="shared" si="4"/>
        <v>0</v>
      </c>
      <c r="J30" s="10">
        <f t="shared" si="5"/>
        <v>0</v>
      </c>
      <c r="K30" s="7">
        <f>'[2]Production Summary'!T31</f>
        <v>0</v>
      </c>
      <c r="L30" s="8">
        <f t="shared" si="6"/>
        <v>0</v>
      </c>
      <c r="M30" s="10">
        <f t="shared" si="7"/>
        <v>0</v>
      </c>
      <c r="N30" s="21"/>
      <c r="O30" s="7">
        <f>'[2]Production Summary'!I31</f>
        <v>12215000</v>
      </c>
      <c r="P30" s="8">
        <f t="shared" si="8"/>
        <v>12.215</v>
      </c>
      <c r="Q30" s="10">
        <f t="shared" si="9"/>
        <v>37.500049999999995</v>
      </c>
      <c r="R30" s="7">
        <f>'[2]Production Summary'!C31</f>
        <v>12494000</v>
      </c>
      <c r="S30" s="8">
        <f t="shared" si="10"/>
        <v>12.494</v>
      </c>
      <c r="T30" s="10">
        <f t="shared" si="11"/>
        <v>38.356579999999994</v>
      </c>
      <c r="U30" s="7">
        <f>'[2]Production Summary'!F31</f>
        <v>0</v>
      </c>
      <c r="V30" s="8">
        <f t="shared" si="12"/>
        <v>0</v>
      </c>
      <c r="W30" s="10">
        <f t="shared" si="13"/>
        <v>0</v>
      </c>
      <c r="X30" s="7">
        <f>'[2]Production Summary'!AB31</f>
        <v>271000.00000000081</v>
      </c>
      <c r="Y30" s="8">
        <f t="shared" si="14"/>
        <v>0.2710000000000008</v>
      </c>
      <c r="Z30" s="10">
        <f t="shared" si="15"/>
        <v>0.83197000000000243</v>
      </c>
      <c r="AA30" s="15"/>
      <c r="AB30" s="7">
        <f t="shared" si="16"/>
        <v>12215000</v>
      </c>
      <c r="AC30" s="8">
        <f t="shared" si="16"/>
        <v>12.215</v>
      </c>
      <c r="AD30" s="8">
        <f>D30+Q30</f>
        <v>37.500049999999995</v>
      </c>
    </row>
    <row r="31" spans="1:30" x14ac:dyDescent="0.15">
      <c r="A31" s="27">
        <v>43127</v>
      </c>
      <c r="B31" s="7">
        <f>'[2]Production Summary'!J32</f>
        <v>0</v>
      </c>
      <c r="C31" s="8">
        <f t="shared" si="0"/>
        <v>0</v>
      </c>
      <c r="D31" s="10">
        <f t="shared" si="1"/>
        <v>0</v>
      </c>
      <c r="E31" s="7">
        <f>'[2]Production Summary'!E32</f>
        <v>0</v>
      </c>
      <c r="F31" s="8">
        <f t="shared" si="2"/>
        <v>0</v>
      </c>
      <c r="G31" s="10">
        <f t="shared" si="3"/>
        <v>0</v>
      </c>
      <c r="H31" s="7">
        <f>'[2]Production Summary'!G32</f>
        <v>0</v>
      </c>
      <c r="I31" s="8">
        <f t="shared" si="4"/>
        <v>0</v>
      </c>
      <c r="J31" s="10">
        <f t="shared" si="5"/>
        <v>0</v>
      </c>
      <c r="K31" s="7">
        <f>'[2]Production Summary'!T32</f>
        <v>0</v>
      </c>
      <c r="L31" s="8">
        <f t="shared" si="6"/>
        <v>0</v>
      </c>
      <c r="M31" s="10">
        <f t="shared" si="7"/>
        <v>0</v>
      </c>
      <c r="N31" s="21"/>
      <c r="O31" s="7">
        <f>'[2]Production Summary'!I32</f>
        <v>12255000.000000002</v>
      </c>
      <c r="P31" s="8">
        <f t="shared" si="8"/>
        <v>12.255000000000003</v>
      </c>
      <c r="Q31" s="10">
        <f t="shared" si="9"/>
        <v>37.622850000000007</v>
      </c>
      <c r="R31" s="7">
        <f>'[2]Production Summary'!C32</f>
        <v>12526000</v>
      </c>
      <c r="S31" s="8">
        <f t="shared" si="10"/>
        <v>12.526</v>
      </c>
      <c r="T31" s="10">
        <f t="shared" si="11"/>
        <v>38.454819999999998</v>
      </c>
      <c r="U31" s="7">
        <f>'[2]Production Summary'!F32</f>
        <v>0</v>
      </c>
      <c r="V31" s="8">
        <f t="shared" si="12"/>
        <v>0</v>
      </c>
      <c r="W31" s="10">
        <f t="shared" si="13"/>
        <v>0</v>
      </c>
      <c r="X31" s="7">
        <f>'[2]Production Summary'!AB32</f>
        <v>262999.99999999814</v>
      </c>
      <c r="Y31" s="8">
        <f t="shared" si="14"/>
        <v>0.26299999999999812</v>
      </c>
      <c r="Z31" s="10">
        <f t="shared" si="15"/>
        <v>0.80740999999999419</v>
      </c>
      <c r="AA31" s="15"/>
      <c r="AB31" s="7">
        <f t="shared" si="16"/>
        <v>12255000.000000002</v>
      </c>
      <c r="AC31" s="8">
        <f t="shared" si="16"/>
        <v>12.255000000000003</v>
      </c>
      <c r="AD31" s="8">
        <f t="shared" si="16"/>
        <v>37.622850000000007</v>
      </c>
    </row>
    <row r="32" spans="1:30" x14ac:dyDescent="0.15">
      <c r="A32" s="27">
        <v>43128</v>
      </c>
      <c r="B32" s="7">
        <f>'[2]Production Summary'!J33</f>
        <v>0</v>
      </c>
      <c r="C32" s="8">
        <f t="shared" si="0"/>
        <v>0</v>
      </c>
      <c r="D32" s="10">
        <f t="shared" si="1"/>
        <v>0</v>
      </c>
      <c r="E32" s="7">
        <f>'[2]Production Summary'!E33</f>
        <v>0</v>
      </c>
      <c r="F32" s="8">
        <f t="shared" si="2"/>
        <v>0</v>
      </c>
      <c r="G32" s="10">
        <f t="shared" si="3"/>
        <v>0</v>
      </c>
      <c r="H32" s="7">
        <f>'[2]Production Summary'!G33</f>
        <v>0</v>
      </c>
      <c r="I32" s="8">
        <f t="shared" si="4"/>
        <v>0</v>
      </c>
      <c r="J32" s="10">
        <f t="shared" si="5"/>
        <v>0</v>
      </c>
      <c r="K32" s="7">
        <f>'[2]Production Summary'!T33</f>
        <v>0</v>
      </c>
      <c r="L32" s="8">
        <f t="shared" si="6"/>
        <v>0</v>
      </c>
      <c r="M32" s="10">
        <f t="shared" si="7"/>
        <v>0</v>
      </c>
      <c r="N32" s="21"/>
      <c r="O32" s="7">
        <f>'[2]Production Summary'!I33</f>
        <v>12258999.999999998</v>
      </c>
      <c r="P32" s="8">
        <f t="shared" si="8"/>
        <v>12.258999999999999</v>
      </c>
      <c r="Q32" s="10">
        <f t="shared" si="9"/>
        <v>37.635129999999997</v>
      </c>
      <c r="R32" s="7">
        <f>'[2]Production Summary'!C33</f>
        <v>12491000</v>
      </c>
      <c r="S32" s="8">
        <f t="shared" si="10"/>
        <v>12.491</v>
      </c>
      <c r="T32" s="10">
        <f t="shared" si="11"/>
        <v>38.347369999999998</v>
      </c>
      <c r="U32" s="7">
        <f>'[2]Production Summary'!F33</f>
        <v>0</v>
      </c>
      <c r="V32" s="8">
        <f t="shared" si="12"/>
        <v>0</v>
      </c>
      <c r="W32" s="10">
        <f t="shared" si="13"/>
        <v>0</v>
      </c>
      <c r="X32" s="7">
        <f>'[2]Production Summary'!AB33</f>
        <v>225000.00000000143</v>
      </c>
      <c r="Y32" s="8">
        <f t="shared" si="14"/>
        <v>0.22500000000000142</v>
      </c>
      <c r="Z32" s="10">
        <f t="shared" si="15"/>
        <v>0.69075000000000431</v>
      </c>
      <c r="AA32" s="15"/>
      <c r="AB32" s="7">
        <f t="shared" si="16"/>
        <v>12258999.999999998</v>
      </c>
      <c r="AC32" s="8">
        <f t="shared" si="16"/>
        <v>12.258999999999999</v>
      </c>
      <c r="AD32" s="8">
        <f t="shared" si="16"/>
        <v>37.635129999999997</v>
      </c>
    </row>
    <row r="33" spans="1:30" x14ac:dyDescent="0.15">
      <c r="A33" s="27">
        <v>43129</v>
      </c>
      <c r="B33" s="7">
        <f>'[2]Production Summary'!J34</f>
        <v>0</v>
      </c>
      <c r="C33" s="8">
        <f t="shared" si="0"/>
        <v>0</v>
      </c>
      <c r="D33" s="10">
        <f t="shared" si="1"/>
        <v>0</v>
      </c>
      <c r="E33" s="7">
        <f>'[2]Production Summary'!E34</f>
        <v>0</v>
      </c>
      <c r="F33" s="8">
        <f t="shared" si="2"/>
        <v>0</v>
      </c>
      <c r="G33" s="10">
        <f t="shared" si="3"/>
        <v>0</v>
      </c>
      <c r="H33" s="7">
        <f>'[2]Production Summary'!G34</f>
        <v>0</v>
      </c>
      <c r="I33" s="8">
        <f t="shared" si="4"/>
        <v>0</v>
      </c>
      <c r="J33" s="10">
        <f t="shared" si="5"/>
        <v>0</v>
      </c>
      <c r="K33" s="7">
        <f>'[2]Production Summary'!T34</f>
        <v>0</v>
      </c>
      <c r="L33" s="8">
        <f t="shared" si="6"/>
        <v>0</v>
      </c>
      <c r="M33" s="10">
        <f t="shared" si="7"/>
        <v>0</v>
      </c>
      <c r="N33" s="21"/>
      <c r="O33" s="7">
        <f>'[2]Production Summary'!I34</f>
        <v>12502999.999999998</v>
      </c>
      <c r="P33" s="8">
        <f t="shared" si="8"/>
        <v>12.502999999999998</v>
      </c>
      <c r="Q33" s="10">
        <f t="shared" si="9"/>
        <v>38.384209999999996</v>
      </c>
      <c r="R33" s="7">
        <f>'[2]Production Summary'!C34</f>
        <v>12681000</v>
      </c>
      <c r="S33" s="8">
        <f t="shared" si="10"/>
        <v>12.680999999999999</v>
      </c>
      <c r="T33" s="10">
        <f t="shared" si="11"/>
        <v>38.930669999999992</v>
      </c>
      <c r="U33" s="7">
        <f>'[2]Production Summary'!F34</f>
        <v>0</v>
      </c>
      <c r="V33" s="8">
        <f t="shared" si="12"/>
        <v>0</v>
      </c>
      <c r="W33" s="10">
        <f t="shared" si="13"/>
        <v>0</v>
      </c>
      <c r="X33" s="7">
        <f>'[2]Production Summary'!AB34</f>
        <v>173000.0000000018</v>
      </c>
      <c r="Y33" s="8">
        <f t="shared" si="14"/>
        <v>0.17300000000000179</v>
      </c>
      <c r="Z33" s="10">
        <f t="shared" si="15"/>
        <v>0.53111000000000552</v>
      </c>
      <c r="AA33" s="15"/>
      <c r="AB33" s="7">
        <f t="shared" si="16"/>
        <v>12502999.999999998</v>
      </c>
      <c r="AC33" s="8">
        <f t="shared" si="16"/>
        <v>12.502999999999998</v>
      </c>
      <c r="AD33" s="8">
        <f t="shared" si="16"/>
        <v>38.384209999999996</v>
      </c>
    </row>
    <row r="34" spans="1:30" x14ac:dyDescent="0.15">
      <c r="A34" s="27">
        <v>43130</v>
      </c>
      <c r="B34" s="7">
        <f>'[2]Production Summary'!J35</f>
        <v>0</v>
      </c>
      <c r="C34" s="8">
        <f t="shared" si="0"/>
        <v>0</v>
      </c>
      <c r="D34" s="10">
        <f t="shared" si="1"/>
        <v>0</v>
      </c>
      <c r="E34" s="7">
        <f>'[2]Production Summary'!E35</f>
        <v>0</v>
      </c>
      <c r="F34" s="8">
        <f t="shared" si="2"/>
        <v>0</v>
      </c>
      <c r="G34" s="10">
        <f t="shared" si="3"/>
        <v>0</v>
      </c>
      <c r="H34" s="7">
        <f>'[2]Production Summary'!G35</f>
        <v>0</v>
      </c>
      <c r="I34" s="8">
        <f t="shared" si="4"/>
        <v>0</v>
      </c>
      <c r="J34" s="10">
        <f t="shared" si="5"/>
        <v>0</v>
      </c>
      <c r="K34" s="7">
        <f>'[2]Production Summary'!T35</f>
        <v>0</v>
      </c>
      <c r="L34" s="8">
        <f t="shared" si="6"/>
        <v>0</v>
      </c>
      <c r="M34" s="10">
        <f t="shared" si="7"/>
        <v>0</v>
      </c>
      <c r="N34" s="21"/>
      <c r="O34" s="7">
        <f>'[2]Production Summary'!I35</f>
        <v>13013000.000000002</v>
      </c>
      <c r="P34" s="8">
        <f t="shared" si="8"/>
        <v>13.013000000000002</v>
      </c>
      <c r="Q34" s="10">
        <f t="shared" si="9"/>
        <v>39.949910000000003</v>
      </c>
      <c r="R34" s="7">
        <f>'[2]Production Summary'!C35</f>
        <v>13284000</v>
      </c>
      <c r="S34" s="8">
        <f t="shared" si="10"/>
        <v>13.284000000000001</v>
      </c>
      <c r="T34" s="10">
        <f t="shared" si="11"/>
        <v>40.781880000000001</v>
      </c>
      <c r="U34" s="7">
        <f>'[2]Production Summary'!F35</f>
        <v>0</v>
      </c>
      <c r="V34" s="8">
        <f t="shared" si="12"/>
        <v>0</v>
      </c>
      <c r="W34" s="10">
        <f t="shared" si="13"/>
        <v>0</v>
      </c>
      <c r="X34" s="7">
        <f>'[2]Production Summary'!AB35</f>
        <v>262999.99999999814</v>
      </c>
      <c r="Y34" s="8">
        <f t="shared" si="14"/>
        <v>0.26299999999999812</v>
      </c>
      <c r="Z34" s="10">
        <f t="shared" si="15"/>
        <v>0.80740999999999419</v>
      </c>
      <c r="AA34" s="15"/>
      <c r="AB34" s="7">
        <f t="shared" si="16"/>
        <v>13013000.000000002</v>
      </c>
      <c r="AC34" s="8">
        <f t="shared" si="16"/>
        <v>13.013000000000002</v>
      </c>
      <c r="AD34" s="8">
        <f t="shared" si="16"/>
        <v>39.949910000000003</v>
      </c>
    </row>
    <row r="35" spans="1:30" ht="14" thickBot="1" x14ac:dyDescent="0.2">
      <c r="A35" s="27">
        <v>43131</v>
      </c>
      <c r="B35" s="7">
        <f>'[2]Production Summary'!J36</f>
        <v>0</v>
      </c>
      <c r="C35" s="8">
        <f t="shared" si="0"/>
        <v>0</v>
      </c>
      <c r="D35" s="10">
        <f t="shared" si="1"/>
        <v>0</v>
      </c>
      <c r="E35" s="7">
        <f>'[2]Production Summary'!E36</f>
        <v>0</v>
      </c>
      <c r="F35" s="8">
        <f t="shared" si="2"/>
        <v>0</v>
      </c>
      <c r="G35" s="10">
        <f t="shared" si="3"/>
        <v>0</v>
      </c>
      <c r="H35" s="7">
        <f>'[2]Production Summary'!G36</f>
        <v>0</v>
      </c>
      <c r="I35" s="8">
        <f t="shared" si="4"/>
        <v>0</v>
      </c>
      <c r="J35" s="10">
        <f t="shared" si="5"/>
        <v>0</v>
      </c>
      <c r="K35" s="7">
        <f>'[2]Production Summary'!T36</f>
        <v>133004</v>
      </c>
      <c r="L35" s="8">
        <f t="shared" si="6"/>
        <v>0.13300400000000001</v>
      </c>
      <c r="M35" s="10">
        <f t="shared" si="7"/>
        <v>0.40832228000000004</v>
      </c>
      <c r="N35" s="21"/>
      <c r="O35" s="7">
        <f>'[2]Production Summary'!I36</f>
        <v>12856999.999999996</v>
      </c>
      <c r="P35" s="8">
        <f t="shared" si="8"/>
        <v>12.856999999999996</v>
      </c>
      <c r="Q35" s="10">
        <f t="shared" si="9"/>
        <v>39.470989999999986</v>
      </c>
      <c r="R35" s="7">
        <f>'[2]Production Summary'!C36</f>
        <v>13087000</v>
      </c>
      <c r="S35" s="8">
        <f t="shared" si="10"/>
        <v>13.087</v>
      </c>
      <c r="T35" s="10">
        <f t="shared" si="11"/>
        <v>40.17709</v>
      </c>
      <c r="U35" s="7">
        <f>'[2]Production Summary'!F36</f>
        <v>0</v>
      </c>
      <c r="V35" s="8">
        <f t="shared" si="12"/>
        <v>0</v>
      </c>
      <c r="W35" s="10">
        <f t="shared" si="13"/>
        <v>0</v>
      </c>
      <c r="X35" s="7">
        <f>'[2]Production Summary'!AB36</f>
        <v>224000.00000000375</v>
      </c>
      <c r="Y35" s="8">
        <f t="shared" si="14"/>
        <v>0.22400000000000375</v>
      </c>
      <c r="Z35" s="10">
        <f t="shared" si="15"/>
        <v>0.6876800000000115</v>
      </c>
      <c r="AA35" s="15"/>
      <c r="AB35" s="7">
        <f t="shared" si="16"/>
        <v>12856999.999999996</v>
      </c>
      <c r="AC35" s="8">
        <f t="shared" si="16"/>
        <v>12.856999999999996</v>
      </c>
      <c r="AD35" s="8">
        <f t="shared" si="16"/>
        <v>39.470989999999986</v>
      </c>
    </row>
    <row r="36" spans="1:30" s="18" customFormat="1" ht="14" thickBot="1" x14ac:dyDescent="0.2">
      <c r="A36" s="15"/>
      <c r="B36" s="37"/>
      <c r="C36" s="38">
        <f t="shared" ref="C36:W36" si="17">SUM(C5:C35)</f>
        <v>0</v>
      </c>
      <c r="D36" s="38">
        <f t="shared" si="17"/>
        <v>0</v>
      </c>
      <c r="E36" s="37"/>
      <c r="F36" s="38">
        <f t="shared" si="17"/>
        <v>0</v>
      </c>
      <c r="G36" s="38">
        <f t="shared" si="17"/>
        <v>0</v>
      </c>
      <c r="H36" s="37"/>
      <c r="I36" s="38">
        <f t="shared" si="17"/>
        <v>0</v>
      </c>
      <c r="J36" s="38">
        <f t="shared" si="17"/>
        <v>0</v>
      </c>
      <c r="K36" s="37"/>
      <c r="L36" s="38">
        <f>SUM(L5:L35)</f>
        <v>0.67915899999999996</v>
      </c>
      <c r="M36" s="38">
        <f>SUM(M5:M35)</f>
        <v>2.0850181299999999</v>
      </c>
      <c r="N36" s="14"/>
      <c r="O36" s="37"/>
      <c r="P36" s="38">
        <f t="shared" si="17"/>
        <v>388.82799999999992</v>
      </c>
      <c r="Q36" s="38">
        <f t="shared" si="17"/>
        <v>1193.7019599999996</v>
      </c>
      <c r="R36" s="37"/>
      <c r="S36" s="38">
        <f t="shared" si="17"/>
        <v>396.42200000000003</v>
      </c>
      <c r="T36" s="38">
        <f t="shared" si="17"/>
        <v>1217.0155399999996</v>
      </c>
      <c r="U36" s="37"/>
      <c r="V36" s="38">
        <f t="shared" si="17"/>
        <v>1.3000000000000001E-2</v>
      </c>
      <c r="W36" s="38">
        <f t="shared" si="17"/>
        <v>3.9910000000000001E-2</v>
      </c>
      <c r="X36" s="37"/>
      <c r="Y36" s="38">
        <f>SUM(Y5:Y35)</f>
        <v>7.3830000000000027</v>
      </c>
      <c r="Z36" s="38">
        <f>SUM(Z5:Z35)</f>
        <v>22.665810000000008</v>
      </c>
      <c r="AA36" s="14"/>
      <c r="AB36" s="37"/>
      <c r="AC36" s="38">
        <f>SUM(AC5:AC35)</f>
        <v>388.82799999999992</v>
      </c>
      <c r="AD36" s="38">
        <f>AC36*3.07</f>
        <v>1193.7019599999996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D37"/>
  <sheetViews>
    <sheetView tabSelected="1" workbookViewId="0">
      <pane xSplit="1" ySplit="4" topLeftCell="R5" activePane="bottomRight" state="frozen"/>
      <selection pane="topRight" activeCell="B1" sqref="B1"/>
      <selection pane="bottomLeft" activeCell="A5" sqref="A5"/>
      <selection pane="bottomRight" activeCell="AD34" sqref="AD34"/>
    </sheetView>
  </sheetViews>
  <sheetFormatPr baseColWidth="10" defaultColWidth="8.83203125" defaultRowHeight="13" x14ac:dyDescent="0.15"/>
  <cols>
    <col min="2" max="2" width="11.6640625" customWidth="1"/>
    <col min="5" max="5" width="11.5" customWidth="1"/>
    <col min="8" max="8" width="11.6640625" customWidth="1"/>
    <col min="11" max="11" width="14.83203125" bestFit="1" customWidth="1"/>
    <col min="12" max="12" width="11.5" customWidth="1"/>
    <col min="15" max="15" width="11.5" customWidth="1"/>
    <col min="18" max="18" width="11.5" customWidth="1"/>
    <col min="22" max="22" width="11" customWidth="1"/>
    <col min="24" max="24" width="13.6640625" customWidth="1"/>
    <col min="28" max="28" width="14.5" bestFit="1" customWidth="1"/>
  </cols>
  <sheetData>
    <row r="1" spans="1:30" x14ac:dyDescent="0.15">
      <c r="A1" s="41"/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6</v>
      </c>
      <c r="V3" s="63"/>
      <c r="W3" s="64"/>
      <c r="X3" s="62" t="s">
        <v>7</v>
      </c>
      <c r="Y3" s="63"/>
      <c r="Z3" s="64"/>
      <c r="AA3" s="19"/>
      <c r="AB3" s="59" t="s">
        <v>8</v>
      </c>
      <c r="AC3" s="60"/>
      <c r="AD3" s="61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15">
      <c r="A5" s="27">
        <v>43132</v>
      </c>
      <c r="B5" s="7">
        <f>'[2]Production Summary'!J37</f>
        <v>0</v>
      </c>
      <c r="C5" s="8">
        <f>B5/1000000</f>
        <v>0</v>
      </c>
      <c r="D5" s="10">
        <f>C5*3.07</f>
        <v>0</v>
      </c>
      <c r="E5" s="7">
        <f>'[2]Production Summary'!E37</f>
        <v>0</v>
      </c>
      <c r="F5" s="8">
        <f>E5/1000000</f>
        <v>0</v>
      </c>
      <c r="G5" s="10">
        <f>F5*3.07</f>
        <v>0</v>
      </c>
      <c r="H5" s="7">
        <f>'[2]Production Summary'!G37</f>
        <v>0</v>
      </c>
      <c r="I5" s="8">
        <f>H5/1000000</f>
        <v>0</v>
      </c>
      <c r="J5" s="10">
        <f>I5*3.07</f>
        <v>0</v>
      </c>
      <c r="K5" s="7">
        <f>'[2]Production Summary'!T37</f>
        <v>26130</v>
      </c>
      <c r="L5" s="8">
        <f>K5/1000000</f>
        <v>2.613E-2</v>
      </c>
      <c r="M5" s="10">
        <f>L5*3.07</f>
        <v>8.0219100000000002E-2</v>
      </c>
      <c r="N5" s="21"/>
      <c r="O5" s="7">
        <f>'[2]Production Summary'!I37</f>
        <v>13018000.000000004</v>
      </c>
      <c r="P5" s="8">
        <f>O5/1000000</f>
        <v>13.018000000000004</v>
      </c>
      <c r="Q5" s="10">
        <f>P5*3.07</f>
        <v>39.965260000000008</v>
      </c>
      <c r="R5" s="7">
        <f>'[2]Production Summary'!C37</f>
        <v>13254000</v>
      </c>
      <c r="S5" s="8">
        <f>R5/1000000</f>
        <v>13.254</v>
      </c>
      <c r="T5" s="10">
        <f>S5*3.07</f>
        <v>40.689779999999999</v>
      </c>
      <c r="U5" s="7">
        <f>'[2]Production Summary'!F37</f>
        <v>0</v>
      </c>
      <c r="V5" s="8">
        <f>U5/1000000</f>
        <v>0</v>
      </c>
      <c r="W5" s="10">
        <f>V5*3.07</f>
        <v>0</v>
      </c>
      <c r="X5" s="7">
        <f>'[2]Production Summary'!AB37</f>
        <v>229999.99999999689</v>
      </c>
      <c r="Y5" s="8">
        <f>X5/1000000</f>
        <v>0.22999999999999687</v>
      </c>
      <c r="Z5" s="10">
        <f>Y5*3.07</f>
        <v>0.7060999999999904</v>
      </c>
      <c r="AA5" s="15"/>
      <c r="AB5" s="7">
        <f>B5+O5</f>
        <v>13018000.000000004</v>
      </c>
      <c r="AC5" s="8">
        <f>C5+P5</f>
        <v>13.018000000000004</v>
      </c>
      <c r="AD5" s="8">
        <f>D5+Q5</f>
        <v>39.965260000000008</v>
      </c>
    </row>
    <row r="6" spans="1:30" x14ac:dyDescent="0.15">
      <c r="A6" s="27">
        <v>43133</v>
      </c>
      <c r="B6" s="7">
        <f>'[2]Production Summary'!J38</f>
        <v>0</v>
      </c>
      <c r="C6" s="8">
        <f t="shared" ref="C6:C32" si="0">B6/1000000</f>
        <v>0</v>
      </c>
      <c r="D6" s="10">
        <f t="shared" ref="D6:D32" si="1">C6*3.07</f>
        <v>0</v>
      </c>
      <c r="E6" s="7">
        <f>'[2]Production Summary'!E38</f>
        <v>0</v>
      </c>
      <c r="F6" s="8">
        <f t="shared" ref="F6:F32" si="2">E6/1000000</f>
        <v>0</v>
      </c>
      <c r="G6" s="10">
        <f t="shared" ref="G6:G32" si="3">F6*3.07</f>
        <v>0</v>
      </c>
      <c r="H6" s="7">
        <f>'[2]Production Summary'!G38</f>
        <v>0</v>
      </c>
      <c r="I6" s="8">
        <f t="shared" ref="I6:I32" si="4">H6/1000000</f>
        <v>0</v>
      </c>
      <c r="J6" s="10">
        <f t="shared" ref="J6:J32" si="5">I6*3.07</f>
        <v>0</v>
      </c>
      <c r="K6" s="7">
        <f>'[2]Production Summary'!T38</f>
        <v>0</v>
      </c>
      <c r="L6" s="8">
        <f t="shared" ref="L6:L23" si="6">K6/1000000</f>
        <v>0</v>
      </c>
      <c r="M6" s="10">
        <f t="shared" ref="M6:M32" si="7">L6*3.07</f>
        <v>0</v>
      </c>
      <c r="N6" s="21"/>
      <c r="O6" s="7">
        <f>'[2]Production Summary'!I38</f>
        <v>13245000</v>
      </c>
      <c r="P6" s="8">
        <f t="shared" ref="P6:P32" si="8">O6/1000000</f>
        <v>13.244999999999999</v>
      </c>
      <c r="Q6" s="10">
        <f t="shared" ref="Q6:Q32" si="9">P6*3.07</f>
        <v>40.662149999999997</v>
      </c>
      <c r="R6" s="7">
        <f>'[2]Production Summary'!C38</f>
        <v>13631000</v>
      </c>
      <c r="S6" s="8">
        <f t="shared" ref="S6:S32" si="10">R6/1000000</f>
        <v>13.631</v>
      </c>
      <c r="T6" s="10">
        <f t="shared" ref="T6:T32" si="11">S6*3.07</f>
        <v>41.847169999999998</v>
      </c>
      <c r="U6" s="7">
        <f>'[2]Production Summary'!F38</f>
        <v>0</v>
      </c>
      <c r="V6" s="8">
        <f t="shared" ref="V6:V32" si="12">U6/1000000</f>
        <v>0</v>
      </c>
      <c r="W6" s="10">
        <f t="shared" ref="W6:W32" si="13">V6*3.07</f>
        <v>0</v>
      </c>
      <c r="X6" s="7">
        <f>'[2]Production Summary'!AB38</f>
        <v>375000</v>
      </c>
      <c r="Y6" s="8">
        <f t="shared" ref="Y6:Y32" si="14">X6/1000000</f>
        <v>0.375</v>
      </c>
      <c r="Z6" s="10">
        <f t="shared" ref="Z6:Z32" si="15">Y6*3.07</f>
        <v>1.1512499999999999</v>
      </c>
      <c r="AA6" s="15"/>
      <c r="AB6" s="7">
        <f t="shared" ref="AB6:AB17" si="16">B6+O6</f>
        <v>13245000</v>
      </c>
      <c r="AC6" s="8">
        <f t="shared" ref="AB6:AD34" si="17">C6+P6</f>
        <v>13.244999999999999</v>
      </c>
      <c r="AD6" s="8">
        <f t="shared" si="17"/>
        <v>40.662149999999997</v>
      </c>
    </row>
    <row r="7" spans="1:30" x14ac:dyDescent="0.15">
      <c r="A7" s="27">
        <v>43134</v>
      </c>
      <c r="B7" s="7">
        <f>'[2]Production Summary'!J39</f>
        <v>0</v>
      </c>
      <c r="C7" s="8">
        <f t="shared" si="0"/>
        <v>0</v>
      </c>
      <c r="D7" s="10">
        <f t="shared" si="1"/>
        <v>0</v>
      </c>
      <c r="E7" s="7">
        <f>'[2]Production Summary'!E39</f>
        <v>0</v>
      </c>
      <c r="F7" s="8">
        <f t="shared" si="2"/>
        <v>0</v>
      </c>
      <c r="G7" s="10">
        <f t="shared" si="3"/>
        <v>0</v>
      </c>
      <c r="H7" s="7">
        <f>'[2]Production Summary'!G39</f>
        <v>0</v>
      </c>
      <c r="I7" s="8">
        <f t="shared" si="4"/>
        <v>0</v>
      </c>
      <c r="J7" s="10">
        <f t="shared" si="5"/>
        <v>0</v>
      </c>
      <c r="K7" s="7">
        <f>'[2]Production Summary'!T39</f>
        <v>0</v>
      </c>
      <c r="L7" s="8">
        <f t="shared" si="6"/>
        <v>0</v>
      </c>
      <c r="M7" s="10">
        <f t="shared" si="7"/>
        <v>0</v>
      </c>
      <c r="N7" s="21"/>
      <c r="O7" s="7">
        <f>'[2]Production Summary'!I39</f>
        <v>12700000.000000004</v>
      </c>
      <c r="P7" s="8">
        <f t="shared" si="8"/>
        <v>12.700000000000003</v>
      </c>
      <c r="Q7" s="10">
        <f t="shared" si="9"/>
        <v>38.989000000000004</v>
      </c>
      <c r="R7" s="7">
        <f>'[2]Production Summary'!C39</f>
        <v>12861000</v>
      </c>
      <c r="S7" s="8">
        <f t="shared" si="10"/>
        <v>12.861000000000001</v>
      </c>
      <c r="T7" s="10">
        <f t="shared" si="11"/>
        <v>39.483269999999997</v>
      </c>
      <c r="U7" s="7">
        <f>'[2]Production Summary'!F39</f>
        <v>0</v>
      </c>
      <c r="V7" s="8">
        <f t="shared" si="12"/>
        <v>0</v>
      </c>
      <c r="W7" s="10">
        <f t="shared" si="13"/>
        <v>0</v>
      </c>
      <c r="X7" s="7">
        <f>'[2]Production Summary'!AB39</f>
        <v>156999.99999999648</v>
      </c>
      <c r="Y7" s="8">
        <f t="shared" si="14"/>
        <v>0.15699999999999648</v>
      </c>
      <c r="Z7" s="10">
        <f t="shared" si="15"/>
        <v>0.48198999999998915</v>
      </c>
      <c r="AA7" s="15"/>
      <c r="AB7" s="7">
        <f t="shared" si="16"/>
        <v>12700000.000000004</v>
      </c>
      <c r="AC7" s="8">
        <f t="shared" si="17"/>
        <v>12.700000000000003</v>
      </c>
      <c r="AD7" s="8">
        <f t="shared" si="17"/>
        <v>38.989000000000004</v>
      </c>
    </row>
    <row r="8" spans="1:30" x14ac:dyDescent="0.15">
      <c r="A8" s="27">
        <v>43135</v>
      </c>
      <c r="B8" s="7">
        <f>'[2]Production Summary'!J40</f>
        <v>0</v>
      </c>
      <c r="C8" s="8">
        <f t="shared" si="0"/>
        <v>0</v>
      </c>
      <c r="D8" s="10">
        <f t="shared" si="1"/>
        <v>0</v>
      </c>
      <c r="E8" s="7">
        <f>'[2]Production Summary'!E40</f>
        <v>0</v>
      </c>
      <c r="F8" s="8">
        <f t="shared" si="2"/>
        <v>0</v>
      </c>
      <c r="G8" s="10">
        <f t="shared" si="3"/>
        <v>0</v>
      </c>
      <c r="H8" s="7">
        <f>'[2]Production Summary'!G40</f>
        <v>0</v>
      </c>
      <c r="I8" s="8">
        <f t="shared" si="4"/>
        <v>0</v>
      </c>
      <c r="J8" s="10">
        <f t="shared" si="5"/>
        <v>0</v>
      </c>
      <c r="K8" s="7">
        <f>'[2]Production Summary'!T40</f>
        <v>0</v>
      </c>
      <c r="L8" s="8">
        <f t="shared" si="6"/>
        <v>0</v>
      </c>
      <c r="M8" s="10">
        <f t="shared" si="7"/>
        <v>0</v>
      </c>
      <c r="N8" s="21"/>
      <c r="O8" s="7">
        <f>'[2]Production Summary'!I40</f>
        <v>12239999.999999996</v>
      </c>
      <c r="P8" s="8">
        <f t="shared" si="8"/>
        <v>12.239999999999997</v>
      </c>
      <c r="Q8" s="10">
        <f t="shared" si="9"/>
        <v>37.576799999999984</v>
      </c>
      <c r="R8" s="7">
        <f>'[2]Production Summary'!C40</f>
        <v>12524000</v>
      </c>
      <c r="S8" s="8">
        <f t="shared" si="10"/>
        <v>12.523999999999999</v>
      </c>
      <c r="T8" s="10">
        <f t="shared" si="11"/>
        <v>38.448679999999996</v>
      </c>
      <c r="U8" s="7">
        <f>'[2]Production Summary'!F40</f>
        <v>0</v>
      </c>
      <c r="V8" s="8">
        <f t="shared" si="12"/>
        <v>0</v>
      </c>
      <c r="W8" s="10">
        <f t="shared" si="13"/>
        <v>0</v>
      </c>
      <c r="X8" s="7">
        <f>'[2]Production Summary'!AB40</f>
        <v>276000.00000000338</v>
      </c>
      <c r="Y8" s="8">
        <f t="shared" si="14"/>
        <v>0.27600000000000335</v>
      </c>
      <c r="Z8" s="10">
        <f t="shared" si="15"/>
        <v>0.84732000000001029</v>
      </c>
      <c r="AA8" s="15"/>
      <c r="AB8" s="7">
        <f t="shared" si="16"/>
        <v>12239999.999999996</v>
      </c>
      <c r="AC8" s="8">
        <f t="shared" si="17"/>
        <v>12.239999999999997</v>
      </c>
      <c r="AD8" s="8">
        <f>D8+Q8</f>
        <v>37.576799999999984</v>
      </c>
    </row>
    <row r="9" spans="1:30" x14ac:dyDescent="0.15">
      <c r="A9" s="27">
        <v>43136</v>
      </c>
      <c r="B9" s="7">
        <f>'[2]Production Summary'!J41</f>
        <v>0</v>
      </c>
      <c r="C9" s="8">
        <f t="shared" si="0"/>
        <v>0</v>
      </c>
      <c r="D9" s="10">
        <f t="shared" si="1"/>
        <v>0</v>
      </c>
      <c r="E9" s="7">
        <f>'[2]Production Summary'!E41</f>
        <v>0</v>
      </c>
      <c r="F9" s="8">
        <f t="shared" si="2"/>
        <v>0</v>
      </c>
      <c r="G9" s="10">
        <f t="shared" si="3"/>
        <v>0</v>
      </c>
      <c r="H9" s="7">
        <f>'[2]Production Summary'!G41</f>
        <v>0</v>
      </c>
      <c r="I9" s="8">
        <f t="shared" si="4"/>
        <v>0</v>
      </c>
      <c r="J9" s="10">
        <f t="shared" si="5"/>
        <v>0</v>
      </c>
      <c r="K9" s="7">
        <f>'[2]Production Summary'!T41</f>
        <v>314031</v>
      </c>
      <c r="L9" s="8">
        <f t="shared" si="6"/>
        <v>0.314031</v>
      </c>
      <c r="M9" s="10">
        <f t="shared" si="7"/>
        <v>0.96407516999999998</v>
      </c>
      <c r="N9" s="21"/>
      <c r="O9" s="7">
        <f>'[2]Production Summary'!I41</f>
        <v>12223999.999999996</v>
      </c>
      <c r="P9" s="8">
        <f t="shared" si="8"/>
        <v>12.223999999999997</v>
      </c>
      <c r="Q9" s="10">
        <f t="shared" si="9"/>
        <v>37.527679999999989</v>
      </c>
      <c r="R9" s="7">
        <f>'[2]Production Summary'!C41</f>
        <v>12514000</v>
      </c>
      <c r="S9" s="8">
        <f t="shared" si="10"/>
        <v>12.513999999999999</v>
      </c>
      <c r="T9" s="10">
        <f t="shared" si="11"/>
        <v>38.417979999999993</v>
      </c>
      <c r="U9" s="7">
        <f>'[2]Production Summary'!F41</f>
        <v>0</v>
      </c>
      <c r="V9" s="8">
        <f t="shared" si="12"/>
        <v>0</v>
      </c>
      <c r="W9" s="10">
        <f t="shared" si="13"/>
        <v>0</v>
      </c>
      <c r="X9" s="7">
        <f>'[2]Production Summary'!AB41</f>
        <v>282000.00000000361</v>
      </c>
      <c r="Y9" s="8">
        <f t="shared" si="14"/>
        <v>0.28200000000000358</v>
      </c>
      <c r="Z9" s="10">
        <f t="shared" si="15"/>
        <v>0.86574000000001095</v>
      </c>
      <c r="AA9" s="15"/>
      <c r="AB9" s="7">
        <f t="shared" si="16"/>
        <v>12223999.999999996</v>
      </c>
      <c r="AC9" s="8">
        <f t="shared" si="17"/>
        <v>12.223999999999997</v>
      </c>
      <c r="AD9" s="8">
        <f t="shared" si="17"/>
        <v>37.527679999999989</v>
      </c>
    </row>
    <row r="10" spans="1:30" x14ac:dyDescent="0.15">
      <c r="A10" s="27">
        <v>43137</v>
      </c>
      <c r="B10" s="7">
        <f>'[2]Production Summary'!J42</f>
        <v>0</v>
      </c>
      <c r="C10" s="8">
        <f t="shared" si="0"/>
        <v>0</v>
      </c>
      <c r="D10" s="10">
        <f t="shared" si="1"/>
        <v>0</v>
      </c>
      <c r="E10" s="7">
        <f>'[2]Production Summary'!E42</f>
        <v>0</v>
      </c>
      <c r="F10" s="8">
        <f t="shared" si="2"/>
        <v>0</v>
      </c>
      <c r="G10" s="10">
        <f t="shared" si="3"/>
        <v>0</v>
      </c>
      <c r="H10" s="7">
        <f>'[2]Production Summary'!G42</f>
        <v>0</v>
      </c>
      <c r="I10" s="8">
        <f t="shared" si="4"/>
        <v>0</v>
      </c>
      <c r="J10" s="10">
        <f t="shared" si="5"/>
        <v>0</v>
      </c>
      <c r="K10" s="7">
        <f>'[2]Production Summary'!T42</f>
        <v>0</v>
      </c>
      <c r="L10" s="8">
        <f t="shared" si="6"/>
        <v>0</v>
      </c>
      <c r="M10" s="10">
        <f t="shared" si="7"/>
        <v>0</v>
      </c>
      <c r="N10" s="21"/>
      <c r="O10" s="7">
        <f>'[2]Production Summary'!I42</f>
        <v>12490000.000000006</v>
      </c>
      <c r="P10" s="8">
        <f t="shared" si="8"/>
        <v>12.490000000000006</v>
      </c>
      <c r="Q10" s="10">
        <f t="shared" si="9"/>
        <v>38.344300000000018</v>
      </c>
      <c r="R10" s="7">
        <f>'[2]Production Summary'!C42</f>
        <v>12701000</v>
      </c>
      <c r="S10" s="8">
        <f t="shared" si="10"/>
        <v>12.701000000000001</v>
      </c>
      <c r="T10" s="10">
        <f t="shared" si="11"/>
        <v>38.992069999999998</v>
      </c>
      <c r="U10" s="7">
        <f>'[2]Production Summary'!F42</f>
        <v>0</v>
      </c>
      <c r="V10" s="8">
        <f t="shared" si="12"/>
        <v>0</v>
      </c>
      <c r="W10" s="10">
        <f t="shared" si="13"/>
        <v>0</v>
      </c>
      <c r="X10" s="7">
        <f>'[2]Production Summary'!AB42</f>
        <v>203999.99999999351</v>
      </c>
      <c r="Y10" s="8">
        <f t="shared" si="14"/>
        <v>0.20399999999999352</v>
      </c>
      <c r="Z10" s="10">
        <f t="shared" si="15"/>
        <v>0.62627999999998007</v>
      </c>
      <c r="AA10" s="15"/>
      <c r="AB10" s="7">
        <f t="shared" si="16"/>
        <v>12490000.000000006</v>
      </c>
      <c r="AC10" s="8">
        <f t="shared" si="17"/>
        <v>12.490000000000006</v>
      </c>
      <c r="AD10" s="8">
        <f t="shared" si="17"/>
        <v>38.344300000000018</v>
      </c>
    </row>
    <row r="11" spans="1:30" x14ac:dyDescent="0.15">
      <c r="A11" s="27">
        <v>43138</v>
      </c>
      <c r="B11" s="7">
        <f>'[2]Production Summary'!J43</f>
        <v>0</v>
      </c>
      <c r="C11" s="8">
        <f t="shared" si="0"/>
        <v>0</v>
      </c>
      <c r="D11" s="10">
        <f t="shared" si="1"/>
        <v>0</v>
      </c>
      <c r="E11" s="7">
        <f>'[2]Production Summary'!E43</f>
        <v>0</v>
      </c>
      <c r="F11" s="8">
        <f t="shared" si="2"/>
        <v>0</v>
      </c>
      <c r="G11" s="10">
        <f t="shared" si="3"/>
        <v>0</v>
      </c>
      <c r="H11" s="7">
        <f>'[2]Production Summary'!G43</f>
        <v>0</v>
      </c>
      <c r="I11" s="8">
        <f t="shared" si="4"/>
        <v>0</v>
      </c>
      <c r="J11" s="10">
        <f t="shared" si="5"/>
        <v>0</v>
      </c>
      <c r="K11" s="7">
        <f>'[2]Production Summary'!T43</f>
        <v>0</v>
      </c>
      <c r="L11" s="8">
        <f t="shared" si="6"/>
        <v>0</v>
      </c>
      <c r="M11" s="10">
        <f t="shared" si="7"/>
        <v>0</v>
      </c>
      <c r="N11" s="21"/>
      <c r="O11" s="7">
        <f>'[2]Production Summary'!I43</f>
        <v>12921999.999999996</v>
      </c>
      <c r="P11" s="8">
        <f t="shared" si="8"/>
        <v>12.921999999999997</v>
      </c>
      <c r="Q11" s="10">
        <f t="shared" si="9"/>
        <v>39.670539999999988</v>
      </c>
      <c r="R11" s="7">
        <f>'[2]Production Summary'!C43</f>
        <v>13099000</v>
      </c>
      <c r="S11" s="8">
        <f t="shared" si="10"/>
        <v>13.099</v>
      </c>
      <c r="T11" s="10">
        <f t="shared" si="11"/>
        <v>40.213929999999998</v>
      </c>
      <c r="U11" s="7">
        <f>'[2]Production Summary'!F43</f>
        <v>0</v>
      </c>
      <c r="V11" s="8">
        <f t="shared" si="12"/>
        <v>0</v>
      </c>
      <c r="W11" s="10">
        <f t="shared" si="13"/>
        <v>0</v>
      </c>
      <c r="X11" s="7">
        <f>'[2]Production Summary'!AB43</f>
        <v>172000.00000000416</v>
      </c>
      <c r="Y11" s="8">
        <f t="shared" si="14"/>
        <v>0.17200000000000415</v>
      </c>
      <c r="Z11" s="10">
        <f t="shared" si="15"/>
        <v>0.52804000000001272</v>
      </c>
      <c r="AA11" s="15"/>
      <c r="AB11" s="7">
        <f t="shared" si="16"/>
        <v>12921999.999999996</v>
      </c>
      <c r="AC11" s="8">
        <f t="shared" si="17"/>
        <v>12.921999999999997</v>
      </c>
      <c r="AD11" s="8">
        <f t="shared" si="17"/>
        <v>39.670539999999988</v>
      </c>
    </row>
    <row r="12" spans="1:30" x14ac:dyDescent="0.15">
      <c r="A12" s="27">
        <v>43139</v>
      </c>
      <c r="B12" s="7">
        <f>'[2]Production Summary'!J44</f>
        <v>0</v>
      </c>
      <c r="C12" s="8">
        <f t="shared" si="0"/>
        <v>0</v>
      </c>
      <c r="D12" s="10">
        <f t="shared" si="1"/>
        <v>0</v>
      </c>
      <c r="E12" s="7">
        <f>'[2]Production Summary'!E44</f>
        <v>0</v>
      </c>
      <c r="F12" s="8">
        <f t="shared" si="2"/>
        <v>0</v>
      </c>
      <c r="G12" s="10">
        <f t="shared" si="3"/>
        <v>0</v>
      </c>
      <c r="H12" s="7">
        <f>'[2]Production Summary'!G44</f>
        <v>0</v>
      </c>
      <c r="I12" s="8">
        <f t="shared" si="4"/>
        <v>0</v>
      </c>
      <c r="J12" s="10">
        <f t="shared" si="5"/>
        <v>0</v>
      </c>
      <c r="K12" s="7">
        <f>'[2]Production Summary'!T44</f>
        <v>0</v>
      </c>
      <c r="L12" s="8">
        <f t="shared" si="6"/>
        <v>0</v>
      </c>
      <c r="M12" s="10">
        <f t="shared" si="7"/>
        <v>0</v>
      </c>
      <c r="N12" s="21"/>
      <c r="O12" s="7">
        <f>'[2]Production Summary'!I44</f>
        <v>12333000.000000002</v>
      </c>
      <c r="P12" s="8">
        <f t="shared" si="8"/>
        <v>12.333000000000002</v>
      </c>
      <c r="Q12" s="10">
        <f t="shared" si="9"/>
        <v>37.862310000000001</v>
      </c>
      <c r="R12" s="7">
        <f>'[2]Production Summary'!C44</f>
        <v>12556000</v>
      </c>
      <c r="S12" s="8">
        <f t="shared" si="10"/>
        <v>12.555999999999999</v>
      </c>
      <c r="T12" s="10">
        <f t="shared" si="11"/>
        <v>38.546919999999993</v>
      </c>
      <c r="U12" s="7">
        <f>'[2]Production Summary'!F44</f>
        <v>0</v>
      </c>
      <c r="V12" s="8">
        <f t="shared" si="12"/>
        <v>0</v>
      </c>
      <c r="W12" s="10">
        <f t="shared" si="13"/>
        <v>0</v>
      </c>
      <c r="X12" s="7">
        <f>'[2]Production Summary'!AB44</f>
        <v>216999.99999999875</v>
      </c>
      <c r="Y12" s="8">
        <f t="shared" si="14"/>
        <v>0.21699999999999875</v>
      </c>
      <c r="Z12" s="10">
        <f t="shared" si="15"/>
        <v>0.66618999999999617</v>
      </c>
      <c r="AA12" s="15"/>
      <c r="AB12" s="7">
        <f t="shared" si="16"/>
        <v>12333000.000000002</v>
      </c>
      <c r="AC12" s="8">
        <f t="shared" si="17"/>
        <v>12.333000000000002</v>
      </c>
      <c r="AD12" s="8">
        <f t="shared" si="17"/>
        <v>37.862310000000001</v>
      </c>
    </row>
    <row r="13" spans="1:30" x14ac:dyDescent="0.15">
      <c r="A13" s="27">
        <v>43140</v>
      </c>
      <c r="B13" s="7">
        <f>'[2]Production Summary'!J45</f>
        <v>0</v>
      </c>
      <c r="C13" s="8">
        <f t="shared" si="0"/>
        <v>0</v>
      </c>
      <c r="D13" s="10">
        <f t="shared" si="1"/>
        <v>0</v>
      </c>
      <c r="E13" s="7">
        <f>'[2]Production Summary'!E45</f>
        <v>0</v>
      </c>
      <c r="F13" s="8">
        <f t="shared" si="2"/>
        <v>0</v>
      </c>
      <c r="G13" s="10">
        <f t="shared" si="3"/>
        <v>0</v>
      </c>
      <c r="H13" s="7">
        <f>'[2]Production Summary'!G45</f>
        <v>0</v>
      </c>
      <c r="I13" s="8">
        <f t="shared" si="4"/>
        <v>0</v>
      </c>
      <c r="J13" s="10">
        <f t="shared" si="5"/>
        <v>0</v>
      </c>
      <c r="K13" s="7">
        <f>'[2]Production Summary'!T45</f>
        <v>0</v>
      </c>
      <c r="L13" s="8">
        <f t="shared" si="6"/>
        <v>0</v>
      </c>
      <c r="M13" s="10">
        <f t="shared" si="7"/>
        <v>0</v>
      </c>
      <c r="N13" s="21"/>
      <c r="O13" s="7">
        <f>'[2]Production Summary'!I45</f>
        <v>12507000</v>
      </c>
      <c r="P13" s="8">
        <f t="shared" si="8"/>
        <v>12.507</v>
      </c>
      <c r="Q13" s="10">
        <f t="shared" si="9"/>
        <v>38.39649</v>
      </c>
      <c r="R13" s="7">
        <f>'[2]Production Summary'!C45</f>
        <v>12780000</v>
      </c>
      <c r="S13" s="8">
        <f t="shared" si="10"/>
        <v>12.78</v>
      </c>
      <c r="T13" s="10">
        <f t="shared" si="11"/>
        <v>39.234599999999993</v>
      </c>
      <c r="U13" s="7">
        <f>'[2]Production Summary'!F45</f>
        <v>0</v>
      </c>
      <c r="V13" s="8">
        <f t="shared" si="12"/>
        <v>0</v>
      </c>
      <c r="W13" s="10">
        <f t="shared" si="13"/>
        <v>0</v>
      </c>
      <c r="X13" s="7">
        <f>'[2]Production Summary'!AB45</f>
        <v>265000.00000000058</v>
      </c>
      <c r="Y13" s="8">
        <f t="shared" si="14"/>
        <v>0.26500000000000057</v>
      </c>
      <c r="Z13" s="10">
        <f t="shared" si="15"/>
        <v>0.81355000000000166</v>
      </c>
      <c r="AA13" s="15"/>
      <c r="AB13" s="7">
        <f t="shared" si="16"/>
        <v>12507000</v>
      </c>
      <c r="AC13" s="8">
        <f t="shared" si="17"/>
        <v>12.507</v>
      </c>
      <c r="AD13" s="8">
        <f t="shared" si="17"/>
        <v>38.39649</v>
      </c>
    </row>
    <row r="14" spans="1:30" x14ac:dyDescent="0.15">
      <c r="A14" s="27">
        <v>43141</v>
      </c>
      <c r="B14" s="7">
        <f>'[2]Production Summary'!J46</f>
        <v>0</v>
      </c>
      <c r="C14" s="8">
        <f t="shared" si="0"/>
        <v>0</v>
      </c>
      <c r="D14" s="10">
        <f t="shared" si="1"/>
        <v>0</v>
      </c>
      <c r="E14" s="7">
        <f>'[2]Production Summary'!E46</f>
        <v>0</v>
      </c>
      <c r="F14" s="8">
        <f t="shared" si="2"/>
        <v>0</v>
      </c>
      <c r="G14" s="10">
        <f t="shared" si="3"/>
        <v>0</v>
      </c>
      <c r="H14" s="7">
        <f>'[2]Production Summary'!G46</f>
        <v>0</v>
      </c>
      <c r="I14" s="8">
        <f t="shared" si="4"/>
        <v>0</v>
      </c>
      <c r="J14" s="10">
        <f t="shared" si="5"/>
        <v>0</v>
      </c>
      <c r="K14" s="7">
        <f>'[2]Production Summary'!T46</f>
        <v>0</v>
      </c>
      <c r="L14" s="8">
        <f t="shared" si="6"/>
        <v>0</v>
      </c>
      <c r="M14" s="10">
        <f t="shared" si="7"/>
        <v>0</v>
      </c>
      <c r="N14" s="21"/>
      <c r="O14" s="7">
        <f>'[2]Production Summary'!I46</f>
        <v>12144999.999999998</v>
      </c>
      <c r="P14" s="8">
        <f t="shared" si="8"/>
        <v>12.144999999999998</v>
      </c>
      <c r="Q14" s="10">
        <f t="shared" si="9"/>
        <v>37.285149999999994</v>
      </c>
      <c r="R14" s="7">
        <f>'[2]Production Summary'!C46</f>
        <v>12368000</v>
      </c>
      <c r="S14" s="8">
        <f t="shared" si="10"/>
        <v>12.368</v>
      </c>
      <c r="T14" s="10">
        <f t="shared" si="11"/>
        <v>37.969760000000001</v>
      </c>
      <c r="U14" s="7">
        <f>'[2]Production Summary'!F46</f>
        <v>0</v>
      </c>
      <c r="V14" s="8">
        <f t="shared" si="12"/>
        <v>0</v>
      </c>
      <c r="W14" s="10">
        <f t="shared" si="13"/>
        <v>0</v>
      </c>
      <c r="X14" s="7">
        <f>'[2]Production Summary'!AB46</f>
        <v>216000.00000000108</v>
      </c>
      <c r="Y14" s="8">
        <f t="shared" si="14"/>
        <v>0.21600000000000108</v>
      </c>
      <c r="Z14" s="10">
        <f t="shared" si="15"/>
        <v>0.66312000000000326</v>
      </c>
      <c r="AA14" s="15"/>
      <c r="AB14" s="7">
        <f t="shared" si="16"/>
        <v>12144999.999999998</v>
      </c>
      <c r="AC14" s="8">
        <f t="shared" si="17"/>
        <v>12.144999999999998</v>
      </c>
      <c r="AD14" s="8">
        <f t="shared" si="17"/>
        <v>37.285149999999994</v>
      </c>
    </row>
    <row r="15" spans="1:30" x14ac:dyDescent="0.15">
      <c r="A15" s="27">
        <v>43142</v>
      </c>
      <c r="B15" s="7">
        <f>'[2]Production Summary'!J47</f>
        <v>0</v>
      </c>
      <c r="C15" s="8">
        <f t="shared" si="0"/>
        <v>0</v>
      </c>
      <c r="D15" s="10">
        <f t="shared" si="1"/>
        <v>0</v>
      </c>
      <c r="E15" s="7">
        <f>'[2]Production Summary'!E47</f>
        <v>0</v>
      </c>
      <c r="F15" s="8">
        <f t="shared" si="2"/>
        <v>0</v>
      </c>
      <c r="G15" s="10">
        <f t="shared" si="3"/>
        <v>0</v>
      </c>
      <c r="H15" s="7">
        <f>'[2]Production Summary'!G47</f>
        <v>10000</v>
      </c>
      <c r="I15" s="8">
        <f t="shared" si="4"/>
        <v>0.01</v>
      </c>
      <c r="J15" s="10">
        <f t="shared" si="5"/>
        <v>3.0699999999999998E-2</v>
      </c>
      <c r="K15" s="7">
        <f>'[2]Production Summary'!T47</f>
        <v>0</v>
      </c>
      <c r="L15" s="8">
        <f t="shared" si="6"/>
        <v>0</v>
      </c>
      <c r="M15" s="10">
        <f t="shared" si="7"/>
        <v>0</v>
      </c>
      <c r="N15" s="21"/>
      <c r="O15" s="7">
        <f>'[2]Production Summary'!I47</f>
        <v>12424000.000000002</v>
      </c>
      <c r="P15" s="8">
        <f t="shared" si="8"/>
        <v>12.424000000000001</v>
      </c>
      <c r="Q15" s="10">
        <f t="shared" si="9"/>
        <v>38.141680000000001</v>
      </c>
      <c r="R15" s="7">
        <f>'[2]Production Summary'!C47</f>
        <v>12643000</v>
      </c>
      <c r="S15" s="8">
        <f t="shared" si="10"/>
        <v>12.643000000000001</v>
      </c>
      <c r="T15" s="10">
        <f t="shared" si="11"/>
        <v>38.814010000000003</v>
      </c>
      <c r="U15" s="7">
        <f>'[2]Production Summary'!F47</f>
        <v>0</v>
      </c>
      <c r="V15" s="8">
        <f t="shared" si="12"/>
        <v>0</v>
      </c>
      <c r="W15" s="10">
        <f t="shared" si="13"/>
        <v>0</v>
      </c>
      <c r="X15" s="7">
        <f>'[2]Production Summary'!AB47</f>
        <v>210999.99999999852</v>
      </c>
      <c r="Y15" s="8">
        <f t="shared" si="14"/>
        <v>0.21099999999999852</v>
      </c>
      <c r="Z15" s="10">
        <f t="shared" si="15"/>
        <v>0.64776999999999541</v>
      </c>
      <c r="AA15" s="15"/>
      <c r="AB15" s="7">
        <f t="shared" si="16"/>
        <v>12424000.000000002</v>
      </c>
      <c r="AC15" s="8">
        <f t="shared" si="17"/>
        <v>12.424000000000001</v>
      </c>
      <c r="AD15" s="8">
        <f t="shared" si="17"/>
        <v>38.141680000000001</v>
      </c>
    </row>
    <row r="16" spans="1:30" x14ac:dyDescent="0.15">
      <c r="A16" s="27">
        <v>43143</v>
      </c>
      <c r="B16" s="7">
        <f>'[2]Production Summary'!J48</f>
        <v>0</v>
      </c>
      <c r="C16" s="8">
        <f t="shared" si="0"/>
        <v>0</v>
      </c>
      <c r="D16" s="10">
        <f t="shared" si="1"/>
        <v>0</v>
      </c>
      <c r="E16" s="7">
        <f>'[2]Production Summary'!E48</f>
        <v>0</v>
      </c>
      <c r="F16" s="8">
        <f t="shared" si="2"/>
        <v>0</v>
      </c>
      <c r="G16" s="10">
        <f t="shared" si="3"/>
        <v>0</v>
      </c>
      <c r="H16" s="7">
        <f>'[2]Production Summary'!G48</f>
        <v>0</v>
      </c>
      <c r="I16" s="8">
        <f t="shared" si="4"/>
        <v>0</v>
      </c>
      <c r="J16" s="10">
        <f t="shared" si="5"/>
        <v>0</v>
      </c>
      <c r="K16" s="7">
        <f>'[2]Production Summary'!T48</f>
        <v>0</v>
      </c>
      <c r="L16" s="8">
        <f t="shared" si="6"/>
        <v>0</v>
      </c>
      <c r="M16" s="10">
        <f t="shared" si="7"/>
        <v>0</v>
      </c>
      <c r="N16" s="21"/>
      <c r="O16" s="7">
        <f>'[2]Production Summary'!I48</f>
        <v>12199000.000000002</v>
      </c>
      <c r="P16" s="8">
        <f t="shared" si="8"/>
        <v>12.199000000000002</v>
      </c>
      <c r="Q16" s="10">
        <f t="shared" si="9"/>
        <v>37.45093</v>
      </c>
      <c r="R16" s="7">
        <f>'[2]Production Summary'!C48</f>
        <v>12531000</v>
      </c>
      <c r="S16" s="8">
        <f t="shared" si="10"/>
        <v>12.531000000000001</v>
      </c>
      <c r="T16" s="10">
        <f t="shared" si="11"/>
        <v>38.470170000000003</v>
      </c>
      <c r="U16" s="7">
        <f>'[2]Production Summary'!F48</f>
        <v>0</v>
      </c>
      <c r="V16" s="8">
        <f t="shared" si="12"/>
        <v>0</v>
      </c>
      <c r="W16" s="10">
        <f t="shared" si="13"/>
        <v>0</v>
      </c>
      <c r="X16" s="7">
        <f>'[2]Production Summary'!AB48</f>
        <v>323999.99999999808</v>
      </c>
      <c r="Y16" s="8">
        <f t="shared" si="14"/>
        <v>0.32399999999999807</v>
      </c>
      <c r="Z16" s="10">
        <f t="shared" si="15"/>
        <v>0.99467999999999401</v>
      </c>
      <c r="AA16" s="15"/>
      <c r="AB16" s="7">
        <f t="shared" si="16"/>
        <v>12199000.000000002</v>
      </c>
      <c r="AC16" s="8">
        <f t="shared" si="17"/>
        <v>12.199000000000002</v>
      </c>
      <c r="AD16" s="8">
        <f t="shared" si="17"/>
        <v>37.45093</v>
      </c>
    </row>
    <row r="17" spans="1:30" x14ac:dyDescent="0.15">
      <c r="A17" s="27">
        <v>43144</v>
      </c>
      <c r="B17" s="7">
        <f>'[2]Production Summary'!J49</f>
        <v>0</v>
      </c>
      <c r="C17" s="8">
        <f t="shared" si="0"/>
        <v>0</v>
      </c>
      <c r="D17" s="10">
        <f t="shared" si="1"/>
        <v>0</v>
      </c>
      <c r="E17" s="7">
        <f>'[2]Production Summary'!E49</f>
        <v>0</v>
      </c>
      <c r="F17" s="8">
        <f t="shared" si="2"/>
        <v>0</v>
      </c>
      <c r="G17" s="10">
        <f t="shared" si="3"/>
        <v>0</v>
      </c>
      <c r="H17" s="7">
        <f>'[2]Production Summary'!G49</f>
        <v>0</v>
      </c>
      <c r="I17" s="8">
        <f t="shared" si="4"/>
        <v>0</v>
      </c>
      <c r="J17" s="10">
        <f t="shared" si="5"/>
        <v>0</v>
      </c>
      <c r="K17" s="7">
        <f>'[2]Production Summary'!T49</f>
        <v>0</v>
      </c>
      <c r="L17" s="8">
        <f t="shared" si="6"/>
        <v>0</v>
      </c>
      <c r="M17" s="10">
        <f t="shared" si="7"/>
        <v>0</v>
      </c>
      <c r="N17" s="21"/>
      <c r="O17" s="7">
        <f>'[2]Production Summary'!I49</f>
        <v>12552000</v>
      </c>
      <c r="P17" s="8">
        <f t="shared" si="8"/>
        <v>12.552</v>
      </c>
      <c r="Q17" s="10">
        <f t="shared" si="9"/>
        <v>38.534639999999996</v>
      </c>
      <c r="R17" s="7">
        <f>'[2]Production Summary'!C49</f>
        <v>12728000</v>
      </c>
      <c r="S17" s="8">
        <f t="shared" si="10"/>
        <v>12.728</v>
      </c>
      <c r="T17" s="10">
        <f t="shared" si="11"/>
        <v>39.074959999999997</v>
      </c>
      <c r="U17" s="7">
        <f>'[2]Production Summary'!F49</f>
        <v>0</v>
      </c>
      <c r="V17" s="8">
        <f t="shared" si="12"/>
        <v>0</v>
      </c>
      <c r="W17" s="10">
        <f t="shared" si="13"/>
        <v>0</v>
      </c>
      <c r="X17" s="7">
        <f>'[2]Production Summary'!AB49</f>
        <v>170999.99999999939</v>
      </c>
      <c r="Y17" s="8">
        <f t="shared" si="14"/>
        <v>0.1709999999999994</v>
      </c>
      <c r="Z17" s="10">
        <f t="shared" si="15"/>
        <v>0.52496999999999816</v>
      </c>
      <c r="AA17" s="15"/>
      <c r="AB17" s="7">
        <f t="shared" si="16"/>
        <v>12552000</v>
      </c>
      <c r="AC17" s="8">
        <f t="shared" si="17"/>
        <v>12.552</v>
      </c>
      <c r="AD17" s="8">
        <f t="shared" si="17"/>
        <v>38.534639999999996</v>
      </c>
    </row>
    <row r="18" spans="1:30" x14ac:dyDescent="0.15">
      <c r="A18" s="27">
        <v>43145</v>
      </c>
      <c r="B18" s="7">
        <f>'[2]Production Summary'!J50</f>
        <v>0</v>
      </c>
      <c r="C18" s="8">
        <f t="shared" si="0"/>
        <v>0</v>
      </c>
      <c r="D18" s="10">
        <f t="shared" si="1"/>
        <v>0</v>
      </c>
      <c r="E18" s="7">
        <f>'[2]Production Summary'!E50</f>
        <v>0</v>
      </c>
      <c r="F18" s="8">
        <f t="shared" si="2"/>
        <v>0</v>
      </c>
      <c r="G18" s="10">
        <f t="shared" si="3"/>
        <v>0</v>
      </c>
      <c r="H18" s="7">
        <f>'[2]Production Summary'!G50</f>
        <v>0</v>
      </c>
      <c r="I18" s="8">
        <f t="shared" si="4"/>
        <v>0</v>
      </c>
      <c r="J18" s="10">
        <f t="shared" si="5"/>
        <v>0</v>
      </c>
      <c r="K18" s="7">
        <f>'[2]Production Summary'!T50</f>
        <v>159111</v>
      </c>
      <c r="L18" s="8">
        <f t="shared" ref="L18:L20" si="18">K18/1000000</f>
        <v>0.159111</v>
      </c>
      <c r="M18" s="10">
        <f t="shared" ref="M18:M20" si="19">L18*3.07</f>
        <v>0.48847077</v>
      </c>
      <c r="N18" s="21"/>
      <c r="O18" s="7">
        <f>'[2]Production Summary'!I50</f>
        <v>12747999.999999996</v>
      </c>
      <c r="P18" s="8">
        <f t="shared" si="8"/>
        <v>12.747999999999996</v>
      </c>
      <c r="Q18" s="10">
        <f t="shared" si="9"/>
        <v>39.136359999999982</v>
      </c>
      <c r="R18" s="7">
        <f>'[2]Production Summary'!C50</f>
        <v>12966000</v>
      </c>
      <c r="S18" s="8">
        <f t="shared" si="10"/>
        <v>12.965999999999999</v>
      </c>
      <c r="T18" s="10">
        <f t="shared" si="11"/>
        <v>39.805619999999998</v>
      </c>
      <c r="U18" s="7">
        <f>'[2]Production Summary'!F50</f>
        <v>0</v>
      </c>
      <c r="V18" s="8">
        <f t="shared" si="12"/>
        <v>0</v>
      </c>
      <c r="W18" s="10">
        <f t="shared" si="13"/>
        <v>0</v>
      </c>
      <c r="X18" s="7">
        <f>'[2]Production Summary'!AB50</f>
        <v>212000.00000000329</v>
      </c>
      <c r="Y18" s="8">
        <f t="shared" si="14"/>
        <v>0.2120000000000033</v>
      </c>
      <c r="Z18" s="10">
        <f t="shared" si="15"/>
        <v>0.65084000000001008</v>
      </c>
      <c r="AA18" s="15"/>
      <c r="AB18" s="7">
        <f t="shared" si="17"/>
        <v>12747999.999999996</v>
      </c>
      <c r="AC18" s="8">
        <f t="shared" si="17"/>
        <v>12.747999999999996</v>
      </c>
      <c r="AD18" s="8">
        <f t="shared" si="17"/>
        <v>39.136359999999982</v>
      </c>
    </row>
    <row r="19" spans="1:30" x14ac:dyDescent="0.15">
      <c r="A19" s="27">
        <v>43146</v>
      </c>
      <c r="B19" s="7">
        <f>'[2]Production Summary'!J51</f>
        <v>0</v>
      </c>
      <c r="C19" s="8">
        <f t="shared" si="0"/>
        <v>0</v>
      </c>
      <c r="D19" s="10">
        <f t="shared" si="1"/>
        <v>0</v>
      </c>
      <c r="E19" s="7">
        <f>'[2]Production Summary'!E51</f>
        <v>0</v>
      </c>
      <c r="F19" s="8">
        <f t="shared" si="2"/>
        <v>0</v>
      </c>
      <c r="G19" s="10">
        <f t="shared" si="3"/>
        <v>0</v>
      </c>
      <c r="H19" s="7">
        <f>'[2]Production Summary'!G51</f>
        <v>0</v>
      </c>
      <c r="I19" s="8">
        <f t="shared" si="4"/>
        <v>0</v>
      </c>
      <c r="J19" s="10">
        <f t="shared" si="5"/>
        <v>0</v>
      </c>
      <c r="K19" s="7">
        <f>'[2]Production Summary'!T51</f>
        <v>0</v>
      </c>
      <c r="L19" s="8">
        <f t="shared" si="18"/>
        <v>0</v>
      </c>
      <c r="M19" s="10">
        <f t="shared" si="19"/>
        <v>0</v>
      </c>
      <c r="N19" s="21"/>
      <c r="O19" s="7">
        <f>'[2]Production Summary'!I51</f>
        <v>12743000.000000004</v>
      </c>
      <c r="P19" s="8">
        <f t="shared" si="8"/>
        <v>12.743000000000004</v>
      </c>
      <c r="Q19" s="10">
        <f t="shared" si="9"/>
        <v>39.121010000000012</v>
      </c>
      <c r="R19" s="7">
        <f>'[2]Production Summary'!C51</f>
        <v>13015000</v>
      </c>
      <c r="S19" s="8">
        <f t="shared" si="10"/>
        <v>13.015000000000001</v>
      </c>
      <c r="T19" s="10">
        <f t="shared" si="11"/>
        <v>39.956049999999998</v>
      </c>
      <c r="U19" s="7">
        <f>'[2]Production Summary'!F51</f>
        <v>0</v>
      </c>
      <c r="V19" s="8">
        <f t="shared" si="12"/>
        <v>0</v>
      </c>
      <c r="W19" s="10">
        <f t="shared" si="13"/>
        <v>0</v>
      </c>
      <c r="X19" s="7">
        <f>'[2]Production Summary'!AB51</f>
        <v>263999.99999999581</v>
      </c>
      <c r="Y19" s="8">
        <f t="shared" si="14"/>
        <v>0.26399999999999579</v>
      </c>
      <c r="Z19" s="10">
        <f t="shared" si="15"/>
        <v>0.81047999999998699</v>
      </c>
      <c r="AA19" s="15"/>
      <c r="AB19" s="7">
        <f t="shared" si="17"/>
        <v>12743000.000000004</v>
      </c>
      <c r="AC19" s="8">
        <f t="shared" si="17"/>
        <v>12.743000000000004</v>
      </c>
      <c r="AD19" s="8">
        <f>D19+Q19</f>
        <v>39.121010000000012</v>
      </c>
    </row>
    <row r="20" spans="1:30" x14ac:dyDescent="0.15">
      <c r="A20" s="27">
        <v>43147</v>
      </c>
      <c r="B20" s="7">
        <f>'[2]Production Summary'!J52</f>
        <v>0</v>
      </c>
      <c r="C20" s="8">
        <f t="shared" si="0"/>
        <v>0</v>
      </c>
      <c r="D20" s="10">
        <f t="shared" si="1"/>
        <v>0</v>
      </c>
      <c r="E20" s="7">
        <f>'[2]Production Summary'!E52</f>
        <v>0</v>
      </c>
      <c r="F20" s="8">
        <f t="shared" si="2"/>
        <v>0</v>
      </c>
      <c r="G20" s="10">
        <f t="shared" si="3"/>
        <v>0</v>
      </c>
      <c r="H20" s="7">
        <f>'[2]Production Summary'!G52</f>
        <v>0</v>
      </c>
      <c r="I20" s="8">
        <f t="shared" si="4"/>
        <v>0</v>
      </c>
      <c r="J20" s="10">
        <f t="shared" si="5"/>
        <v>0</v>
      </c>
      <c r="K20" s="7">
        <f>'[2]Production Summary'!T52</f>
        <v>0</v>
      </c>
      <c r="L20" s="8">
        <f t="shared" si="18"/>
        <v>0</v>
      </c>
      <c r="M20" s="10">
        <f t="shared" si="19"/>
        <v>0</v>
      </c>
      <c r="N20" s="21"/>
      <c r="O20" s="7">
        <f>'[2]Production Summary'!I52</f>
        <v>12854999.999999994</v>
      </c>
      <c r="P20" s="8">
        <f t="shared" si="8"/>
        <v>12.854999999999995</v>
      </c>
      <c r="Q20" s="10">
        <f t="shared" si="9"/>
        <v>39.464849999999984</v>
      </c>
      <c r="R20" s="7">
        <f>'[2]Production Summary'!C52</f>
        <v>13078000</v>
      </c>
      <c r="S20" s="8">
        <f t="shared" si="10"/>
        <v>13.077999999999999</v>
      </c>
      <c r="T20" s="10">
        <f t="shared" si="11"/>
        <v>40.149459999999998</v>
      </c>
      <c r="U20" s="7">
        <f>'[2]Production Summary'!F52</f>
        <v>0</v>
      </c>
      <c r="V20" s="8">
        <f t="shared" si="12"/>
        <v>0</v>
      </c>
      <c r="W20" s="10">
        <f t="shared" si="13"/>
        <v>0</v>
      </c>
      <c r="X20" s="7">
        <f>'[2]Production Summary'!AB52</f>
        <v>217000.00000000585</v>
      </c>
      <c r="Y20" s="8">
        <f t="shared" si="14"/>
        <v>0.21700000000000585</v>
      </c>
      <c r="Z20" s="10">
        <f t="shared" si="15"/>
        <v>0.66619000000001793</v>
      </c>
      <c r="AA20" s="15"/>
      <c r="AB20" s="7">
        <f t="shared" si="17"/>
        <v>12854999.999999994</v>
      </c>
      <c r="AC20" s="8">
        <f t="shared" si="17"/>
        <v>12.854999999999995</v>
      </c>
      <c r="AD20" s="8">
        <f t="shared" si="17"/>
        <v>39.464849999999984</v>
      </c>
    </row>
    <row r="21" spans="1:30" x14ac:dyDescent="0.15">
      <c r="A21" s="27">
        <v>43148</v>
      </c>
      <c r="B21" s="7">
        <f>'[2]Production Summary'!J53</f>
        <v>0</v>
      </c>
      <c r="C21" s="8">
        <f t="shared" si="0"/>
        <v>0</v>
      </c>
      <c r="D21" s="10">
        <f t="shared" si="1"/>
        <v>0</v>
      </c>
      <c r="E21" s="7">
        <f>'[2]Production Summary'!E53</f>
        <v>0</v>
      </c>
      <c r="F21" s="8">
        <f t="shared" si="2"/>
        <v>0</v>
      </c>
      <c r="G21" s="10">
        <f t="shared" si="3"/>
        <v>0</v>
      </c>
      <c r="H21" s="7">
        <f>'[2]Production Summary'!G53</f>
        <v>0</v>
      </c>
      <c r="I21" s="8">
        <f t="shared" si="4"/>
        <v>0</v>
      </c>
      <c r="J21" s="10">
        <f t="shared" si="5"/>
        <v>0</v>
      </c>
      <c r="K21" s="7">
        <f>'[2]Production Summary'!T53</f>
        <v>0</v>
      </c>
      <c r="L21" s="8">
        <f t="shared" si="6"/>
        <v>0</v>
      </c>
      <c r="M21" s="10">
        <f t="shared" si="7"/>
        <v>0</v>
      </c>
      <c r="N21" s="21"/>
      <c r="O21" s="7">
        <f>'[2]Production Summary'!I53</f>
        <v>12897000</v>
      </c>
      <c r="P21" s="8">
        <f t="shared" si="8"/>
        <v>12.897</v>
      </c>
      <c r="Q21" s="10">
        <f t="shared" si="9"/>
        <v>39.593789999999998</v>
      </c>
      <c r="R21" s="7">
        <f>'[2]Production Summary'!C53</f>
        <v>13067000</v>
      </c>
      <c r="S21" s="8">
        <f t="shared" si="10"/>
        <v>13.067</v>
      </c>
      <c r="T21" s="10">
        <f t="shared" si="11"/>
        <v>40.115690000000001</v>
      </c>
      <c r="U21" s="7">
        <f>'[2]Production Summary'!F53</f>
        <v>0</v>
      </c>
      <c r="V21" s="8">
        <f t="shared" si="12"/>
        <v>0</v>
      </c>
      <c r="W21" s="10">
        <f t="shared" si="13"/>
        <v>0</v>
      </c>
      <c r="X21" s="7">
        <f>'[2]Production Summary'!AB53</f>
        <v>164999.99999999916</v>
      </c>
      <c r="Y21" s="8">
        <f t="shared" si="14"/>
        <v>0.16499999999999915</v>
      </c>
      <c r="Z21" s="10">
        <f t="shared" si="15"/>
        <v>0.50654999999999739</v>
      </c>
      <c r="AA21" s="15"/>
      <c r="AB21" s="7">
        <f t="shared" si="17"/>
        <v>12897000</v>
      </c>
      <c r="AC21" s="8">
        <f t="shared" si="17"/>
        <v>12.897</v>
      </c>
      <c r="AD21" s="8">
        <f t="shared" si="17"/>
        <v>39.593789999999998</v>
      </c>
    </row>
    <row r="22" spans="1:30" x14ac:dyDescent="0.15">
      <c r="A22" s="27">
        <v>43149</v>
      </c>
      <c r="B22" s="7">
        <f>'[2]Production Summary'!J54</f>
        <v>0</v>
      </c>
      <c r="C22" s="8">
        <f t="shared" si="0"/>
        <v>0</v>
      </c>
      <c r="D22" s="10">
        <f t="shared" si="1"/>
        <v>0</v>
      </c>
      <c r="E22" s="7">
        <f>'[2]Production Summary'!E54</f>
        <v>0</v>
      </c>
      <c r="F22" s="8">
        <f t="shared" si="2"/>
        <v>0</v>
      </c>
      <c r="G22" s="10">
        <f t="shared" si="3"/>
        <v>0</v>
      </c>
      <c r="H22" s="7">
        <f>'[2]Production Summary'!G54</f>
        <v>0</v>
      </c>
      <c r="I22" s="8">
        <f t="shared" si="4"/>
        <v>0</v>
      </c>
      <c r="J22" s="10">
        <f t="shared" si="5"/>
        <v>0</v>
      </c>
      <c r="K22" s="7">
        <f>'[2]Production Summary'!T54</f>
        <v>0</v>
      </c>
      <c r="L22" s="8">
        <f t="shared" si="6"/>
        <v>0</v>
      </c>
      <c r="M22" s="10">
        <f t="shared" si="7"/>
        <v>0</v>
      </c>
      <c r="N22" s="21"/>
      <c r="O22" s="7">
        <f>'[2]Production Summary'!I54</f>
        <v>12718000.000000004</v>
      </c>
      <c r="P22" s="8">
        <f t="shared" si="8"/>
        <v>12.718000000000004</v>
      </c>
      <c r="Q22" s="10">
        <f t="shared" si="9"/>
        <v>39.044260000000008</v>
      </c>
      <c r="R22" s="7">
        <f>'[2]Production Summary'!C54</f>
        <v>12990000</v>
      </c>
      <c r="S22" s="8">
        <f t="shared" si="10"/>
        <v>12.99</v>
      </c>
      <c r="T22" s="10">
        <f t="shared" si="11"/>
        <v>39.879300000000001</v>
      </c>
      <c r="U22" s="7">
        <f>'[2]Production Summary'!F54</f>
        <v>0</v>
      </c>
      <c r="V22" s="8">
        <f t="shared" si="12"/>
        <v>0</v>
      </c>
      <c r="W22" s="10">
        <f t="shared" si="13"/>
        <v>0</v>
      </c>
      <c r="X22" s="7">
        <f>'[2]Production Summary'!AB54</f>
        <v>263999.99999999581</v>
      </c>
      <c r="Y22" s="8">
        <f t="shared" si="14"/>
        <v>0.26399999999999579</v>
      </c>
      <c r="Z22" s="10">
        <f t="shared" si="15"/>
        <v>0.81047999999998699</v>
      </c>
      <c r="AA22" s="15"/>
      <c r="AB22" s="7">
        <f t="shared" si="17"/>
        <v>12718000.000000004</v>
      </c>
      <c r="AC22" s="8">
        <f t="shared" si="17"/>
        <v>12.718000000000004</v>
      </c>
      <c r="AD22" s="8">
        <f t="shared" si="17"/>
        <v>39.044260000000008</v>
      </c>
    </row>
    <row r="23" spans="1:30" x14ac:dyDescent="0.15">
      <c r="A23" s="27">
        <v>43150</v>
      </c>
      <c r="B23" s="7">
        <f>'[2]Production Summary'!J55</f>
        <v>0</v>
      </c>
      <c r="C23" s="8">
        <f t="shared" si="0"/>
        <v>0</v>
      </c>
      <c r="D23" s="10">
        <f t="shared" si="1"/>
        <v>0</v>
      </c>
      <c r="E23" s="7">
        <f>'[2]Production Summary'!E55</f>
        <v>0</v>
      </c>
      <c r="F23" s="8">
        <f t="shared" si="2"/>
        <v>0</v>
      </c>
      <c r="G23" s="10">
        <f t="shared" si="3"/>
        <v>0</v>
      </c>
      <c r="H23" s="7">
        <f>'[2]Production Summary'!G55</f>
        <v>0</v>
      </c>
      <c r="I23" s="8">
        <f t="shared" si="4"/>
        <v>0</v>
      </c>
      <c r="J23" s="10">
        <f t="shared" si="5"/>
        <v>0</v>
      </c>
      <c r="K23" s="7">
        <f>'[2]Production Summary'!T55</f>
        <v>0</v>
      </c>
      <c r="L23" s="8">
        <f t="shared" si="6"/>
        <v>0</v>
      </c>
      <c r="M23" s="10">
        <f t="shared" si="7"/>
        <v>0</v>
      </c>
      <c r="N23" s="21"/>
      <c r="O23" s="7">
        <f>'[2]Production Summary'!I55</f>
        <v>12359999.999999998</v>
      </c>
      <c r="P23" s="8">
        <f t="shared" si="8"/>
        <v>12.359999999999998</v>
      </c>
      <c r="Q23" s="10">
        <f t="shared" si="9"/>
        <v>37.945199999999993</v>
      </c>
      <c r="R23" s="7">
        <f>'[2]Production Summary'!C55</f>
        <v>12583000</v>
      </c>
      <c r="S23" s="8">
        <f t="shared" si="10"/>
        <v>12.583</v>
      </c>
      <c r="T23" s="10">
        <f t="shared" si="11"/>
        <v>38.629809999999999</v>
      </c>
      <c r="U23" s="7">
        <f>'[2]Production Summary'!F55</f>
        <v>0</v>
      </c>
      <c r="V23" s="8">
        <f t="shared" si="12"/>
        <v>0</v>
      </c>
      <c r="W23" s="10">
        <f t="shared" si="13"/>
        <v>0</v>
      </c>
      <c r="X23" s="7">
        <f>'[2]Production Summary'!AB55</f>
        <v>216000.00000000108</v>
      </c>
      <c r="Y23" s="8">
        <f t="shared" si="14"/>
        <v>0.21600000000000108</v>
      </c>
      <c r="Z23" s="10">
        <f t="shared" si="15"/>
        <v>0.66312000000000326</v>
      </c>
      <c r="AA23" s="15"/>
      <c r="AB23" s="7">
        <f t="shared" si="17"/>
        <v>12359999.999999998</v>
      </c>
      <c r="AC23" s="8">
        <f t="shared" si="17"/>
        <v>12.359999999999998</v>
      </c>
      <c r="AD23" s="8">
        <f t="shared" si="17"/>
        <v>37.945199999999993</v>
      </c>
    </row>
    <row r="24" spans="1:30" x14ac:dyDescent="0.15">
      <c r="A24" s="27">
        <v>43151</v>
      </c>
      <c r="B24" s="7">
        <f>'[2]Production Summary'!J56</f>
        <v>0</v>
      </c>
      <c r="C24" s="8">
        <f t="shared" si="0"/>
        <v>0</v>
      </c>
      <c r="D24" s="10">
        <f t="shared" si="1"/>
        <v>0</v>
      </c>
      <c r="E24" s="7">
        <f>'[2]Production Summary'!E56</f>
        <v>0</v>
      </c>
      <c r="F24" s="8">
        <f t="shared" si="2"/>
        <v>0</v>
      </c>
      <c r="G24" s="10">
        <f t="shared" si="3"/>
        <v>0</v>
      </c>
      <c r="H24" s="7">
        <f>'[2]Production Summary'!G56</f>
        <v>0</v>
      </c>
      <c r="I24" s="8">
        <f t="shared" si="4"/>
        <v>0</v>
      </c>
      <c r="J24" s="10">
        <f t="shared" si="5"/>
        <v>0</v>
      </c>
      <c r="K24" s="7">
        <f>'[2]Production Summary'!T56</f>
        <v>0</v>
      </c>
      <c r="L24" s="8">
        <f t="shared" ref="L24:L32" si="20">K24/1000000</f>
        <v>0</v>
      </c>
      <c r="M24" s="10">
        <f t="shared" si="7"/>
        <v>0</v>
      </c>
      <c r="N24" s="21"/>
      <c r="O24" s="7">
        <f>'[2]Production Summary'!I56</f>
        <v>12284999.999999998</v>
      </c>
      <c r="P24" s="8">
        <f t="shared" si="8"/>
        <v>12.284999999999998</v>
      </c>
      <c r="Q24" s="10">
        <f t="shared" si="9"/>
        <v>37.714949999999995</v>
      </c>
      <c r="R24" s="7">
        <f>'[2]Production Summary'!C56</f>
        <v>12570000</v>
      </c>
      <c r="S24" s="8">
        <f t="shared" si="10"/>
        <v>12.57</v>
      </c>
      <c r="T24" s="10">
        <f t="shared" si="11"/>
        <v>38.5899</v>
      </c>
      <c r="U24" s="7">
        <f>'[2]Production Summary'!F56</f>
        <v>0</v>
      </c>
      <c r="V24" s="8">
        <f t="shared" si="12"/>
        <v>0</v>
      </c>
      <c r="W24" s="10">
        <f t="shared" si="13"/>
        <v>0</v>
      </c>
      <c r="X24" s="7">
        <f>'[2]Production Summary'!AB56</f>
        <v>277000.00000000105</v>
      </c>
      <c r="Y24" s="8">
        <f t="shared" si="14"/>
        <v>0.27700000000000102</v>
      </c>
      <c r="Z24" s="10">
        <f t="shared" si="15"/>
        <v>0.85039000000000309</v>
      </c>
      <c r="AA24" s="15"/>
      <c r="AB24" s="7">
        <f t="shared" si="17"/>
        <v>12284999.999999998</v>
      </c>
      <c r="AC24" s="8">
        <f t="shared" si="17"/>
        <v>12.284999999999998</v>
      </c>
      <c r="AD24" s="8">
        <f>D24+Q24</f>
        <v>37.714949999999995</v>
      </c>
    </row>
    <row r="25" spans="1:30" x14ac:dyDescent="0.15">
      <c r="A25" s="27">
        <v>43152</v>
      </c>
      <c r="B25" s="7">
        <f>'[2]Production Summary'!J57</f>
        <v>0</v>
      </c>
      <c r="C25" s="8">
        <f t="shared" si="0"/>
        <v>0</v>
      </c>
      <c r="D25" s="10">
        <f t="shared" si="1"/>
        <v>0</v>
      </c>
      <c r="E25" s="7">
        <f>'[2]Production Summary'!E57</f>
        <v>0</v>
      </c>
      <c r="F25" s="8">
        <f t="shared" si="2"/>
        <v>0</v>
      </c>
      <c r="G25" s="10">
        <f t="shared" si="3"/>
        <v>0</v>
      </c>
      <c r="H25" s="7">
        <f>'[2]Production Summary'!G57</f>
        <v>0</v>
      </c>
      <c r="I25" s="8">
        <f t="shared" si="4"/>
        <v>0</v>
      </c>
      <c r="J25" s="10">
        <f t="shared" si="5"/>
        <v>0</v>
      </c>
      <c r="K25" s="7">
        <f>'[2]Production Summary'!T57</f>
        <v>337258</v>
      </c>
      <c r="L25" s="8">
        <f t="shared" si="20"/>
        <v>0.337258</v>
      </c>
      <c r="M25" s="10">
        <f t="shared" si="7"/>
        <v>1.0353820599999999</v>
      </c>
      <c r="N25" s="21"/>
      <c r="O25" s="7">
        <f>'[2]Production Summary'!I57</f>
        <v>12192999.999999996</v>
      </c>
      <c r="P25" s="8">
        <f t="shared" si="8"/>
        <v>12.192999999999996</v>
      </c>
      <c r="Q25" s="10">
        <f t="shared" si="9"/>
        <v>37.432509999999986</v>
      </c>
      <c r="R25" s="7">
        <f>'[2]Production Summary'!C57</f>
        <v>12349000</v>
      </c>
      <c r="S25" s="8">
        <f t="shared" si="10"/>
        <v>12.349</v>
      </c>
      <c r="T25" s="10">
        <f t="shared" si="11"/>
        <v>37.911429999999996</v>
      </c>
      <c r="U25" s="7">
        <f>'[2]Production Summary'!F57</f>
        <v>0</v>
      </c>
      <c r="V25" s="8">
        <f t="shared" si="12"/>
        <v>0</v>
      </c>
      <c r="W25" s="10">
        <f t="shared" si="13"/>
        <v>0</v>
      </c>
      <c r="X25" s="7">
        <f>'[2]Production Summary'!AB57</f>
        <v>151000.00000000335</v>
      </c>
      <c r="Y25" s="8">
        <f t="shared" si="14"/>
        <v>0.15100000000000335</v>
      </c>
      <c r="Z25" s="10">
        <f t="shared" si="15"/>
        <v>0.46357000000001025</v>
      </c>
      <c r="AA25" s="15"/>
      <c r="AB25" s="7">
        <f t="shared" si="17"/>
        <v>12192999.999999996</v>
      </c>
      <c r="AC25" s="8">
        <f t="shared" si="17"/>
        <v>12.192999999999996</v>
      </c>
      <c r="AD25" s="8">
        <f t="shared" si="17"/>
        <v>37.432509999999986</v>
      </c>
    </row>
    <row r="26" spans="1:30" x14ac:dyDescent="0.15">
      <c r="A26" s="27">
        <v>43153</v>
      </c>
      <c r="B26" s="7">
        <f>'[2]Production Summary'!J58</f>
        <v>0</v>
      </c>
      <c r="C26" s="8">
        <f t="shared" si="0"/>
        <v>0</v>
      </c>
      <c r="D26" s="10">
        <f t="shared" si="1"/>
        <v>0</v>
      </c>
      <c r="E26" s="7">
        <f>'[2]Production Summary'!E58</f>
        <v>0</v>
      </c>
      <c r="F26" s="8">
        <f t="shared" si="2"/>
        <v>0</v>
      </c>
      <c r="G26" s="10">
        <f t="shared" si="3"/>
        <v>0</v>
      </c>
      <c r="H26" s="7">
        <f>'[2]Production Summary'!G58</f>
        <v>0</v>
      </c>
      <c r="I26" s="8">
        <f t="shared" si="4"/>
        <v>0</v>
      </c>
      <c r="J26" s="10">
        <f t="shared" si="5"/>
        <v>0</v>
      </c>
      <c r="K26" s="7">
        <f>'[2]Production Summary'!T58</f>
        <v>319689</v>
      </c>
      <c r="L26" s="8">
        <f t="shared" si="20"/>
        <v>0.319689</v>
      </c>
      <c r="M26" s="10">
        <f t="shared" si="7"/>
        <v>0.98144522999999995</v>
      </c>
      <c r="N26" s="21"/>
      <c r="O26" s="7">
        <f>'[2]Production Summary'!I58</f>
        <v>12426000.000000002</v>
      </c>
      <c r="P26" s="8">
        <f t="shared" si="8"/>
        <v>12.426000000000002</v>
      </c>
      <c r="Q26" s="10">
        <f t="shared" si="9"/>
        <v>38.147820000000003</v>
      </c>
      <c r="R26" s="7">
        <f>'[2]Production Summary'!C58</f>
        <v>12649000</v>
      </c>
      <c r="S26" s="8">
        <f t="shared" si="10"/>
        <v>12.648999999999999</v>
      </c>
      <c r="T26" s="10">
        <f t="shared" si="11"/>
        <v>38.832429999999995</v>
      </c>
      <c r="U26" s="7">
        <f>'[2]Production Summary'!F58</f>
        <v>0</v>
      </c>
      <c r="V26" s="8">
        <f t="shared" si="12"/>
        <v>0</v>
      </c>
      <c r="W26" s="10">
        <f t="shared" si="13"/>
        <v>0</v>
      </c>
      <c r="X26" s="7">
        <f>'[2]Production Summary'!AB58</f>
        <v>216999.99999999875</v>
      </c>
      <c r="Y26" s="8">
        <f t="shared" si="14"/>
        <v>0.21699999999999875</v>
      </c>
      <c r="Z26" s="10">
        <f t="shared" si="15"/>
        <v>0.66618999999999617</v>
      </c>
      <c r="AA26" s="15"/>
      <c r="AB26" s="7">
        <f t="shared" si="17"/>
        <v>12426000.000000002</v>
      </c>
      <c r="AC26" s="8">
        <f t="shared" si="17"/>
        <v>12.426000000000002</v>
      </c>
      <c r="AD26" s="8">
        <f t="shared" si="17"/>
        <v>38.147820000000003</v>
      </c>
    </row>
    <row r="27" spans="1:30" x14ac:dyDescent="0.15">
      <c r="A27" s="27">
        <v>43154</v>
      </c>
      <c r="B27" s="7">
        <f>'[2]Production Summary'!J59</f>
        <v>0</v>
      </c>
      <c r="C27" s="8">
        <f t="shared" si="0"/>
        <v>0</v>
      </c>
      <c r="D27" s="10">
        <f t="shared" si="1"/>
        <v>0</v>
      </c>
      <c r="E27" s="7">
        <f>'[2]Production Summary'!E59</f>
        <v>0</v>
      </c>
      <c r="F27" s="8">
        <f t="shared" si="2"/>
        <v>0</v>
      </c>
      <c r="G27" s="10">
        <f t="shared" si="3"/>
        <v>0</v>
      </c>
      <c r="H27" s="7">
        <f>'[2]Production Summary'!G59</f>
        <v>0</v>
      </c>
      <c r="I27" s="8">
        <f t="shared" si="4"/>
        <v>0</v>
      </c>
      <c r="J27" s="10">
        <f t="shared" si="5"/>
        <v>0</v>
      </c>
      <c r="K27" s="7">
        <f>'[2]Production Summary'!T59</f>
        <v>0</v>
      </c>
      <c r="L27" s="8">
        <f t="shared" si="20"/>
        <v>0</v>
      </c>
      <c r="M27" s="10">
        <f t="shared" si="7"/>
        <v>0</v>
      </c>
      <c r="N27" s="21"/>
      <c r="O27" s="7">
        <f>'[2]Production Summary'!I59</f>
        <v>12170999.999999998</v>
      </c>
      <c r="P27" s="8">
        <f t="shared" si="8"/>
        <v>12.170999999999998</v>
      </c>
      <c r="Q27" s="10">
        <f t="shared" si="9"/>
        <v>37.364969999999992</v>
      </c>
      <c r="R27" s="7">
        <f>'[2]Production Summary'!C59</f>
        <v>12456000</v>
      </c>
      <c r="S27" s="8">
        <f t="shared" si="10"/>
        <v>12.456</v>
      </c>
      <c r="T27" s="10">
        <f t="shared" si="11"/>
        <v>38.239919999999998</v>
      </c>
      <c r="U27" s="7">
        <f>'[2]Production Summary'!F59</f>
        <v>0</v>
      </c>
      <c r="V27" s="8">
        <f t="shared" si="12"/>
        <v>0</v>
      </c>
      <c r="W27" s="10">
        <f t="shared" si="13"/>
        <v>0</v>
      </c>
      <c r="X27" s="7">
        <f>'[2]Production Summary'!AB59</f>
        <v>277000.00000000105</v>
      </c>
      <c r="Y27" s="8">
        <f t="shared" si="14"/>
        <v>0.27700000000000102</v>
      </c>
      <c r="Z27" s="10">
        <f t="shared" si="15"/>
        <v>0.85039000000000309</v>
      </c>
      <c r="AA27" s="15"/>
      <c r="AB27" s="7">
        <f t="shared" si="17"/>
        <v>12170999.999999998</v>
      </c>
      <c r="AC27" s="8">
        <f t="shared" si="17"/>
        <v>12.170999999999998</v>
      </c>
      <c r="AD27" s="8">
        <f t="shared" si="17"/>
        <v>37.364969999999992</v>
      </c>
    </row>
    <row r="28" spans="1:30" x14ac:dyDescent="0.15">
      <c r="A28" s="27">
        <v>43155</v>
      </c>
      <c r="B28" s="7">
        <f>'[2]Production Summary'!J60</f>
        <v>0</v>
      </c>
      <c r="C28" s="8">
        <f t="shared" si="0"/>
        <v>0</v>
      </c>
      <c r="D28" s="10">
        <f t="shared" si="1"/>
        <v>0</v>
      </c>
      <c r="E28" s="7">
        <f>'[2]Production Summary'!E60</f>
        <v>0</v>
      </c>
      <c r="F28" s="8">
        <f t="shared" si="2"/>
        <v>0</v>
      </c>
      <c r="G28" s="10">
        <f t="shared" si="3"/>
        <v>0</v>
      </c>
      <c r="H28" s="7">
        <f>'[2]Production Summary'!G60</f>
        <v>0</v>
      </c>
      <c r="I28" s="8">
        <f t="shared" si="4"/>
        <v>0</v>
      </c>
      <c r="J28" s="10">
        <f t="shared" si="5"/>
        <v>0</v>
      </c>
      <c r="K28" s="7">
        <f>'[2]Production Summary'!T60</f>
        <v>0</v>
      </c>
      <c r="L28" s="8">
        <f t="shared" si="20"/>
        <v>0</v>
      </c>
      <c r="M28" s="10">
        <f t="shared" si="7"/>
        <v>0</v>
      </c>
      <c r="N28" s="21"/>
      <c r="O28" s="7">
        <f>'[2]Production Summary'!I60</f>
        <v>12313000.000000002</v>
      </c>
      <c r="P28" s="8">
        <f t="shared" si="8"/>
        <v>12.313000000000002</v>
      </c>
      <c r="Q28" s="10">
        <f t="shared" si="9"/>
        <v>37.800910000000009</v>
      </c>
      <c r="R28" s="7">
        <f>'[2]Production Summary'!C60</f>
        <v>12581000</v>
      </c>
      <c r="S28" s="8">
        <f t="shared" si="10"/>
        <v>12.581</v>
      </c>
      <c r="T28" s="10">
        <f t="shared" si="11"/>
        <v>38.623669999999997</v>
      </c>
      <c r="U28" s="7">
        <f>'[2]Production Summary'!F60</f>
        <v>0</v>
      </c>
      <c r="V28" s="8">
        <f t="shared" si="12"/>
        <v>0</v>
      </c>
      <c r="W28" s="10">
        <f t="shared" si="13"/>
        <v>0</v>
      </c>
      <c r="X28" s="7">
        <f>'[2]Production Summary'!AB60</f>
        <v>259999.99999999802</v>
      </c>
      <c r="Y28" s="8">
        <f t="shared" si="14"/>
        <v>0.25999999999999801</v>
      </c>
      <c r="Z28" s="10">
        <f t="shared" si="15"/>
        <v>0.7981999999999938</v>
      </c>
      <c r="AA28" s="15"/>
      <c r="AB28" s="7">
        <f t="shared" si="17"/>
        <v>12313000.000000002</v>
      </c>
      <c r="AC28" s="8">
        <f t="shared" si="17"/>
        <v>12.313000000000002</v>
      </c>
      <c r="AD28" s="8">
        <f t="shared" si="17"/>
        <v>37.800910000000009</v>
      </c>
    </row>
    <row r="29" spans="1:30" x14ac:dyDescent="0.15">
      <c r="A29" s="27">
        <v>43156</v>
      </c>
      <c r="B29" s="7">
        <f>'[2]Production Summary'!J61</f>
        <v>0</v>
      </c>
      <c r="C29" s="8">
        <f t="shared" si="0"/>
        <v>0</v>
      </c>
      <c r="D29" s="10">
        <f t="shared" si="1"/>
        <v>0</v>
      </c>
      <c r="E29" s="7">
        <f>'[2]Production Summary'!E61</f>
        <v>0</v>
      </c>
      <c r="F29" s="8">
        <f t="shared" si="2"/>
        <v>0</v>
      </c>
      <c r="G29" s="10">
        <f t="shared" si="3"/>
        <v>0</v>
      </c>
      <c r="H29" s="7">
        <f>'[2]Production Summary'!G61</f>
        <v>0</v>
      </c>
      <c r="I29" s="8">
        <f t="shared" si="4"/>
        <v>0</v>
      </c>
      <c r="J29" s="10">
        <f t="shared" si="5"/>
        <v>0</v>
      </c>
      <c r="K29" s="7">
        <f>'[2]Production Summary'!T61</f>
        <v>0</v>
      </c>
      <c r="L29" s="8">
        <f t="shared" si="20"/>
        <v>0</v>
      </c>
      <c r="M29" s="10">
        <f t="shared" si="7"/>
        <v>0</v>
      </c>
      <c r="N29" s="21"/>
      <c r="O29" s="7">
        <f>'[2]Production Summary'!I61</f>
        <v>12302000.000000004</v>
      </c>
      <c r="P29" s="8">
        <f t="shared" si="8"/>
        <v>12.302000000000003</v>
      </c>
      <c r="Q29" s="10">
        <f t="shared" si="9"/>
        <v>37.767140000000005</v>
      </c>
      <c r="R29" s="7">
        <f>'[2]Production Summary'!C61</f>
        <v>12413000</v>
      </c>
      <c r="S29" s="8">
        <f t="shared" si="10"/>
        <v>12.413</v>
      </c>
      <c r="T29" s="10">
        <f t="shared" si="11"/>
        <v>38.107909999999997</v>
      </c>
      <c r="U29" s="7">
        <f>'[2]Production Summary'!F61</f>
        <v>0</v>
      </c>
      <c r="V29" s="8">
        <f t="shared" si="12"/>
        <v>0</v>
      </c>
      <c r="W29" s="10">
        <f t="shared" si="13"/>
        <v>0</v>
      </c>
      <c r="X29" s="7">
        <f>'[2]Production Summary'!AB61</f>
        <v>107999.99999999699</v>
      </c>
      <c r="Y29" s="8">
        <f t="shared" si="14"/>
        <v>0.10799999999999699</v>
      </c>
      <c r="Z29" s="10">
        <f t="shared" si="15"/>
        <v>0.33155999999999075</v>
      </c>
      <c r="AA29" s="15"/>
      <c r="AB29" s="7">
        <f t="shared" si="17"/>
        <v>12302000.000000004</v>
      </c>
      <c r="AC29" s="8">
        <f t="shared" si="17"/>
        <v>12.302000000000003</v>
      </c>
      <c r="AD29" s="8">
        <f t="shared" si="17"/>
        <v>37.767140000000005</v>
      </c>
    </row>
    <row r="30" spans="1:30" x14ac:dyDescent="0.15">
      <c r="A30" s="27">
        <v>43157</v>
      </c>
      <c r="B30" s="7">
        <f>'[2]Production Summary'!J62</f>
        <v>0</v>
      </c>
      <c r="C30" s="8">
        <f t="shared" si="0"/>
        <v>0</v>
      </c>
      <c r="D30" s="10">
        <f t="shared" si="1"/>
        <v>0</v>
      </c>
      <c r="E30" s="7">
        <f>'[2]Production Summary'!E62</f>
        <v>1000000</v>
      </c>
      <c r="F30" s="8">
        <f t="shared" si="2"/>
        <v>1</v>
      </c>
      <c r="G30" s="10">
        <f t="shared" si="3"/>
        <v>3.07</v>
      </c>
      <c r="H30" s="7">
        <f>'[2]Production Summary'!G62</f>
        <v>0</v>
      </c>
      <c r="I30" s="8">
        <f t="shared" si="4"/>
        <v>0</v>
      </c>
      <c r="J30" s="10">
        <f t="shared" si="5"/>
        <v>0</v>
      </c>
      <c r="K30" s="7">
        <f>'[2]Production Summary'!T62</f>
        <v>357336</v>
      </c>
      <c r="L30" s="8">
        <f t="shared" si="20"/>
        <v>0.35733599999999999</v>
      </c>
      <c r="M30" s="10">
        <f t="shared" si="7"/>
        <v>1.09702152</v>
      </c>
      <c r="N30" s="21"/>
      <c r="O30" s="7">
        <f>'[2]Production Summary'!I62</f>
        <v>12233999.999999996</v>
      </c>
      <c r="P30" s="8">
        <f t="shared" si="8"/>
        <v>12.233999999999996</v>
      </c>
      <c r="Q30" s="10">
        <f t="shared" si="9"/>
        <v>37.558379999999985</v>
      </c>
      <c r="R30" s="7">
        <f>'[2]Production Summary'!C62</f>
        <v>12518000</v>
      </c>
      <c r="S30" s="8">
        <f t="shared" si="10"/>
        <v>12.518000000000001</v>
      </c>
      <c r="T30" s="10">
        <f t="shared" si="11"/>
        <v>38.430259999999997</v>
      </c>
      <c r="U30" s="7">
        <f>'[2]Production Summary'!F62</f>
        <v>584000</v>
      </c>
      <c r="V30" s="8">
        <f t="shared" si="12"/>
        <v>0.58399999999999996</v>
      </c>
      <c r="W30" s="10">
        <f t="shared" si="13"/>
        <v>1.7928799999999998</v>
      </c>
      <c r="X30" s="7">
        <f>'[2]Production Summary'!AB62</f>
        <v>276000.00000000338</v>
      </c>
      <c r="Y30" s="8">
        <f t="shared" si="14"/>
        <v>0.27600000000000335</v>
      </c>
      <c r="Z30" s="10">
        <f t="shared" si="15"/>
        <v>0.84732000000001029</v>
      </c>
      <c r="AA30" s="15"/>
      <c r="AB30" s="7">
        <f t="shared" si="17"/>
        <v>12233999.999999996</v>
      </c>
      <c r="AC30" s="8">
        <f t="shared" si="17"/>
        <v>12.233999999999996</v>
      </c>
      <c r="AD30" s="8">
        <f>D30+Q30</f>
        <v>37.558379999999985</v>
      </c>
    </row>
    <row r="31" spans="1:30" x14ac:dyDescent="0.15">
      <c r="A31" s="27">
        <v>43158</v>
      </c>
      <c r="B31" s="7">
        <f>'[2]Production Summary'!J63</f>
        <v>0</v>
      </c>
      <c r="C31" s="8">
        <f t="shared" si="0"/>
        <v>0</v>
      </c>
      <c r="D31" s="10">
        <f t="shared" si="1"/>
        <v>0</v>
      </c>
      <c r="E31" s="7">
        <f>'[2]Production Summary'!E63</f>
        <v>0</v>
      </c>
      <c r="F31" s="8">
        <f t="shared" si="2"/>
        <v>0</v>
      </c>
      <c r="G31" s="10">
        <f t="shared" si="3"/>
        <v>0</v>
      </c>
      <c r="H31" s="7">
        <f>'[2]Production Summary'!G63</f>
        <v>0</v>
      </c>
      <c r="I31" s="8">
        <f t="shared" si="4"/>
        <v>0</v>
      </c>
      <c r="J31" s="10">
        <f t="shared" si="5"/>
        <v>0</v>
      </c>
      <c r="K31" s="7">
        <f>'[2]Production Summary'!T63</f>
        <v>0</v>
      </c>
      <c r="L31" s="8">
        <f t="shared" si="20"/>
        <v>0</v>
      </c>
      <c r="M31" s="10">
        <f t="shared" si="7"/>
        <v>0</v>
      </c>
      <c r="N31" s="21"/>
      <c r="O31" s="7">
        <f>'[2]Production Summary'!I63</f>
        <v>12696999.999999998</v>
      </c>
      <c r="P31" s="8">
        <f t="shared" si="8"/>
        <v>12.696999999999997</v>
      </c>
      <c r="Q31" s="10">
        <f t="shared" si="9"/>
        <v>38.979789999999987</v>
      </c>
      <c r="R31" s="7">
        <f>'[2]Production Summary'!C63</f>
        <v>12917000</v>
      </c>
      <c r="S31" s="8">
        <f t="shared" si="10"/>
        <v>12.917</v>
      </c>
      <c r="T31" s="10">
        <f t="shared" si="11"/>
        <v>39.655189999999997</v>
      </c>
      <c r="U31" s="7">
        <f>'[2]Production Summary'!F63</f>
        <v>930000</v>
      </c>
      <c r="V31" s="8">
        <f t="shared" si="12"/>
        <v>0.93</v>
      </c>
      <c r="W31" s="10">
        <f t="shared" si="13"/>
        <v>2.8551000000000002</v>
      </c>
      <c r="X31" s="7">
        <f>'[2]Production Summary'!AB63</f>
        <v>213000.00000000096</v>
      </c>
      <c r="Y31" s="8">
        <f t="shared" si="14"/>
        <v>0.21300000000000097</v>
      </c>
      <c r="Z31" s="10">
        <f t="shared" si="15"/>
        <v>0.65391000000000288</v>
      </c>
      <c r="AA31" s="15"/>
      <c r="AB31" s="7">
        <f t="shared" si="17"/>
        <v>12696999.999999998</v>
      </c>
      <c r="AC31" s="8">
        <f t="shared" si="17"/>
        <v>12.696999999999997</v>
      </c>
      <c r="AD31" s="8">
        <f t="shared" si="17"/>
        <v>38.979789999999987</v>
      </c>
    </row>
    <row r="32" spans="1:30" x14ac:dyDescent="0.15">
      <c r="A32" s="27">
        <v>43159</v>
      </c>
      <c r="B32" s="7">
        <f>'[2]Production Summary'!J64</f>
        <v>0</v>
      </c>
      <c r="C32" s="8">
        <f t="shared" si="0"/>
        <v>0</v>
      </c>
      <c r="D32" s="10">
        <f t="shared" si="1"/>
        <v>0</v>
      </c>
      <c r="E32" s="7">
        <f>'[2]Production Summary'!E64</f>
        <v>0</v>
      </c>
      <c r="F32" s="8">
        <f t="shared" si="2"/>
        <v>0</v>
      </c>
      <c r="G32" s="10">
        <f t="shared" si="3"/>
        <v>0</v>
      </c>
      <c r="H32" s="7">
        <f>'[2]Production Summary'!G64</f>
        <v>0</v>
      </c>
      <c r="I32" s="8">
        <f t="shared" si="4"/>
        <v>0</v>
      </c>
      <c r="J32" s="10">
        <f t="shared" si="5"/>
        <v>0</v>
      </c>
      <c r="K32" s="7">
        <f>'[2]Production Summary'!T64</f>
        <v>0</v>
      </c>
      <c r="L32" s="8">
        <f t="shared" si="20"/>
        <v>0</v>
      </c>
      <c r="M32" s="10">
        <f t="shared" si="7"/>
        <v>0</v>
      </c>
      <c r="N32" s="21"/>
      <c r="O32" s="7">
        <f>'[2]Production Summary'!I64</f>
        <v>12696000.000000002</v>
      </c>
      <c r="P32" s="8">
        <f t="shared" si="8"/>
        <v>12.696000000000002</v>
      </c>
      <c r="Q32" s="10">
        <f t="shared" si="9"/>
        <v>38.97672</v>
      </c>
      <c r="R32" s="7">
        <f>'[2]Production Summary'!C64</f>
        <v>12919000</v>
      </c>
      <c r="S32" s="8">
        <f t="shared" si="10"/>
        <v>12.919</v>
      </c>
      <c r="T32" s="10">
        <f t="shared" si="11"/>
        <v>39.66133</v>
      </c>
      <c r="U32" s="7">
        <f>'[2]Production Summary'!F64</f>
        <v>940000</v>
      </c>
      <c r="V32" s="8">
        <f t="shared" si="12"/>
        <v>0.94</v>
      </c>
      <c r="W32" s="10">
        <f t="shared" si="13"/>
        <v>2.8857999999999997</v>
      </c>
      <c r="X32" s="7">
        <f>'[2]Production Summary'!AB64</f>
        <v>216999.99999999875</v>
      </c>
      <c r="Y32" s="8">
        <f t="shared" si="14"/>
        <v>0.21699999999999875</v>
      </c>
      <c r="Z32" s="10">
        <f t="shared" si="15"/>
        <v>0.66618999999999617</v>
      </c>
      <c r="AA32" s="15"/>
      <c r="AB32" s="7">
        <f t="shared" si="17"/>
        <v>12696000.000000002</v>
      </c>
      <c r="AC32" s="8">
        <f t="shared" si="17"/>
        <v>12.696000000000002</v>
      </c>
      <c r="AD32" s="8">
        <f t="shared" si="17"/>
        <v>38.97672</v>
      </c>
    </row>
    <row r="33" spans="1:30" ht="14" thickBot="1" x14ac:dyDescent="0.2">
      <c r="A33" s="27"/>
      <c r="B33" s="7">
        <v>0</v>
      </c>
      <c r="C33" s="8">
        <f t="shared" ref="C33" si="21">B33/1000000</f>
        <v>0</v>
      </c>
      <c r="D33" s="10">
        <f t="shared" ref="D33" si="22">C33*3.07</f>
        <v>0</v>
      </c>
      <c r="E33" s="7">
        <v>0</v>
      </c>
      <c r="F33" s="8">
        <f t="shared" ref="F33" si="23">E33/1000000</f>
        <v>0</v>
      </c>
      <c r="G33" s="10">
        <f t="shared" ref="G33" si="24">F33*3.07</f>
        <v>0</v>
      </c>
      <c r="H33" s="7">
        <v>0</v>
      </c>
      <c r="I33" s="8">
        <f t="shared" ref="I33" si="25">H33/1000000</f>
        <v>0</v>
      </c>
      <c r="J33" s="10">
        <f t="shared" ref="J33" si="26">I33*3.07</f>
        <v>0</v>
      </c>
      <c r="K33" s="7">
        <v>0</v>
      </c>
      <c r="L33" s="8">
        <f t="shared" ref="L33" si="27">K33/1000000</f>
        <v>0</v>
      </c>
      <c r="M33" s="10">
        <f t="shared" ref="M33" si="28">L33*3.07</f>
        <v>0</v>
      </c>
      <c r="N33" s="21"/>
      <c r="O33" s="7">
        <v>0</v>
      </c>
      <c r="P33" s="8">
        <f t="shared" ref="P33" si="29">O33/1000000</f>
        <v>0</v>
      </c>
      <c r="Q33" s="10">
        <f t="shared" ref="Q33" si="30">P33*3.07</f>
        <v>0</v>
      </c>
      <c r="R33" s="7">
        <v>0</v>
      </c>
      <c r="S33" s="8">
        <f t="shared" ref="S33" si="31">R33/1000000</f>
        <v>0</v>
      </c>
      <c r="T33" s="10">
        <f t="shared" ref="T33" si="32">S33*3.07</f>
        <v>0</v>
      </c>
      <c r="U33" s="7">
        <v>0</v>
      </c>
      <c r="V33" s="8">
        <f t="shared" ref="V33" si="33">U33/1000000</f>
        <v>0</v>
      </c>
      <c r="W33" s="10">
        <f t="shared" ref="W33" si="34">V33*3.07</f>
        <v>0</v>
      </c>
      <c r="X33" s="7">
        <v>0</v>
      </c>
      <c r="Y33" s="8">
        <f t="shared" ref="Y33" si="35">X33/1000000</f>
        <v>0</v>
      </c>
      <c r="Z33" s="10">
        <f t="shared" ref="Z33" si="36">Y33*3.07</f>
        <v>0</v>
      </c>
      <c r="AA33" s="15"/>
      <c r="AB33" s="7">
        <f t="shared" ref="AB33" si="37">B33+O33</f>
        <v>0</v>
      </c>
      <c r="AC33" s="8">
        <f t="shared" ref="AC33" si="38">C33+P33</f>
        <v>0</v>
      </c>
      <c r="AD33" s="8"/>
    </row>
    <row r="34" spans="1:30" ht="14" thickBot="1" x14ac:dyDescent="0.2">
      <c r="A34" s="28"/>
      <c r="B34" s="37"/>
      <c r="C34" s="38">
        <f>SUM(C5:C33)</f>
        <v>0</v>
      </c>
      <c r="D34" s="38">
        <f t="shared" ref="D34:J34" si="39">SUM(D5:D33)</f>
        <v>0</v>
      </c>
      <c r="E34" s="37"/>
      <c r="F34" s="38">
        <f t="shared" si="39"/>
        <v>1</v>
      </c>
      <c r="G34" s="38">
        <f t="shared" si="39"/>
        <v>3.07</v>
      </c>
      <c r="H34" s="37"/>
      <c r="I34" s="38">
        <f t="shared" si="39"/>
        <v>0.01</v>
      </c>
      <c r="J34" s="38">
        <f t="shared" si="39"/>
        <v>3.0699999999999998E-2</v>
      </c>
      <c r="K34" s="37"/>
      <c r="L34" s="38">
        <f>SUM(L5:L33)</f>
        <v>1.5135550000000002</v>
      </c>
      <c r="M34" s="38">
        <f>SUM(M5:M33)</f>
        <v>4.6466138499999996</v>
      </c>
      <c r="N34" s="14"/>
      <c r="O34" s="37"/>
      <c r="P34" s="38">
        <f>SUM(P5:P33)</f>
        <v>350.63699999999994</v>
      </c>
      <c r="Q34" s="38">
        <f>SUM(Q5:Q33)</f>
        <v>1076.45559</v>
      </c>
      <c r="R34" s="37"/>
      <c r="S34" s="38">
        <f>SUM(S5:S33)</f>
        <v>357.26100000000002</v>
      </c>
      <c r="T34" s="38">
        <f>SUM(T5:T33)</f>
        <v>1096.7912699999999</v>
      </c>
      <c r="U34" s="37"/>
      <c r="V34" s="38">
        <f>SUM(V5:V33)</f>
        <v>2.4539999999999997</v>
      </c>
      <c r="W34" s="38">
        <f>SUM(W5:W33)</f>
        <v>7.5337800000000001</v>
      </c>
      <c r="X34" s="37"/>
      <c r="Y34" s="38">
        <f>SUM(Y5:Y33)</f>
        <v>6.4339999999999975</v>
      </c>
      <c r="Z34" s="38">
        <f>SUM(Z5:Z33)</f>
        <v>19.752379999999992</v>
      </c>
      <c r="AA34" s="14"/>
      <c r="AB34" s="37">
        <f t="shared" si="17"/>
        <v>0</v>
      </c>
      <c r="AC34" s="38">
        <f t="shared" si="17"/>
        <v>350.63699999999994</v>
      </c>
      <c r="AD34" s="38">
        <f>D34+Q34</f>
        <v>1076.45559</v>
      </c>
    </row>
    <row r="35" spans="1:30" x14ac:dyDescent="0.15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15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86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37"/>
  <sheetViews>
    <sheetView workbookViewId="0">
      <pane xSplit="1" ySplit="4" topLeftCell="P17" activePane="bottomRight" state="frozen"/>
      <selection pane="topRight" activeCell="B1" sqref="B1"/>
      <selection pane="bottomLeft" activeCell="A5" sqref="A5"/>
      <selection pane="bottomRight" activeCell="T31" sqref="T31:T35"/>
    </sheetView>
  </sheetViews>
  <sheetFormatPr baseColWidth="10" defaultColWidth="8.83203125" defaultRowHeight="13" x14ac:dyDescent="0.15"/>
  <cols>
    <col min="2" max="2" width="12.6640625" customWidth="1"/>
    <col min="5" max="5" width="11.33203125" customWidth="1"/>
    <col min="8" max="8" width="16.1640625" customWidth="1"/>
    <col min="10" max="10" width="10.6640625" customWidth="1"/>
    <col min="11" max="11" width="12.5" customWidth="1"/>
    <col min="12" max="12" width="10.5" customWidth="1"/>
    <col min="15" max="15" width="10.5" customWidth="1"/>
    <col min="18" max="18" width="10.83203125" customWidth="1"/>
    <col min="22" max="22" width="11.83203125" customWidth="1"/>
    <col min="28" max="28" width="13.5" bestFit="1" customWidth="1"/>
  </cols>
  <sheetData>
    <row r="1" spans="1:32" x14ac:dyDescent="0.15">
      <c r="A1" s="41"/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6</v>
      </c>
      <c r="V3" s="63"/>
      <c r="W3" s="64"/>
      <c r="X3" s="62" t="s">
        <v>7</v>
      </c>
      <c r="Y3" s="63"/>
      <c r="Z3" s="64"/>
      <c r="AA3" s="19"/>
      <c r="AB3" s="59" t="s">
        <v>8</v>
      </c>
      <c r="AC3" s="60"/>
      <c r="AD3" s="61"/>
      <c r="AF3" s="33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15">
      <c r="A5" s="27">
        <v>43160</v>
      </c>
      <c r="B5" s="7">
        <f>'[2]Production Summary'!J65</f>
        <v>0</v>
      </c>
      <c r="C5" s="8">
        <f>B5/1000000</f>
        <v>0</v>
      </c>
      <c r="D5" s="10">
        <f t="shared" ref="D5:D35" si="0">C5*3.07</f>
        <v>0</v>
      </c>
      <c r="E5" s="7">
        <f>'[2]Production Summary'!E65</f>
        <v>0</v>
      </c>
      <c r="F5" s="8">
        <f>E5/1000000</f>
        <v>0</v>
      </c>
      <c r="G5" s="10">
        <f>F5*3.07</f>
        <v>0</v>
      </c>
      <c r="H5" s="7">
        <f>'[2]Production Summary'!G65</f>
        <v>0</v>
      </c>
      <c r="I5" s="8">
        <f>H5/1000000</f>
        <v>0</v>
      </c>
      <c r="J5" s="10">
        <f>I5*3.07</f>
        <v>0</v>
      </c>
      <c r="K5" s="7">
        <f>'[2]Production Summary'!T65</f>
        <v>0</v>
      </c>
      <c r="L5" s="8">
        <f>K5/1000000</f>
        <v>0</v>
      </c>
      <c r="M5" s="10">
        <f>L5*3.07</f>
        <v>0</v>
      </c>
      <c r="N5" s="21"/>
      <c r="O5" s="7">
        <f>'[2]Production Summary'!I65</f>
        <v>12795999.999999996</v>
      </c>
      <c r="P5" s="8">
        <f>O5/1000000</f>
        <v>12.795999999999996</v>
      </c>
      <c r="Q5" s="10">
        <f>P5*3.07</f>
        <v>39.283719999999988</v>
      </c>
      <c r="R5" s="7">
        <f>'[2]Production Summary'!C65</f>
        <v>13065000</v>
      </c>
      <c r="S5" s="8">
        <f>R5/1000000</f>
        <v>13.065</v>
      </c>
      <c r="T5" s="10">
        <f>S5*3.07</f>
        <v>40.109549999999999</v>
      </c>
      <c r="U5" s="7">
        <f>'[2]Production Summary'!F65</f>
        <v>946000</v>
      </c>
      <c r="V5" s="8">
        <f>U5/1000000</f>
        <v>0.94599999999999995</v>
      </c>
      <c r="W5" s="10">
        <f>V5*3.07</f>
        <v>2.9042199999999996</v>
      </c>
      <c r="X5" s="7">
        <f>'[2]Production Summary'!AB65</f>
        <v>261000.00000000279</v>
      </c>
      <c r="Y5" s="8">
        <f>X5/1000000</f>
        <v>0.26100000000000279</v>
      </c>
      <c r="Z5" s="10">
        <f>Y5*3.07</f>
        <v>0.80127000000000848</v>
      </c>
      <c r="AA5" s="15"/>
      <c r="AB5" s="7">
        <f>B5+O5</f>
        <v>12795999.999999996</v>
      </c>
      <c r="AC5" s="8">
        <f>C5+P5</f>
        <v>12.795999999999996</v>
      </c>
      <c r="AD5" s="8">
        <f>D5+Q5</f>
        <v>39.283719999999988</v>
      </c>
      <c r="AF5" s="8">
        <f>T5-Q5-Z5</f>
        <v>2.4560000000002025E-2</v>
      </c>
    </row>
    <row r="6" spans="1:32" x14ac:dyDescent="0.15">
      <c r="A6" s="27">
        <v>43161</v>
      </c>
      <c r="B6" s="7">
        <f>'[2]Production Summary'!J66</f>
        <v>0</v>
      </c>
      <c r="C6" s="8">
        <f t="shared" ref="C6:C35" si="1">B6/1000000</f>
        <v>0</v>
      </c>
      <c r="D6" s="10">
        <f t="shared" si="0"/>
        <v>0</v>
      </c>
      <c r="E6" s="7">
        <f>'[2]Production Summary'!E66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'[2]Production Summary'!G66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'[2]Production Summary'!T66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'[2]Production Summary'!I66</f>
        <v>12737000.000000006</v>
      </c>
      <c r="P6" s="8">
        <f t="shared" ref="P6:P35" si="8">O6/1000000</f>
        <v>12.737000000000005</v>
      </c>
      <c r="Q6" s="10">
        <f t="shared" ref="Q6:Q35" si="9">P6*3.07</f>
        <v>39.102590000000014</v>
      </c>
      <c r="R6" s="7">
        <f>'[2]Production Summary'!C66</f>
        <v>13022000</v>
      </c>
      <c r="S6" s="8">
        <f t="shared" ref="S6:S35" si="10">R6/1000000</f>
        <v>13.022</v>
      </c>
      <c r="T6" s="10">
        <f t="shared" ref="T6:T35" si="11">S6*3.07</f>
        <v>39.977539999999998</v>
      </c>
      <c r="U6" s="7">
        <f>'[2]Production Summary'!F66</f>
        <v>935000</v>
      </c>
      <c r="V6" s="8">
        <f t="shared" ref="V6:V35" si="12">U6/1000000</f>
        <v>0.93500000000000005</v>
      </c>
      <c r="W6" s="10">
        <f t="shared" ref="W6:W35" si="13">V6*3.07</f>
        <v>2.8704499999999999</v>
      </c>
      <c r="X6" s="7">
        <f>'[2]Production Summary'!AB66</f>
        <v>276999.99999999395</v>
      </c>
      <c r="Y6" s="8">
        <f t="shared" ref="Y6:Y35" si="14">X6/1000000</f>
        <v>0.27699999999999397</v>
      </c>
      <c r="Z6" s="10">
        <f t="shared" ref="Z6:Z35" si="15">Y6*3.07</f>
        <v>0.85038999999998144</v>
      </c>
      <c r="AA6" s="15"/>
      <c r="AB6" s="7">
        <f t="shared" ref="AB6:AD35" si="16">B6+O6</f>
        <v>12737000.000000006</v>
      </c>
      <c r="AC6" s="8">
        <f t="shared" si="16"/>
        <v>12.737000000000005</v>
      </c>
      <c r="AD6" s="8">
        <f t="shared" si="16"/>
        <v>39.102590000000014</v>
      </c>
      <c r="AF6" s="8">
        <f>T6-Q6-Z6</f>
        <v>2.4560000000002691E-2</v>
      </c>
    </row>
    <row r="7" spans="1:32" x14ac:dyDescent="0.15">
      <c r="A7" s="27">
        <v>43162</v>
      </c>
      <c r="B7" s="7">
        <f>'[2]Production Summary'!J67</f>
        <v>0</v>
      </c>
      <c r="C7" s="8">
        <f t="shared" si="1"/>
        <v>0</v>
      </c>
      <c r="D7" s="10">
        <f t="shared" si="0"/>
        <v>0</v>
      </c>
      <c r="E7" s="7">
        <f>'[2]Production Summary'!E67</f>
        <v>0</v>
      </c>
      <c r="F7" s="8">
        <f t="shared" si="2"/>
        <v>0</v>
      </c>
      <c r="G7" s="10">
        <f t="shared" si="3"/>
        <v>0</v>
      </c>
      <c r="H7" s="7">
        <f>'[2]Production Summary'!G67</f>
        <v>0</v>
      </c>
      <c r="I7" s="8">
        <f t="shared" si="4"/>
        <v>0</v>
      </c>
      <c r="J7" s="10">
        <f t="shared" si="5"/>
        <v>0</v>
      </c>
      <c r="K7" s="7">
        <f>'[2]Production Summary'!T67</f>
        <v>0</v>
      </c>
      <c r="L7" s="8">
        <f t="shared" si="6"/>
        <v>0</v>
      </c>
      <c r="M7" s="10">
        <f t="shared" si="7"/>
        <v>0</v>
      </c>
      <c r="N7" s="21"/>
      <c r="O7" s="7">
        <f>'[2]Production Summary'!I67</f>
        <v>12791999.999999994</v>
      </c>
      <c r="P7" s="8">
        <f t="shared" si="8"/>
        <v>12.791999999999994</v>
      </c>
      <c r="Q7" s="10">
        <f t="shared" si="9"/>
        <v>39.271439999999984</v>
      </c>
      <c r="R7" s="7">
        <f>'[2]Production Summary'!C67</f>
        <v>13010000</v>
      </c>
      <c r="S7" s="8">
        <f t="shared" si="10"/>
        <v>13.01</v>
      </c>
      <c r="T7" s="10">
        <f t="shared" si="11"/>
        <v>39.9407</v>
      </c>
      <c r="U7" s="7">
        <f>'[2]Production Summary'!F67</f>
        <v>927000</v>
      </c>
      <c r="V7" s="8">
        <f t="shared" si="12"/>
        <v>0.92700000000000005</v>
      </c>
      <c r="W7" s="10">
        <f t="shared" si="13"/>
        <v>2.8458899999999998</v>
      </c>
      <c r="X7" s="7">
        <f>'[2]Production Summary'!AB67</f>
        <v>211000.00000000562</v>
      </c>
      <c r="Y7" s="8">
        <f t="shared" si="14"/>
        <v>0.21100000000000563</v>
      </c>
      <c r="Z7" s="10">
        <f t="shared" si="15"/>
        <v>0.64777000000001728</v>
      </c>
      <c r="AA7" s="15"/>
      <c r="AB7" s="7">
        <f t="shared" si="16"/>
        <v>12791999.999999994</v>
      </c>
      <c r="AC7" s="8">
        <f t="shared" si="16"/>
        <v>12.791999999999994</v>
      </c>
      <c r="AD7" s="8">
        <f t="shared" si="16"/>
        <v>39.271439999999984</v>
      </c>
      <c r="AF7" s="8">
        <f t="shared" ref="AF7:AF14" si="17">T7-Q7-Z7</f>
        <v>2.1489999999998233E-2</v>
      </c>
    </row>
    <row r="8" spans="1:32" x14ac:dyDescent="0.15">
      <c r="A8" s="27">
        <v>43163</v>
      </c>
      <c r="B8" s="7">
        <f>'[2]Production Summary'!J68</f>
        <v>0</v>
      </c>
      <c r="C8" s="8">
        <f t="shared" si="1"/>
        <v>0</v>
      </c>
      <c r="D8" s="10">
        <f t="shared" si="0"/>
        <v>0</v>
      </c>
      <c r="E8" s="7">
        <f>'[2]Production Summary'!E68</f>
        <v>0</v>
      </c>
      <c r="F8" s="8">
        <f t="shared" si="2"/>
        <v>0</v>
      </c>
      <c r="G8" s="10">
        <f t="shared" si="3"/>
        <v>0</v>
      </c>
      <c r="H8" s="7">
        <f>'[2]Production Summary'!G68</f>
        <v>0</v>
      </c>
      <c r="I8" s="8">
        <f t="shared" si="4"/>
        <v>0</v>
      </c>
      <c r="J8" s="10">
        <f t="shared" si="5"/>
        <v>0</v>
      </c>
      <c r="K8" s="7">
        <f>'[2]Production Summary'!T68</f>
        <v>0</v>
      </c>
      <c r="L8" s="8">
        <f t="shared" si="6"/>
        <v>0</v>
      </c>
      <c r="M8" s="10">
        <f t="shared" si="7"/>
        <v>0</v>
      </c>
      <c r="N8" s="21"/>
      <c r="O8" s="7">
        <f>'[2]Production Summary'!I68</f>
        <v>12904000.000000006</v>
      </c>
      <c r="P8" s="8">
        <f t="shared" si="8"/>
        <v>12.904000000000005</v>
      </c>
      <c r="Q8" s="10">
        <f t="shared" si="9"/>
        <v>39.615280000000013</v>
      </c>
      <c r="R8" s="7">
        <f>'[2]Production Summary'!C68</f>
        <v>13019000</v>
      </c>
      <c r="S8" s="8">
        <f t="shared" si="10"/>
        <v>13.019</v>
      </c>
      <c r="T8" s="10">
        <f t="shared" si="11"/>
        <v>39.968330000000002</v>
      </c>
      <c r="U8" s="7">
        <f>'[2]Production Summary'!F68</f>
        <v>924000</v>
      </c>
      <c r="V8" s="8">
        <f t="shared" si="12"/>
        <v>0.92400000000000004</v>
      </c>
      <c r="W8" s="10">
        <f t="shared" si="13"/>
        <v>2.8366799999999999</v>
      </c>
      <c r="X8" s="7">
        <f>'[2]Production Summary'!AB68</f>
        <v>111999.99999999478</v>
      </c>
      <c r="Y8" s="8">
        <f t="shared" si="14"/>
        <v>0.11199999999999477</v>
      </c>
      <c r="Z8" s="10">
        <f t="shared" si="15"/>
        <v>0.34383999999998394</v>
      </c>
      <c r="AA8" s="15"/>
      <c r="AB8" s="7">
        <f t="shared" si="16"/>
        <v>12904000.000000006</v>
      </c>
      <c r="AC8" s="8">
        <f t="shared" si="16"/>
        <v>12.904000000000005</v>
      </c>
      <c r="AD8" s="8">
        <f>D8+Q8</f>
        <v>39.615280000000013</v>
      </c>
      <c r="AF8" s="8">
        <f t="shared" si="17"/>
        <v>9.2100000000050475E-3</v>
      </c>
    </row>
    <row r="9" spans="1:32" x14ac:dyDescent="0.15">
      <c r="A9" s="27">
        <v>43164</v>
      </c>
      <c r="B9" s="7">
        <f>'[2]Production Summary'!J69</f>
        <v>0</v>
      </c>
      <c r="C9" s="8">
        <f t="shared" si="1"/>
        <v>0</v>
      </c>
      <c r="D9" s="10">
        <f t="shared" si="0"/>
        <v>0</v>
      </c>
      <c r="E9" s="7">
        <f>'[2]Production Summary'!E69</f>
        <v>0</v>
      </c>
      <c r="F9" s="8">
        <f t="shared" si="2"/>
        <v>0</v>
      </c>
      <c r="G9" s="10">
        <f t="shared" si="3"/>
        <v>0</v>
      </c>
      <c r="H9" s="7">
        <f>'[2]Production Summary'!G69</f>
        <v>0</v>
      </c>
      <c r="I9" s="8">
        <f t="shared" si="4"/>
        <v>0</v>
      </c>
      <c r="J9" s="10">
        <f t="shared" si="5"/>
        <v>0</v>
      </c>
      <c r="K9" s="7">
        <f>'[2]Production Summary'!T69</f>
        <v>39505</v>
      </c>
      <c r="L9" s="8">
        <f t="shared" si="6"/>
        <v>3.9504999999999998E-2</v>
      </c>
      <c r="M9" s="10">
        <f t="shared" si="7"/>
        <v>0.12128035</v>
      </c>
      <c r="N9" s="21"/>
      <c r="O9" s="7">
        <f>'[2]Production Summary'!I69</f>
        <v>12538999.999999994</v>
      </c>
      <c r="P9" s="8">
        <f t="shared" si="8"/>
        <v>12.538999999999994</v>
      </c>
      <c r="Q9" s="10">
        <f t="shared" si="9"/>
        <v>38.494729999999983</v>
      </c>
      <c r="R9" s="7">
        <f>'[2]Production Summary'!C69</f>
        <v>12869000</v>
      </c>
      <c r="S9" s="8">
        <f t="shared" si="10"/>
        <v>12.869</v>
      </c>
      <c r="T9" s="10">
        <f t="shared" si="11"/>
        <v>39.507829999999998</v>
      </c>
      <c r="U9" s="7">
        <f>'[2]Production Summary'!F69</f>
        <v>2660000</v>
      </c>
      <c r="V9" s="8">
        <f t="shared" si="12"/>
        <v>2.66</v>
      </c>
      <c r="W9" s="10">
        <f t="shared" si="13"/>
        <v>8.1661999999999999</v>
      </c>
      <c r="X9" s="7">
        <f>'[2]Production Summary'!AB69</f>
        <v>321000.00000000506</v>
      </c>
      <c r="Y9" s="8">
        <f t="shared" si="14"/>
        <v>0.32100000000000506</v>
      </c>
      <c r="Z9" s="10">
        <f t="shared" si="15"/>
        <v>0.9854700000000155</v>
      </c>
      <c r="AA9" s="15"/>
      <c r="AB9" s="7">
        <f t="shared" si="16"/>
        <v>12538999.999999994</v>
      </c>
      <c r="AC9" s="8">
        <f t="shared" si="16"/>
        <v>12.538999999999994</v>
      </c>
      <c r="AD9" s="8">
        <f t="shared" si="16"/>
        <v>38.494729999999983</v>
      </c>
      <c r="AF9" s="8">
        <f t="shared" si="17"/>
        <v>2.7630000000000154E-2</v>
      </c>
    </row>
    <row r="10" spans="1:32" x14ac:dyDescent="0.15">
      <c r="A10" s="27">
        <v>43165</v>
      </c>
      <c r="B10" s="7">
        <f>'[2]Production Summary'!J70</f>
        <v>0</v>
      </c>
      <c r="C10" s="8">
        <f t="shared" si="1"/>
        <v>0</v>
      </c>
      <c r="D10" s="10">
        <f t="shared" si="0"/>
        <v>0</v>
      </c>
      <c r="E10" s="7">
        <f>'[2]Production Summary'!E70</f>
        <v>3000000</v>
      </c>
      <c r="F10" s="8">
        <f t="shared" si="2"/>
        <v>3</v>
      </c>
      <c r="G10" s="10">
        <f t="shared" si="3"/>
        <v>9.2099999999999991</v>
      </c>
      <c r="H10" s="7">
        <f>'[2]Production Summary'!G70</f>
        <v>0</v>
      </c>
      <c r="I10" s="8">
        <f t="shared" si="4"/>
        <v>0</v>
      </c>
      <c r="J10" s="10">
        <f t="shared" si="5"/>
        <v>0</v>
      </c>
      <c r="K10" s="7">
        <f>'[2]Production Summary'!T70</f>
        <v>2316615</v>
      </c>
      <c r="L10" s="8">
        <f t="shared" si="6"/>
        <v>2.3166150000000001</v>
      </c>
      <c r="M10" s="10">
        <f t="shared" si="7"/>
        <v>7.11200805</v>
      </c>
      <c r="N10" s="21"/>
      <c r="O10" s="7">
        <f>'[2]Production Summary'!I70</f>
        <v>12834000.000000004</v>
      </c>
      <c r="P10" s="8">
        <f t="shared" si="8"/>
        <v>12.834000000000003</v>
      </c>
      <c r="Q10" s="10">
        <f t="shared" si="9"/>
        <v>39.400380000000006</v>
      </c>
      <c r="R10" s="7">
        <f>'[2]Production Summary'!C70</f>
        <v>13106000</v>
      </c>
      <c r="S10" s="8">
        <f t="shared" si="10"/>
        <v>13.106</v>
      </c>
      <c r="T10" s="10">
        <f t="shared" si="11"/>
        <v>40.235419999999998</v>
      </c>
      <c r="U10" s="7">
        <f>'[2]Production Summary'!F70</f>
        <v>3347000</v>
      </c>
      <c r="V10" s="8">
        <f t="shared" si="12"/>
        <v>3.347</v>
      </c>
      <c r="W10" s="10">
        <f t="shared" si="13"/>
        <v>10.27529</v>
      </c>
      <c r="X10" s="7">
        <f>'[2]Production Summary'!AB70</f>
        <v>263999.99999999581</v>
      </c>
      <c r="Y10" s="8">
        <f t="shared" si="14"/>
        <v>0.26399999999999579</v>
      </c>
      <c r="Z10" s="10">
        <f t="shared" si="15"/>
        <v>0.81047999999998699</v>
      </c>
      <c r="AA10" s="15"/>
      <c r="AB10" s="7">
        <f t="shared" si="16"/>
        <v>12834000.000000004</v>
      </c>
      <c r="AC10" s="8">
        <f t="shared" si="16"/>
        <v>12.834000000000003</v>
      </c>
      <c r="AD10" s="8">
        <f t="shared" si="16"/>
        <v>39.400380000000006</v>
      </c>
      <c r="AF10" s="8">
        <f t="shared" si="17"/>
        <v>2.4560000000005244E-2</v>
      </c>
    </row>
    <row r="11" spans="1:32" x14ac:dyDescent="0.15">
      <c r="A11" s="27">
        <v>43166</v>
      </c>
      <c r="B11" s="7">
        <f>'[2]Production Summary'!J71</f>
        <v>0</v>
      </c>
      <c r="C11" s="8">
        <f t="shared" si="1"/>
        <v>0</v>
      </c>
      <c r="D11" s="10">
        <f t="shared" si="0"/>
        <v>0</v>
      </c>
      <c r="E11" s="7">
        <f>'[2]Production Summary'!E71</f>
        <v>5000000</v>
      </c>
      <c r="F11" s="8">
        <f t="shared" si="2"/>
        <v>5</v>
      </c>
      <c r="G11" s="10">
        <f t="shared" si="3"/>
        <v>15.35</v>
      </c>
      <c r="H11" s="7">
        <f>'[2]Production Summary'!G71</f>
        <v>0</v>
      </c>
      <c r="I11" s="8">
        <f t="shared" si="4"/>
        <v>0</v>
      </c>
      <c r="J11" s="10">
        <f t="shared" si="5"/>
        <v>0</v>
      </c>
      <c r="K11" s="7">
        <f>'[2]Production Summary'!T71</f>
        <v>5406059</v>
      </c>
      <c r="L11" s="8">
        <f t="shared" si="6"/>
        <v>5.4060589999999999</v>
      </c>
      <c r="M11" s="10">
        <f t="shared" si="7"/>
        <v>16.59660113</v>
      </c>
      <c r="N11" s="21"/>
      <c r="O11" s="7">
        <f>'[2]Production Summary'!I71</f>
        <v>12675000.000000002</v>
      </c>
      <c r="P11" s="8">
        <f t="shared" si="8"/>
        <v>12.675000000000002</v>
      </c>
      <c r="Q11" s="10">
        <f t="shared" si="9"/>
        <v>38.912250000000007</v>
      </c>
      <c r="R11" s="7">
        <f>'[2]Production Summary'!C71</f>
        <v>13009000</v>
      </c>
      <c r="S11" s="8">
        <f t="shared" si="10"/>
        <v>13.009</v>
      </c>
      <c r="T11" s="10">
        <f t="shared" si="11"/>
        <v>39.937629999999999</v>
      </c>
      <c r="U11" s="7">
        <f>'[2]Production Summary'!F71</f>
        <v>3326000</v>
      </c>
      <c r="V11" s="8">
        <f t="shared" si="12"/>
        <v>3.3260000000000001</v>
      </c>
      <c r="W11" s="10">
        <f t="shared" si="13"/>
        <v>10.21082</v>
      </c>
      <c r="X11" s="7">
        <f>'[2]Production Summary'!AB71</f>
        <v>323999.99999999808</v>
      </c>
      <c r="Y11" s="8">
        <f t="shared" si="14"/>
        <v>0.32399999999999807</v>
      </c>
      <c r="Z11" s="10">
        <f t="shared" si="15"/>
        <v>0.99467999999999401</v>
      </c>
      <c r="AA11" s="15"/>
      <c r="AB11" s="7">
        <f t="shared" si="16"/>
        <v>12675000.000000002</v>
      </c>
      <c r="AC11" s="8">
        <f t="shared" si="16"/>
        <v>12.675000000000002</v>
      </c>
      <c r="AD11" s="8">
        <f t="shared" si="16"/>
        <v>38.912250000000007</v>
      </c>
      <c r="AF11" s="8">
        <f t="shared" si="17"/>
        <v>3.0699999999997285E-2</v>
      </c>
    </row>
    <row r="12" spans="1:32" x14ac:dyDescent="0.15">
      <c r="A12" s="27">
        <v>43167</v>
      </c>
      <c r="B12" s="7">
        <f>'[2]Production Summary'!J72</f>
        <v>0</v>
      </c>
      <c r="C12" s="8">
        <f t="shared" si="1"/>
        <v>0</v>
      </c>
      <c r="D12" s="10">
        <f t="shared" si="0"/>
        <v>0</v>
      </c>
      <c r="E12" s="7">
        <f>'[2]Production Summary'!E72</f>
        <v>7000000</v>
      </c>
      <c r="F12" s="8">
        <f t="shared" si="2"/>
        <v>7</v>
      </c>
      <c r="G12" s="10">
        <f t="shared" si="3"/>
        <v>21.49</v>
      </c>
      <c r="H12" s="7">
        <f>'[2]Production Summary'!G72</f>
        <v>0</v>
      </c>
      <c r="I12" s="8">
        <f t="shared" si="4"/>
        <v>0</v>
      </c>
      <c r="J12" s="10">
        <f t="shared" si="5"/>
        <v>0</v>
      </c>
      <c r="K12" s="7">
        <f>'[2]Production Summary'!T72</f>
        <v>3565951</v>
      </c>
      <c r="L12" s="8">
        <f t="shared" si="6"/>
        <v>3.5659510000000001</v>
      </c>
      <c r="M12" s="10">
        <f t="shared" si="7"/>
        <v>10.947469569999999</v>
      </c>
      <c r="N12" s="21"/>
      <c r="O12" s="7">
        <f>'[2]Production Summary'!I72</f>
        <v>12587999.999999996</v>
      </c>
      <c r="P12" s="8">
        <f t="shared" si="8"/>
        <v>12.587999999999996</v>
      </c>
      <c r="Q12" s="10">
        <f t="shared" si="9"/>
        <v>38.645159999999983</v>
      </c>
      <c r="R12" s="7">
        <f>'[2]Production Summary'!C72</f>
        <v>12996000</v>
      </c>
      <c r="S12" s="8">
        <f t="shared" si="10"/>
        <v>12.996</v>
      </c>
      <c r="T12" s="10">
        <f t="shared" si="11"/>
        <v>39.89772</v>
      </c>
      <c r="U12" s="7">
        <f>'[2]Production Summary'!F72</f>
        <v>3318000</v>
      </c>
      <c r="V12" s="8">
        <f t="shared" si="12"/>
        <v>3.3180000000000001</v>
      </c>
      <c r="W12" s="10">
        <f t="shared" si="13"/>
        <v>10.186259999999999</v>
      </c>
      <c r="X12" s="7">
        <f>'[2]Production Summary'!AB72</f>
        <v>105000.00000000397</v>
      </c>
      <c r="Y12" s="8">
        <f t="shared" si="14"/>
        <v>0.10500000000000398</v>
      </c>
      <c r="Z12" s="10">
        <f t="shared" si="15"/>
        <v>0.32235000000001218</v>
      </c>
      <c r="AA12" s="15"/>
      <c r="AB12" s="7">
        <f t="shared" si="16"/>
        <v>12587999.999999996</v>
      </c>
      <c r="AC12" s="8">
        <f t="shared" si="16"/>
        <v>12.587999999999996</v>
      </c>
      <c r="AD12" s="8">
        <f t="shared" si="16"/>
        <v>38.645159999999983</v>
      </c>
      <c r="AF12" s="8">
        <f t="shared" si="17"/>
        <v>0.93021000000000464</v>
      </c>
    </row>
    <row r="13" spans="1:32" x14ac:dyDescent="0.15">
      <c r="A13" s="27">
        <v>43168</v>
      </c>
      <c r="B13" s="7">
        <f>'[2]Production Summary'!J73</f>
        <v>0</v>
      </c>
      <c r="C13" s="8">
        <f t="shared" si="1"/>
        <v>0</v>
      </c>
      <c r="D13" s="10">
        <f t="shared" si="0"/>
        <v>0</v>
      </c>
      <c r="E13" s="7">
        <f>'[2]Production Summary'!E73</f>
        <v>5000000</v>
      </c>
      <c r="F13" s="8">
        <f t="shared" si="2"/>
        <v>5</v>
      </c>
      <c r="G13" s="10">
        <f t="shared" si="3"/>
        <v>15.35</v>
      </c>
      <c r="H13" s="7">
        <f>'[2]Production Summary'!G73</f>
        <v>0</v>
      </c>
      <c r="I13" s="8">
        <f t="shared" si="4"/>
        <v>0</v>
      </c>
      <c r="J13" s="10">
        <f t="shared" si="5"/>
        <v>0</v>
      </c>
      <c r="K13" s="7">
        <f>'[2]Production Summary'!T73</f>
        <v>3586533</v>
      </c>
      <c r="L13" s="8">
        <f t="shared" si="6"/>
        <v>3.5865330000000002</v>
      </c>
      <c r="M13" s="10">
        <f t="shared" si="7"/>
        <v>11.01065631</v>
      </c>
      <c r="N13" s="21"/>
      <c r="O13" s="7">
        <f>'[2]Production Summary'!I73</f>
        <v>12916000.000000002</v>
      </c>
      <c r="P13" s="8">
        <f t="shared" si="8"/>
        <v>12.916000000000002</v>
      </c>
      <c r="Q13" s="10">
        <f t="shared" si="9"/>
        <v>39.652120000000004</v>
      </c>
      <c r="R13" s="7">
        <f>'[2]Production Summary'!C73</f>
        <v>12840000</v>
      </c>
      <c r="S13" s="8">
        <f t="shared" si="10"/>
        <v>12.84</v>
      </c>
      <c r="T13" s="10">
        <f t="shared" si="11"/>
        <v>39.418799999999997</v>
      </c>
      <c r="U13" s="7">
        <f>'[2]Production Summary'!F73</f>
        <v>3277000</v>
      </c>
      <c r="V13" s="8">
        <f t="shared" si="12"/>
        <v>3.2770000000000001</v>
      </c>
      <c r="W13" s="10">
        <f t="shared" si="13"/>
        <v>10.06039</v>
      </c>
      <c r="X13" s="7">
        <f>'[2]Production Summary'!AB73</f>
        <v>216999.99999999875</v>
      </c>
      <c r="Y13" s="8">
        <f t="shared" si="14"/>
        <v>0.21699999999999875</v>
      </c>
      <c r="Z13" s="10">
        <f t="shared" si="15"/>
        <v>0.66618999999999617</v>
      </c>
      <c r="AA13" s="15"/>
      <c r="AB13" s="7">
        <f t="shared" si="16"/>
        <v>12916000.000000002</v>
      </c>
      <c r="AC13" s="8">
        <f t="shared" si="16"/>
        <v>12.916000000000002</v>
      </c>
      <c r="AD13" s="8">
        <f>D13+Q13</f>
        <v>39.652120000000004</v>
      </c>
      <c r="AF13" s="8">
        <f t="shared" si="17"/>
        <v>-0.89951000000000236</v>
      </c>
    </row>
    <row r="14" spans="1:32" x14ac:dyDescent="0.15">
      <c r="A14" s="27">
        <v>43169</v>
      </c>
      <c r="B14" s="7">
        <f>'[2]Production Summary'!J74</f>
        <v>0</v>
      </c>
      <c r="C14" s="8">
        <f t="shared" si="1"/>
        <v>0</v>
      </c>
      <c r="D14" s="10">
        <f t="shared" si="0"/>
        <v>0</v>
      </c>
      <c r="E14" s="7">
        <f>'[2]Production Summary'!E74</f>
        <v>6000000</v>
      </c>
      <c r="F14" s="8">
        <f t="shared" si="2"/>
        <v>6</v>
      </c>
      <c r="G14" s="10">
        <f t="shared" si="3"/>
        <v>18.419999999999998</v>
      </c>
      <c r="H14" s="7">
        <f>'[2]Production Summary'!G74</f>
        <v>0</v>
      </c>
      <c r="I14" s="8">
        <f t="shared" si="4"/>
        <v>0</v>
      </c>
      <c r="J14" s="10">
        <f t="shared" si="5"/>
        <v>0</v>
      </c>
      <c r="K14" s="7">
        <f>'[2]Production Summary'!T74</f>
        <v>376506</v>
      </c>
      <c r="L14" s="8">
        <f t="shared" si="6"/>
        <v>0.37650600000000001</v>
      </c>
      <c r="M14" s="10">
        <f t="shared" si="7"/>
        <v>1.15587342</v>
      </c>
      <c r="N14" s="21"/>
      <c r="O14" s="7">
        <f>'[2]Production Summary'!I74</f>
        <v>12869000</v>
      </c>
      <c r="P14" s="8">
        <f t="shared" si="8"/>
        <v>12.869</v>
      </c>
      <c r="Q14" s="10">
        <f t="shared" si="9"/>
        <v>39.507829999999998</v>
      </c>
      <c r="R14" s="7">
        <f>'[2]Production Summary'!C74</f>
        <v>13145000</v>
      </c>
      <c r="S14" s="8">
        <f t="shared" si="10"/>
        <v>13.145</v>
      </c>
      <c r="T14" s="10">
        <f t="shared" si="11"/>
        <v>40.355149999999995</v>
      </c>
      <c r="U14" s="7">
        <f>'[2]Production Summary'!F74</f>
        <v>3357000</v>
      </c>
      <c r="V14" s="8">
        <f t="shared" si="12"/>
        <v>3.3570000000000002</v>
      </c>
      <c r="W14" s="10">
        <f t="shared" si="13"/>
        <v>10.30599</v>
      </c>
      <c r="X14" s="7">
        <f>'[2]Production Summary'!AB74</f>
        <v>268000.0000000007</v>
      </c>
      <c r="Y14" s="8">
        <f t="shared" si="14"/>
        <v>0.26800000000000068</v>
      </c>
      <c r="Z14" s="10">
        <f t="shared" si="15"/>
        <v>0.82276000000000205</v>
      </c>
      <c r="AA14" s="15"/>
      <c r="AB14" s="7">
        <f t="shared" si="16"/>
        <v>12869000</v>
      </c>
      <c r="AC14" s="8">
        <f t="shared" si="16"/>
        <v>12.869</v>
      </c>
      <c r="AD14" s="8">
        <f t="shared" si="16"/>
        <v>39.507829999999998</v>
      </c>
      <c r="AF14" s="8">
        <f t="shared" si="17"/>
        <v>2.4559999999994253E-2</v>
      </c>
    </row>
    <row r="15" spans="1:32" x14ac:dyDescent="0.15">
      <c r="A15" s="27">
        <v>43170</v>
      </c>
      <c r="B15" s="7">
        <f>'[2]Production Summary'!J75</f>
        <v>0</v>
      </c>
      <c r="C15" s="8">
        <f t="shared" si="1"/>
        <v>0</v>
      </c>
      <c r="D15" s="10">
        <f t="shared" si="0"/>
        <v>0</v>
      </c>
      <c r="E15" s="7">
        <f>'[2]Production Summary'!E75</f>
        <v>5000000</v>
      </c>
      <c r="F15" s="8">
        <f t="shared" si="2"/>
        <v>5</v>
      </c>
      <c r="G15" s="10">
        <f t="shared" si="3"/>
        <v>15.35</v>
      </c>
      <c r="H15" s="7">
        <f>'[2]Production Summary'!G75</f>
        <v>0</v>
      </c>
      <c r="I15" s="8">
        <f t="shared" si="4"/>
        <v>0</v>
      </c>
      <c r="J15" s="10">
        <f t="shared" si="5"/>
        <v>0</v>
      </c>
      <c r="K15" s="7">
        <f>'[2]Production Summary'!T75</f>
        <v>2742401</v>
      </c>
      <c r="L15" s="8">
        <f t="shared" si="6"/>
        <v>2.7424010000000001</v>
      </c>
      <c r="M15" s="10">
        <f t="shared" si="7"/>
        <v>8.4191710699999991</v>
      </c>
      <c r="N15" s="21"/>
      <c r="O15" s="7">
        <f>'[2]Production Summary'!I75</f>
        <v>11499999.999999998</v>
      </c>
      <c r="P15" s="8">
        <f t="shared" si="8"/>
        <v>11.499999999999998</v>
      </c>
      <c r="Q15" s="10">
        <f t="shared" si="9"/>
        <v>35.304999999999993</v>
      </c>
      <c r="R15" s="7">
        <f>'[2]Production Summary'!C75</f>
        <v>11722000</v>
      </c>
      <c r="S15" s="8">
        <f t="shared" si="10"/>
        <v>11.722</v>
      </c>
      <c r="T15" s="10">
        <f t="shared" si="11"/>
        <v>35.986539999999998</v>
      </c>
      <c r="U15" s="7">
        <f>'[2]Production Summary'!F75</f>
        <v>3144000</v>
      </c>
      <c r="V15" s="8">
        <f t="shared" si="12"/>
        <v>3.1440000000000001</v>
      </c>
      <c r="W15" s="10">
        <f t="shared" si="13"/>
        <v>9.6520799999999998</v>
      </c>
      <c r="X15" s="7">
        <f>'[2]Production Summary'!AB75</f>
        <v>216000.00000000108</v>
      </c>
      <c r="Y15" s="8">
        <f t="shared" si="14"/>
        <v>0.21600000000000108</v>
      </c>
      <c r="Z15" s="10">
        <f t="shared" si="15"/>
        <v>0.66312000000000326</v>
      </c>
      <c r="AA15" s="15"/>
      <c r="AB15" s="7">
        <f t="shared" si="16"/>
        <v>11499999.999999998</v>
      </c>
      <c r="AC15" s="8">
        <f t="shared" si="16"/>
        <v>11.499999999999998</v>
      </c>
      <c r="AD15" s="8">
        <f t="shared" si="16"/>
        <v>35.304999999999993</v>
      </c>
      <c r="AF15" s="8">
        <f>T15-Q15-Z15</f>
        <v>1.8420000000002101E-2</v>
      </c>
    </row>
    <row r="16" spans="1:32" x14ac:dyDescent="0.15">
      <c r="A16" s="27">
        <v>43171</v>
      </c>
      <c r="B16" s="7">
        <f>'[2]Production Summary'!J76</f>
        <v>0</v>
      </c>
      <c r="C16" s="8">
        <f t="shared" si="1"/>
        <v>0</v>
      </c>
      <c r="D16" s="10">
        <f t="shared" si="0"/>
        <v>0</v>
      </c>
      <c r="E16" s="7">
        <f>'[2]Production Summary'!E76</f>
        <v>6000000</v>
      </c>
      <c r="F16" s="8">
        <f t="shared" si="2"/>
        <v>6</v>
      </c>
      <c r="G16" s="10">
        <f t="shared" si="3"/>
        <v>18.419999999999998</v>
      </c>
      <c r="H16" s="7">
        <f>'[2]Production Summary'!G76</f>
        <v>0</v>
      </c>
      <c r="I16" s="8">
        <f t="shared" si="4"/>
        <v>0</v>
      </c>
      <c r="J16" s="10">
        <f t="shared" si="5"/>
        <v>0</v>
      </c>
      <c r="K16" s="7">
        <f>'[2]Production Summary'!T76</f>
        <v>3462249</v>
      </c>
      <c r="L16" s="8">
        <f t="shared" si="6"/>
        <v>3.4622489999999999</v>
      </c>
      <c r="M16" s="10">
        <f t="shared" si="7"/>
        <v>10.62910443</v>
      </c>
      <c r="N16" s="21"/>
      <c r="O16" s="7">
        <f>'[2]Production Summary'!I76</f>
        <v>12863000.000000002</v>
      </c>
      <c r="P16" s="8">
        <f t="shared" si="8"/>
        <v>12.863000000000001</v>
      </c>
      <c r="Q16" s="10">
        <f t="shared" si="9"/>
        <v>39.489409999999999</v>
      </c>
      <c r="R16" s="7">
        <f>'[2]Production Summary'!C76</f>
        <v>13087000</v>
      </c>
      <c r="S16" s="8">
        <f t="shared" si="10"/>
        <v>13.087</v>
      </c>
      <c r="T16" s="10">
        <f t="shared" si="11"/>
        <v>40.17709</v>
      </c>
      <c r="U16" s="7">
        <f>'[2]Production Summary'!F76</f>
        <v>3341000</v>
      </c>
      <c r="V16" s="8">
        <f t="shared" si="12"/>
        <v>3.3410000000000002</v>
      </c>
      <c r="W16" s="10">
        <f t="shared" si="13"/>
        <v>10.256869999999999</v>
      </c>
      <c r="X16" s="7">
        <f>'[2]Production Summary'!AB76</f>
        <v>216999.99999999875</v>
      </c>
      <c r="Y16" s="8">
        <f t="shared" si="14"/>
        <v>0.21699999999999875</v>
      </c>
      <c r="Z16" s="10">
        <f t="shared" si="15"/>
        <v>0.66618999999999617</v>
      </c>
      <c r="AA16" s="15"/>
      <c r="AB16" s="7">
        <f t="shared" si="16"/>
        <v>12863000.000000002</v>
      </c>
      <c r="AC16" s="8">
        <f t="shared" si="16"/>
        <v>12.863000000000001</v>
      </c>
      <c r="AD16" s="8">
        <f t="shared" si="16"/>
        <v>39.489409999999999</v>
      </c>
      <c r="AF16" s="8">
        <f>T16-Q16-Z16</f>
        <v>2.1490000000004117E-2</v>
      </c>
    </row>
    <row r="17" spans="1:32" x14ac:dyDescent="0.15">
      <c r="A17" s="27">
        <v>43172</v>
      </c>
      <c r="B17" s="7">
        <f>'[2]Production Summary'!J77</f>
        <v>99999.999999454303</v>
      </c>
      <c r="C17" s="8">
        <f t="shared" si="1"/>
        <v>9.9999999999454303E-2</v>
      </c>
      <c r="D17" s="10">
        <f t="shared" si="0"/>
        <v>0.30699999999832467</v>
      </c>
      <c r="E17" s="7">
        <f>'[2]Production Summary'!E77</f>
        <v>5000000</v>
      </c>
      <c r="F17" s="8">
        <f t="shared" si="2"/>
        <v>5</v>
      </c>
      <c r="G17" s="10">
        <f t="shared" si="3"/>
        <v>15.35</v>
      </c>
      <c r="H17" s="7">
        <f>'[2]Production Summary'!G77</f>
        <v>0</v>
      </c>
      <c r="I17" s="8">
        <f t="shared" si="4"/>
        <v>0</v>
      </c>
      <c r="J17" s="10">
        <f t="shared" si="5"/>
        <v>0</v>
      </c>
      <c r="K17" s="7">
        <f>'[2]Production Summary'!T77</f>
        <v>2828633</v>
      </c>
      <c r="L17" s="8">
        <f t="shared" si="6"/>
        <v>2.828633</v>
      </c>
      <c r="M17" s="10">
        <f t="shared" si="7"/>
        <v>8.6839033099999998</v>
      </c>
      <c r="N17" s="21"/>
      <c r="O17" s="7">
        <f>'[2]Production Summary'!I77</f>
        <v>12800000.000000002</v>
      </c>
      <c r="P17" s="8">
        <f t="shared" si="8"/>
        <v>12.800000000000002</v>
      </c>
      <c r="Q17" s="10">
        <f t="shared" si="9"/>
        <v>39.296000000000006</v>
      </c>
      <c r="R17" s="7">
        <f>'[2]Production Summary'!C77</f>
        <v>13017000</v>
      </c>
      <c r="S17" s="8">
        <f t="shared" si="10"/>
        <v>13.016999999999999</v>
      </c>
      <c r="T17" s="10">
        <f t="shared" si="11"/>
        <v>39.96219</v>
      </c>
      <c r="U17" s="7">
        <f>'[2]Production Summary'!F77</f>
        <v>3323000</v>
      </c>
      <c r="V17" s="8">
        <f t="shared" si="12"/>
        <v>3.323</v>
      </c>
      <c r="W17" s="10">
        <f t="shared" si="13"/>
        <v>10.201609999999999</v>
      </c>
      <c r="X17" s="7">
        <f>'[2]Production Summary'!AB77</f>
        <v>210999.99999999852</v>
      </c>
      <c r="Y17" s="8">
        <f t="shared" si="14"/>
        <v>0.21099999999999852</v>
      </c>
      <c r="Z17" s="10">
        <f t="shared" si="15"/>
        <v>0.64776999999999541</v>
      </c>
      <c r="AA17" s="15"/>
      <c r="AB17" s="7">
        <f t="shared" si="16"/>
        <v>12899999.999999456</v>
      </c>
      <c r="AC17" s="8">
        <f t="shared" si="16"/>
        <v>12.899999999999457</v>
      </c>
      <c r="AD17" s="8">
        <f t="shared" si="16"/>
        <v>39.602999999998332</v>
      </c>
      <c r="AF17" s="8">
        <f>T17-Q17-Z17</f>
        <v>1.8419999999997771E-2</v>
      </c>
    </row>
    <row r="18" spans="1:32" x14ac:dyDescent="0.15">
      <c r="A18" s="27">
        <v>43173</v>
      </c>
      <c r="B18" s="7">
        <f>'[2]Production Summary'!J78</f>
        <v>4900000.0000005458</v>
      </c>
      <c r="C18" s="8">
        <f t="shared" si="1"/>
        <v>4.9000000000005457</v>
      </c>
      <c r="D18" s="10">
        <f t="shared" si="0"/>
        <v>15.043000000001674</v>
      </c>
      <c r="E18" s="7">
        <f>'[2]Production Summary'!E78</f>
        <v>6000000</v>
      </c>
      <c r="F18" s="8">
        <f t="shared" si="2"/>
        <v>6</v>
      </c>
      <c r="G18" s="10">
        <f t="shared" si="3"/>
        <v>18.419999999999998</v>
      </c>
      <c r="H18" s="7">
        <f>'[2]Production Summary'!G78</f>
        <v>10000</v>
      </c>
      <c r="I18" s="8">
        <f t="shared" si="4"/>
        <v>0.01</v>
      </c>
      <c r="J18" s="10">
        <f t="shared" si="5"/>
        <v>3.0699999999999998E-2</v>
      </c>
      <c r="K18" s="7">
        <f>'[2]Production Summary'!T78</f>
        <v>369205</v>
      </c>
      <c r="L18" s="8">
        <f t="shared" si="6"/>
        <v>0.36920500000000001</v>
      </c>
      <c r="M18" s="10">
        <f t="shared" si="7"/>
        <v>1.1334593499999999</v>
      </c>
      <c r="N18" s="21"/>
      <c r="O18" s="7">
        <f>'[2]Production Summary'!I78</f>
        <v>10085000.000000002</v>
      </c>
      <c r="P18" s="8">
        <f t="shared" si="8"/>
        <v>10.085000000000003</v>
      </c>
      <c r="Q18" s="10">
        <f t="shared" si="9"/>
        <v>30.960950000000008</v>
      </c>
      <c r="R18" s="7">
        <f>'[2]Production Summary'!C78</f>
        <v>10308000</v>
      </c>
      <c r="S18" s="8">
        <f t="shared" si="10"/>
        <v>10.308</v>
      </c>
      <c r="T18" s="10">
        <f t="shared" si="11"/>
        <v>31.645559999999996</v>
      </c>
      <c r="U18" s="7">
        <f>'[2]Production Summary'!F78</f>
        <v>3588000</v>
      </c>
      <c r="V18" s="8">
        <f t="shared" si="12"/>
        <v>3.5880000000000001</v>
      </c>
      <c r="W18" s="10">
        <f t="shared" si="13"/>
        <v>11.01516</v>
      </c>
      <c r="X18" s="7">
        <f>'[2]Production Summary'!AB78</f>
        <v>216999.99999999875</v>
      </c>
      <c r="Y18" s="8">
        <f t="shared" si="14"/>
        <v>0.21699999999999875</v>
      </c>
      <c r="Z18" s="10">
        <f t="shared" si="15"/>
        <v>0.66618999999999617</v>
      </c>
      <c r="AA18" s="15"/>
      <c r="AB18" s="7">
        <f t="shared" si="16"/>
        <v>14985000.000000548</v>
      </c>
      <c r="AC18" s="8">
        <f t="shared" si="16"/>
        <v>14.985000000000548</v>
      </c>
      <c r="AD18" s="8">
        <f t="shared" si="16"/>
        <v>46.00395000000168</v>
      </c>
      <c r="AF18" s="8">
        <f>T18-Q18-Z18</f>
        <v>1.8419999999992442E-2</v>
      </c>
    </row>
    <row r="19" spans="1:32" x14ac:dyDescent="0.15">
      <c r="A19" s="27">
        <v>43174</v>
      </c>
      <c r="B19" s="7">
        <f>'[2]Production Summary'!J79</f>
        <v>6899999.9999996359</v>
      </c>
      <c r="C19" s="8">
        <f t="shared" si="1"/>
        <v>6.8999999999996362</v>
      </c>
      <c r="D19" s="10">
        <f t="shared" si="0"/>
        <v>21.182999999998881</v>
      </c>
      <c r="E19" s="7">
        <f>'[2]Production Summary'!E79</f>
        <v>6000000</v>
      </c>
      <c r="F19" s="8">
        <f t="shared" si="2"/>
        <v>6</v>
      </c>
      <c r="G19" s="10">
        <f t="shared" si="3"/>
        <v>18.419999999999998</v>
      </c>
      <c r="H19" s="7">
        <f>'[2]Production Summary'!G79</f>
        <v>0</v>
      </c>
      <c r="I19" s="8">
        <f t="shared" si="4"/>
        <v>0</v>
      </c>
      <c r="J19" s="10">
        <f t="shared" si="5"/>
        <v>0</v>
      </c>
      <c r="K19" s="7">
        <f>'[2]Production Summary'!T79</f>
        <v>477119</v>
      </c>
      <c r="L19" s="8">
        <f t="shared" si="6"/>
        <v>0.47711900000000002</v>
      </c>
      <c r="M19" s="10">
        <f t="shared" si="7"/>
        <v>1.46475533</v>
      </c>
      <c r="N19" s="21"/>
      <c r="O19" s="7">
        <f>'[2]Production Summary'!I79</f>
        <v>6764999.9999999991</v>
      </c>
      <c r="P19" s="8">
        <f t="shared" si="8"/>
        <v>6.7649999999999988</v>
      </c>
      <c r="Q19" s="10">
        <f t="shared" si="9"/>
        <v>20.768549999999994</v>
      </c>
      <c r="R19" s="7">
        <f>'[2]Production Summary'!C79</f>
        <v>6991000</v>
      </c>
      <c r="S19" s="8">
        <f t="shared" si="10"/>
        <v>6.9909999999999997</v>
      </c>
      <c r="T19" s="10">
        <f t="shared" si="11"/>
        <v>21.462369999999996</v>
      </c>
      <c r="U19" s="7">
        <f>'[2]Production Summary'!F79</f>
        <v>4036000</v>
      </c>
      <c r="V19" s="8">
        <f t="shared" si="12"/>
        <v>4.0359999999999996</v>
      </c>
      <c r="W19" s="10">
        <f t="shared" si="13"/>
        <v>12.390519999999999</v>
      </c>
      <c r="X19" s="7">
        <f>'[2]Production Summary'!AB79</f>
        <v>219000.00000000119</v>
      </c>
      <c r="Y19" s="8">
        <f t="shared" si="14"/>
        <v>0.21900000000000119</v>
      </c>
      <c r="Z19" s="10">
        <f t="shared" si="15"/>
        <v>0.67233000000000365</v>
      </c>
      <c r="AA19" s="15"/>
      <c r="AB19" s="7">
        <f t="shared" si="16"/>
        <v>13664999.999999635</v>
      </c>
      <c r="AC19" s="8">
        <f t="shared" si="16"/>
        <v>13.664999999999635</v>
      </c>
      <c r="AD19" s="8">
        <f>D19+Q19</f>
        <v>41.951549999998875</v>
      </c>
      <c r="AF19" s="8">
        <f>T19-Q19-Z19</f>
        <v>2.1489999999998677E-2</v>
      </c>
    </row>
    <row r="20" spans="1:32" x14ac:dyDescent="0.15">
      <c r="A20" s="27">
        <v>43175</v>
      </c>
      <c r="B20" s="7">
        <f>'[2]Production Summary'!J80</f>
        <v>5699999.9999998184</v>
      </c>
      <c r="C20" s="8">
        <f t="shared" si="1"/>
        <v>5.6999999999998181</v>
      </c>
      <c r="D20" s="10">
        <f t="shared" si="0"/>
        <v>17.498999999999441</v>
      </c>
      <c r="E20" s="7">
        <f>'[2]Production Summary'!E80</f>
        <v>7000000</v>
      </c>
      <c r="F20" s="8">
        <f t="shared" si="2"/>
        <v>7</v>
      </c>
      <c r="G20" s="10">
        <f t="shared" si="3"/>
        <v>21.49</v>
      </c>
      <c r="H20" s="7">
        <f>'[2]Production Summary'!G80</f>
        <v>0</v>
      </c>
      <c r="I20" s="8">
        <f t="shared" si="4"/>
        <v>0</v>
      </c>
      <c r="J20" s="10">
        <f t="shared" si="5"/>
        <v>0</v>
      </c>
      <c r="K20" s="7">
        <f>'[2]Production Summary'!T80</f>
        <v>633720</v>
      </c>
      <c r="L20" s="8">
        <f t="shared" si="6"/>
        <v>0.63371999999999995</v>
      </c>
      <c r="M20" s="10">
        <f t="shared" si="7"/>
        <v>1.9455203999999997</v>
      </c>
      <c r="N20" s="21"/>
      <c r="O20" s="7">
        <f>'[2]Production Summary'!I80</f>
        <v>6640999.9999999963</v>
      </c>
      <c r="P20" s="8">
        <f t="shared" si="8"/>
        <v>6.6409999999999965</v>
      </c>
      <c r="Q20" s="10">
        <f t="shared" si="9"/>
        <v>20.387869999999989</v>
      </c>
      <c r="R20" s="7">
        <f>'[2]Production Summary'!C80</f>
        <v>6803000</v>
      </c>
      <c r="S20" s="8">
        <f t="shared" si="10"/>
        <v>6.8029999999999999</v>
      </c>
      <c r="T20" s="10">
        <f t="shared" si="11"/>
        <v>20.885209999999997</v>
      </c>
      <c r="U20" s="7">
        <f>'[2]Production Summary'!F80</f>
        <v>4052000</v>
      </c>
      <c r="V20" s="8">
        <f t="shared" si="12"/>
        <v>4.0519999999999996</v>
      </c>
      <c r="W20" s="10">
        <f t="shared" si="13"/>
        <v>12.439639999999999</v>
      </c>
      <c r="X20" s="7">
        <f>'[2]Production Summary'!AB80</f>
        <v>157000.00000000358</v>
      </c>
      <c r="Y20" s="8">
        <f t="shared" si="14"/>
        <v>0.15700000000000358</v>
      </c>
      <c r="Z20" s="10">
        <f t="shared" si="15"/>
        <v>0.48199000000001097</v>
      </c>
      <c r="AA20" s="15"/>
      <c r="AB20" s="7">
        <f t="shared" si="16"/>
        <v>12340999.999999814</v>
      </c>
      <c r="AC20" s="8">
        <f t="shared" si="16"/>
        <v>12.340999999999815</v>
      </c>
      <c r="AD20" s="8">
        <f t="shared" si="16"/>
        <v>37.886869999999433</v>
      </c>
      <c r="AF20" s="8">
        <f t="shared" ref="AF20:AF35" si="18">T20-Q20-Z20</f>
        <v>1.5349999999997366E-2</v>
      </c>
    </row>
    <row r="21" spans="1:32" x14ac:dyDescent="0.15">
      <c r="A21" s="27">
        <v>43176</v>
      </c>
      <c r="B21" s="7">
        <f>'[2]Production Summary'!J81</f>
        <v>6199999.9999998184</v>
      </c>
      <c r="C21" s="8">
        <f t="shared" si="1"/>
        <v>6.1999999999998181</v>
      </c>
      <c r="D21" s="10">
        <f t="shared" si="0"/>
        <v>19.033999999999441</v>
      </c>
      <c r="E21" s="7">
        <f>'[2]Production Summary'!E81</f>
        <v>6000000</v>
      </c>
      <c r="F21" s="8">
        <f t="shared" si="2"/>
        <v>6</v>
      </c>
      <c r="G21" s="10">
        <f t="shared" si="3"/>
        <v>18.419999999999998</v>
      </c>
      <c r="H21" s="7">
        <f>'[2]Production Summary'!G81</f>
        <v>0</v>
      </c>
      <c r="I21" s="8">
        <f t="shared" si="4"/>
        <v>0</v>
      </c>
      <c r="J21" s="10">
        <f t="shared" si="5"/>
        <v>0</v>
      </c>
      <c r="K21" s="7">
        <f>'[2]Production Summary'!T81</f>
        <v>584987</v>
      </c>
      <c r="L21" s="8">
        <f t="shared" si="6"/>
        <v>0.58498700000000003</v>
      </c>
      <c r="M21" s="10">
        <f t="shared" si="7"/>
        <v>1.79591009</v>
      </c>
      <c r="N21" s="21"/>
      <c r="O21" s="7">
        <f>'[2]Production Summary'!I81</f>
        <v>6426000.0000000028</v>
      </c>
      <c r="P21" s="8">
        <f t="shared" si="8"/>
        <v>6.4260000000000028</v>
      </c>
      <c r="Q21" s="10">
        <f t="shared" si="9"/>
        <v>19.727820000000008</v>
      </c>
      <c r="R21" s="7">
        <f>'[2]Production Summary'!C81</f>
        <v>6534000</v>
      </c>
      <c r="S21" s="8">
        <f t="shared" si="10"/>
        <v>6.5339999999999998</v>
      </c>
      <c r="T21" s="10">
        <f t="shared" si="11"/>
        <v>20.059379999999997</v>
      </c>
      <c r="U21" s="7">
        <f>'[2]Production Summary'!F81</f>
        <v>4059000</v>
      </c>
      <c r="V21" s="8">
        <f t="shared" si="12"/>
        <v>4.0590000000000002</v>
      </c>
      <c r="W21" s="10">
        <f t="shared" si="13"/>
        <v>12.461130000000001</v>
      </c>
      <c r="X21" s="7">
        <f>'[2]Production Summary'!AB81</f>
        <v>104999.99999999687</v>
      </c>
      <c r="Y21" s="8">
        <f t="shared" si="14"/>
        <v>0.10499999999999687</v>
      </c>
      <c r="Z21" s="10">
        <f t="shared" si="15"/>
        <v>0.32234999999999037</v>
      </c>
      <c r="AA21" s="15"/>
      <c r="AB21" s="7">
        <f t="shared" si="16"/>
        <v>12625999.999999821</v>
      </c>
      <c r="AC21" s="8">
        <f t="shared" si="16"/>
        <v>12.62599999999982</v>
      </c>
      <c r="AD21" s="8">
        <f t="shared" si="16"/>
        <v>38.761819999999446</v>
      </c>
      <c r="AF21" s="8">
        <f t="shared" si="18"/>
        <v>9.2099999999986082E-3</v>
      </c>
    </row>
    <row r="22" spans="1:32" x14ac:dyDescent="0.15">
      <c r="A22" s="27">
        <v>43177</v>
      </c>
      <c r="B22" s="7">
        <f>'[2]Production Summary'!J82</f>
        <v>5500000</v>
      </c>
      <c r="C22" s="8">
        <f t="shared" si="1"/>
        <v>5.5</v>
      </c>
      <c r="D22" s="10">
        <f t="shared" si="0"/>
        <v>16.884999999999998</v>
      </c>
      <c r="E22" s="7">
        <f>'[2]Production Summary'!E82</f>
        <v>7000000</v>
      </c>
      <c r="F22" s="8">
        <f t="shared" si="2"/>
        <v>7</v>
      </c>
      <c r="G22" s="10">
        <f t="shared" si="3"/>
        <v>21.49</v>
      </c>
      <c r="H22" s="7">
        <f>'[2]Production Summary'!G82</f>
        <v>0</v>
      </c>
      <c r="I22" s="8">
        <f t="shared" si="4"/>
        <v>0</v>
      </c>
      <c r="J22" s="10">
        <f t="shared" si="5"/>
        <v>0</v>
      </c>
      <c r="K22" s="7">
        <f>'[2]Production Summary'!T82</f>
        <v>596997</v>
      </c>
      <c r="L22" s="8">
        <f t="shared" si="6"/>
        <v>0.596997</v>
      </c>
      <c r="M22" s="10">
        <f t="shared" si="7"/>
        <v>1.8327807899999999</v>
      </c>
      <c r="N22" s="21"/>
      <c r="O22" s="7">
        <f>'[2]Production Summary'!I82</f>
        <v>6388999.9999999991</v>
      </c>
      <c r="P22" s="8">
        <f t="shared" si="8"/>
        <v>6.3889999999999993</v>
      </c>
      <c r="Q22" s="10">
        <f t="shared" si="9"/>
        <v>19.614229999999996</v>
      </c>
      <c r="R22" s="7">
        <f>'[2]Production Summary'!C82</f>
        <v>6486000</v>
      </c>
      <c r="S22" s="8">
        <f t="shared" si="10"/>
        <v>6.4859999999999998</v>
      </c>
      <c r="T22" s="10">
        <f t="shared" si="11"/>
        <v>19.912019999999998</v>
      </c>
      <c r="U22" s="7">
        <f>'[2]Production Summary'!F82</f>
        <v>4031000</v>
      </c>
      <c r="V22" s="8">
        <f t="shared" si="12"/>
        <v>4.0309999999999997</v>
      </c>
      <c r="W22" s="10">
        <f t="shared" si="13"/>
        <v>12.375169999999999</v>
      </c>
      <c r="X22" s="7">
        <f>'[2]Production Summary'!AB82</f>
        <v>94000.000000001193</v>
      </c>
      <c r="Y22" s="8">
        <f t="shared" si="14"/>
        <v>9.4000000000001194E-2</v>
      </c>
      <c r="Z22" s="10">
        <f t="shared" si="15"/>
        <v>0.28858000000000367</v>
      </c>
      <c r="AA22" s="15"/>
      <c r="AB22" s="7">
        <f t="shared" si="16"/>
        <v>11889000</v>
      </c>
      <c r="AC22" s="8">
        <f t="shared" si="16"/>
        <v>11.888999999999999</v>
      </c>
      <c r="AD22" s="8">
        <f t="shared" si="16"/>
        <v>36.499229999999997</v>
      </c>
      <c r="AF22" s="8">
        <f t="shared" si="18"/>
        <v>9.2099999999989968E-3</v>
      </c>
    </row>
    <row r="23" spans="1:32" x14ac:dyDescent="0.15">
      <c r="A23" s="27">
        <v>43178</v>
      </c>
      <c r="B23" s="7">
        <f>'[2]Production Summary'!J83</f>
        <v>6300000.0000001816</v>
      </c>
      <c r="C23" s="8">
        <f t="shared" si="1"/>
        <v>6.3000000000001819</v>
      </c>
      <c r="D23" s="10">
        <f t="shared" si="0"/>
        <v>19.341000000000559</v>
      </c>
      <c r="E23" s="7">
        <f>'[2]Production Summary'!E83</f>
        <v>6000000</v>
      </c>
      <c r="F23" s="8">
        <f t="shared" si="2"/>
        <v>6</v>
      </c>
      <c r="G23" s="10">
        <f t="shared" si="3"/>
        <v>18.419999999999998</v>
      </c>
      <c r="H23" s="7">
        <f>'[2]Production Summary'!G83</f>
        <v>0</v>
      </c>
      <c r="I23" s="8">
        <f t="shared" si="4"/>
        <v>0</v>
      </c>
      <c r="J23" s="10">
        <f t="shared" si="5"/>
        <v>0</v>
      </c>
      <c r="K23" s="7">
        <f>'[2]Production Summary'!T83</f>
        <v>653898</v>
      </c>
      <c r="L23" s="8">
        <f t="shared" si="6"/>
        <v>0.65389799999999998</v>
      </c>
      <c r="M23" s="10">
        <f t="shared" si="7"/>
        <v>2.0074668599999996</v>
      </c>
      <c r="N23" s="21"/>
      <c r="O23" s="7">
        <f>'[2]Production Summary'!I83</f>
        <v>6975000</v>
      </c>
      <c r="P23" s="8">
        <f t="shared" si="8"/>
        <v>6.9749999999999996</v>
      </c>
      <c r="Q23" s="10">
        <f t="shared" si="9"/>
        <v>21.413249999999998</v>
      </c>
      <c r="R23" s="7">
        <f>'[2]Production Summary'!C83</f>
        <v>6978000</v>
      </c>
      <c r="S23" s="8">
        <f t="shared" si="10"/>
        <v>6.9779999999999998</v>
      </c>
      <c r="T23" s="10">
        <f t="shared" si="11"/>
        <v>21.422459999999997</v>
      </c>
      <c r="U23" s="7">
        <f>'[2]Production Summary'!F83</f>
        <v>4052000</v>
      </c>
      <c r="V23" s="8">
        <f t="shared" si="12"/>
        <v>4.0519999999999996</v>
      </c>
      <c r="W23" s="10">
        <f t="shared" si="13"/>
        <v>12.439639999999999</v>
      </c>
      <c r="X23" s="7">
        <f>'[2]Production Summary'!AB83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13275000.000000183</v>
      </c>
      <c r="AC23" s="8">
        <f t="shared" si="16"/>
        <v>13.275000000000182</v>
      </c>
      <c r="AD23" s="8">
        <f t="shared" si="16"/>
        <v>40.754250000000553</v>
      </c>
      <c r="AF23" s="8">
        <f t="shared" si="18"/>
        <v>9.2099999999994964E-3</v>
      </c>
    </row>
    <row r="24" spans="1:32" x14ac:dyDescent="0.15">
      <c r="A24" s="27">
        <v>43179</v>
      </c>
      <c r="B24" s="7">
        <f>'[2]Production Summary'!J84</f>
        <v>5400000.0000005458</v>
      </c>
      <c r="C24" s="8">
        <f t="shared" si="1"/>
        <v>5.4000000000005457</v>
      </c>
      <c r="D24" s="10">
        <f t="shared" si="0"/>
        <v>16.578000000001673</v>
      </c>
      <c r="E24" s="7">
        <f>'[2]Production Summary'!E84</f>
        <v>7000000</v>
      </c>
      <c r="F24" s="8">
        <f t="shared" si="2"/>
        <v>7</v>
      </c>
      <c r="G24" s="10">
        <f t="shared" si="3"/>
        <v>21.49</v>
      </c>
      <c r="H24" s="7">
        <f>'[2]Production Summary'!G84</f>
        <v>0</v>
      </c>
      <c r="I24" s="8">
        <f t="shared" si="4"/>
        <v>0</v>
      </c>
      <c r="J24" s="10">
        <f t="shared" si="5"/>
        <v>0</v>
      </c>
      <c r="K24" s="7">
        <f>'[2]Production Summary'!T84</f>
        <v>603191</v>
      </c>
      <c r="L24" s="8">
        <f t="shared" si="6"/>
        <v>0.60319100000000003</v>
      </c>
      <c r="M24" s="10">
        <f t="shared" si="7"/>
        <v>1.85179637</v>
      </c>
      <c r="N24" s="21"/>
      <c r="O24" s="7">
        <f>'[2]Production Summary'!I84</f>
        <v>6937000</v>
      </c>
      <c r="P24" s="8">
        <f t="shared" si="8"/>
        <v>6.9370000000000003</v>
      </c>
      <c r="Q24" s="10">
        <f t="shared" si="9"/>
        <v>21.296589999999998</v>
      </c>
      <c r="R24" s="7">
        <f>'[2]Production Summary'!C84</f>
        <v>6942000</v>
      </c>
      <c r="S24" s="8">
        <f t="shared" si="10"/>
        <v>6.9420000000000002</v>
      </c>
      <c r="T24" s="10">
        <f t="shared" si="11"/>
        <v>21.31194</v>
      </c>
      <c r="U24" s="7">
        <f>'[2]Production Summary'!F84</f>
        <v>4028000</v>
      </c>
      <c r="V24" s="8">
        <f t="shared" si="12"/>
        <v>4.0279999999999996</v>
      </c>
      <c r="W24" s="10">
        <f t="shared" si="13"/>
        <v>12.365959999999998</v>
      </c>
      <c r="X24" s="7">
        <f>'[2]Production Summary'!AB84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12337000.000000546</v>
      </c>
      <c r="AC24" s="8">
        <f t="shared" si="16"/>
        <v>12.337000000000547</v>
      </c>
      <c r="AD24" s="8">
        <f>D24+Q24</f>
        <v>37.874590000001675</v>
      </c>
      <c r="AF24" s="8">
        <f t="shared" si="18"/>
        <v>1.5350000000001529E-2</v>
      </c>
    </row>
    <row r="25" spans="1:32" x14ac:dyDescent="0.15">
      <c r="A25" s="27">
        <v>43180</v>
      </c>
      <c r="B25" s="7">
        <f>'[2]Production Summary'!J85</f>
        <v>6099999.9999994542</v>
      </c>
      <c r="C25" s="8">
        <f t="shared" si="1"/>
        <v>6.0999999999994543</v>
      </c>
      <c r="D25" s="10">
        <f t="shared" si="0"/>
        <v>18.726999999998323</v>
      </c>
      <c r="E25" s="7">
        <f>'[2]Production Summary'!E85</f>
        <v>6000000</v>
      </c>
      <c r="F25" s="8">
        <f t="shared" si="2"/>
        <v>6</v>
      </c>
      <c r="G25" s="10">
        <f t="shared" si="3"/>
        <v>18.419999999999998</v>
      </c>
      <c r="H25" s="7">
        <f>'[2]Production Summary'!G85</f>
        <v>0</v>
      </c>
      <c r="I25" s="8">
        <f t="shared" si="4"/>
        <v>0</v>
      </c>
      <c r="J25" s="10">
        <f t="shared" si="5"/>
        <v>0</v>
      </c>
      <c r="K25" s="7">
        <f>'[2]Production Summary'!T85</f>
        <v>603751</v>
      </c>
      <c r="L25" s="8">
        <f t="shared" si="6"/>
        <v>0.60375100000000004</v>
      </c>
      <c r="M25" s="10">
        <f t="shared" si="7"/>
        <v>1.8535155700000001</v>
      </c>
      <c r="N25" s="21"/>
      <c r="O25" s="7">
        <f>'[2]Production Summary'!I85</f>
        <v>7082000</v>
      </c>
      <c r="P25" s="8">
        <f t="shared" si="8"/>
        <v>7.0819999999999999</v>
      </c>
      <c r="Q25" s="10">
        <f t="shared" si="9"/>
        <v>21.74174</v>
      </c>
      <c r="R25" s="7">
        <f>'[2]Production Summary'!C85</f>
        <v>7087000</v>
      </c>
      <c r="S25" s="8">
        <f t="shared" si="10"/>
        <v>7.0869999999999997</v>
      </c>
      <c r="T25" s="10">
        <f t="shared" si="11"/>
        <v>21.757089999999998</v>
      </c>
      <c r="U25" s="7">
        <f>'[2]Production Summary'!F85</f>
        <v>4035000</v>
      </c>
      <c r="V25" s="8">
        <f t="shared" si="12"/>
        <v>4.0350000000000001</v>
      </c>
      <c r="W25" s="10">
        <f t="shared" si="13"/>
        <v>12.387449999999999</v>
      </c>
      <c r="X25" s="7">
        <f>'[2]Production Summary'!AB85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13181999.999999454</v>
      </c>
      <c r="AC25" s="8">
        <f t="shared" si="16"/>
        <v>13.181999999999455</v>
      </c>
      <c r="AD25" s="8">
        <f t="shared" si="16"/>
        <v>40.46873999999832</v>
      </c>
      <c r="AF25" s="8">
        <f t="shared" si="18"/>
        <v>1.5349999999997976E-2</v>
      </c>
    </row>
    <row r="26" spans="1:32" x14ac:dyDescent="0.15">
      <c r="A26" s="27">
        <v>43181</v>
      </c>
      <c r="B26" s="7">
        <f>'[2]Production Summary'!J86</f>
        <v>6100000.0000003641</v>
      </c>
      <c r="C26" s="8">
        <f t="shared" si="1"/>
        <v>6.1000000000003638</v>
      </c>
      <c r="D26" s="10">
        <f t="shared" si="0"/>
        <v>18.727000000001116</v>
      </c>
      <c r="E26" s="7">
        <f>'[2]Production Summary'!E86</f>
        <v>7000000</v>
      </c>
      <c r="F26" s="8">
        <f t="shared" si="2"/>
        <v>7</v>
      </c>
      <c r="G26" s="10">
        <f t="shared" si="3"/>
        <v>21.49</v>
      </c>
      <c r="H26" s="7">
        <f>'[2]Production Summary'!G86</f>
        <v>0</v>
      </c>
      <c r="I26" s="8">
        <f t="shared" si="4"/>
        <v>0</v>
      </c>
      <c r="J26" s="10">
        <f t="shared" si="5"/>
        <v>0</v>
      </c>
      <c r="K26" s="7">
        <f>'[2]Production Summary'!T86</f>
        <v>525404</v>
      </c>
      <c r="L26" s="8">
        <f t="shared" si="6"/>
        <v>0.52540399999999998</v>
      </c>
      <c r="M26" s="10">
        <f t="shared" si="7"/>
        <v>1.6129902799999998</v>
      </c>
      <c r="N26" s="21"/>
      <c r="O26" s="7">
        <f>'[2]Production Summary'!I86</f>
        <v>6527000</v>
      </c>
      <c r="P26" s="8">
        <f t="shared" si="8"/>
        <v>6.5270000000000001</v>
      </c>
      <c r="Q26" s="10">
        <f t="shared" si="9"/>
        <v>20.037890000000001</v>
      </c>
      <c r="R26" s="7">
        <f>'[2]Production Summary'!C86</f>
        <v>6530000</v>
      </c>
      <c r="S26" s="8">
        <f t="shared" si="10"/>
        <v>6.53</v>
      </c>
      <c r="T26" s="10">
        <f t="shared" si="11"/>
        <v>20.0471</v>
      </c>
      <c r="U26" s="7">
        <f>'[2]Production Summary'!F86</f>
        <v>4063000</v>
      </c>
      <c r="V26" s="8">
        <f t="shared" si="12"/>
        <v>4.0629999999999997</v>
      </c>
      <c r="W26" s="10">
        <f t="shared" si="13"/>
        <v>12.473409999999998</v>
      </c>
      <c r="X26" s="7">
        <f>'[2]Production Summary'!AB86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12627000.000000365</v>
      </c>
      <c r="AC26" s="8">
        <f t="shared" si="16"/>
        <v>12.627000000000365</v>
      </c>
      <c r="AD26" s="8">
        <f t="shared" si="16"/>
        <v>38.764890000001117</v>
      </c>
      <c r="AF26" s="8">
        <f t="shared" si="18"/>
        <v>9.2099999999994964E-3</v>
      </c>
    </row>
    <row r="27" spans="1:32" x14ac:dyDescent="0.15">
      <c r="A27" s="27">
        <v>43182</v>
      </c>
      <c r="B27" s="7">
        <f>'[2]Production Summary'!J87</f>
        <v>5899999.9999996359</v>
      </c>
      <c r="C27" s="8">
        <f t="shared" si="1"/>
        <v>5.8999999999996362</v>
      </c>
      <c r="D27" s="10">
        <f t="shared" si="0"/>
        <v>18.11299999999888</v>
      </c>
      <c r="E27" s="7">
        <f>'[2]Production Summary'!E87</f>
        <v>6000000</v>
      </c>
      <c r="F27" s="8">
        <f t="shared" si="2"/>
        <v>6</v>
      </c>
      <c r="G27" s="10">
        <f t="shared" si="3"/>
        <v>18.419999999999998</v>
      </c>
      <c r="H27" s="7">
        <f>'[2]Production Summary'!G87</f>
        <v>0</v>
      </c>
      <c r="I27" s="8">
        <f t="shared" si="4"/>
        <v>0</v>
      </c>
      <c r="J27" s="10">
        <f t="shared" si="5"/>
        <v>0</v>
      </c>
      <c r="K27" s="7">
        <f>'[2]Production Summary'!T87</f>
        <v>577483</v>
      </c>
      <c r="L27" s="8">
        <f t="shared" si="6"/>
        <v>0.57748299999999997</v>
      </c>
      <c r="M27" s="10">
        <f t="shared" si="7"/>
        <v>1.7728728099999997</v>
      </c>
      <c r="N27" s="21"/>
      <c r="O27" s="7">
        <f>'[2]Production Summary'!I87</f>
        <v>6628000</v>
      </c>
      <c r="P27" s="8">
        <f t="shared" si="8"/>
        <v>6.6280000000000001</v>
      </c>
      <c r="Q27" s="10">
        <f t="shared" si="9"/>
        <v>20.34796</v>
      </c>
      <c r="R27" s="7">
        <f>'[2]Production Summary'!C87</f>
        <v>6633000</v>
      </c>
      <c r="S27" s="8">
        <f t="shared" si="10"/>
        <v>6.633</v>
      </c>
      <c r="T27" s="10">
        <f t="shared" si="11"/>
        <v>20.363309999999998</v>
      </c>
      <c r="U27" s="7">
        <f>'[2]Production Summary'!F87</f>
        <v>4010000</v>
      </c>
      <c r="V27" s="8">
        <f t="shared" si="12"/>
        <v>4.01</v>
      </c>
      <c r="W27" s="10">
        <f t="shared" si="13"/>
        <v>12.310699999999999</v>
      </c>
      <c r="X27" s="7">
        <f>'[2]Production Summary'!AB87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12527999.999999635</v>
      </c>
      <c r="AC27" s="8">
        <f t="shared" si="16"/>
        <v>12.527999999999636</v>
      </c>
      <c r="AD27" s="8">
        <f t="shared" si="16"/>
        <v>38.460959999998877</v>
      </c>
      <c r="AF27" s="8">
        <f t="shared" si="18"/>
        <v>1.5349999999997976E-2</v>
      </c>
    </row>
    <row r="28" spans="1:32" x14ac:dyDescent="0.15">
      <c r="A28" s="27">
        <v>43183</v>
      </c>
      <c r="B28" s="7">
        <f>'[2]Production Summary'!J88</f>
        <v>5699999.9999998184</v>
      </c>
      <c r="C28" s="8">
        <f t="shared" si="1"/>
        <v>5.6999999999998181</v>
      </c>
      <c r="D28" s="10">
        <f t="shared" si="0"/>
        <v>17.498999999999441</v>
      </c>
      <c r="E28" s="7">
        <f>'[2]Production Summary'!E88</f>
        <v>7000000</v>
      </c>
      <c r="F28" s="8">
        <f t="shared" si="2"/>
        <v>7</v>
      </c>
      <c r="G28" s="10">
        <f t="shared" si="3"/>
        <v>21.49</v>
      </c>
      <c r="H28" s="7">
        <f>'[2]Production Summary'!G88</f>
        <v>0</v>
      </c>
      <c r="I28" s="8">
        <f t="shared" si="4"/>
        <v>0</v>
      </c>
      <c r="J28" s="10">
        <f t="shared" si="5"/>
        <v>0</v>
      </c>
      <c r="K28" s="7">
        <f>'[2]Production Summary'!T88</f>
        <v>511687</v>
      </c>
      <c r="L28" s="8">
        <f t="shared" si="6"/>
        <v>0.511687</v>
      </c>
      <c r="M28" s="10">
        <f t="shared" si="7"/>
        <v>1.57087909</v>
      </c>
      <c r="N28" s="21"/>
      <c r="O28" s="7">
        <f>'[2]Production Summary'!I88</f>
        <v>7029000</v>
      </c>
      <c r="P28" s="8">
        <f t="shared" si="8"/>
        <v>7.0289999999999999</v>
      </c>
      <c r="Q28" s="10">
        <f t="shared" si="9"/>
        <v>21.579029999999999</v>
      </c>
      <c r="R28" s="7">
        <f>'[2]Production Summary'!C88</f>
        <v>7032000</v>
      </c>
      <c r="S28" s="8">
        <f t="shared" si="10"/>
        <v>7.032</v>
      </c>
      <c r="T28" s="10">
        <f t="shared" si="11"/>
        <v>21.588239999999999</v>
      </c>
      <c r="U28" s="7">
        <f>'[2]Production Summary'!F88</f>
        <v>4057000</v>
      </c>
      <c r="V28" s="8">
        <f t="shared" si="12"/>
        <v>4.0570000000000004</v>
      </c>
      <c r="W28" s="10">
        <f t="shared" si="13"/>
        <v>12.45499</v>
      </c>
      <c r="X28" s="7">
        <f>'[2]Production Summary'!AB88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12728999.999999817</v>
      </c>
      <c r="AC28" s="8">
        <f t="shared" si="16"/>
        <v>12.728999999999818</v>
      </c>
      <c r="AD28" s="8">
        <f t="shared" si="16"/>
        <v>39.078029999999444</v>
      </c>
      <c r="AF28" s="8">
        <f t="shared" si="18"/>
        <v>9.2099999999994964E-3</v>
      </c>
    </row>
    <row r="29" spans="1:32" x14ac:dyDescent="0.15">
      <c r="A29" s="27">
        <v>43184</v>
      </c>
      <c r="B29" s="7">
        <f>'[2]Production Summary'!J89</f>
        <v>5900000.0000005458</v>
      </c>
      <c r="C29" s="8">
        <f t="shared" si="1"/>
        <v>5.9000000000005457</v>
      </c>
      <c r="D29" s="10">
        <f t="shared" si="0"/>
        <v>18.113000000001673</v>
      </c>
      <c r="E29" s="7">
        <f>'[2]Production Summary'!E89</f>
        <v>6000000</v>
      </c>
      <c r="F29" s="8">
        <f t="shared" si="2"/>
        <v>6</v>
      </c>
      <c r="G29" s="10">
        <f t="shared" si="3"/>
        <v>18.419999999999998</v>
      </c>
      <c r="H29" s="7">
        <f>'[2]Production Summary'!G89</f>
        <v>0</v>
      </c>
      <c r="I29" s="8">
        <f t="shared" si="4"/>
        <v>0</v>
      </c>
      <c r="J29" s="10">
        <f t="shared" si="5"/>
        <v>0</v>
      </c>
      <c r="K29" s="7">
        <f>'[2]Production Summary'!T89</f>
        <v>568299</v>
      </c>
      <c r="L29" s="8">
        <f t="shared" si="6"/>
        <v>0.568299</v>
      </c>
      <c r="M29" s="10">
        <f t="shared" si="7"/>
        <v>1.7446779299999999</v>
      </c>
      <c r="N29" s="21"/>
      <c r="O29" s="7">
        <f>'[2]Production Summary'!I89</f>
        <v>6999000</v>
      </c>
      <c r="P29" s="8">
        <f t="shared" si="8"/>
        <v>6.9989999999999997</v>
      </c>
      <c r="Q29" s="10">
        <f t="shared" si="9"/>
        <v>21.486929999999997</v>
      </c>
      <c r="R29" s="7">
        <f>'[2]Production Summary'!C89</f>
        <v>7007000</v>
      </c>
      <c r="S29" s="8">
        <f t="shared" si="10"/>
        <v>7.0069999999999997</v>
      </c>
      <c r="T29" s="10">
        <f t="shared" si="11"/>
        <v>21.511489999999998</v>
      </c>
      <c r="U29" s="7">
        <f>'[2]Production Summary'!F89</f>
        <v>4046000</v>
      </c>
      <c r="V29" s="8">
        <f t="shared" si="12"/>
        <v>4.0460000000000003</v>
      </c>
      <c r="W29" s="10">
        <f t="shared" si="13"/>
        <v>12.42122</v>
      </c>
      <c r="X29" s="7">
        <f>'[2]Production Summary'!AB89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12899000.000000546</v>
      </c>
      <c r="AC29" s="8">
        <f t="shared" si="16"/>
        <v>12.899000000000544</v>
      </c>
      <c r="AD29" s="8">
        <f t="shared" si="16"/>
        <v>39.59993000000167</v>
      </c>
      <c r="AF29" s="8">
        <f t="shared" si="18"/>
        <v>2.4560000000001025E-2</v>
      </c>
    </row>
    <row r="30" spans="1:32" x14ac:dyDescent="0.15">
      <c r="A30" s="27">
        <v>43185</v>
      </c>
      <c r="B30" s="7">
        <f>'[2]Production Summary'!J90</f>
        <v>6099999.9999994542</v>
      </c>
      <c r="C30" s="8">
        <f t="shared" si="1"/>
        <v>6.0999999999994543</v>
      </c>
      <c r="D30" s="10">
        <f t="shared" si="0"/>
        <v>18.726999999998323</v>
      </c>
      <c r="E30" s="7">
        <f>'[2]Production Summary'!E90</f>
        <v>7000000</v>
      </c>
      <c r="F30" s="8">
        <f t="shared" si="2"/>
        <v>7</v>
      </c>
      <c r="G30" s="10">
        <f t="shared" si="3"/>
        <v>21.49</v>
      </c>
      <c r="H30" s="7">
        <f>'[2]Production Summary'!G90</f>
        <v>0</v>
      </c>
      <c r="I30" s="8">
        <f t="shared" si="4"/>
        <v>0</v>
      </c>
      <c r="J30" s="10">
        <f t="shared" si="5"/>
        <v>0</v>
      </c>
      <c r="K30" s="7">
        <f>'[2]Production Summary'!T90</f>
        <v>673474</v>
      </c>
      <c r="L30" s="8">
        <f t="shared" si="6"/>
        <v>0.67347400000000002</v>
      </c>
      <c r="M30" s="10">
        <f t="shared" si="7"/>
        <v>2.0675651799999999</v>
      </c>
      <c r="N30" s="21"/>
      <c r="O30" s="7">
        <f>'[2]Production Summary'!I90</f>
        <v>7201000</v>
      </c>
      <c r="P30" s="8">
        <f t="shared" si="8"/>
        <v>7.2009999999999996</v>
      </c>
      <c r="Q30" s="10">
        <f t="shared" si="9"/>
        <v>22.107069999999997</v>
      </c>
      <c r="R30" s="7">
        <f>'[2]Production Summary'!C90</f>
        <v>7206000</v>
      </c>
      <c r="S30" s="8">
        <f t="shared" si="10"/>
        <v>7.2060000000000004</v>
      </c>
      <c r="T30" s="10">
        <f t="shared" si="11"/>
        <v>22.122420000000002</v>
      </c>
      <c r="U30" s="7">
        <f>'[2]Production Summary'!F90</f>
        <v>4036000</v>
      </c>
      <c r="V30" s="8">
        <f t="shared" si="12"/>
        <v>4.0359999999999996</v>
      </c>
      <c r="W30" s="10">
        <f t="shared" si="13"/>
        <v>12.390519999999999</v>
      </c>
      <c r="X30" s="7">
        <f>'[2]Production Summary'!AB90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13300999.999999454</v>
      </c>
      <c r="AC30" s="8">
        <f t="shared" si="16"/>
        <v>13.300999999999455</v>
      </c>
      <c r="AD30" s="8">
        <f>D30+Q30</f>
        <v>40.83406999999832</v>
      </c>
      <c r="AF30" s="8">
        <f t="shared" si="18"/>
        <v>1.5350000000005082E-2</v>
      </c>
    </row>
    <row r="31" spans="1:32" x14ac:dyDescent="0.15">
      <c r="A31" s="27">
        <v>43186</v>
      </c>
      <c r="B31" s="7">
        <f>'[2]Production Summary'!J91</f>
        <v>6000000</v>
      </c>
      <c r="C31" s="8">
        <f t="shared" si="1"/>
        <v>6</v>
      </c>
      <c r="D31" s="10">
        <f t="shared" si="0"/>
        <v>18.419999999999998</v>
      </c>
      <c r="E31" s="7">
        <f>'[2]Production Summary'!E91</f>
        <v>6000000</v>
      </c>
      <c r="F31" s="8">
        <f t="shared" si="2"/>
        <v>6</v>
      </c>
      <c r="G31" s="10">
        <f t="shared" si="3"/>
        <v>18.419999999999998</v>
      </c>
      <c r="H31" s="7">
        <f>'[2]Production Summary'!G91</f>
        <v>0</v>
      </c>
      <c r="I31" s="8">
        <f t="shared" si="4"/>
        <v>0</v>
      </c>
      <c r="J31" s="10">
        <f t="shared" si="5"/>
        <v>0</v>
      </c>
      <c r="K31" s="7">
        <f>'[2]Production Summary'!T91</f>
        <v>562493</v>
      </c>
      <c r="L31" s="8">
        <f t="shared" si="6"/>
        <v>0.56249300000000002</v>
      </c>
      <c r="M31" s="10">
        <f t="shared" si="7"/>
        <v>1.72685351</v>
      </c>
      <c r="N31" s="21"/>
      <c r="O31" s="7">
        <f>'[2]Production Summary'!I91</f>
        <v>6665000</v>
      </c>
      <c r="P31" s="8">
        <f t="shared" si="8"/>
        <v>6.665</v>
      </c>
      <c r="Q31" s="10">
        <f t="shared" si="9"/>
        <v>20.461549999999999</v>
      </c>
      <c r="R31" s="7">
        <f>'[2]Production Summary'!C91</f>
        <v>6665000</v>
      </c>
      <c r="S31" s="8">
        <f t="shared" si="10"/>
        <v>6.665</v>
      </c>
      <c r="T31" s="10">
        <f t="shared" si="11"/>
        <v>20.461549999999999</v>
      </c>
      <c r="U31" s="7">
        <f>'[2]Production Summary'!F91</f>
        <v>3697000</v>
      </c>
      <c r="V31" s="8">
        <f t="shared" si="12"/>
        <v>3.6970000000000001</v>
      </c>
      <c r="W31" s="10">
        <f t="shared" si="13"/>
        <v>11.34979</v>
      </c>
      <c r="X31" s="7">
        <f>'[2]Production Summary'!AB91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12665000</v>
      </c>
      <c r="AC31" s="8">
        <f t="shared" si="16"/>
        <v>12.664999999999999</v>
      </c>
      <c r="AD31" s="8">
        <f t="shared" si="16"/>
        <v>38.881549999999997</v>
      </c>
      <c r="AF31" s="8">
        <f>T31-Q31-Z31</f>
        <v>0</v>
      </c>
    </row>
    <row r="32" spans="1:32" x14ac:dyDescent="0.15">
      <c r="A32" s="27">
        <v>43187</v>
      </c>
      <c r="B32" s="7">
        <f>'[2]Production Summary'!J92</f>
        <v>5300000.0000001816</v>
      </c>
      <c r="C32" s="8">
        <f t="shared" si="1"/>
        <v>5.3000000000001819</v>
      </c>
      <c r="D32" s="10">
        <f t="shared" si="0"/>
        <v>16.271000000000559</v>
      </c>
      <c r="E32" s="7">
        <f>'[2]Production Summary'!E92</f>
        <v>7000000</v>
      </c>
      <c r="F32" s="8">
        <f t="shared" si="2"/>
        <v>7</v>
      </c>
      <c r="G32" s="10">
        <f t="shared" si="3"/>
        <v>21.49</v>
      </c>
      <c r="H32" s="7">
        <f>'[2]Production Summary'!G92</f>
        <v>0</v>
      </c>
      <c r="I32" s="8">
        <f t="shared" si="4"/>
        <v>0</v>
      </c>
      <c r="J32" s="10">
        <f t="shared" si="5"/>
        <v>0</v>
      </c>
      <c r="K32" s="7">
        <f>'[2]Production Summary'!T92</f>
        <v>682902</v>
      </c>
      <c r="L32" s="8">
        <f t="shared" si="6"/>
        <v>0.68290200000000001</v>
      </c>
      <c r="M32" s="10">
        <f t="shared" si="7"/>
        <v>2.0965091399999998</v>
      </c>
      <c r="N32" s="21"/>
      <c r="O32" s="7">
        <f>'[2]Production Summary'!I92</f>
        <v>6497000</v>
      </c>
      <c r="P32" s="8">
        <f t="shared" si="8"/>
        <v>6.4969999999999999</v>
      </c>
      <c r="Q32" s="10">
        <f t="shared" si="9"/>
        <v>19.945789999999999</v>
      </c>
      <c r="R32" s="7">
        <f>'[2]Production Summary'!C92</f>
        <v>6501000</v>
      </c>
      <c r="S32" s="8">
        <f t="shared" si="10"/>
        <v>6.5010000000000003</v>
      </c>
      <c r="T32" s="10">
        <f t="shared" si="11"/>
        <v>19.958069999999999</v>
      </c>
      <c r="U32" s="7">
        <f>'[2]Production Summary'!F92</f>
        <v>3477000</v>
      </c>
      <c r="V32" s="8">
        <f t="shared" si="12"/>
        <v>3.4769999999999999</v>
      </c>
      <c r="W32" s="10">
        <f t="shared" si="13"/>
        <v>10.674389999999999</v>
      </c>
      <c r="X32" s="7">
        <f>'[2]Production Summary'!AB92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11797000.000000183</v>
      </c>
      <c r="AC32" s="8">
        <f t="shared" si="16"/>
        <v>11.797000000000182</v>
      </c>
      <c r="AD32" s="8">
        <f t="shared" si="16"/>
        <v>36.216790000000557</v>
      </c>
      <c r="AF32" s="8">
        <f t="shared" si="18"/>
        <v>1.2280000000000513E-2</v>
      </c>
    </row>
    <row r="33" spans="1:32" x14ac:dyDescent="0.15">
      <c r="A33" s="27">
        <v>43188</v>
      </c>
      <c r="B33" s="7">
        <f>'[2]Production Summary'!J93</f>
        <v>5400000.0000005458</v>
      </c>
      <c r="C33" s="8">
        <f t="shared" si="1"/>
        <v>5.4000000000005457</v>
      </c>
      <c r="D33" s="10">
        <f t="shared" si="0"/>
        <v>16.578000000001673</v>
      </c>
      <c r="E33" s="7">
        <f>'[2]Production Summary'!E93</f>
        <v>6000000</v>
      </c>
      <c r="F33" s="8">
        <f t="shared" si="2"/>
        <v>6</v>
      </c>
      <c r="G33" s="10">
        <f t="shared" si="3"/>
        <v>18.419999999999998</v>
      </c>
      <c r="H33" s="7">
        <f>'[2]Production Summary'!G93</f>
        <v>0</v>
      </c>
      <c r="I33" s="8">
        <f t="shared" si="4"/>
        <v>0</v>
      </c>
      <c r="J33" s="10">
        <f t="shared" si="5"/>
        <v>0</v>
      </c>
      <c r="K33" s="7">
        <f>'[2]Production Summary'!T93</f>
        <v>609861</v>
      </c>
      <c r="L33" s="8">
        <f t="shared" si="6"/>
        <v>0.60986099999999999</v>
      </c>
      <c r="M33" s="10">
        <f t="shared" si="7"/>
        <v>1.8722732699999998</v>
      </c>
      <c r="N33" s="21"/>
      <c r="O33" s="7">
        <f>'[2]Production Summary'!I93</f>
        <v>6537000</v>
      </c>
      <c r="P33" s="8">
        <f t="shared" si="8"/>
        <v>6.5369999999999999</v>
      </c>
      <c r="Q33" s="10">
        <f t="shared" si="9"/>
        <v>20.06859</v>
      </c>
      <c r="R33" s="7">
        <f>'[2]Production Summary'!C93</f>
        <v>6541000</v>
      </c>
      <c r="S33" s="8">
        <f t="shared" si="10"/>
        <v>6.5410000000000004</v>
      </c>
      <c r="T33" s="10">
        <f t="shared" si="11"/>
        <v>20.080870000000001</v>
      </c>
      <c r="U33" s="7">
        <f>'[2]Production Summary'!F93</f>
        <v>3500000</v>
      </c>
      <c r="V33" s="8">
        <f t="shared" si="12"/>
        <v>3.5</v>
      </c>
      <c r="W33" s="10">
        <f t="shared" si="13"/>
        <v>10.744999999999999</v>
      </c>
      <c r="X33" s="7">
        <f>'[2]Production Summary'!AB93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11937000.000000546</v>
      </c>
      <c r="AC33" s="8">
        <f t="shared" si="16"/>
        <v>11.937000000000545</v>
      </c>
      <c r="AD33" s="8">
        <f t="shared" si="16"/>
        <v>36.646590000001673</v>
      </c>
      <c r="AF33" s="8">
        <f t="shared" si="18"/>
        <v>1.2280000000000513E-2</v>
      </c>
    </row>
    <row r="34" spans="1:32" x14ac:dyDescent="0.15">
      <c r="A34" s="27">
        <v>43189</v>
      </c>
      <c r="B34" s="7">
        <f>'[2]Production Summary'!J94</f>
        <v>5599999.9999994542</v>
      </c>
      <c r="C34" s="8">
        <f t="shared" si="1"/>
        <v>5.5999999999994543</v>
      </c>
      <c r="D34" s="10">
        <f t="shared" si="0"/>
        <v>17.191999999998323</v>
      </c>
      <c r="E34" s="7">
        <f>'[2]Production Summary'!E94</f>
        <v>6000000</v>
      </c>
      <c r="F34" s="8">
        <f t="shared" si="2"/>
        <v>6</v>
      </c>
      <c r="G34" s="10">
        <f t="shared" si="3"/>
        <v>18.419999999999998</v>
      </c>
      <c r="H34" s="7">
        <f>'[2]Production Summary'!G94</f>
        <v>10000</v>
      </c>
      <c r="I34" s="8">
        <f t="shared" si="4"/>
        <v>0.01</v>
      </c>
      <c r="J34" s="10">
        <f t="shared" si="5"/>
        <v>3.0699999999999998E-2</v>
      </c>
      <c r="K34" s="7">
        <f>'[2]Production Summary'!T94</f>
        <v>473216</v>
      </c>
      <c r="L34" s="8">
        <f t="shared" si="6"/>
        <v>0.47321600000000003</v>
      </c>
      <c r="M34" s="10">
        <f t="shared" si="7"/>
        <v>1.45277312</v>
      </c>
      <c r="N34" s="21"/>
      <c r="O34" s="7">
        <f>'[2]Production Summary'!I94</f>
        <v>6419000</v>
      </c>
      <c r="P34" s="8">
        <f t="shared" si="8"/>
        <v>6.4189999999999996</v>
      </c>
      <c r="Q34" s="10">
        <f t="shared" si="9"/>
        <v>19.706329999999998</v>
      </c>
      <c r="R34" s="7">
        <f>'[2]Production Summary'!C94</f>
        <v>6423000</v>
      </c>
      <c r="S34" s="8">
        <f t="shared" si="10"/>
        <v>6.423</v>
      </c>
      <c r="T34" s="10">
        <f t="shared" si="11"/>
        <v>19.718609999999998</v>
      </c>
      <c r="U34" s="7">
        <f>'[2]Production Summary'!F94</f>
        <v>3438000</v>
      </c>
      <c r="V34" s="8">
        <f t="shared" si="12"/>
        <v>3.4380000000000002</v>
      </c>
      <c r="W34" s="10">
        <f t="shared" si="13"/>
        <v>10.55466</v>
      </c>
      <c r="X34" s="7">
        <f>'[2]Production Summary'!AB94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12018999.999999454</v>
      </c>
      <c r="AC34" s="8">
        <f t="shared" si="16"/>
        <v>12.018999999999455</v>
      </c>
      <c r="AD34" s="8">
        <f t="shared" si="16"/>
        <v>36.898329999998325</v>
      </c>
      <c r="AF34" s="8">
        <f t="shared" si="18"/>
        <v>1.2280000000000513E-2</v>
      </c>
    </row>
    <row r="35" spans="1:32" ht="14" thickBot="1" x14ac:dyDescent="0.2">
      <c r="A35" s="27">
        <v>43190</v>
      </c>
      <c r="B35" s="7">
        <f>'[2]Production Summary'!J95</f>
        <v>5400000.0000005458</v>
      </c>
      <c r="C35" s="8">
        <f t="shared" si="1"/>
        <v>5.4000000000005457</v>
      </c>
      <c r="D35" s="10">
        <f t="shared" si="0"/>
        <v>16.578000000001673</v>
      </c>
      <c r="E35" s="7">
        <f>'[2]Production Summary'!E95</f>
        <v>6000000</v>
      </c>
      <c r="F35" s="8">
        <f t="shared" si="2"/>
        <v>6</v>
      </c>
      <c r="G35" s="10">
        <f t="shared" si="3"/>
        <v>18.419999999999998</v>
      </c>
      <c r="H35" s="7">
        <f>'[2]Production Summary'!G95</f>
        <v>0</v>
      </c>
      <c r="I35" s="8">
        <f t="shared" si="4"/>
        <v>0</v>
      </c>
      <c r="J35" s="10">
        <f t="shared" si="5"/>
        <v>0</v>
      </c>
      <c r="K35" s="7">
        <f>'[2]Production Summary'!T95</f>
        <v>545803</v>
      </c>
      <c r="L35" s="8">
        <f t="shared" si="6"/>
        <v>0.54580300000000004</v>
      </c>
      <c r="M35" s="10">
        <f t="shared" si="7"/>
        <v>1.6756152100000001</v>
      </c>
      <c r="N35" s="21"/>
      <c r="O35" s="7">
        <f>'[2]Production Summary'!I95</f>
        <v>6527000</v>
      </c>
      <c r="P35" s="8">
        <f t="shared" si="8"/>
        <v>6.5270000000000001</v>
      </c>
      <c r="Q35" s="10">
        <f t="shared" si="9"/>
        <v>20.037890000000001</v>
      </c>
      <c r="R35" s="7">
        <f>'[2]Production Summary'!C95</f>
        <v>6531000</v>
      </c>
      <c r="S35" s="8">
        <f t="shared" si="10"/>
        <v>6.5309999999999997</v>
      </c>
      <c r="T35" s="10">
        <f t="shared" si="11"/>
        <v>20.050169999999998</v>
      </c>
      <c r="U35" s="7">
        <f>'[2]Production Summary'!F95</f>
        <v>3492000</v>
      </c>
      <c r="V35" s="8">
        <f t="shared" si="12"/>
        <v>3.492</v>
      </c>
      <c r="W35" s="10">
        <f t="shared" si="13"/>
        <v>10.72044</v>
      </c>
      <c r="X35" s="7">
        <f>'[2]Production Summary'!AB95</f>
        <v>0</v>
      </c>
      <c r="Y35" s="8">
        <f t="shared" si="14"/>
        <v>0</v>
      </c>
      <c r="Z35" s="10">
        <f t="shared" si="15"/>
        <v>0</v>
      </c>
      <c r="AA35" s="15"/>
      <c r="AB35" s="7">
        <f t="shared" si="16"/>
        <v>11927000.000000546</v>
      </c>
      <c r="AC35" s="8">
        <f t="shared" si="16"/>
        <v>11.927000000000547</v>
      </c>
      <c r="AD35" s="8">
        <f t="shared" si="16"/>
        <v>36.61589000000167</v>
      </c>
      <c r="AF35" s="8">
        <f t="shared" si="18"/>
        <v>1.227999999999696E-2</v>
      </c>
    </row>
    <row r="36" spans="1:32" ht="14" thickBot="1" x14ac:dyDescent="0.2">
      <c r="A36" s="14"/>
      <c r="B36" s="37"/>
      <c r="C36" s="38">
        <f>SUM(C5:C35)</f>
        <v>104.5</v>
      </c>
      <c r="D36" s="38">
        <f t="shared" ref="D36:J36" si="19">SUM(D5:D35)</f>
        <v>320.815</v>
      </c>
      <c r="E36" s="37"/>
      <c r="F36" s="38">
        <f t="shared" si="19"/>
        <v>157</v>
      </c>
      <c r="G36" s="38">
        <f t="shared" si="19"/>
        <v>481.99000000000012</v>
      </c>
      <c r="H36" s="37"/>
      <c r="I36" s="38">
        <f t="shared" si="19"/>
        <v>0.02</v>
      </c>
      <c r="J36" s="38">
        <f t="shared" si="19"/>
        <v>6.1399999999999996E-2</v>
      </c>
      <c r="K36" s="37"/>
      <c r="L36" s="38">
        <f>SUM(L5:L35)</f>
        <v>34.577942</v>
      </c>
      <c r="M36" s="38">
        <f>SUM(M5:M35)</f>
        <v>106.15428194</v>
      </c>
      <c r="N36" s="14"/>
      <c r="O36" s="37"/>
      <c r="P36" s="38">
        <f>SUM(P5:P35)</f>
        <v>289.14199999999994</v>
      </c>
      <c r="Q36" s="38">
        <f>SUM(Q5:Q35)</f>
        <v>887.66593999999998</v>
      </c>
      <c r="R36" s="37"/>
      <c r="S36" s="38">
        <f>SUM(S5:S35)</f>
        <v>293.10499999999996</v>
      </c>
      <c r="T36" s="38">
        <f>SUM(T5:T35)</f>
        <v>899.83235000000002</v>
      </c>
      <c r="U36" s="37"/>
      <c r="V36" s="38">
        <f>SUM(V5:V35)</f>
        <v>102.52200000000003</v>
      </c>
      <c r="W36" s="38">
        <f>SUM(W5:W35)</f>
        <v>314.74254000000002</v>
      </c>
      <c r="X36" s="37"/>
      <c r="Y36" s="38">
        <f>SUM(Y5:Y35)</f>
        <v>3.7959999999999994</v>
      </c>
      <c r="Z36" s="38">
        <f>SUM(Z5:Z35)</f>
        <v>11.65372</v>
      </c>
      <c r="AA36" s="14"/>
      <c r="AB36" s="37"/>
      <c r="AC36" s="38">
        <f>SUM(AC5:AC35)</f>
        <v>393.64199999999994</v>
      </c>
      <c r="AD36" s="38">
        <f>AC36*3.07</f>
        <v>1208.4809399999997</v>
      </c>
      <c r="AF36" s="38">
        <f>SUM(AF5:AF35)</f>
        <v>0.51268999999999798</v>
      </c>
    </row>
    <row r="37" spans="1:32" x14ac:dyDescent="0.1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AF36"/>
  <sheetViews>
    <sheetView workbookViewId="0">
      <pane xSplit="1" ySplit="4" topLeftCell="P17" activePane="bottomRight" state="frozen"/>
      <selection activeCell="D6" sqref="D5:D6"/>
      <selection pane="topRight" activeCell="D6" sqref="D5:D6"/>
      <selection pane="bottomLeft" activeCell="D6" sqref="D5:D6"/>
      <selection pane="bottomRight" activeCell="K17" sqref="K17"/>
    </sheetView>
  </sheetViews>
  <sheetFormatPr baseColWidth="10" defaultColWidth="8.83203125" defaultRowHeight="13" x14ac:dyDescent="0.15"/>
  <cols>
    <col min="2" max="2" width="13.33203125" customWidth="1"/>
    <col min="5" max="5" width="13.1640625" customWidth="1"/>
    <col min="7" max="7" width="9.33203125" bestFit="1" customWidth="1"/>
    <col min="8" max="8" width="15.1640625" customWidth="1"/>
    <col min="9" max="10" width="9.33203125" bestFit="1" customWidth="1"/>
    <col min="11" max="11" width="10.33203125" customWidth="1"/>
    <col min="12" max="12" width="11.6640625" bestFit="1" customWidth="1"/>
    <col min="15" max="15" width="10.6640625" customWidth="1"/>
    <col min="16" max="17" width="9.33203125" bestFit="1" customWidth="1"/>
    <col min="18" max="18" width="10.6640625" customWidth="1"/>
    <col min="19" max="20" width="9.33203125" bestFit="1" customWidth="1"/>
    <col min="21" max="21" width="10.5" customWidth="1"/>
    <col min="22" max="22" width="10.83203125" customWidth="1"/>
    <col min="23" max="23" width="9" bestFit="1" customWidth="1"/>
    <col min="24" max="24" width="12.1640625" customWidth="1"/>
    <col min="25" max="26" width="9" bestFit="1" customWidth="1"/>
    <col min="28" max="28" width="13.1640625" customWidth="1"/>
  </cols>
  <sheetData>
    <row r="1" spans="1:30" x14ac:dyDescent="0.15">
      <c r="A1" s="41"/>
      <c r="B1" s="55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6</v>
      </c>
      <c r="V3" s="63"/>
      <c r="W3" s="64"/>
      <c r="X3" s="62" t="s">
        <v>7</v>
      </c>
      <c r="Y3" s="63"/>
      <c r="Z3" s="64"/>
      <c r="AA3" s="19"/>
      <c r="AB3" s="59" t="s">
        <v>8</v>
      </c>
      <c r="AC3" s="60"/>
      <c r="AD3" s="61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15">
      <c r="A5" s="27">
        <v>43191</v>
      </c>
      <c r="B5" s="7">
        <f>'[3]Production Summary'!J6</f>
        <v>5299999.9999992726</v>
      </c>
      <c r="C5" s="8">
        <f>B5/1000000</f>
        <v>5.2999999999992724</v>
      </c>
      <c r="D5" s="10">
        <f>C5*3.07</f>
        <v>16.270999999997766</v>
      </c>
      <c r="E5" s="7">
        <f>'[3]Production Summary'!E6</f>
        <v>6000000</v>
      </c>
      <c r="F5" s="8">
        <f>E5/1000000</f>
        <v>6</v>
      </c>
      <c r="G5" s="10">
        <f>F5*3.07</f>
        <v>18.419999999999998</v>
      </c>
      <c r="H5" s="7">
        <f>'[3]Production Summary'!G6</f>
        <v>0</v>
      </c>
      <c r="I5" s="8">
        <f t="shared" ref="I5:I34" si="0">H5/1000000</f>
        <v>0</v>
      </c>
      <c r="J5" s="10">
        <f>I5*3.07</f>
        <v>0</v>
      </c>
      <c r="K5" s="7">
        <f>'[3]Production Summary'!T6</f>
        <v>554591</v>
      </c>
      <c r="L5" s="8">
        <f>K5/1000000</f>
        <v>0.55459099999999995</v>
      </c>
      <c r="M5" s="10">
        <f>L5*3.07</f>
        <v>1.7025943699999997</v>
      </c>
      <c r="N5" s="21"/>
      <c r="O5" s="7">
        <f>'[3]Production Summary'!I6</f>
        <v>6460000</v>
      </c>
      <c r="P5" s="8">
        <f>O5/1000000</f>
        <v>6.46</v>
      </c>
      <c r="Q5" s="10">
        <f>P5*3.07</f>
        <v>19.8322</v>
      </c>
      <c r="R5" s="7">
        <f>'[3]Production Summary'!C6</f>
        <v>6463000</v>
      </c>
      <c r="S5" s="8">
        <f>R5/1000000</f>
        <v>6.4630000000000001</v>
      </c>
      <c r="T5" s="10">
        <f>S5*3.07</f>
        <v>19.84141</v>
      </c>
      <c r="U5" s="7">
        <f>'[3]Production Summary'!F6</f>
        <v>3456000</v>
      </c>
      <c r="V5" s="8">
        <f>U5/1000000</f>
        <v>3.456</v>
      </c>
      <c r="W5" s="10">
        <f>V5*3.07</f>
        <v>10.609919999999999</v>
      </c>
      <c r="X5" s="7">
        <f>'[3]Production Summary'!AB6</f>
        <v>0</v>
      </c>
      <c r="Y5" s="8">
        <f>X5/1000000</f>
        <v>0</v>
      </c>
      <c r="Z5" s="10">
        <f>Y5*3.07</f>
        <v>0</v>
      </c>
      <c r="AA5" s="15"/>
      <c r="AB5" s="7">
        <f>B5+O5</f>
        <v>11759999.999999274</v>
      </c>
      <c r="AC5" s="8">
        <f>C5+P5</f>
        <v>11.759999999999273</v>
      </c>
      <c r="AD5" s="8">
        <f>D5+Q5</f>
        <v>36.10319999999777</v>
      </c>
    </row>
    <row r="6" spans="1:30" x14ac:dyDescent="0.15">
      <c r="A6" s="27">
        <v>43192</v>
      </c>
      <c r="B6" s="7">
        <f>'[3]Production Summary'!J7</f>
        <v>5300000.0000001816</v>
      </c>
      <c r="C6" s="8">
        <f t="shared" ref="C6:C34" si="1">B6/1000000</f>
        <v>5.3000000000001819</v>
      </c>
      <c r="D6" s="10">
        <f t="shared" ref="D6:D34" si="2">C6*3.07</f>
        <v>16.271000000000559</v>
      </c>
      <c r="E6" s="7">
        <f>'[3]Production Summary'!E7</f>
        <v>6000000</v>
      </c>
      <c r="F6" s="8">
        <f t="shared" ref="F6:F34" si="3">E6/1000000</f>
        <v>6</v>
      </c>
      <c r="G6" s="10">
        <f t="shared" ref="G6:G34" si="4">F6*3.07</f>
        <v>18.419999999999998</v>
      </c>
      <c r="H6" s="7">
        <f>'[3]Production Summary'!G7</f>
        <v>190000</v>
      </c>
      <c r="I6" s="8">
        <f t="shared" si="0"/>
        <v>0.19</v>
      </c>
      <c r="J6" s="10">
        <f t="shared" ref="J6:J34" si="5">I6*3.07</f>
        <v>0.58329999999999993</v>
      </c>
      <c r="K6" s="7">
        <f>'[3]Production Summary'!T7</f>
        <v>650867</v>
      </c>
      <c r="L6" s="8">
        <f t="shared" ref="L6:L34" si="6">K6/1000000</f>
        <v>0.65086699999999997</v>
      </c>
      <c r="M6" s="10">
        <f t="shared" ref="M6:M34" si="7">L6*3.07</f>
        <v>1.9981616899999999</v>
      </c>
      <c r="N6" s="21"/>
      <c r="O6" s="7">
        <f>'[3]Production Summary'!I7</f>
        <v>6582000</v>
      </c>
      <c r="P6" s="8">
        <f t="shared" ref="P6:P34" si="8">O6/1000000</f>
        <v>6.5819999999999999</v>
      </c>
      <c r="Q6" s="10">
        <f t="shared" ref="Q6:Q34" si="9">P6*3.07</f>
        <v>20.20674</v>
      </c>
      <c r="R6" s="7">
        <f>'[3]Production Summary'!C7</f>
        <v>6587000</v>
      </c>
      <c r="S6" s="8">
        <f t="shared" ref="S6:S34" si="10">R6/1000000</f>
        <v>6.5869999999999997</v>
      </c>
      <c r="T6" s="10">
        <f t="shared" ref="T6:T34" si="11">S6*3.07</f>
        <v>20.222089999999998</v>
      </c>
      <c r="U6" s="7">
        <f>'[3]Production Summary'!F7</f>
        <v>3493000</v>
      </c>
      <c r="V6" s="8">
        <f t="shared" ref="V6:V34" si="12">U6/1000000</f>
        <v>3.4929999999999999</v>
      </c>
      <c r="W6" s="10">
        <f t="shared" ref="W6:W34" si="13">V6*3.07</f>
        <v>10.723509999999999</v>
      </c>
      <c r="X6" s="7">
        <f>'[3]Production Summary'!AB7</f>
        <v>0</v>
      </c>
      <c r="Y6" s="8">
        <f t="shared" ref="Y6:Y34" si="14">X6/1000000</f>
        <v>0</v>
      </c>
      <c r="Z6" s="10">
        <f t="shared" ref="Z6:Z34" si="15">Y6*3.07</f>
        <v>0</v>
      </c>
      <c r="AA6" s="15"/>
      <c r="AB6" s="7">
        <f t="shared" ref="AB6:AD35" si="16">B6+O6</f>
        <v>11882000.000000183</v>
      </c>
      <c r="AC6" s="8">
        <f t="shared" si="16"/>
        <v>11.882000000000183</v>
      </c>
      <c r="AD6" s="8">
        <f t="shared" si="16"/>
        <v>36.477740000000558</v>
      </c>
    </row>
    <row r="7" spans="1:30" x14ac:dyDescent="0.15">
      <c r="A7" s="27">
        <v>43193</v>
      </c>
      <c r="B7" s="7">
        <f>'[3]Production Summary'!J8</f>
        <v>5400000.0000005458</v>
      </c>
      <c r="C7" s="8">
        <f t="shared" si="1"/>
        <v>5.4000000000005457</v>
      </c>
      <c r="D7" s="10">
        <f t="shared" si="2"/>
        <v>16.578000000001673</v>
      </c>
      <c r="E7" s="7">
        <f>'[3]Production Summary'!E8</f>
        <v>6000000</v>
      </c>
      <c r="F7" s="8">
        <f t="shared" si="3"/>
        <v>6</v>
      </c>
      <c r="G7" s="10">
        <f t="shared" si="4"/>
        <v>18.419999999999998</v>
      </c>
      <c r="H7" s="7">
        <f>'[3]Production Summary'!G8</f>
        <v>0</v>
      </c>
      <c r="I7" s="8">
        <f t="shared" si="0"/>
        <v>0</v>
      </c>
      <c r="J7" s="10">
        <f t="shared" si="5"/>
        <v>0</v>
      </c>
      <c r="K7" s="7">
        <f>'[3]Production Summary'!T8</f>
        <v>574819</v>
      </c>
      <c r="L7" s="8">
        <f t="shared" si="6"/>
        <v>0.57481899999999997</v>
      </c>
      <c r="M7" s="10">
        <f t="shared" si="7"/>
        <v>1.7646943299999998</v>
      </c>
      <c r="N7" s="21"/>
      <c r="O7" s="7">
        <f>'[3]Production Summary'!I8</f>
        <v>7389000</v>
      </c>
      <c r="P7" s="8">
        <f t="shared" si="8"/>
        <v>7.3890000000000002</v>
      </c>
      <c r="Q7" s="10">
        <f t="shared" si="9"/>
        <v>22.684229999999999</v>
      </c>
      <c r="R7" s="7">
        <f>'[3]Production Summary'!C8</f>
        <v>7392000</v>
      </c>
      <c r="S7" s="8">
        <f t="shared" si="10"/>
        <v>7.3920000000000003</v>
      </c>
      <c r="T7" s="10">
        <f t="shared" si="11"/>
        <v>22.693439999999999</v>
      </c>
      <c r="U7" s="7">
        <f>'[3]Production Summary'!F8</f>
        <v>3487000</v>
      </c>
      <c r="V7" s="8">
        <f t="shared" si="12"/>
        <v>3.4870000000000001</v>
      </c>
      <c r="W7" s="10">
        <f t="shared" si="13"/>
        <v>10.70509</v>
      </c>
      <c r="X7" s="7">
        <f>'[3]Production Summary'!AB8</f>
        <v>0</v>
      </c>
      <c r="Y7" s="8">
        <f t="shared" si="14"/>
        <v>0</v>
      </c>
      <c r="Z7" s="10">
        <f t="shared" si="15"/>
        <v>0</v>
      </c>
      <c r="AA7" s="15"/>
      <c r="AB7" s="7">
        <f t="shared" si="16"/>
        <v>12789000.000000546</v>
      </c>
      <c r="AC7" s="8">
        <f t="shared" si="16"/>
        <v>12.789000000000545</v>
      </c>
      <c r="AD7" s="8">
        <f t="shared" si="16"/>
        <v>39.262230000001672</v>
      </c>
    </row>
    <row r="8" spans="1:30" x14ac:dyDescent="0.15">
      <c r="A8" s="27">
        <v>43194</v>
      </c>
      <c r="B8" s="7">
        <f>'[3]Production Summary'!J9</f>
        <v>5199999.9999998184</v>
      </c>
      <c r="C8" s="8">
        <f t="shared" si="1"/>
        <v>5.1999999999998181</v>
      </c>
      <c r="D8" s="10">
        <f t="shared" si="2"/>
        <v>15.963999999999441</v>
      </c>
      <c r="E8" s="7">
        <f>'[3]Production Summary'!E9</f>
        <v>6000000</v>
      </c>
      <c r="F8" s="8">
        <f t="shared" si="3"/>
        <v>6</v>
      </c>
      <c r="G8" s="10">
        <f t="shared" si="4"/>
        <v>18.419999999999998</v>
      </c>
      <c r="H8" s="7">
        <f>'[3]Production Summary'!G9</f>
        <v>0</v>
      </c>
      <c r="I8" s="8">
        <f t="shared" si="0"/>
        <v>0</v>
      </c>
      <c r="J8" s="10">
        <f t="shared" si="5"/>
        <v>0</v>
      </c>
      <c r="K8" s="7">
        <f>'[3]Production Summary'!T9</f>
        <v>552485</v>
      </c>
      <c r="L8" s="8">
        <f t="shared" si="6"/>
        <v>0.552485</v>
      </c>
      <c r="M8" s="10">
        <f t="shared" si="7"/>
        <v>1.6961289499999999</v>
      </c>
      <c r="N8" s="21"/>
      <c r="O8" s="7">
        <f>'[3]Production Summary'!I9</f>
        <v>7947000</v>
      </c>
      <c r="P8" s="8">
        <f t="shared" si="8"/>
        <v>7.9470000000000001</v>
      </c>
      <c r="Q8" s="10">
        <f t="shared" si="9"/>
        <v>24.397289999999998</v>
      </c>
      <c r="R8" s="7">
        <f>'[3]Production Summary'!C9</f>
        <v>7955000</v>
      </c>
      <c r="S8" s="8">
        <f t="shared" ref="S8:S16" si="17">R8/1000000</f>
        <v>7.9550000000000001</v>
      </c>
      <c r="T8" s="10">
        <f t="shared" ref="T8:T16" si="18">S8*3.07</f>
        <v>24.421849999999999</v>
      </c>
      <c r="U8" s="7">
        <f>'[3]Production Summary'!F9</f>
        <v>3460000</v>
      </c>
      <c r="V8" s="8">
        <f t="shared" si="12"/>
        <v>3.46</v>
      </c>
      <c r="W8" s="10">
        <f t="shared" si="13"/>
        <v>10.622199999999999</v>
      </c>
      <c r="X8" s="7">
        <f>'[3]Production Summary'!AB9</f>
        <v>0</v>
      </c>
      <c r="Y8" s="8">
        <f t="shared" si="14"/>
        <v>0</v>
      </c>
      <c r="Z8" s="10">
        <f t="shared" si="15"/>
        <v>0</v>
      </c>
      <c r="AA8" s="15"/>
      <c r="AB8" s="7">
        <f t="shared" si="16"/>
        <v>13146999.999999817</v>
      </c>
      <c r="AC8" s="8">
        <f t="shared" si="16"/>
        <v>13.146999999999817</v>
      </c>
      <c r="AD8" s="8">
        <f>D8+Q8</f>
        <v>40.361289999999443</v>
      </c>
    </row>
    <row r="9" spans="1:30" x14ac:dyDescent="0.15">
      <c r="A9" s="27">
        <v>43195</v>
      </c>
      <c r="B9" s="7">
        <f>'[3]Production Summary'!J10</f>
        <v>5199999.9999998184</v>
      </c>
      <c r="C9" s="8">
        <f t="shared" si="1"/>
        <v>5.1999999999998181</v>
      </c>
      <c r="D9" s="10">
        <f t="shared" si="2"/>
        <v>15.963999999999441</v>
      </c>
      <c r="E9" s="7">
        <f>'[3]Production Summary'!E10</f>
        <v>6000000</v>
      </c>
      <c r="F9" s="8">
        <f t="shared" si="3"/>
        <v>6</v>
      </c>
      <c r="G9" s="10">
        <f t="shared" si="4"/>
        <v>18.419999999999998</v>
      </c>
      <c r="H9" s="7">
        <f>'[3]Production Summary'!G10</f>
        <v>0</v>
      </c>
      <c r="I9" s="8">
        <f t="shared" si="0"/>
        <v>0</v>
      </c>
      <c r="J9" s="10">
        <f t="shared" si="5"/>
        <v>0</v>
      </c>
      <c r="K9" s="7">
        <f>'[3]Production Summary'!T10</f>
        <v>564438</v>
      </c>
      <c r="L9" s="8">
        <f t="shared" si="6"/>
        <v>0.564438</v>
      </c>
      <c r="M9" s="10">
        <f t="shared" si="7"/>
        <v>1.7328246599999999</v>
      </c>
      <c r="N9" s="21"/>
      <c r="O9" s="7">
        <f>'[3]Production Summary'!I10</f>
        <v>7933000</v>
      </c>
      <c r="P9" s="8">
        <f t="shared" ref="P9:P13" si="19">O9/1000000</f>
        <v>7.9329999999999998</v>
      </c>
      <c r="Q9" s="10">
        <f t="shared" ref="Q9:Q13" si="20">P9*3.07</f>
        <v>24.354309999999998</v>
      </c>
      <c r="R9" s="7">
        <f>'[3]Production Summary'!C10</f>
        <v>7944000</v>
      </c>
      <c r="S9" s="8">
        <f t="shared" si="17"/>
        <v>7.944</v>
      </c>
      <c r="T9" s="10">
        <f t="shared" si="18"/>
        <v>24.388079999999999</v>
      </c>
      <c r="U9" s="7">
        <f>'[3]Production Summary'!F10</f>
        <v>3457000</v>
      </c>
      <c r="V9" s="8">
        <f t="shared" si="12"/>
        <v>3.4569999999999999</v>
      </c>
      <c r="W9" s="10">
        <f t="shared" si="13"/>
        <v>10.612989999999998</v>
      </c>
      <c r="X9" s="7">
        <f>'[3]Production Summary'!AB10</f>
        <v>0</v>
      </c>
      <c r="Y9" s="8">
        <f t="shared" si="14"/>
        <v>0</v>
      </c>
      <c r="Z9" s="10">
        <f t="shared" si="15"/>
        <v>0</v>
      </c>
      <c r="AA9" s="15"/>
      <c r="AB9" s="7">
        <f t="shared" si="16"/>
        <v>13132999.999999817</v>
      </c>
      <c r="AC9" s="8">
        <f t="shared" si="16"/>
        <v>13.132999999999818</v>
      </c>
      <c r="AD9" s="8">
        <f t="shared" si="16"/>
        <v>40.318309999999443</v>
      </c>
    </row>
    <row r="10" spans="1:30" x14ac:dyDescent="0.15">
      <c r="A10" s="27">
        <v>43196</v>
      </c>
      <c r="B10" s="7">
        <f>'[3]Production Summary'!J11</f>
        <v>6399999.9999996359</v>
      </c>
      <c r="C10" s="8">
        <f t="shared" si="1"/>
        <v>6.3999999999996362</v>
      </c>
      <c r="D10" s="10">
        <f t="shared" si="2"/>
        <v>19.647999999998881</v>
      </c>
      <c r="E10" s="7">
        <f>'[3]Production Summary'!E11</f>
        <v>6000000</v>
      </c>
      <c r="F10" s="8">
        <f t="shared" si="3"/>
        <v>6</v>
      </c>
      <c r="G10" s="10">
        <f t="shared" si="4"/>
        <v>18.419999999999998</v>
      </c>
      <c r="H10" s="7">
        <f>'[3]Production Summary'!G11</f>
        <v>10000</v>
      </c>
      <c r="I10" s="8">
        <f t="shared" si="0"/>
        <v>0.01</v>
      </c>
      <c r="J10" s="10">
        <f t="shared" si="5"/>
        <v>3.0699999999999998E-2</v>
      </c>
      <c r="K10" s="7">
        <f>'[3]Production Summary'!T11</f>
        <v>530878</v>
      </c>
      <c r="L10" s="8">
        <f t="shared" si="6"/>
        <v>0.53087799999999996</v>
      </c>
      <c r="M10" s="10">
        <f t="shared" si="7"/>
        <v>1.6297954599999998</v>
      </c>
      <c r="N10" s="21"/>
      <c r="O10" s="7">
        <f>'[3]Production Summary'!I11</f>
        <v>8110000</v>
      </c>
      <c r="P10" s="8">
        <f t="shared" si="19"/>
        <v>8.11</v>
      </c>
      <c r="Q10" s="10">
        <f t="shared" si="20"/>
        <v>24.897699999999997</v>
      </c>
      <c r="R10" s="7">
        <f>'[3]Production Summary'!C11</f>
        <v>8114000</v>
      </c>
      <c r="S10" s="8">
        <f t="shared" si="17"/>
        <v>8.1140000000000008</v>
      </c>
      <c r="T10" s="10">
        <f t="shared" si="18"/>
        <v>24.909980000000001</v>
      </c>
      <c r="U10" s="7">
        <f>'[3]Production Summary'!F11</f>
        <v>3529000</v>
      </c>
      <c r="V10" s="8">
        <f t="shared" si="12"/>
        <v>3.5289999999999999</v>
      </c>
      <c r="W10" s="10">
        <f t="shared" si="13"/>
        <v>10.834029999999998</v>
      </c>
      <c r="X10" s="7">
        <f>'[3]Production Summary'!AB11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14509999.999999635</v>
      </c>
      <c r="AC10" s="8">
        <f t="shared" si="16"/>
        <v>14.509999999999636</v>
      </c>
      <c r="AD10" s="8">
        <f t="shared" si="16"/>
        <v>44.545699999998874</v>
      </c>
    </row>
    <row r="11" spans="1:30" x14ac:dyDescent="0.15">
      <c r="A11" s="27">
        <v>43197</v>
      </c>
      <c r="B11" s="7">
        <f>'[3]Production Summary'!J12</f>
        <v>5300000.0000001816</v>
      </c>
      <c r="C11" s="8">
        <f t="shared" si="1"/>
        <v>5.3000000000001819</v>
      </c>
      <c r="D11" s="10">
        <f t="shared" si="2"/>
        <v>16.271000000000559</v>
      </c>
      <c r="E11" s="7">
        <f>'[3]Production Summary'!E12</f>
        <v>6000000</v>
      </c>
      <c r="F11" s="8">
        <f t="shared" si="3"/>
        <v>6</v>
      </c>
      <c r="G11" s="10">
        <f t="shared" si="4"/>
        <v>18.419999999999998</v>
      </c>
      <c r="H11" s="7">
        <f>'[3]Production Summary'!G12</f>
        <v>0</v>
      </c>
      <c r="I11" s="8">
        <f t="shared" si="0"/>
        <v>0</v>
      </c>
      <c r="J11" s="10">
        <f t="shared" si="5"/>
        <v>0</v>
      </c>
      <c r="K11" s="7">
        <f>'[3]Production Summary'!T12</f>
        <v>598890</v>
      </c>
      <c r="L11" s="8">
        <f t="shared" ref="L11:L12" si="21">K11/1000000</f>
        <v>0.59889000000000003</v>
      </c>
      <c r="M11" s="10">
        <f t="shared" ref="M11:M12" si="22">L11*3.07</f>
        <v>1.8385923</v>
      </c>
      <c r="N11" s="21"/>
      <c r="O11" s="7">
        <f>'[3]Production Summary'!I12</f>
        <v>7392000</v>
      </c>
      <c r="P11" s="8">
        <f t="shared" si="19"/>
        <v>7.3920000000000003</v>
      </c>
      <c r="Q11" s="10">
        <f t="shared" si="20"/>
        <v>22.693439999999999</v>
      </c>
      <c r="R11" s="7">
        <f>'[3]Production Summary'!C12</f>
        <v>7398000</v>
      </c>
      <c r="S11" s="8">
        <f t="shared" si="17"/>
        <v>7.3979999999999997</v>
      </c>
      <c r="T11" s="10">
        <f t="shared" si="18"/>
        <v>22.711859999999998</v>
      </c>
      <c r="U11" s="7">
        <f>'[3]Production Summary'!F12</f>
        <v>3469000</v>
      </c>
      <c r="V11" s="8">
        <f t="shared" si="12"/>
        <v>3.4689999999999999</v>
      </c>
      <c r="W11" s="10">
        <f t="shared" si="13"/>
        <v>10.64983</v>
      </c>
      <c r="X11" s="7">
        <f>'[3]Production Summary'!AB12</f>
        <v>0</v>
      </c>
      <c r="Y11" s="8">
        <f t="shared" si="14"/>
        <v>0</v>
      </c>
      <c r="Z11" s="10">
        <f t="shared" si="15"/>
        <v>0</v>
      </c>
      <c r="AA11" s="15"/>
      <c r="AB11" s="7">
        <f t="shared" si="16"/>
        <v>12692000.000000183</v>
      </c>
      <c r="AC11" s="8">
        <f t="shared" si="16"/>
        <v>12.692000000000181</v>
      </c>
      <c r="AD11" s="8">
        <f t="shared" si="16"/>
        <v>38.964440000000558</v>
      </c>
    </row>
    <row r="12" spans="1:30" x14ac:dyDescent="0.15">
      <c r="A12" s="27">
        <v>43198</v>
      </c>
      <c r="B12" s="7">
        <f>'[3]Production Summary'!J13</f>
        <v>5300000.0000001816</v>
      </c>
      <c r="C12" s="8">
        <f t="shared" si="1"/>
        <v>5.3000000000001819</v>
      </c>
      <c r="D12" s="10">
        <f t="shared" si="2"/>
        <v>16.271000000000559</v>
      </c>
      <c r="E12" s="7">
        <f>'[3]Production Summary'!E13</f>
        <v>6000000</v>
      </c>
      <c r="F12" s="8">
        <f t="shared" si="3"/>
        <v>6</v>
      </c>
      <c r="G12" s="10">
        <f t="shared" si="4"/>
        <v>18.419999999999998</v>
      </c>
      <c r="H12" s="7">
        <f>'[3]Production Summary'!G13</f>
        <v>0</v>
      </c>
      <c r="I12" s="8">
        <f t="shared" si="0"/>
        <v>0</v>
      </c>
      <c r="J12" s="10">
        <f t="shared" si="5"/>
        <v>0</v>
      </c>
      <c r="K12" s="7">
        <f>'[3]Production Summary'!T13</f>
        <v>484220</v>
      </c>
      <c r="L12" s="8">
        <f t="shared" si="21"/>
        <v>0.48421999999999998</v>
      </c>
      <c r="M12" s="10">
        <f t="shared" si="22"/>
        <v>1.4865553999999999</v>
      </c>
      <c r="N12" s="21"/>
      <c r="O12" s="7">
        <f>'[3]Production Summary'!I13</f>
        <v>7012000</v>
      </c>
      <c r="P12" s="8">
        <f t="shared" si="19"/>
        <v>7.0119999999999996</v>
      </c>
      <c r="Q12" s="10">
        <f t="shared" si="20"/>
        <v>21.526839999999996</v>
      </c>
      <c r="R12" s="7">
        <f>'[3]Production Summary'!C13</f>
        <v>7017000</v>
      </c>
      <c r="S12" s="8">
        <f t="shared" si="17"/>
        <v>7.0170000000000003</v>
      </c>
      <c r="T12" s="10">
        <f t="shared" si="18"/>
        <v>21.542190000000002</v>
      </c>
      <c r="U12" s="7">
        <f>'[3]Production Summary'!F13</f>
        <v>3482000</v>
      </c>
      <c r="V12" s="8">
        <f t="shared" si="12"/>
        <v>3.4820000000000002</v>
      </c>
      <c r="W12" s="10">
        <f t="shared" si="13"/>
        <v>10.68974</v>
      </c>
      <c r="X12" s="7">
        <f>'[3]Production Summary'!AB13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12312000.000000183</v>
      </c>
      <c r="AC12" s="8">
        <f t="shared" si="16"/>
        <v>12.312000000000182</v>
      </c>
      <c r="AD12" s="8">
        <f t="shared" si="16"/>
        <v>37.797840000000555</v>
      </c>
    </row>
    <row r="13" spans="1:30" x14ac:dyDescent="0.15">
      <c r="A13" s="27">
        <v>43199</v>
      </c>
      <c r="B13" s="7">
        <f>'[3]Production Summary'!J14</f>
        <v>7500000</v>
      </c>
      <c r="C13" s="8">
        <f t="shared" si="1"/>
        <v>7.5</v>
      </c>
      <c r="D13" s="10">
        <f t="shared" si="2"/>
        <v>23.024999999999999</v>
      </c>
      <c r="E13" s="7">
        <f>'[3]Production Summary'!E14</f>
        <v>6000000</v>
      </c>
      <c r="F13" s="8">
        <f t="shared" si="3"/>
        <v>6</v>
      </c>
      <c r="G13" s="10">
        <f t="shared" si="4"/>
        <v>18.419999999999998</v>
      </c>
      <c r="H13" s="7">
        <f>'[3]Production Summary'!G14</f>
        <v>3310000</v>
      </c>
      <c r="I13" s="8">
        <f t="shared" si="0"/>
        <v>3.31</v>
      </c>
      <c r="J13" s="10">
        <f t="shared" si="5"/>
        <v>10.1617</v>
      </c>
      <c r="K13" s="7">
        <f>'[3]Production Summary'!T14</f>
        <v>844977</v>
      </c>
      <c r="L13" s="8">
        <f t="shared" si="6"/>
        <v>0.84497699999999998</v>
      </c>
      <c r="M13" s="10">
        <f t="shared" si="7"/>
        <v>2.5940793899999997</v>
      </c>
      <c r="N13" s="21"/>
      <c r="O13" s="7">
        <f>'[3]Production Summary'!I14</f>
        <v>2952000</v>
      </c>
      <c r="P13" s="8">
        <f t="shared" si="19"/>
        <v>2.952</v>
      </c>
      <c r="Q13" s="10">
        <f t="shared" si="20"/>
        <v>9.06264</v>
      </c>
      <c r="R13" s="7">
        <f>'[3]Production Summary'!C14</f>
        <v>2954000</v>
      </c>
      <c r="S13" s="8">
        <f t="shared" si="17"/>
        <v>2.9540000000000002</v>
      </c>
      <c r="T13" s="10">
        <f t="shared" si="18"/>
        <v>9.0687800000000003</v>
      </c>
      <c r="U13" s="7">
        <f>'[3]Production Summary'!F14</f>
        <v>3424000</v>
      </c>
      <c r="V13" s="8">
        <f t="shared" si="12"/>
        <v>3.4239999999999999</v>
      </c>
      <c r="W13" s="10">
        <f t="shared" si="13"/>
        <v>10.511679999999998</v>
      </c>
      <c r="X13" s="7">
        <f>'[3]Production Summary'!AB14</f>
        <v>0</v>
      </c>
      <c r="Y13" s="8">
        <f t="shared" si="14"/>
        <v>0</v>
      </c>
      <c r="Z13" s="10">
        <f t="shared" si="15"/>
        <v>0</v>
      </c>
      <c r="AA13" s="15"/>
      <c r="AB13" s="7">
        <f t="shared" si="16"/>
        <v>10452000</v>
      </c>
      <c r="AC13" s="8">
        <f t="shared" si="16"/>
        <v>10.452</v>
      </c>
      <c r="AD13" s="8">
        <f t="shared" si="16"/>
        <v>32.08764</v>
      </c>
    </row>
    <row r="14" spans="1:30" x14ac:dyDescent="0.15">
      <c r="A14" s="27">
        <v>43200</v>
      </c>
      <c r="B14" s="7">
        <f>'[3]Production Summary'!J15</f>
        <v>13399999.999999637</v>
      </c>
      <c r="C14" s="8">
        <f t="shared" si="1"/>
        <v>13.399999999999636</v>
      </c>
      <c r="D14" s="10">
        <f t="shared" si="2"/>
        <v>41.137999999998883</v>
      </c>
      <c r="E14" s="7">
        <f>'[3]Production Summary'!E15</f>
        <v>8000000</v>
      </c>
      <c r="F14" s="8">
        <f t="shared" si="3"/>
        <v>8</v>
      </c>
      <c r="G14" s="10">
        <f t="shared" si="4"/>
        <v>24.56</v>
      </c>
      <c r="H14" s="7">
        <f>'[3]Production Summary'!G15</f>
        <v>7020000</v>
      </c>
      <c r="I14" s="8">
        <f t="shared" si="0"/>
        <v>7.02</v>
      </c>
      <c r="J14" s="10">
        <f t="shared" si="5"/>
        <v>21.551399999999997</v>
      </c>
      <c r="K14" s="7">
        <f>'[3]Production Summary'!T15</f>
        <v>1309554</v>
      </c>
      <c r="L14" s="8">
        <f t="shared" si="6"/>
        <v>1.3095540000000001</v>
      </c>
      <c r="M14" s="10">
        <f t="shared" si="7"/>
        <v>4.0203307800000001</v>
      </c>
      <c r="N14" s="21"/>
      <c r="O14" s="7">
        <f>'[3]Production Summary'!I15</f>
        <v>0</v>
      </c>
      <c r="P14" s="8">
        <f t="shared" si="8"/>
        <v>0</v>
      </c>
      <c r="Q14" s="10">
        <f t="shared" si="9"/>
        <v>0</v>
      </c>
      <c r="R14" s="7">
        <f>'[3]Production Summary'!C15</f>
        <v>62000</v>
      </c>
      <c r="S14" s="8">
        <f t="shared" si="17"/>
        <v>6.2E-2</v>
      </c>
      <c r="T14" s="10">
        <f t="shared" si="18"/>
        <v>0.19033999999999998</v>
      </c>
      <c r="U14" s="7">
        <f>'[3]Production Summary'!F15</f>
        <v>3371000</v>
      </c>
      <c r="V14" s="8">
        <f t="shared" si="12"/>
        <v>3.371</v>
      </c>
      <c r="W14" s="10">
        <f t="shared" si="13"/>
        <v>10.34897</v>
      </c>
      <c r="X14" s="7">
        <f>'[3]Production Summary'!AB15</f>
        <v>0</v>
      </c>
      <c r="Y14" s="8">
        <f t="shared" si="14"/>
        <v>0</v>
      </c>
      <c r="Z14" s="10">
        <f t="shared" si="15"/>
        <v>0</v>
      </c>
      <c r="AA14" s="15"/>
      <c r="AB14" s="7">
        <f t="shared" si="16"/>
        <v>13399999.999999637</v>
      </c>
      <c r="AC14" s="8">
        <f t="shared" si="16"/>
        <v>13.399999999999636</v>
      </c>
      <c r="AD14" s="8">
        <f t="shared" si="16"/>
        <v>41.137999999998883</v>
      </c>
    </row>
    <row r="15" spans="1:30" x14ac:dyDescent="0.15">
      <c r="A15" s="27">
        <v>43201</v>
      </c>
      <c r="B15" s="7">
        <f>'[3]Production Summary'!J16</f>
        <v>15600000.000000363</v>
      </c>
      <c r="C15" s="8">
        <f t="shared" si="1"/>
        <v>15.600000000000364</v>
      </c>
      <c r="D15" s="10">
        <f t="shared" si="2"/>
        <v>47.892000000001111</v>
      </c>
      <c r="E15" s="7">
        <f>'[3]Production Summary'!E16</f>
        <v>8000000</v>
      </c>
      <c r="F15" s="8">
        <f t="shared" si="3"/>
        <v>8</v>
      </c>
      <c r="G15" s="10">
        <f t="shared" si="4"/>
        <v>24.56</v>
      </c>
      <c r="H15" s="7">
        <f>'[3]Production Summary'!G16</f>
        <v>8590000</v>
      </c>
      <c r="I15" s="8">
        <f t="shared" si="0"/>
        <v>8.59</v>
      </c>
      <c r="J15" s="10">
        <f t="shared" si="5"/>
        <v>26.371299999999998</v>
      </c>
      <c r="K15" s="7">
        <f>'[3]Production Summary'!T16</f>
        <v>1519616</v>
      </c>
      <c r="L15" s="8">
        <f t="shared" si="6"/>
        <v>1.5196160000000001</v>
      </c>
      <c r="M15" s="10">
        <f t="shared" si="7"/>
        <v>4.66522112</v>
      </c>
      <c r="N15" s="21"/>
      <c r="O15" s="7">
        <f>'[3]Production Summary'!I16</f>
        <v>0</v>
      </c>
      <c r="P15" s="8">
        <f t="shared" si="8"/>
        <v>0</v>
      </c>
      <c r="Q15" s="10">
        <f t="shared" si="9"/>
        <v>0</v>
      </c>
      <c r="R15" s="7">
        <f>'[3]Production Summary'!C16</f>
        <v>0</v>
      </c>
      <c r="S15" s="8">
        <f t="shared" si="17"/>
        <v>0</v>
      </c>
      <c r="T15" s="10">
        <f t="shared" si="18"/>
        <v>0</v>
      </c>
      <c r="U15" s="7">
        <f>'[3]Production Summary'!F16</f>
        <v>3256000</v>
      </c>
      <c r="V15" s="8">
        <f t="shared" si="12"/>
        <v>3.2559999999999998</v>
      </c>
      <c r="W15" s="10">
        <f t="shared" si="13"/>
        <v>9.9959199999999981</v>
      </c>
      <c r="X15" s="7">
        <f>'[3]Production Summary'!AB16</f>
        <v>0</v>
      </c>
      <c r="Y15" s="8">
        <f t="shared" si="14"/>
        <v>0</v>
      </c>
      <c r="Z15" s="10">
        <f t="shared" si="15"/>
        <v>0</v>
      </c>
      <c r="AA15" s="15"/>
      <c r="AB15" s="7">
        <f t="shared" si="16"/>
        <v>15600000.000000363</v>
      </c>
      <c r="AC15" s="8">
        <f t="shared" si="16"/>
        <v>15.600000000000364</v>
      </c>
      <c r="AD15" s="8">
        <f t="shared" si="16"/>
        <v>47.892000000001111</v>
      </c>
    </row>
    <row r="16" spans="1:30" x14ac:dyDescent="0.15">
      <c r="A16" s="27">
        <v>43202</v>
      </c>
      <c r="B16" s="7">
        <f>'[3]Production Summary'!J17</f>
        <v>16199999.999999817</v>
      </c>
      <c r="C16" s="8">
        <f t="shared" si="1"/>
        <v>16.199999999999818</v>
      </c>
      <c r="D16" s="10">
        <f t="shared" si="2"/>
        <v>49.73399999999944</v>
      </c>
      <c r="E16" s="7">
        <f>'[3]Production Summary'!E17</f>
        <v>8000000</v>
      </c>
      <c r="F16" s="8">
        <f t="shared" si="3"/>
        <v>8</v>
      </c>
      <c r="G16" s="10">
        <f t="shared" si="4"/>
        <v>24.56</v>
      </c>
      <c r="H16" s="7">
        <f>'[3]Production Summary'!G17</f>
        <v>9990000</v>
      </c>
      <c r="I16" s="8">
        <f t="shared" si="0"/>
        <v>9.99</v>
      </c>
      <c r="J16" s="10">
        <f t="shared" si="5"/>
        <v>30.6693</v>
      </c>
      <c r="K16" s="7">
        <f>'[3]Production Summary'!T17</f>
        <v>1588878</v>
      </c>
      <c r="L16" s="8">
        <f t="shared" si="6"/>
        <v>1.588878</v>
      </c>
      <c r="M16" s="10">
        <f t="shared" si="7"/>
        <v>4.8778554600000001</v>
      </c>
      <c r="N16" s="21"/>
      <c r="O16" s="7">
        <f>'[3]Production Summary'!I17</f>
        <v>0</v>
      </c>
      <c r="P16" s="8">
        <f t="shared" si="8"/>
        <v>0</v>
      </c>
      <c r="Q16" s="10">
        <f t="shared" si="9"/>
        <v>0</v>
      </c>
      <c r="R16" s="7">
        <f>'[3]Production Summary'!C17</f>
        <v>0</v>
      </c>
      <c r="S16" s="8">
        <f t="shared" si="17"/>
        <v>0</v>
      </c>
      <c r="T16" s="10">
        <f t="shared" si="18"/>
        <v>0</v>
      </c>
      <c r="U16" s="7">
        <f>'[3]Production Summary'!F17</f>
        <v>3499000</v>
      </c>
      <c r="V16" s="8">
        <f t="shared" si="12"/>
        <v>3.4990000000000001</v>
      </c>
      <c r="W16" s="10">
        <f t="shared" si="13"/>
        <v>10.74193</v>
      </c>
      <c r="X16" s="7">
        <f>'[3]Production Summary'!AB17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16199999.999999817</v>
      </c>
      <c r="AC16" s="8">
        <f t="shared" si="16"/>
        <v>16.199999999999818</v>
      </c>
      <c r="AD16" s="8">
        <f t="shared" si="16"/>
        <v>49.73399999999944</v>
      </c>
    </row>
    <row r="17" spans="1:30" x14ac:dyDescent="0.15">
      <c r="A17" s="27">
        <v>43203</v>
      </c>
      <c r="B17" s="7">
        <f>'[3]Production Summary'!J18</f>
        <v>12600000.000000363</v>
      </c>
      <c r="C17" s="8">
        <f t="shared" si="1"/>
        <v>12.600000000000364</v>
      </c>
      <c r="D17" s="10">
        <f t="shared" si="2"/>
        <v>38.682000000001118</v>
      </c>
      <c r="E17" s="7">
        <f>'[3]Production Summary'!E18</f>
        <v>8000000</v>
      </c>
      <c r="F17" s="8">
        <f t="shared" si="3"/>
        <v>8</v>
      </c>
      <c r="G17" s="10">
        <f t="shared" si="4"/>
        <v>24.56</v>
      </c>
      <c r="H17" s="7">
        <f>'[3]Production Summary'!G18</f>
        <v>6660000</v>
      </c>
      <c r="I17" s="8">
        <f t="shared" si="0"/>
        <v>6.66</v>
      </c>
      <c r="J17" s="10">
        <f t="shared" si="5"/>
        <v>20.446200000000001</v>
      </c>
      <c r="K17" s="7">
        <f>'[3]Production Summary'!T18</f>
        <v>1303972</v>
      </c>
      <c r="L17" s="8">
        <f t="shared" si="6"/>
        <v>1.3039719999999999</v>
      </c>
      <c r="M17" s="10">
        <f t="shared" si="7"/>
        <v>4.0031940399999995</v>
      </c>
      <c r="N17" s="21"/>
      <c r="O17" s="7">
        <f>'[3]Production Summary'!I18</f>
        <v>0</v>
      </c>
      <c r="P17" s="8">
        <f t="shared" si="8"/>
        <v>0</v>
      </c>
      <c r="Q17" s="10">
        <f t="shared" si="9"/>
        <v>0</v>
      </c>
      <c r="R17" s="7">
        <f>'[3]Production Summary'!C18</f>
        <v>0</v>
      </c>
      <c r="S17" s="8">
        <f t="shared" si="10"/>
        <v>0</v>
      </c>
      <c r="T17" s="10">
        <f t="shared" si="11"/>
        <v>0</v>
      </c>
      <c r="U17" s="7">
        <f>'[3]Production Summary'!F18</f>
        <v>3533000</v>
      </c>
      <c r="V17" s="8">
        <f t="shared" si="12"/>
        <v>3.5329999999999999</v>
      </c>
      <c r="W17" s="10">
        <f t="shared" si="13"/>
        <v>10.846309999999999</v>
      </c>
      <c r="X17" s="7">
        <f>'[3]Production Summary'!AB18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12600000.000000363</v>
      </c>
      <c r="AC17" s="8">
        <f t="shared" si="16"/>
        <v>12.600000000000364</v>
      </c>
      <c r="AD17" s="8">
        <f t="shared" si="16"/>
        <v>38.682000000001118</v>
      </c>
    </row>
    <row r="18" spans="1:30" x14ac:dyDescent="0.15">
      <c r="A18" s="27">
        <v>43204</v>
      </c>
      <c r="B18" s="7">
        <f>'[3]Production Summary'!J19</f>
        <v>11599999.999999454</v>
      </c>
      <c r="C18" s="8">
        <f t="shared" si="1"/>
        <v>11.599999999999454</v>
      </c>
      <c r="D18" s="10">
        <f t="shared" si="2"/>
        <v>35.611999999998325</v>
      </c>
      <c r="E18" s="7">
        <f>'[3]Production Summary'!E19</f>
        <v>8000000</v>
      </c>
      <c r="F18" s="8">
        <f t="shared" si="3"/>
        <v>8</v>
      </c>
      <c r="G18" s="10">
        <f t="shared" si="4"/>
        <v>24.56</v>
      </c>
      <c r="H18" s="7">
        <f>'[3]Production Summary'!G19</f>
        <v>4970000</v>
      </c>
      <c r="I18" s="8">
        <f t="shared" si="0"/>
        <v>4.97</v>
      </c>
      <c r="J18" s="10">
        <f t="shared" si="5"/>
        <v>15.257899999999998</v>
      </c>
      <c r="K18" s="7">
        <f>'[3]Production Summary'!T19</f>
        <v>1157935</v>
      </c>
      <c r="L18" s="8">
        <f t="shared" si="6"/>
        <v>1.1579349999999999</v>
      </c>
      <c r="M18" s="10">
        <f t="shared" si="7"/>
        <v>3.5548604499999996</v>
      </c>
      <c r="N18" s="21"/>
      <c r="O18" s="7">
        <f>'[3]Production Summary'!I19</f>
        <v>0</v>
      </c>
      <c r="P18" s="8">
        <f t="shared" si="8"/>
        <v>0</v>
      </c>
      <c r="Q18" s="10">
        <f t="shared" si="9"/>
        <v>0</v>
      </c>
      <c r="R18" s="7">
        <f>'[3]Production Summary'!C19</f>
        <v>0</v>
      </c>
      <c r="S18" s="8">
        <f t="shared" si="10"/>
        <v>0</v>
      </c>
      <c r="T18" s="10">
        <f t="shared" si="11"/>
        <v>0</v>
      </c>
      <c r="U18" s="7">
        <f>'[3]Production Summary'!F19</f>
        <v>3478000</v>
      </c>
      <c r="V18" s="8">
        <f t="shared" si="12"/>
        <v>3.4780000000000002</v>
      </c>
      <c r="W18" s="10">
        <f t="shared" si="13"/>
        <v>10.67746</v>
      </c>
      <c r="X18" s="7">
        <f>'[3]Production Summary'!AB19</f>
        <v>0</v>
      </c>
      <c r="Y18" s="8">
        <f t="shared" si="14"/>
        <v>0</v>
      </c>
      <c r="Z18" s="10">
        <f t="shared" si="15"/>
        <v>0</v>
      </c>
      <c r="AA18" s="15"/>
      <c r="AB18" s="7">
        <f t="shared" si="16"/>
        <v>11599999.999999454</v>
      </c>
      <c r="AC18" s="8">
        <f t="shared" si="16"/>
        <v>11.599999999999454</v>
      </c>
      <c r="AD18" s="8">
        <f t="shared" si="16"/>
        <v>35.611999999998325</v>
      </c>
    </row>
    <row r="19" spans="1:30" x14ac:dyDescent="0.15">
      <c r="A19" s="27">
        <v>43205</v>
      </c>
      <c r="B19" s="7">
        <f>'[3]Production Summary'!J20</f>
        <v>13800000.000000183</v>
      </c>
      <c r="C19" s="8">
        <f t="shared" si="1"/>
        <v>13.800000000000182</v>
      </c>
      <c r="D19" s="10">
        <f t="shared" si="2"/>
        <v>42.366000000000554</v>
      </c>
      <c r="E19" s="7">
        <f>'[3]Production Summary'!E20</f>
        <v>8000000</v>
      </c>
      <c r="F19" s="8">
        <f t="shared" si="3"/>
        <v>8</v>
      </c>
      <c r="G19" s="10">
        <f t="shared" si="4"/>
        <v>24.56</v>
      </c>
      <c r="H19" s="7">
        <f>'[3]Production Summary'!G20</f>
        <v>5870000</v>
      </c>
      <c r="I19" s="8">
        <f t="shared" si="0"/>
        <v>5.87</v>
      </c>
      <c r="J19" s="10">
        <f t="shared" si="5"/>
        <v>18.020900000000001</v>
      </c>
      <c r="K19" s="7">
        <f>'[3]Production Summary'!T20</f>
        <v>1150846</v>
      </c>
      <c r="L19" s="8">
        <f t="shared" si="6"/>
        <v>1.150846</v>
      </c>
      <c r="M19" s="10">
        <f t="shared" si="7"/>
        <v>3.5330972199999997</v>
      </c>
      <c r="N19" s="21"/>
      <c r="O19" s="7">
        <f>'[3]Production Summary'!I20</f>
        <v>0</v>
      </c>
      <c r="P19" s="8">
        <f t="shared" si="8"/>
        <v>0</v>
      </c>
      <c r="Q19" s="10">
        <f t="shared" si="9"/>
        <v>0</v>
      </c>
      <c r="R19" s="7">
        <f>'[3]Production Summary'!C20</f>
        <v>0</v>
      </c>
      <c r="S19" s="8">
        <f t="shared" si="10"/>
        <v>0</v>
      </c>
      <c r="T19" s="10">
        <f t="shared" si="11"/>
        <v>0</v>
      </c>
      <c r="U19" s="7">
        <f>'[3]Production Summary'!F20</f>
        <v>3495000</v>
      </c>
      <c r="V19" s="8">
        <f t="shared" si="12"/>
        <v>3.4950000000000001</v>
      </c>
      <c r="W19" s="10">
        <f t="shared" si="13"/>
        <v>10.729649999999999</v>
      </c>
      <c r="X19" s="7">
        <f>'[3]Production Summary'!AB20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6"/>
        <v>13800000.000000183</v>
      </c>
      <c r="AC19" s="8">
        <f t="shared" si="16"/>
        <v>13.800000000000182</v>
      </c>
      <c r="AD19" s="8">
        <f>D19+Q19</f>
        <v>42.366000000000554</v>
      </c>
    </row>
    <row r="20" spans="1:30" x14ac:dyDescent="0.15">
      <c r="A20" s="27">
        <v>43206</v>
      </c>
      <c r="B20" s="7">
        <f>'[3]Production Summary'!J21</f>
        <v>15000000</v>
      </c>
      <c r="C20" s="8">
        <f t="shared" si="1"/>
        <v>15</v>
      </c>
      <c r="D20" s="10">
        <f t="shared" si="2"/>
        <v>46.05</v>
      </c>
      <c r="E20" s="7">
        <f>'[3]Production Summary'!E21</f>
        <v>8000000</v>
      </c>
      <c r="F20" s="8">
        <f t="shared" si="3"/>
        <v>8</v>
      </c>
      <c r="G20" s="10">
        <f t="shared" si="4"/>
        <v>24.56</v>
      </c>
      <c r="H20" s="7">
        <f>'[3]Production Summary'!G21</f>
        <v>8920000</v>
      </c>
      <c r="I20" s="8">
        <f t="shared" si="0"/>
        <v>8.92</v>
      </c>
      <c r="J20" s="10">
        <f t="shared" si="5"/>
        <v>27.384399999999999</v>
      </c>
      <c r="K20" s="7">
        <f>'[3]Production Summary'!T21</f>
        <v>1595367</v>
      </c>
      <c r="L20" s="8">
        <f t="shared" si="6"/>
        <v>1.595367</v>
      </c>
      <c r="M20" s="10">
        <f t="shared" si="7"/>
        <v>4.8977766899999997</v>
      </c>
      <c r="N20" s="21"/>
      <c r="O20" s="7">
        <f>'[3]Production Summary'!I21</f>
        <v>0</v>
      </c>
      <c r="P20" s="8">
        <f t="shared" si="8"/>
        <v>0</v>
      </c>
      <c r="Q20" s="10">
        <f t="shared" si="9"/>
        <v>0</v>
      </c>
      <c r="R20" s="7">
        <f>'[3]Production Summary'!C21</f>
        <v>0</v>
      </c>
      <c r="S20" s="8">
        <f t="shared" si="10"/>
        <v>0</v>
      </c>
      <c r="T20" s="10">
        <f t="shared" si="11"/>
        <v>0</v>
      </c>
      <c r="U20" s="7">
        <f>'[3]Production Summary'!F21</f>
        <v>3457000</v>
      </c>
      <c r="V20" s="8">
        <f t="shared" si="12"/>
        <v>3.4569999999999999</v>
      </c>
      <c r="W20" s="10">
        <f t="shared" si="13"/>
        <v>10.612989999999998</v>
      </c>
      <c r="X20" s="7">
        <f>'[3]Production Summary'!AB21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15000000</v>
      </c>
      <c r="AC20" s="8">
        <f t="shared" si="16"/>
        <v>15</v>
      </c>
      <c r="AD20" s="8">
        <f t="shared" si="16"/>
        <v>46.05</v>
      </c>
    </row>
    <row r="21" spans="1:30" x14ac:dyDescent="0.15">
      <c r="A21" s="27">
        <v>43207</v>
      </c>
      <c r="B21" s="7">
        <f>'[3]Production Summary'!J22</f>
        <v>16199999.999999817</v>
      </c>
      <c r="C21" s="8">
        <f t="shared" si="1"/>
        <v>16.199999999999818</v>
      </c>
      <c r="D21" s="10">
        <f t="shared" si="2"/>
        <v>49.73399999999944</v>
      </c>
      <c r="E21" s="7">
        <f>'[3]Production Summary'!E22</f>
        <v>7000000</v>
      </c>
      <c r="F21" s="8">
        <f t="shared" si="3"/>
        <v>7</v>
      </c>
      <c r="G21" s="10">
        <f t="shared" si="4"/>
        <v>21.49</v>
      </c>
      <c r="H21" s="7">
        <f>'[3]Production Summary'!G22</f>
        <v>9620000</v>
      </c>
      <c r="I21" s="8">
        <f t="shared" si="0"/>
        <v>9.6199999999999992</v>
      </c>
      <c r="J21" s="10">
        <f t="shared" si="5"/>
        <v>29.533399999999997</v>
      </c>
      <c r="K21" s="7">
        <f>'[3]Production Summary'!T22</f>
        <v>1429998</v>
      </c>
      <c r="L21" s="8">
        <f t="shared" si="6"/>
        <v>1.4299980000000001</v>
      </c>
      <c r="M21" s="10">
        <f t="shared" si="7"/>
        <v>4.3900938600000003</v>
      </c>
      <c r="N21" s="21"/>
      <c r="O21" s="7">
        <f>'[3]Production Summary'!I22</f>
        <v>0</v>
      </c>
      <c r="P21" s="8">
        <f t="shared" si="8"/>
        <v>0</v>
      </c>
      <c r="Q21" s="10">
        <f t="shared" si="9"/>
        <v>0</v>
      </c>
      <c r="R21" s="7">
        <f>'[3]Production Summary'!C22</f>
        <v>0</v>
      </c>
      <c r="S21" s="8">
        <f t="shared" si="10"/>
        <v>0</v>
      </c>
      <c r="T21" s="10">
        <f t="shared" si="11"/>
        <v>0</v>
      </c>
      <c r="U21" s="7">
        <f>'[3]Production Summary'!F22</f>
        <v>4091000</v>
      </c>
      <c r="V21" s="8">
        <f t="shared" si="12"/>
        <v>4.0910000000000002</v>
      </c>
      <c r="W21" s="10">
        <f t="shared" si="13"/>
        <v>12.559369999999999</v>
      </c>
      <c r="X21" s="7">
        <f>'[3]Production Summary'!AB22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16199999.999999817</v>
      </c>
      <c r="AC21" s="8">
        <f t="shared" si="16"/>
        <v>16.199999999999818</v>
      </c>
      <c r="AD21" s="8">
        <f t="shared" si="16"/>
        <v>49.73399999999944</v>
      </c>
    </row>
    <row r="22" spans="1:30" x14ac:dyDescent="0.15">
      <c r="A22" s="27">
        <v>43208</v>
      </c>
      <c r="B22" s="7">
        <f>'[3]Production Summary'!J23</f>
        <v>17800000.000000183</v>
      </c>
      <c r="C22" s="8">
        <f t="shared" si="1"/>
        <v>17.800000000000182</v>
      </c>
      <c r="D22" s="10">
        <f t="shared" si="2"/>
        <v>54.646000000000555</v>
      </c>
      <c r="E22" s="7">
        <f>'[3]Production Summary'!E23</f>
        <v>9000000</v>
      </c>
      <c r="F22" s="8">
        <f t="shared" si="3"/>
        <v>9</v>
      </c>
      <c r="G22" s="10">
        <f t="shared" si="4"/>
        <v>27.63</v>
      </c>
      <c r="H22" s="7">
        <f>'[3]Production Summary'!G23</f>
        <v>12210000</v>
      </c>
      <c r="I22" s="8">
        <f t="shared" si="0"/>
        <v>12.21</v>
      </c>
      <c r="J22" s="10">
        <f t="shared" si="5"/>
        <v>37.484700000000004</v>
      </c>
      <c r="K22" s="7">
        <f>'[3]Production Summary'!T23</f>
        <v>2012974</v>
      </c>
      <c r="L22" s="8">
        <f t="shared" si="6"/>
        <v>2.0129739999999998</v>
      </c>
      <c r="M22" s="10">
        <f t="shared" si="7"/>
        <v>6.1798301799999988</v>
      </c>
      <c r="N22" s="21"/>
      <c r="O22" s="7">
        <f>'[3]Production Summary'!I23</f>
        <v>0</v>
      </c>
      <c r="P22" s="8">
        <f t="shared" si="8"/>
        <v>0</v>
      </c>
      <c r="Q22" s="10">
        <f t="shared" si="9"/>
        <v>0</v>
      </c>
      <c r="R22" s="7">
        <f>'[3]Production Summary'!C23</f>
        <v>0</v>
      </c>
      <c r="S22" s="8">
        <f t="shared" si="10"/>
        <v>0</v>
      </c>
      <c r="T22" s="10">
        <f t="shared" si="11"/>
        <v>0</v>
      </c>
      <c r="U22" s="7">
        <f>'[3]Production Summary'!F23</f>
        <v>5676000</v>
      </c>
      <c r="V22" s="8">
        <f t="shared" si="12"/>
        <v>5.6760000000000002</v>
      </c>
      <c r="W22" s="10">
        <f t="shared" si="13"/>
        <v>17.425319999999999</v>
      </c>
      <c r="X22" s="7">
        <f>'[3]Production Summary'!AB23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17800000.000000183</v>
      </c>
      <c r="AC22" s="8">
        <f t="shared" si="16"/>
        <v>17.800000000000182</v>
      </c>
      <c r="AD22" s="8">
        <f t="shared" si="16"/>
        <v>54.646000000000555</v>
      </c>
    </row>
    <row r="23" spans="1:30" x14ac:dyDescent="0.15">
      <c r="A23" s="27">
        <v>43209</v>
      </c>
      <c r="B23" s="7">
        <f>'[3]Production Summary'!J24</f>
        <v>12800000.000000183</v>
      </c>
      <c r="C23" s="8">
        <f t="shared" si="1"/>
        <v>12.800000000000182</v>
      </c>
      <c r="D23" s="10">
        <f t="shared" si="2"/>
        <v>39.296000000000554</v>
      </c>
      <c r="E23" s="7">
        <f>'[3]Production Summary'!E24</f>
        <v>8000000</v>
      </c>
      <c r="F23" s="8">
        <f t="shared" si="3"/>
        <v>8</v>
      </c>
      <c r="G23" s="10">
        <f t="shared" si="4"/>
        <v>24.56</v>
      </c>
      <c r="H23" s="7">
        <f>'[3]Production Summary'!G24</f>
        <v>5660000</v>
      </c>
      <c r="I23" s="8">
        <f t="shared" si="0"/>
        <v>5.66</v>
      </c>
      <c r="J23" s="10">
        <f t="shared" si="5"/>
        <v>17.376200000000001</v>
      </c>
      <c r="K23" s="7">
        <f>'[3]Production Summary'!T24</f>
        <v>1199194</v>
      </c>
      <c r="L23" s="8">
        <f t="shared" si="6"/>
        <v>1.1991940000000001</v>
      </c>
      <c r="M23" s="10">
        <f t="shared" si="7"/>
        <v>3.6815255800000002</v>
      </c>
      <c r="N23" s="21"/>
      <c r="O23" s="7">
        <f>'[3]Production Summary'!I24</f>
        <v>0</v>
      </c>
      <c r="P23" s="8">
        <f t="shared" si="8"/>
        <v>0</v>
      </c>
      <c r="Q23" s="10">
        <f t="shared" si="9"/>
        <v>0</v>
      </c>
      <c r="R23" s="7">
        <f>'[3]Production Summary'!C24</f>
        <v>0</v>
      </c>
      <c r="S23" s="8">
        <f t="shared" si="10"/>
        <v>0</v>
      </c>
      <c r="T23" s="10">
        <f t="shared" si="11"/>
        <v>0</v>
      </c>
      <c r="U23" s="7">
        <f>'[3]Production Summary'!F24</f>
        <v>3485000</v>
      </c>
      <c r="V23" s="8">
        <f t="shared" si="12"/>
        <v>3.4849999999999999</v>
      </c>
      <c r="W23" s="10">
        <f t="shared" si="13"/>
        <v>10.698949999999998</v>
      </c>
      <c r="X23" s="7">
        <f>'[3]Production Summary'!AB24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12800000.000000183</v>
      </c>
      <c r="AC23" s="8">
        <f t="shared" si="16"/>
        <v>12.800000000000182</v>
      </c>
      <c r="AD23" s="8">
        <f t="shared" si="16"/>
        <v>39.296000000000554</v>
      </c>
    </row>
    <row r="24" spans="1:30" x14ac:dyDescent="0.15">
      <c r="A24" s="27">
        <v>43210</v>
      </c>
      <c r="B24" s="7">
        <f>'[3]Production Summary'!J25</f>
        <v>16800000.000000183</v>
      </c>
      <c r="C24" s="8">
        <f t="shared" si="1"/>
        <v>16.800000000000182</v>
      </c>
      <c r="D24" s="10">
        <f t="shared" si="2"/>
        <v>51.576000000000555</v>
      </c>
      <c r="E24" s="7">
        <f>'[3]Production Summary'!E25</f>
        <v>8000000</v>
      </c>
      <c r="F24" s="8">
        <f t="shared" si="3"/>
        <v>8</v>
      </c>
      <c r="G24" s="10">
        <f t="shared" si="4"/>
        <v>24.56</v>
      </c>
      <c r="H24" s="7">
        <f>'[3]Production Summary'!G25</f>
        <v>10140000</v>
      </c>
      <c r="I24" s="8">
        <f t="shared" si="0"/>
        <v>10.14</v>
      </c>
      <c r="J24" s="10">
        <f t="shared" si="5"/>
        <v>31.129799999999999</v>
      </c>
      <c r="K24" s="7">
        <f>'[3]Production Summary'!T25</f>
        <v>1623402</v>
      </c>
      <c r="L24" s="8">
        <f t="shared" si="6"/>
        <v>1.623402</v>
      </c>
      <c r="M24" s="10">
        <f t="shared" si="7"/>
        <v>4.9838441399999995</v>
      </c>
      <c r="N24" s="21"/>
      <c r="O24" s="7">
        <f>'[3]Production Summary'!I25</f>
        <v>0</v>
      </c>
      <c r="P24" s="8">
        <f t="shared" si="8"/>
        <v>0</v>
      </c>
      <c r="Q24" s="10">
        <f t="shared" si="9"/>
        <v>0</v>
      </c>
      <c r="R24" s="7">
        <f>'[3]Production Summary'!C25</f>
        <v>0</v>
      </c>
      <c r="S24" s="8">
        <f t="shared" si="10"/>
        <v>0</v>
      </c>
      <c r="T24" s="10">
        <f t="shared" si="11"/>
        <v>0</v>
      </c>
      <c r="U24" s="7">
        <f>'[3]Production Summary'!F25</f>
        <v>3452000</v>
      </c>
      <c r="V24" s="8">
        <f t="shared" si="12"/>
        <v>3.452</v>
      </c>
      <c r="W24" s="10">
        <f t="shared" si="13"/>
        <v>10.59764</v>
      </c>
      <c r="X24" s="7">
        <f>'[3]Production Summary'!AB25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16800000.000000183</v>
      </c>
      <c r="AC24" s="8">
        <f t="shared" si="16"/>
        <v>16.800000000000182</v>
      </c>
      <c r="AD24" s="8">
        <f>D24+Q24</f>
        <v>51.576000000000555</v>
      </c>
    </row>
    <row r="25" spans="1:30" x14ac:dyDescent="0.15">
      <c r="A25" s="27">
        <v>43211</v>
      </c>
      <c r="B25" s="7">
        <f>'[3]Production Summary'!J26</f>
        <v>17300000.000000183</v>
      </c>
      <c r="C25" s="8">
        <f t="shared" si="1"/>
        <v>17.300000000000182</v>
      </c>
      <c r="D25" s="10">
        <f t="shared" si="2"/>
        <v>53.111000000000558</v>
      </c>
      <c r="E25" s="7">
        <f>'[3]Production Summary'!E26</f>
        <v>9000000</v>
      </c>
      <c r="F25" s="8">
        <f t="shared" si="3"/>
        <v>9</v>
      </c>
      <c r="G25" s="10">
        <f t="shared" si="4"/>
        <v>27.63</v>
      </c>
      <c r="H25" s="7">
        <f>'[3]Production Summary'!G26</f>
        <v>10950000</v>
      </c>
      <c r="I25" s="8">
        <f t="shared" si="0"/>
        <v>10.95</v>
      </c>
      <c r="J25" s="10">
        <f t="shared" si="5"/>
        <v>33.616499999999995</v>
      </c>
      <c r="K25" s="7">
        <f>'[3]Production Summary'!T26</f>
        <v>1663622</v>
      </c>
      <c r="L25" s="8">
        <f t="shared" si="6"/>
        <v>1.6636219999999999</v>
      </c>
      <c r="M25" s="10">
        <f t="shared" si="7"/>
        <v>5.1073195399999998</v>
      </c>
      <c r="N25" s="21"/>
      <c r="O25" s="7">
        <f>'[3]Production Summary'!I26</f>
        <v>0</v>
      </c>
      <c r="P25" s="8">
        <f t="shared" si="8"/>
        <v>0</v>
      </c>
      <c r="Q25" s="10">
        <f t="shared" si="9"/>
        <v>0</v>
      </c>
      <c r="R25" s="7">
        <f>'[3]Production Summary'!C26</f>
        <v>0</v>
      </c>
      <c r="S25" s="8">
        <f t="shared" si="10"/>
        <v>0</v>
      </c>
      <c r="T25" s="10">
        <f t="shared" si="11"/>
        <v>0</v>
      </c>
      <c r="U25" s="7">
        <f>'[3]Production Summary'!F26</f>
        <v>3505000</v>
      </c>
      <c r="V25" s="8">
        <f t="shared" si="12"/>
        <v>3.5049999999999999</v>
      </c>
      <c r="W25" s="10">
        <f t="shared" si="13"/>
        <v>10.760349999999999</v>
      </c>
      <c r="X25" s="7">
        <f>'[3]Production Summary'!AB26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17300000.000000183</v>
      </c>
      <c r="AC25" s="8">
        <f t="shared" si="16"/>
        <v>17.300000000000182</v>
      </c>
      <c r="AD25" s="8">
        <f t="shared" si="16"/>
        <v>53.111000000000558</v>
      </c>
    </row>
    <row r="26" spans="1:30" x14ac:dyDescent="0.15">
      <c r="A26" s="27">
        <v>43212</v>
      </c>
      <c r="B26" s="7">
        <f>'[3]Production Summary'!J27</f>
        <v>12000000</v>
      </c>
      <c r="C26" s="8">
        <f t="shared" si="1"/>
        <v>12</v>
      </c>
      <c r="D26" s="10">
        <f t="shared" si="2"/>
        <v>36.839999999999996</v>
      </c>
      <c r="E26" s="7">
        <f>'[3]Production Summary'!E27</f>
        <v>7000000</v>
      </c>
      <c r="F26" s="8">
        <f t="shared" si="3"/>
        <v>7</v>
      </c>
      <c r="G26" s="10">
        <f t="shared" si="4"/>
        <v>21.49</v>
      </c>
      <c r="H26" s="7">
        <f>'[3]Production Summary'!G27</f>
        <v>4940000</v>
      </c>
      <c r="I26" s="8">
        <f t="shared" si="0"/>
        <v>4.9400000000000004</v>
      </c>
      <c r="J26" s="10">
        <f t="shared" si="5"/>
        <v>15.165800000000001</v>
      </c>
      <c r="K26" s="7">
        <f>'[3]Production Summary'!T27</f>
        <v>1128176</v>
      </c>
      <c r="L26" s="8">
        <f t="shared" si="6"/>
        <v>1.1281760000000001</v>
      </c>
      <c r="M26" s="10">
        <f t="shared" si="7"/>
        <v>3.4635003200000001</v>
      </c>
      <c r="N26" s="21"/>
      <c r="O26" s="7">
        <f>'[3]Production Summary'!I27</f>
        <v>0</v>
      </c>
      <c r="P26" s="8">
        <f t="shared" si="8"/>
        <v>0</v>
      </c>
      <c r="Q26" s="10">
        <f t="shared" si="9"/>
        <v>0</v>
      </c>
      <c r="R26" s="7">
        <f>'[3]Production Summary'!C27</f>
        <v>0</v>
      </c>
      <c r="S26" s="8">
        <f t="shared" si="10"/>
        <v>0</v>
      </c>
      <c r="T26" s="10">
        <f t="shared" si="11"/>
        <v>0</v>
      </c>
      <c r="U26" s="7">
        <f>'[3]Production Summary'!F27</f>
        <v>3482000</v>
      </c>
      <c r="V26" s="8">
        <f t="shared" si="12"/>
        <v>3.4820000000000002</v>
      </c>
      <c r="W26" s="10">
        <f t="shared" si="13"/>
        <v>10.68974</v>
      </c>
      <c r="X26" s="7">
        <f>'[3]Production Summary'!AB27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12000000</v>
      </c>
      <c r="AC26" s="8">
        <f t="shared" si="16"/>
        <v>12</v>
      </c>
      <c r="AD26" s="8">
        <f t="shared" si="16"/>
        <v>36.839999999999996</v>
      </c>
    </row>
    <row r="27" spans="1:30" x14ac:dyDescent="0.15">
      <c r="A27" s="27">
        <v>43213</v>
      </c>
      <c r="B27" s="7">
        <f>'[3]Production Summary'!J28</f>
        <v>14000000</v>
      </c>
      <c r="C27" s="8">
        <f t="shared" si="1"/>
        <v>14</v>
      </c>
      <c r="D27" s="10">
        <f t="shared" si="2"/>
        <v>42.98</v>
      </c>
      <c r="E27" s="7">
        <f>'[3]Production Summary'!E28</f>
        <v>9000000</v>
      </c>
      <c r="F27" s="8">
        <f t="shared" si="3"/>
        <v>9</v>
      </c>
      <c r="G27" s="10">
        <f t="shared" si="4"/>
        <v>27.63</v>
      </c>
      <c r="H27" s="7">
        <f>'[3]Production Summary'!G28</f>
        <v>7370000</v>
      </c>
      <c r="I27" s="8">
        <f t="shared" si="0"/>
        <v>7.37</v>
      </c>
      <c r="J27" s="10">
        <f t="shared" si="5"/>
        <v>22.625899999999998</v>
      </c>
      <c r="K27" s="7">
        <f>'[3]Production Summary'!T28</f>
        <v>1467778</v>
      </c>
      <c r="L27" s="8">
        <f t="shared" si="6"/>
        <v>1.467778</v>
      </c>
      <c r="M27" s="10">
        <f t="shared" si="7"/>
        <v>4.5060784599999995</v>
      </c>
      <c r="N27" s="21"/>
      <c r="O27" s="7">
        <f>'[3]Production Summary'!I28</f>
        <v>0</v>
      </c>
      <c r="P27" s="8">
        <f t="shared" si="8"/>
        <v>0</v>
      </c>
      <c r="Q27" s="10">
        <f t="shared" si="9"/>
        <v>0</v>
      </c>
      <c r="R27" s="7">
        <f>'[3]Production Summary'!C28</f>
        <v>0</v>
      </c>
      <c r="S27" s="8">
        <f t="shared" si="10"/>
        <v>0</v>
      </c>
      <c r="T27" s="10">
        <f t="shared" si="11"/>
        <v>0</v>
      </c>
      <c r="U27" s="7">
        <f>'[3]Production Summary'!F28</f>
        <v>3543000</v>
      </c>
      <c r="V27" s="8">
        <f t="shared" si="12"/>
        <v>3.5430000000000001</v>
      </c>
      <c r="W27" s="10">
        <f t="shared" si="13"/>
        <v>10.87701</v>
      </c>
      <c r="X27" s="7">
        <f>'[3]Production Summary'!AB28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14000000</v>
      </c>
      <c r="AC27" s="8">
        <f t="shared" si="16"/>
        <v>14</v>
      </c>
      <c r="AD27" s="8">
        <f t="shared" si="16"/>
        <v>42.98</v>
      </c>
    </row>
    <row r="28" spans="1:30" x14ac:dyDescent="0.15">
      <c r="A28" s="27">
        <v>43214</v>
      </c>
      <c r="B28" s="7">
        <f>'[3]Production Summary'!J29</f>
        <v>15399999.999999637</v>
      </c>
      <c r="C28" s="8">
        <f t="shared" si="1"/>
        <v>15.399999999999636</v>
      </c>
      <c r="D28" s="10">
        <f t="shared" si="2"/>
        <v>47.277999999998883</v>
      </c>
      <c r="E28" s="7">
        <f>'[3]Production Summary'!E29</f>
        <v>8000000</v>
      </c>
      <c r="F28" s="8">
        <f t="shared" si="3"/>
        <v>8</v>
      </c>
      <c r="G28" s="10">
        <f t="shared" si="4"/>
        <v>24.56</v>
      </c>
      <c r="H28" s="7">
        <f>'[3]Production Summary'!G29</f>
        <v>8010000</v>
      </c>
      <c r="I28" s="8">
        <f t="shared" si="0"/>
        <v>8.01</v>
      </c>
      <c r="J28" s="10">
        <f t="shared" si="5"/>
        <v>24.590699999999998</v>
      </c>
      <c r="K28" s="7">
        <f>'[3]Production Summary'!T29</f>
        <v>1440518</v>
      </c>
      <c r="L28" s="8">
        <f t="shared" si="6"/>
        <v>1.440518</v>
      </c>
      <c r="M28" s="10">
        <f t="shared" si="7"/>
        <v>4.4223902599999994</v>
      </c>
      <c r="N28" s="21"/>
      <c r="O28" s="7">
        <f>'[3]Production Summary'!I29</f>
        <v>0</v>
      </c>
      <c r="P28" s="8">
        <f t="shared" si="8"/>
        <v>0</v>
      </c>
      <c r="Q28" s="10">
        <f t="shared" si="9"/>
        <v>0</v>
      </c>
      <c r="R28" s="7">
        <f>'[3]Production Summary'!C29</f>
        <v>0</v>
      </c>
      <c r="S28" s="8">
        <f t="shared" si="10"/>
        <v>0</v>
      </c>
      <c r="T28" s="10">
        <f t="shared" si="11"/>
        <v>0</v>
      </c>
      <c r="U28" s="7">
        <f>'[3]Production Summary'!F29</f>
        <v>3480000</v>
      </c>
      <c r="V28" s="8">
        <f t="shared" si="12"/>
        <v>3.48</v>
      </c>
      <c r="W28" s="10">
        <f t="shared" si="13"/>
        <v>10.6836</v>
      </c>
      <c r="X28" s="7">
        <f>'[3]Production Summary'!AB29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15399999.999999637</v>
      </c>
      <c r="AC28" s="8">
        <f t="shared" si="16"/>
        <v>15.399999999999636</v>
      </c>
      <c r="AD28" s="8">
        <f t="shared" si="16"/>
        <v>47.277999999998883</v>
      </c>
    </row>
    <row r="29" spans="1:30" x14ac:dyDescent="0.15">
      <c r="A29" s="27">
        <v>43215</v>
      </c>
      <c r="B29" s="7">
        <f>'[3]Production Summary'!J30</f>
        <v>13100000.000000363</v>
      </c>
      <c r="C29" s="8">
        <f t="shared" si="1"/>
        <v>13.100000000000364</v>
      </c>
      <c r="D29" s="10">
        <f t="shared" si="2"/>
        <v>40.217000000001114</v>
      </c>
      <c r="E29" s="7">
        <f>'[3]Production Summary'!E30</f>
        <v>9000000</v>
      </c>
      <c r="F29" s="8">
        <f t="shared" si="3"/>
        <v>9</v>
      </c>
      <c r="G29" s="10">
        <f t="shared" si="4"/>
        <v>27.63</v>
      </c>
      <c r="H29" s="7">
        <f>'[3]Production Summary'!G30</f>
        <v>6520000</v>
      </c>
      <c r="I29" s="8">
        <f t="shared" si="0"/>
        <v>6.52</v>
      </c>
      <c r="J29" s="10">
        <f t="shared" si="5"/>
        <v>20.016399999999997</v>
      </c>
      <c r="K29" s="7">
        <f>'[3]Production Summary'!T30</f>
        <v>1280183</v>
      </c>
      <c r="L29" s="8">
        <f t="shared" si="6"/>
        <v>1.2801830000000001</v>
      </c>
      <c r="M29" s="10">
        <f t="shared" si="7"/>
        <v>3.93016181</v>
      </c>
      <c r="N29" s="21"/>
      <c r="O29" s="7">
        <f>'[3]Production Summary'!I30</f>
        <v>0</v>
      </c>
      <c r="P29" s="8">
        <f t="shared" si="8"/>
        <v>0</v>
      </c>
      <c r="Q29" s="10">
        <f t="shared" si="9"/>
        <v>0</v>
      </c>
      <c r="R29" s="7">
        <f>'[3]Production Summary'!C30</f>
        <v>0</v>
      </c>
      <c r="S29" s="8">
        <f t="shared" si="10"/>
        <v>0</v>
      </c>
      <c r="T29" s="10">
        <f t="shared" si="11"/>
        <v>0</v>
      </c>
      <c r="U29" s="7">
        <f>'[3]Production Summary'!F30</f>
        <v>3486000</v>
      </c>
      <c r="V29" s="8">
        <f t="shared" si="12"/>
        <v>3.4860000000000002</v>
      </c>
      <c r="W29" s="10">
        <f t="shared" si="13"/>
        <v>10.702019999999999</v>
      </c>
      <c r="X29" s="7">
        <f>'[3]Production Summary'!AB30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13100000.000000363</v>
      </c>
      <c r="AC29" s="8">
        <f t="shared" si="16"/>
        <v>13.100000000000364</v>
      </c>
      <c r="AD29" s="8">
        <f t="shared" si="16"/>
        <v>40.217000000001114</v>
      </c>
    </row>
    <row r="30" spans="1:30" x14ac:dyDescent="0.15">
      <c r="A30" s="27">
        <v>43216</v>
      </c>
      <c r="B30" s="7">
        <f>'[3]Production Summary'!J31</f>
        <v>14899999.999999637</v>
      </c>
      <c r="C30" s="8">
        <f t="shared" si="1"/>
        <v>14.899999999999636</v>
      </c>
      <c r="D30" s="10">
        <f t="shared" si="2"/>
        <v>45.742999999998879</v>
      </c>
      <c r="E30" s="7">
        <f>'[3]Production Summary'!E31</f>
        <v>9000000</v>
      </c>
      <c r="F30" s="8">
        <f t="shared" si="3"/>
        <v>9</v>
      </c>
      <c r="G30" s="10">
        <f t="shared" si="4"/>
        <v>27.63</v>
      </c>
      <c r="H30" s="7">
        <f>'[3]Production Summary'!G31</f>
        <v>6990000</v>
      </c>
      <c r="I30" s="8">
        <f t="shared" si="0"/>
        <v>6.99</v>
      </c>
      <c r="J30" s="10">
        <f t="shared" si="5"/>
        <v>21.459299999999999</v>
      </c>
      <c r="K30" s="7">
        <f>'[3]Production Summary'!T31</f>
        <v>1425586</v>
      </c>
      <c r="L30" s="8">
        <f t="shared" si="6"/>
        <v>1.425586</v>
      </c>
      <c r="M30" s="10">
        <f t="shared" si="7"/>
        <v>4.3765490199999997</v>
      </c>
      <c r="N30" s="21"/>
      <c r="O30" s="7">
        <f>'[3]Production Summary'!I31</f>
        <v>0</v>
      </c>
      <c r="P30" s="8">
        <f t="shared" si="8"/>
        <v>0</v>
      </c>
      <c r="Q30" s="10">
        <f t="shared" si="9"/>
        <v>0</v>
      </c>
      <c r="R30" s="7">
        <f>'[3]Production Summary'!C31</f>
        <v>0</v>
      </c>
      <c r="S30" s="8">
        <f t="shared" si="10"/>
        <v>0</v>
      </c>
      <c r="T30" s="10">
        <f t="shared" si="11"/>
        <v>0</v>
      </c>
      <c r="U30" s="7">
        <f>'[3]Production Summary'!F31</f>
        <v>3607000</v>
      </c>
      <c r="V30" s="8">
        <f t="shared" si="12"/>
        <v>3.6070000000000002</v>
      </c>
      <c r="W30" s="10">
        <f t="shared" si="13"/>
        <v>11.07349</v>
      </c>
      <c r="X30" s="7">
        <f>'[3]Production Summary'!AB31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14899999.999999637</v>
      </c>
      <c r="AC30" s="8">
        <f t="shared" si="16"/>
        <v>14.899999999999636</v>
      </c>
      <c r="AD30" s="8">
        <f>D30+Q30</f>
        <v>45.742999999998879</v>
      </c>
    </row>
    <row r="31" spans="1:30" x14ac:dyDescent="0.15">
      <c r="A31" s="27">
        <v>43217</v>
      </c>
      <c r="B31" s="7">
        <f>'[3]Production Summary'!J32</f>
        <v>17100000.000000365</v>
      </c>
      <c r="C31" s="8">
        <f t="shared" si="1"/>
        <v>17.100000000000364</v>
      </c>
      <c r="D31" s="10">
        <f t="shared" si="2"/>
        <v>52.497000000001115</v>
      </c>
      <c r="E31" s="7">
        <f>'[3]Production Summary'!E32</f>
        <v>8000000</v>
      </c>
      <c r="F31" s="8">
        <f t="shared" si="3"/>
        <v>8</v>
      </c>
      <c r="G31" s="10">
        <f t="shared" si="4"/>
        <v>24.56</v>
      </c>
      <c r="H31" s="7">
        <f>'[3]Production Summary'!G32</f>
        <v>10610000</v>
      </c>
      <c r="I31" s="8">
        <f t="shared" si="0"/>
        <v>10.61</v>
      </c>
      <c r="J31" s="10">
        <f t="shared" si="5"/>
        <v>32.572699999999998</v>
      </c>
      <c r="K31" s="7">
        <f>'[3]Production Summary'!T32</f>
        <v>1650846</v>
      </c>
      <c r="L31" s="8">
        <f t="shared" si="6"/>
        <v>1.650846</v>
      </c>
      <c r="M31" s="10">
        <f t="shared" si="7"/>
        <v>5.0680972199999994</v>
      </c>
      <c r="N31" s="21"/>
      <c r="O31" s="7">
        <f>'[3]Production Summary'!I32</f>
        <v>0</v>
      </c>
      <c r="P31" s="8">
        <f t="shared" si="8"/>
        <v>0</v>
      </c>
      <c r="Q31" s="10">
        <f t="shared" si="9"/>
        <v>0</v>
      </c>
      <c r="R31" s="7">
        <f>'[3]Production Summary'!C32</f>
        <v>0</v>
      </c>
      <c r="S31" s="8">
        <f t="shared" si="10"/>
        <v>0</v>
      </c>
      <c r="T31" s="10">
        <f t="shared" si="11"/>
        <v>0</v>
      </c>
      <c r="U31" s="7">
        <f>'[3]Production Summary'!F32</f>
        <v>3394000</v>
      </c>
      <c r="V31" s="8">
        <f t="shared" si="12"/>
        <v>3.3940000000000001</v>
      </c>
      <c r="W31" s="10">
        <f t="shared" si="13"/>
        <v>10.41958</v>
      </c>
      <c r="X31" s="7">
        <f>'[3]Production Summary'!AB32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17100000.000000365</v>
      </c>
      <c r="AC31" s="8">
        <f t="shared" si="16"/>
        <v>17.100000000000364</v>
      </c>
      <c r="AD31" s="8">
        <f t="shared" si="16"/>
        <v>52.497000000001115</v>
      </c>
    </row>
    <row r="32" spans="1:30" x14ac:dyDescent="0.15">
      <c r="A32" s="27">
        <v>43218</v>
      </c>
      <c r="B32" s="7">
        <f>'[3]Production Summary'!J33</f>
        <v>19199999.999998908</v>
      </c>
      <c r="C32" s="8">
        <f t="shared" si="1"/>
        <v>19.199999999998909</v>
      </c>
      <c r="D32" s="10">
        <f t="shared" si="2"/>
        <v>58.943999999996649</v>
      </c>
      <c r="E32" s="7">
        <f>'[3]Production Summary'!E33</f>
        <v>8000000</v>
      </c>
      <c r="F32" s="8">
        <f t="shared" si="3"/>
        <v>8</v>
      </c>
      <c r="G32" s="10">
        <f t="shared" si="4"/>
        <v>24.56</v>
      </c>
      <c r="H32" s="7">
        <f>'[3]Production Summary'!G33</f>
        <v>12530000</v>
      </c>
      <c r="I32" s="8">
        <f t="shared" si="0"/>
        <v>12.53</v>
      </c>
      <c r="J32" s="10">
        <f t="shared" si="5"/>
        <v>38.467099999999995</v>
      </c>
      <c r="K32" s="7">
        <f>'[3]Production Summary'!T33</f>
        <v>1780764</v>
      </c>
      <c r="L32" s="8">
        <f t="shared" si="6"/>
        <v>1.780764</v>
      </c>
      <c r="M32" s="10">
        <f t="shared" si="7"/>
        <v>5.4669454799999997</v>
      </c>
      <c r="N32" s="21"/>
      <c r="O32" s="7">
        <f>'[3]Production Summary'!I33</f>
        <v>0</v>
      </c>
      <c r="P32" s="8">
        <f t="shared" si="8"/>
        <v>0</v>
      </c>
      <c r="Q32" s="10">
        <f t="shared" si="9"/>
        <v>0</v>
      </c>
      <c r="R32" s="7">
        <f>'[3]Production Summary'!C33</f>
        <v>0</v>
      </c>
      <c r="S32" s="8">
        <f t="shared" si="10"/>
        <v>0</v>
      </c>
      <c r="T32" s="10">
        <f t="shared" si="11"/>
        <v>0</v>
      </c>
      <c r="U32" s="7">
        <f>'[3]Production Summary'!F33</f>
        <v>3486000</v>
      </c>
      <c r="V32" s="8">
        <f t="shared" si="12"/>
        <v>3.4860000000000002</v>
      </c>
      <c r="W32" s="10">
        <f t="shared" si="13"/>
        <v>10.702019999999999</v>
      </c>
      <c r="X32" s="7">
        <f>'[3]Production Summary'!AB33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19199999.999998908</v>
      </c>
      <c r="AC32" s="8">
        <f t="shared" si="16"/>
        <v>19.199999999998909</v>
      </c>
      <c r="AD32" s="8">
        <f t="shared" si="16"/>
        <v>58.943999999996649</v>
      </c>
    </row>
    <row r="33" spans="1:32" x14ac:dyDescent="0.15">
      <c r="A33" s="27">
        <v>43219</v>
      </c>
      <c r="B33" s="7">
        <f>'[3]Production Summary'!J34</f>
        <v>19600000.000000365</v>
      </c>
      <c r="C33" s="8">
        <f t="shared" si="1"/>
        <v>19.600000000000364</v>
      </c>
      <c r="D33" s="10">
        <f t="shared" si="2"/>
        <v>60.172000000001113</v>
      </c>
      <c r="E33" s="7">
        <f>'[3]Production Summary'!E34</f>
        <v>9000000</v>
      </c>
      <c r="F33" s="8">
        <f t="shared" si="3"/>
        <v>9</v>
      </c>
      <c r="G33" s="10">
        <f t="shared" si="4"/>
        <v>27.63</v>
      </c>
      <c r="H33" s="7">
        <f>'[3]Production Summary'!G34</f>
        <v>13200000</v>
      </c>
      <c r="I33" s="8">
        <f t="shared" si="0"/>
        <v>13.2</v>
      </c>
      <c r="J33" s="10">
        <f t="shared" si="5"/>
        <v>40.523999999999994</v>
      </c>
      <c r="K33" s="7">
        <f>'[3]Production Summary'!T34</f>
        <v>1882574</v>
      </c>
      <c r="L33" s="8">
        <f t="shared" si="6"/>
        <v>1.882574</v>
      </c>
      <c r="M33" s="10">
        <f t="shared" si="7"/>
        <v>5.7795021799999997</v>
      </c>
      <c r="N33" s="21"/>
      <c r="O33" s="7">
        <f>'[3]Production Summary'!I34</f>
        <v>0</v>
      </c>
      <c r="P33" s="8">
        <f t="shared" si="8"/>
        <v>0</v>
      </c>
      <c r="Q33" s="10">
        <f t="shared" si="9"/>
        <v>0</v>
      </c>
      <c r="R33" s="7">
        <f>'[3]Production Summary'!C34</f>
        <v>0</v>
      </c>
      <c r="S33" s="8">
        <f t="shared" si="10"/>
        <v>0</v>
      </c>
      <c r="T33" s="10">
        <f t="shared" si="11"/>
        <v>0</v>
      </c>
      <c r="U33" s="7">
        <f>'[3]Production Summary'!F34</f>
        <v>3496000</v>
      </c>
      <c r="V33" s="8">
        <f t="shared" si="12"/>
        <v>3.496</v>
      </c>
      <c r="W33" s="10">
        <f t="shared" si="13"/>
        <v>10.732719999999999</v>
      </c>
      <c r="X33" s="7">
        <f>'[3]Production Summary'!AB34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19600000.000000365</v>
      </c>
      <c r="AC33" s="8">
        <f t="shared" si="16"/>
        <v>19.600000000000364</v>
      </c>
      <c r="AD33" s="8">
        <f t="shared" si="16"/>
        <v>60.172000000001113</v>
      </c>
    </row>
    <row r="34" spans="1:32" ht="14" thickBot="1" x14ac:dyDescent="0.2">
      <c r="A34" s="27">
        <v>43220</v>
      </c>
      <c r="B34" s="7">
        <f>'[3]Production Summary'!J35</f>
        <v>20300000.000001092</v>
      </c>
      <c r="C34" s="8">
        <f t="shared" si="1"/>
        <v>20.300000000001091</v>
      </c>
      <c r="D34" s="10">
        <f t="shared" si="2"/>
        <v>62.321000000003345</v>
      </c>
      <c r="E34" s="7">
        <f>'[3]Production Summary'!E35</f>
        <v>11000000</v>
      </c>
      <c r="F34" s="8">
        <f t="shared" si="3"/>
        <v>11</v>
      </c>
      <c r="G34" s="10">
        <f t="shared" si="4"/>
        <v>33.769999999999996</v>
      </c>
      <c r="H34" s="7">
        <f>'[3]Production Summary'!G35</f>
        <v>11720000</v>
      </c>
      <c r="I34" s="8">
        <f t="shared" si="0"/>
        <v>11.72</v>
      </c>
      <c r="J34" s="10">
        <f t="shared" si="5"/>
        <v>35.980400000000003</v>
      </c>
      <c r="K34" s="7">
        <f>'[3]Production Summary'!T35</f>
        <v>1971550</v>
      </c>
      <c r="L34" s="8">
        <f t="shared" si="6"/>
        <v>1.9715499999999999</v>
      </c>
      <c r="M34" s="10">
        <f t="shared" si="7"/>
        <v>6.0526584999999997</v>
      </c>
      <c r="N34" s="21"/>
      <c r="O34" s="7">
        <f>'[3]Production Summary'!I35</f>
        <v>0</v>
      </c>
      <c r="P34" s="8">
        <f t="shared" si="8"/>
        <v>0</v>
      </c>
      <c r="Q34" s="10">
        <f t="shared" si="9"/>
        <v>0</v>
      </c>
      <c r="R34" s="7">
        <f>'[3]Production Summary'!C35</f>
        <v>0</v>
      </c>
      <c r="S34" s="8">
        <f t="shared" si="10"/>
        <v>0</v>
      </c>
      <c r="T34" s="10">
        <f t="shared" si="11"/>
        <v>0</v>
      </c>
      <c r="U34" s="7">
        <f>'[3]Production Summary'!F35</f>
        <v>3461000</v>
      </c>
      <c r="V34" s="8">
        <f t="shared" si="12"/>
        <v>3.4609999999999999</v>
      </c>
      <c r="W34" s="10">
        <f t="shared" si="13"/>
        <v>10.625269999999999</v>
      </c>
      <c r="X34" s="7">
        <f>'[3]Production Summary'!AB35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20300000.000001092</v>
      </c>
      <c r="AC34" s="8">
        <f t="shared" si="16"/>
        <v>20.300000000001091</v>
      </c>
      <c r="AD34" s="8">
        <f t="shared" si="16"/>
        <v>62.321000000003345</v>
      </c>
    </row>
    <row r="35" spans="1:32" ht="14" thickBot="1" x14ac:dyDescent="0.2">
      <c r="A35" s="3"/>
      <c r="B35" s="37"/>
      <c r="C35" s="38">
        <f>SUM(C5:C34)</f>
        <v>375.60000000000036</v>
      </c>
      <c r="D35" s="38">
        <f>SUM(D5:D34)</f>
        <v>1153.092000000001</v>
      </c>
      <c r="E35" s="37"/>
      <c r="F35" s="38">
        <f>SUM(F5:F34)</f>
        <v>229</v>
      </c>
      <c r="G35" s="38">
        <f>SUM(G5:G34)</f>
        <v>703.02999999999986</v>
      </c>
      <c r="H35" s="38"/>
      <c r="I35" s="38">
        <f>SUM(I5:I34)</f>
        <v>186</v>
      </c>
      <c r="J35" s="38">
        <f>SUM(J5:J34)</f>
        <v>571.02</v>
      </c>
      <c r="K35" s="37"/>
      <c r="L35" s="38">
        <f>SUM(L5:L34)</f>
        <v>36.939497999999993</v>
      </c>
      <c r="M35" s="38">
        <f>SUM(M5:M34)</f>
        <v>113.40425885999997</v>
      </c>
      <c r="N35" s="14"/>
      <c r="O35" s="38"/>
      <c r="P35" s="38">
        <f>SUM(P5:P34)</f>
        <v>61.777000000000001</v>
      </c>
      <c r="Q35" s="38">
        <f>SUM(Q5:Q34)</f>
        <v>189.65538999999998</v>
      </c>
      <c r="R35" s="38"/>
      <c r="S35" s="38">
        <f>SUM(S5:S34)</f>
        <v>61.885999999999996</v>
      </c>
      <c r="T35" s="38">
        <f>SUM(T5:T34)</f>
        <v>189.99001999999999</v>
      </c>
      <c r="U35" s="38"/>
      <c r="V35" s="38">
        <f>SUM(V5:V34)</f>
        <v>106.99000000000001</v>
      </c>
      <c r="W35" s="38">
        <f>SUM(W5:W34)</f>
        <v>328.45929999999993</v>
      </c>
      <c r="X35" s="38"/>
      <c r="Y35" s="38">
        <f>SUM(Y5:Y34)</f>
        <v>0</v>
      </c>
      <c r="Z35" s="38">
        <f>SUM(Z5:Z34)</f>
        <v>0</v>
      </c>
      <c r="AA35" s="14"/>
      <c r="AB35" s="37">
        <f t="shared" si="16"/>
        <v>0</v>
      </c>
      <c r="AC35" s="38">
        <f t="shared" si="16"/>
        <v>437.37700000000035</v>
      </c>
      <c r="AD35" s="38">
        <f t="shared" si="16"/>
        <v>1342.7473900000009</v>
      </c>
      <c r="AF35" s="18"/>
    </row>
    <row r="36" spans="1:32" x14ac:dyDescent="0.15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29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AD38"/>
  <sheetViews>
    <sheetView workbookViewId="0">
      <pane xSplit="1" ySplit="4" topLeftCell="N20" activePane="bottomRight" state="frozen"/>
      <selection activeCell="W33" sqref="W33:W35"/>
      <selection pane="topRight" activeCell="W33" sqref="W33:W35"/>
      <selection pane="bottomLeft" activeCell="W33" sqref="W33:W35"/>
      <selection pane="bottomRight" activeCell="D36" sqref="D36"/>
    </sheetView>
  </sheetViews>
  <sheetFormatPr baseColWidth="10" defaultColWidth="8.83203125" defaultRowHeight="13" x14ac:dyDescent="0.15"/>
  <cols>
    <col min="2" max="2" width="11.5" customWidth="1"/>
    <col min="5" max="5" width="11.1640625" customWidth="1"/>
    <col min="8" max="8" width="14.5" bestFit="1" customWidth="1"/>
    <col min="11" max="11" width="10.33203125" customWidth="1"/>
    <col min="12" max="12" width="11" customWidth="1"/>
    <col min="15" max="15" width="11.6640625" customWidth="1"/>
    <col min="18" max="18" width="11.33203125" customWidth="1"/>
    <col min="22" max="22" width="10.5" customWidth="1"/>
    <col min="24" max="24" width="11.6640625" bestFit="1" customWidth="1"/>
    <col min="28" max="28" width="13.33203125" customWidth="1"/>
  </cols>
  <sheetData>
    <row r="1" spans="1:30" x14ac:dyDescent="0.15">
      <c r="A1" s="41"/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15</v>
      </c>
      <c r="V3" s="63"/>
      <c r="W3" s="64"/>
      <c r="X3" s="62" t="s">
        <v>7</v>
      </c>
      <c r="Y3" s="63"/>
      <c r="Z3" s="64"/>
      <c r="AA3" s="19"/>
      <c r="AB3" s="59" t="s">
        <v>8</v>
      </c>
      <c r="AC3" s="60"/>
      <c r="AD3" s="61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15">
      <c r="A5" s="27">
        <v>43221</v>
      </c>
      <c r="B5" s="7">
        <f>'[3]Production Summary'!J36</f>
        <v>22500000</v>
      </c>
      <c r="C5" s="8">
        <f t="shared" ref="C5" si="0">B5/1000000</f>
        <v>22.5</v>
      </c>
      <c r="D5" s="10">
        <f t="shared" ref="D5" si="1">C5*3.07</f>
        <v>69.075000000000003</v>
      </c>
      <c r="E5" s="7">
        <f>'[3]Production Summary'!E36</f>
        <v>16000000</v>
      </c>
      <c r="F5" s="8">
        <f t="shared" ref="F5" si="2">E5/1000000</f>
        <v>16</v>
      </c>
      <c r="G5" s="10">
        <f t="shared" ref="G5" si="3">F5*3.07</f>
        <v>49.12</v>
      </c>
      <c r="H5" s="7">
        <f>'[3]Production Summary'!G36</f>
        <v>8750000</v>
      </c>
      <c r="I5" s="8">
        <f t="shared" ref="I5" si="4">H5/1000000</f>
        <v>8.75</v>
      </c>
      <c r="J5" s="10">
        <f t="shared" ref="J5" si="5">I5*3.07</f>
        <v>26.862499999999997</v>
      </c>
      <c r="K5" s="7">
        <f>'[3]Production Summary'!T36</f>
        <v>2133175</v>
      </c>
      <c r="L5" s="8">
        <f t="shared" ref="L5" si="6">K5/1000000</f>
        <v>2.133175</v>
      </c>
      <c r="M5" s="10">
        <f t="shared" ref="M5" si="7">L5*3.07</f>
        <v>6.5488472499999997</v>
      </c>
      <c r="N5" s="21"/>
      <c r="O5" s="7">
        <f>'[3]Production Summary'!I36</f>
        <v>0</v>
      </c>
      <c r="P5" s="8">
        <f t="shared" ref="P5" si="8">O5/1000000</f>
        <v>0</v>
      </c>
      <c r="Q5" s="10">
        <f t="shared" ref="Q5" si="9">P5*3.07</f>
        <v>0</v>
      </c>
      <c r="R5" s="7">
        <f>'[3]Production Summary'!C36</f>
        <v>0</v>
      </c>
      <c r="S5" s="8">
        <f t="shared" ref="S5" si="10">R5/1000000</f>
        <v>0</v>
      </c>
      <c r="T5" s="10">
        <f t="shared" ref="T5" si="11">S5*3.07</f>
        <v>0</v>
      </c>
      <c r="U5" s="7">
        <f>'[3]Production Summary'!F36</f>
        <v>3561000</v>
      </c>
      <c r="V5" s="8">
        <f t="shared" ref="V5" si="12">U5/1000000</f>
        <v>3.5609999999999999</v>
      </c>
      <c r="W5" s="10">
        <f t="shared" ref="W5" si="13">V5*3.07</f>
        <v>10.932269999999999</v>
      </c>
      <c r="X5" s="7">
        <f>'[3]Production Summary'!AB36</f>
        <v>0</v>
      </c>
      <c r="Y5" s="8">
        <f t="shared" ref="Y5" si="14">X5/1000000</f>
        <v>0</v>
      </c>
      <c r="Z5" s="10">
        <f t="shared" ref="Z5" si="15">Y5*3.07</f>
        <v>0</v>
      </c>
      <c r="AA5" s="15"/>
      <c r="AB5" s="7">
        <f t="shared" ref="AB5:AD5" si="16">B5+O5</f>
        <v>22500000</v>
      </c>
      <c r="AC5" s="8">
        <f t="shared" si="16"/>
        <v>22.5</v>
      </c>
      <c r="AD5" s="8">
        <f t="shared" si="16"/>
        <v>69.075000000000003</v>
      </c>
    </row>
    <row r="6" spans="1:30" x14ac:dyDescent="0.15">
      <c r="A6" s="27">
        <v>43222</v>
      </c>
      <c r="B6" s="7">
        <f>'[3]Production Summary'!J37</f>
        <v>13899999.999999637</v>
      </c>
      <c r="C6" s="8">
        <f t="shared" ref="C6:C35" si="17">B6/1000000</f>
        <v>13.899999999999636</v>
      </c>
      <c r="D6" s="10">
        <f t="shared" ref="D6:D35" si="18">C6*3.07</f>
        <v>42.672999999998879</v>
      </c>
      <c r="E6" s="7">
        <f>'[3]Production Summary'!E37</f>
        <v>11000000</v>
      </c>
      <c r="F6" s="8">
        <f t="shared" ref="F6:F35" si="19">E6/1000000</f>
        <v>11</v>
      </c>
      <c r="G6" s="10">
        <f t="shared" ref="G6:G35" si="20">F6*3.07</f>
        <v>33.769999999999996</v>
      </c>
      <c r="H6" s="7">
        <f>'[3]Production Summary'!G37</f>
        <v>5040000</v>
      </c>
      <c r="I6" s="8">
        <f t="shared" ref="I6:I35" si="21">H6/1000000</f>
        <v>5.04</v>
      </c>
      <c r="J6" s="10">
        <f t="shared" ref="J6:J35" si="22">I6*3.07</f>
        <v>15.472799999999999</v>
      </c>
      <c r="K6" s="7">
        <f>'[3]Production Summary'!T37</f>
        <v>1483488</v>
      </c>
      <c r="L6" s="8">
        <f t="shared" ref="L6:L35" si="23">K6/1000000</f>
        <v>1.4834879999999999</v>
      </c>
      <c r="M6" s="10">
        <f t="shared" ref="M6:M35" si="24">L6*3.07</f>
        <v>4.5543081599999997</v>
      </c>
      <c r="N6" s="21"/>
      <c r="O6" s="7">
        <f>'[3]Production Summary'!I37</f>
        <v>0</v>
      </c>
      <c r="P6" s="8">
        <f t="shared" ref="P6:P35" si="25">O6/1000000</f>
        <v>0</v>
      </c>
      <c r="Q6" s="10">
        <f t="shared" ref="Q6:Q35" si="26">P6*3.07</f>
        <v>0</v>
      </c>
      <c r="R6" s="7">
        <f>'[3]Production Summary'!C37</f>
        <v>0</v>
      </c>
      <c r="S6" s="8">
        <f t="shared" ref="S6:S35" si="27">R6/1000000</f>
        <v>0</v>
      </c>
      <c r="T6" s="10">
        <f t="shared" ref="T6:T35" si="28">S6*3.07</f>
        <v>0</v>
      </c>
      <c r="U6" s="7">
        <f>'[3]Production Summary'!F37</f>
        <v>3569000</v>
      </c>
      <c r="V6" s="8">
        <f t="shared" ref="V6:V35" si="29">U6/1000000</f>
        <v>3.569</v>
      </c>
      <c r="W6" s="10">
        <f t="shared" ref="W6:W35" si="30">V6*3.07</f>
        <v>10.95683</v>
      </c>
      <c r="X6" s="7">
        <f>'[3]Production Summary'!AB37</f>
        <v>0</v>
      </c>
      <c r="Y6" s="8">
        <f t="shared" ref="Y6:Y35" si="31">X6/1000000</f>
        <v>0</v>
      </c>
      <c r="Z6" s="10">
        <f t="shared" ref="Z6:Z35" si="32">Y6*3.07</f>
        <v>0</v>
      </c>
      <c r="AA6" s="15"/>
      <c r="AB6" s="7">
        <f t="shared" ref="AB6:AD35" si="33">B6+O6</f>
        <v>13899999.999999637</v>
      </c>
      <c r="AC6" s="8">
        <f t="shared" si="33"/>
        <v>13.899999999999636</v>
      </c>
      <c r="AD6" s="8">
        <f t="shared" si="33"/>
        <v>42.672999999998879</v>
      </c>
    </row>
    <row r="7" spans="1:30" x14ac:dyDescent="0.15">
      <c r="A7" s="27">
        <v>43223</v>
      </c>
      <c r="B7" s="7">
        <f>'[3]Production Summary'!J38</f>
        <v>13199999.999998908</v>
      </c>
      <c r="C7" s="8">
        <f t="shared" si="17"/>
        <v>13.199999999998909</v>
      </c>
      <c r="D7" s="10">
        <f t="shared" si="18"/>
        <v>40.523999999996647</v>
      </c>
      <c r="E7" s="7">
        <f>'[3]Production Summary'!E38</f>
        <v>8000000</v>
      </c>
      <c r="F7" s="8">
        <f t="shared" si="19"/>
        <v>8</v>
      </c>
      <c r="G7" s="10">
        <f t="shared" si="20"/>
        <v>24.56</v>
      </c>
      <c r="H7" s="7">
        <f>'[3]Production Summary'!G38</f>
        <v>6200000</v>
      </c>
      <c r="I7" s="8">
        <f t="shared" si="21"/>
        <v>6.2</v>
      </c>
      <c r="J7" s="10">
        <f t="shared" si="22"/>
        <v>19.033999999999999</v>
      </c>
      <c r="K7" s="7">
        <f>'[3]Production Summary'!T38</f>
        <v>1338401</v>
      </c>
      <c r="L7" s="8">
        <f t="shared" si="23"/>
        <v>1.338401</v>
      </c>
      <c r="M7" s="10">
        <f t="shared" si="24"/>
        <v>4.1088910699999994</v>
      </c>
      <c r="N7" s="21"/>
      <c r="O7" s="7">
        <f>'[3]Production Summary'!I38</f>
        <v>0</v>
      </c>
      <c r="P7" s="8">
        <f t="shared" si="25"/>
        <v>0</v>
      </c>
      <c r="Q7" s="10">
        <f t="shared" si="26"/>
        <v>0</v>
      </c>
      <c r="R7" s="7">
        <f>'[3]Production Summary'!C38</f>
        <v>0</v>
      </c>
      <c r="S7" s="8">
        <f t="shared" si="27"/>
        <v>0</v>
      </c>
      <c r="T7" s="10">
        <f t="shared" si="28"/>
        <v>0</v>
      </c>
      <c r="U7" s="7">
        <f>'[3]Production Summary'!F38</f>
        <v>3541000</v>
      </c>
      <c r="V7" s="8">
        <f t="shared" si="29"/>
        <v>3.5409999999999999</v>
      </c>
      <c r="W7" s="10">
        <f t="shared" si="30"/>
        <v>10.87087</v>
      </c>
      <c r="X7" s="7">
        <f>'[3]Production Summary'!AB38</f>
        <v>0</v>
      </c>
      <c r="Y7" s="8">
        <f t="shared" si="31"/>
        <v>0</v>
      </c>
      <c r="Z7" s="10">
        <f t="shared" si="32"/>
        <v>0</v>
      </c>
      <c r="AA7" s="15"/>
      <c r="AB7" s="7">
        <f t="shared" si="33"/>
        <v>13199999.999998908</v>
      </c>
      <c r="AC7" s="8">
        <f t="shared" si="33"/>
        <v>13.199999999998909</v>
      </c>
      <c r="AD7" s="8">
        <f t="shared" si="33"/>
        <v>40.523999999996647</v>
      </c>
    </row>
    <row r="8" spans="1:30" x14ac:dyDescent="0.15">
      <c r="A8" s="27">
        <v>43224</v>
      </c>
      <c r="B8" s="7">
        <f>'[3]Production Summary'!J39</f>
        <v>19200000.000000726</v>
      </c>
      <c r="C8" s="8">
        <f t="shared" si="17"/>
        <v>19.200000000000728</v>
      </c>
      <c r="D8" s="10">
        <f t="shared" si="18"/>
        <v>58.944000000002234</v>
      </c>
      <c r="E8" s="7">
        <f>'[3]Production Summary'!E39</f>
        <v>13000000</v>
      </c>
      <c r="F8" s="8">
        <f t="shared" si="19"/>
        <v>13</v>
      </c>
      <c r="G8" s="10">
        <f t="shared" si="20"/>
        <v>39.909999999999997</v>
      </c>
      <c r="H8" s="7">
        <f>'[3]Production Summary'!G39</f>
        <v>8010000</v>
      </c>
      <c r="I8" s="8">
        <f t="shared" si="21"/>
        <v>8.01</v>
      </c>
      <c r="J8" s="10">
        <f t="shared" si="22"/>
        <v>24.590699999999998</v>
      </c>
      <c r="K8" s="7">
        <f>'[3]Production Summary'!T39</f>
        <v>1530393</v>
      </c>
      <c r="L8" s="8">
        <f t="shared" si="23"/>
        <v>1.5303929999999999</v>
      </c>
      <c r="M8" s="10">
        <f t="shared" si="24"/>
        <v>4.6983065099999992</v>
      </c>
      <c r="N8" s="21"/>
      <c r="O8" s="7">
        <f>'[3]Production Summary'!I39</f>
        <v>0</v>
      </c>
      <c r="P8" s="8">
        <f t="shared" si="25"/>
        <v>0</v>
      </c>
      <c r="Q8" s="10">
        <f t="shared" si="26"/>
        <v>0</v>
      </c>
      <c r="R8" s="7">
        <f>'[3]Production Summary'!C39</f>
        <v>0</v>
      </c>
      <c r="S8" s="8">
        <f t="shared" si="27"/>
        <v>0</v>
      </c>
      <c r="T8" s="10">
        <f t="shared" si="28"/>
        <v>0</v>
      </c>
      <c r="U8" s="7">
        <f>'[3]Production Summary'!F39</f>
        <v>3597000</v>
      </c>
      <c r="V8" s="8">
        <f t="shared" si="29"/>
        <v>3.597</v>
      </c>
      <c r="W8" s="10">
        <f t="shared" si="30"/>
        <v>11.04279</v>
      </c>
      <c r="X8" s="7">
        <f>'[3]Production Summary'!AB39</f>
        <v>0</v>
      </c>
      <c r="Y8" s="8">
        <f t="shared" si="31"/>
        <v>0</v>
      </c>
      <c r="Z8" s="10">
        <f t="shared" si="32"/>
        <v>0</v>
      </c>
      <c r="AA8" s="15"/>
      <c r="AB8" s="7">
        <f t="shared" si="33"/>
        <v>19200000.000000726</v>
      </c>
      <c r="AC8" s="8">
        <f t="shared" si="33"/>
        <v>19.200000000000728</v>
      </c>
      <c r="AD8" s="8">
        <f t="shared" si="33"/>
        <v>58.944000000002234</v>
      </c>
    </row>
    <row r="9" spans="1:30" x14ac:dyDescent="0.15">
      <c r="A9" s="27">
        <v>43225</v>
      </c>
      <c r="B9" s="7">
        <f>'[3]Production Summary'!J40</f>
        <v>18600000.000000365</v>
      </c>
      <c r="C9" s="8">
        <f t="shared" si="17"/>
        <v>18.600000000000364</v>
      </c>
      <c r="D9" s="10">
        <f t="shared" si="18"/>
        <v>57.102000000001112</v>
      </c>
      <c r="E9" s="7">
        <f>'[3]Production Summary'!E40</f>
        <v>13000000</v>
      </c>
      <c r="F9" s="8">
        <f t="shared" si="19"/>
        <v>13</v>
      </c>
      <c r="G9" s="10">
        <f t="shared" si="20"/>
        <v>39.909999999999997</v>
      </c>
      <c r="H9" s="7">
        <f>'[3]Production Summary'!G40</f>
        <v>7870000</v>
      </c>
      <c r="I9" s="8">
        <f t="shared" si="21"/>
        <v>7.87</v>
      </c>
      <c r="J9" s="10">
        <f t="shared" si="22"/>
        <v>24.160899999999998</v>
      </c>
      <c r="K9" s="7">
        <f>'[3]Production Summary'!T40</f>
        <v>1431781</v>
      </c>
      <c r="L9" s="8">
        <f t="shared" si="23"/>
        <v>1.431781</v>
      </c>
      <c r="M9" s="10">
        <f t="shared" si="24"/>
        <v>4.3955676699999993</v>
      </c>
      <c r="N9" s="21"/>
      <c r="O9" s="7">
        <f>'[3]Production Summary'!I40</f>
        <v>0</v>
      </c>
      <c r="P9" s="8">
        <f t="shared" si="25"/>
        <v>0</v>
      </c>
      <c r="Q9" s="10">
        <f t="shared" si="26"/>
        <v>0</v>
      </c>
      <c r="R9" s="7">
        <f>'[3]Production Summary'!C40</f>
        <v>0</v>
      </c>
      <c r="S9" s="8">
        <f t="shared" si="27"/>
        <v>0</v>
      </c>
      <c r="T9" s="10">
        <f t="shared" si="28"/>
        <v>0</v>
      </c>
      <c r="U9" s="7">
        <f>'[3]Production Summary'!F40</f>
        <v>3650000</v>
      </c>
      <c r="V9" s="8">
        <f t="shared" si="29"/>
        <v>3.65</v>
      </c>
      <c r="W9" s="10">
        <f t="shared" si="30"/>
        <v>11.205499999999999</v>
      </c>
      <c r="X9" s="7">
        <f>'[3]Production Summary'!AB40</f>
        <v>0</v>
      </c>
      <c r="Y9" s="8">
        <f t="shared" si="31"/>
        <v>0</v>
      </c>
      <c r="Z9" s="10">
        <f t="shared" si="32"/>
        <v>0</v>
      </c>
      <c r="AA9" s="15"/>
      <c r="AB9" s="7">
        <f t="shared" si="33"/>
        <v>18600000.000000365</v>
      </c>
      <c r="AC9" s="8">
        <f t="shared" si="33"/>
        <v>18.600000000000364</v>
      </c>
      <c r="AD9" s="8">
        <f t="shared" si="33"/>
        <v>57.102000000001112</v>
      </c>
    </row>
    <row r="10" spans="1:30" x14ac:dyDescent="0.15">
      <c r="A10" s="27">
        <v>43226</v>
      </c>
      <c r="B10" s="7">
        <f>'[3]Production Summary'!J41</f>
        <v>17299999.999999274</v>
      </c>
      <c r="C10" s="8">
        <f t="shared" si="17"/>
        <v>17.299999999999272</v>
      </c>
      <c r="D10" s="10">
        <f t="shared" si="18"/>
        <v>53.110999999997766</v>
      </c>
      <c r="E10" s="7">
        <f>'[3]Production Summary'!E41</f>
        <v>12000000</v>
      </c>
      <c r="F10" s="8">
        <f t="shared" si="19"/>
        <v>12</v>
      </c>
      <c r="G10" s="10">
        <f t="shared" si="20"/>
        <v>36.839999999999996</v>
      </c>
      <c r="H10" s="7">
        <f>'[3]Production Summary'!G41</f>
        <v>6770000</v>
      </c>
      <c r="I10" s="8">
        <f t="shared" si="21"/>
        <v>6.77</v>
      </c>
      <c r="J10" s="10">
        <f t="shared" si="22"/>
        <v>20.783899999999999</v>
      </c>
      <c r="K10" s="7">
        <f>'[3]Production Summary'!T41</f>
        <v>1775499</v>
      </c>
      <c r="L10" s="8">
        <f t="shared" si="23"/>
        <v>1.7754989999999999</v>
      </c>
      <c r="M10" s="10">
        <f t="shared" si="24"/>
        <v>5.4507819299999998</v>
      </c>
      <c r="N10" s="21"/>
      <c r="O10" s="7">
        <f>'[3]Production Summary'!I41</f>
        <v>0</v>
      </c>
      <c r="P10" s="8">
        <f t="shared" si="25"/>
        <v>0</v>
      </c>
      <c r="Q10" s="10">
        <f t="shared" si="26"/>
        <v>0</v>
      </c>
      <c r="R10" s="7">
        <f>'[3]Production Summary'!C41</f>
        <v>0</v>
      </c>
      <c r="S10" s="8">
        <f t="shared" si="27"/>
        <v>0</v>
      </c>
      <c r="T10" s="10">
        <f t="shared" si="28"/>
        <v>0</v>
      </c>
      <c r="U10" s="7">
        <f>'[3]Production Summary'!F41</f>
        <v>3398000</v>
      </c>
      <c r="V10" s="8">
        <f t="shared" si="29"/>
        <v>3.3980000000000001</v>
      </c>
      <c r="W10" s="10">
        <f t="shared" si="30"/>
        <v>10.43186</v>
      </c>
      <c r="X10" s="7">
        <f>'[3]Production Summary'!AB41</f>
        <v>0</v>
      </c>
      <c r="Y10" s="8">
        <f t="shared" si="31"/>
        <v>0</v>
      </c>
      <c r="Z10" s="10">
        <f t="shared" si="32"/>
        <v>0</v>
      </c>
      <c r="AA10" s="15"/>
      <c r="AB10" s="7">
        <f t="shared" si="33"/>
        <v>17299999.999999274</v>
      </c>
      <c r="AC10" s="8">
        <f t="shared" si="33"/>
        <v>17.299999999999272</v>
      </c>
      <c r="AD10" s="8">
        <f t="shared" si="33"/>
        <v>53.110999999997766</v>
      </c>
    </row>
    <row r="11" spans="1:30" x14ac:dyDescent="0.15">
      <c r="A11" s="27">
        <v>43227</v>
      </c>
      <c r="B11" s="7">
        <f>'[3]Production Summary'!J42</f>
        <v>21899999.999999635</v>
      </c>
      <c r="C11" s="8">
        <f t="shared" si="17"/>
        <v>21.899999999999636</v>
      </c>
      <c r="D11" s="10">
        <f t="shared" si="18"/>
        <v>67.232999999998881</v>
      </c>
      <c r="E11" s="7">
        <f>'[3]Production Summary'!E42</f>
        <v>17000000</v>
      </c>
      <c r="F11" s="8">
        <f t="shared" si="19"/>
        <v>17</v>
      </c>
      <c r="G11" s="10">
        <f t="shared" si="20"/>
        <v>52.19</v>
      </c>
      <c r="H11" s="7">
        <f>'[3]Production Summary'!G42</f>
        <v>7950000</v>
      </c>
      <c r="I11" s="8">
        <f t="shared" si="21"/>
        <v>7.95</v>
      </c>
      <c r="J11" s="10">
        <f t="shared" si="22"/>
        <v>24.406499999999998</v>
      </c>
      <c r="K11" s="7">
        <f>'[3]Production Summary'!T42</f>
        <v>2109507</v>
      </c>
      <c r="L11" s="8">
        <f t="shared" si="23"/>
        <v>2.1095069999999998</v>
      </c>
      <c r="M11" s="10">
        <f t="shared" si="24"/>
        <v>6.476186489999999</v>
      </c>
      <c r="N11" s="21"/>
      <c r="O11" s="7">
        <f>'[3]Production Summary'!I42</f>
        <v>0</v>
      </c>
      <c r="P11" s="8">
        <f t="shared" si="25"/>
        <v>0</v>
      </c>
      <c r="Q11" s="10">
        <f t="shared" si="26"/>
        <v>0</v>
      </c>
      <c r="R11" s="7">
        <f>'[3]Production Summary'!C42</f>
        <v>0</v>
      </c>
      <c r="S11" s="8">
        <f t="shared" si="27"/>
        <v>0</v>
      </c>
      <c r="T11" s="10">
        <f t="shared" si="28"/>
        <v>0</v>
      </c>
      <c r="U11" s="7">
        <f>'[3]Production Summary'!F42</f>
        <v>3542000</v>
      </c>
      <c r="V11" s="8">
        <f t="shared" si="29"/>
        <v>3.5419999999999998</v>
      </c>
      <c r="W11" s="10">
        <f t="shared" si="30"/>
        <v>10.873939999999999</v>
      </c>
      <c r="X11" s="7">
        <f>'[3]Production Summary'!AB42</f>
        <v>0</v>
      </c>
      <c r="Y11" s="8">
        <f t="shared" si="31"/>
        <v>0</v>
      </c>
      <c r="Z11" s="10">
        <f t="shared" si="32"/>
        <v>0</v>
      </c>
      <c r="AA11" s="15"/>
      <c r="AB11" s="7">
        <f t="shared" si="33"/>
        <v>21899999.999999635</v>
      </c>
      <c r="AC11" s="8">
        <f t="shared" si="33"/>
        <v>21.899999999999636</v>
      </c>
      <c r="AD11" s="8">
        <f t="shared" si="33"/>
        <v>67.232999999998881</v>
      </c>
    </row>
    <row r="12" spans="1:30" x14ac:dyDescent="0.15">
      <c r="A12" s="27">
        <v>43228</v>
      </c>
      <c r="B12" s="7">
        <f>'[3]Production Summary'!J43</f>
        <v>19500000</v>
      </c>
      <c r="C12" s="8">
        <f t="shared" si="17"/>
        <v>19.5</v>
      </c>
      <c r="D12" s="10">
        <f t="shared" si="18"/>
        <v>59.864999999999995</v>
      </c>
      <c r="E12" s="7">
        <f>'[3]Production Summary'!E43</f>
        <v>16000000</v>
      </c>
      <c r="F12" s="8">
        <f t="shared" si="19"/>
        <v>16</v>
      </c>
      <c r="G12" s="10">
        <f t="shared" si="20"/>
        <v>49.12</v>
      </c>
      <c r="H12" s="7">
        <f>'[3]Production Summary'!G43</f>
        <v>5660000</v>
      </c>
      <c r="I12" s="8">
        <f t="shared" si="21"/>
        <v>5.66</v>
      </c>
      <c r="J12" s="10">
        <f t="shared" si="22"/>
        <v>17.376200000000001</v>
      </c>
      <c r="K12" s="7">
        <f>'[3]Production Summary'!T43</f>
        <v>1726167</v>
      </c>
      <c r="L12" s="8">
        <f t="shared" si="23"/>
        <v>1.726167</v>
      </c>
      <c r="M12" s="10">
        <f t="shared" si="24"/>
        <v>5.29933269</v>
      </c>
      <c r="N12" s="21"/>
      <c r="O12" s="7">
        <f>'[3]Production Summary'!I43</f>
        <v>1600000</v>
      </c>
      <c r="P12" s="8">
        <f t="shared" si="25"/>
        <v>1.6</v>
      </c>
      <c r="Q12" s="10">
        <f t="shared" si="26"/>
        <v>4.9119999999999999</v>
      </c>
      <c r="R12" s="7">
        <f>'[3]Production Summary'!C43</f>
        <v>1600000</v>
      </c>
      <c r="S12" s="8">
        <f t="shared" si="27"/>
        <v>1.6</v>
      </c>
      <c r="T12" s="10">
        <f t="shared" si="28"/>
        <v>4.9119999999999999</v>
      </c>
      <c r="U12" s="7">
        <f>'[3]Production Summary'!F43</f>
        <v>3467000</v>
      </c>
      <c r="V12" s="8">
        <f t="shared" si="29"/>
        <v>3.4670000000000001</v>
      </c>
      <c r="W12" s="10">
        <f t="shared" si="30"/>
        <v>10.643689999999999</v>
      </c>
      <c r="X12" s="7">
        <f>'[3]Production Summary'!AB43</f>
        <v>0</v>
      </c>
      <c r="Y12" s="8">
        <f t="shared" si="31"/>
        <v>0</v>
      </c>
      <c r="Z12" s="10">
        <f t="shared" si="32"/>
        <v>0</v>
      </c>
      <c r="AA12" s="15"/>
      <c r="AB12" s="7">
        <f t="shared" si="33"/>
        <v>21100000</v>
      </c>
      <c r="AC12" s="8">
        <f t="shared" si="33"/>
        <v>21.1</v>
      </c>
      <c r="AD12" s="8">
        <f t="shared" si="33"/>
        <v>64.777000000000001</v>
      </c>
    </row>
    <row r="13" spans="1:30" x14ac:dyDescent="0.15">
      <c r="A13" s="27">
        <v>43229</v>
      </c>
      <c r="B13" s="7">
        <f>'[3]Production Summary'!J44</f>
        <v>17500000</v>
      </c>
      <c r="C13" s="8">
        <f t="shared" si="17"/>
        <v>17.5</v>
      </c>
      <c r="D13" s="10">
        <f t="shared" si="18"/>
        <v>53.724999999999994</v>
      </c>
      <c r="E13" s="7">
        <f>'[3]Production Summary'!E44</f>
        <v>13000000</v>
      </c>
      <c r="F13" s="8">
        <f t="shared" si="19"/>
        <v>13</v>
      </c>
      <c r="G13" s="10">
        <f t="shared" si="20"/>
        <v>39.909999999999997</v>
      </c>
      <c r="H13" s="7">
        <f>'[3]Production Summary'!G44</f>
        <v>4930000</v>
      </c>
      <c r="I13" s="8">
        <f t="shared" si="21"/>
        <v>4.93</v>
      </c>
      <c r="J13" s="10">
        <f t="shared" si="22"/>
        <v>15.135099999999998</v>
      </c>
      <c r="K13" s="7">
        <f>'[3]Production Summary'!T44</f>
        <v>1591186</v>
      </c>
      <c r="L13" s="8">
        <f t="shared" si="23"/>
        <v>1.591186</v>
      </c>
      <c r="M13" s="10">
        <f t="shared" si="24"/>
        <v>4.8849410199999994</v>
      </c>
      <c r="N13" s="21"/>
      <c r="O13" s="7">
        <f>'[3]Production Summary'!I44</f>
        <v>4548000.0000000056</v>
      </c>
      <c r="P13" s="8">
        <f t="shared" si="25"/>
        <v>4.5480000000000054</v>
      </c>
      <c r="Q13" s="10">
        <f t="shared" si="26"/>
        <v>13.962360000000016</v>
      </c>
      <c r="R13" s="7">
        <f>'[3]Production Summary'!C44</f>
        <v>4650000</v>
      </c>
      <c r="S13" s="8">
        <f t="shared" si="27"/>
        <v>4.6500000000000004</v>
      </c>
      <c r="T13" s="10">
        <f t="shared" si="28"/>
        <v>14.275500000000001</v>
      </c>
      <c r="U13" s="7">
        <f>'[3]Production Summary'!F44</f>
        <v>3398000</v>
      </c>
      <c r="V13" s="8">
        <f t="shared" si="29"/>
        <v>3.3980000000000001</v>
      </c>
      <c r="W13" s="10">
        <f t="shared" si="30"/>
        <v>10.43186</v>
      </c>
      <c r="X13" s="7">
        <f>'[3]Production Summary'!AB44</f>
        <v>99999.99999999431</v>
      </c>
      <c r="Y13" s="8">
        <f t="shared" si="31"/>
        <v>9.9999999999994316E-2</v>
      </c>
      <c r="Z13" s="10">
        <f t="shared" si="32"/>
        <v>0.30699999999998251</v>
      </c>
      <c r="AA13" s="15"/>
      <c r="AB13" s="7">
        <f t="shared" si="33"/>
        <v>22048000.000000007</v>
      </c>
      <c r="AC13" s="8">
        <f t="shared" si="33"/>
        <v>22.048000000000005</v>
      </c>
      <c r="AD13" s="8">
        <f t="shared" si="33"/>
        <v>67.687360000000012</v>
      </c>
    </row>
    <row r="14" spans="1:30" x14ac:dyDescent="0.15">
      <c r="A14" s="27">
        <v>43230</v>
      </c>
      <c r="B14" s="7">
        <f>'[3]Production Summary'!J45</f>
        <v>17000000</v>
      </c>
      <c r="C14" s="8">
        <f t="shared" si="17"/>
        <v>17</v>
      </c>
      <c r="D14" s="10">
        <f t="shared" si="18"/>
        <v>52.19</v>
      </c>
      <c r="E14" s="7">
        <f>'[3]Production Summary'!E45</f>
        <v>14000000</v>
      </c>
      <c r="F14" s="8">
        <f t="shared" si="19"/>
        <v>14</v>
      </c>
      <c r="G14" s="10">
        <f t="shared" si="20"/>
        <v>42.98</v>
      </c>
      <c r="H14" s="7">
        <f>'[3]Production Summary'!G45</f>
        <v>5080000</v>
      </c>
      <c r="I14" s="8">
        <f t="shared" si="21"/>
        <v>5.08</v>
      </c>
      <c r="J14" s="10">
        <f t="shared" si="22"/>
        <v>15.595599999999999</v>
      </c>
      <c r="K14" s="7">
        <f>'[3]Production Summary'!T45</f>
        <v>1670163</v>
      </c>
      <c r="L14" s="8">
        <f t="shared" si="23"/>
        <v>1.6701630000000001</v>
      </c>
      <c r="M14" s="10">
        <f t="shared" si="24"/>
        <v>5.1274004099999999</v>
      </c>
      <c r="N14" s="21"/>
      <c r="O14" s="7">
        <f>'[3]Production Summary'!I45</f>
        <v>5596999.9999999916</v>
      </c>
      <c r="P14" s="8">
        <f t="shared" si="25"/>
        <v>5.5969999999999915</v>
      </c>
      <c r="Q14" s="10">
        <f t="shared" si="26"/>
        <v>17.182789999999972</v>
      </c>
      <c r="R14" s="7">
        <f>'[3]Production Summary'!C45</f>
        <v>5700000</v>
      </c>
      <c r="S14" s="8">
        <f t="shared" si="27"/>
        <v>5.7</v>
      </c>
      <c r="T14" s="10">
        <f t="shared" si="28"/>
        <v>17.498999999999999</v>
      </c>
      <c r="U14" s="7">
        <f>'[3]Production Summary'!F45</f>
        <v>3456000</v>
      </c>
      <c r="V14" s="8">
        <f t="shared" si="29"/>
        <v>3.456</v>
      </c>
      <c r="W14" s="10">
        <f t="shared" si="30"/>
        <v>10.609919999999999</v>
      </c>
      <c r="X14" s="7">
        <f>'[3]Production Summary'!AB45</f>
        <v>100000.00000000853</v>
      </c>
      <c r="Y14" s="8">
        <f t="shared" si="31"/>
        <v>0.10000000000000853</v>
      </c>
      <c r="Z14" s="10">
        <f t="shared" si="32"/>
        <v>0.30700000000002614</v>
      </c>
      <c r="AA14" s="15"/>
      <c r="AB14" s="7">
        <f t="shared" si="33"/>
        <v>22596999.999999993</v>
      </c>
      <c r="AC14" s="8">
        <f t="shared" si="33"/>
        <v>22.596999999999991</v>
      </c>
      <c r="AD14" s="8">
        <f t="shared" si="33"/>
        <v>69.372789999999966</v>
      </c>
    </row>
    <row r="15" spans="1:30" x14ac:dyDescent="0.15">
      <c r="A15" s="27">
        <v>43231</v>
      </c>
      <c r="B15" s="7">
        <f>'[3]Production Summary'!J46</f>
        <v>17300000.000001092</v>
      </c>
      <c r="C15" s="8">
        <f t="shared" si="17"/>
        <v>17.300000000001091</v>
      </c>
      <c r="D15" s="10">
        <f t="shared" si="18"/>
        <v>53.111000000003351</v>
      </c>
      <c r="E15" s="7">
        <f>'[3]Production Summary'!E46</f>
        <v>14000000</v>
      </c>
      <c r="F15" s="8">
        <f t="shared" si="19"/>
        <v>14</v>
      </c>
      <c r="G15" s="10">
        <f t="shared" si="20"/>
        <v>42.98</v>
      </c>
      <c r="H15" s="7">
        <f>'[3]Production Summary'!G46</f>
        <v>5110000</v>
      </c>
      <c r="I15" s="8">
        <f t="shared" si="21"/>
        <v>5.1100000000000003</v>
      </c>
      <c r="J15" s="10">
        <f t="shared" si="22"/>
        <v>15.6877</v>
      </c>
      <c r="K15" s="7">
        <f>'[3]Production Summary'!T46</f>
        <v>1681759</v>
      </c>
      <c r="L15" s="8">
        <f t="shared" si="23"/>
        <v>1.681759</v>
      </c>
      <c r="M15" s="10">
        <f t="shared" si="24"/>
        <v>5.1630001299999995</v>
      </c>
      <c r="N15" s="21"/>
      <c r="O15" s="7">
        <f>'[3]Production Summary'!I46</f>
        <v>8127000.0000000056</v>
      </c>
      <c r="P15" s="8">
        <f t="shared" si="25"/>
        <v>8.127000000000006</v>
      </c>
      <c r="Q15" s="10">
        <f t="shared" si="26"/>
        <v>24.949890000000018</v>
      </c>
      <c r="R15" s="7">
        <f>'[3]Production Summary'!C46</f>
        <v>8229000</v>
      </c>
      <c r="S15" s="8">
        <f t="shared" si="27"/>
        <v>8.2289999999999992</v>
      </c>
      <c r="T15" s="10">
        <f t="shared" si="28"/>
        <v>25.263029999999997</v>
      </c>
      <c r="U15" s="7">
        <f>'[3]Production Summary'!F46</f>
        <v>3465000</v>
      </c>
      <c r="V15" s="8">
        <f t="shared" si="29"/>
        <v>3.4649999999999999</v>
      </c>
      <c r="W15" s="10">
        <f t="shared" si="30"/>
        <v>10.637549999999999</v>
      </c>
      <c r="X15" s="7">
        <f>'[3]Production Summary'!AB46</f>
        <v>99999.99999999431</v>
      </c>
      <c r="Y15" s="8">
        <f t="shared" si="31"/>
        <v>9.9999999999994316E-2</v>
      </c>
      <c r="Z15" s="10">
        <f t="shared" si="32"/>
        <v>0.30699999999998251</v>
      </c>
      <c r="AA15" s="15"/>
      <c r="AB15" s="7">
        <f t="shared" si="33"/>
        <v>25427000.000001095</v>
      </c>
      <c r="AC15" s="8">
        <f t="shared" si="33"/>
        <v>25.427000000001097</v>
      </c>
      <c r="AD15" s="8">
        <f t="shared" si="33"/>
        <v>78.060890000003369</v>
      </c>
    </row>
    <row r="16" spans="1:30" x14ac:dyDescent="0.15">
      <c r="A16" s="27">
        <v>43232</v>
      </c>
      <c r="B16" s="7">
        <f>'[3]Production Summary'!J47</f>
        <v>14500000</v>
      </c>
      <c r="C16" s="8">
        <f t="shared" si="17"/>
        <v>14.5</v>
      </c>
      <c r="D16" s="10">
        <f t="shared" si="18"/>
        <v>44.515000000000001</v>
      </c>
      <c r="E16" s="7">
        <f>'[3]Production Summary'!E47</f>
        <v>11000000</v>
      </c>
      <c r="F16" s="8">
        <f t="shared" si="19"/>
        <v>11</v>
      </c>
      <c r="G16" s="10">
        <f t="shared" si="20"/>
        <v>33.769999999999996</v>
      </c>
      <c r="H16" s="7">
        <f>'[3]Production Summary'!G47</f>
        <v>5040000</v>
      </c>
      <c r="I16" s="8">
        <f t="shared" si="21"/>
        <v>5.04</v>
      </c>
      <c r="J16" s="10">
        <f t="shared" si="22"/>
        <v>15.472799999999999</v>
      </c>
      <c r="K16" s="7">
        <f>'[3]Production Summary'!T47</f>
        <v>1350602</v>
      </c>
      <c r="L16" s="8">
        <f t="shared" si="23"/>
        <v>1.3506020000000001</v>
      </c>
      <c r="M16" s="10">
        <f t="shared" si="24"/>
        <v>4.1463481399999997</v>
      </c>
      <c r="N16" s="21"/>
      <c r="O16" s="7">
        <f>'[3]Production Summary'!I47</f>
        <v>7291999.9999999916</v>
      </c>
      <c r="P16" s="8">
        <f t="shared" si="25"/>
        <v>7.2919999999999918</v>
      </c>
      <c r="Q16" s="10">
        <f t="shared" si="26"/>
        <v>22.386439999999975</v>
      </c>
      <c r="R16" s="7">
        <f>'[3]Production Summary'!C47</f>
        <v>7400000</v>
      </c>
      <c r="S16" s="8">
        <f t="shared" si="27"/>
        <v>7.4</v>
      </c>
      <c r="T16" s="10">
        <f t="shared" si="28"/>
        <v>22.718</v>
      </c>
      <c r="U16" s="7">
        <f>'[3]Production Summary'!F47</f>
        <v>3425000</v>
      </c>
      <c r="V16" s="8">
        <f t="shared" si="29"/>
        <v>3.4249999999999998</v>
      </c>
      <c r="W16" s="10">
        <f t="shared" si="30"/>
        <v>10.514749999999999</v>
      </c>
      <c r="X16" s="7">
        <f>'[3]Production Summary'!AB47</f>
        <v>100000.00000000853</v>
      </c>
      <c r="Y16" s="8">
        <f t="shared" si="31"/>
        <v>0.10000000000000853</v>
      </c>
      <c r="Z16" s="10">
        <f t="shared" si="32"/>
        <v>0.30700000000002614</v>
      </c>
      <c r="AA16" s="15"/>
      <c r="AB16" s="7">
        <f t="shared" si="33"/>
        <v>21791999.999999993</v>
      </c>
      <c r="AC16" s="8">
        <f t="shared" si="33"/>
        <v>21.791999999999991</v>
      </c>
      <c r="AD16" s="8">
        <f t="shared" si="33"/>
        <v>66.90143999999998</v>
      </c>
    </row>
    <row r="17" spans="1:30" x14ac:dyDescent="0.15">
      <c r="A17" s="27">
        <v>43233</v>
      </c>
      <c r="B17" s="7">
        <f>'[3]Production Summary'!J48</f>
        <v>11399999.999999637</v>
      </c>
      <c r="C17" s="8">
        <f t="shared" si="17"/>
        <v>11.399999999999636</v>
      </c>
      <c r="D17" s="10">
        <f t="shared" si="18"/>
        <v>34.997999999998882</v>
      </c>
      <c r="E17" s="7">
        <f>'[3]Production Summary'!E48</f>
        <v>8000000</v>
      </c>
      <c r="F17" s="8">
        <f t="shared" si="19"/>
        <v>8</v>
      </c>
      <c r="G17" s="10">
        <f t="shared" si="20"/>
        <v>24.56</v>
      </c>
      <c r="H17" s="7">
        <f>'[3]Production Summary'!G48</f>
        <v>5060000</v>
      </c>
      <c r="I17" s="8">
        <f t="shared" si="21"/>
        <v>5.0599999999999996</v>
      </c>
      <c r="J17" s="10">
        <f t="shared" si="22"/>
        <v>15.534199999999998</v>
      </c>
      <c r="K17" s="7">
        <f>'[3]Production Summary'!T48</f>
        <v>1194042</v>
      </c>
      <c r="L17" s="8">
        <f t="shared" si="23"/>
        <v>1.194042</v>
      </c>
      <c r="M17" s="10">
        <f t="shared" si="24"/>
        <v>3.66570894</v>
      </c>
      <c r="N17" s="21"/>
      <c r="O17" s="7">
        <f>'[3]Production Summary'!I48</f>
        <v>5899000.0000000056</v>
      </c>
      <c r="P17" s="8">
        <f t="shared" si="25"/>
        <v>5.8990000000000054</v>
      </c>
      <c r="Q17" s="10">
        <f t="shared" si="26"/>
        <v>18.109930000000016</v>
      </c>
      <c r="R17" s="7">
        <f>'[3]Production Summary'!C48</f>
        <v>6002000</v>
      </c>
      <c r="S17" s="8">
        <f t="shared" si="27"/>
        <v>6.0019999999999998</v>
      </c>
      <c r="T17" s="10">
        <f t="shared" si="28"/>
        <v>18.426139999999997</v>
      </c>
      <c r="U17" s="7">
        <f>'[3]Production Summary'!F48</f>
        <v>3439000</v>
      </c>
      <c r="V17" s="8">
        <f t="shared" si="29"/>
        <v>3.4390000000000001</v>
      </c>
      <c r="W17" s="10">
        <f t="shared" si="30"/>
        <v>10.557729999999999</v>
      </c>
      <c r="X17" s="7">
        <f>'[3]Production Summary'!AB48</f>
        <v>99999.99999999431</v>
      </c>
      <c r="Y17" s="8">
        <f t="shared" si="31"/>
        <v>9.9999999999994316E-2</v>
      </c>
      <c r="Z17" s="10">
        <f t="shared" si="32"/>
        <v>0.30699999999998251</v>
      </c>
      <c r="AA17" s="15"/>
      <c r="AB17" s="7">
        <f t="shared" si="33"/>
        <v>17298999.999999642</v>
      </c>
      <c r="AC17" s="8">
        <f t="shared" si="33"/>
        <v>17.298999999999641</v>
      </c>
      <c r="AD17" s="8">
        <f t="shared" si="33"/>
        <v>53.107929999998902</v>
      </c>
    </row>
    <row r="18" spans="1:30" x14ac:dyDescent="0.15">
      <c r="A18" s="27">
        <v>43234</v>
      </c>
      <c r="B18" s="7">
        <f>'[3]Production Summary'!J49</f>
        <v>11799999.999999272</v>
      </c>
      <c r="C18" s="8">
        <f t="shared" si="17"/>
        <v>11.799999999999272</v>
      </c>
      <c r="D18" s="10">
        <f t="shared" si="18"/>
        <v>36.225999999997761</v>
      </c>
      <c r="E18" s="7">
        <f>'[3]Production Summary'!E49</f>
        <v>8000000</v>
      </c>
      <c r="F18" s="8">
        <f t="shared" si="19"/>
        <v>8</v>
      </c>
      <c r="G18" s="10">
        <f t="shared" si="20"/>
        <v>24.56</v>
      </c>
      <c r="H18" s="7">
        <f>'[3]Production Summary'!G49</f>
        <v>5060000</v>
      </c>
      <c r="I18" s="8">
        <f t="shared" si="21"/>
        <v>5.0599999999999996</v>
      </c>
      <c r="J18" s="10">
        <f t="shared" si="22"/>
        <v>15.534199999999998</v>
      </c>
      <c r="K18" s="7">
        <f>'[3]Production Summary'!T49</f>
        <v>1211079</v>
      </c>
      <c r="L18" s="8">
        <f t="shared" si="23"/>
        <v>1.211079</v>
      </c>
      <c r="M18" s="10">
        <f t="shared" si="24"/>
        <v>3.7180125299999998</v>
      </c>
      <c r="N18" s="21"/>
      <c r="O18" s="7">
        <f>'[3]Production Summary'!I49</f>
        <v>6712000.0000000056</v>
      </c>
      <c r="P18" s="8">
        <f t="shared" si="25"/>
        <v>6.712000000000006</v>
      </c>
      <c r="Q18" s="10">
        <f t="shared" si="26"/>
        <v>20.605840000000018</v>
      </c>
      <c r="R18" s="7">
        <f>'[3]Production Summary'!C49</f>
        <v>6817000</v>
      </c>
      <c r="S18" s="8">
        <f t="shared" si="27"/>
        <v>6.8170000000000002</v>
      </c>
      <c r="T18" s="10">
        <f t="shared" si="28"/>
        <v>20.928190000000001</v>
      </c>
      <c r="U18" s="7">
        <f>'[3]Production Summary'!F49</f>
        <v>3446000</v>
      </c>
      <c r="V18" s="8">
        <f t="shared" si="29"/>
        <v>3.4460000000000002</v>
      </c>
      <c r="W18" s="10">
        <f t="shared" si="30"/>
        <v>10.579219999999999</v>
      </c>
      <c r="X18" s="7">
        <f>'[3]Production Summary'!AB49</f>
        <v>99999.99999999431</v>
      </c>
      <c r="Y18" s="8">
        <f t="shared" si="31"/>
        <v>9.9999999999994316E-2</v>
      </c>
      <c r="Z18" s="10">
        <f t="shared" si="32"/>
        <v>0.30699999999998251</v>
      </c>
      <c r="AA18" s="15"/>
      <c r="AB18" s="7">
        <f t="shared" si="33"/>
        <v>18511999.999999277</v>
      </c>
      <c r="AC18" s="8">
        <f t="shared" si="33"/>
        <v>18.511999999999279</v>
      </c>
      <c r="AD18" s="8">
        <f t="shared" si="33"/>
        <v>56.831839999997783</v>
      </c>
    </row>
    <row r="19" spans="1:30" x14ac:dyDescent="0.15">
      <c r="A19" s="27">
        <v>43235</v>
      </c>
      <c r="B19" s="7">
        <f>'[3]Production Summary'!J50</f>
        <v>13600000.000000363</v>
      </c>
      <c r="C19" s="8">
        <f t="shared" si="17"/>
        <v>13.600000000000364</v>
      </c>
      <c r="D19" s="10">
        <f t="shared" si="18"/>
        <v>41.752000000001118</v>
      </c>
      <c r="E19" s="7">
        <f>'[3]Production Summary'!E50</f>
        <v>10000000</v>
      </c>
      <c r="F19" s="8">
        <f t="shared" si="19"/>
        <v>10</v>
      </c>
      <c r="G19" s="10">
        <f t="shared" si="20"/>
        <v>30.7</v>
      </c>
      <c r="H19" s="7">
        <f>'[3]Production Summary'!G50</f>
        <v>5050000</v>
      </c>
      <c r="I19" s="8">
        <f t="shared" si="21"/>
        <v>5.05</v>
      </c>
      <c r="J19" s="10">
        <f t="shared" si="22"/>
        <v>15.503499999999999</v>
      </c>
      <c r="K19" s="7">
        <f>'[3]Production Summary'!T50</f>
        <v>1464419</v>
      </c>
      <c r="L19" s="8">
        <f t="shared" si="23"/>
        <v>1.4644189999999999</v>
      </c>
      <c r="M19" s="10">
        <f t="shared" si="24"/>
        <v>4.4957663299999995</v>
      </c>
      <c r="N19" s="21"/>
      <c r="O19" s="7">
        <f>'[3]Production Summary'!I50</f>
        <v>6884999.9999999916</v>
      </c>
      <c r="P19" s="8">
        <f t="shared" si="25"/>
        <v>6.8849999999999918</v>
      </c>
      <c r="Q19" s="10">
        <f t="shared" si="26"/>
        <v>21.136949999999974</v>
      </c>
      <c r="R19" s="7">
        <f>'[3]Production Summary'!C50</f>
        <v>6988000</v>
      </c>
      <c r="S19" s="8">
        <f t="shared" si="27"/>
        <v>6.9880000000000004</v>
      </c>
      <c r="T19" s="10">
        <f t="shared" si="28"/>
        <v>21.45316</v>
      </c>
      <c r="U19" s="7">
        <f>'[3]Production Summary'!F50</f>
        <v>3431000</v>
      </c>
      <c r="V19" s="8">
        <f t="shared" si="29"/>
        <v>3.431</v>
      </c>
      <c r="W19" s="10">
        <f t="shared" si="30"/>
        <v>10.53317</v>
      </c>
      <c r="X19" s="7">
        <f>'[3]Production Summary'!AB50</f>
        <v>100000.00000000853</v>
      </c>
      <c r="Y19" s="8">
        <f t="shared" si="31"/>
        <v>0.10000000000000853</v>
      </c>
      <c r="Z19" s="10">
        <f t="shared" si="32"/>
        <v>0.30700000000002614</v>
      </c>
      <c r="AA19" s="15"/>
      <c r="AB19" s="7">
        <f t="shared" si="33"/>
        <v>20485000.000000354</v>
      </c>
      <c r="AC19" s="8">
        <f t="shared" si="33"/>
        <v>20.485000000000355</v>
      </c>
      <c r="AD19" s="8">
        <f t="shared" si="33"/>
        <v>62.888950000001088</v>
      </c>
    </row>
    <row r="20" spans="1:30" x14ac:dyDescent="0.15">
      <c r="A20" s="27">
        <v>43236</v>
      </c>
      <c r="B20" s="7">
        <f>'[3]Production Summary'!J51</f>
        <v>13800000.000001092</v>
      </c>
      <c r="C20" s="8">
        <f t="shared" si="17"/>
        <v>13.800000000001091</v>
      </c>
      <c r="D20" s="10">
        <f t="shared" si="18"/>
        <v>42.366000000003346</v>
      </c>
      <c r="E20" s="7">
        <f>'[3]Production Summary'!E51</f>
        <v>11000000</v>
      </c>
      <c r="F20" s="8">
        <f t="shared" si="19"/>
        <v>11</v>
      </c>
      <c r="G20" s="10">
        <f t="shared" si="20"/>
        <v>33.769999999999996</v>
      </c>
      <c r="H20" s="7">
        <f>'[3]Production Summary'!G51</f>
        <v>5060000</v>
      </c>
      <c r="I20" s="8">
        <f t="shared" si="21"/>
        <v>5.0599999999999996</v>
      </c>
      <c r="J20" s="10">
        <f t="shared" si="22"/>
        <v>15.534199999999998</v>
      </c>
      <c r="K20" s="7">
        <f>'[3]Production Summary'!T51</f>
        <v>1367252</v>
      </c>
      <c r="L20" s="8">
        <f t="shared" si="23"/>
        <v>1.3672519999999999</v>
      </c>
      <c r="M20" s="10">
        <f t="shared" si="24"/>
        <v>4.1974636399999996</v>
      </c>
      <c r="N20" s="21"/>
      <c r="O20" s="7">
        <f>'[3]Production Summary'!I51</f>
        <v>9146999.9999999981</v>
      </c>
      <c r="P20" s="8">
        <f t="shared" si="25"/>
        <v>9.1469999999999985</v>
      </c>
      <c r="Q20" s="10">
        <f t="shared" si="26"/>
        <v>28.081289999999992</v>
      </c>
      <c r="R20" s="7">
        <f>'[3]Production Summary'!C51</f>
        <v>9193000</v>
      </c>
      <c r="S20" s="8">
        <f t="shared" si="27"/>
        <v>9.1929999999999996</v>
      </c>
      <c r="T20" s="10">
        <f t="shared" si="28"/>
        <v>28.222509999999996</v>
      </c>
      <c r="U20" s="7">
        <f>'[3]Production Summary'!F51</f>
        <v>3437000</v>
      </c>
      <c r="V20" s="8">
        <f t="shared" si="29"/>
        <v>3.4369999999999998</v>
      </c>
      <c r="W20" s="10">
        <f t="shared" si="30"/>
        <v>10.551589999999999</v>
      </c>
      <c r="X20" s="7">
        <f>'[3]Production Summary'!AB51</f>
        <v>42000.000000001593</v>
      </c>
      <c r="Y20" s="8">
        <f t="shared" si="31"/>
        <v>4.2000000000001592E-2</v>
      </c>
      <c r="Z20" s="10">
        <f t="shared" si="32"/>
        <v>0.12894000000000488</v>
      </c>
      <c r="AA20" s="15"/>
      <c r="AB20" s="7">
        <f t="shared" si="33"/>
        <v>22947000.000001088</v>
      </c>
      <c r="AC20" s="8">
        <f t="shared" si="33"/>
        <v>22.94700000000109</v>
      </c>
      <c r="AD20" s="8">
        <f t="shared" si="33"/>
        <v>70.447290000003335</v>
      </c>
    </row>
    <row r="21" spans="1:30" x14ac:dyDescent="0.15">
      <c r="A21" s="27">
        <v>43237</v>
      </c>
      <c r="B21" s="7">
        <f>'[3]Production Summary'!J52</f>
        <v>16799999.999999274</v>
      </c>
      <c r="C21" s="8">
        <f t="shared" si="17"/>
        <v>16.799999999999272</v>
      </c>
      <c r="D21" s="10">
        <f t="shared" si="18"/>
        <v>51.575999999997762</v>
      </c>
      <c r="E21" s="7">
        <f>'[3]Production Summary'!E52</f>
        <v>14000000</v>
      </c>
      <c r="F21" s="8">
        <f t="shared" si="19"/>
        <v>14</v>
      </c>
      <c r="G21" s="10">
        <f t="shared" si="20"/>
        <v>42.98</v>
      </c>
      <c r="H21" s="7">
        <f>'[3]Production Summary'!G52</f>
        <v>5010000</v>
      </c>
      <c r="I21" s="8">
        <f t="shared" si="21"/>
        <v>5.01</v>
      </c>
      <c r="J21" s="10">
        <f t="shared" si="22"/>
        <v>15.380699999999999</v>
      </c>
      <c r="K21" s="7">
        <f>'[3]Production Summary'!T52</f>
        <v>1595842</v>
      </c>
      <c r="L21" s="8">
        <f t="shared" si="23"/>
        <v>1.595842</v>
      </c>
      <c r="M21" s="10">
        <f t="shared" si="24"/>
        <v>4.8992349399999995</v>
      </c>
      <c r="N21" s="21"/>
      <c r="O21" s="7">
        <f>'[3]Production Summary'!I52</f>
        <v>9860000.0000000037</v>
      </c>
      <c r="P21" s="8">
        <f t="shared" si="25"/>
        <v>9.860000000000003</v>
      </c>
      <c r="Q21" s="10">
        <f t="shared" si="26"/>
        <v>30.270200000000006</v>
      </c>
      <c r="R21" s="7">
        <f>'[3]Production Summary'!C52</f>
        <v>10275000</v>
      </c>
      <c r="S21" s="8">
        <f t="shared" si="27"/>
        <v>10.275</v>
      </c>
      <c r="T21" s="10">
        <f t="shared" si="28"/>
        <v>31.544249999999998</v>
      </c>
      <c r="U21" s="7">
        <f>'[3]Production Summary'!F52</f>
        <v>3423000</v>
      </c>
      <c r="V21" s="8">
        <f t="shared" si="29"/>
        <v>3.423</v>
      </c>
      <c r="W21" s="10">
        <f t="shared" si="30"/>
        <v>10.508609999999999</v>
      </c>
      <c r="X21" s="7">
        <f>'[3]Production Summary'!AB52</f>
        <v>406999.99999999645</v>
      </c>
      <c r="Y21" s="8">
        <f t="shared" si="31"/>
        <v>0.40699999999999648</v>
      </c>
      <c r="Z21" s="10">
        <f t="shared" si="32"/>
        <v>1.2494899999999891</v>
      </c>
      <c r="AA21" s="15"/>
      <c r="AB21" s="7">
        <f t="shared" si="33"/>
        <v>26659999.999999277</v>
      </c>
      <c r="AC21" s="8">
        <f t="shared" si="33"/>
        <v>26.659999999999275</v>
      </c>
      <c r="AD21" s="8">
        <f t="shared" si="33"/>
        <v>81.846199999997765</v>
      </c>
    </row>
    <row r="22" spans="1:30" x14ac:dyDescent="0.15">
      <c r="A22" s="27">
        <v>43238</v>
      </c>
      <c r="B22" s="7">
        <f>'[3]Production Summary'!J53</f>
        <v>15700000.000000728</v>
      </c>
      <c r="C22" s="8">
        <f t="shared" si="17"/>
        <v>15.700000000000728</v>
      </c>
      <c r="D22" s="10">
        <f t="shared" si="18"/>
        <v>48.199000000002229</v>
      </c>
      <c r="E22" s="7">
        <f>'[3]Production Summary'!E53</f>
        <v>12000000</v>
      </c>
      <c r="F22" s="8">
        <f t="shared" si="19"/>
        <v>12</v>
      </c>
      <c r="G22" s="10">
        <f t="shared" si="20"/>
        <v>36.839999999999996</v>
      </c>
      <c r="H22" s="7">
        <f>'[3]Production Summary'!G53</f>
        <v>4990000</v>
      </c>
      <c r="I22" s="8">
        <f t="shared" si="21"/>
        <v>4.99</v>
      </c>
      <c r="J22" s="10">
        <f t="shared" si="22"/>
        <v>15.3193</v>
      </c>
      <c r="K22" s="7">
        <f>'[3]Production Summary'!T53</f>
        <v>1467536</v>
      </c>
      <c r="L22" s="8">
        <f t="shared" si="23"/>
        <v>1.467536</v>
      </c>
      <c r="M22" s="10">
        <f t="shared" si="24"/>
        <v>4.50533552</v>
      </c>
      <c r="N22" s="21"/>
      <c r="O22" s="7">
        <f>'[3]Production Summary'!I53</f>
        <v>9568000.0000000019</v>
      </c>
      <c r="P22" s="8">
        <f t="shared" si="25"/>
        <v>9.5680000000000014</v>
      </c>
      <c r="Q22" s="10">
        <f t="shared" si="26"/>
        <v>29.373760000000004</v>
      </c>
      <c r="R22" s="7">
        <f>'[3]Production Summary'!C53</f>
        <v>9887000</v>
      </c>
      <c r="S22" s="8">
        <f t="shared" si="27"/>
        <v>9.8870000000000005</v>
      </c>
      <c r="T22" s="10">
        <f t="shared" si="28"/>
        <v>30.353089999999998</v>
      </c>
      <c r="U22" s="7">
        <f>'[3]Production Summary'!F53</f>
        <v>3446000</v>
      </c>
      <c r="V22" s="8">
        <f t="shared" si="29"/>
        <v>3.4460000000000002</v>
      </c>
      <c r="W22" s="10">
        <f t="shared" si="30"/>
        <v>10.579219999999999</v>
      </c>
      <c r="X22" s="7">
        <f>'[3]Production Summary'!AB53</f>
        <v>311999.99999999761</v>
      </c>
      <c r="Y22" s="8">
        <f t="shared" si="31"/>
        <v>0.31199999999999761</v>
      </c>
      <c r="Z22" s="10">
        <f t="shared" si="32"/>
        <v>0.95783999999999259</v>
      </c>
      <c r="AA22" s="15"/>
      <c r="AB22" s="7">
        <f t="shared" si="33"/>
        <v>25268000.00000073</v>
      </c>
      <c r="AC22" s="8">
        <f t="shared" si="33"/>
        <v>25.268000000000729</v>
      </c>
      <c r="AD22" s="8">
        <f t="shared" si="33"/>
        <v>77.572760000002233</v>
      </c>
    </row>
    <row r="23" spans="1:30" x14ac:dyDescent="0.15">
      <c r="A23" s="27">
        <v>43239</v>
      </c>
      <c r="B23" s="7">
        <f>'[3]Production Summary'!J54</f>
        <v>11099999.999998545</v>
      </c>
      <c r="C23" s="8">
        <f t="shared" si="17"/>
        <v>11.099999999998545</v>
      </c>
      <c r="D23" s="10">
        <f t="shared" si="18"/>
        <v>34.076999999995529</v>
      </c>
      <c r="E23" s="7">
        <f>'[3]Production Summary'!E54</f>
        <v>12000000</v>
      </c>
      <c r="F23" s="8">
        <f t="shared" si="19"/>
        <v>12</v>
      </c>
      <c r="G23" s="10">
        <f t="shared" si="20"/>
        <v>36.839999999999996</v>
      </c>
      <c r="H23" s="7">
        <f>'[3]Production Summary'!G54</f>
        <v>3710000</v>
      </c>
      <c r="I23" s="8">
        <f t="shared" si="21"/>
        <v>3.71</v>
      </c>
      <c r="J23" s="10">
        <f t="shared" si="22"/>
        <v>11.389699999999999</v>
      </c>
      <c r="K23" s="7">
        <f>'[3]Production Summary'!T54</f>
        <v>1066104</v>
      </c>
      <c r="L23" s="8">
        <f t="shared" si="23"/>
        <v>1.0661039999999999</v>
      </c>
      <c r="M23" s="10">
        <f t="shared" si="24"/>
        <v>3.2729392799999997</v>
      </c>
      <c r="N23" s="21"/>
      <c r="O23" s="7">
        <f>'[3]Production Summary'!I54</f>
        <v>6254999.9999999981</v>
      </c>
      <c r="P23" s="8">
        <f t="shared" si="25"/>
        <v>6.2549999999999981</v>
      </c>
      <c r="Q23" s="10">
        <f t="shared" si="26"/>
        <v>19.202849999999994</v>
      </c>
      <c r="R23" s="7">
        <f>'[3]Production Summary'!C54</f>
        <v>6552000</v>
      </c>
      <c r="S23" s="8">
        <f t="shared" si="27"/>
        <v>6.5519999999999996</v>
      </c>
      <c r="T23" s="10">
        <f t="shared" si="28"/>
        <v>20.114639999999998</v>
      </c>
      <c r="U23" s="7">
        <f>'[3]Production Summary'!F54</f>
        <v>3459000</v>
      </c>
      <c r="V23" s="8">
        <f t="shared" si="29"/>
        <v>3.4590000000000001</v>
      </c>
      <c r="W23" s="10">
        <f t="shared" si="30"/>
        <v>10.61913</v>
      </c>
      <c r="X23" s="7">
        <f>'[3]Production Summary'!AB54</f>
        <v>292000.00000000157</v>
      </c>
      <c r="Y23" s="8">
        <f t="shared" si="31"/>
        <v>0.29200000000000159</v>
      </c>
      <c r="Z23" s="10">
        <f t="shared" si="32"/>
        <v>0.89644000000000479</v>
      </c>
      <c r="AA23" s="15"/>
      <c r="AB23" s="7">
        <f t="shared" si="33"/>
        <v>17354999.999998543</v>
      </c>
      <c r="AC23" s="8">
        <f t="shared" si="33"/>
        <v>17.354999999998544</v>
      </c>
      <c r="AD23" s="8">
        <f t="shared" si="33"/>
        <v>53.27984999999552</v>
      </c>
    </row>
    <row r="24" spans="1:30" x14ac:dyDescent="0.15">
      <c r="A24" s="27">
        <v>43240</v>
      </c>
      <c r="B24" s="7">
        <f>'[3]Production Summary'!J55</f>
        <v>11700000.000000728</v>
      </c>
      <c r="C24" s="8">
        <f t="shared" si="17"/>
        <v>11.700000000000728</v>
      </c>
      <c r="D24" s="10">
        <f t="shared" si="18"/>
        <v>35.919000000002235</v>
      </c>
      <c r="E24" s="7">
        <f>'[3]Production Summary'!E55</f>
        <v>5000000</v>
      </c>
      <c r="F24" s="8">
        <f t="shared" si="19"/>
        <v>5</v>
      </c>
      <c r="G24" s="10">
        <f t="shared" si="20"/>
        <v>15.35</v>
      </c>
      <c r="H24" s="7">
        <f>'[3]Production Summary'!G55</f>
        <v>4730000</v>
      </c>
      <c r="I24" s="8">
        <f t="shared" si="21"/>
        <v>4.7300000000000004</v>
      </c>
      <c r="J24" s="10">
        <f t="shared" si="22"/>
        <v>14.521100000000001</v>
      </c>
      <c r="K24" s="7">
        <f>'[3]Production Summary'!T55</f>
        <v>1124471</v>
      </c>
      <c r="L24" s="8">
        <f t="shared" si="23"/>
        <v>1.124471</v>
      </c>
      <c r="M24" s="10">
        <f t="shared" si="24"/>
        <v>3.45212597</v>
      </c>
      <c r="N24" s="21"/>
      <c r="O24" s="7">
        <f>'[3]Production Summary'!I55</f>
        <v>8933000</v>
      </c>
      <c r="P24" s="8">
        <f t="shared" si="25"/>
        <v>8.9329999999999998</v>
      </c>
      <c r="Q24" s="10">
        <f t="shared" si="26"/>
        <v>27.424309999999998</v>
      </c>
      <c r="R24" s="7">
        <f>'[3]Production Summary'!C55</f>
        <v>9058000</v>
      </c>
      <c r="S24" s="8">
        <f t="shared" si="27"/>
        <v>9.0579999999999998</v>
      </c>
      <c r="T24" s="10">
        <f t="shared" si="28"/>
        <v>27.808059999999998</v>
      </c>
      <c r="U24" s="7">
        <f>'[3]Production Summary'!F55</f>
        <v>3441000</v>
      </c>
      <c r="V24" s="8">
        <f t="shared" si="29"/>
        <v>3.4409999999999998</v>
      </c>
      <c r="W24" s="10">
        <f t="shared" si="30"/>
        <v>10.56387</v>
      </c>
      <c r="X24" s="7">
        <f>'[3]Production Summary'!AB55</f>
        <v>121999.99999999988</v>
      </c>
      <c r="Y24" s="8">
        <f t="shared" si="31"/>
        <v>0.12199999999999989</v>
      </c>
      <c r="Z24" s="10">
        <f t="shared" si="32"/>
        <v>0.37453999999999965</v>
      </c>
      <c r="AA24" s="15"/>
      <c r="AB24" s="7">
        <f t="shared" si="33"/>
        <v>20633000.00000073</v>
      </c>
      <c r="AC24" s="8">
        <f t="shared" si="33"/>
        <v>20.633000000000727</v>
      </c>
      <c r="AD24" s="8">
        <f t="shared" si="33"/>
        <v>63.343310000002234</v>
      </c>
    </row>
    <row r="25" spans="1:30" x14ac:dyDescent="0.15">
      <c r="A25" s="27">
        <v>43241</v>
      </c>
      <c r="B25" s="7">
        <f>'[3]Production Summary'!J56</f>
        <v>10799999.999999272</v>
      </c>
      <c r="C25" s="8">
        <f t="shared" si="17"/>
        <v>10.799999999999272</v>
      </c>
      <c r="D25" s="10">
        <f t="shared" si="18"/>
        <v>33.155999999997768</v>
      </c>
      <c r="E25" s="7">
        <f>'[3]Production Summary'!E56</f>
        <v>6000000</v>
      </c>
      <c r="F25" s="8">
        <f t="shared" si="19"/>
        <v>6</v>
      </c>
      <c r="G25" s="10">
        <f t="shared" si="20"/>
        <v>18.419999999999998</v>
      </c>
      <c r="H25" s="7">
        <f>'[3]Production Summary'!G56</f>
        <v>4990000</v>
      </c>
      <c r="I25" s="8">
        <f t="shared" si="21"/>
        <v>4.99</v>
      </c>
      <c r="J25" s="10">
        <f t="shared" si="22"/>
        <v>15.3193</v>
      </c>
      <c r="K25" s="7">
        <f>'[3]Production Summary'!T56</f>
        <v>1027609</v>
      </c>
      <c r="L25" s="8">
        <f t="shared" si="23"/>
        <v>1.027609</v>
      </c>
      <c r="M25" s="10">
        <f t="shared" si="24"/>
        <v>3.15475963</v>
      </c>
      <c r="N25" s="21"/>
      <c r="O25" s="7">
        <f>'[3]Production Summary'!I56</f>
        <v>10089000.000000006</v>
      </c>
      <c r="P25" s="8">
        <f t="shared" si="25"/>
        <v>10.089000000000006</v>
      </c>
      <c r="Q25" s="10">
        <f t="shared" si="26"/>
        <v>30.973230000000015</v>
      </c>
      <c r="R25" s="7">
        <f>'[3]Production Summary'!C56</f>
        <v>10460000</v>
      </c>
      <c r="S25" s="8">
        <f t="shared" si="27"/>
        <v>10.46</v>
      </c>
      <c r="T25" s="10">
        <f t="shared" si="28"/>
        <v>32.112200000000001</v>
      </c>
      <c r="U25" s="7">
        <f>'[3]Production Summary'!F56</f>
        <v>3440000</v>
      </c>
      <c r="V25" s="8">
        <f t="shared" si="29"/>
        <v>3.44</v>
      </c>
      <c r="W25" s="10">
        <f t="shared" si="30"/>
        <v>10.560799999999999</v>
      </c>
      <c r="X25" s="7">
        <f>'[3]Production Summary'!AB56</f>
        <v>364999.99999999488</v>
      </c>
      <c r="Y25" s="8">
        <f t="shared" si="31"/>
        <v>0.36499999999999488</v>
      </c>
      <c r="Z25" s="10">
        <f t="shared" si="32"/>
        <v>1.1205499999999842</v>
      </c>
      <c r="AA25" s="15"/>
      <c r="AB25" s="7">
        <f t="shared" si="33"/>
        <v>20888999.999999277</v>
      </c>
      <c r="AC25" s="8">
        <f t="shared" si="33"/>
        <v>20.888999999999278</v>
      </c>
      <c r="AD25" s="8">
        <f t="shared" si="33"/>
        <v>64.12922999999779</v>
      </c>
    </row>
    <row r="26" spans="1:30" x14ac:dyDescent="0.15">
      <c r="A26" s="27">
        <v>43242</v>
      </c>
      <c r="B26" s="7">
        <f>'[3]Production Summary'!J57</f>
        <v>15000000</v>
      </c>
      <c r="C26" s="8">
        <f t="shared" si="17"/>
        <v>15</v>
      </c>
      <c r="D26" s="10">
        <f t="shared" si="18"/>
        <v>46.05</v>
      </c>
      <c r="E26" s="7">
        <f>'[3]Production Summary'!E57</f>
        <v>12000000</v>
      </c>
      <c r="F26" s="8">
        <f t="shared" si="19"/>
        <v>12</v>
      </c>
      <c r="G26" s="10">
        <f t="shared" si="20"/>
        <v>36.839999999999996</v>
      </c>
      <c r="H26" s="7">
        <f>'[3]Production Summary'!G57</f>
        <v>4990000</v>
      </c>
      <c r="I26" s="8">
        <f t="shared" si="21"/>
        <v>4.99</v>
      </c>
      <c r="J26" s="10">
        <f t="shared" si="22"/>
        <v>15.3193</v>
      </c>
      <c r="K26" s="7">
        <f>'[3]Production Summary'!T57</f>
        <v>1452692</v>
      </c>
      <c r="L26" s="8">
        <f t="shared" si="23"/>
        <v>1.4526920000000001</v>
      </c>
      <c r="M26" s="10">
        <f t="shared" si="24"/>
        <v>4.4597644399999998</v>
      </c>
      <c r="N26" s="21"/>
      <c r="O26" s="7">
        <f>'[3]Production Summary'!I57</f>
        <v>9674999.9999999907</v>
      </c>
      <c r="P26" s="8">
        <f t="shared" si="25"/>
        <v>9.6749999999999901</v>
      </c>
      <c r="Q26" s="10">
        <f t="shared" si="26"/>
        <v>29.702249999999967</v>
      </c>
      <c r="R26" s="7">
        <f>'[3]Production Summary'!C57</f>
        <v>10056000</v>
      </c>
      <c r="S26" s="8">
        <f t="shared" si="27"/>
        <v>10.055999999999999</v>
      </c>
      <c r="T26" s="10">
        <f t="shared" si="28"/>
        <v>30.871919999999996</v>
      </c>
      <c r="U26" s="7">
        <f>'[3]Production Summary'!F57</f>
        <v>3438000</v>
      </c>
      <c r="V26" s="8">
        <f t="shared" si="29"/>
        <v>3.4380000000000002</v>
      </c>
      <c r="W26" s="10">
        <f t="shared" si="30"/>
        <v>10.55466</v>
      </c>
      <c r="X26" s="7">
        <f>'[3]Production Summary'!AB57</f>
        <v>374000.00000000943</v>
      </c>
      <c r="Y26" s="8">
        <f t="shared" si="31"/>
        <v>0.37400000000000944</v>
      </c>
      <c r="Z26" s="10">
        <f t="shared" si="32"/>
        <v>1.1481800000000288</v>
      </c>
      <c r="AA26" s="15"/>
      <c r="AB26" s="7">
        <f t="shared" si="33"/>
        <v>24674999.999999993</v>
      </c>
      <c r="AC26" s="8">
        <f t="shared" si="33"/>
        <v>24.67499999999999</v>
      </c>
      <c r="AD26" s="8">
        <f t="shared" si="33"/>
        <v>75.752249999999961</v>
      </c>
    </row>
    <row r="27" spans="1:30" x14ac:dyDescent="0.15">
      <c r="A27" s="27">
        <v>43243</v>
      </c>
      <c r="B27" s="7">
        <f>'[3]Production Summary'!J58</f>
        <v>18700000.000000726</v>
      </c>
      <c r="C27" s="8">
        <f t="shared" si="17"/>
        <v>18.700000000000728</v>
      </c>
      <c r="D27" s="10">
        <f t="shared" si="18"/>
        <v>57.40900000000223</v>
      </c>
      <c r="E27" s="7">
        <f>'[3]Production Summary'!E58</f>
        <v>16000000</v>
      </c>
      <c r="F27" s="8">
        <f t="shared" si="19"/>
        <v>16</v>
      </c>
      <c r="G27" s="10">
        <f t="shared" si="20"/>
        <v>49.12</v>
      </c>
      <c r="H27" s="7">
        <f>'[3]Production Summary'!G58</f>
        <v>5020000</v>
      </c>
      <c r="I27" s="8">
        <f t="shared" si="21"/>
        <v>5.0199999999999996</v>
      </c>
      <c r="J27" s="10">
        <f t="shared" si="22"/>
        <v>15.411399999999999</v>
      </c>
      <c r="K27" s="7">
        <f>'[3]Production Summary'!T58</f>
        <v>1721871</v>
      </c>
      <c r="L27" s="8">
        <f t="shared" si="23"/>
        <v>1.7218709999999999</v>
      </c>
      <c r="M27" s="10">
        <f t="shared" si="24"/>
        <v>5.2861439699999995</v>
      </c>
      <c r="N27" s="21"/>
      <c r="O27" s="7">
        <f>'[3]Production Summary'!I58</f>
        <v>7787000</v>
      </c>
      <c r="P27" s="8">
        <f t="shared" si="25"/>
        <v>7.7869999999999999</v>
      </c>
      <c r="Q27" s="10">
        <f t="shared" si="26"/>
        <v>23.906089999999999</v>
      </c>
      <c r="R27" s="7">
        <f>'[3]Production Summary'!C58</f>
        <v>8042000</v>
      </c>
      <c r="S27" s="8">
        <f t="shared" si="27"/>
        <v>8.0419999999999998</v>
      </c>
      <c r="T27" s="10">
        <f t="shared" si="28"/>
        <v>24.688939999999999</v>
      </c>
      <c r="U27" s="7">
        <f>'[3]Production Summary'!F58</f>
        <v>3451000</v>
      </c>
      <c r="V27" s="8">
        <f t="shared" si="29"/>
        <v>3.4510000000000001</v>
      </c>
      <c r="W27" s="10">
        <f t="shared" si="30"/>
        <v>10.594569999999999</v>
      </c>
      <c r="X27" s="7">
        <f>'[3]Production Summary'!AB58</f>
        <v>250000</v>
      </c>
      <c r="Y27" s="8">
        <f t="shared" si="31"/>
        <v>0.25</v>
      </c>
      <c r="Z27" s="10">
        <f t="shared" si="32"/>
        <v>0.76749999999999996</v>
      </c>
      <c r="AA27" s="15"/>
      <c r="AB27" s="7">
        <f t="shared" si="33"/>
        <v>26487000.000000726</v>
      </c>
      <c r="AC27" s="8">
        <f t="shared" si="33"/>
        <v>26.487000000000727</v>
      </c>
      <c r="AD27" s="8">
        <f t="shared" si="33"/>
        <v>81.315090000002229</v>
      </c>
    </row>
    <row r="28" spans="1:30" x14ac:dyDescent="0.15">
      <c r="A28" s="27">
        <v>43244</v>
      </c>
      <c r="B28" s="7">
        <f>'[3]Production Summary'!J59</f>
        <v>17000000</v>
      </c>
      <c r="C28" s="8">
        <f t="shared" si="17"/>
        <v>17</v>
      </c>
      <c r="D28" s="10">
        <f t="shared" si="18"/>
        <v>52.19</v>
      </c>
      <c r="E28" s="7">
        <f>'[3]Production Summary'!E59</f>
        <v>13000000</v>
      </c>
      <c r="F28" s="8">
        <f t="shared" si="19"/>
        <v>13</v>
      </c>
      <c r="G28" s="10">
        <f t="shared" si="20"/>
        <v>39.909999999999997</v>
      </c>
      <c r="H28" s="7">
        <f>'[3]Production Summary'!G59</f>
        <v>5000000</v>
      </c>
      <c r="I28" s="8">
        <f t="shared" si="21"/>
        <v>5</v>
      </c>
      <c r="J28" s="10">
        <f t="shared" si="22"/>
        <v>15.35</v>
      </c>
      <c r="K28" s="7">
        <f>'[3]Production Summary'!T59</f>
        <v>1666652</v>
      </c>
      <c r="L28" s="8">
        <f t="shared" si="23"/>
        <v>1.666652</v>
      </c>
      <c r="M28" s="10">
        <f t="shared" si="24"/>
        <v>5.11662164</v>
      </c>
      <c r="N28" s="21"/>
      <c r="O28" s="7">
        <f>'[3]Production Summary'!I59</f>
        <v>11932000.000000004</v>
      </c>
      <c r="P28" s="8">
        <f t="shared" si="25"/>
        <v>11.932000000000004</v>
      </c>
      <c r="Q28" s="10">
        <f t="shared" si="26"/>
        <v>36.631240000000012</v>
      </c>
      <c r="R28" s="7">
        <f>'[3]Production Summary'!C59</f>
        <v>12092000</v>
      </c>
      <c r="S28" s="8">
        <f t="shared" si="27"/>
        <v>12.092000000000001</v>
      </c>
      <c r="T28" s="10">
        <f t="shared" si="28"/>
        <v>37.122439999999997</v>
      </c>
      <c r="U28" s="7">
        <f>'[3]Production Summary'!F59</f>
        <v>3444000</v>
      </c>
      <c r="V28" s="8">
        <f t="shared" si="29"/>
        <v>3.444</v>
      </c>
      <c r="W28" s="10">
        <f t="shared" si="30"/>
        <v>10.573079999999999</v>
      </c>
      <c r="X28" s="7">
        <f>'[3]Production Summary'!AB59</f>
        <v>156999.99999999648</v>
      </c>
      <c r="Y28" s="8">
        <f t="shared" si="31"/>
        <v>0.15699999999999648</v>
      </c>
      <c r="Z28" s="10">
        <f t="shared" si="32"/>
        <v>0.48198999999998915</v>
      </c>
      <c r="AA28" s="15"/>
      <c r="AB28" s="7">
        <f t="shared" si="33"/>
        <v>28932000.000000004</v>
      </c>
      <c r="AC28" s="8">
        <f t="shared" si="33"/>
        <v>28.932000000000002</v>
      </c>
      <c r="AD28" s="8">
        <f t="shared" si="33"/>
        <v>88.821240000000017</v>
      </c>
    </row>
    <row r="29" spans="1:30" x14ac:dyDescent="0.15">
      <c r="A29" s="27">
        <v>43245</v>
      </c>
      <c r="B29" s="7">
        <f>'[3]Production Summary'!J60</f>
        <v>18799999.999999274</v>
      </c>
      <c r="C29" s="8">
        <f t="shared" si="17"/>
        <v>18.799999999999272</v>
      </c>
      <c r="D29" s="10">
        <f t="shared" si="18"/>
        <v>57.715999999997763</v>
      </c>
      <c r="E29" s="7">
        <f>'[3]Production Summary'!E60</f>
        <v>17000000</v>
      </c>
      <c r="F29" s="8">
        <f t="shared" si="19"/>
        <v>17</v>
      </c>
      <c r="G29" s="10">
        <f t="shared" si="20"/>
        <v>52.19</v>
      </c>
      <c r="H29" s="7">
        <f>'[3]Production Summary'!G60</f>
        <v>5000000</v>
      </c>
      <c r="I29" s="8">
        <f t="shared" si="21"/>
        <v>5</v>
      </c>
      <c r="J29" s="10">
        <f t="shared" si="22"/>
        <v>15.35</v>
      </c>
      <c r="K29" s="7">
        <f>'[3]Production Summary'!T60</f>
        <v>1945632</v>
      </c>
      <c r="L29" s="8">
        <f t="shared" si="23"/>
        <v>1.945632</v>
      </c>
      <c r="M29" s="10">
        <f t="shared" si="24"/>
        <v>5.9730902399999994</v>
      </c>
      <c r="N29" s="21"/>
      <c r="O29" s="7">
        <f>'[3]Production Summary'!I60</f>
        <v>13577999.999999998</v>
      </c>
      <c r="P29" s="8">
        <f t="shared" si="25"/>
        <v>13.577999999999998</v>
      </c>
      <c r="Q29" s="10">
        <f t="shared" si="26"/>
        <v>41.684459999999987</v>
      </c>
      <c r="R29" s="7">
        <f>'[3]Production Summary'!C60</f>
        <v>13994000</v>
      </c>
      <c r="S29" s="8">
        <f t="shared" si="27"/>
        <v>13.994</v>
      </c>
      <c r="T29" s="10">
        <f t="shared" si="28"/>
        <v>42.961579999999998</v>
      </c>
      <c r="U29" s="7">
        <f>'[3]Production Summary'!F60</f>
        <v>3446000</v>
      </c>
      <c r="V29" s="8">
        <f t="shared" si="29"/>
        <v>3.4460000000000002</v>
      </c>
      <c r="W29" s="10">
        <f t="shared" si="30"/>
        <v>10.579219999999999</v>
      </c>
      <c r="X29" s="7">
        <f>'[3]Production Summary'!AB60</f>
        <v>408000.00000000122</v>
      </c>
      <c r="Y29" s="8">
        <f t="shared" si="31"/>
        <v>0.4080000000000012</v>
      </c>
      <c r="Z29" s="10">
        <f t="shared" si="32"/>
        <v>1.2525600000000037</v>
      </c>
      <c r="AA29" s="15"/>
      <c r="AB29" s="7">
        <f t="shared" si="33"/>
        <v>32377999.99999927</v>
      </c>
      <c r="AC29" s="8">
        <f t="shared" si="33"/>
        <v>32.377999999999268</v>
      </c>
      <c r="AD29" s="8">
        <f t="shared" si="33"/>
        <v>99.40045999999775</v>
      </c>
    </row>
    <row r="30" spans="1:30" x14ac:dyDescent="0.15">
      <c r="A30" s="27">
        <v>43246</v>
      </c>
      <c r="B30" s="7">
        <f>'[3]Production Summary'!J61</f>
        <v>20700000.000000726</v>
      </c>
      <c r="C30" s="8">
        <f t="shared" si="17"/>
        <v>20.700000000000728</v>
      </c>
      <c r="D30" s="10">
        <f t="shared" si="18"/>
        <v>63.549000000002231</v>
      </c>
      <c r="E30" s="7">
        <f>'[3]Production Summary'!E61</f>
        <v>18000000</v>
      </c>
      <c r="F30" s="8">
        <f t="shared" si="19"/>
        <v>18</v>
      </c>
      <c r="G30" s="10">
        <f t="shared" si="20"/>
        <v>55.26</v>
      </c>
      <c r="H30" s="7">
        <f>'[3]Production Summary'!G61</f>
        <v>4980000</v>
      </c>
      <c r="I30" s="8">
        <f t="shared" si="21"/>
        <v>4.9800000000000004</v>
      </c>
      <c r="J30" s="10">
        <f t="shared" si="22"/>
        <v>15.288600000000001</v>
      </c>
      <c r="K30" s="7">
        <f>'[3]Production Summary'!T61</f>
        <v>2073061</v>
      </c>
      <c r="L30" s="8">
        <f t="shared" si="23"/>
        <v>2.073061</v>
      </c>
      <c r="M30" s="10">
        <f t="shared" si="24"/>
        <v>6.3642972699999998</v>
      </c>
      <c r="N30" s="21"/>
      <c r="O30" s="7">
        <f>'[3]Production Summary'!I61</f>
        <v>13601999.999999996</v>
      </c>
      <c r="P30" s="8">
        <f t="shared" si="25"/>
        <v>13.601999999999997</v>
      </c>
      <c r="Q30" s="10">
        <f t="shared" si="26"/>
        <v>41.75813999999999</v>
      </c>
      <c r="R30" s="7">
        <f>'[3]Production Summary'!C61</f>
        <v>13952000</v>
      </c>
      <c r="S30" s="8">
        <f t="shared" si="27"/>
        <v>13.952</v>
      </c>
      <c r="T30" s="10">
        <f t="shared" si="28"/>
        <v>42.832639999999998</v>
      </c>
      <c r="U30" s="7">
        <f>'[3]Production Summary'!F61</f>
        <v>3436000</v>
      </c>
      <c r="V30" s="8">
        <f t="shared" si="29"/>
        <v>3.4359999999999999</v>
      </c>
      <c r="W30" s="10">
        <f t="shared" si="30"/>
        <v>10.54852</v>
      </c>
      <c r="X30" s="7">
        <f>'[3]Production Summary'!AB61</f>
        <v>343000.00000000355</v>
      </c>
      <c r="Y30" s="8">
        <f t="shared" si="31"/>
        <v>0.34300000000000352</v>
      </c>
      <c r="Z30" s="10">
        <f t="shared" si="32"/>
        <v>1.0530100000000107</v>
      </c>
      <c r="AA30" s="15"/>
      <c r="AB30" s="7">
        <f t="shared" si="33"/>
        <v>34302000.000000723</v>
      </c>
      <c r="AC30" s="8">
        <f t="shared" si="33"/>
        <v>34.302000000000724</v>
      </c>
      <c r="AD30" s="8">
        <f t="shared" si="33"/>
        <v>105.30714000000222</v>
      </c>
    </row>
    <row r="31" spans="1:30" x14ac:dyDescent="0.15">
      <c r="A31" s="27">
        <v>43247</v>
      </c>
      <c r="B31" s="7">
        <f>'[3]Production Summary'!J62</f>
        <v>19799999.999999274</v>
      </c>
      <c r="C31" s="8">
        <f t="shared" si="17"/>
        <v>19.799999999999272</v>
      </c>
      <c r="D31" s="10">
        <f t="shared" si="18"/>
        <v>60.785999999997763</v>
      </c>
      <c r="E31" s="7">
        <f>'[3]Production Summary'!E62</f>
        <v>17000000</v>
      </c>
      <c r="F31" s="8">
        <f t="shared" si="19"/>
        <v>17</v>
      </c>
      <c r="G31" s="10">
        <f t="shared" si="20"/>
        <v>52.19</v>
      </c>
      <c r="H31" s="7">
        <f>'[3]Production Summary'!G62</f>
        <v>5010000</v>
      </c>
      <c r="I31" s="8">
        <f t="shared" si="21"/>
        <v>5.01</v>
      </c>
      <c r="J31" s="10">
        <f t="shared" si="22"/>
        <v>15.380699999999999</v>
      </c>
      <c r="K31" s="7">
        <f>'[3]Production Summary'!T62</f>
        <v>1932322</v>
      </c>
      <c r="L31" s="8">
        <f t="shared" si="23"/>
        <v>1.9323220000000001</v>
      </c>
      <c r="M31" s="10">
        <f t="shared" si="24"/>
        <v>5.9322285399999997</v>
      </c>
      <c r="N31" s="21"/>
      <c r="O31" s="7">
        <f>'[3]Production Summary'!I62</f>
        <v>13362000.000000009</v>
      </c>
      <c r="P31" s="8">
        <f t="shared" si="25"/>
        <v>13.362000000000009</v>
      </c>
      <c r="Q31" s="10">
        <f t="shared" si="26"/>
        <v>41.021340000000023</v>
      </c>
      <c r="R31" s="7">
        <f>'[3]Production Summary'!C62</f>
        <v>13764000</v>
      </c>
      <c r="S31" s="8">
        <f t="shared" si="27"/>
        <v>13.763999999999999</v>
      </c>
      <c r="T31" s="10">
        <f t="shared" si="28"/>
        <v>42.255479999999999</v>
      </c>
      <c r="U31" s="7">
        <f>'[3]Production Summary'!F62</f>
        <v>3464000</v>
      </c>
      <c r="V31" s="8">
        <f t="shared" si="29"/>
        <v>3.464</v>
      </c>
      <c r="W31" s="10">
        <f t="shared" si="30"/>
        <v>10.63448</v>
      </c>
      <c r="X31" s="7">
        <f>'[3]Production Summary'!AB62</f>
        <v>393999.99999999127</v>
      </c>
      <c r="Y31" s="8">
        <f t="shared" si="31"/>
        <v>0.39399999999999125</v>
      </c>
      <c r="Z31" s="10">
        <f t="shared" si="32"/>
        <v>1.209579999999973</v>
      </c>
      <c r="AA31" s="15"/>
      <c r="AB31" s="7">
        <f t="shared" si="33"/>
        <v>33161999.999999285</v>
      </c>
      <c r="AC31" s="8">
        <f t="shared" si="33"/>
        <v>33.161999999999281</v>
      </c>
      <c r="AD31" s="8">
        <f t="shared" si="33"/>
        <v>101.80733999999779</v>
      </c>
    </row>
    <row r="32" spans="1:30" x14ac:dyDescent="0.15">
      <c r="A32" s="27">
        <v>43248</v>
      </c>
      <c r="B32" s="7">
        <f>'[3]Production Summary'!J63</f>
        <v>17000000</v>
      </c>
      <c r="C32" s="8">
        <f t="shared" si="17"/>
        <v>17</v>
      </c>
      <c r="D32" s="10">
        <f t="shared" si="18"/>
        <v>52.19</v>
      </c>
      <c r="E32" s="7">
        <f>'[3]Production Summary'!E63</f>
        <v>14000000</v>
      </c>
      <c r="F32" s="8">
        <f t="shared" si="19"/>
        <v>14</v>
      </c>
      <c r="G32" s="10">
        <f t="shared" si="20"/>
        <v>42.98</v>
      </c>
      <c r="H32" s="7">
        <f>'[3]Production Summary'!G63</f>
        <v>5020000</v>
      </c>
      <c r="I32" s="8">
        <f t="shared" si="21"/>
        <v>5.0199999999999996</v>
      </c>
      <c r="J32" s="10">
        <f t="shared" si="22"/>
        <v>15.411399999999999</v>
      </c>
      <c r="K32" s="7">
        <f>'[3]Production Summary'!T63</f>
        <v>1749576</v>
      </c>
      <c r="L32" s="8">
        <f t="shared" si="23"/>
        <v>1.749576</v>
      </c>
      <c r="M32" s="10">
        <f t="shared" si="24"/>
        <v>5.3711983199999995</v>
      </c>
      <c r="N32" s="21"/>
      <c r="O32" s="7">
        <f>'[3]Production Summary'!I63</f>
        <v>13335000</v>
      </c>
      <c r="P32" s="8">
        <f t="shared" si="25"/>
        <v>13.335000000000001</v>
      </c>
      <c r="Q32" s="10">
        <f t="shared" si="26"/>
        <v>40.938450000000003</v>
      </c>
      <c r="R32" s="7">
        <f>'[3]Production Summary'!C63</f>
        <v>13701000</v>
      </c>
      <c r="S32" s="8">
        <f t="shared" si="27"/>
        <v>13.701000000000001</v>
      </c>
      <c r="T32" s="10">
        <f t="shared" si="28"/>
        <v>42.062069999999999</v>
      </c>
      <c r="U32" s="7">
        <f>'[3]Production Summary'!F63</f>
        <v>3450000</v>
      </c>
      <c r="V32" s="8">
        <f t="shared" si="29"/>
        <v>3.45</v>
      </c>
      <c r="W32" s="10">
        <f t="shared" si="30"/>
        <v>10.5915</v>
      </c>
      <c r="X32" s="7">
        <f>'[3]Production Summary'!AB63</f>
        <v>359999.99999999942</v>
      </c>
      <c r="Y32" s="8">
        <f t="shared" si="31"/>
        <v>0.35999999999999943</v>
      </c>
      <c r="Z32" s="10">
        <f t="shared" si="32"/>
        <v>1.1051999999999982</v>
      </c>
      <c r="AA32" s="15"/>
      <c r="AB32" s="7">
        <f t="shared" si="33"/>
        <v>30335000</v>
      </c>
      <c r="AC32" s="8">
        <f t="shared" si="33"/>
        <v>30.335000000000001</v>
      </c>
      <c r="AD32" s="8">
        <f t="shared" si="33"/>
        <v>93.128450000000001</v>
      </c>
    </row>
    <row r="33" spans="1:30" x14ac:dyDescent="0.15">
      <c r="A33" s="27">
        <v>43249</v>
      </c>
      <c r="B33" s="7">
        <f>'[3]Production Summary'!J64</f>
        <v>16000000</v>
      </c>
      <c r="C33" s="8">
        <f t="shared" si="17"/>
        <v>16</v>
      </c>
      <c r="D33" s="10">
        <f t="shared" si="18"/>
        <v>49.12</v>
      </c>
      <c r="E33" s="7">
        <f>'[3]Production Summary'!E64</f>
        <v>12000000</v>
      </c>
      <c r="F33" s="8">
        <f t="shared" si="19"/>
        <v>12</v>
      </c>
      <c r="G33" s="10">
        <f t="shared" si="20"/>
        <v>36.839999999999996</v>
      </c>
      <c r="H33" s="7">
        <f>'[3]Production Summary'!G64</f>
        <v>4960000</v>
      </c>
      <c r="I33" s="8">
        <f t="shared" si="21"/>
        <v>4.96</v>
      </c>
      <c r="J33" s="10">
        <f t="shared" si="22"/>
        <v>15.2272</v>
      </c>
      <c r="K33" s="7">
        <f>'[3]Production Summary'!T64</f>
        <v>1678238</v>
      </c>
      <c r="L33" s="8">
        <f t="shared" si="23"/>
        <v>1.6782379999999999</v>
      </c>
      <c r="M33" s="10">
        <f t="shared" si="24"/>
        <v>5.1521906599999996</v>
      </c>
      <c r="N33" s="21"/>
      <c r="O33" s="7">
        <f>'[3]Production Summary'!I64</f>
        <v>13552999.999999998</v>
      </c>
      <c r="P33" s="8">
        <f t="shared" si="25"/>
        <v>13.552999999999997</v>
      </c>
      <c r="Q33" s="10">
        <f t="shared" si="26"/>
        <v>41.60770999999999</v>
      </c>
      <c r="R33" s="7">
        <f>'[3]Production Summary'!C64</f>
        <v>13882000</v>
      </c>
      <c r="S33" s="8">
        <f t="shared" si="27"/>
        <v>13.882</v>
      </c>
      <c r="T33" s="10">
        <f t="shared" si="28"/>
        <v>42.617739999999998</v>
      </c>
      <c r="U33" s="7">
        <f>'[3]Production Summary'!F64</f>
        <v>3421000</v>
      </c>
      <c r="V33" s="8">
        <f t="shared" si="29"/>
        <v>3.4209999999999998</v>
      </c>
      <c r="W33" s="10">
        <f t="shared" si="30"/>
        <v>10.502469999999999</v>
      </c>
      <c r="X33" s="7">
        <f>'[3]Production Summary'!AB64</f>
        <v>322000.00000000274</v>
      </c>
      <c r="Y33" s="8">
        <f t="shared" si="31"/>
        <v>0.32200000000000273</v>
      </c>
      <c r="Z33" s="10">
        <f t="shared" si="32"/>
        <v>0.9885400000000083</v>
      </c>
      <c r="AA33" s="15"/>
      <c r="AB33" s="7">
        <f t="shared" si="33"/>
        <v>29553000</v>
      </c>
      <c r="AC33" s="8">
        <f t="shared" si="33"/>
        <v>29.552999999999997</v>
      </c>
      <c r="AD33" s="8">
        <f t="shared" si="33"/>
        <v>90.727709999999988</v>
      </c>
    </row>
    <row r="34" spans="1:30" x14ac:dyDescent="0.15">
      <c r="A34" s="27">
        <v>43250</v>
      </c>
      <c r="B34" s="7">
        <f>'[3]Production Summary'!J65</f>
        <v>17900000.000001457</v>
      </c>
      <c r="C34" s="8">
        <f t="shared" si="17"/>
        <v>17.900000000001455</v>
      </c>
      <c r="D34" s="10">
        <f t="shared" si="18"/>
        <v>54.953000000004465</v>
      </c>
      <c r="E34" s="7">
        <f>'[3]Production Summary'!E65</f>
        <v>16000000</v>
      </c>
      <c r="F34" s="8">
        <f t="shared" si="19"/>
        <v>16</v>
      </c>
      <c r="G34" s="10">
        <f t="shared" si="20"/>
        <v>49.12</v>
      </c>
      <c r="H34" s="7">
        <f>'[3]Production Summary'!G65</f>
        <v>5020000</v>
      </c>
      <c r="I34" s="8">
        <f t="shared" si="21"/>
        <v>5.0199999999999996</v>
      </c>
      <c r="J34" s="10">
        <f t="shared" si="22"/>
        <v>15.411399999999999</v>
      </c>
      <c r="K34" s="7">
        <f>'[3]Production Summary'!T65</f>
        <v>1801869</v>
      </c>
      <c r="L34" s="8">
        <f t="shared" si="23"/>
        <v>1.8018689999999999</v>
      </c>
      <c r="M34" s="10">
        <f t="shared" si="24"/>
        <v>5.53173783</v>
      </c>
      <c r="N34" s="21"/>
      <c r="O34" s="7">
        <f>'[3]Production Summary'!I65</f>
        <v>14325000.000000006</v>
      </c>
      <c r="P34" s="8">
        <f t="shared" si="25"/>
        <v>14.325000000000006</v>
      </c>
      <c r="Q34" s="10">
        <f t="shared" si="26"/>
        <v>43.977750000000015</v>
      </c>
      <c r="R34" s="7">
        <f>'[3]Production Summary'!C65</f>
        <v>14675000</v>
      </c>
      <c r="S34" s="8">
        <f t="shared" si="27"/>
        <v>14.675000000000001</v>
      </c>
      <c r="T34" s="10">
        <f t="shared" si="28"/>
        <v>45.052250000000001</v>
      </c>
      <c r="U34" s="7">
        <f>'[3]Production Summary'!F65</f>
        <v>3465000</v>
      </c>
      <c r="V34" s="8">
        <f t="shared" si="29"/>
        <v>3.4649999999999999</v>
      </c>
      <c r="W34" s="10">
        <f t="shared" si="30"/>
        <v>10.637549999999999</v>
      </c>
      <c r="X34" s="7">
        <f>'[3]Production Summary'!AB65</f>
        <v>343999.99999999406</v>
      </c>
      <c r="Y34" s="8">
        <f t="shared" si="31"/>
        <v>0.34399999999999409</v>
      </c>
      <c r="Z34" s="10">
        <f t="shared" si="32"/>
        <v>1.0560799999999817</v>
      </c>
      <c r="AA34" s="15"/>
      <c r="AB34" s="7">
        <f t="shared" si="33"/>
        <v>32225000.00000146</v>
      </c>
      <c r="AC34" s="8">
        <f t="shared" si="33"/>
        <v>32.225000000001458</v>
      </c>
      <c r="AD34" s="8">
        <f t="shared" si="33"/>
        <v>98.93075000000448</v>
      </c>
    </row>
    <row r="35" spans="1:30" ht="14" thickBot="1" x14ac:dyDescent="0.2">
      <c r="A35" s="27">
        <v>43251</v>
      </c>
      <c r="B35" s="7">
        <f>'[3]Production Summary'!J66</f>
        <v>16500000</v>
      </c>
      <c r="C35" s="8">
        <f t="shared" si="17"/>
        <v>16.5</v>
      </c>
      <c r="D35" s="10">
        <f t="shared" si="18"/>
        <v>50.654999999999994</v>
      </c>
      <c r="E35" s="7">
        <f>'[3]Production Summary'!E66</f>
        <v>12000000</v>
      </c>
      <c r="F35" s="8">
        <f t="shared" si="19"/>
        <v>12</v>
      </c>
      <c r="G35" s="10">
        <f t="shared" si="20"/>
        <v>36.839999999999996</v>
      </c>
      <c r="H35" s="7">
        <f>'[3]Production Summary'!G66</f>
        <v>4990000</v>
      </c>
      <c r="I35" s="8">
        <f t="shared" si="21"/>
        <v>4.99</v>
      </c>
      <c r="J35" s="10">
        <f t="shared" si="22"/>
        <v>15.3193</v>
      </c>
      <c r="K35" s="7">
        <f>'[3]Production Summary'!T66</f>
        <v>1707485</v>
      </c>
      <c r="L35" s="8">
        <f t="shared" si="23"/>
        <v>1.7074849999999999</v>
      </c>
      <c r="M35" s="10">
        <f t="shared" si="24"/>
        <v>5.2419789499999991</v>
      </c>
      <c r="N35" s="21"/>
      <c r="O35" s="7">
        <f>'[3]Production Summary'!I66</f>
        <v>13342999.999999987</v>
      </c>
      <c r="P35" s="8">
        <f t="shared" si="25"/>
        <v>13.342999999999988</v>
      </c>
      <c r="Q35" s="10">
        <f t="shared" si="26"/>
        <v>40.963009999999962</v>
      </c>
      <c r="R35" s="7">
        <f>'[3]Production Summary'!C66</f>
        <v>13800000</v>
      </c>
      <c r="S35" s="8">
        <f t="shared" si="27"/>
        <v>13.8</v>
      </c>
      <c r="T35" s="10">
        <f t="shared" si="28"/>
        <v>42.366</v>
      </c>
      <c r="U35" s="7">
        <f>'[3]Production Summary'!F66</f>
        <v>3442000</v>
      </c>
      <c r="V35" s="8">
        <f t="shared" si="29"/>
        <v>3.4420000000000002</v>
      </c>
      <c r="W35" s="10">
        <f t="shared" si="30"/>
        <v>10.566940000000001</v>
      </c>
      <c r="X35" s="7">
        <f>'[3]Production Summary'!AB66</f>
        <v>449000.00000001228</v>
      </c>
      <c r="Y35" s="8">
        <f t="shared" si="31"/>
        <v>0.44900000000001228</v>
      </c>
      <c r="Z35" s="10">
        <f t="shared" si="32"/>
        <v>1.3784300000000376</v>
      </c>
      <c r="AA35" s="15"/>
      <c r="AB35" s="7">
        <f t="shared" si="33"/>
        <v>29842999.999999985</v>
      </c>
      <c r="AC35" s="8">
        <f t="shared" si="33"/>
        <v>29.842999999999989</v>
      </c>
      <c r="AD35" s="8">
        <f t="shared" si="33"/>
        <v>91.618009999999956</v>
      </c>
    </row>
    <row r="36" spans="1:30" s="18" customFormat="1" ht="14" thickBot="1" x14ac:dyDescent="0.2">
      <c r="A36" s="15"/>
      <c r="B36" s="37"/>
      <c r="C36" s="38">
        <f>SUM(C5:C35)</f>
        <v>506.5</v>
      </c>
      <c r="D36" s="38">
        <f t="shared" ref="D36" si="34">C36*3.07</f>
        <v>1554.9549999999999</v>
      </c>
      <c r="E36" s="37"/>
      <c r="F36" s="38">
        <f>SUM(F5:F35)</f>
        <v>391</v>
      </c>
      <c r="G36" s="38">
        <f t="shared" ref="G36" si="35">F36*3.07</f>
        <v>1200.3699999999999</v>
      </c>
      <c r="H36" s="37"/>
      <c r="I36" s="38">
        <f>SUM(I5:I35)</f>
        <v>170.06000000000003</v>
      </c>
      <c r="J36" s="38">
        <f t="shared" ref="J36" si="36">I36*3.07</f>
        <v>522.08420000000012</v>
      </c>
      <c r="K36" s="37"/>
      <c r="L36" s="38">
        <f>SUM(L5:L35)</f>
        <v>49.069872999999994</v>
      </c>
      <c r="M36" s="38">
        <f>L36*3.07</f>
        <v>150.64451010999997</v>
      </c>
      <c r="N36" s="14"/>
      <c r="O36" s="37"/>
      <c r="P36" s="38">
        <f>SUM(P5:P35)</f>
        <v>225.00400000000005</v>
      </c>
      <c r="Q36" s="38">
        <f t="shared" ref="Q36" si="37">P36*3.07</f>
        <v>690.76228000000015</v>
      </c>
      <c r="R36" s="37"/>
      <c r="S36" s="38">
        <f>SUM(S5:S35)</f>
        <v>230.76900000000003</v>
      </c>
      <c r="T36" s="38">
        <f t="shared" ref="T36" si="38">S36*3.07</f>
        <v>708.4608300000001</v>
      </c>
      <c r="U36" s="37"/>
      <c r="V36" s="38">
        <f>SUM(V5:V35)</f>
        <v>107.488</v>
      </c>
      <c r="W36" s="38">
        <f>V36*3.07</f>
        <v>329.98815999999999</v>
      </c>
      <c r="X36" s="37"/>
      <c r="Y36" s="38">
        <f>SUM(Y5:Y35)</f>
        <v>5.6410000000000053</v>
      </c>
      <c r="Z36" s="38">
        <f>Y36*3.07</f>
        <v>17.317870000000017</v>
      </c>
      <c r="AA36" s="14"/>
      <c r="AB36" s="37"/>
      <c r="AC36" s="38">
        <f>SUM(AC5:AC35)</f>
        <v>731.50399999999991</v>
      </c>
      <c r="AD36" s="38">
        <f>AC36*3.07</f>
        <v>2245.7172799999994</v>
      </c>
    </row>
    <row r="37" spans="1:30" x14ac:dyDescent="0.1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W37" s="29"/>
    </row>
    <row r="38" spans="1:30" x14ac:dyDescent="0.15">
      <c r="F38" s="18">
        <f>G36-330</f>
        <v>870.36999999999989</v>
      </c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paperSize="5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AD43"/>
  <sheetViews>
    <sheetView workbookViewId="0">
      <pane xSplit="1" ySplit="4" topLeftCell="N20" activePane="bottomRight" state="frozen"/>
      <selection activeCell="W33" sqref="W33:W35"/>
      <selection pane="topRight" activeCell="W33" sqref="W33:W35"/>
      <selection pane="bottomLeft" activeCell="W33" sqref="W33:W35"/>
      <selection pane="bottomRight" activeCell="AC63" sqref="AC63"/>
    </sheetView>
  </sheetViews>
  <sheetFormatPr baseColWidth="10" defaultColWidth="8.83203125" defaultRowHeight="13" x14ac:dyDescent="0.15"/>
  <cols>
    <col min="2" max="2" width="11.1640625" customWidth="1"/>
    <col min="5" max="5" width="15.33203125" customWidth="1"/>
    <col min="7" max="7" width="11.5" customWidth="1"/>
    <col min="8" max="8" width="13.6640625" customWidth="1"/>
    <col min="11" max="11" width="11.6640625" bestFit="1" customWidth="1"/>
    <col min="12" max="12" width="11" customWidth="1"/>
    <col min="15" max="15" width="13.5" bestFit="1" customWidth="1"/>
    <col min="18" max="18" width="10.1640625" customWidth="1"/>
    <col min="19" max="21" width="9.1640625" customWidth="1"/>
    <col min="22" max="22" width="11.1640625" customWidth="1"/>
    <col min="23" max="23" width="9.1640625" customWidth="1"/>
    <col min="28" max="28" width="12.1640625" customWidth="1"/>
  </cols>
  <sheetData>
    <row r="1" spans="1:30" x14ac:dyDescent="0.15">
      <c r="A1" s="41"/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15</v>
      </c>
      <c r="V3" s="63"/>
      <c r="W3" s="64"/>
      <c r="X3" s="62" t="s">
        <v>7</v>
      </c>
      <c r="Y3" s="63"/>
      <c r="Z3" s="64"/>
      <c r="AA3" s="19"/>
      <c r="AB3" s="59" t="s">
        <v>8</v>
      </c>
      <c r="AC3" s="60"/>
      <c r="AD3" s="61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15">
      <c r="A5" s="27">
        <v>43252</v>
      </c>
      <c r="B5" s="7">
        <f>'[3]Production Summary'!J67</f>
        <v>20500000</v>
      </c>
      <c r="C5" s="8">
        <f t="shared" ref="C5" si="0">B5/1000000</f>
        <v>20.5</v>
      </c>
      <c r="D5" s="10">
        <f t="shared" ref="D5" si="1">C5*3.07</f>
        <v>62.934999999999995</v>
      </c>
      <c r="E5" s="7">
        <f>'[3]Production Summary'!E67</f>
        <v>16000000</v>
      </c>
      <c r="F5" s="8">
        <f t="shared" ref="F5" si="2">E5/1000000</f>
        <v>16</v>
      </c>
      <c r="G5" s="10">
        <f t="shared" ref="G5" si="3">F5*3.07</f>
        <v>49.12</v>
      </c>
      <c r="H5" s="7">
        <f>'[3]Production Summary'!G67</f>
        <v>6540000</v>
      </c>
      <c r="I5" s="8">
        <f t="shared" ref="I5" si="4">H5/1000000</f>
        <v>6.54</v>
      </c>
      <c r="J5" s="10">
        <f t="shared" ref="J5" si="5">I5*3.07</f>
        <v>20.0778</v>
      </c>
      <c r="K5" s="7">
        <f>'[3]Production Summary'!T67</f>
        <v>2076051</v>
      </c>
      <c r="L5" s="8">
        <f t="shared" ref="L5" si="6">K5/1000000</f>
        <v>2.0760510000000001</v>
      </c>
      <c r="M5" s="10">
        <f t="shared" ref="M5" si="7">L5*3.07</f>
        <v>6.3734765700000002</v>
      </c>
      <c r="N5" s="21"/>
      <c r="O5" s="7">
        <f>'[3]Production Summary'!I67</f>
        <v>14290000.000000006</v>
      </c>
      <c r="P5" s="8">
        <f t="shared" ref="P5" si="8">O5/1000000</f>
        <v>14.290000000000006</v>
      </c>
      <c r="Q5" s="10">
        <f t="shared" ref="Q5" si="9">P5*3.07</f>
        <v>43.870300000000015</v>
      </c>
      <c r="R5" s="7">
        <f>'[3]Production Summary'!C67</f>
        <v>14656000</v>
      </c>
      <c r="S5" s="8">
        <f t="shared" ref="S5" si="10">R5/1000000</f>
        <v>14.656000000000001</v>
      </c>
      <c r="T5" s="10">
        <f t="shared" ref="T5" si="11">S5*3.07</f>
        <v>44.993920000000003</v>
      </c>
      <c r="U5" s="7">
        <f>'[3]Production Summary'!F67</f>
        <v>3461000</v>
      </c>
      <c r="V5" s="8">
        <f t="shared" ref="V5" si="12">U5/1000000</f>
        <v>3.4609999999999999</v>
      </c>
      <c r="W5" s="10">
        <f t="shared" ref="W5" si="13">V5*3.07</f>
        <v>10.625269999999999</v>
      </c>
      <c r="X5" s="7">
        <f>'[3]Production Summary'!AB67</f>
        <v>358999.99999999464</v>
      </c>
      <c r="Y5" s="8">
        <f t="shared" ref="Y5" si="14">X5/1000000</f>
        <v>0.35899999999999466</v>
      </c>
      <c r="Z5" s="10">
        <f t="shared" ref="Z5" si="15">Y5*3.07</f>
        <v>1.1021299999999836</v>
      </c>
      <c r="AA5" s="15"/>
      <c r="AB5" s="7">
        <f>B5+O5</f>
        <v>34790000.000000007</v>
      </c>
      <c r="AC5" s="8">
        <f>C5+P5</f>
        <v>34.790000000000006</v>
      </c>
      <c r="AD5" s="8">
        <f>D5+Q5</f>
        <v>106.80530000000002</v>
      </c>
    </row>
    <row r="6" spans="1:30" x14ac:dyDescent="0.15">
      <c r="A6" s="27">
        <v>43253</v>
      </c>
      <c r="B6" s="7">
        <f>'[3]Production Summary'!J68</f>
        <v>24500000</v>
      </c>
      <c r="C6" s="8">
        <f t="shared" ref="C6:C34" si="16">B6/1000000</f>
        <v>24.5</v>
      </c>
      <c r="D6" s="10">
        <f t="shared" ref="D6:D34" si="17">C6*3.07</f>
        <v>75.214999999999989</v>
      </c>
      <c r="E6" s="7">
        <f>'[3]Production Summary'!E68</f>
        <v>19000000</v>
      </c>
      <c r="F6" s="8">
        <f t="shared" ref="F6:F34" si="18">E6/1000000</f>
        <v>19</v>
      </c>
      <c r="G6" s="10">
        <f t="shared" ref="G6:G34" si="19">F6*3.07</f>
        <v>58.33</v>
      </c>
      <c r="H6" s="7">
        <f>'[3]Production Summary'!G68</f>
        <v>7930000</v>
      </c>
      <c r="I6" s="8">
        <f t="shared" ref="I6:I34" si="20">H6/1000000</f>
        <v>7.93</v>
      </c>
      <c r="J6" s="10">
        <f t="shared" ref="J6:J34" si="21">I6*3.07</f>
        <v>24.345099999999999</v>
      </c>
      <c r="K6" s="7">
        <f>'[3]Production Summary'!T68</f>
        <v>2373466</v>
      </c>
      <c r="L6" s="8">
        <f t="shared" ref="L6:L34" si="22">K6/1000000</f>
        <v>2.3734660000000001</v>
      </c>
      <c r="M6" s="10">
        <f t="shared" ref="M6:M34" si="23">L6*3.07</f>
        <v>7.2865406200000002</v>
      </c>
      <c r="N6" s="21"/>
      <c r="O6" s="7">
        <f>'[3]Production Summary'!I68</f>
        <v>14040999.999999998</v>
      </c>
      <c r="P6" s="8">
        <f t="shared" ref="P6:P34" si="24">O6/1000000</f>
        <v>14.040999999999999</v>
      </c>
      <c r="Q6" s="10">
        <f t="shared" ref="Q6:Q34" si="25">P6*3.07</f>
        <v>43.105869999999996</v>
      </c>
      <c r="R6" s="7">
        <f>'[3]Production Summary'!C68</f>
        <v>14487000</v>
      </c>
      <c r="S6" s="8">
        <f t="shared" ref="S6:S34" si="26">R6/1000000</f>
        <v>14.487</v>
      </c>
      <c r="T6" s="10">
        <f t="shared" ref="T6:T34" si="27">S6*3.07</f>
        <v>44.475089999999994</v>
      </c>
      <c r="U6" s="7">
        <f>'[3]Production Summary'!F68</f>
        <v>3448000</v>
      </c>
      <c r="V6" s="8">
        <f t="shared" ref="V6:V34" si="28">U6/1000000</f>
        <v>3.448</v>
      </c>
      <c r="W6" s="10">
        <f t="shared" ref="W6:W34" si="29">V6*3.07</f>
        <v>10.58536</v>
      </c>
      <c r="X6" s="7">
        <f>'[3]Production Summary'!AB68</f>
        <v>438000.00000000239</v>
      </c>
      <c r="Y6" s="8">
        <f t="shared" ref="Y6:Y34" si="30">X6/1000000</f>
        <v>0.43800000000000239</v>
      </c>
      <c r="Z6" s="10">
        <f t="shared" ref="Z6:Z34" si="31">Y6*3.07</f>
        <v>1.3446600000000073</v>
      </c>
      <c r="AA6" s="15"/>
      <c r="AB6" s="7">
        <f t="shared" ref="AB6:AB34" si="32">B6+O6</f>
        <v>38541000</v>
      </c>
      <c r="AC6" s="8">
        <f t="shared" ref="AC6:AC34" si="33">C6+P6</f>
        <v>38.540999999999997</v>
      </c>
      <c r="AD6" s="8">
        <f t="shared" ref="AD6:AD34" si="34">D6+Q6</f>
        <v>118.32086999999999</v>
      </c>
    </row>
    <row r="7" spans="1:30" x14ac:dyDescent="0.15">
      <c r="A7" s="27">
        <v>43254</v>
      </c>
      <c r="B7" s="7">
        <f>'[3]Production Summary'!J69</f>
        <v>22399999.999999635</v>
      </c>
      <c r="C7" s="8">
        <f t="shared" si="16"/>
        <v>22.399999999999636</v>
      </c>
      <c r="D7" s="10">
        <f t="shared" si="17"/>
        <v>68.767999999998878</v>
      </c>
      <c r="E7" s="7">
        <f>'[3]Production Summary'!E69</f>
        <v>18000000</v>
      </c>
      <c r="F7" s="8">
        <f t="shared" si="18"/>
        <v>18</v>
      </c>
      <c r="G7" s="10">
        <f t="shared" si="19"/>
        <v>55.26</v>
      </c>
      <c r="H7" s="7">
        <f>'[3]Production Summary'!G69</f>
        <v>7450000</v>
      </c>
      <c r="I7" s="8">
        <f t="shared" si="20"/>
        <v>7.45</v>
      </c>
      <c r="J7" s="10">
        <f t="shared" si="21"/>
        <v>22.871500000000001</v>
      </c>
      <c r="K7" s="7">
        <f>'[3]Production Summary'!T69</f>
        <v>2164663</v>
      </c>
      <c r="L7" s="8">
        <f t="shared" si="22"/>
        <v>2.164663</v>
      </c>
      <c r="M7" s="10">
        <f t="shared" si="23"/>
        <v>6.6455154099999998</v>
      </c>
      <c r="N7" s="21"/>
      <c r="O7" s="7">
        <f>'[3]Production Summary'!I69</f>
        <v>13424000.000000009</v>
      </c>
      <c r="P7" s="8">
        <f t="shared" si="24"/>
        <v>13.42400000000001</v>
      </c>
      <c r="Q7" s="10">
        <f t="shared" si="25"/>
        <v>41.21168000000003</v>
      </c>
      <c r="R7" s="7">
        <f>'[3]Production Summary'!C69</f>
        <v>13707000</v>
      </c>
      <c r="S7" s="8">
        <f t="shared" si="26"/>
        <v>13.707000000000001</v>
      </c>
      <c r="T7" s="10">
        <f t="shared" si="27"/>
        <v>42.080489999999998</v>
      </c>
      <c r="U7" s="7">
        <f>'[3]Production Summary'!F69</f>
        <v>3460000</v>
      </c>
      <c r="V7" s="8">
        <f t="shared" si="28"/>
        <v>3.46</v>
      </c>
      <c r="W7" s="10">
        <f t="shared" si="29"/>
        <v>10.622199999999999</v>
      </c>
      <c r="X7" s="7">
        <f>'[3]Production Summary'!AB69</f>
        <v>277999.99999999156</v>
      </c>
      <c r="Y7" s="8">
        <f t="shared" si="30"/>
        <v>0.27799999999999159</v>
      </c>
      <c r="Z7" s="10">
        <f t="shared" si="31"/>
        <v>0.85345999999997413</v>
      </c>
      <c r="AA7" s="15"/>
      <c r="AB7" s="7">
        <f t="shared" si="32"/>
        <v>35823999.999999642</v>
      </c>
      <c r="AC7" s="8">
        <f t="shared" si="33"/>
        <v>35.823999999999643</v>
      </c>
      <c r="AD7" s="8">
        <f t="shared" si="34"/>
        <v>109.97967999999891</v>
      </c>
    </row>
    <row r="8" spans="1:30" x14ac:dyDescent="0.15">
      <c r="A8" s="27">
        <v>43255</v>
      </c>
      <c r="B8" s="7">
        <f>'[3]Production Summary'!J70</f>
        <v>22199999.999998908</v>
      </c>
      <c r="C8" s="8">
        <f t="shared" si="16"/>
        <v>22.199999999998909</v>
      </c>
      <c r="D8" s="10">
        <f t="shared" si="17"/>
        <v>68.153999999996643</v>
      </c>
      <c r="E8" s="7">
        <f>'[3]Production Summary'!E70</f>
        <v>17000000</v>
      </c>
      <c r="F8" s="8">
        <f t="shared" si="18"/>
        <v>17</v>
      </c>
      <c r="G8" s="10">
        <f t="shared" si="19"/>
        <v>52.19</v>
      </c>
      <c r="H8" s="7">
        <f>'[3]Production Summary'!G70</f>
        <v>7510000</v>
      </c>
      <c r="I8" s="8">
        <f t="shared" si="20"/>
        <v>7.51</v>
      </c>
      <c r="J8" s="10">
        <f t="shared" si="21"/>
        <v>23.055699999999998</v>
      </c>
      <c r="K8" s="7">
        <f>'[3]Production Summary'!T70</f>
        <v>2229931</v>
      </c>
      <c r="L8" s="8">
        <f t="shared" si="22"/>
        <v>2.2299310000000001</v>
      </c>
      <c r="M8" s="10">
        <f t="shared" si="23"/>
        <v>6.8458881700000003</v>
      </c>
      <c r="N8" s="21"/>
      <c r="O8" s="7">
        <f>'[3]Production Summary'!I70</f>
        <v>15138999.999999994</v>
      </c>
      <c r="P8" s="8">
        <f t="shared" si="24"/>
        <v>15.138999999999994</v>
      </c>
      <c r="Q8" s="10">
        <f t="shared" si="25"/>
        <v>46.476729999999982</v>
      </c>
      <c r="R8" s="7">
        <f>'[3]Production Summary'!C70</f>
        <v>15527000</v>
      </c>
      <c r="S8" s="8">
        <f t="shared" si="26"/>
        <v>15.526999999999999</v>
      </c>
      <c r="T8" s="10">
        <f t="shared" si="27"/>
        <v>47.667889999999993</v>
      </c>
      <c r="U8" s="7">
        <f>'[3]Production Summary'!F70</f>
        <v>3460000</v>
      </c>
      <c r="V8" s="8">
        <f t="shared" si="28"/>
        <v>3.46</v>
      </c>
      <c r="W8" s="10">
        <f t="shared" si="29"/>
        <v>10.622199999999999</v>
      </c>
      <c r="X8" s="7">
        <f>'[3]Production Summary'!AB70</f>
        <v>382000.00000000501</v>
      </c>
      <c r="Y8" s="8">
        <f t="shared" si="30"/>
        <v>0.382000000000005</v>
      </c>
      <c r="Z8" s="10">
        <f t="shared" si="31"/>
        <v>1.1727400000000152</v>
      </c>
      <c r="AA8" s="15"/>
      <c r="AB8" s="7">
        <f t="shared" si="32"/>
        <v>37338999.999998905</v>
      </c>
      <c r="AC8" s="8">
        <f t="shared" si="33"/>
        <v>37.338999999998904</v>
      </c>
      <c r="AD8" s="8">
        <f t="shared" si="34"/>
        <v>114.63072999999662</v>
      </c>
    </row>
    <row r="9" spans="1:30" x14ac:dyDescent="0.15">
      <c r="A9" s="27">
        <v>43256</v>
      </c>
      <c r="B9" s="7">
        <f>'[3]Production Summary'!J71</f>
        <v>26500000</v>
      </c>
      <c r="C9" s="8">
        <f t="shared" si="16"/>
        <v>26.5</v>
      </c>
      <c r="D9" s="10">
        <f t="shared" si="17"/>
        <v>81.35499999999999</v>
      </c>
      <c r="E9" s="7">
        <f>'[3]Production Summary'!E71</f>
        <v>21000000</v>
      </c>
      <c r="F9" s="8">
        <f t="shared" si="18"/>
        <v>21</v>
      </c>
      <c r="G9" s="10">
        <f t="shared" si="19"/>
        <v>64.47</v>
      </c>
      <c r="H9" s="7">
        <f>'[3]Production Summary'!G71</f>
        <v>8090000</v>
      </c>
      <c r="I9" s="8">
        <f t="shared" si="20"/>
        <v>8.09</v>
      </c>
      <c r="J9" s="10">
        <f t="shared" si="21"/>
        <v>24.836299999999998</v>
      </c>
      <c r="K9" s="7">
        <f>'[3]Production Summary'!T71</f>
        <v>2411446</v>
      </c>
      <c r="L9" s="8">
        <f t="shared" si="22"/>
        <v>2.4114460000000002</v>
      </c>
      <c r="M9" s="10">
        <f t="shared" si="23"/>
        <v>7.4031392199999999</v>
      </c>
      <c r="N9" s="21"/>
      <c r="O9" s="7">
        <f>'[3]Production Summary'!I71</f>
        <v>9878000.0000000037</v>
      </c>
      <c r="P9" s="8">
        <f t="shared" si="24"/>
        <v>9.8780000000000037</v>
      </c>
      <c r="Q9" s="10">
        <f t="shared" si="25"/>
        <v>30.32546000000001</v>
      </c>
      <c r="R9" s="7">
        <f>'[3]Production Summary'!C71</f>
        <v>10278000</v>
      </c>
      <c r="S9" s="8">
        <f t="shared" si="26"/>
        <v>10.278</v>
      </c>
      <c r="T9" s="10">
        <f t="shared" si="27"/>
        <v>31.553460000000001</v>
      </c>
      <c r="U9" s="7">
        <f>'[3]Production Summary'!F71</f>
        <v>3467000</v>
      </c>
      <c r="V9" s="8">
        <f t="shared" si="28"/>
        <v>3.4670000000000001</v>
      </c>
      <c r="W9" s="10">
        <f t="shared" si="29"/>
        <v>10.643689999999999</v>
      </c>
      <c r="X9" s="7">
        <f>'[3]Production Summary'!AB71</f>
        <v>391999.99999999593</v>
      </c>
      <c r="Y9" s="8">
        <f t="shared" si="30"/>
        <v>0.39199999999999591</v>
      </c>
      <c r="Z9" s="10">
        <f t="shared" si="31"/>
        <v>1.2034399999999874</v>
      </c>
      <c r="AA9" s="15"/>
      <c r="AB9" s="7">
        <f t="shared" si="32"/>
        <v>36378000</v>
      </c>
      <c r="AC9" s="8">
        <f t="shared" si="33"/>
        <v>36.378</v>
      </c>
      <c r="AD9" s="8">
        <f t="shared" si="34"/>
        <v>111.68046</v>
      </c>
    </row>
    <row r="10" spans="1:30" x14ac:dyDescent="0.15">
      <c r="A10" s="27">
        <v>43257</v>
      </c>
      <c r="B10" s="7">
        <f>'[3]Production Summary'!J72</f>
        <v>26500000</v>
      </c>
      <c r="C10" s="8">
        <f t="shared" si="16"/>
        <v>26.5</v>
      </c>
      <c r="D10" s="10">
        <f t="shared" si="17"/>
        <v>81.35499999999999</v>
      </c>
      <c r="E10" s="7">
        <f>'[3]Production Summary'!E72</f>
        <v>21000000</v>
      </c>
      <c r="F10" s="8">
        <f t="shared" si="18"/>
        <v>21</v>
      </c>
      <c r="G10" s="10">
        <f t="shared" si="19"/>
        <v>64.47</v>
      </c>
      <c r="H10" s="7">
        <f>'[3]Production Summary'!G72</f>
        <v>8400000</v>
      </c>
      <c r="I10" s="8">
        <f t="shared" si="20"/>
        <v>8.4</v>
      </c>
      <c r="J10" s="10">
        <f t="shared" si="21"/>
        <v>25.788</v>
      </c>
      <c r="K10" s="7">
        <f>'[3]Production Summary'!T72</f>
        <v>2360206</v>
      </c>
      <c r="L10" s="8">
        <f t="shared" si="22"/>
        <v>2.3602059999999998</v>
      </c>
      <c r="M10" s="10">
        <f t="shared" si="23"/>
        <v>7.2458324199999993</v>
      </c>
      <c r="N10" s="21"/>
      <c r="O10" s="7">
        <f>'[3]Production Summary'!I72</f>
        <v>14007999.999999989</v>
      </c>
      <c r="P10" s="8">
        <f t="shared" si="24"/>
        <v>14.007999999999988</v>
      </c>
      <c r="Q10" s="10">
        <f t="shared" si="25"/>
        <v>43.004559999999962</v>
      </c>
      <c r="R10" s="7">
        <f>'[3]Production Summary'!C72</f>
        <v>14307000</v>
      </c>
      <c r="S10" s="8">
        <f t="shared" si="26"/>
        <v>14.307</v>
      </c>
      <c r="T10" s="10">
        <f t="shared" si="27"/>
        <v>43.922489999999996</v>
      </c>
      <c r="U10" s="7">
        <f>'[3]Production Summary'!F72</f>
        <v>3410000</v>
      </c>
      <c r="V10" s="8">
        <f t="shared" si="28"/>
        <v>3.41</v>
      </c>
      <c r="W10" s="10">
        <f t="shared" si="29"/>
        <v>10.4687</v>
      </c>
      <c r="X10" s="7">
        <f>'[3]Production Summary'!AB72</f>
        <v>294000.00000001112</v>
      </c>
      <c r="Y10" s="8">
        <f t="shared" si="30"/>
        <v>0.29400000000001114</v>
      </c>
      <c r="Z10" s="10">
        <f t="shared" si="31"/>
        <v>0.90258000000003413</v>
      </c>
      <c r="AA10" s="15"/>
      <c r="AB10" s="7">
        <f t="shared" si="32"/>
        <v>40507999.999999985</v>
      </c>
      <c r="AC10" s="8">
        <f t="shared" si="33"/>
        <v>40.507999999999988</v>
      </c>
      <c r="AD10" s="8">
        <f t="shared" si="34"/>
        <v>124.35955999999996</v>
      </c>
    </row>
    <row r="11" spans="1:30" x14ac:dyDescent="0.15">
      <c r="A11" s="27">
        <v>43258</v>
      </c>
      <c r="B11" s="7">
        <f>'[3]Production Summary'!J73</f>
        <v>23200000.000000726</v>
      </c>
      <c r="C11" s="8">
        <f t="shared" si="16"/>
        <v>23.200000000000728</v>
      </c>
      <c r="D11" s="10">
        <f t="shared" si="17"/>
        <v>71.224000000002235</v>
      </c>
      <c r="E11" s="7">
        <f>'[3]Production Summary'!E73</f>
        <v>18000000</v>
      </c>
      <c r="F11" s="8">
        <f t="shared" si="18"/>
        <v>18</v>
      </c>
      <c r="G11" s="10">
        <f t="shared" si="19"/>
        <v>55.26</v>
      </c>
      <c r="H11" s="7">
        <f>'[3]Production Summary'!G73</f>
        <v>7390000</v>
      </c>
      <c r="I11" s="8">
        <f t="shared" si="20"/>
        <v>7.39</v>
      </c>
      <c r="J11" s="10">
        <f t="shared" si="21"/>
        <v>22.687299999999997</v>
      </c>
      <c r="K11" s="7">
        <f>'[3]Production Summary'!T73</f>
        <v>2122676</v>
      </c>
      <c r="L11" s="8">
        <f t="shared" si="22"/>
        <v>2.1226759999999998</v>
      </c>
      <c r="M11" s="10">
        <f t="shared" si="23"/>
        <v>6.5166153199999988</v>
      </c>
      <c r="N11" s="21"/>
      <c r="O11" s="7">
        <f>'[3]Production Summary'!I73</f>
        <v>12325000.000000011</v>
      </c>
      <c r="P11" s="8">
        <f t="shared" si="24"/>
        <v>12.325000000000012</v>
      </c>
      <c r="Q11" s="10">
        <f t="shared" si="25"/>
        <v>37.837750000000035</v>
      </c>
      <c r="R11" s="7">
        <f>'[3]Production Summary'!C73</f>
        <v>12681000</v>
      </c>
      <c r="S11" s="8">
        <f t="shared" si="26"/>
        <v>12.680999999999999</v>
      </c>
      <c r="T11" s="10">
        <f t="shared" si="27"/>
        <v>38.930669999999992</v>
      </c>
      <c r="U11" s="7">
        <f>'[3]Production Summary'!F73</f>
        <v>3470000</v>
      </c>
      <c r="V11" s="8">
        <f t="shared" si="28"/>
        <v>3.47</v>
      </c>
      <c r="W11" s="10">
        <f t="shared" si="29"/>
        <v>10.652900000000001</v>
      </c>
      <c r="X11" s="7">
        <f>'[3]Production Summary'!AB73</f>
        <v>348999.99999998952</v>
      </c>
      <c r="Y11" s="8">
        <f t="shared" si="30"/>
        <v>0.34899999999998954</v>
      </c>
      <c r="Z11" s="10">
        <f t="shared" si="31"/>
        <v>1.0714299999999679</v>
      </c>
      <c r="AA11" s="15"/>
      <c r="AB11" s="7">
        <f t="shared" si="32"/>
        <v>35525000.000000738</v>
      </c>
      <c r="AC11" s="8">
        <f t="shared" si="33"/>
        <v>35.525000000000738</v>
      </c>
      <c r="AD11" s="8">
        <f t="shared" si="34"/>
        <v>109.06175000000226</v>
      </c>
    </row>
    <row r="12" spans="1:30" x14ac:dyDescent="0.15">
      <c r="A12" s="27">
        <v>43259</v>
      </c>
      <c r="B12" s="7">
        <f>'[3]Production Summary'!J74</f>
        <v>31899999.999999635</v>
      </c>
      <c r="C12" s="8">
        <f t="shared" si="16"/>
        <v>31.899999999999636</v>
      </c>
      <c r="D12" s="10">
        <f t="shared" si="17"/>
        <v>97.932999999998884</v>
      </c>
      <c r="E12" s="7">
        <f>'[3]Production Summary'!E74</f>
        <v>24000000</v>
      </c>
      <c r="F12" s="8">
        <f t="shared" si="18"/>
        <v>24</v>
      </c>
      <c r="G12" s="10">
        <f t="shared" si="19"/>
        <v>73.679999999999993</v>
      </c>
      <c r="H12" s="7">
        <f>'[3]Production Summary'!G74</f>
        <v>10820000</v>
      </c>
      <c r="I12" s="8">
        <f t="shared" si="20"/>
        <v>10.82</v>
      </c>
      <c r="J12" s="10">
        <f t="shared" si="21"/>
        <v>33.217399999999998</v>
      </c>
      <c r="K12" s="7">
        <f>'[3]Production Summary'!T74</f>
        <v>2977482</v>
      </c>
      <c r="L12" s="8">
        <f t="shared" si="22"/>
        <v>2.9774820000000002</v>
      </c>
      <c r="M12" s="10">
        <f t="shared" si="23"/>
        <v>9.1408697399999994</v>
      </c>
      <c r="N12" s="21"/>
      <c r="O12" s="7">
        <f>'[3]Production Summary'!I74</f>
        <v>14145999.999999993</v>
      </c>
      <c r="P12" s="8">
        <f t="shared" si="24"/>
        <v>14.145999999999992</v>
      </c>
      <c r="Q12" s="10">
        <f t="shared" si="25"/>
        <v>43.428219999999975</v>
      </c>
      <c r="R12" s="7">
        <f>'[3]Production Summary'!C74</f>
        <v>14472000</v>
      </c>
      <c r="S12" s="8">
        <f t="shared" si="26"/>
        <v>14.472</v>
      </c>
      <c r="T12" s="10">
        <f t="shared" si="27"/>
        <v>44.429039999999993</v>
      </c>
      <c r="U12" s="7">
        <f>'[3]Production Summary'!F74</f>
        <v>3474000</v>
      </c>
      <c r="V12" s="8">
        <f t="shared" si="28"/>
        <v>3.4740000000000002</v>
      </c>
      <c r="W12" s="10">
        <f t="shared" si="29"/>
        <v>10.665179999999999</v>
      </c>
      <c r="X12" s="7">
        <f>'[3]Production Summary'!AB74</f>
        <v>320000.00000000739</v>
      </c>
      <c r="Y12" s="8">
        <f t="shared" si="30"/>
        <v>0.32000000000000739</v>
      </c>
      <c r="Z12" s="10">
        <f t="shared" si="31"/>
        <v>0.98240000000002259</v>
      </c>
      <c r="AA12" s="15"/>
      <c r="AB12" s="7">
        <f t="shared" si="32"/>
        <v>46045999.999999627</v>
      </c>
      <c r="AC12" s="8">
        <f t="shared" si="33"/>
        <v>46.04599999999963</v>
      </c>
      <c r="AD12" s="8">
        <f t="shared" si="34"/>
        <v>141.36121999999887</v>
      </c>
    </row>
    <row r="13" spans="1:30" x14ac:dyDescent="0.15">
      <c r="A13" s="27">
        <v>43260</v>
      </c>
      <c r="B13" s="7">
        <f>'[3]Production Summary'!J75</f>
        <v>27500000</v>
      </c>
      <c r="C13" s="8">
        <f t="shared" si="16"/>
        <v>27.5</v>
      </c>
      <c r="D13" s="10">
        <f t="shared" si="17"/>
        <v>84.424999999999997</v>
      </c>
      <c r="E13" s="7">
        <f>'[3]Production Summary'!E75</f>
        <v>21000000</v>
      </c>
      <c r="F13" s="8">
        <f t="shared" si="18"/>
        <v>21</v>
      </c>
      <c r="G13" s="10">
        <f t="shared" si="19"/>
        <v>64.47</v>
      </c>
      <c r="H13" s="7">
        <f>'[3]Production Summary'!G75</f>
        <v>9930000</v>
      </c>
      <c r="I13" s="8">
        <f t="shared" si="20"/>
        <v>9.93</v>
      </c>
      <c r="J13" s="10">
        <f t="shared" si="21"/>
        <v>30.485099999999999</v>
      </c>
      <c r="K13" s="7">
        <f>'[3]Production Summary'!T75</f>
        <v>2674467</v>
      </c>
      <c r="L13" s="8">
        <f t="shared" si="22"/>
        <v>2.6744669999999999</v>
      </c>
      <c r="M13" s="10">
        <f t="shared" si="23"/>
        <v>8.2106136899999989</v>
      </c>
      <c r="N13" s="21"/>
      <c r="O13" s="7">
        <f>'[3]Production Summary'!I75</f>
        <v>12698000.000000002</v>
      </c>
      <c r="P13" s="8">
        <f t="shared" si="24"/>
        <v>12.698000000000002</v>
      </c>
      <c r="Q13" s="10">
        <f t="shared" si="25"/>
        <v>38.982860000000002</v>
      </c>
      <c r="R13" s="7">
        <f>'[3]Production Summary'!C75</f>
        <v>13050000</v>
      </c>
      <c r="S13" s="8">
        <f t="shared" si="26"/>
        <v>13.05</v>
      </c>
      <c r="T13" s="10">
        <f t="shared" si="27"/>
        <v>40.063499999999998</v>
      </c>
      <c r="U13" s="7">
        <f>'[3]Production Summary'!F75</f>
        <v>3433000</v>
      </c>
      <c r="V13" s="8">
        <f t="shared" si="28"/>
        <v>3.4329999999999998</v>
      </c>
      <c r="W13" s="10">
        <f t="shared" si="29"/>
        <v>10.539309999999999</v>
      </c>
      <c r="X13" s="7">
        <f>'[3]Production Summary'!AB75</f>
        <v>344999.99999999884</v>
      </c>
      <c r="Y13" s="8">
        <f t="shared" si="30"/>
        <v>0.34499999999999886</v>
      </c>
      <c r="Z13" s="10">
        <f t="shared" si="31"/>
        <v>1.0591499999999965</v>
      </c>
      <c r="AA13" s="15"/>
      <c r="AB13" s="7">
        <f t="shared" si="32"/>
        <v>40198000</v>
      </c>
      <c r="AC13" s="8">
        <f t="shared" si="33"/>
        <v>40.198</v>
      </c>
      <c r="AD13" s="8">
        <f t="shared" si="34"/>
        <v>123.40786</v>
      </c>
    </row>
    <row r="14" spans="1:30" x14ac:dyDescent="0.15">
      <c r="A14" s="27">
        <v>43261</v>
      </c>
      <c r="B14" s="7">
        <f>'[3]Production Summary'!J76</f>
        <v>28500000</v>
      </c>
      <c r="C14" s="8">
        <f t="shared" si="16"/>
        <v>28.5</v>
      </c>
      <c r="D14" s="10">
        <f t="shared" si="17"/>
        <v>87.49499999999999</v>
      </c>
      <c r="E14" s="7">
        <f>'[3]Production Summary'!E76</f>
        <v>21000000</v>
      </c>
      <c r="F14" s="8">
        <f t="shared" si="18"/>
        <v>21</v>
      </c>
      <c r="G14" s="10">
        <f t="shared" si="19"/>
        <v>64.47</v>
      </c>
      <c r="H14" s="7">
        <f>'[3]Production Summary'!G76</f>
        <v>10010000</v>
      </c>
      <c r="I14" s="8">
        <f t="shared" si="20"/>
        <v>10.01</v>
      </c>
      <c r="J14" s="10">
        <f t="shared" si="21"/>
        <v>30.730699999999999</v>
      </c>
      <c r="K14" s="7">
        <f>'[3]Production Summary'!T76</f>
        <v>2750342</v>
      </c>
      <c r="L14" s="8">
        <f t="shared" si="22"/>
        <v>2.7503419999999998</v>
      </c>
      <c r="M14" s="10">
        <f t="shared" si="23"/>
        <v>8.4435499399999987</v>
      </c>
      <c r="N14" s="21"/>
      <c r="O14" s="7">
        <f>'[3]Production Summary'!I76</f>
        <v>13722999.999999996</v>
      </c>
      <c r="P14" s="8">
        <f t="shared" si="24"/>
        <v>13.722999999999995</v>
      </c>
      <c r="Q14" s="10">
        <f t="shared" si="25"/>
        <v>42.129609999999985</v>
      </c>
      <c r="R14" s="7">
        <f>'[3]Production Summary'!C76</f>
        <v>14080000</v>
      </c>
      <c r="S14" s="8">
        <f t="shared" si="26"/>
        <v>14.08</v>
      </c>
      <c r="T14" s="10">
        <f t="shared" si="27"/>
        <v>43.2256</v>
      </c>
      <c r="U14" s="7">
        <f>'[3]Production Summary'!F76</f>
        <v>3481000</v>
      </c>
      <c r="V14" s="8">
        <f t="shared" si="28"/>
        <v>3.4809999999999999</v>
      </c>
      <c r="W14" s="10">
        <f t="shared" si="29"/>
        <v>10.686669999999999</v>
      </c>
      <c r="X14" s="7">
        <f>'[3]Production Summary'!AB76</f>
        <v>349000.00000000373</v>
      </c>
      <c r="Y14" s="8">
        <f t="shared" si="30"/>
        <v>0.34900000000000375</v>
      </c>
      <c r="Z14" s="10">
        <f t="shared" si="31"/>
        <v>1.0714300000000114</v>
      </c>
      <c r="AA14" s="15"/>
      <c r="AB14" s="7">
        <f t="shared" si="32"/>
        <v>42223000</v>
      </c>
      <c r="AC14" s="8">
        <f t="shared" si="33"/>
        <v>42.222999999999999</v>
      </c>
      <c r="AD14" s="8">
        <f t="shared" si="34"/>
        <v>129.62460999999996</v>
      </c>
    </row>
    <row r="15" spans="1:30" x14ac:dyDescent="0.15">
      <c r="A15" s="27">
        <v>43262</v>
      </c>
      <c r="B15" s="7">
        <f>'[3]Production Summary'!J77</f>
        <v>25500000</v>
      </c>
      <c r="C15" s="8">
        <f t="shared" si="16"/>
        <v>25.5</v>
      </c>
      <c r="D15" s="10">
        <f t="shared" si="17"/>
        <v>78.284999999999997</v>
      </c>
      <c r="E15" s="7">
        <f>'[3]Production Summary'!E77</f>
        <v>20000000</v>
      </c>
      <c r="F15" s="8">
        <f t="shared" si="18"/>
        <v>20</v>
      </c>
      <c r="G15" s="10">
        <f t="shared" si="19"/>
        <v>61.4</v>
      </c>
      <c r="H15" s="7">
        <f>'[3]Production Summary'!G77</f>
        <v>8860000</v>
      </c>
      <c r="I15" s="8">
        <f t="shared" si="20"/>
        <v>8.86</v>
      </c>
      <c r="J15" s="10">
        <f t="shared" si="21"/>
        <v>27.200199999999995</v>
      </c>
      <c r="K15" s="7">
        <f>'[3]Production Summary'!T77</f>
        <v>2563420</v>
      </c>
      <c r="L15" s="8">
        <f t="shared" si="22"/>
        <v>2.5634199999999998</v>
      </c>
      <c r="M15" s="10">
        <f t="shared" si="23"/>
        <v>7.8696993999999991</v>
      </c>
      <c r="N15" s="21"/>
      <c r="O15" s="7">
        <f>'[3]Production Summary'!I77</f>
        <v>13880000</v>
      </c>
      <c r="P15" s="8">
        <f t="shared" si="24"/>
        <v>13.88</v>
      </c>
      <c r="Q15" s="10">
        <f t="shared" si="25"/>
        <v>42.611600000000003</v>
      </c>
      <c r="R15" s="7">
        <f>'[3]Production Summary'!C77</f>
        <v>14281000</v>
      </c>
      <c r="S15" s="8">
        <f t="shared" si="26"/>
        <v>14.281000000000001</v>
      </c>
      <c r="T15" s="10">
        <f t="shared" si="27"/>
        <v>43.842669999999998</v>
      </c>
      <c r="U15" s="7">
        <f>'[3]Production Summary'!F77</f>
        <v>3434000</v>
      </c>
      <c r="V15" s="8">
        <f t="shared" si="28"/>
        <v>3.4340000000000002</v>
      </c>
      <c r="W15" s="10">
        <f t="shared" si="29"/>
        <v>10.54238</v>
      </c>
      <c r="X15" s="7">
        <f>'[3]Production Summary'!AB77</f>
        <v>393000.0000000007</v>
      </c>
      <c r="Y15" s="8">
        <f t="shared" si="30"/>
        <v>0.39300000000000068</v>
      </c>
      <c r="Z15" s="10">
        <f t="shared" si="31"/>
        <v>1.206510000000002</v>
      </c>
      <c r="AA15" s="15"/>
      <c r="AB15" s="7">
        <f t="shared" si="32"/>
        <v>39380000</v>
      </c>
      <c r="AC15" s="8">
        <f t="shared" si="33"/>
        <v>39.380000000000003</v>
      </c>
      <c r="AD15" s="8">
        <f t="shared" si="34"/>
        <v>120.89660000000001</v>
      </c>
    </row>
    <row r="16" spans="1:30" x14ac:dyDescent="0.15">
      <c r="A16" s="27">
        <v>43263</v>
      </c>
      <c r="B16" s="7">
        <f>'[3]Production Summary'!J78</f>
        <v>28300000.000001092</v>
      </c>
      <c r="C16" s="8">
        <f t="shared" si="16"/>
        <v>28.300000000001091</v>
      </c>
      <c r="D16" s="10">
        <f t="shared" si="17"/>
        <v>86.88100000000334</v>
      </c>
      <c r="E16" s="7">
        <f>'[3]Production Summary'!E78</f>
        <v>21000000</v>
      </c>
      <c r="F16" s="8">
        <f t="shared" si="18"/>
        <v>21</v>
      </c>
      <c r="G16" s="10">
        <f t="shared" si="19"/>
        <v>64.47</v>
      </c>
      <c r="H16" s="7">
        <f>'[3]Production Summary'!G78</f>
        <v>9630000</v>
      </c>
      <c r="I16" s="8">
        <f t="shared" si="20"/>
        <v>9.6300000000000008</v>
      </c>
      <c r="J16" s="10">
        <f t="shared" si="21"/>
        <v>29.5641</v>
      </c>
      <c r="K16" s="7">
        <f>'[3]Production Summary'!T78</f>
        <v>2546783</v>
      </c>
      <c r="L16" s="8">
        <f t="shared" si="22"/>
        <v>2.546783</v>
      </c>
      <c r="M16" s="10">
        <f t="shared" si="23"/>
        <v>7.8186238100000001</v>
      </c>
      <c r="N16" s="21"/>
      <c r="O16" s="7">
        <f>'[3]Production Summary'!I78</f>
        <v>12801000.000000009</v>
      </c>
      <c r="P16" s="8">
        <f t="shared" si="24"/>
        <v>12.801000000000009</v>
      </c>
      <c r="Q16" s="10">
        <f t="shared" si="25"/>
        <v>39.299070000000029</v>
      </c>
      <c r="R16" s="7">
        <f>'[3]Production Summary'!C78</f>
        <v>13076000</v>
      </c>
      <c r="S16" s="8">
        <f t="shared" si="26"/>
        <v>13.076000000000001</v>
      </c>
      <c r="T16" s="10">
        <f t="shared" si="27"/>
        <v>40.143320000000003</v>
      </c>
      <c r="U16" s="7">
        <f>'[3]Production Summary'!F78</f>
        <v>3461000</v>
      </c>
      <c r="V16" s="8">
        <f t="shared" si="28"/>
        <v>3.4609999999999999</v>
      </c>
      <c r="W16" s="10">
        <f t="shared" si="29"/>
        <v>10.625269999999999</v>
      </c>
      <c r="X16" s="7">
        <f>'[3]Production Summary'!AB78</f>
        <v>268999.99999999127</v>
      </c>
      <c r="Y16" s="8">
        <f t="shared" si="30"/>
        <v>0.26899999999999125</v>
      </c>
      <c r="Z16" s="10">
        <f t="shared" si="31"/>
        <v>0.82582999999997309</v>
      </c>
      <c r="AA16" s="15"/>
      <c r="AB16" s="7">
        <f t="shared" si="32"/>
        <v>41101000.000001103</v>
      </c>
      <c r="AC16" s="8">
        <f t="shared" si="33"/>
        <v>41.1010000000011</v>
      </c>
      <c r="AD16" s="8">
        <f t="shared" si="34"/>
        <v>126.18007000000337</v>
      </c>
    </row>
    <row r="17" spans="1:30" x14ac:dyDescent="0.15">
      <c r="A17" s="27">
        <v>43264</v>
      </c>
      <c r="B17" s="7">
        <f>'[3]Production Summary'!J79</f>
        <v>29899999.999999635</v>
      </c>
      <c r="C17" s="8">
        <f t="shared" si="16"/>
        <v>29.899999999999636</v>
      </c>
      <c r="D17" s="10">
        <f t="shared" si="17"/>
        <v>91.792999999998884</v>
      </c>
      <c r="E17" s="7">
        <f>'[3]Production Summary'!E79</f>
        <v>24000000</v>
      </c>
      <c r="F17" s="8">
        <f t="shared" si="18"/>
        <v>24</v>
      </c>
      <c r="G17" s="10">
        <f t="shared" si="19"/>
        <v>73.679999999999993</v>
      </c>
      <c r="H17" s="7">
        <f>'[3]Production Summary'!G79</f>
        <v>9860000</v>
      </c>
      <c r="I17" s="8">
        <f t="shared" si="20"/>
        <v>9.86</v>
      </c>
      <c r="J17" s="10">
        <f t="shared" si="21"/>
        <v>30.270199999999996</v>
      </c>
      <c r="K17" s="7">
        <f>'[3]Production Summary'!T79</f>
        <v>2916806</v>
      </c>
      <c r="L17" s="8">
        <f t="shared" si="22"/>
        <v>2.9168059999999998</v>
      </c>
      <c r="M17" s="10">
        <f t="shared" si="23"/>
        <v>8.9545944199999994</v>
      </c>
      <c r="N17" s="21"/>
      <c r="O17" s="7">
        <f>'[3]Production Summary'!I79</f>
        <v>13801000</v>
      </c>
      <c r="P17" s="8">
        <f t="shared" si="24"/>
        <v>13.801</v>
      </c>
      <c r="Q17" s="10">
        <f t="shared" si="25"/>
        <v>42.369070000000001</v>
      </c>
      <c r="R17" s="7">
        <f>'[3]Production Summary'!C79</f>
        <v>14174000</v>
      </c>
      <c r="S17" s="8">
        <f t="shared" si="26"/>
        <v>14.173999999999999</v>
      </c>
      <c r="T17" s="10">
        <f t="shared" si="27"/>
        <v>43.514179999999996</v>
      </c>
      <c r="U17" s="7">
        <f>'[3]Production Summary'!F79</f>
        <v>3491000</v>
      </c>
      <c r="V17" s="8">
        <f t="shared" si="28"/>
        <v>3.4910000000000001</v>
      </c>
      <c r="W17" s="10">
        <f t="shared" si="29"/>
        <v>10.717369999999999</v>
      </c>
      <c r="X17" s="7">
        <f>'[3]Production Summary'!AB79</f>
        <v>365999.99999999965</v>
      </c>
      <c r="Y17" s="8">
        <f t="shared" si="30"/>
        <v>0.36599999999999966</v>
      </c>
      <c r="Z17" s="10">
        <f t="shared" si="31"/>
        <v>1.123619999999999</v>
      </c>
      <c r="AA17" s="15"/>
      <c r="AB17" s="7">
        <f t="shared" si="32"/>
        <v>43700999.999999635</v>
      </c>
      <c r="AC17" s="8">
        <f t="shared" si="33"/>
        <v>43.700999999999638</v>
      </c>
      <c r="AD17" s="8">
        <f t="shared" si="34"/>
        <v>134.16206999999889</v>
      </c>
    </row>
    <row r="18" spans="1:30" x14ac:dyDescent="0.15">
      <c r="A18" s="27">
        <v>43265</v>
      </c>
      <c r="B18" s="7">
        <f>'[3]Production Summary'!J80</f>
        <v>26299999.999999274</v>
      </c>
      <c r="C18" s="8">
        <f t="shared" si="16"/>
        <v>26.299999999999272</v>
      </c>
      <c r="D18" s="10">
        <f t="shared" si="17"/>
        <v>80.740999999997769</v>
      </c>
      <c r="E18" s="7">
        <f>'[3]Production Summary'!E80</f>
        <v>20000000</v>
      </c>
      <c r="F18" s="8">
        <f t="shared" si="18"/>
        <v>20</v>
      </c>
      <c r="G18" s="10">
        <f t="shared" si="19"/>
        <v>61.4</v>
      </c>
      <c r="H18" s="7">
        <f>'[3]Production Summary'!G80</f>
        <v>8510000</v>
      </c>
      <c r="I18" s="8">
        <f t="shared" si="20"/>
        <v>8.51</v>
      </c>
      <c r="J18" s="10">
        <f t="shared" si="21"/>
        <v>26.125699999999998</v>
      </c>
      <c r="K18" s="7">
        <f>'[3]Production Summary'!T80</f>
        <v>2543020</v>
      </c>
      <c r="L18" s="8">
        <f t="shared" si="22"/>
        <v>2.5430199999999998</v>
      </c>
      <c r="M18" s="10">
        <f t="shared" si="23"/>
        <v>7.807071399999999</v>
      </c>
      <c r="N18" s="21"/>
      <c r="O18" s="7">
        <f>'[3]Production Summary'!I80</f>
        <v>13359999.999999991</v>
      </c>
      <c r="P18" s="8">
        <f t="shared" si="24"/>
        <v>13.359999999999991</v>
      </c>
      <c r="Q18" s="10">
        <f t="shared" si="25"/>
        <v>41.015199999999972</v>
      </c>
      <c r="R18" s="7">
        <f>'[3]Production Summary'!C80</f>
        <v>13623000</v>
      </c>
      <c r="S18" s="8">
        <f t="shared" si="26"/>
        <v>13.622999999999999</v>
      </c>
      <c r="T18" s="10">
        <f t="shared" si="27"/>
        <v>41.822609999999997</v>
      </c>
      <c r="U18" s="7">
        <f>'[3]Production Summary'!F80</f>
        <v>3492000</v>
      </c>
      <c r="V18" s="8">
        <f t="shared" si="28"/>
        <v>3.492</v>
      </c>
      <c r="W18" s="10">
        <f t="shared" si="29"/>
        <v>10.72044</v>
      </c>
      <c r="X18" s="7">
        <f>'[3]Production Summary'!AB80</f>
        <v>255000.00000000966</v>
      </c>
      <c r="Y18" s="8">
        <f t="shared" si="30"/>
        <v>0.25500000000000966</v>
      </c>
      <c r="Z18" s="10">
        <f t="shared" si="31"/>
        <v>0.78285000000002958</v>
      </c>
      <c r="AA18" s="15"/>
      <c r="AB18" s="7">
        <f t="shared" si="32"/>
        <v>39659999.999999262</v>
      </c>
      <c r="AC18" s="8">
        <f t="shared" si="33"/>
        <v>39.659999999999265</v>
      </c>
      <c r="AD18" s="8">
        <f t="shared" si="34"/>
        <v>121.75619999999773</v>
      </c>
    </row>
    <row r="19" spans="1:30" x14ac:dyDescent="0.15">
      <c r="A19" s="27">
        <v>43266</v>
      </c>
      <c r="B19" s="7">
        <f>'[3]Production Summary'!J81</f>
        <v>27300000.000001092</v>
      </c>
      <c r="C19" s="8">
        <f t="shared" si="16"/>
        <v>27.300000000001091</v>
      </c>
      <c r="D19" s="10">
        <f t="shared" si="17"/>
        <v>83.811000000003347</v>
      </c>
      <c r="E19" s="7">
        <f>'[3]Production Summary'!E81</f>
        <v>20000000</v>
      </c>
      <c r="F19" s="8">
        <f t="shared" si="18"/>
        <v>20</v>
      </c>
      <c r="G19" s="10">
        <f t="shared" si="19"/>
        <v>61.4</v>
      </c>
      <c r="H19" s="7">
        <f>'[3]Production Summary'!G81</f>
        <v>9890000</v>
      </c>
      <c r="I19" s="8">
        <f t="shared" si="20"/>
        <v>9.89</v>
      </c>
      <c r="J19" s="10">
        <f t="shared" si="21"/>
        <v>30.362300000000001</v>
      </c>
      <c r="K19" s="7">
        <f>'[3]Production Summary'!T81</f>
        <v>2620404</v>
      </c>
      <c r="L19" s="8">
        <f t="shared" si="22"/>
        <v>2.6204040000000002</v>
      </c>
      <c r="M19" s="10">
        <f t="shared" si="23"/>
        <v>8.0446402799999994</v>
      </c>
      <c r="N19" s="21"/>
      <c r="O19" s="7">
        <f>'[3]Production Summary'!I81</f>
        <v>13599000.000000002</v>
      </c>
      <c r="P19" s="8">
        <f t="shared" si="24"/>
        <v>13.599000000000002</v>
      </c>
      <c r="Q19" s="10">
        <f t="shared" si="25"/>
        <v>41.748930000000001</v>
      </c>
      <c r="R19" s="7">
        <f>'[3]Production Summary'!C81</f>
        <v>13916000</v>
      </c>
      <c r="S19" s="8">
        <f t="shared" si="26"/>
        <v>13.916</v>
      </c>
      <c r="T19" s="10">
        <f t="shared" si="27"/>
        <v>42.722119999999997</v>
      </c>
      <c r="U19" s="7">
        <f>'[3]Production Summary'!F81</f>
        <v>3414000</v>
      </c>
      <c r="V19" s="8">
        <f t="shared" si="28"/>
        <v>3.4140000000000001</v>
      </c>
      <c r="W19" s="10">
        <f t="shared" si="29"/>
        <v>10.480980000000001</v>
      </c>
      <c r="X19" s="7">
        <f>'[3]Production Summary'!AB81</f>
        <v>311999.99999999761</v>
      </c>
      <c r="Y19" s="8">
        <f t="shared" si="30"/>
        <v>0.31199999999999761</v>
      </c>
      <c r="Z19" s="10">
        <f t="shared" si="31"/>
        <v>0.95783999999999259</v>
      </c>
      <c r="AA19" s="15"/>
      <c r="AB19" s="7">
        <f t="shared" si="32"/>
        <v>40899000.000001095</v>
      </c>
      <c r="AC19" s="8">
        <f t="shared" si="33"/>
        <v>40.899000000001095</v>
      </c>
      <c r="AD19" s="8">
        <f t="shared" si="34"/>
        <v>125.55993000000335</v>
      </c>
    </row>
    <row r="20" spans="1:30" x14ac:dyDescent="0.15">
      <c r="A20" s="27">
        <v>43267</v>
      </c>
      <c r="B20" s="7">
        <f>'[3]Production Summary'!J82</f>
        <v>25199999.999998908</v>
      </c>
      <c r="C20" s="8">
        <f t="shared" si="16"/>
        <v>25.199999999998909</v>
      </c>
      <c r="D20" s="10">
        <f t="shared" si="17"/>
        <v>77.363999999996651</v>
      </c>
      <c r="E20" s="7">
        <f>'[3]Production Summary'!E82</f>
        <v>19000000</v>
      </c>
      <c r="F20" s="8">
        <f t="shared" si="18"/>
        <v>19</v>
      </c>
      <c r="G20" s="10">
        <f t="shared" si="19"/>
        <v>58.33</v>
      </c>
      <c r="H20" s="7">
        <f>'[3]Production Summary'!G82</f>
        <v>8880000</v>
      </c>
      <c r="I20" s="8">
        <f t="shared" si="20"/>
        <v>8.8800000000000008</v>
      </c>
      <c r="J20" s="10">
        <f t="shared" si="21"/>
        <v>27.261600000000001</v>
      </c>
      <c r="K20" s="7">
        <f>'[3]Production Summary'!T82</f>
        <v>2361254</v>
      </c>
      <c r="L20" s="8">
        <f t="shared" si="22"/>
        <v>2.3612540000000002</v>
      </c>
      <c r="M20" s="10">
        <f t="shared" si="23"/>
        <v>7.24904978</v>
      </c>
      <c r="N20" s="21"/>
      <c r="O20" s="7">
        <f>'[3]Production Summary'!I82</f>
        <v>13160000</v>
      </c>
      <c r="P20" s="8">
        <f t="shared" si="24"/>
        <v>13.16</v>
      </c>
      <c r="Q20" s="10">
        <f t="shared" si="25"/>
        <v>40.401199999999996</v>
      </c>
      <c r="R20" s="7">
        <f>'[3]Production Summary'!C82</f>
        <v>13555000</v>
      </c>
      <c r="S20" s="8">
        <f t="shared" si="26"/>
        <v>13.555</v>
      </c>
      <c r="T20" s="10">
        <f t="shared" si="27"/>
        <v>41.613849999999999</v>
      </c>
      <c r="U20" s="7">
        <f>'[3]Production Summary'!F82</f>
        <v>3470000</v>
      </c>
      <c r="V20" s="8">
        <f t="shared" si="28"/>
        <v>3.47</v>
      </c>
      <c r="W20" s="10">
        <f t="shared" si="29"/>
        <v>10.652900000000001</v>
      </c>
      <c r="X20" s="7">
        <f>'[3]Production Summary'!AB82</f>
        <v>387000.00000000047</v>
      </c>
      <c r="Y20" s="8">
        <f t="shared" si="30"/>
        <v>0.38700000000000045</v>
      </c>
      <c r="Z20" s="10">
        <f t="shared" si="31"/>
        <v>1.1880900000000014</v>
      </c>
      <c r="AA20" s="15"/>
      <c r="AB20" s="7">
        <f t="shared" si="32"/>
        <v>38359999.999998912</v>
      </c>
      <c r="AC20" s="8">
        <f t="shared" si="33"/>
        <v>38.359999999998905</v>
      </c>
      <c r="AD20" s="8">
        <f t="shared" si="34"/>
        <v>117.76519999999664</v>
      </c>
    </row>
    <row r="21" spans="1:30" x14ac:dyDescent="0.15">
      <c r="A21" s="27">
        <v>43268</v>
      </c>
      <c r="B21" s="7">
        <f>'[3]Production Summary'!J83</f>
        <v>24500000</v>
      </c>
      <c r="C21" s="8">
        <f t="shared" si="16"/>
        <v>24.5</v>
      </c>
      <c r="D21" s="10">
        <f t="shared" si="17"/>
        <v>75.214999999999989</v>
      </c>
      <c r="E21" s="7">
        <f>'[3]Production Summary'!E83</f>
        <v>19000000</v>
      </c>
      <c r="F21" s="8">
        <f t="shared" si="18"/>
        <v>19</v>
      </c>
      <c r="G21" s="10">
        <f t="shared" si="19"/>
        <v>58.33</v>
      </c>
      <c r="H21" s="7">
        <f>'[3]Production Summary'!G83</f>
        <v>7790000</v>
      </c>
      <c r="I21" s="8">
        <f t="shared" si="20"/>
        <v>7.79</v>
      </c>
      <c r="J21" s="10">
        <f t="shared" si="21"/>
        <v>23.915299999999998</v>
      </c>
      <c r="K21" s="7">
        <f>'[3]Production Summary'!T83</f>
        <v>2220501</v>
      </c>
      <c r="L21" s="8">
        <f t="shared" si="22"/>
        <v>2.2205010000000001</v>
      </c>
      <c r="M21" s="10">
        <f t="shared" si="23"/>
        <v>6.81693807</v>
      </c>
      <c r="N21" s="21"/>
      <c r="O21" s="7">
        <f>'[3]Production Summary'!I83</f>
        <v>12204000.000000011</v>
      </c>
      <c r="P21" s="8">
        <f t="shared" si="24"/>
        <v>12.204000000000011</v>
      </c>
      <c r="Q21" s="10">
        <f t="shared" si="25"/>
        <v>37.466280000000033</v>
      </c>
      <c r="R21" s="7">
        <f>'[3]Production Summary'!C83</f>
        <v>12543000</v>
      </c>
      <c r="S21" s="8">
        <f t="shared" si="26"/>
        <v>12.542999999999999</v>
      </c>
      <c r="T21" s="10">
        <f t="shared" si="27"/>
        <v>38.507009999999994</v>
      </c>
      <c r="U21" s="7">
        <f>'[3]Production Summary'!F83</f>
        <v>3469000</v>
      </c>
      <c r="V21" s="8">
        <f t="shared" si="28"/>
        <v>3.4689999999999999</v>
      </c>
      <c r="W21" s="10">
        <f t="shared" si="29"/>
        <v>10.64983</v>
      </c>
      <c r="X21" s="7">
        <f>'[3]Production Summary'!AB83</f>
        <v>330999.99999998888</v>
      </c>
      <c r="Y21" s="8">
        <f t="shared" si="30"/>
        <v>0.33099999999998886</v>
      </c>
      <c r="Z21" s="10">
        <f t="shared" si="31"/>
        <v>1.0161699999999658</v>
      </c>
      <c r="AA21" s="15"/>
      <c r="AB21" s="7">
        <f t="shared" si="32"/>
        <v>36704000.000000015</v>
      </c>
      <c r="AC21" s="8">
        <f t="shared" si="33"/>
        <v>36.704000000000008</v>
      </c>
      <c r="AD21" s="8">
        <f t="shared" si="34"/>
        <v>112.68128000000002</v>
      </c>
    </row>
    <row r="22" spans="1:30" x14ac:dyDescent="0.15">
      <c r="A22" s="27">
        <v>43269</v>
      </c>
      <c r="B22" s="7">
        <f>'[3]Production Summary'!J84</f>
        <v>15500000</v>
      </c>
      <c r="C22" s="8">
        <f t="shared" si="16"/>
        <v>15.5</v>
      </c>
      <c r="D22" s="10">
        <f t="shared" si="17"/>
        <v>47.585000000000001</v>
      </c>
      <c r="E22" s="7">
        <f>'[3]Production Summary'!E84</f>
        <v>12000000</v>
      </c>
      <c r="F22" s="8">
        <f t="shared" si="18"/>
        <v>12</v>
      </c>
      <c r="G22" s="10">
        <f t="shared" si="19"/>
        <v>36.839999999999996</v>
      </c>
      <c r="H22" s="7">
        <f>'[3]Production Summary'!G84</f>
        <v>5520000</v>
      </c>
      <c r="I22" s="8">
        <f t="shared" si="20"/>
        <v>5.52</v>
      </c>
      <c r="J22" s="10">
        <f t="shared" si="21"/>
        <v>16.946399999999997</v>
      </c>
      <c r="K22" s="7">
        <f>'[3]Production Summary'!T84</f>
        <v>1558704</v>
      </c>
      <c r="L22" s="8">
        <f t="shared" si="22"/>
        <v>1.5587040000000001</v>
      </c>
      <c r="M22" s="10">
        <f t="shared" si="23"/>
        <v>4.78522128</v>
      </c>
      <c r="N22" s="21"/>
      <c r="O22" s="7">
        <f>'[3]Production Summary'!I84</f>
        <v>11226999.999999989</v>
      </c>
      <c r="P22" s="8">
        <f t="shared" si="24"/>
        <v>11.22699999999999</v>
      </c>
      <c r="Q22" s="10">
        <f t="shared" si="25"/>
        <v>34.466889999999964</v>
      </c>
      <c r="R22" s="7">
        <f>'[3]Production Summary'!C84</f>
        <v>11514000</v>
      </c>
      <c r="S22" s="8">
        <f t="shared" si="26"/>
        <v>11.513999999999999</v>
      </c>
      <c r="T22" s="10">
        <f t="shared" si="27"/>
        <v>35.347979999999993</v>
      </c>
      <c r="U22" s="7">
        <f>'[3]Production Summary'!F84</f>
        <v>3468000</v>
      </c>
      <c r="V22" s="8">
        <f t="shared" si="28"/>
        <v>3.468</v>
      </c>
      <c r="W22" s="10">
        <f t="shared" si="29"/>
        <v>10.646759999999999</v>
      </c>
      <c r="X22" s="7">
        <f>'[3]Production Summary'!AB84</f>
        <v>282000.00000001071</v>
      </c>
      <c r="Y22" s="8">
        <f t="shared" si="30"/>
        <v>0.28200000000001069</v>
      </c>
      <c r="Z22" s="10">
        <f t="shared" si="31"/>
        <v>0.86574000000003282</v>
      </c>
      <c r="AA22" s="15"/>
      <c r="AB22" s="7">
        <f t="shared" si="32"/>
        <v>26726999.999999989</v>
      </c>
      <c r="AC22" s="8">
        <f t="shared" si="33"/>
        <v>26.72699999999999</v>
      </c>
      <c r="AD22" s="8">
        <f t="shared" si="34"/>
        <v>82.051889999999958</v>
      </c>
    </row>
    <row r="23" spans="1:30" x14ac:dyDescent="0.15">
      <c r="A23" s="27">
        <v>43270</v>
      </c>
      <c r="B23" s="7">
        <f>'[3]Production Summary'!J85</f>
        <v>13399999.999999637</v>
      </c>
      <c r="C23" s="8">
        <f t="shared" si="16"/>
        <v>13.399999999999636</v>
      </c>
      <c r="D23" s="10">
        <f t="shared" si="17"/>
        <v>41.137999999998883</v>
      </c>
      <c r="E23" s="7">
        <f>'[3]Production Summary'!E85</f>
        <v>10000000</v>
      </c>
      <c r="F23" s="8">
        <f t="shared" si="18"/>
        <v>10</v>
      </c>
      <c r="G23" s="10">
        <f t="shared" si="19"/>
        <v>30.7</v>
      </c>
      <c r="H23" s="7">
        <f>'[3]Production Summary'!G85</f>
        <v>4990000</v>
      </c>
      <c r="I23" s="8">
        <f t="shared" si="20"/>
        <v>4.99</v>
      </c>
      <c r="J23" s="10">
        <f t="shared" si="21"/>
        <v>15.3193</v>
      </c>
      <c r="K23" s="7">
        <f>'[3]Production Summary'!T85</f>
        <v>1321262</v>
      </c>
      <c r="L23" s="8">
        <f t="shared" si="22"/>
        <v>1.3212619999999999</v>
      </c>
      <c r="M23" s="10">
        <f t="shared" si="23"/>
        <v>4.0562743399999999</v>
      </c>
      <c r="N23" s="21"/>
      <c r="O23" s="7">
        <f>'[3]Production Summary'!I85</f>
        <v>10812999.999999998</v>
      </c>
      <c r="P23" s="8">
        <f t="shared" si="24"/>
        <v>10.812999999999999</v>
      </c>
      <c r="Q23" s="10">
        <f t="shared" si="25"/>
        <v>33.195909999999998</v>
      </c>
      <c r="R23" s="7">
        <f>'[3]Production Summary'!C85</f>
        <v>10977000</v>
      </c>
      <c r="S23" s="8">
        <f t="shared" si="26"/>
        <v>10.977</v>
      </c>
      <c r="T23" s="10">
        <f t="shared" si="27"/>
        <v>33.699390000000001</v>
      </c>
      <c r="U23" s="7">
        <f>'[3]Production Summary'!F85</f>
        <v>3447000</v>
      </c>
      <c r="V23" s="8">
        <f t="shared" si="28"/>
        <v>3.4470000000000001</v>
      </c>
      <c r="W23" s="10">
        <f t="shared" si="29"/>
        <v>10.58229</v>
      </c>
      <c r="X23" s="7">
        <f>'[3]Production Summary'!AB85</f>
        <v>161000.00000000137</v>
      </c>
      <c r="Y23" s="8">
        <f t="shared" si="30"/>
        <v>0.16100000000000136</v>
      </c>
      <c r="Z23" s="10">
        <f t="shared" si="31"/>
        <v>0.49427000000000415</v>
      </c>
      <c r="AA23" s="15"/>
      <c r="AB23" s="7">
        <f t="shared" si="32"/>
        <v>24212999.999999635</v>
      </c>
      <c r="AC23" s="8">
        <f t="shared" si="33"/>
        <v>24.212999999999635</v>
      </c>
      <c r="AD23" s="8">
        <f t="shared" si="34"/>
        <v>74.33390999999888</v>
      </c>
    </row>
    <row r="24" spans="1:30" x14ac:dyDescent="0.15">
      <c r="A24" s="27">
        <v>43271</v>
      </c>
      <c r="B24" s="7">
        <f>'[3]Production Summary'!J86</f>
        <v>17400000.000001457</v>
      </c>
      <c r="C24" s="8">
        <f t="shared" si="16"/>
        <v>17.400000000001455</v>
      </c>
      <c r="D24" s="10">
        <f t="shared" si="17"/>
        <v>53.418000000004461</v>
      </c>
      <c r="E24" s="7">
        <f>'[3]Production Summary'!E86</f>
        <v>13000000</v>
      </c>
      <c r="F24" s="8">
        <f t="shared" si="18"/>
        <v>13</v>
      </c>
      <c r="G24" s="10">
        <f t="shared" si="19"/>
        <v>39.909999999999997</v>
      </c>
      <c r="H24" s="7">
        <f>'[3]Production Summary'!G86</f>
        <v>5960000</v>
      </c>
      <c r="I24" s="8">
        <f t="shared" si="20"/>
        <v>5.96</v>
      </c>
      <c r="J24" s="10">
        <f t="shared" si="21"/>
        <v>18.2972</v>
      </c>
      <c r="K24" s="7">
        <f>'[3]Production Summary'!T86</f>
        <v>1695548</v>
      </c>
      <c r="L24" s="8">
        <f t="shared" si="22"/>
        <v>1.6955480000000001</v>
      </c>
      <c r="M24" s="10">
        <f t="shared" si="23"/>
        <v>5.2053323599999999</v>
      </c>
      <c r="N24" s="21"/>
      <c r="O24" s="7">
        <f>'[3]Production Summary'!I86</f>
        <v>9157999.9999999981</v>
      </c>
      <c r="P24" s="8">
        <f t="shared" si="24"/>
        <v>9.1579999999999977</v>
      </c>
      <c r="Q24" s="10">
        <f t="shared" si="25"/>
        <v>28.115059999999993</v>
      </c>
      <c r="R24" s="7">
        <f>'[3]Production Summary'!C86</f>
        <v>9448000</v>
      </c>
      <c r="S24" s="8">
        <f t="shared" si="26"/>
        <v>9.4480000000000004</v>
      </c>
      <c r="T24" s="10">
        <f t="shared" si="27"/>
        <v>29.00536</v>
      </c>
      <c r="U24" s="7">
        <f>'[3]Production Summary'!F86</f>
        <v>3414000</v>
      </c>
      <c r="V24" s="8">
        <f t="shared" si="28"/>
        <v>3.4140000000000001</v>
      </c>
      <c r="W24" s="10">
        <f t="shared" si="29"/>
        <v>10.480980000000001</v>
      </c>
      <c r="X24" s="7">
        <f>'[3]Production Summary'!AB86</f>
        <v>283000.00000000122</v>
      </c>
      <c r="Y24" s="8">
        <f t="shared" si="30"/>
        <v>0.2830000000000012</v>
      </c>
      <c r="Z24" s="10">
        <f t="shared" si="31"/>
        <v>0.86881000000000363</v>
      </c>
      <c r="AA24" s="15"/>
      <c r="AB24" s="7">
        <f t="shared" si="32"/>
        <v>26558000.000001453</v>
      </c>
      <c r="AC24" s="8">
        <f t="shared" si="33"/>
        <v>26.558000000001453</v>
      </c>
      <c r="AD24" s="8">
        <f t="shared" si="34"/>
        <v>81.533060000004454</v>
      </c>
    </row>
    <row r="25" spans="1:30" x14ac:dyDescent="0.15">
      <c r="A25" s="27">
        <v>43272</v>
      </c>
      <c r="B25" s="7">
        <f>'[3]Production Summary'!J87</f>
        <v>17000000</v>
      </c>
      <c r="C25" s="8">
        <f t="shared" si="16"/>
        <v>17</v>
      </c>
      <c r="D25" s="10">
        <f t="shared" si="17"/>
        <v>52.19</v>
      </c>
      <c r="E25" s="7">
        <f>'[3]Production Summary'!E87</f>
        <v>13000000</v>
      </c>
      <c r="F25" s="8">
        <f t="shared" si="18"/>
        <v>13</v>
      </c>
      <c r="G25" s="10">
        <f t="shared" si="19"/>
        <v>39.909999999999997</v>
      </c>
      <c r="H25" s="7">
        <f>'[3]Production Summary'!G87</f>
        <v>6040000</v>
      </c>
      <c r="I25" s="8">
        <f t="shared" si="20"/>
        <v>6.04</v>
      </c>
      <c r="J25" s="10">
        <f t="shared" si="21"/>
        <v>18.5428</v>
      </c>
      <c r="K25" s="7">
        <f>'[3]Production Summary'!T87</f>
        <v>1746882</v>
      </c>
      <c r="L25" s="8">
        <f t="shared" si="22"/>
        <v>1.746882</v>
      </c>
      <c r="M25" s="10">
        <f t="shared" si="23"/>
        <v>5.3629277399999999</v>
      </c>
      <c r="N25" s="21"/>
      <c r="O25" s="7">
        <f>'[3]Production Summary'!I87</f>
        <v>12257000.000000002</v>
      </c>
      <c r="P25" s="8">
        <f t="shared" si="24"/>
        <v>12.257000000000001</v>
      </c>
      <c r="Q25" s="10">
        <f t="shared" si="25"/>
        <v>37.628990000000002</v>
      </c>
      <c r="R25" s="7">
        <f>'[3]Production Summary'!C87</f>
        <v>12601000</v>
      </c>
      <c r="S25" s="8">
        <f t="shared" si="26"/>
        <v>12.601000000000001</v>
      </c>
      <c r="T25" s="10">
        <f t="shared" si="27"/>
        <v>38.685070000000003</v>
      </c>
      <c r="U25" s="7">
        <f>'[3]Production Summary'!F87</f>
        <v>3508000</v>
      </c>
      <c r="V25" s="8">
        <f t="shared" si="28"/>
        <v>3.508</v>
      </c>
      <c r="W25" s="10">
        <f t="shared" si="29"/>
        <v>10.76956</v>
      </c>
      <c r="X25" s="7">
        <f>'[3]Production Summary'!AB87</f>
        <v>335999.99999999854</v>
      </c>
      <c r="Y25" s="8">
        <f t="shared" si="30"/>
        <v>0.33599999999999852</v>
      </c>
      <c r="Z25" s="10">
        <f t="shared" si="31"/>
        <v>1.0315199999999953</v>
      </c>
      <c r="AA25" s="15"/>
      <c r="AB25" s="7">
        <f t="shared" si="32"/>
        <v>29257000</v>
      </c>
      <c r="AC25" s="8">
        <f t="shared" si="33"/>
        <v>29.257000000000001</v>
      </c>
      <c r="AD25" s="8">
        <f t="shared" si="34"/>
        <v>89.818989999999999</v>
      </c>
    </row>
    <row r="26" spans="1:30" x14ac:dyDescent="0.15">
      <c r="A26" s="27">
        <v>43273</v>
      </c>
      <c r="B26" s="7">
        <f>'[3]Production Summary'!J88</f>
        <v>24699999.999998908</v>
      </c>
      <c r="C26" s="8">
        <f t="shared" si="16"/>
        <v>24.699999999998909</v>
      </c>
      <c r="D26" s="10">
        <f t="shared" si="17"/>
        <v>75.82899999999664</v>
      </c>
      <c r="E26" s="7">
        <f>'[3]Production Summary'!E88</f>
        <v>19000000</v>
      </c>
      <c r="F26" s="8">
        <f t="shared" si="18"/>
        <v>19</v>
      </c>
      <c r="G26" s="10">
        <f t="shared" si="19"/>
        <v>58.33</v>
      </c>
      <c r="H26" s="7">
        <f>'[3]Production Summary'!G88</f>
        <v>8440000</v>
      </c>
      <c r="I26" s="8">
        <f t="shared" si="20"/>
        <v>8.44</v>
      </c>
      <c r="J26" s="10">
        <f t="shared" si="21"/>
        <v>25.910799999999998</v>
      </c>
      <c r="K26" s="7">
        <f>'[3]Production Summary'!T88</f>
        <v>2306588</v>
      </c>
      <c r="L26" s="8">
        <f t="shared" si="22"/>
        <v>2.3065880000000001</v>
      </c>
      <c r="M26" s="10">
        <f t="shared" si="23"/>
        <v>7.0812251599999998</v>
      </c>
      <c r="N26" s="21"/>
      <c r="O26" s="7">
        <f>'[3]Production Summary'!I88</f>
        <v>12206000.000000011</v>
      </c>
      <c r="P26" s="8">
        <f t="shared" si="24"/>
        <v>12.206000000000012</v>
      </c>
      <c r="Q26" s="10">
        <f t="shared" si="25"/>
        <v>37.472420000000035</v>
      </c>
      <c r="R26" s="7">
        <f>'[3]Production Summary'!C88</f>
        <v>12546000</v>
      </c>
      <c r="S26" s="8">
        <f t="shared" si="26"/>
        <v>12.545999999999999</v>
      </c>
      <c r="T26" s="10">
        <f t="shared" si="27"/>
        <v>38.516219999999997</v>
      </c>
      <c r="U26" s="7">
        <f>'[3]Production Summary'!F88</f>
        <v>3458000</v>
      </c>
      <c r="V26" s="8">
        <f t="shared" si="28"/>
        <v>3.4580000000000002</v>
      </c>
      <c r="W26" s="10">
        <f t="shared" si="29"/>
        <v>10.616059999999999</v>
      </c>
      <c r="X26" s="7">
        <f>'[3]Production Summary'!AB88</f>
        <v>333999.999999989</v>
      </c>
      <c r="Y26" s="8">
        <f t="shared" si="30"/>
        <v>0.33399999999998897</v>
      </c>
      <c r="Z26" s="10">
        <f t="shared" si="31"/>
        <v>1.025379999999966</v>
      </c>
      <c r="AA26" s="15"/>
      <c r="AB26" s="7">
        <f t="shared" si="32"/>
        <v>36905999.99999892</v>
      </c>
      <c r="AC26" s="8">
        <f t="shared" si="33"/>
        <v>36.905999999998919</v>
      </c>
      <c r="AD26" s="8">
        <f t="shared" si="34"/>
        <v>113.30141999999668</v>
      </c>
    </row>
    <row r="27" spans="1:30" x14ac:dyDescent="0.15">
      <c r="A27" s="27">
        <v>43274</v>
      </c>
      <c r="B27" s="7">
        <f>'[3]Production Summary'!J89</f>
        <v>23500000</v>
      </c>
      <c r="C27" s="8">
        <f t="shared" si="16"/>
        <v>23.5</v>
      </c>
      <c r="D27" s="10">
        <f t="shared" si="17"/>
        <v>72.144999999999996</v>
      </c>
      <c r="E27" s="7">
        <f>'[3]Production Summary'!E89</f>
        <v>18000000</v>
      </c>
      <c r="F27" s="8">
        <f t="shared" si="18"/>
        <v>18</v>
      </c>
      <c r="G27" s="10">
        <f t="shared" si="19"/>
        <v>55.26</v>
      </c>
      <c r="H27" s="7">
        <f>'[3]Production Summary'!G89</f>
        <v>8030000</v>
      </c>
      <c r="I27" s="8">
        <f t="shared" si="20"/>
        <v>8.0299999999999994</v>
      </c>
      <c r="J27" s="10">
        <f t="shared" si="21"/>
        <v>24.652099999999997</v>
      </c>
      <c r="K27" s="7">
        <f>'[3]Production Summary'!T89</f>
        <v>2271661</v>
      </c>
      <c r="L27" s="8">
        <f t="shared" si="22"/>
        <v>2.2716609999999999</v>
      </c>
      <c r="M27" s="10">
        <f t="shared" si="23"/>
        <v>6.9739992699999993</v>
      </c>
      <c r="N27" s="21"/>
      <c r="O27" s="7">
        <f>'[3]Production Summary'!I89</f>
        <v>13220999.999999994</v>
      </c>
      <c r="P27" s="8">
        <f t="shared" si="24"/>
        <v>13.220999999999995</v>
      </c>
      <c r="Q27" s="10">
        <f t="shared" si="25"/>
        <v>40.58846999999998</v>
      </c>
      <c r="R27" s="7">
        <f>'[3]Production Summary'!C89</f>
        <v>13510000</v>
      </c>
      <c r="S27" s="8">
        <f t="shared" si="26"/>
        <v>13.51</v>
      </c>
      <c r="T27" s="10">
        <f t="shared" si="27"/>
        <v>41.475699999999996</v>
      </c>
      <c r="U27" s="7">
        <f>'[3]Production Summary'!F89</f>
        <v>3476000</v>
      </c>
      <c r="V27" s="8">
        <f t="shared" si="28"/>
        <v>3.476</v>
      </c>
      <c r="W27" s="10">
        <f t="shared" si="29"/>
        <v>10.67132</v>
      </c>
      <c r="X27" s="7">
        <f>'[3]Production Summary'!AB89</f>
        <v>284000.00000000605</v>
      </c>
      <c r="Y27" s="8">
        <f t="shared" si="30"/>
        <v>0.28400000000000608</v>
      </c>
      <c r="Z27" s="10">
        <f t="shared" si="31"/>
        <v>0.87188000000001864</v>
      </c>
      <c r="AA27" s="15"/>
      <c r="AB27" s="7">
        <f t="shared" si="32"/>
        <v>36720999.999999993</v>
      </c>
      <c r="AC27" s="8">
        <f t="shared" si="33"/>
        <v>36.720999999999997</v>
      </c>
      <c r="AD27" s="8">
        <f t="shared" si="34"/>
        <v>112.73346999999998</v>
      </c>
    </row>
    <row r="28" spans="1:30" x14ac:dyDescent="0.15">
      <c r="A28" s="27">
        <v>43275</v>
      </c>
      <c r="B28" s="7">
        <f>'[3]Production Summary'!J90</f>
        <v>20700000.000000726</v>
      </c>
      <c r="C28" s="8">
        <f t="shared" si="16"/>
        <v>20.700000000000728</v>
      </c>
      <c r="D28" s="10">
        <f t="shared" si="17"/>
        <v>63.549000000002231</v>
      </c>
      <c r="E28" s="7">
        <f>'[3]Production Summary'!E90</f>
        <v>16000000</v>
      </c>
      <c r="F28" s="8">
        <f t="shared" si="18"/>
        <v>16</v>
      </c>
      <c r="G28" s="10">
        <f t="shared" si="19"/>
        <v>49.12</v>
      </c>
      <c r="H28" s="7">
        <f>'[3]Production Summary'!G90</f>
        <v>7590000</v>
      </c>
      <c r="I28" s="8">
        <f t="shared" si="20"/>
        <v>7.59</v>
      </c>
      <c r="J28" s="10">
        <f t="shared" si="21"/>
        <v>23.301299999999998</v>
      </c>
      <c r="K28" s="7">
        <f>'[3]Production Summary'!T90</f>
        <v>2095372</v>
      </c>
      <c r="L28" s="8">
        <f t="shared" si="22"/>
        <v>2.0953719999999998</v>
      </c>
      <c r="M28" s="10">
        <f t="shared" si="23"/>
        <v>6.4327920399999989</v>
      </c>
      <c r="N28" s="21"/>
      <c r="O28" s="7">
        <f>'[3]Production Summary'!I90</f>
        <v>12214000.000000004</v>
      </c>
      <c r="P28" s="8">
        <f t="shared" si="24"/>
        <v>12.214000000000004</v>
      </c>
      <c r="Q28" s="10">
        <f t="shared" si="25"/>
        <v>37.496980000000008</v>
      </c>
      <c r="R28" s="7">
        <f>'[3]Production Summary'!C90</f>
        <v>12522000</v>
      </c>
      <c r="S28" s="8">
        <f t="shared" si="26"/>
        <v>12.522</v>
      </c>
      <c r="T28" s="10">
        <f t="shared" si="27"/>
        <v>38.442540000000001</v>
      </c>
      <c r="U28" s="7">
        <f>'[3]Production Summary'!F90</f>
        <v>3433000</v>
      </c>
      <c r="V28" s="8">
        <f t="shared" si="28"/>
        <v>3.4329999999999998</v>
      </c>
      <c r="W28" s="10">
        <f t="shared" si="29"/>
        <v>10.539309999999999</v>
      </c>
      <c r="X28" s="7">
        <f>'[3]Production Summary'!AB90</f>
        <v>299999.99999999715</v>
      </c>
      <c r="Y28" s="8">
        <f t="shared" si="30"/>
        <v>0.29999999999999716</v>
      </c>
      <c r="Z28" s="10">
        <f t="shared" si="31"/>
        <v>0.92099999999999127</v>
      </c>
      <c r="AA28" s="15"/>
      <c r="AB28" s="7">
        <f t="shared" si="32"/>
        <v>32914000.00000073</v>
      </c>
      <c r="AC28" s="8">
        <f t="shared" si="33"/>
        <v>32.914000000000733</v>
      </c>
      <c r="AD28" s="8">
        <f t="shared" si="34"/>
        <v>101.04598000000223</v>
      </c>
    </row>
    <row r="29" spans="1:30" x14ac:dyDescent="0.15">
      <c r="A29" s="27">
        <v>43276</v>
      </c>
      <c r="B29" s="7">
        <f>'[3]Production Summary'!J91</f>
        <v>22799999.999999274</v>
      </c>
      <c r="C29" s="8">
        <f t="shared" si="16"/>
        <v>22.799999999999272</v>
      </c>
      <c r="D29" s="10">
        <f t="shared" si="17"/>
        <v>69.995999999997764</v>
      </c>
      <c r="E29" s="7">
        <f>'[3]Production Summary'!E91</f>
        <v>17000000</v>
      </c>
      <c r="F29" s="8">
        <f t="shared" si="18"/>
        <v>17</v>
      </c>
      <c r="G29" s="10">
        <f t="shared" si="19"/>
        <v>52.19</v>
      </c>
      <c r="H29" s="7">
        <f>'[3]Production Summary'!G91</f>
        <v>7680000</v>
      </c>
      <c r="I29" s="8">
        <f t="shared" si="20"/>
        <v>7.68</v>
      </c>
      <c r="J29" s="10">
        <f t="shared" si="21"/>
        <v>23.577599999999997</v>
      </c>
      <c r="K29" s="7">
        <f>'[3]Production Summary'!T91</f>
        <v>2307148</v>
      </c>
      <c r="L29" s="8">
        <f t="shared" si="22"/>
        <v>2.3071480000000002</v>
      </c>
      <c r="M29" s="10">
        <f t="shared" si="23"/>
        <v>7.0829443599999999</v>
      </c>
      <c r="N29" s="21"/>
      <c r="O29" s="7">
        <f>'[3]Production Summary'!I91</f>
        <v>12711000.000000004</v>
      </c>
      <c r="P29" s="8">
        <f t="shared" si="24"/>
        <v>12.711000000000004</v>
      </c>
      <c r="Q29" s="10">
        <f t="shared" si="25"/>
        <v>39.022770000000008</v>
      </c>
      <c r="R29" s="7">
        <f>'[3]Production Summary'!C91</f>
        <v>12989000</v>
      </c>
      <c r="S29" s="8">
        <f t="shared" si="26"/>
        <v>12.989000000000001</v>
      </c>
      <c r="T29" s="10">
        <f t="shared" si="27"/>
        <v>39.87623</v>
      </c>
      <c r="U29" s="7">
        <f>'[3]Production Summary'!F91</f>
        <v>3465000</v>
      </c>
      <c r="V29" s="8">
        <f t="shared" si="28"/>
        <v>3.4649999999999999</v>
      </c>
      <c r="W29" s="10">
        <f t="shared" si="29"/>
        <v>10.637549999999999</v>
      </c>
      <c r="X29" s="7">
        <f>'[3]Production Summary'!AB91</f>
        <v>272999.99999999616</v>
      </c>
      <c r="Y29" s="8">
        <f t="shared" si="30"/>
        <v>0.27299999999999613</v>
      </c>
      <c r="Z29" s="10">
        <f t="shared" si="31"/>
        <v>0.83810999999998814</v>
      </c>
      <c r="AA29" s="15"/>
      <c r="AB29" s="7">
        <f t="shared" si="32"/>
        <v>35510999.999999277</v>
      </c>
      <c r="AC29" s="8">
        <f t="shared" si="33"/>
        <v>35.510999999999278</v>
      </c>
      <c r="AD29" s="8">
        <f t="shared" si="34"/>
        <v>109.01876999999777</v>
      </c>
    </row>
    <row r="30" spans="1:30" x14ac:dyDescent="0.15">
      <c r="A30" s="27">
        <v>43277</v>
      </c>
      <c r="B30" s="7">
        <f>'[3]Production Summary'!J92</f>
        <v>22200000.000000726</v>
      </c>
      <c r="C30" s="8">
        <f t="shared" si="16"/>
        <v>22.200000000000728</v>
      </c>
      <c r="D30" s="10">
        <f t="shared" si="17"/>
        <v>68.154000000002227</v>
      </c>
      <c r="E30" s="7">
        <f>'[3]Production Summary'!E92</f>
        <v>18000000</v>
      </c>
      <c r="F30" s="8">
        <f t="shared" si="18"/>
        <v>18</v>
      </c>
      <c r="G30" s="10">
        <f t="shared" si="19"/>
        <v>55.26</v>
      </c>
      <c r="H30" s="7">
        <f>'[3]Production Summary'!G92</f>
        <v>7850000</v>
      </c>
      <c r="I30" s="8">
        <f t="shared" si="20"/>
        <v>7.85</v>
      </c>
      <c r="J30" s="10">
        <f t="shared" si="21"/>
        <v>24.099499999999999</v>
      </c>
      <c r="K30" s="7">
        <f>'[3]Production Summary'!T92</f>
        <v>2293283</v>
      </c>
      <c r="L30" s="8">
        <f t="shared" si="22"/>
        <v>2.2932830000000002</v>
      </c>
      <c r="M30" s="10">
        <f t="shared" si="23"/>
        <v>7.04037881</v>
      </c>
      <c r="N30" s="21"/>
      <c r="O30" s="7">
        <f>'[3]Production Summary'!I92</f>
        <v>12377999.999999991</v>
      </c>
      <c r="P30" s="8">
        <f t="shared" si="24"/>
        <v>12.377999999999991</v>
      </c>
      <c r="Q30" s="10">
        <f t="shared" si="25"/>
        <v>38.000459999999968</v>
      </c>
      <c r="R30" s="7">
        <f>'[3]Production Summary'!C92</f>
        <v>12736000</v>
      </c>
      <c r="S30" s="8">
        <f t="shared" si="26"/>
        <v>12.736000000000001</v>
      </c>
      <c r="T30" s="10">
        <f t="shared" si="27"/>
        <v>39.099519999999998</v>
      </c>
      <c r="U30" s="7">
        <f>'[3]Production Summary'!F92</f>
        <v>3485000</v>
      </c>
      <c r="V30" s="8">
        <f t="shared" si="28"/>
        <v>3.4849999999999999</v>
      </c>
      <c r="W30" s="10">
        <f t="shared" si="29"/>
        <v>10.698949999999998</v>
      </c>
      <c r="X30" s="7">
        <f>'[3]Production Summary'!AB92</f>
        <v>350000.0000000085</v>
      </c>
      <c r="Y30" s="8">
        <f t="shared" si="30"/>
        <v>0.35000000000000847</v>
      </c>
      <c r="Z30" s="10">
        <f t="shared" si="31"/>
        <v>1.074500000000026</v>
      </c>
      <c r="AA30" s="15"/>
      <c r="AB30" s="7">
        <f t="shared" si="32"/>
        <v>34578000.000000715</v>
      </c>
      <c r="AC30" s="8">
        <f t="shared" si="33"/>
        <v>34.578000000000721</v>
      </c>
      <c r="AD30" s="8">
        <f t="shared" si="34"/>
        <v>106.15446000000219</v>
      </c>
    </row>
    <row r="31" spans="1:30" x14ac:dyDescent="0.15">
      <c r="A31" s="27">
        <v>43278</v>
      </c>
      <c r="B31" s="7">
        <f>'[3]Production Summary'!J93</f>
        <v>27199999.999998908</v>
      </c>
      <c r="C31" s="8">
        <f t="shared" si="16"/>
        <v>27.199999999998909</v>
      </c>
      <c r="D31" s="10">
        <f t="shared" si="17"/>
        <v>83.503999999996651</v>
      </c>
      <c r="E31" s="7">
        <f>'[3]Production Summary'!E93</f>
        <v>20000000</v>
      </c>
      <c r="F31" s="8">
        <f t="shared" si="18"/>
        <v>20</v>
      </c>
      <c r="G31" s="10">
        <f t="shared" si="19"/>
        <v>61.4</v>
      </c>
      <c r="H31" s="7">
        <f>'[3]Production Summary'!G93</f>
        <v>9340000</v>
      </c>
      <c r="I31" s="8">
        <f t="shared" si="20"/>
        <v>9.34</v>
      </c>
      <c r="J31" s="10">
        <f t="shared" si="21"/>
        <v>28.673799999999996</v>
      </c>
      <c r="K31" s="7">
        <f>'[3]Production Summary'!T93</f>
        <v>2500831</v>
      </c>
      <c r="L31" s="8">
        <f t="shared" si="22"/>
        <v>2.5008309999999998</v>
      </c>
      <c r="M31" s="10">
        <f t="shared" si="23"/>
        <v>7.6775511699999992</v>
      </c>
      <c r="N31" s="21"/>
      <c r="O31" s="7">
        <f>'[3]Production Summary'!I93</f>
        <v>13326000.000000002</v>
      </c>
      <c r="P31" s="8">
        <f t="shared" si="24"/>
        <v>13.326000000000002</v>
      </c>
      <c r="Q31" s="10">
        <f t="shared" si="25"/>
        <v>40.910820000000008</v>
      </c>
      <c r="R31" s="7">
        <f>'[3]Production Summary'!C93</f>
        <v>13645000</v>
      </c>
      <c r="S31" s="8">
        <f t="shared" si="26"/>
        <v>13.645</v>
      </c>
      <c r="T31" s="10">
        <f t="shared" si="27"/>
        <v>41.890149999999998</v>
      </c>
      <c r="U31" s="7">
        <f>'[3]Production Summary'!F93</f>
        <v>1381000</v>
      </c>
      <c r="V31" s="8">
        <f t="shared" si="28"/>
        <v>1.381</v>
      </c>
      <c r="W31" s="10">
        <f t="shared" si="29"/>
        <v>4.2396699999999994</v>
      </c>
      <c r="X31" s="7">
        <f>'[3]Production Summary'!AB93</f>
        <v>311999.99999999761</v>
      </c>
      <c r="Y31" s="8">
        <f t="shared" si="30"/>
        <v>0.31199999999999761</v>
      </c>
      <c r="Z31" s="10">
        <f t="shared" si="31"/>
        <v>0.95783999999999259</v>
      </c>
      <c r="AA31" s="15"/>
      <c r="AB31" s="7">
        <f t="shared" si="32"/>
        <v>40525999.999998912</v>
      </c>
      <c r="AC31" s="8">
        <f t="shared" si="33"/>
        <v>40.525999999998909</v>
      </c>
      <c r="AD31" s="8">
        <f t="shared" si="34"/>
        <v>124.41481999999667</v>
      </c>
    </row>
    <row r="32" spans="1:30" x14ac:dyDescent="0.15">
      <c r="A32" s="27">
        <v>43279</v>
      </c>
      <c r="B32" s="7">
        <f>'[3]Production Summary'!J94</f>
        <v>28300000.000001092</v>
      </c>
      <c r="C32" s="8">
        <f t="shared" si="16"/>
        <v>28.300000000001091</v>
      </c>
      <c r="D32" s="10">
        <f t="shared" si="17"/>
        <v>86.88100000000334</v>
      </c>
      <c r="E32" s="7">
        <f>'[3]Production Summary'!E94</f>
        <v>23000000</v>
      </c>
      <c r="F32" s="8">
        <f t="shared" si="18"/>
        <v>23</v>
      </c>
      <c r="G32" s="10">
        <f t="shared" si="19"/>
        <v>70.61</v>
      </c>
      <c r="H32" s="7">
        <f>'[3]Production Summary'!G94</f>
        <v>9160000</v>
      </c>
      <c r="I32" s="8">
        <f t="shared" si="20"/>
        <v>9.16</v>
      </c>
      <c r="J32" s="10">
        <f t="shared" si="21"/>
        <v>28.121199999999998</v>
      </c>
      <c r="K32" s="7">
        <f>'[3]Production Summary'!T94</f>
        <v>2673106</v>
      </c>
      <c r="L32" s="8">
        <f t="shared" si="22"/>
        <v>2.6731060000000002</v>
      </c>
      <c r="M32" s="10">
        <f t="shared" si="23"/>
        <v>8.20643542</v>
      </c>
      <c r="N32" s="21"/>
      <c r="O32" s="7">
        <f>'[3]Production Summary'!I94</f>
        <v>12160999.999999993</v>
      </c>
      <c r="P32" s="8">
        <f t="shared" si="24"/>
        <v>12.160999999999992</v>
      </c>
      <c r="Q32" s="10">
        <f t="shared" si="25"/>
        <v>37.334269999999975</v>
      </c>
      <c r="R32" s="7">
        <f>'[3]Production Summary'!C94</f>
        <v>12469000</v>
      </c>
      <c r="S32" s="8">
        <f t="shared" si="26"/>
        <v>12.468999999999999</v>
      </c>
      <c r="T32" s="10">
        <f t="shared" si="27"/>
        <v>38.279829999999997</v>
      </c>
      <c r="U32" s="7">
        <f>'[3]Production Summary'!F94</f>
        <v>0</v>
      </c>
      <c r="V32" s="8">
        <f t="shared" si="28"/>
        <v>0</v>
      </c>
      <c r="W32" s="10">
        <f t="shared" si="29"/>
        <v>0</v>
      </c>
      <c r="X32" s="7">
        <f>'[3]Production Summary'!AB94</f>
        <v>302000.00000000669</v>
      </c>
      <c r="Y32" s="8">
        <f t="shared" si="30"/>
        <v>0.30200000000000671</v>
      </c>
      <c r="Z32" s="10">
        <f t="shared" si="31"/>
        <v>0.9271400000000205</v>
      </c>
      <c r="AA32" s="15"/>
      <c r="AB32" s="7">
        <f t="shared" si="32"/>
        <v>40461000.000001088</v>
      </c>
      <c r="AC32" s="8">
        <f t="shared" si="33"/>
        <v>40.461000000001086</v>
      </c>
      <c r="AD32" s="8">
        <f t="shared" si="34"/>
        <v>124.21527000000331</v>
      </c>
    </row>
    <row r="33" spans="1:30" x14ac:dyDescent="0.15">
      <c r="A33" s="27">
        <v>43280</v>
      </c>
      <c r="B33" s="7">
        <f>'[3]Production Summary'!J95</f>
        <v>28399999.999999635</v>
      </c>
      <c r="C33" s="8">
        <f t="shared" si="16"/>
        <v>28.399999999999636</v>
      </c>
      <c r="D33" s="10">
        <f t="shared" si="17"/>
        <v>87.18799999999888</v>
      </c>
      <c r="E33" s="7">
        <f>'[3]Production Summary'!E95</f>
        <v>22000000</v>
      </c>
      <c r="F33" s="8">
        <f t="shared" si="18"/>
        <v>22</v>
      </c>
      <c r="G33" s="10">
        <f t="shared" si="19"/>
        <v>67.539999999999992</v>
      </c>
      <c r="H33" s="7">
        <f>'[3]Production Summary'!G95</f>
        <v>9730000</v>
      </c>
      <c r="I33" s="8">
        <f t="shared" si="20"/>
        <v>9.73</v>
      </c>
      <c r="J33" s="10">
        <f t="shared" si="21"/>
        <v>29.871099999999998</v>
      </c>
      <c r="K33" s="7">
        <f>'[3]Production Summary'!T95</f>
        <v>2726959</v>
      </c>
      <c r="L33" s="8">
        <f t="shared" si="22"/>
        <v>2.7269589999999999</v>
      </c>
      <c r="M33" s="10">
        <f t="shared" si="23"/>
        <v>8.371764129999999</v>
      </c>
      <c r="N33" s="21"/>
      <c r="O33" s="7">
        <f>'[3]Production Summary'!I95</f>
        <v>11717000.000000002</v>
      </c>
      <c r="P33" s="8">
        <f t="shared" si="24"/>
        <v>11.717000000000002</v>
      </c>
      <c r="Q33" s="10">
        <f t="shared" si="25"/>
        <v>35.971190000000007</v>
      </c>
      <c r="R33" s="7">
        <f>'[3]Production Summary'!C95</f>
        <v>12042000</v>
      </c>
      <c r="S33" s="8">
        <f t="shared" si="26"/>
        <v>12.042</v>
      </c>
      <c r="T33" s="10">
        <f t="shared" si="27"/>
        <v>36.968939999999996</v>
      </c>
      <c r="U33" s="7">
        <f>'[3]Production Summary'!F95</f>
        <v>0</v>
      </c>
      <c r="V33" s="8">
        <f t="shared" si="28"/>
        <v>0</v>
      </c>
      <c r="W33" s="10">
        <f t="shared" si="29"/>
        <v>0</v>
      </c>
      <c r="X33" s="7">
        <f>'[3]Production Summary'!AB95</f>
        <v>317999.99999999785</v>
      </c>
      <c r="Y33" s="8">
        <f t="shared" si="30"/>
        <v>0.31799999999999784</v>
      </c>
      <c r="Z33" s="10">
        <f t="shared" si="31"/>
        <v>0.97625999999999336</v>
      </c>
      <c r="AA33" s="15"/>
      <c r="AB33" s="7">
        <f t="shared" si="32"/>
        <v>40116999.999999635</v>
      </c>
      <c r="AC33" s="8">
        <f t="shared" si="33"/>
        <v>40.116999999999635</v>
      </c>
      <c r="AD33" s="8">
        <f t="shared" si="34"/>
        <v>123.15918999999889</v>
      </c>
    </row>
    <row r="34" spans="1:30" ht="14" thickBot="1" x14ac:dyDescent="0.2">
      <c r="A34" s="27">
        <v>43281</v>
      </c>
      <c r="B34" s="7">
        <f>'[3]Production Summary'!J96</f>
        <v>23700000.000000726</v>
      </c>
      <c r="C34" s="8">
        <f t="shared" si="16"/>
        <v>23.700000000000728</v>
      </c>
      <c r="D34" s="10">
        <f t="shared" si="17"/>
        <v>72.759000000002231</v>
      </c>
      <c r="E34" s="7">
        <f>'[3]Production Summary'!E96</f>
        <v>18000000</v>
      </c>
      <c r="F34" s="8">
        <f t="shared" si="18"/>
        <v>18</v>
      </c>
      <c r="G34" s="10">
        <f t="shared" si="19"/>
        <v>55.26</v>
      </c>
      <c r="H34" s="7">
        <f>'[3]Production Summary'!G96</f>
        <v>7930000</v>
      </c>
      <c r="I34" s="8">
        <f t="shared" si="20"/>
        <v>7.93</v>
      </c>
      <c r="J34" s="10">
        <f t="shared" si="21"/>
        <v>24.345099999999999</v>
      </c>
      <c r="K34" s="7">
        <f>'[3]Production Summary'!T96</f>
        <v>2278545</v>
      </c>
      <c r="L34" s="8">
        <f t="shared" si="22"/>
        <v>2.2785449999999998</v>
      </c>
      <c r="M34" s="10">
        <f t="shared" si="23"/>
        <v>6.9951331499999991</v>
      </c>
      <c r="N34" s="21"/>
      <c r="O34" s="7">
        <f>'[3]Production Summary'!I96</f>
        <v>12410999.999999998</v>
      </c>
      <c r="P34" s="8">
        <f t="shared" si="24"/>
        <v>12.410999999999998</v>
      </c>
      <c r="Q34" s="10">
        <f t="shared" si="25"/>
        <v>38.101769999999995</v>
      </c>
      <c r="R34" s="7">
        <f>'[3]Production Summary'!C96</f>
        <v>12822000</v>
      </c>
      <c r="S34" s="8">
        <f t="shared" si="26"/>
        <v>12.821999999999999</v>
      </c>
      <c r="T34" s="10">
        <f t="shared" si="27"/>
        <v>39.363539999999993</v>
      </c>
      <c r="U34" s="7">
        <f>'[3]Production Summary'!F96</f>
        <v>0</v>
      </c>
      <c r="V34" s="8">
        <f t="shared" si="28"/>
        <v>0</v>
      </c>
      <c r="W34" s="10">
        <f t="shared" si="29"/>
        <v>0</v>
      </c>
      <c r="X34" s="7">
        <f>'[3]Production Summary'!AB96</f>
        <v>402000.00000000105</v>
      </c>
      <c r="Y34" s="8">
        <f t="shared" si="30"/>
        <v>0.40200000000000102</v>
      </c>
      <c r="Z34" s="10">
        <f t="shared" si="31"/>
        <v>1.2341400000000031</v>
      </c>
      <c r="AA34" s="15"/>
      <c r="AB34" s="7">
        <f t="shared" si="32"/>
        <v>36111000.000000723</v>
      </c>
      <c r="AC34" s="8">
        <f t="shared" si="33"/>
        <v>36.111000000000729</v>
      </c>
      <c r="AD34" s="8">
        <f t="shared" si="34"/>
        <v>110.86077000000222</v>
      </c>
    </row>
    <row r="35" spans="1:30" ht="14" thickBot="1" x14ac:dyDescent="0.2">
      <c r="A35" s="3"/>
      <c r="B35" s="37"/>
      <c r="C35" s="38">
        <f>SUM(C5:C34)</f>
        <v>725.5</v>
      </c>
      <c r="D35" s="38">
        <f t="shared" ref="D35" si="35">C35*3.07</f>
        <v>2227.2849999999999</v>
      </c>
      <c r="E35" s="37"/>
      <c r="F35" s="38">
        <f>SUM(F5:F34)</f>
        <v>558</v>
      </c>
      <c r="G35" s="38">
        <f t="shared" ref="G35" si="36">F35*3.07</f>
        <v>1713.06</v>
      </c>
      <c r="H35" s="37"/>
      <c r="I35" s="38">
        <f>SUM(I5:I34)</f>
        <v>245.75</v>
      </c>
      <c r="J35" s="38">
        <f t="shared" ref="J35" si="37">I35*3.07</f>
        <v>754.45249999999999</v>
      </c>
      <c r="K35" s="37"/>
      <c r="L35" s="38">
        <f>SUM(L5:L34)</f>
        <v>69.688806999999983</v>
      </c>
      <c r="M35" s="38">
        <f t="shared" ref="M35" si="38">L35*3.07</f>
        <v>213.94463748999993</v>
      </c>
      <c r="N35" s="14"/>
      <c r="O35" s="37"/>
      <c r="P35" s="38">
        <f>SUM(P5:P34)</f>
        <v>382.27699999999999</v>
      </c>
      <c r="Q35" s="38">
        <f t="shared" ref="Q35" si="39">P35*3.07</f>
        <v>1173.5903899999998</v>
      </c>
      <c r="R35" s="37"/>
      <c r="S35" s="38">
        <f>SUM(S5:S34)</f>
        <v>392.23399999999992</v>
      </c>
      <c r="T35" s="38">
        <f t="shared" ref="T35" si="40">S35*3.07</f>
        <v>1204.1583799999996</v>
      </c>
      <c r="U35" s="37"/>
      <c r="V35" s="38">
        <f>SUM(V5:V34)</f>
        <v>91.33</v>
      </c>
      <c r="W35" s="38">
        <f t="shared" ref="W35" si="41">V35*3.07</f>
        <v>280.38309999999996</v>
      </c>
      <c r="X35" s="37"/>
      <c r="Y35" s="38">
        <f>SUM(Y5:Y34)</f>
        <v>9.7560000000000002</v>
      </c>
      <c r="Z35" s="38">
        <f t="shared" ref="Z35" si="42">Y35*3.07</f>
        <v>29.95092</v>
      </c>
      <c r="AA35" s="14"/>
      <c r="AB35" s="37"/>
      <c r="AC35" s="38">
        <f>SUM(AC5:AC34)</f>
        <v>1107.777</v>
      </c>
      <c r="AD35" s="38">
        <f>AC35*3.07</f>
        <v>3400.8753900000002</v>
      </c>
    </row>
    <row r="36" spans="1:30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14"/>
    </row>
    <row r="39" spans="1:30" x14ac:dyDescent="0.15">
      <c r="W39">
        <f>42.46+31.71</f>
        <v>74.17</v>
      </c>
    </row>
    <row r="43" spans="1:30" x14ac:dyDescent="0.15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AI38"/>
  <sheetViews>
    <sheetView workbookViewId="0">
      <pane xSplit="1" ySplit="4" topLeftCell="L17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Q36" activeCellId="1" sqref="Z36 Q36"/>
    </sheetView>
  </sheetViews>
  <sheetFormatPr baseColWidth="10" defaultColWidth="8.83203125" defaultRowHeight="13" x14ac:dyDescent="0.15"/>
  <cols>
    <col min="2" max="2" width="11.1640625" customWidth="1"/>
    <col min="5" max="5" width="11.33203125" customWidth="1"/>
    <col min="8" max="8" width="13.5" customWidth="1"/>
    <col min="9" max="9" width="9.6640625" customWidth="1"/>
    <col min="10" max="10" width="11.5" customWidth="1"/>
    <col min="11" max="11" width="13.5" bestFit="1" customWidth="1"/>
    <col min="12" max="12" width="11.5" customWidth="1"/>
    <col min="14" max="14" width="19.6640625" customWidth="1"/>
    <col min="15" max="15" width="11.1640625" customWidth="1"/>
    <col min="18" max="18" width="11.1640625" customWidth="1"/>
    <col min="21" max="21" width="10.6640625" bestFit="1" customWidth="1"/>
    <col min="22" max="22" width="10.5" customWidth="1"/>
    <col min="27" max="27" width="4.5" customWidth="1"/>
    <col min="28" max="28" width="10.6640625" customWidth="1"/>
    <col min="29" max="29" width="11.33203125" customWidth="1"/>
    <col min="30" max="30" width="10.83203125" customWidth="1"/>
    <col min="31" max="31" width="4.6640625" customWidth="1"/>
    <col min="32" max="32" width="12.1640625" customWidth="1"/>
  </cols>
  <sheetData>
    <row r="1" spans="1:34" s="3" customFormat="1" x14ac:dyDescent="0.15">
      <c r="A1" s="41"/>
      <c r="B1" s="39"/>
      <c r="C1" s="25"/>
      <c r="D1" s="25"/>
      <c r="E1" s="25"/>
      <c r="F1" s="25"/>
      <c r="K1" s="14"/>
      <c r="U1" s="14"/>
    </row>
    <row r="2" spans="1:34" s="3" customFormat="1" ht="14" thickBot="1" x14ac:dyDescent="0.2">
      <c r="C2" s="24"/>
      <c r="K2" s="14"/>
      <c r="U2" s="14"/>
    </row>
    <row r="3" spans="1:34" s="3" customFormat="1" ht="60.75" customHeight="1" thickBot="1" x14ac:dyDescent="0.2"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15</v>
      </c>
      <c r="V3" s="63"/>
      <c r="W3" s="64"/>
      <c r="X3" s="62" t="s">
        <v>7</v>
      </c>
      <c r="Y3" s="63"/>
      <c r="Z3" s="64"/>
      <c r="AA3" s="19"/>
      <c r="AB3" s="59" t="s">
        <v>5</v>
      </c>
      <c r="AC3" s="60"/>
      <c r="AD3" s="61"/>
      <c r="AF3" s="62" t="s">
        <v>8</v>
      </c>
      <c r="AG3" s="63"/>
      <c r="AH3" s="64"/>
    </row>
    <row r="4" spans="1:34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34" t="s">
        <v>0</v>
      </c>
      <c r="AG4" s="35" t="s">
        <v>1</v>
      </c>
      <c r="AH4" s="36" t="s">
        <v>2</v>
      </c>
    </row>
    <row r="5" spans="1:34" x14ac:dyDescent="0.15">
      <c r="A5" s="27">
        <v>43282</v>
      </c>
      <c r="B5" s="7">
        <f>'[4]Production Summary'!$J6</f>
        <v>25000000</v>
      </c>
      <c r="C5" s="8">
        <f t="shared" ref="C5" si="0">B5/1000000</f>
        <v>25</v>
      </c>
      <c r="D5" s="10">
        <f t="shared" ref="D5" si="1">C5*3.07</f>
        <v>76.75</v>
      </c>
      <c r="E5" s="7">
        <f>'[4]Production Summary'!$E6</f>
        <v>20000000</v>
      </c>
      <c r="F5" s="8">
        <f t="shared" ref="F5" si="2">E5/1000000</f>
        <v>20</v>
      </c>
      <c r="G5" s="10">
        <f t="shared" ref="G5" si="3">F5*3.07</f>
        <v>61.4</v>
      </c>
      <c r="H5" s="7">
        <f>'[4]Production Summary'!$G6</f>
        <v>8290000</v>
      </c>
      <c r="I5" s="8">
        <f t="shared" ref="I5" si="4">H5/1000000</f>
        <v>8.2899999999999991</v>
      </c>
      <c r="J5" s="10">
        <f t="shared" ref="J5" si="5">I5*3.07</f>
        <v>25.450299999999995</v>
      </c>
      <c r="K5" s="7">
        <f>'[4]Production Summary'!$T6</f>
        <v>2462696</v>
      </c>
      <c r="L5" s="8">
        <f t="shared" ref="L5" si="6">K5/1000000</f>
        <v>2.4626960000000002</v>
      </c>
      <c r="M5" s="10">
        <f t="shared" ref="M5" si="7">L5*3.07</f>
        <v>7.5604767200000005</v>
      </c>
      <c r="N5" s="21"/>
      <c r="O5" s="7">
        <f>'[4]Production Summary'!$I6</f>
        <v>13118000.000000004</v>
      </c>
      <c r="P5" s="8">
        <f t="shared" ref="P5" si="8">O5/1000000</f>
        <v>13.118000000000004</v>
      </c>
      <c r="Q5" s="10">
        <f t="shared" ref="Q5" si="9">P5*3.07</f>
        <v>40.27226000000001</v>
      </c>
      <c r="R5" s="7">
        <f>'[4]Production Summary'!$C6</f>
        <v>13405000</v>
      </c>
      <c r="S5" s="8">
        <f t="shared" ref="S5" si="10">R5/1000000</f>
        <v>13.404999999999999</v>
      </c>
      <c r="T5" s="10">
        <f t="shared" ref="T5" si="11">S5*3.07</f>
        <v>41.153349999999996</v>
      </c>
      <c r="U5" s="7">
        <f>'[4]Production Summary'!$F6</f>
        <v>0</v>
      </c>
      <c r="V5" s="8">
        <f t="shared" ref="V5" si="12">U5/1000000</f>
        <v>0</v>
      </c>
      <c r="W5" s="10">
        <f t="shared" ref="W5" si="13">V5*3.07</f>
        <v>0</v>
      </c>
      <c r="X5" s="7">
        <f>'[4]Production Summary'!$AB6</f>
        <v>278999.99999999639</v>
      </c>
      <c r="Y5" s="8">
        <f t="shared" ref="Y5" si="14">X5/1000000</f>
        <v>0.27899999999999642</v>
      </c>
      <c r="Z5" s="10">
        <f t="shared" ref="Z5" si="15">Y5*3.07</f>
        <v>0.85652999999998891</v>
      </c>
      <c r="AA5" s="15"/>
      <c r="AB5" s="7">
        <v>0</v>
      </c>
      <c r="AC5" s="8">
        <f t="shared" ref="AC5:AC35" si="16">AB5/1000000</f>
        <v>0</v>
      </c>
      <c r="AD5" s="10">
        <f t="shared" ref="AD5:AD36" si="17">AC5*3.07</f>
        <v>0</v>
      </c>
      <c r="AF5" s="7">
        <f t="shared" ref="AF5:AF35" si="18">B5+O5</f>
        <v>38118000</v>
      </c>
      <c r="AG5" s="8">
        <f t="shared" ref="AG5:AG35" si="19">C5+P5</f>
        <v>38.118000000000002</v>
      </c>
      <c r="AH5" s="8">
        <f t="shared" ref="AH5:AH35" si="20">D5+Q5</f>
        <v>117.02226000000002</v>
      </c>
    </row>
    <row r="6" spans="1:34" x14ac:dyDescent="0.15">
      <c r="A6" s="27">
        <v>43283</v>
      </c>
      <c r="B6" s="7">
        <f>'[4]Production Summary'!$J7</f>
        <v>28500000</v>
      </c>
      <c r="C6" s="8">
        <f t="shared" ref="C6:C35" si="21">B6/1000000</f>
        <v>28.5</v>
      </c>
      <c r="D6" s="10">
        <f t="shared" ref="D6:D35" si="22">C6*3.07</f>
        <v>87.49499999999999</v>
      </c>
      <c r="E6" s="7">
        <f>'[4]Production Summary'!$E7</f>
        <v>22000000</v>
      </c>
      <c r="F6" s="8">
        <f t="shared" ref="F6:F35" si="23">E6/1000000</f>
        <v>22</v>
      </c>
      <c r="G6" s="10">
        <f t="shared" ref="G6:G35" si="24">F6*3.07</f>
        <v>67.539999999999992</v>
      </c>
      <c r="H6" s="7">
        <f>'[4]Production Summary'!$G7</f>
        <v>9480000</v>
      </c>
      <c r="I6" s="8">
        <f t="shared" ref="I6:I35" si="25">H6/1000000</f>
        <v>9.48</v>
      </c>
      <c r="J6" s="10">
        <f t="shared" ref="J6:J35" si="26">I6*3.07</f>
        <v>29.1036</v>
      </c>
      <c r="K6" s="7">
        <f>'[4]Production Summary'!$T7</f>
        <v>2732178</v>
      </c>
      <c r="L6" s="8">
        <f t="shared" ref="L6:L35" si="27">K6/1000000</f>
        <v>2.7321780000000002</v>
      </c>
      <c r="M6" s="10">
        <f t="shared" ref="M6:M35" si="28">L6*3.07</f>
        <v>8.3877864600000009</v>
      </c>
      <c r="N6" s="21"/>
      <c r="O6" s="7">
        <f>'[4]Production Summary'!$I7</f>
        <v>14014000.000000007</v>
      </c>
      <c r="P6" s="8">
        <f t="shared" ref="P6:P35" si="29">O6/1000000</f>
        <v>14.014000000000008</v>
      </c>
      <c r="Q6" s="10">
        <f t="shared" ref="Q6:Q35" si="30">P6*3.07</f>
        <v>43.022980000000025</v>
      </c>
      <c r="R6" s="7">
        <f>'[4]Production Summary'!$C7</f>
        <v>14345000</v>
      </c>
      <c r="S6" s="8">
        <f t="shared" ref="S6:S35" si="31">R6/1000000</f>
        <v>14.345000000000001</v>
      </c>
      <c r="T6" s="10">
        <f t="shared" ref="T6:T35" si="32">S6*3.07</f>
        <v>44.039149999999999</v>
      </c>
      <c r="U6" s="7">
        <f>'[4]Production Summary'!$F7</f>
        <v>0</v>
      </c>
      <c r="V6" s="8">
        <f t="shared" ref="V6:V35" si="33">U6/1000000</f>
        <v>0</v>
      </c>
      <c r="W6" s="10">
        <f t="shared" ref="W6:W35" si="34">V6*3.07</f>
        <v>0</v>
      </c>
      <c r="X6" s="7">
        <f>'[4]Production Summary'!$AB7</f>
        <v>325999.99999999342</v>
      </c>
      <c r="Y6" s="8">
        <f t="shared" ref="Y6:Y35" si="35">X6/1000000</f>
        <v>0.32599999999999341</v>
      </c>
      <c r="Z6" s="10">
        <f t="shared" ref="Z6:Z35" si="36">Y6*3.07</f>
        <v>1.0008199999999796</v>
      </c>
      <c r="AA6" s="15"/>
      <c r="AB6" s="7">
        <v>0</v>
      </c>
      <c r="AC6" s="8">
        <f t="shared" si="16"/>
        <v>0</v>
      </c>
      <c r="AD6" s="10">
        <f t="shared" si="17"/>
        <v>0</v>
      </c>
      <c r="AF6" s="7">
        <f t="shared" si="18"/>
        <v>42514000.000000007</v>
      </c>
      <c r="AG6" s="8">
        <f t="shared" si="19"/>
        <v>42.51400000000001</v>
      </c>
      <c r="AH6" s="8">
        <f t="shared" si="20"/>
        <v>130.51798000000002</v>
      </c>
    </row>
    <row r="7" spans="1:34" x14ac:dyDescent="0.15">
      <c r="A7" s="27">
        <v>43284</v>
      </c>
      <c r="B7" s="7">
        <f>'[4]Production Summary'!$J8</f>
        <v>26000000</v>
      </c>
      <c r="C7" s="8">
        <f t="shared" si="21"/>
        <v>26</v>
      </c>
      <c r="D7" s="10">
        <f t="shared" si="22"/>
        <v>79.819999999999993</v>
      </c>
      <c r="E7" s="7">
        <f>'[4]Production Summary'!$E8</f>
        <v>19000000</v>
      </c>
      <c r="F7" s="8">
        <f t="shared" si="23"/>
        <v>19</v>
      </c>
      <c r="G7" s="10">
        <f t="shared" si="24"/>
        <v>58.33</v>
      </c>
      <c r="H7" s="7">
        <f>'[4]Production Summary'!$G8</f>
        <v>8950000</v>
      </c>
      <c r="I7" s="8">
        <f t="shared" si="25"/>
        <v>8.9499999999999993</v>
      </c>
      <c r="J7" s="10">
        <f t="shared" si="26"/>
        <v>27.476499999999998</v>
      </c>
      <c r="K7" s="7">
        <f>'[4]Production Summary'!$T8</f>
        <v>2424251</v>
      </c>
      <c r="L7" s="8">
        <f t="shared" si="27"/>
        <v>2.4242509999999999</v>
      </c>
      <c r="M7" s="10">
        <f t="shared" si="28"/>
        <v>7.4424505699999992</v>
      </c>
      <c r="N7" s="21"/>
      <c r="O7" s="7">
        <f>'[4]Production Summary'!$I8</f>
        <v>13607999.999999998</v>
      </c>
      <c r="P7" s="8">
        <f t="shared" si="29"/>
        <v>13.607999999999999</v>
      </c>
      <c r="Q7" s="10">
        <f t="shared" si="30"/>
        <v>41.776559999999996</v>
      </c>
      <c r="R7" s="7">
        <f>'[4]Production Summary'!$C8</f>
        <v>13901000</v>
      </c>
      <c r="S7" s="8">
        <f t="shared" si="31"/>
        <v>13.901</v>
      </c>
      <c r="T7" s="10">
        <f t="shared" si="32"/>
        <v>42.676069999999996</v>
      </c>
      <c r="U7" s="7">
        <f>'[4]Production Summary'!$F8</f>
        <v>0</v>
      </c>
      <c r="V7" s="8">
        <f t="shared" si="33"/>
        <v>0</v>
      </c>
      <c r="W7" s="10">
        <f t="shared" si="34"/>
        <v>0</v>
      </c>
      <c r="X7" s="7">
        <f>'[4]Production Summary'!$AB8</f>
        <v>286000.00000000134</v>
      </c>
      <c r="Y7" s="8">
        <f t="shared" si="35"/>
        <v>0.28600000000000136</v>
      </c>
      <c r="Z7" s="10">
        <f t="shared" si="36"/>
        <v>0.87802000000000413</v>
      </c>
      <c r="AA7" s="15"/>
      <c r="AB7" s="7">
        <v>0</v>
      </c>
      <c r="AC7" s="8">
        <f t="shared" si="16"/>
        <v>0</v>
      </c>
      <c r="AD7" s="10">
        <f t="shared" si="17"/>
        <v>0</v>
      </c>
      <c r="AF7" s="7">
        <f t="shared" si="18"/>
        <v>39608000</v>
      </c>
      <c r="AG7" s="8">
        <f t="shared" si="19"/>
        <v>39.607999999999997</v>
      </c>
      <c r="AH7" s="8">
        <f t="shared" si="20"/>
        <v>121.59655999999998</v>
      </c>
    </row>
    <row r="8" spans="1:34" x14ac:dyDescent="0.15">
      <c r="A8" s="27">
        <v>43285</v>
      </c>
      <c r="B8" s="7">
        <f>'[4]Production Summary'!$J9</f>
        <v>25500000</v>
      </c>
      <c r="C8" s="8">
        <f t="shared" si="21"/>
        <v>25.5</v>
      </c>
      <c r="D8" s="10">
        <f t="shared" si="22"/>
        <v>78.284999999999997</v>
      </c>
      <c r="E8" s="7">
        <f>'[4]Production Summary'!$E9</f>
        <v>20000000</v>
      </c>
      <c r="F8" s="8">
        <f t="shared" si="23"/>
        <v>20</v>
      </c>
      <c r="G8" s="10">
        <f t="shared" si="24"/>
        <v>61.4</v>
      </c>
      <c r="H8" s="7">
        <f>'[4]Production Summary'!$G9</f>
        <v>9820000</v>
      </c>
      <c r="I8" s="8">
        <f t="shared" si="25"/>
        <v>9.82</v>
      </c>
      <c r="J8" s="10">
        <f t="shared" si="26"/>
        <v>30.147399999999998</v>
      </c>
      <c r="K8" s="7">
        <f>'[4]Production Summary'!$T9</f>
        <v>2675825</v>
      </c>
      <c r="L8" s="8">
        <f t="shared" si="27"/>
        <v>2.6758250000000001</v>
      </c>
      <c r="M8" s="10">
        <f t="shared" si="28"/>
        <v>8.2147827499999995</v>
      </c>
      <c r="N8" s="21"/>
      <c r="O8" s="7">
        <f>'[4]Production Summary'!$I9</f>
        <v>14473000.000000002</v>
      </c>
      <c r="P8" s="8">
        <f t="shared" si="29"/>
        <v>14.473000000000003</v>
      </c>
      <c r="Q8" s="10">
        <f t="shared" si="30"/>
        <v>44.432110000000009</v>
      </c>
      <c r="R8" s="7">
        <f>'[4]Production Summary'!$C9</f>
        <v>14817000</v>
      </c>
      <c r="S8" s="8">
        <f t="shared" si="31"/>
        <v>14.817</v>
      </c>
      <c r="T8" s="10">
        <f t="shared" si="32"/>
        <v>45.488189999999996</v>
      </c>
      <c r="U8" s="7">
        <f>'[4]Production Summary'!$F9</f>
        <v>0</v>
      </c>
      <c r="V8" s="8">
        <f t="shared" si="33"/>
        <v>0</v>
      </c>
      <c r="W8" s="10">
        <f t="shared" si="34"/>
        <v>0</v>
      </c>
      <c r="X8" s="7">
        <f>'[4]Production Summary'!$AB9</f>
        <v>335999.99999999854</v>
      </c>
      <c r="Y8" s="8">
        <f t="shared" si="35"/>
        <v>0.33599999999999852</v>
      </c>
      <c r="Z8" s="10">
        <f t="shared" si="36"/>
        <v>1.0315199999999953</v>
      </c>
      <c r="AA8" s="15"/>
      <c r="AB8" s="7">
        <v>0</v>
      </c>
      <c r="AC8" s="8">
        <f t="shared" si="16"/>
        <v>0</v>
      </c>
      <c r="AD8" s="10">
        <f t="shared" si="17"/>
        <v>0</v>
      </c>
      <c r="AF8" s="7">
        <f t="shared" si="18"/>
        <v>39973000</v>
      </c>
      <c r="AG8" s="8">
        <f t="shared" si="19"/>
        <v>39.972999999999999</v>
      </c>
      <c r="AH8" s="8">
        <f t="shared" si="20"/>
        <v>122.71711000000001</v>
      </c>
    </row>
    <row r="9" spans="1:34" x14ac:dyDescent="0.15">
      <c r="A9" s="27">
        <v>43286</v>
      </c>
      <c r="B9" s="7">
        <f>'[4]Production Summary'!$J10</f>
        <v>24299999.999999274</v>
      </c>
      <c r="C9" s="8">
        <f t="shared" si="21"/>
        <v>24.299999999999272</v>
      </c>
      <c r="D9" s="10">
        <f t="shared" si="22"/>
        <v>74.600999999997768</v>
      </c>
      <c r="E9" s="7">
        <f>'[4]Production Summary'!$E10</f>
        <v>18000000</v>
      </c>
      <c r="F9" s="8">
        <f t="shared" si="23"/>
        <v>18</v>
      </c>
      <c r="G9" s="10">
        <f t="shared" si="24"/>
        <v>55.26</v>
      </c>
      <c r="H9" s="7">
        <f>'[4]Production Summary'!$G10</f>
        <v>7880000</v>
      </c>
      <c r="I9" s="8">
        <f t="shared" si="25"/>
        <v>7.88</v>
      </c>
      <c r="J9" s="10">
        <f t="shared" si="26"/>
        <v>24.191599999999998</v>
      </c>
      <c r="K9" s="7">
        <f>'[4]Production Summary'!$T10</f>
        <v>2248175</v>
      </c>
      <c r="L9" s="8">
        <f t="shared" si="27"/>
        <v>2.2481749999999998</v>
      </c>
      <c r="M9" s="10">
        <f t="shared" si="28"/>
        <v>6.9018972499999993</v>
      </c>
      <c r="N9" s="21"/>
      <c r="O9" s="7">
        <f>'[4]Production Summary'!$I10</f>
        <v>12097999.999999994</v>
      </c>
      <c r="P9" s="8">
        <f t="shared" si="29"/>
        <v>12.097999999999994</v>
      </c>
      <c r="Q9" s="10">
        <f t="shared" si="30"/>
        <v>37.140859999999975</v>
      </c>
      <c r="R9" s="7">
        <f>'[4]Production Summary'!$C10</f>
        <v>12521000</v>
      </c>
      <c r="S9" s="8">
        <f t="shared" si="31"/>
        <v>12.521000000000001</v>
      </c>
      <c r="T9" s="10">
        <f t="shared" si="32"/>
        <v>38.43947</v>
      </c>
      <c r="U9" s="7">
        <f>'[4]Production Summary'!$F10</f>
        <v>0</v>
      </c>
      <c r="V9" s="8">
        <f t="shared" si="33"/>
        <v>0</v>
      </c>
      <c r="W9" s="10">
        <f t="shared" si="34"/>
        <v>0</v>
      </c>
      <c r="X9" s="7">
        <f>'[4]Production Summary'!$AB10</f>
        <v>415000.00000000623</v>
      </c>
      <c r="Y9" s="8">
        <f t="shared" si="35"/>
        <v>0.41500000000000625</v>
      </c>
      <c r="Z9" s="10">
        <f t="shared" si="36"/>
        <v>1.2740500000000192</v>
      </c>
      <c r="AA9" s="15"/>
      <c r="AB9" s="7">
        <v>0</v>
      </c>
      <c r="AC9" s="8">
        <f t="shared" si="16"/>
        <v>0</v>
      </c>
      <c r="AD9" s="10">
        <f t="shared" si="17"/>
        <v>0</v>
      </c>
      <c r="AF9" s="7">
        <f t="shared" si="18"/>
        <v>36397999.99999927</v>
      </c>
      <c r="AG9" s="8">
        <f t="shared" si="19"/>
        <v>36.397999999999264</v>
      </c>
      <c r="AH9" s="8">
        <f t="shared" si="20"/>
        <v>111.74185999999774</v>
      </c>
    </row>
    <row r="10" spans="1:34" x14ac:dyDescent="0.15">
      <c r="A10" s="27">
        <v>43287</v>
      </c>
      <c r="B10" s="7">
        <f>'[4]Production Summary'!$J11</f>
        <v>22299999.999999274</v>
      </c>
      <c r="C10" s="8">
        <f t="shared" si="21"/>
        <v>22.299999999999272</v>
      </c>
      <c r="D10" s="10">
        <f t="shared" si="22"/>
        <v>68.460999999997767</v>
      </c>
      <c r="E10" s="7">
        <f>'[4]Production Summary'!$E11</f>
        <v>17000000</v>
      </c>
      <c r="F10" s="8">
        <f t="shared" si="23"/>
        <v>17</v>
      </c>
      <c r="G10" s="10">
        <f t="shared" si="24"/>
        <v>52.19</v>
      </c>
      <c r="H10" s="7">
        <f>'[4]Production Summary'!$G11</f>
        <v>7480000</v>
      </c>
      <c r="I10" s="8">
        <f t="shared" si="25"/>
        <v>7.48</v>
      </c>
      <c r="J10" s="10">
        <f t="shared" si="26"/>
        <v>22.9636</v>
      </c>
      <c r="K10" s="7">
        <f>'[4]Production Summary'!$T11</f>
        <v>2148979</v>
      </c>
      <c r="L10" s="8">
        <f t="shared" si="27"/>
        <v>2.1489790000000002</v>
      </c>
      <c r="M10" s="10">
        <f t="shared" si="28"/>
        <v>6.5973655300000003</v>
      </c>
      <c r="N10" s="21"/>
      <c r="O10" s="7">
        <f>'[4]Production Summary'!$I11</f>
        <v>12267999.999999996</v>
      </c>
      <c r="P10" s="8">
        <f t="shared" si="29"/>
        <v>12.267999999999997</v>
      </c>
      <c r="Q10" s="10">
        <f t="shared" si="30"/>
        <v>37.662759999999992</v>
      </c>
      <c r="R10" s="7">
        <f>'[4]Production Summary'!$C11</f>
        <v>12507000</v>
      </c>
      <c r="S10" s="8">
        <f t="shared" si="31"/>
        <v>12.507</v>
      </c>
      <c r="T10" s="10">
        <f t="shared" si="32"/>
        <v>38.39649</v>
      </c>
      <c r="U10" s="7">
        <f>'[4]Production Summary'!$F11</f>
        <v>0</v>
      </c>
      <c r="V10" s="8">
        <f t="shared" si="33"/>
        <v>0</v>
      </c>
      <c r="W10" s="10">
        <f t="shared" si="34"/>
        <v>0</v>
      </c>
      <c r="X10" s="7">
        <f>'[4]Production Summary'!$AB11</f>
        <v>236000.00000000422</v>
      </c>
      <c r="Y10" s="8">
        <f t="shared" si="35"/>
        <v>0.23600000000000421</v>
      </c>
      <c r="Z10" s="10">
        <f t="shared" si="36"/>
        <v>0.72452000000001293</v>
      </c>
      <c r="AA10" s="15"/>
      <c r="AB10" s="7">
        <v>0</v>
      </c>
      <c r="AC10" s="8">
        <f t="shared" si="16"/>
        <v>0</v>
      </c>
      <c r="AD10" s="10">
        <f t="shared" si="17"/>
        <v>0</v>
      </c>
      <c r="AF10" s="7">
        <f t="shared" si="18"/>
        <v>34567999.99999927</v>
      </c>
      <c r="AG10" s="8">
        <f t="shared" si="19"/>
        <v>34.567999999999273</v>
      </c>
      <c r="AH10" s="8">
        <f t="shared" si="20"/>
        <v>106.12375999999776</v>
      </c>
    </row>
    <row r="11" spans="1:34" x14ac:dyDescent="0.15">
      <c r="A11" s="27">
        <v>43288</v>
      </c>
      <c r="B11" s="7">
        <f>'[4]Production Summary'!$J12</f>
        <v>28800000.000001092</v>
      </c>
      <c r="C11" s="8">
        <f t="shared" si="21"/>
        <v>28.800000000001091</v>
      </c>
      <c r="D11" s="10">
        <f t="shared" si="22"/>
        <v>88.416000000003351</v>
      </c>
      <c r="E11" s="7">
        <f>'[4]Production Summary'!$E12</f>
        <v>23000000</v>
      </c>
      <c r="F11" s="8">
        <f t="shared" si="23"/>
        <v>23</v>
      </c>
      <c r="G11" s="10">
        <f t="shared" si="24"/>
        <v>70.61</v>
      </c>
      <c r="H11" s="7">
        <f>'[4]Production Summary'!$G12</f>
        <v>9870000</v>
      </c>
      <c r="I11" s="8">
        <f t="shared" si="25"/>
        <v>9.8699999999999992</v>
      </c>
      <c r="J11" s="10">
        <f t="shared" si="26"/>
        <v>30.300899999999995</v>
      </c>
      <c r="K11" s="7">
        <f>'[4]Production Summary'!$T12</f>
        <v>2731526</v>
      </c>
      <c r="L11" s="8">
        <f t="shared" si="27"/>
        <v>2.7315260000000001</v>
      </c>
      <c r="M11" s="10">
        <f t="shared" si="28"/>
        <v>8.3857848199999996</v>
      </c>
      <c r="N11" s="21"/>
      <c r="O11" s="7">
        <f>'[4]Production Summary'!$I12</f>
        <v>11723000.000000013</v>
      </c>
      <c r="P11" s="8">
        <f t="shared" si="29"/>
        <v>11.723000000000013</v>
      </c>
      <c r="Q11" s="10">
        <f t="shared" si="30"/>
        <v>35.989610000000042</v>
      </c>
      <c r="R11" s="7">
        <f>'[4]Production Summary'!$C12</f>
        <v>12034000</v>
      </c>
      <c r="S11" s="8">
        <f t="shared" si="31"/>
        <v>12.034000000000001</v>
      </c>
      <c r="T11" s="10">
        <f t="shared" si="32"/>
        <v>36.944380000000002</v>
      </c>
      <c r="U11" s="7">
        <f>'[4]Production Summary'!$F12</f>
        <v>0</v>
      </c>
      <c r="V11" s="8">
        <f t="shared" si="33"/>
        <v>0</v>
      </c>
      <c r="W11" s="10">
        <f t="shared" si="34"/>
        <v>0</v>
      </c>
      <c r="X11" s="7">
        <f>'[4]Production Summary'!$AB12</f>
        <v>303999.99999998783</v>
      </c>
      <c r="Y11" s="8">
        <f t="shared" si="35"/>
        <v>0.30399999999998784</v>
      </c>
      <c r="Z11" s="10">
        <f t="shared" si="36"/>
        <v>0.93327999999996258</v>
      </c>
      <c r="AA11" s="15"/>
      <c r="AB11" s="7">
        <v>0</v>
      </c>
      <c r="AC11" s="8">
        <f t="shared" si="16"/>
        <v>0</v>
      </c>
      <c r="AD11" s="10">
        <f t="shared" si="17"/>
        <v>0</v>
      </c>
      <c r="AF11" s="7">
        <f t="shared" si="18"/>
        <v>40523000.000001103</v>
      </c>
      <c r="AG11" s="8">
        <f t="shared" si="19"/>
        <v>40.523000000001105</v>
      </c>
      <c r="AH11" s="8">
        <f t="shared" si="20"/>
        <v>124.40561000000339</v>
      </c>
    </row>
    <row r="12" spans="1:34" x14ac:dyDescent="0.15">
      <c r="A12" s="27">
        <v>43289</v>
      </c>
      <c r="B12" s="7">
        <f>'[4]Production Summary'!$J13</f>
        <v>23199999.999998908</v>
      </c>
      <c r="C12" s="8">
        <f t="shared" si="21"/>
        <v>23.199999999998909</v>
      </c>
      <c r="D12" s="10">
        <f t="shared" si="22"/>
        <v>71.22399999999665</v>
      </c>
      <c r="E12" s="7">
        <f>'[4]Production Summary'!$E13</f>
        <v>16000000</v>
      </c>
      <c r="F12" s="8">
        <f t="shared" si="23"/>
        <v>16</v>
      </c>
      <c r="G12" s="10">
        <f t="shared" si="24"/>
        <v>49.12</v>
      </c>
      <c r="H12" s="7">
        <f>'[4]Production Summary'!$G13</f>
        <v>8230000</v>
      </c>
      <c r="I12" s="8">
        <f t="shared" si="25"/>
        <v>8.23</v>
      </c>
      <c r="J12" s="10">
        <f t="shared" si="26"/>
        <v>25.266100000000002</v>
      </c>
      <c r="K12" s="7">
        <f>'[4]Production Summary'!$T13</f>
        <v>1877862</v>
      </c>
      <c r="L12" s="8">
        <f t="shared" si="27"/>
        <v>1.8778619999999999</v>
      </c>
      <c r="M12" s="10">
        <f t="shared" si="28"/>
        <v>5.7650363399999991</v>
      </c>
      <c r="N12" s="21"/>
      <c r="O12" s="7">
        <f>'[4]Production Summary'!$I13</f>
        <v>11674999.999999998</v>
      </c>
      <c r="P12" s="8">
        <f t="shared" si="29"/>
        <v>11.674999999999999</v>
      </c>
      <c r="Q12" s="10">
        <f t="shared" si="30"/>
        <v>35.842249999999993</v>
      </c>
      <c r="R12" s="7">
        <f>'[4]Production Summary'!$C13</f>
        <v>11991000</v>
      </c>
      <c r="S12" s="8">
        <f t="shared" si="31"/>
        <v>11.991</v>
      </c>
      <c r="T12" s="10">
        <f t="shared" si="32"/>
        <v>36.812369999999994</v>
      </c>
      <c r="U12" s="7">
        <f>'[4]Production Summary'!$F13</f>
        <v>0</v>
      </c>
      <c r="V12" s="8">
        <f t="shared" si="33"/>
        <v>0</v>
      </c>
      <c r="W12" s="10">
        <f t="shared" si="34"/>
        <v>0</v>
      </c>
      <c r="X12" s="7">
        <f>'[4]Production Summary'!$AB13</f>
        <v>310000.00000000227</v>
      </c>
      <c r="Y12" s="8">
        <f t="shared" si="35"/>
        <v>0.31000000000000227</v>
      </c>
      <c r="Z12" s="10">
        <f t="shared" si="36"/>
        <v>0.95170000000000698</v>
      </c>
      <c r="AA12" s="15"/>
      <c r="AB12" s="7">
        <v>0</v>
      </c>
      <c r="AC12" s="8">
        <f t="shared" si="16"/>
        <v>0</v>
      </c>
      <c r="AD12" s="10">
        <f t="shared" si="17"/>
        <v>0</v>
      </c>
      <c r="AF12" s="7">
        <f t="shared" si="18"/>
        <v>34874999.999998905</v>
      </c>
      <c r="AG12" s="8">
        <f t="shared" si="19"/>
        <v>34.874999999998906</v>
      </c>
      <c r="AH12" s="8">
        <f t="shared" si="20"/>
        <v>107.06624999999664</v>
      </c>
    </row>
    <row r="13" spans="1:34" x14ac:dyDescent="0.15">
      <c r="A13" s="27">
        <v>43290</v>
      </c>
      <c r="B13" s="7">
        <f>'[4]Production Summary'!$J14</f>
        <v>25100000.000000365</v>
      </c>
      <c r="C13" s="8">
        <f t="shared" si="21"/>
        <v>25.100000000000364</v>
      </c>
      <c r="D13" s="10">
        <f t="shared" si="22"/>
        <v>77.057000000001111</v>
      </c>
      <c r="E13" s="7">
        <f>'[4]Production Summary'!$E14</f>
        <v>19000000</v>
      </c>
      <c r="F13" s="8">
        <f t="shared" si="23"/>
        <v>19</v>
      </c>
      <c r="G13" s="10">
        <f t="shared" si="24"/>
        <v>58.33</v>
      </c>
      <c r="H13" s="7">
        <f>'[4]Production Summary'!$G14</f>
        <v>7970000</v>
      </c>
      <c r="I13" s="8">
        <f t="shared" si="25"/>
        <v>7.97</v>
      </c>
      <c r="J13" s="10">
        <f t="shared" si="26"/>
        <v>24.467899999999997</v>
      </c>
      <c r="K13" s="7">
        <f>'[4]Production Summary'!$T14</f>
        <v>2387399</v>
      </c>
      <c r="L13" s="8">
        <f t="shared" si="27"/>
        <v>2.3873989999999998</v>
      </c>
      <c r="M13" s="10">
        <f t="shared" si="28"/>
        <v>7.3293149299999989</v>
      </c>
      <c r="N13" s="21"/>
      <c r="O13" s="7">
        <f>'[4]Production Summary'!$I14</f>
        <v>13505999.999999996</v>
      </c>
      <c r="P13" s="8">
        <f t="shared" si="29"/>
        <v>13.505999999999997</v>
      </c>
      <c r="Q13" s="10">
        <f t="shared" si="30"/>
        <v>41.463419999999985</v>
      </c>
      <c r="R13" s="7">
        <f>'[4]Production Summary'!$C14</f>
        <v>13877000</v>
      </c>
      <c r="S13" s="8">
        <f t="shared" si="31"/>
        <v>13.877000000000001</v>
      </c>
      <c r="T13" s="10">
        <f t="shared" si="32"/>
        <v>42.60239</v>
      </c>
      <c r="U13" s="7">
        <f>'[4]Production Summary'!$F14</f>
        <v>0</v>
      </c>
      <c r="V13" s="8">
        <f t="shared" si="33"/>
        <v>0</v>
      </c>
      <c r="W13" s="10">
        <f t="shared" si="34"/>
        <v>0</v>
      </c>
      <c r="X13" s="7">
        <f>'[4]Production Summary'!$AB14</f>
        <v>364000.00000000431</v>
      </c>
      <c r="Y13" s="8">
        <f t="shared" si="35"/>
        <v>0.36400000000000432</v>
      </c>
      <c r="Z13" s="10">
        <f t="shared" si="36"/>
        <v>1.1174800000000131</v>
      </c>
      <c r="AA13" s="15"/>
      <c r="AB13" s="7">
        <v>0</v>
      </c>
      <c r="AC13" s="8">
        <f t="shared" si="16"/>
        <v>0</v>
      </c>
      <c r="AD13" s="10">
        <f t="shared" si="17"/>
        <v>0</v>
      </c>
      <c r="AF13" s="7">
        <f t="shared" si="18"/>
        <v>38606000.000000358</v>
      </c>
      <c r="AG13" s="8">
        <f t="shared" si="19"/>
        <v>38.606000000000364</v>
      </c>
      <c r="AH13" s="8">
        <f t="shared" si="20"/>
        <v>118.5204200000011</v>
      </c>
    </row>
    <row r="14" spans="1:34" x14ac:dyDescent="0.15">
      <c r="A14" s="27">
        <v>43291</v>
      </c>
      <c r="B14" s="7">
        <f>'[4]Production Summary'!$J15</f>
        <v>28300000.000001092</v>
      </c>
      <c r="C14" s="8">
        <f t="shared" si="21"/>
        <v>28.300000000001091</v>
      </c>
      <c r="D14" s="10">
        <f t="shared" si="22"/>
        <v>86.88100000000334</v>
      </c>
      <c r="E14" s="7">
        <f>'[4]Production Summary'!$E15</f>
        <v>21000000</v>
      </c>
      <c r="F14" s="8">
        <f t="shared" si="23"/>
        <v>21</v>
      </c>
      <c r="G14" s="10">
        <f t="shared" si="24"/>
        <v>64.47</v>
      </c>
      <c r="H14" s="7">
        <f>'[4]Production Summary'!$G15</f>
        <v>9960000</v>
      </c>
      <c r="I14" s="8">
        <f t="shared" si="25"/>
        <v>9.9600000000000009</v>
      </c>
      <c r="J14" s="10">
        <f t="shared" si="26"/>
        <v>30.577200000000001</v>
      </c>
      <c r="K14" s="7">
        <f>'[4]Production Summary'!$T15</f>
        <v>2708090</v>
      </c>
      <c r="L14" s="8">
        <f t="shared" si="27"/>
        <v>2.7080899999999999</v>
      </c>
      <c r="M14" s="10">
        <f t="shared" si="28"/>
        <v>8.3138362999999984</v>
      </c>
      <c r="N14" s="21"/>
      <c r="O14" s="7">
        <f>'[4]Production Summary'!$I15</f>
        <v>12896999.999999993</v>
      </c>
      <c r="P14" s="8">
        <f t="shared" si="29"/>
        <v>12.896999999999993</v>
      </c>
      <c r="Q14" s="10">
        <f t="shared" si="30"/>
        <v>39.593789999999977</v>
      </c>
      <c r="R14" s="7">
        <f>'[4]Production Summary'!$C15</f>
        <v>13205000</v>
      </c>
      <c r="S14" s="8">
        <f t="shared" si="31"/>
        <v>13.205</v>
      </c>
      <c r="T14" s="10">
        <f t="shared" si="32"/>
        <v>40.539349999999999</v>
      </c>
      <c r="U14" s="7">
        <f>'[4]Production Summary'!$F15</f>
        <v>0</v>
      </c>
      <c r="V14" s="8">
        <f t="shared" si="33"/>
        <v>0</v>
      </c>
      <c r="W14" s="10">
        <f t="shared" si="34"/>
        <v>0</v>
      </c>
      <c r="X14" s="7">
        <f>'[4]Production Summary'!$AB15</f>
        <v>302000.00000000669</v>
      </c>
      <c r="Y14" s="8">
        <f t="shared" si="35"/>
        <v>0.30200000000000671</v>
      </c>
      <c r="Z14" s="10">
        <f t="shared" si="36"/>
        <v>0.9271400000000205</v>
      </c>
      <c r="AA14" s="15"/>
      <c r="AB14" s="7">
        <v>0</v>
      </c>
      <c r="AC14" s="8">
        <f t="shared" si="16"/>
        <v>0</v>
      </c>
      <c r="AD14" s="10">
        <f t="shared" si="17"/>
        <v>0</v>
      </c>
      <c r="AF14" s="7">
        <f t="shared" si="18"/>
        <v>41197000.000001088</v>
      </c>
      <c r="AG14" s="8">
        <f t="shared" si="19"/>
        <v>41.197000000001083</v>
      </c>
      <c r="AH14" s="8">
        <f t="shared" si="20"/>
        <v>126.47479000000331</v>
      </c>
    </row>
    <row r="15" spans="1:34" x14ac:dyDescent="0.15">
      <c r="A15" s="27">
        <v>43292</v>
      </c>
      <c r="B15" s="7">
        <f>'[4]Production Summary'!$J16</f>
        <v>31500000</v>
      </c>
      <c r="C15" s="8">
        <f t="shared" si="21"/>
        <v>31.5</v>
      </c>
      <c r="D15" s="10">
        <f t="shared" si="22"/>
        <v>96.704999999999998</v>
      </c>
      <c r="E15" s="7">
        <f>'[4]Production Summary'!$E16</f>
        <v>24000000</v>
      </c>
      <c r="F15" s="8">
        <f t="shared" si="23"/>
        <v>24</v>
      </c>
      <c r="G15" s="10">
        <f t="shared" si="24"/>
        <v>73.679999999999993</v>
      </c>
      <c r="H15" s="7">
        <f>'[4]Production Summary'!$G16</f>
        <v>11380000</v>
      </c>
      <c r="I15" s="8">
        <f t="shared" si="25"/>
        <v>11.38</v>
      </c>
      <c r="J15" s="10">
        <f t="shared" si="26"/>
        <v>34.936599999999999</v>
      </c>
      <c r="K15" s="7">
        <f>'[4]Production Summary'!$T16</f>
        <v>2976220</v>
      </c>
      <c r="L15" s="8">
        <f t="shared" si="27"/>
        <v>2.9762200000000001</v>
      </c>
      <c r="M15" s="10">
        <f t="shared" si="28"/>
        <v>9.1369954</v>
      </c>
      <c r="N15" s="21"/>
      <c r="O15" s="7">
        <f>'[4]Production Summary'!$I16</f>
        <v>11759000</v>
      </c>
      <c r="P15" s="8">
        <f t="shared" si="29"/>
        <v>11.759</v>
      </c>
      <c r="Q15" s="10">
        <f t="shared" si="30"/>
        <v>36.10013</v>
      </c>
      <c r="R15" s="7">
        <f>'[4]Production Summary'!$C16</f>
        <v>12014000</v>
      </c>
      <c r="S15" s="8">
        <f t="shared" si="31"/>
        <v>12.013999999999999</v>
      </c>
      <c r="T15" s="10">
        <f t="shared" si="32"/>
        <v>36.882979999999996</v>
      </c>
      <c r="U15" s="7">
        <f>'[4]Production Summary'!$F16</f>
        <v>0</v>
      </c>
      <c r="V15" s="8">
        <f t="shared" si="33"/>
        <v>0</v>
      </c>
      <c r="W15" s="10">
        <f t="shared" si="34"/>
        <v>0</v>
      </c>
      <c r="X15" s="7">
        <f>'[4]Production Summary'!$AB16</f>
        <v>250000</v>
      </c>
      <c r="Y15" s="8">
        <f t="shared" si="35"/>
        <v>0.25</v>
      </c>
      <c r="Z15" s="10">
        <f t="shared" si="36"/>
        <v>0.76749999999999996</v>
      </c>
      <c r="AA15" s="15"/>
      <c r="AB15" s="7">
        <v>0</v>
      </c>
      <c r="AC15" s="8">
        <f t="shared" si="16"/>
        <v>0</v>
      </c>
      <c r="AD15" s="10">
        <f t="shared" si="17"/>
        <v>0</v>
      </c>
      <c r="AF15" s="7">
        <f t="shared" si="18"/>
        <v>43259000</v>
      </c>
      <c r="AG15" s="8">
        <f t="shared" si="19"/>
        <v>43.259</v>
      </c>
      <c r="AH15" s="8">
        <f t="shared" si="20"/>
        <v>132.80512999999999</v>
      </c>
    </row>
    <row r="16" spans="1:34" x14ac:dyDescent="0.15">
      <c r="A16" s="27">
        <v>43293</v>
      </c>
      <c r="B16" s="7">
        <f>'[4]Production Summary'!$J17</f>
        <v>29299999.999999274</v>
      </c>
      <c r="C16" s="8">
        <f t="shared" si="21"/>
        <v>29.299999999999272</v>
      </c>
      <c r="D16" s="10">
        <f t="shared" si="22"/>
        <v>89.950999999997762</v>
      </c>
      <c r="E16" s="7">
        <f>'[4]Production Summary'!$E17</f>
        <v>21000000</v>
      </c>
      <c r="F16" s="8">
        <f t="shared" si="23"/>
        <v>21</v>
      </c>
      <c r="G16" s="10">
        <f t="shared" si="24"/>
        <v>64.47</v>
      </c>
      <c r="H16" s="7">
        <f>'[4]Production Summary'!$G17</f>
        <v>10790000</v>
      </c>
      <c r="I16" s="8">
        <f t="shared" si="25"/>
        <v>10.79</v>
      </c>
      <c r="J16" s="10">
        <f t="shared" si="26"/>
        <v>33.125299999999996</v>
      </c>
      <c r="K16" s="7">
        <f>'[4]Production Summary'!$T17</f>
        <v>2660927</v>
      </c>
      <c r="L16" s="8">
        <f t="shared" si="27"/>
        <v>2.660927</v>
      </c>
      <c r="M16" s="10">
        <f t="shared" si="28"/>
        <v>8.1690458899999996</v>
      </c>
      <c r="N16" s="21"/>
      <c r="O16" s="7">
        <f>'[4]Production Summary'!$I17</f>
        <v>11611000.000000006</v>
      </c>
      <c r="P16" s="8">
        <f t="shared" si="29"/>
        <v>11.611000000000006</v>
      </c>
      <c r="Q16" s="10">
        <f t="shared" si="30"/>
        <v>35.645770000000013</v>
      </c>
      <c r="R16" s="7">
        <f>'[4]Production Summary'!$C17</f>
        <v>11961000</v>
      </c>
      <c r="S16" s="8">
        <f t="shared" si="31"/>
        <v>11.961</v>
      </c>
      <c r="T16" s="10">
        <f t="shared" si="32"/>
        <v>36.720269999999999</v>
      </c>
      <c r="U16" s="7">
        <f>'[4]Production Summary'!$F17</f>
        <v>0</v>
      </c>
      <c r="V16" s="8">
        <f t="shared" si="33"/>
        <v>0</v>
      </c>
      <c r="W16" s="10">
        <f t="shared" si="34"/>
        <v>0</v>
      </c>
      <c r="X16" s="7">
        <f>'[4]Production Summary'!$AB17</f>
        <v>343999.99999999406</v>
      </c>
      <c r="Y16" s="8">
        <f t="shared" si="35"/>
        <v>0.34399999999999409</v>
      </c>
      <c r="Z16" s="10">
        <f t="shared" si="36"/>
        <v>1.0560799999999817</v>
      </c>
      <c r="AA16" s="15"/>
      <c r="AB16" s="7">
        <v>0</v>
      </c>
      <c r="AC16" s="8">
        <f t="shared" si="16"/>
        <v>0</v>
      </c>
      <c r="AD16" s="10">
        <f t="shared" si="17"/>
        <v>0</v>
      </c>
      <c r="AF16" s="7">
        <f t="shared" si="18"/>
        <v>40910999.999999277</v>
      </c>
      <c r="AG16" s="8">
        <f t="shared" si="19"/>
        <v>40.910999999999277</v>
      </c>
      <c r="AH16" s="8">
        <f t="shared" si="20"/>
        <v>125.59676999999778</v>
      </c>
    </row>
    <row r="17" spans="1:35" x14ac:dyDescent="0.15">
      <c r="A17" s="27">
        <v>43294</v>
      </c>
      <c r="B17" s="7">
        <f>'[4]Production Summary'!$J18</f>
        <v>29399999.999999635</v>
      </c>
      <c r="C17" s="8">
        <f t="shared" si="21"/>
        <v>29.399999999999636</v>
      </c>
      <c r="D17" s="10">
        <f t="shared" si="22"/>
        <v>90.257999999998873</v>
      </c>
      <c r="E17" s="7">
        <f>'[4]Production Summary'!$E18</f>
        <v>22000000</v>
      </c>
      <c r="F17" s="8">
        <f t="shared" si="23"/>
        <v>22</v>
      </c>
      <c r="G17" s="10">
        <f t="shared" si="24"/>
        <v>67.539999999999992</v>
      </c>
      <c r="H17" s="7">
        <f>'[4]Production Summary'!$G18</f>
        <v>10020000</v>
      </c>
      <c r="I17" s="8">
        <f t="shared" si="25"/>
        <v>10.02</v>
      </c>
      <c r="J17" s="10">
        <f t="shared" si="26"/>
        <v>30.761399999999998</v>
      </c>
      <c r="K17" s="7">
        <f>'[4]Production Summary'!$T18</f>
        <v>2765540</v>
      </c>
      <c r="L17" s="8">
        <f t="shared" si="27"/>
        <v>2.7655400000000001</v>
      </c>
      <c r="M17" s="10">
        <f t="shared" si="28"/>
        <v>8.4902078000000003</v>
      </c>
      <c r="N17" s="21"/>
      <c r="O17" s="7">
        <f>'[4]Production Summary'!$I18</f>
        <v>11022999.999999994</v>
      </c>
      <c r="P17" s="8">
        <f t="shared" si="29"/>
        <v>11.022999999999994</v>
      </c>
      <c r="Q17" s="10">
        <f t="shared" si="30"/>
        <v>33.840609999999984</v>
      </c>
      <c r="R17" s="7">
        <f>'[4]Production Summary'!$C18</f>
        <v>11407000</v>
      </c>
      <c r="S17" s="8">
        <f t="shared" si="31"/>
        <v>11.407</v>
      </c>
      <c r="T17" s="10">
        <f t="shared" si="32"/>
        <v>35.019489999999998</v>
      </c>
      <c r="U17" s="7">
        <f>'[4]Production Summary'!$F18</f>
        <v>0</v>
      </c>
      <c r="V17" s="8">
        <f t="shared" si="33"/>
        <v>0</v>
      </c>
      <c r="W17" s="10">
        <f t="shared" si="34"/>
        <v>0</v>
      </c>
      <c r="X17" s="7">
        <f>'[4]Production Summary'!$AB18</f>
        <v>376000.00000000477</v>
      </c>
      <c r="Y17" s="8">
        <f t="shared" si="35"/>
        <v>0.37600000000000477</v>
      </c>
      <c r="Z17" s="10">
        <f t="shared" si="36"/>
        <v>1.1543200000000147</v>
      </c>
      <c r="AA17" s="15"/>
      <c r="AB17" s="7">
        <v>0</v>
      </c>
      <c r="AC17" s="8">
        <f t="shared" si="16"/>
        <v>0</v>
      </c>
      <c r="AD17" s="10">
        <f t="shared" si="17"/>
        <v>0</v>
      </c>
      <c r="AF17" s="7">
        <f t="shared" si="18"/>
        <v>40422999.999999627</v>
      </c>
      <c r="AG17" s="8">
        <f t="shared" si="19"/>
        <v>40.422999999999632</v>
      </c>
      <c r="AH17" s="8">
        <f t="shared" si="20"/>
        <v>124.09860999999886</v>
      </c>
    </row>
    <row r="18" spans="1:35" x14ac:dyDescent="0.15">
      <c r="A18" s="27">
        <v>43295</v>
      </c>
      <c r="B18" s="7">
        <f>'[4]Production Summary'!$J19</f>
        <v>31000000</v>
      </c>
      <c r="C18" s="8">
        <f t="shared" si="21"/>
        <v>31</v>
      </c>
      <c r="D18" s="10">
        <f t="shared" si="22"/>
        <v>95.17</v>
      </c>
      <c r="E18" s="7">
        <f>'[4]Production Summary'!$E19</f>
        <v>23000000</v>
      </c>
      <c r="F18" s="8">
        <f t="shared" si="23"/>
        <v>23</v>
      </c>
      <c r="G18" s="10">
        <f t="shared" si="24"/>
        <v>70.61</v>
      </c>
      <c r="H18" s="7">
        <f>'[4]Production Summary'!$G19</f>
        <v>11410000</v>
      </c>
      <c r="I18" s="8">
        <f t="shared" si="25"/>
        <v>11.41</v>
      </c>
      <c r="J18" s="10">
        <f t="shared" si="26"/>
        <v>35.028700000000001</v>
      </c>
      <c r="K18" s="7">
        <f>'[4]Production Summary'!$T19</f>
        <v>2828827</v>
      </c>
      <c r="L18" s="8">
        <f t="shared" si="27"/>
        <v>2.828827</v>
      </c>
      <c r="M18" s="10">
        <f t="shared" si="28"/>
        <v>8.6844988899999986</v>
      </c>
      <c r="N18" s="21"/>
      <c r="O18" s="7">
        <f>'[4]Production Summary'!$I19</f>
        <v>11300000.000000009</v>
      </c>
      <c r="P18" s="8">
        <f t="shared" si="29"/>
        <v>11.30000000000001</v>
      </c>
      <c r="Q18" s="10">
        <f t="shared" si="30"/>
        <v>34.691000000000031</v>
      </c>
      <c r="R18" s="7">
        <f>'[4]Production Summary'!$C19</f>
        <v>11556000</v>
      </c>
      <c r="S18" s="8">
        <f t="shared" si="31"/>
        <v>11.555999999999999</v>
      </c>
      <c r="T18" s="10">
        <f t="shared" si="32"/>
        <v>35.476919999999993</v>
      </c>
      <c r="U18" s="7">
        <f>'[4]Production Summary'!$F19</f>
        <v>0</v>
      </c>
      <c r="V18" s="8">
        <f t="shared" si="33"/>
        <v>0</v>
      </c>
      <c r="W18" s="10">
        <f t="shared" si="34"/>
        <v>0</v>
      </c>
      <c r="X18" s="7">
        <f>'[4]Production Summary'!$AB19</f>
        <v>250999.99999999057</v>
      </c>
      <c r="Y18" s="8">
        <f t="shared" si="35"/>
        <v>0.25099999999999056</v>
      </c>
      <c r="Z18" s="10">
        <f t="shared" si="36"/>
        <v>0.770569999999971</v>
      </c>
      <c r="AA18" s="15"/>
      <c r="AB18" s="7">
        <v>0</v>
      </c>
      <c r="AC18" s="8">
        <f t="shared" si="16"/>
        <v>0</v>
      </c>
      <c r="AD18" s="10">
        <f t="shared" si="17"/>
        <v>0</v>
      </c>
      <c r="AF18" s="7">
        <f t="shared" si="18"/>
        <v>42300000.000000007</v>
      </c>
      <c r="AG18" s="8">
        <f t="shared" si="19"/>
        <v>42.300000000000011</v>
      </c>
      <c r="AH18" s="8">
        <f t="shared" si="20"/>
        <v>129.86100000000005</v>
      </c>
    </row>
    <row r="19" spans="1:35" x14ac:dyDescent="0.15">
      <c r="A19" s="27">
        <v>43296</v>
      </c>
      <c r="B19" s="7">
        <f>'[4]Production Summary'!$J20</f>
        <v>26200000.000000726</v>
      </c>
      <c r="C19" s="8">
        <f t="shared" si="21"/>
        <v>26.200000000000728</v>
      </c>
      <c r="D19" s="10">
        <f t="shared" si="22"/>
        <v>80.434000000002229</v>
      </c>
      <c r="E19" s="7">
        <f>'[4]Production Summary'!$E20</f>
        <v>19000000</v>
      </c>
      <c r="F19" s="8">
        <f t="shared" si="23"/>
        <v>19</v>
      </c>
      <c r="G19" s="10">
        <f t="shared" si="24"/>
        <v>58.33</v>
      </c>
      <c r="H19" s="7">
        <f>'[4]Production Summary'!$G20</f>
        <v>8980000</v>
      </c>
      <c r="I19" s="8">
        <f t="shared" si="25"/>
        <v>8.98</v>
      </c>
      <c r="J19" s="10">
        <f t="shared" si="26"/>
        <v>27.5686</v>
      </c>
      <c r="K19" s="7">
        <f>'[4]Production Summary'!$T20</f>
        <v>2483984</v>
      </c>
      <c r="L19" s="8">
        <f t="shared" si="27"/>
        <v>2.483984</v>
      </c>
      <c r="M19" s="10">
        <f t="shared" si="28"/>
        <v>7.6258308799999996</v>
      </c>
      <c r="N19" s="21"/>
      <c r="O19" s="7">
        <f>'[4]Production Summary'!$I20</f>
        <v>11003999.999999994</v>
      </c>
      <c r="P19" s="8">
        <f t="shared" si="29"/>
        <v>11.003999999999994</v>
      </c>
      <c r="Q19" s="10">
        <f t="shared" si="30"/>
        <v>33.782279999999979</v>
      </c>
      <c r="R19" s="7">
        <f>'[4]Production Summary'!$C20</f>
        <v>11293000</v>
      </c>
      <c r="S19" s="8">
        <f t="shared" si="31"/>
        <v>11.292999999999999</v>
      </c>
      <c r="T19" s="10">
        <f t="shared" si="32"/>
        <v>34.669509999999995</v>
      </c>
      <c r="U19" s="7">
        <f>'[4]Production Summary'!$F20</f>
        <v>0</v>
      </c>
      <c r="V19" s="8">
        <f t="shared" si="33"/>
        <v>0</v>
      </c>
      <c r="W19" s="10">
        <f t="shared" si="34"/>
        <v>0</v>
      </c>
      <c r="X19" s="7">
        <f>'[4]Production Summary'!$AB20</f>
        <v>284000.00000000605</v>
      </c>
      <c r="Y19" s="8">
        <f t="shared" si="35"/>
        <v>0.28400000000000608</v>
      </c>
      <c r="Z19" s="10">
        <f t="shared" si="36"/>
        <v>0.87188000000001864</v>
      </c>
      <c r="AA19" s="15"/>
      <c r="AB19" s="7">
        <v>0</v>
      </c>
      <c r="AC19" s="8">
        <f t="shared" si="16"/>
        <v>0</v>
      </c>
      <c r="AD19" s="10">
        <f t="shared" si="17"/>
        <v>0</v>
      </c>
      <c r="AF19" s="7">
        <f t="shared" si="18"/>
        <v>37204000.000000723</v>
      </c>
      <c r="AG19" s="8">
        <f t="shared" si="19"/>
        <v>37.204000000000718</v>
      </c>
      <c r="AH19" s="8">
        <f t="shared" si="20"/>
        <v>114.2162800000022</v>
      </c>
    </row>
    <row r="20" spans="1:35" x14ac:dyDescent="0.15">
      <c r="A20" s="27">
        <v>43297</v>
      </c>
      <c r="B20" s="7">
        <f>'[4]Production Summary'!$J21</f>
        <v>23100000.000000365</v>
      </c>
      <c r="C20" s="8">
        <f t="shared" si="21"/>
        <v>23.100000000000364</v>
      </c>
      <c r="D20" s="10">
        <f t="shared" si="22"/>
        <v>70.91700000000111</v>
      </c>
      <c r="E20" s="7">
        <f>'[4]Production Summary'!$E21</f>
        <v>18000000</v>
      </c>
      <c r="F20" s="8">
        <f t="shared" si="23"/>
        <v>18</v>
      </c>
      <c r="G20" s="10">
        <f t="shared" si="24"/>
        <v>55.26</v>
      </c>
      <c r="H20" s="7">
        <f>'[4]Production Summary'!$G21</f>
        <v>8280000</v>
      </c>
      <c r="I20" s="8">
        <f t="shared" si="25"/>
        <v>8.2799999999999994</v>
      </c>
      <c r="J20" s="10">
        <f t="shared" si="26"/>
        <v>25.419599999999996</v>
      </c>
      <c r="K20" s="7">
        <f>'[4]Production Summary'!$T21</f>
        <v>2193101</v>
      </c>
      <c r="L20" s="8">
        <f t="shared" si="27"/>
        <v>2.193101</v>
      </c>
      <c r="M20" s="10">
        <f t="shared" si="28"/>
        <v>6.7328200699999998</v>
      </c>
      <c r="N20" s="21"/>
      <c r="O20" s="7">
        <f>'[4]Production Summary'!$I21</f>
        <v>10974000.000000002</v>
      </c>
      <c r="P20" s="8">
        <f t="shared" si="29"/>
        <v>10.974000000000002</v>
      </c>
      <c r="Q20" s="10">
        <f t="shared" si="30"/>
        <v>33.690180000000005</v>
      </c>
      <c r="R20" s="7">
        <f>'[4]Production Summary'!$C21</f>
        <v>11287000</v>
      </c>
      <c r="S20" s="8">
        <f t="shared" si="31"/>
        <v>11.287000000000001</v>
      </c>
      <c r="T20" s="10">
        <f t="shared" si="32"/>
        <v>34.651090000000003</v>
      </c>
      <c r="U20" s="7">
        <f>'[4]Production Summary'!$F21</f>
        <v>0</v>
      </c>
      <c r="V20" s="8">
        <f t="shared" si="33"/>
        <v>0</v>
      </c>
      <c r="W20" s="10">
        <f t="shared" si="34"/>
        <v>0</v>
      </c>
      <c r="X20" s="7">
        <f>'[4]Production Summary'!$AB21</f>
        <v>305999.99999999738</v>
      </c>
      <c r="Y20" s="8">
        <f t="shared" si="35"/>
        <v>0.30599999999999739</v>
      </c>
      <c r="Z20" s="10">
        <f t="shared" si="36"/>
        <v>0.93941999999999193</v>
      </c>
      <c r="AA20" s="15"/>
      <c r="AB20" s="7">
        <v>0</v>
      </c>
      <c r="AC20" s="8">
        <f t="shared" si="16"/>
        <v>0</v>
      </c>
      <c r="AD20" s="10">
        <f t="shared" si="17"/>
        <v>0</v>
      </c>
      <c r="AF20" s="7">
        <f t="shared" si="18"/>
        <v>34074000.000000365</v>
      </c>
      <c r="AG20" s="8">
        <f t="shared" si="19"/>
        <v>34.074000000000368</v>
      </c>
      <c r="AH20" s="8">
        <f t="shared" si="20"/>
        <v>104.60718000000111</v>
      </c>
    </row>
    <row r="21" spans="1:35" x14ac:dyDescent="0.15">
      <c r="A21" s="27">
        <v>43298</v>
      </c>
      <c r="B21" s="7">
        <f>'[4]Production Summary'!$J22</f>
        <v>25500000</v>
      </c>
      <c r="C21" s="8">
        <f t="shared" si="21"/>
        <v>25.5</v>
      </c>
      <c r="D21" s="10">
        <f t="shared" si="22"/>
        <v>78.284999999999997</v>
      </c>
      <c r="E21" s="7">
        <f>'[4]Production Summary'!$E22</f>
        <v>19000000</v>
      </c>
      <c r="F21" s="8">
        <f t="shared" si="23"/>
        <v>19</v>
      </c>
      <c r="G21" s="10">
        <f t="shared" si="24"/>
        <v>58.33</v>
      </c>
      <c r="H21" s="7">
        <f>'[4]Production Summary'!$G22</f>
        <v>8530000</v>
      </c>
      <c r="I21" s="8">
        <f t="shared" si="25"/>
        <v>8.5299999999999994</v>
      </c>
      <c r="J21" s="10">
        <f t="shared" si="26"/>
        <v>26.187099999999997</v>
      </c>
      <c r="K21" s="7">
        <f>'[4]Production Summary'!$T22</f>
        <v>2491391</v>
      </c>
      <c r="L21" s="8">
        <f t="shared" si="27"/>
        <v>2.4913910000000001</v>
      </c>
      <c r="M21" s="10">
        <f t="shared" si="28"/>
        <v>7.6485703699999998</v>
      </c>
      <c r="N21" s="21"/>
      <c r="O21" s="7">
        <f>'[4]Production Summary'!$I22</f>
        <v>9535000.0000000019</v>
      </c>
      <c r="P21" s="8">
        <f t="shared" si="29"/>
        <v>9.5350000000000019</v>
      </c>
      <c r="Q21" s="10">
        <f t="shared" si="30"/>
        <v>29.272450000000003</v>
      </c>
      <c r="R21" s="7">
        <f>'[4]Production Summary'!$C22</f>
        <v>9862000</v>
      </c>
      <c r="S21" s="8">
        <f t="shared" si="31"/>
        <v>9.8620000000000001</v>
      </c>
      <c r="T21" s="10">
        <f t="shared" si="32"/>
        <v>30.276339999999998</v>
      </c>
      <c r="U21" s="7">
        <f>'[4]Production Summary'!$F22</f>
        <v>0</v>
      </c>
      <c r="V21" s="8">
        <f t="shared" si="33"/>
        <v>0</v>
      </c>
      <c r="W21" s="10">
        <f t="shared" si="34"/>
        <v>0</v>
      </c>
      <c r="X21" s="7">
        <f>'[4]Production Summary'!$AB22</f>
        <v>320999.99999999796</v>
      </c>
      <c r="Y21" s="8">
        <f t="shared" si="35"/>
        <v>0.32099999999999795</v>
      </c>
      <c r="Z21" s="10">
        <f t="shared" si="36"/>
        <v>0.98546999999999363</v>
      </c>
      <c r="AA21" s="15"/>
      <c r="AB21" s="7">
        <v>0</v>
      </c>
      <c r="AC21" s="8">
        <f t="shared" si="16"/>
        <v>0</v>
      </c>
      <c r="AD21" s="10">
        <f t="shared" si="17"/>
        <v>0</v>
      </c>
      <c r="AF21" s="7">
        <f t="shared" si="18"/>
        <v>35035000</v>
      </c>
      <c r="AG21" s="8">
        <f t="shared" si="19"/>
        <v>35.035000000000004</v>
      </c>
      <c r="AH21" s="8">
        <f t="shared" si="20"/>
        <v>107.55745</v>
      </c>
    </row>
    <row r="22" spans="1:35" x14ac:dyDescent="0.15">
      <c r="A22" s="27">
        <v>43299</v>
      </c>
      <c r="B22" s="7">
        <f>'[4]Production Summary'!$J23</f>
        <v>28299999.999999274</v>
      </c>
      <c r="C22" s="8">
        <f t="shared" si="21"/>
        <v>28.299999999999272</v>
      </c>
      <c r="D22" s="10">
        <f t="shared" si="22"/>
        <v>86.880999999997755</v>
      </c>
      <c r="E22" s="7">
        <f>'[4]Production Summary'!$E23</f>
        <v>21000000</v>
      </c>
      <c r="F22" s="8">
        <f t="shared" si="23"/>
        <v>21</v>
      </c>
      <c r="G22" s="10">
        <f t="shared" si="24"/>
        <v>64.47</v>
      </c>
      <c r="H22" s="7">
        <f>'[4]Production Summary'!$G23</f>
        <v>10340000</v>
      </c>
      <c r="I22" s="8">
        <f t="shared" si="25"/>
        <v>10.34</v>
      </c>
      <c r="J22" s="10">
        <f t="shared" si="26"/>
        <v>31.743799999999997</v>
      </c>
      <c r="K22" s="7">
        <f>'[4]Production Summary'!$T23</f>
        <v>2724755</v>
      </c>
      <c r="L22" s="8">
        <f t="shared" si="27"/>
        <v>2.724755</v>
      </c>
      <c r="M22" s="10">
        <f t="shared" si="28"/>
        <v>8.36499785</v>
      </c>
      <c r="N22" s="21"/>
      <c r="O22" s="7">
        <f>'[4]Production Summary'!$I23</f>
        <v>11014999.999999996</v>
      </c>
      <c r="P22" s="8">
        <f t="shared" si="29"/>
        <v>11.014999999999997</v>
      </c>
      <c r="Q22" s="10">
        <f t="shared" si="30"/>
        <v>33.81604999999999</v>
      </c>
      <c r="R22" s="7">
        <f>'[4]Production Summary'!$C23</f>
        <v>11250000</v>
      </c>
      <c r="S22" s="8">
        <f t="shared" si="31"/>
        <v>11.25</v>
      </c>
      <c r="T22" s="10">
        <f t="shared" si="32"/>
        <v>34.537500000000001</v>
      </c>
      <c r="U22" s="7">
        <f>'[4]Production Summary'!$F23</f>
        <v>0</v>
      </c>
      <c r="V22" s="8">
        <f t="shared" si="33"/>
        <v>0</v>
      </c>
      <c r="W22" s="10">
        <f t="shared" si="34"/>
        <v>0</v>
      </c>
      <c r="X22" s="7">
        <f>'[4]Production Summary'!$AB23</f>
        <v>230000.00000000399</v>
      </c>
      <c r="Y22" s="8">
        <f t="shared" si="35"/>
        <v>0.23000000000000398</v>
      </c>
      <c r="Z22" s="10">
        <f t="shared" si="36"/>
        <v>0.70610000000001216</v>
      </c>
      <c r="AA22" s="15"/>
      <c r="AB22" s="7">
        <v>0</v>
      </c>
      <c r="AC22" s="8">
        <f t="shared" si="16"/>
        <v>0</v>
      </c>
      <c r="AD22" s="10">
        <f t="shared" si="17"/>
        <v>0</v>
      </c>
      <c r="AF22" s="7">
        <f t="shared" si="18"/>
        <v>39314999.99999927</v>
      </c>
      <c r="AG22" s="8">
        <f t="shared" si="19"/>
        <v>39.314999999999273</v>
      </c>
      <c r="AH22" s="8">
        <f t="shared" si="20"/>
        <v>120.69704999999774</v>
      </c>
      <c r="AI22" s="18"/>
    </row>
    <row r="23" spans="1:35" x14ac:dyDescent="0.15">
      <c r="A23" s="27">
        <v>43300</v>
      </c>
      <c r="B23" s="7">
        <f>'[4]Production Summary'!$J24</f>
        <v>27700000.000000726</v>
      </c>
      <c r="C23" s="8">
        <f t="shared" si="21"/>
        <v>27.700000000000728</v>
      </c>
      <c r="D23" s="10">
        <f t="shared" si="22"/>
        <v>85.039000000002233</v>
      </c>
      <c r="E23" s="7">
        <f>'[4]Production Summary'!$E24</f>
        <v>21000000</v>
      </c>
      <c r="F23" s="8">
        <f t="shared" si="23"/>
        <v>21</v>
      </c>
      <c r="G23" s="10">
        <f t="shared" si="24"/>
        <v>64.47</v>
      </c>
      <c r="H23" s="7">
        <f>'[4]Production Summary'!$G24</f>
        <v>10520000</v>
      </c>
      <c r="I23" s="8">
        <f t="shared" si="25"/>
        <v>10.52</v>
      </c>
      <c r="J23" s="10">
        <f t="shared" si="26"/>
        <v>32.296399999999998</v>
      </c>
      <c r="K23" s="7">
        <f>'[4]Production Summary'!$T24</f>
        <v>2757793</v>
      </c>
      <c r="L23" s="8">
        <f t="shared" si="27"/>
        <v>2.7577929999999999</v>
      </c>
      <c r="M23" s="10">
        <f t="shared" si="28"/>
        <v>8.4664245099999995</v>
      </c>
      <c r="N23" s="21"/>
      <c r="O23" s="7">
        <f>'[4]Production Summary'!$I24</f>
        <v>10780000.000000007</v>
      </c>
      <c r="P23" s="8">
        <f t="shared" si="29"/>
        <v>10.780000000000008</v>
      </c>
      <c r="Q23" s="10">
        <f t="shared" si="30"/>
        <v>33.094600000000021</v>
      </c>
      <c r="R23" s="7">
        <f>'[4]Production Summary'!$C24</f>
        <v>11112000</v>
      </c>
      <c r="S23" s="8">
        <f t="shared" si="31"/>
        <v>11.112</v>
      </c>
      <c r="T23" s="10">
        <f t="shared" si="32"/>
        <v>34.113839999999996</v>
      </c>
      <c r="U23" s="7">
        <f>'[4]Production Summary'!$F24</f>
        <v>0</v>
      </c>
      <c r="V23" s="8">
        <f t="shared" si="33"/>
        <v>0</v>
      </c>
      <c r="W23" s="10">
        <f t="shared" si="34"/>
        <v>0</v>
      </c>
      <c r="X23" s="7">
        <f>'[4]Production Summary'!$AB24</f>
        <v>325999.99999999342</v>
      </c>
      <c r="Y23" s="8">
        <f t="shared" si="35"/>
        <v>0.32599999999999341</v>
      </c>
      <c r="Z23" s="10">
        <f t="shared" si="36"/>
        <v>1.0008199999999796</v>
      </c>
      <c r="AA23" s="15"/>
      <c r="AB23" s="7">
        <v>0</v>
      </c>
      <c r="AC23" s="8">
        <f t="shared" si="16"/>
        <v>0</v>
      </c>
      <c r="AD23" s="10">
        <f t="shared" si="17"/>
        <v>0</v>
      </c>
      <c r="AF23" s="7">
        <f t="shared" si="18"/>
        <v>38480000.00000073</v>
      </c>
      <c r="AG23" s="8">
        <f t="shared" si="19"/>
        <v>38.480000000000736</v>
      </c>
      <c r="AH23" s="8">
        <f t="shared" si="20"/>
        <v>118.13360000000225</v>
      </c>
    </row>
    <row r="24" spans="1:35" x14ac:dyDescent="0.15">
      <c r="A24" s="27">
        <v>43301</v>
      </c>
      <c r="B24" s="7">
        <f>'[4]Production Summary'!$J25</f>
        <v>34500000</v>
      </c>
      <c r="C24" s="8">
        <f t="shared" si="21"/>
        <v>34.5</v>
      </c>
      <c r="D24" s="10">
        <f t="shared" si="22"/>
        <v>105.91499999999999</v>
      </c>
      <c r="E24" s="7">
        <f>'[4]Production Summary'!$E25</f>
        <v>21000000</v>
      </c>
      <c r="F24" s="8">
        <f t="shared" si="23"/>
        <v>21</v>
      </c>
      <c r="G24" s="10">
        <f t="shared" si="24"/>
        <v>64.47</v>
      </c>
      <c r="H24" s="7">
        <f>'[4]Production Summary'!$G25</f>
        <v>12140000</v>
      </c>
      <c r="I24" s="8">
        <f t="shared" si="25"/>
        <v>12.14</v>
      </c>
      <c r="J24" s="10">
        <f t="shared" si="26"/>
        <v>37.269799999999996</v>
      </c>
      <c r="K24" s="7">
        <f>'[4]Production Summary'!$T25</f>
        <v>3184830</v>
      </c>
      <c r="L24" s="8">
        <f t="shared" si="27"/>
        <v>3.1848299999999998</v>
      </c>
      <c r="M24" s="10">
        <f t="shared" si="28"/>
        <v>9.7774280999999998</v>
      </c>
      <c r="N24" s="21"/>
      <c r="O24" s="7">
        <f>'[4]Production Summary'!$I25</f>
        <v>7668999.9999999953</v>
      </c>
      <c r="P24" s="8">
        <f t="shared" si="29"/>
        <v>7.6689999999999952</v>
      </c>
      <c r="Q24" s="10">
        <f t="shared" si="30"/>
        <v>23.543829999999986</v>
      </c>
      <c r="R24" s="7">
        <f>'[4]Production Summary'!$C25</f>
        <v>7930000</v>
      </c>
      <c r="S24" s="8">
        <f t="shared" si="31"/>
        <v>7.93</v>
      </c>
      <c r="T24" s="10">
        <f t="shared" si="32"/>
        <v>24.345099999999999</v>
      </c>
      <c r="U24" s="7">
        <f>'[4]Production Summary'!$F25</f>
        <v>0</v>
      </c>
      <c r="V24" s="8">
        <f t="shared" si="33"/>
        <v>0</v>
      </c>
      <c r="W24" s="10">
        <f t="shared" si="34"/>
        <v>0</v>
      </c>
      <c r="X24" s="7">
        <f>'[4]Production Summary'!$AB25</f>
        <v>257000.00000000501</v>
      </c>
      <c r="Y24" s="8">
        <f t="shared" si="35"/>
        <v>0.257000000000005</v>
      </c>
      <c r="Z24" s="10">
        <f t="shared" si="36"/>
        <v>0.78899000000001529</v>
      </c>
      <c r="AA24" s="15"/>
      <c r="AB24" s="56">
        <v>3423340</v>
      </c>
      <c r="AC24" s="57">
        <f t="shared" si="16"/>
        <v>3.42334</v>
      </c>
      <c r="AD24" s="58">
        <f t="shared" si="17"/>
        <v>10.509653799999999</v>
      </c>
      <c r="AF24" s="56">
        <f>B24+O24+AB24</f>
        <v>45592339.999999993</v>
      </c>
      <c r="AG24" s="57">
        <f>C24+P24+AC24</f>
        <v>45.59234</v>
      </c>
      <c r="AH24" s="57">
        <f>D24+Q24+AD24</f>
        <v>139.96848379999997</v>
      </c>
    </row>
    <row r="25" spans="1:35" x14ac:dyDescent="0.15">
      <c r="A25" s="27">
        <v>43302</v>
      </c>
      <c r="B25" s="7">
        <f>'[4]Production Summary'!$J26</f>
        <v>33199999.999998908</v>
      </c>
      <c r="C25" s="8">
        <f t="shared" si="21"/>
        <v>33.199999999998909</v>
      </c>
      <c r="D25" s="10">
        <f t="shared" si="22"/>
        <v>101.92399999999664</v>
      </c>
      <c r="E25" s="7">
        <f>'[4]Production Summary'!$E26</f>
        <v>21000000</v>
      </c>
      <c r="F25" s="8">
        <f t="shared" si="23"/>
        <v>21</v>
      </c>
      <c r="G25" s="10">
        <f t="shared" si="24"/>
        <v>64.47</v>
      </c>
      <c r="H25" s="7">
        <f>'[4]Production Summary'!$G26</f>
        <v>12380000</v>
      </c>
      <c r="I25" s="8">
        <f t="shared" si="25"/>
        <v>12.38</v>
      </c>
      <c r="J25" s="10">
        <f t="shared" si="26"/>
        <v>38.006599999999999</v>
      </c>
      <c r="K25" s="7">
        <f>'[4]Production Summary'!$T26</f>
        <v>3118731</v>
      </c>
      <c r="L25" s="8">
        <f t="shared" si="27"/>
        <v>3.1187309999999999</v>
      </c>
      <c r="M25" s="10">
        <f t="shared" si="28"/>
        <v>9.5745041699999991</v>
      </c>
      <c r="N25" s="21"/>
      <c r="O25" s="7">
        <f>'[4]Production Summary'!$I26</f>
        <v>0</v>
      </c>
      <c r="P25" s="8">
        <f t="shared" si="29"/>
        <v>0</v>
      </c>
      <c r="Q25" s="10">
        <f t="shared" si="30"/>
        <v>0</v>
      </c>
      <c r="R25" s="7">
        <f>'[4]Production Summary'!$C26</f>
        <v>0</v>
      </c>
      <c r="S25" s="8">
        <f t="shared" si="31"/>
        <v>0</v>
      </c>
      <c r="T25" s="10">
        <f t="shared" si="32"/>
        <v>0</v>
      </c>
      <c r="U25" s="7">
        <f>'[4]Production Summary'!$F26</f>
        <v>0</v>
      </c>
      <c r="V25" s="8">
        <f t="shared" si="33"/>
        <v>0</v>
      </c>
      <c r="W25" s="10">
        <f t="shared" si="34"/>
        <v>0</v>
      </c>
      <c r="X25" s="7">
        <f>'[4]Production Summary'!$AB26</f>
        <v>0</v>
      </c>
      <c r="Y25" s="8">
        <f t="shared" si="35"/>
        <v>0</v>
      </c>
      <c r="Z25" s="10">
        <f t="shared" si="36"/>
        <v>0</v>
      </c>
      <c r="AA25" s="15"/>
      <c r="AB25" s="56">
        <v>8140630</v>
      </c>
      <c r="AC25" s="57">
        <f t="shared" si="16"/>
        <v>8.1406299999999998</v>
      </c>
      <c r="AD25" s="58">
        <f t="shared" si="17"/>
        <v>24.991734099999999</v>
      </c>
      <c r="AF25" s="56">
        <f t="shared" ref="AF25:AF27" si="37">B25+O25+AB25</f>
        <v>41340629.999998912</v>
      </c>
      <c r="AG25" s="57">
        <f t="shared" ref="AG25:AG27" si="38">C25+P25+AC25</f>
        <v>41.34062999999891</v>
      </c>
      <c r="AH25" s="57">
        <f t="shared" ref="AH25:AH27" si="39">D25+Q25+AD25</f>
        <v>126.91573409999664</v>
      </c>
    </row>
    <row r="26" spans="1:35" x14ac:dyDescent="0.15">
      <c r="A26" s="27">
        <v>43303</v>
      </c>
      <c r="B26" s="7">
        <f>'[4]Production Summary'!$J27</f>
        <v>34200000.00000073</v>
      </c>
      <c r="C26" s="8">
        <f t="shared" si="21"/>
        <v>34.200000000000728</v>
      </c>
      <c r="D26" s="10">
        <f t="shared" si="22"/>
        <v>104.99400000000223</v>
      </c>
      <c r="E26" s="7">
        <f>'[4]Production Summary'!$E27</f>
        <v>33000000</v>
      </c>
      <c r="F26" s="8">
        <f t="shared" si="23"/>
        <v>33</v>
      </c>
      <c r="G26" s="10">
        <f t="shared" si="24"/>
        <v>101.30999999999999</v>
      </c>
      <c r="H26" s="7">
        <f>'[4]Production Summary'!$G27</f>
        <v>12990000</v>
      </c>
      <c r="I26" s="8">
        <f t="shared" si="25"/>
        <v>12.99</v>
      </c>
      <c r="J26" s="10">
        <f t="shared" si="26"/>
        <v>39.879300000000001</v>
      </c>
      <c r="K26" s="7">
        <f>'[4]Production Summary'!$T27</f>
        <v>3180747</v>
      </c>
      <c r="L26" s="8">
        <f t="shared" si="27"/>
        <v>3.1807470000000002</v>
      </c>
      <c r="M26" s="10">
        <f t="shared" si="28"/>
        <v>9.7648932899999998</v>
      </c>
      <c r="N26" s="21"/>
      <c r="O26" s="7">
        <f>'[4]Production Summary'!$I27</f>
        <v>0</v>
      </c>
      <c r="P26" s="8">
        <f t="shared" si="29"/>
        <v>0</v>
      </c>
      <c r="Q26" s="10">
        <f t="shared" si="30"/>
        <v>0</v>
      </c>
      <c r="R26" s="7">
        <f>'[4]Production Summary'!$C27</f>
        <v>0</v>
      </c>
      <c r="S26" s="8">
        <f t="shared" si="31"/>
        <v>0</v>
      </c>
      <c r="T26" s="10">
        <f t="shared" si="32"/>
        <v>0</v>
      </c>
      <c r="U26" s="7">
        <f>'[4]Production Summary'!$F27</f>
        <v>0</v>
      </c>
      <c r="V26" s="8">
        <f t="shared" si="33"/>
        <v>0</v>
      </c>
      <c r="W26" s="10">
        <f t="shared" si="34"/>
        <v>0</v>
      </c>
      <c r="X26" s="7">
        <f>'[4]Production Summary'!$AB27</f>
        <v>0</v>
      </c>
      <c r="Y26" s="8">
        <f t="shared" si="35"/>
        <v>0</v>
      </c>
      <c r="Z26" s="10">
        <f t="shared" si="36"/>
        <v>0</v>
      </c>
      <c r="AA26" s="15"/>
      <c r="AB26" s="56">
        <v>8002660</v>
      </c>
      <c r="AC26" s="57">
        <f t="shared" si="16"/>
        <v>8.0026600000000006</v>
      </c>
      <c r="AD26" s="58">
        <f t="shared" si="17"/>
        <v>24.5681662</v>
      </c>
      <c r="AF26" s="56">
        <f t="shared" si="37"/>
        <v>42202660.00000073</v>
      </c>
      <c r="AG26" s="57">
        <f t="shared" si="38"/>
        <v>42.202660000000726</v>
      </c>
      <c r="AH26" s="57">
        <f t="shared" si="39"/>
        <v>129.56216620000222</v>
      </c>
    </row>
    <row r="27" spans="1:35" x14ac:dyDescent="0.15">
      <c r="A27" s="27">
        <v>43304</v>
      </c>
      <c r="B27" s="7">
        <f>'[4]Production Summary'!$J28</f>
        <v>26500000</v>
      </c>
      <c r="C27" s="8">
        <f t="shared" si="21"/>
        <v>26.5</v>
      </c>
      <c r="D27" s="10">
        <f t="shared" si="22"/>
        <v>81.35499999999999</v>
      </c>
      <c r="E27" s="7">
        <f>'[4]Production Summary'!$E28</f>
        <v>20000000</v>
      </c>
      <c r="F27" s="8">
        <f t="shared" si="23"/>
        <v>20</v>
      </c>
      <c r="G27" s="10">
        <f t="shared" si="24"/>
        <v>61.4</v>
      </c>
      <c r="H27" s="7">
        <f>'[4]Production Summary'!$G28</f>
        <v>9470000</v>
      </c>
      <c r="I27" s="8">
        <f t="shared" si="25"/>
        <v>9.4700000000000006</v>
      </c>
      <c r="J27" s="10">
        <f t="shared" si="26"/>
        <v>29.072900000000001</v>
      </c>
      <c r="K27" s="7">
        <f>'[4]Production Summary'!$T28</f>
        <v>2453630</v>
      </c>
      <c r="L27" s="8">
        <f t="shared" si="27"/>
        <v>2.45363</v>
      </c>
      <c r="M27" s="10">
        <f t="shared" si="28"/>
        <v>7.5326440999999997</v>
      </c>
      <c r="N27" s="21"/>
      <c r="O27" s="7">
        <f>'[4]Production Summary'!$I28</f>
        <v>3297999.9999999949</v>
      </c>
      <c r="P27" s="8">
        <f t="shared" si="29"/>
        <v>3.2979999999999947</v>
      </c>
      <c r="Q27" s="10">
        <f t="shared" si="30"/>
        <v>10.124859999999984</v>
      </c>
      <c r="R27" s="7">
        <f>'[4]Production Summary'!$C28</f>
        <v>3952000</v>
      </c>
      <c r="S27" s="8">
        <f t="shared" si="31"/>
        <v>3.952</v>
      </c>
      <c r="T27" s="10">
        <f t="shared" si="32"/>
        <v>12.132639999999999</v>
      </c>
      <c r="U27" s="7">
        <f>'[4]Production Summary'!$F28</f>
        <v>0</v>
      </c>
      <c r="V27" s="8">
        <f t="shared" si="33"/>
        <v>0</v>
      </c>
      <c r="W27" s="10">
        <f t="shared" si="34"/>
        <v>0</v>
      </c>
      <c r="X27" s="7">
        <f>'[4]Production Summary'!$AB28</f>
        <v>632000.00000000501</v>
      </c>
      <c r="Y27" s="8">
        <f t="shared" si="35"/>
        <v>0.632000000000005</v>
      </c>
      <c r="Z27" s="10">
        <f t="shared" si="36"/>
        <v>1.9402400000000153</v>
      </c>
      <c r="AA27" s="15"/>
      <c r="AB27" s="56">
        <v>3372900</v>
      </c>
      <c r="AC27" s="57">
        <f t="shared" si="16"/>
        <v>3.3729</v>
      </c>
      <c r="AD27" s="58">
        <f t="shared" si="17"/>
        <v>10.354802999999999</v>
      </c>
      <c r="AF27" s="56">
        <f t="shared" si="37"/>
        <v>33170899.999999996</v>
      </c>
      <c r="AG27" s="57">
        <f t="shared" si="38"/>
        <v>33.170899999999996</v>
      </c>
      <c r="AH27" s="57">
        <f t="shared" si="39"/>
        <v>101.83466299999998</v>
      </c>
    </row>
    <row r="28" spans="1:35" x14ac:dyDescent="0.15">
      <c r="A28" s="27">
        <v>43305</v>
      </c>
      <c r="B28" s="7">
        <f>'[4]Production Summary'!$J29</f>
        <v>17199999.999998908</v>
      </c>
      <c r="C28" s="8">
        <f t="shared" si="21"/>
        <v>17.199999999998909</v>
      </c>
      <c r="D28" s="10">
        <f t="shared" si="22"/>
        <v>52.803999999996648</v>
      </c>
      <c r="E28" s="7">
        <f>'[4]Production Summary'!$E29</f>
        <v>12000000</v>
      </c>
      <c r="F28" s="8">
        <f t="shared" si="23"/>
        <v>12</v>
      </c>
      <c r="G28" s="10">
        <f t="shared" si="24"/>
        <v>36.839999999999996</v>
      </c>
      <c r="H28" s="7">
        <f>'[4]Production Summary'!$G29</f>
        <v>5800000</v>
      </c>
      <c r="I28" s="8">
        <f t="shared" si="25"/>
        <v>5.8</v>
      </c>
      <c r="J28" s="10">
        <f t="shared" si="26"/>
        <v>17.805999999999997</v>
      </c>
      <c r="K28" s="7">
        <f>'[4]Production Summary'!$T29</f>
        <v>1530039</v>
      </c>
      <c r="L28" s="8">
        <f t="shared" si="27"/>
        <v>1.5300389999999999</v>
      </c>
      <c r="M28" s="10">
        <f t="shared" si="28"/>
        <v>4.6972197299999996</v>
      </c>
      <c r="N28" s="21"/>
      <c r="O28" s="7">
        <f>'[4]Production Summary'!$I29</f>
        <v>7406000.0000000093</v>
      </c>
      <c r="P28" s="8">
        <f t="shared" si="29"/>
        <v>7.4060000000000095</v>
      </c>
      <c r="Q28" s="10">
        <f t="shared" si="30"/>
        <v>22.736420000000027</v>
      </c>
      <c r="R28" s="7">
        <f>'[4]Production Summary'!$C29</f>
        <v>7667000</v>
      </c>
      <c r="S28" s="8">
        <f t="shared" si="31"/>
        <v>7.6669999999999998</v>
      </c>
      <c r="T28" s="10">
        <f t="shared" si="32"/>
        <v>23.537689999999998</v>
      </c>
      <c r="U28" s="7">
        <f>'[4]Production Summary'!$F29</f>
        <v>0</v>
      </c>
      <c r="V28" s="8">
        <f t="shared" si="33"/>
        <v>0</v>
      </c>
      <c r="W28" s="10">
        <f t="shared" si="34"/>
        <v>0</v>
      </c>
      <c r="X28" s="7">
        <f>'[4]Production Summary'!$AB29</f>
        <v>256999.9999999908</v>
      </c>
      <c r="Y28" s="8">
        <f t="shared" si="35"/>
        <v>0.25699999999999079</v>
      </c>
      <c r="Z28" s="10">
        <f t="shared" si="36"/>
        <v>0.78898999999997166</v>
      </c>
      <c r="AA28" s="15"/>
      <c r="AB28" s="7">
        <v>0</v>
      </c>
      <c r="AC28" s="8">
        <f t="shared" si="16"/>
        <v>0</v>
      </c>
      <c r="AD28" s="10">
        <f t="shared" si="17"/>
        <v>0</v>
      </c>
      <c r="AF28" s="7">
        <f t="shared" si="18"/>
        <v>24605999.99999892</v>
      </c>
      <c r="AG28" s="8">
        <f t="shared" si="19"/>
        <v>24.605999999998918</v>
      </c>
      <c r="AH28" s="8">
        <f t="shared" si="20"/>
        <v>75.540419999996672</v>
      </c>
    </row>
    <row r="29" spans="1:35" x14ac:dyDescent="0.15">
      <c r="A29" s="27">
        <v>43306</v>
      </c>
      <c r="B29" s="7">
        <f>'[4]Production Summary'!$J30</f>
        <v>20700000.000000726</v>
      </c>
      <c r="C29" s="8">
        <f t="shared" si="21"/>
        <v>20.700000000000728</v>
      </c>
      <c r="D29" s="10">
        <f t="shared" si="22"/>
        <v>63.549000000002231</v>
      </c>
      <c r="E29" s="7">
        <f>'[4]Production Summary'!$E30</f>
        <v>14000000</v>
      </c>
      <c r="F29" s="8">
        <f t="shared" si="23"/>
        <v>14</v>
      </c>
      <c r="G29" s="10">
        <f t="shared" si="24"/>
        <v>42.98</v>
      </c>
      <c r="H29" s="7">
        <f>'[4]Production Summary'!$G30</f>
        <v>9060000</v>
      </c>
      <c r="I29" s="8">
        <f t="shared" si="25"/>
        <v>9.06</v>
      </c>
      <c r="J29" s="10">
        <f t="shared" si="26"/>
        <v>27.8142</v>
      </c>
      <c r="K29" s="7">
        <f>'[4]Production Summary'!$T30</f>
        <v>1877912</v>
      </c>
      <c r="L29" s="8">
        <f t="shared" si="27"/>
        <v>1.877912</v>
      </c>
      <c r="M29" s="10">
        <f t="shared" si="28"/>
        <v>5.7651898399999997</v>
      </c>
      <c r="N29" s="21"/>
      <c r="O29" s="7">
        <f>'[4]Production Summary'!$I30</f>
        <v>10295999.999999996</v>
      </c>
      <c r="P29" s="8">
        <f t="shared" si="29"/>
        <v>10.295999999999996</v>
      </c>
      <c r="Q29" s="10">
        <f t="shared" si="30"/>
        <v>31.608719999999984</v>
      </c>
      <c r="R29" s="7">
        <f>'[4]Production Summary'!$C30</f>
        <v>10540000</v>
      </c>
      <c r="S29" s="8">
        <f t="shared" si="31"/>
        <v>10.54</v>
      </c>
      <c r="T29" s="10">
        <f t="shared" si="32"/>
        <v>32.357799999999997</v>
      </c>
      <c r="U29" s="7">
        <f>'[4]Production Summary'!$F30</f>
        <v>0</v>
      </c>
      <c r="V29" s="8">
        <f t="shared" si="33"/>
        <v>0</v>
      </c>
      <c r="W29" s="10">
        <f t="shared" si="34"/>
        <v>0</v>
      </c>
      <c r="X29" s="7">
        <f>'[4]Production Summary'!$AB30</f>
        <v>239000.00000000431</v>
      </c>
      <c r="Y29" s="8">
        <f t="shared" si="35"/>
        <v>0.23900000000000432</v>
      </c>
      <c r="Z29" s="10">
        <f t="shared" si="36"/>
        <v>0.7337300000000132</v>
      </c>
      <c r="AA29" s="15"/>
      <c r="AB29" s="7">
        <v>0</v>
      </c>
      <c r="AC29" s="8">
        <f t="shared" si="16"/>
        <v>0</v>
      </c>
      <c r="AD29" s="10">
        <f t="shared" si="17"/>
        <v>0</v>
      </c>
      <c r="AF29" s="7">
        <f t="shared" si="18"/>
        <v>30996000.000000723</v>
      </c>
      <c r="AG29" s="8">
        <f t="shared" si="19"/>
        <v>30.996000000000723</v>
      </c>
      <c r="AH29" s="8">
        <f t="shared" si="20"/>
        <v>95.157720000002215</v>
      </c>
    </row>
    <row r="30" spans="1:35" x14ac:dyDescent="0.15">
      <c r="A30" s="27">
        <v>43307</v>
      </c>
      <c r="B30" s="7">
        <f>'[4]Production Summary'!$J31</f>
        <v>15100000.000000363</v>
      </c>
      <c r="C30" s="8">
        <f t="shared" si="21"/>
        <v>15.100000000000364</v>
      </c>
      <c r="D30" s="10">
        <f t="shared" si="22"/>
        <v>46.357000000001115</v>
      </c>
      <c r="E30" s="7">
        <f>'[4]Production Summary'!$E31</f>
        <v>8000000</v>
      </c>
      <c r="F30" s="8">
        <f t="shared" si="23"/>
        <v>8</v>
      </c>
      <c r="G30" s="10">
        <f t="shared" si="24"/>
        <v>24.56</v>
      </c>
      <c r="H30" s="7">
        <f>'[4]Production Summary'!$G31</f>
        <v>8160000</v>
      </c>
      <c r="I30" s="8">
        <f t="shared" si="25"/>
        <v>8.16</v>
      </c>
      <c r="J30" s="10">
        <f t="shared" si="26"/>
        <v>25.051199999999998</v>
      </c>
      <c r="K30" s="7">
        <f>'[4]Production Summary'!$T31</f>
        <v>1377361</v>
      </c>
      <c r="L30" s="8">
        <f t="shared" si="27"/>
        <v>1.3773610000000001</v>
      </c>
      <c r="M30" s="10">
        <f t="shared" si="28"/>
        <v>4.2284982700000002</v>
      </c>
      <c r="N30" s="21"/>
      <c r="O30" s="7">
        <f>'[4]Production Summary'!$I31</f>
        <v>8560000</v>
      </c>
      <c r="P30" s="8">
        <f t="shared" si="29"/>
        <v>8.56</v>
      </c>
      <c r="Q30" s="10">
        <f t="shared" si="30"/>
        <v>26.279199999999999</v>
      </c>
      <c r="R30" s="7">
        <f>'[4]Production Summary'!$C31</f>
        <v>8939000</v>
      </c>
      <c r="S30" s="8">
        <f t="shared" si="31"/>
        <v>8.9390000000000001</v>
      </c>
      <c r="T30" s="10">
        <f t="shared" si="32"/>
        <v>27.442729999999997</v>
      </c>
      <c r="U30" s="7">
        <f>'[4]Production Summary'!$F31</f>
        <v>0</v>
      </c>
      <c r="V30" s="8">
        <f t="shared" si="33"/>
        <v>0</v>
      </c>
      <c r="W30" s="10">
        <f t="shared" si="34"/>
        <v>0</v>
      </c>
      <c r="X30" s="7">
        <f>'[4]Production Summary'!$AB31</f>
        <v>371999.99999999988</v>
      </c>
      <c r="Y30" s="8">
        <f t="shared" si="35"/>
        <v>0.37199999999999989</v>
      </c>
      <c r="Z30" s="10">
        <f t="shared" si="36"/>
        <v>1.1420399999999995</v>
      </c>
      <c r="AA30" s="15"/>
      <c r="AB30" s="7">
        <v>0</v>
      </c>
      <c r="AC30" s="8">
        <f t="shared" si="16"/>
        <v>0</v>
      </c>
      <c r="AD30" s="10">
        <f t="shared" si="17"/>
        <v>0</v>
      </c>
      <c r="AF30" s="7">
        <f t="shared" si="18"/>
        <v>23660000.000000365</v>
      </c>
      <c r="AG30" s="8">
        <f t="shared" si="19"/>
        <v>23.660000000000366</v>
      </c>
      <c r="AH30" s="8">
        <f t="shared" si="20"/>
        <v>72.636200000001111</v>
      </c>
    </row>
    <row r="31" spans="1:35" x14ac:dyDescent="0.15">
      <c r="A31" s="27">
        <v>43308</v>
      </c>
      <c r="B31" s="7">
        <f>'[4]Production Summary'!$J32</f>
        <v>17799999.999999274</v>
      </c>
      <c r="C31" s="8">
        <f t="shared" si="21"/>
        <v>17.799999999999272</v>
      </c>
      <c r="D31" s="10">
        <f t="shared" si="22"/>
        <v>54.645999999997763</v>
      </c>
      <c r="E31" s="7">
        <f>'[4]Production Summary'!$E32</f>
        <v>10000000</v>
      </c>
      <c r="F31" s="8">
        <f t="shared" si="23"/>
        <v>10</v>
      </c>
      <c r="G31" s="10">
        <f t="shared" si="24"/>
        <v>30.7</v>
      </c>
      <c r="H31" s="7">
        <f>'[4]Production Summary'!$G32</f>
        <v>10060000</v>
      </c>
      <c r="I31" s="8">
        <f t="shared" si="25"/>
        <v>10.06</v>
      </c>
      <c r="J31" s="10">
        <f t="shared" si="26"/>
        <v>30.8842</v>
      </c>
      <c r="K31" s="7">
        <f>'[4]Production Summary'!$T32</f>
        <v>1734783</v>
      </c>
      <c r="L31" s="8">
        <f t="shared" si="27"/>
        <v>1.734783</v>
      </c>
      <c r="M31" s="10">
        <f t="shared" si="28"/>
        <v>5.3257838099999999</v>
      </c>
      <c r="N31" s="21"/>
      <c r="O31" s="7">
        <f>'[4]Production Summary'!$I32</f>
        <v>9600000.0000000056</v>
      </c>
      <c r="P31" s="8">
        <f t="shared" si="29"/>
        <v>9.600000000000005</v>
      </c>
      <c r="Q31" s="10">
        <f t="shared" si="30"/>
        <v>29.472000000000012</v>
      </c>
      <c r="R31" s="7">
        <f>'[4]Production Summary'!$C32</f>
        <v>9848000</v>
      </c>
      <c r="S31" s="8">
        <f t="shared" si="31"/>
        <v>9.8480000000000008</v>
      </c>
      <c r="T31" s="10">
        <f t="shared" si="32"/>
        <v>30.233360000000001</v>
      </c>
      <c r="U31" s="7">
        <f>'[4]Production Summary'!$F32</f>
        <v>0</v>
      </c>
      <c r="V31" s="8">
        <f t="shared" si="33"/>
        <v>0</v>
      </c>
      <c r="W31" s="10">
        <f t="shared" si="34"/>
        <v>0</v>
      </c>
      <c r="X31" s="7">
        <f>'[4]Production Summary'!$AB32</f>
        <v>242999.99999999499</v>
      </c>
      <c r="Y31" s="8">
        <f t="shared" si="35"/>
        <v>0.242999999999995</v>
      </c>
      <c r="Z31" s="10">
        <f t="shared" si="36"/>
        <v>0.74600999999998463</v>
      </c>
      <c r="AA31" s="15"/>
      <c r="AB31" s="7">
        <v>0</v>
      </c>
      <c r="AC31" s="8">
        <f t="shared" si="16"/>
        <v>0</v>
      </c>
      <c r="AD31" s="10">
        <f t="shared" si="17"/>
        <v>0</v>
      </c>
      <c r="AF31" s="7">
        <f t="shared" si="18"/>
        <v>27399999.999999277</v>
      </c>
      <c r="AG31" s="8">
        <f t="shared" si="19"/>
        <v>27.399999999999277</v>
      </c>
      <c r="AH31" s="8">
        <f t="shared" si="20"/>
        <v>84.117999999997778</v>
      </c>
    </row>
    <row r="32" spans="1:35" x14ac:dyDescent="0.15">
      <c r="A32" s="27">
        <v>43309</v>
      </c>
      <c r="B32" s="7">
        <f>'[4]Production Summary'!$J33</f>
        <v>16800000.000001092</v>
      </c>
      <c r="C32" s="8">
        <f t="shared" si="21"/>
        <v>16.800000000001091</v>
      </c>
      <c r="D32" s="10">
        <f t="shared" si="22"/>
        <v>51.576000000003347</v>
      </c>
      <c r="E32" s="7">
        <f>'[4]Production Summary'!$E33</f>
        <v>8000000</v>
      </c>
      <c r="F32" s="8">
        <f t="shared" si="23"/>
        <v>8</v>
      </c>
      <c r="G32" s="10">
        <f t="shared" si="24"/>
        <v>24.56</v>
      </c>
      <c r="H32" s="7">
        <f>'[4]Production Summary'!$G33</f>
        <v>9580000</v>
      </c>
      <c r="I32" s="8">
        <f t="shared" si="25"/>
        <v>9.58</v>
      </c>
      <c r="J32" s="10">
        <f t="shared" si="26"/>
        <v>29.410599999999999</v>
      </c>
      <c r="K32" s="7">
        <f>'[4]Production Summary'!$T33</f>
        <v>1523745</v>
      </c>
      <c r="L32" s="8">
        <f t="shared" si="27"/>
        <v>1.5237449999999999</v>
      </c>
      <c r="M32" s="10">
        <f t="shared" si="28"/>
        <v>4.6778971499999997</v>
      </c>
      <c r="N32" s="21"/>
      <c r="O32" s="7">
        <f>'[4]Production Summary'!$I33</f>
        <v>7603000.0000000009</v>
      </c>
      <c r="P32" s="8">
        <f t="shared" si="29"/>
        <v>7.6030000000000006</v>
      </c>
      <c r="Q32" s="10">
        <f t="shared" si="30"/>
        <v>23.34121</v>
      </c>
      <c r="R32" s="7">
        <f>'[4]Production Summary'!$C33</f>
        <v>7837000</v>
      </c>
      <c r="S32" s="8">
        <f t="shared" si="31"/>
        <v>7.8369999999999997</v>
      </c>
      <c r="T32" s="10">
        <f t="shared" si="32"/>
        <v>24.059589999999996</v>
      </c>
      <c r="U32" s="7">
        <f>'[4]Production Summary'!$F33</f>
        <v>0</v>
      </c>
      <c r="V32" s="8">
        <f t="shared" si="33"/>
        <v>0</v>
      </c>
      <c r="W32" s="10">
        <f t="shared" si="34"/>
        <v>0</v>
      </c>
      <c r="X32" s="7">
        <f>'[4]Production Summary'!$AB33</f>
        <v>228999.99999999921</v>
      </c>
      <c r="Y32" s="8">
        <f t="shared" si="35"/>
        <v>0.2289999999999992</v>
      </c>
      <c r="Z32" s="10">
        <f t="shared" si="36"/>
        <v>0.70302999999999749</v>
      </c>
      <c r="AA32" s="15"/>
      <c r="AB32" s="7">
        <v>0</v>
      </c>
      <c r="AC32" s="8">
        <f t="shared" si="16"/>
        <v>0</v>
      </c>
      <c r="AD32" s="10">
        <f t="shared" si="17"/>
        <v>0</v>
      </c>
      <c r="AF32" s="7">
        <f t="shared" si="18"/>
        <v>24403000.000001092</v>
      </c>
      <c r="AG32" s="8">
        <f t="shared" si="19"/>
        <v>24.403000000001093</v>
      </c>
      <c r="AH32" s="8">
        <f t="shared" si="20"/>
        <v>74.917210000003351</v>
      </c>
    </row>
    <row r="33" spans="1:34" x14ac:dyDescent="0.15">
      <c r="A33" s="27">
        <v>43310</v>
      </c>
      <c r="B33" s="7">
        <f>'[4]Production Summary'!$J34</f>
        <v>17199999.999998908</v>
      </c>
      <c r="C33" s="8">
        <f t="shared" si="21"/>
        <v>17.199999999998909</v>
      </c>
      <c r="D33" s="10">
        <f t="shared" si="22"/>
        <v>52.803999999996648</v>
      </c>
      <c r="E33" s="7">
        <f>'[4]Production Summary'!$E34</f>
        <v>8000000</v>
      </c>
      <c r="F33" s="8">
        <f t="shared" si="23"/>
        <v>8</v>
      </c>
      <c r="G33" s="10">
        <f t="shared" si="24"/>
        <v>24.56</v>
      </c>
      <c r="H33" s="7">
        <f>'[4]Production Summary'!$G34</f>
        <v>10620000</v>
      </c>
      <c r="I33" s="8">
        <f t="shared" si="25"/>
        <v>10.62</v>
      </c>
      <c r="J33" s="10">
        <f t="shared" si="26"/>
        <v>32.603399999999993</v>
      </c>
      <c r="K33" s="7">
        <f>'[4]Production Summary'!$T34</f>
        <v>1650625</v>
      </c>
      <c r="L33" s="8">
        <f t="shared" si="27"/>
        <v>1.650625</v>
      </c>
      <c r="M33" s="10">
        <f t="shared" si="28"/>
        <v>5.0674187499999999</v>
      </c>
      <c r="N33" s="21"/>
      <c r="O33" s="7">
        <f>'[4]Production Summary'!$I34</f>
        <v>10786999.999999998</v>
      </c>
      <c r="P33" s="8">
        <f t="shared" si="29"/>
        <v>10.786999999999997</v>
      </c>
      <c r="Q33" s="10">
        <f t="shared" si="30"/>
        <v>33.116089999999993</v>
      </c>
      <c r="R33" s="7">
        <f>'[4]Production Summary'!$C34</f>
        <v>10975000</v>
      </c>
      <c r="S33" s="8">
        <f t="shared" si="31"/>
        <v>10.975</v>
      </c>
      <c r="T33" s="10">
        <f t="shared" si="32"/>
        <v>33.693249999999999</v>
      </c>
      <c r="U33" s="7">
        <f>'[4]Production Summary'!$F34</f>
        <v>0</v>
      </c>
      <c r="V33" s="8">
        <f t="shared" si="33"/>
        <v>0</v>
      </c>
      <c r="W33" s="10">
        <f t="shared" si="34"/>
        <v>0</v>
      </c>
      <c r="X33" s="7">
        <f>'[4]Production Summary'!$AB34</f>
        <v>185000.00000000227</v>
      </c>
      <c r="Y33" s="8">
        <f t="shared" si="35"/>
        <v>0.18500000000000227</v>
      </c>
      <c r="Z33" s="10">
        <f t="shared" si="36"/>
        <v>0.56795000000000695</v>
      </c>
      <c r="AA33" s="15"/>
      <c r="AB33" s="7">
        <v>0</v>
      </c>
      <c r="AC33" s="8">
        <f t="shared" si="16"/>
        <v>0</v>
      </c>
      <c r="AD33" s="10">
        <f t="shared" si="17"/>
        <v>0</v>
      </c>
      <c r="AF33" s="7">
        <f t="shared" si="18"/>
        <v>27986999.999998905</v>
      </c>
      <c r="AG33" s="8">
        <f t="shared" si="19"/>
        <v>27.986999999998908</v>
      </c>
      <c r="AH33" s="8">
        <f t="shared" si="20"/>
        <v>85.920089999996634</v>
      </c>
    </row>
    <row r="34" spans="1:34" x14ac:dyDescent="0.15">
      <c r="A34" s="27">
        <v>43311</v>
      </c>
      <c r="B34" s="7">
        <f>'[4]Production Summary'!$J35</f>
        <v>19500000</v>
      </c>
      <c r="C34" s="8">
        <f t="shared" si="21"/>
        <v>19.5</v>
      </c>
      <c r="D34" s="10">
        <f t="shared" si="22"/>
        <v>59.864999999999995</v>
      </c>
      <c r="E34" s="7">
        <f>'[4]Production Summary'!$E35</f>
        <v>9000000</v>
      </c>
      <c r="F34" s="8">
        <f t="shared" si="23"/>
        <v>9</v>
      </c>
      <c r="G34" s="10">
        <f t="shared" si="24"/>
        <v>27.63</v>
      </c>
      <c r="H34" s="7">
        <f>'[4]Production Summary'!$G35</f>
        <v>12280000</v>
      </c>
      <c r="I34" s="8">
        <f t="shared" si="25"/>
        <v>12.28</v>
      </c>
      <c r="J34" s="10">
        <f t="shared" si="26"/>
        <v>37.699599999999997</v>
      </c>
      <c r="K34" s="7">
        <f>'[4]Production Summary'!$T35</f>
        <v>1997205</v>
      </c>
      <c r="L34" s="8">
        <f t="shared" si="27"/>
        <v>1.9972049999999999</v>
      </c>
      <c r="M34" s="10">
        <f t="shared" si="28"/>
        <v>6.1314193499999989</v>
      </c>
      <c r="N34" s="21"/>
      <c r="O34" s="7">
        <f>'[4]Production Summary'!$I35</f>
        <v>11476000.000000002</v>
      </c>
      <c r="P34" s="8">
        <f t="shared" si="29"/>
        <v>11.476000000000003</v>
      </c>
      <c r="Q34" s="10">
        <f t="shared" si="30"/>
        <v>35.231320000000004</v>
      </c>
      <c r="R34" s="7">
        <f>'[4]Production Summary'!$C35</f>
        <v>11785000</v>
      </c>
      <c r="S34" s="8">
        <f t="shared" si="31"/>
        <v>11.785</v>
      </c>
      <c r="T34" s="10">
        <f t="shared" si="32"/>
        <v>36.179949999999998</v>
      </c>
      <c r="U34" s="7">
        <f>'[4]Production Summary'!$F35</f>
        <v>0</v>
      </c>
      <c r="V34" s="8">
        <f t="shared" si="33"/>
        <v>0</v>
      </c>
      <c r="W34" s="10">
        <f t="shared" si="34"/>
        <v>0</v>
      </c>
      <c r="X34" s="7">
        <f>'[4]Production Summary'!$AB35</f>
        <v>302999.99999999726</v>
      </c>
      <c r="Y34" s="8">
        <f t="shared" si="35"/>
        <v>0.30299999999999727</v>
      </c>
      <c r="Z34" s="10">
        <f t="shared" si="36"/>
        <v>0.93020999999999154</v>
      </c>
      <c r="AA34" s="15"/>
      <c r="AB34" s="7">
        <v>0</v>
      </c>
      <c r="AC34" s="8">
        <f t="shared" si="16"/>
        <v>0</v>
      </c>
      <c r="AD34" s="10">
        <f t="shared" si="17"/>
        <v>0</v>
      </c>
      <c r="AF34" s="7">
        <f t="shared" si="18"/>
        <v>30976000</v>
      </c>
      <c r="AG34" s="8">
        <f t="shared" si="19"/>
        <v>30.976000000000003</v>
      </c>
      <c r="AH34" s="8">
        <f t="shared" si="20"/>
        <v>95.096319999999992</v>
      </c>
    </row>
    <row r="35" spans="1:34" ht="14" thickBot="1" x14ac:dyDescent="0.2">
      <c r="A35" s="27">
        <v>43312</v>
      </c>
      <c r="B35" s="7">
        <f>'[4]Production Summary'!$J36</f>
        <v>19800000.000001092</v>
      </c>
      <c r="C35" s="8">
        <f t="shared" si="21"/>
        <v>19.800000000001091</v>
      </c>
      <c r="D35" s="10">
        <f t="shared" si="22"/>
        <v>60.786000000003348</v>
      </c>
      <c r="E35" s="7">
        <f>'[4]Production Summary'!$E36</f>
        <v>9000000</v>
      </c>
      <c r="F35" s="8">
        <f t="shared" si="23"/>
        <v>9</v>
      </c>
      <c r="G35" s="10">
        <f t="shared" si="24"/>
        <v>27.63</v>
      </c>
      <c r="H35" s="7">
        <f>'[4]Production Summary'!$G36</f>
        <v>13260000</v>
      </c>
      <c r="I35" s="8">
        <f t="shared" si="25"/>
        <v>13.26</v>
      </c>
      <c r="J35" s="10">
        <f t="shared" si="26"/>
        <v>40.708199999999998</v>
      </c>
      <c r="K35" s="7">
        <f>'[4]Production Summary'!$T36</f>
        <v>2003362</v>
      </c>
      <c r="L35" s="8">
        <f t="shared" si="27"/>
        <v>2.0033620000000001</v>
      </c>
      <c r="M35" s="10">
        <f t="shared" si="28"/>
        <v>6.1503213399999996</v>
      </c>
      <c r="N35" s="21"/>
      <c r="O35" s="7">
        <f>'[4]Production Summary'!$I36</f>
        <v>10916000</v>
      </c>
      <c r="P35" s="8">
        <f t="shared" si="29"/>
        <v>10.916</v>
      </c>
      <c r="Q35" s="10">
        <f t="shared" si="30"/>
        <v>33.512119999999996</v>
      </c>
      <c r="R35" s="7">
        <f>'[4]Production Summary'!$C36</f>
        <v>11308000</v>
      </c>
      <c r="S35" s="8">
        <f t="shared" si="31"/>
        <v>11.308</v>
      </c>
      <c r="T35" s="10">
        <f t="shared" si="32"/>
        <v>34.715559999999996</v>
      </c>
      <c r="U35" s="7">
        <f>'[4]Production Summary'!$F36</f>
        <v>0</v>
      </c>
      <c r="V35" s="8">
        <f t="shared" si="33"/>
        <v>0</v>
      </c>
      <c r="W35" s="10">
        <f t="shared" si="34"/>
        <v>0</v>
      </c>
      <c r="X35" s="7">
        <f>'[4]Production Summary'!$AB36</f>
        <v>384000.00000000035</v>
      </c>
      <c r="Y35" s="8">
        <f t="shared" si="35"/>
        <v>0.38400000000000034</v>
      </c>
      <c r="Z35" s="10">
        <f t="shared" si="36"/>
        <v>1.178880000000001</v>
      </c>
      <c r="AA35" s="15"/>
      <c r="AB35" s="7">
        <v>0</v>
      </c>
      <c r="AC35" s="9">
        <f t="shared" si="16"/>
        <v>0</v>
      </c>
      <c r="AD35" s="11">
        <f t="shared" si="17"/>
        <v>0</v>
      </c>
      <c r="AF35" s="7">
        <f t="shared" si="18"/>
        <v>30716000.000001092</v>
      </c>
      <c r="AG35" s="8">
        <f t="shared" si="19"/>
        <v>30.716000000001092</v>
      </c>
      <c r="AH35" s="8">
        <f t="shared" si="20"/>
        <v>94.298120000003337</v>
      </c>
    </row>
    <row r="36" spans="1:34" ht="14" thickBot="1" x14ac:dyDescent="0.2">
      <c r="A36" s="14"/>
      <c r="B36" s="37"/>
      <c r="C36" s="38">
        <f>SUM(C5:C35)</f>
        <v>781.5</v>
      </c>
      <c r="D36" s="38">
        <f t="shared" ref="D36" si="40">C36*3.07</f>
        <v>2399.2049999999999</v>
      </c>
      <c r="E36" s="37"/>
      <c r="F36" s="38">
        <f>SUM(F5:F35)</f>
        <v>556</v>
      </c>
      <c r="G36" s="38">
        <f t="shared" ref="G36" si="41">F36*3.07</f>
        <v>1706.9199999999998</v>
      </c>
      <c r="H36" s="37"/>
      <c r="I36" s="38">
        <f>SUM(I5:I35)</f>
        <v>303.97999999999996</v>
      </c>
      <c r="J36" s="38">
        <f t="shared" ref="J36" si="42">I36*3.07</f>
        <v>933.21859999999981</v>
      </c>
      <c r="K36" s="37"/>
      <c r="L36" s="38">
        <f>SUM(L5:L35)</f>
        <v>73.912488999999979</v>
      </c>
      <c r="M36" s="38">
        <f t="shared" ref="M36" si="43">L36*3.07</f>
        <v>226.91134122999992</v>
      </c>
      <c r="N36" s="14"/>
      <c r="O36" s="37"/>
      <c r="P36" s="38">
        <f>SUM(P5:P35)</f>
        <v>315.99200000000002</v>
      </c>
      <c r="Q36" s="38">
        <f t="shared" ref="Q36" si="44">P36*3.07</f>
        <v>970.09544000000005</v>
      </c>
      <c r="R36" s="37"/>
      <c r="S36" s="38">
        <f>SUM(S5:S35)</f>
        <v>325.12600000000015</v>
      </c>
      <c r="T36" s="38">
        <f t="shared" ref="T36" si="45">S36*3.07</f>
        <v>998.1368200000004</v>
      </c>
      <c r="U36" s="37"/>
      <c r="V36" s="38">
        <f>SUM(V5:V35)</f>
        <v>0</v>
      </c>
      <c r="W36" s="38">
        <f t="shared" ref="W36" si="46">V36*3.07</f>
        <v>0</v>
      </c>
      <c r="X36" s="37"/>
      <c r="Y36" s="38">
        <f>SUM(Y5:Y35)</f>
        <v>8.9469999999999885</v>
      </c>
      <c r="Z36" s="38">
        <f t="shared" ref="Z36" si="47">Y36*3.07</f>
        <v>27.467289999999963</v>
      </c>
      <c r="AA36" s="14"/>
      <c r="AB36" s="37"/>
      <c r="AC36" s="38">
        <f>SUM(AC5:AC35)</f>
        <v>22.939530000000001</v>
      </c>
      <c r="AD36" s="38">
        <f t="shared" si="17"/>
        <v>70.424357099999995</v>
      </c>
      <c r="AF36" s="37"/>
      <c r="AG36" s="38">
        <f>SUM(AG5:AG35)</f>
        <v>1120.4315300000003</v>
      </c>
      <c r="AH36" s="38">
        <f>AG36*3.07</f>
        <v>3439.7247971000006</v>
      </c>
    </row>
    <row r="37" spans="1:34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4" x14ac:dyDescent="0.15">
      <c r="J38" s="18"/>
    </row>
  </sheetData>
  <mergeCells count="10">
    <mergeCell ref="U3:W3"/>
    <mergeCell ref="X3:Z3"/>
    <mergeCell ref="AB3:AD3"/>
    <mergeCell ref="AF3:AH3"/>
    <mergeCell ref="B3:D3"/>
    <mergeCell ref="E3:G3"/>
    <mergeCell ref="H3:J3"/>
    <mergeCell ref="K3:M3"/>
    <mergeCell ref="O3:Q3"/>
    <mergeCell ref="R3:T3"/>
  </mergeCells>
  <pageMargins left="0.75" right="0.75" top="1" bottom="1" header="0.5" footer="0.5"/>
  <pageSetup paperSize="5" scale="5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F38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Q36" sqref="Q36"/>
    </sheetView>
  </sheetViews>
  <sheetFormatPr baseColWidth="10" defaultColWidth="8.83203125" defaultRowHeight="13" x14ac:dyDescent="0.15"/>
  <cols>
    <col min="2" max="2" width="14.5" bestFit="1" customWidth="1"/>
    <col min="5" max="5" width="12.83203125" customWidth="1"/>
    <col min="8" max="8" width="11" customWidth="1"/>
    <col min="11" max="11" width="11" customWidth="1"/>
    <col min="12" max="12" width="10.83203125" customWidth="1"/>
    <col min="15" max="15" width="11.33203125" customWidth="1"/>
    <col min="18" max="18" width="10.5" customWidth="1"/>
    <col min="21" max="21" width="10.6640625" bestFit="1" customWidth="1"/>
    <col min="22" max="22" width="10.5" customWidth="1"/>
    <col min="28" max="28" width="10.6640625" customWidth="1"/>
  </cols>
  <sheetData>
    <row r="1" spans="1:32" s="3" customFormat="1" x14ac:dyDescent="0.15">
      <c r="A1" s="41"/>
      <c r="B1" s="39"/>
      <c r="C1" s="25"/>
      <c r="D1" s="25"/>
      <c r="E1" s="25"/>
      <c r="F1" s="25"/>
      <c r="K1" s="14"/>
      <c r="U1" s="14"/>
    </row>
    <row r="2" spans="1:32" s="3" customFormat="1" ht="14" thickBot="1" x14ac:dyDescent="0.2">
      <c r="C2" s="24"/>
      <c r="K2" s="14"/>
      <c r="U2" s="14"/>
    </row>
    <row r="3" spans="1:32" s="3" customFormat="1" ht="60.75" customHeight="1" thickBot="1" x14ac:dyDescent="0.2"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17</v>
      </c>
      <c r="V3" s="63"/>
      <c r="W3" s="64"/>
      <c r="X3" s="62" t="s">
        <v>7</v>
      </c>
      <c r="Y3" s="63"/>
      <c r="Z3" s="64"/>
      <c r="AA3" s="19"/>
      <c r="AB3" s="59" t="s">
        <v>8</v>
      </c>
      <c r="AC3" s="60"/>
      <c r="AD3" s="61"/>
      <c r="AF3" s="51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15">
      <c r="A5" s="27">
        <v>43313</v>
      </c>
      <c r="B5" s="7">
        <f>'[4]Production Summary'!$J37</f>
        <v>23399999.999999635</v>
      </c>
      <c r="C5" s="8">
        <f t="shared" ref="C5" si="0">B5/1000000</f>
        <v>23.399999999999636</v>
      </c>
      <c r="D5" s="10">
        <f t="shared" ref="D5" si="1">C5*3.07</f>
        <v>71.837999999998885</v>
      </c>
      <c r="E5" s="7">
        <f>'[4]Production Summary'!$E37</f>
        <v>12000000</v>
      </c>
      <c r="F5" s="8">
        <f t="shared" ref="F5" si="2">E5/1000000</f>
        <v>12</v>
      </c>
      <c r="G5" s="10">
        <f t="shared" ref="G5" si="3">F5*3.07</f>
        <v>36.839999999999996</v>
      </c>
      <c r="H5" s="7">
        <f>'[4]Production Summary'!$G37</f>
        <v>14460000</v>
      </c>
      <c r="I5" s="8">
        <f t="shared" ref="I5" si="4">H5/1000000</f>
        <v>14.46</v>
      </c>
      <c r="J5" s="10">
        <f t="shared" ref="J5" si="5">I5*3.07</f>
        <v>44.392200000000003</v>
      </c>
      <c r="K5" s="7">
        <f>'[4]Production Summary'!$T37</f>
        <v>2271881</v>
      </c>
      <c r="L5" s="8">
        <f t="shared" ref="L5" si="6">K5/1000000</f>
        <v>2.271881</v>
      </c>
      <c r="M5" s="10">
        <f t="shared" ref="M5" si="7">L5*3.07</f>
        <v>6.9746746699999997</v>
      </c>
      <c r="N5" s="21"/>
      <c r="O5" s="7">
        <f>'[4]Production Summary'!$I37</f>
        <v>13455999.999999994</v>
      </c>
      <c r="P5" s="8">
        <f t="shared" ref="P5" si="8">O5/1000000</f>
        <v>13.455999999999994</v>
      </c>
      <c r="Q5" s="10">
        <f t="shared" ref="Q5" si="9">P5*3.07</f>
        <v>41.309919999999977</v>
      </c>
      <c r="R5" s="7">
        <f>'[4]Production Summary'!$C37</f>
        <v>13759000</v>
      </c>
      <c r="S5" s="8">
        <f t="shared" ref="S5" si="10">R5/1000000</f>
        <v>13.759</v>
      </c>
      <c r="T5" s="10">
        <f t="shared" ref="T5" si="11">S5*3.07</f>
        <v>42.240130000000001</v>
      </c>
      <c r="U5" s="7">
        <f>'[4]Production Summary'!$F37</f>
        <v>0</v>
      </c>
      <c r="V5" s="8">
        <f t="shared" ref="V5" si="12">U5/1000000</f>
        <v>0</v>
      </c>
      <c r="W5" s="10">
        <f t="shared" ref="W5" si="13">V5*3.07</f>
        <v>0</v>
      </c>
      <c r="X5" s="7">
        <f>'[4]Production Summary'!$AB37</f>
        <v>296000.00000000646</v>
      </c>
      <c r="Y5" s="8">
        <f t="shared" ref="Y5" si="14">X5/1000000</f>
        <v>0.29600000000000648</v>
      </c>
      <c r="Z5" s="10">
        <f t="shared" ref="Z5" si="15">Y5*3.07</f>
        <v>0.90872000000001985</v>
      </c>
      <c r="AA5" s="15"/>
      <c r="AB5" s="7">
        <f>B5+O5</f>
        <v>36855999.999999627</v>
      </c>
      <c r="AC5" s="8">
        <f>C5+P5</f>
        <v>36.855999999999632</v>
      </c>
      <c r="AD5" s="8">
        <f>D5+Q5</f>
        <v>113.14791999999886</v>
      </c>
      <c r="AF5" s="8">
        <f t="shared" ref="AF5:AF14" si="16">T5-Q5-Z5</f>
        <v>2.1490000000003895E-2</v>
      </c>
    </row>
    <row r="6" spans="1:32" x14ac:dyDescent="0.15">
      <c r="A6" s="27">
        <v>43314</v>
      </c>
      <c r="B6" s="7">
        <f>'[4]Production Summary'!$J38</f>
        <v>18699999.999998908</v>
      </c>
      <c r="C6" s="8">
        <f t="shared" ref="C6:C35" si="17">B6/1000000</f>
        <v>18.699999999998909</v>
      </c>
      <c r="D6" s="10">
        <f t="shared" ref="D6:D35" si="18">C6*3.07</f>
        <v>57.408999999996645</v>
      </c>
      <c r="E6" s="7">
        <f>'[4]Production Summary'!$E38</f>
        <v>9000000</v>
      </c>
      <c r="F6" s="8">
        <f t="shared" ref="F6:F35" si="19">E6/1000000</f>
        <v>9</v>
      </c>
      <c r="G6" s="10">
        <f t="shared" ref="G6:G35" si="20">F6*3.07</f>
        <v>27.63</v>
      </c>
      <c r="H6" s="7">
        <f>'[4]Production Summary'!$G38</f>
        <v>11510000</v>
      </c>
      <c r="I6" s="8">
        <f t="shared" ref="I6:I35" si="21">H6/1000000</f>
        <v>11.51</v>
      </c>
      <c r="J6" s="10">
        <f t="shared" ref="J6:J35" si="22">I6*3.07</f>
        <v>35.335699999999996</v>
      </c>
      <c r="K6" s="7">
        <f>'[4]Production Summary'!$T38</f>
        <v>1703982</v>
      </c>
      <c r="L6" s="8">
        <f t="shared" ref="L6:L35" si="23">K6/1000000</f>
        <v>1.7039820000000001</v>
      </c>
      <c r="M6" s="10">
        <f t="shared" ref="M6:M35" si="24">L6*3.07</f>
        <v>5.23122474</v>
      </c>
      <c r="N6" s="21"/>
      <c r="O6" s="7">
        <f>'[4]Production Summary'!$I38</f>
        <v>12228000</v>
      </c>
      <c r="P6" s="8">
        <f t="shared" ref="P6:P35" si="25">O6/1000000</f>
        <v>12.228</v>
      </c>
      <c r="Q6" s="10">
        <f t="shared" ref="Q6:Q35" si="26">P6*3.07</f>
        <v>37.539960000000001</v>
      </c>
      <c r="R6" s="7">
        <f>'[4]Production Summary'!$C38</f>
        <v>12587000</v>
      </c>
      <c r="S6" s="8">
        <f t="shared" ref="S6:S35" si="27">R6/1000000</f>
        <v>12.587</v>
      </c>
      <c r="T6" s="10">
        <f t="shared" ref="T6:T35" si="28">S6*3.07</f>
        <v>38.642089999999996</v>
      </c>
      <c r="U6" s="7">
        <f>'[4]Production Summary'!$F38</f>
        <v>0</v>
      </c>
      <c r="V6" s="8">
        <f t="shared" ref="V6:V35" si="29">U6/1000000</f>
        <v>0</v>
      </c>
      <c r="W6" s="10">
        <f t="shared" ref="W6:W35" si="30">V6*3.07</f>
        <v>0</v>
      </c>
      <c r="X6" s="7">
        <f>'[4]Production Summary'!$AB38</f>
        <v>353999.99999999919</v>
      </c>
      <c r="Y6" s="8">
        <f t="shared" ref="Y6:Y35" si="31">X6/1000000</f>
        <v>0.3539999999999992</v>
      </c>
      <c r="Z6" s="10">
        <f t="shared" ref="Z6:Z35" si="32">Y6*3.07</f>
        <v>1.0867799999999974</v>
      </c>
      <c r="AA6" s="15"/>
      <c r="AB6" s="7">
        <f t="shared" ref="AB6:AD35" si="33">B6+O6</f>
        <v>30927999.999998908</v>
      </c>
      <c r="AC6" s="8">
        <f t="shared" si="33"/>
        <v>30.92799999999891</v>
      </c>
      <c r="AD6" s="8">
        <f t="shared" si="33"/>
        <v>94.948959999996646</v>
      </c>
      <c r="AF6" s="8">
        <f t="shared" si="16"/>
        <v>1.5349999999997976E-2</v>
      </c>
    </row>
    <row r="7" spans="1:32" x14ac:dyDescent="0.15">
      <c r="A7" s="27">
        <v>43315</v>
      </c>
      <c r="B7" s="7">
        <f>'[4]Production Summary'!$J39</f>
        <v>23300000.000001092</v>
      </c>
      <c r="C7" s="8">
        <f t="shared" si="17"/>
        <v>23.300000000001091</v>
      </c>
      <c r="D7" s="10">
        <f t="shared" si="18"/>
        <v>71.531000000003345</v>
      </c>
      <c r="E7" s="7">
        <f>'[4]Production Summary'!$E39</f>
        <v>9000000</v>
      </c>
      <c r="F7" s="8">
        <f t="shared" si="19"/>
        <v>9</v>
      </c>
      <c r="G7" s="10">
        <f t="shared" si="20"/>
        <v>27.63</v>
      </c>
      <c r="H7" s="7">
        <f>'[4]Production Summary'!$G39</f>
        <v>15140000</v>
      </c>
      <c r="I7" s="8">
        <f t="shared" si="21"/>
        <v>15.14</v>
      </c>
      <c r="J7" s="10">
        <f t="shared" si="22"/>
        <v>46.479799999999997</v>
      </c>
      <c r="K7" s="7">
        <f>'[4]Production Summary'!$T39</f>
        <v>2132136</v>
      </c>
      <c r="L7" s="8">
        <f t="shared" si="23"/>
        <v>2.132136</v>
      </c>
      <c r="M7" s="10">
        <f t="shared" si="24"/>
        <v>6.5456575199999998</v>
      </c>
      <c r="N7" s="21"/>
      <c r="O7" s="7">
        <f>'[4]Production Summary'!$I39</f>
        <v>12201999.999999994</v>
      </c>
      <c r="P7" s="8">
        <f t="shared" si="25"/>
        <v>12.201999999999995</v>
      </c>
      <c r="Q7" s="10">
        <f t="shared" si="26"/>
        <v>37.460139999999981</v>
      </c>
      <c r="R7" s="7">
        <f>'[4]Production Summary'!$C39</f>
        <v>12617000</v>
      </c>
      <c r="S7" s="8">
        <f t="shared" si="27"/>
        <v>12.617000000000001</v>
      </c>
      <c r="T7" s="10">
        <f t="shared" si="28"/>
        <v>38.734189999999998</v>
      </c>
      <c r="U7" s="7">
        <f>'[4]Production Summary'!$F39</f>
        <v>0</v>
      </c>
      <c r="V7" s="8">
        <f t="shared" si="29"/>
        <v>0</v>
      </c>
      <c r="W7" s="10">
        <f t="shared" si="30"/>
        <v>0</v>
      </c>
      <c r="X7" s="7">
        <f>'[4]Production Summary'!$AB39</f>
        <v>406000.00000000594</v>
      </c>
      <c r="Y7" s="8">
        <f t="shared" si="31"/>
        <v>0.40600000000000591</v>
      </c>
      <c r="Z7" s="10">
        <f t="shared" si="32"/>
        <v>1.2464200000000181</v>
      </c>
      <c r="AA7" s="15"/>
      <c r="AB7" s="7">
        <f t="shared" si="33"/>
        <v>35502000.000001088</v>
      </c>
      <c r="AC7" s="8">
        <f t="shared" si="33"/>
        <v>35.50200000000109</v>
      </c>
      <c r="AD7" s="8">
        <f t="shared" si="33"/>
        <v>108.99114000000333</v>
      </c>
      <c r="AF7" s="8">
        <f t="shared" si="16"/>
        <v>2.7629999999998711E-2</v>
      </c>
    </row>
    <row r="8" spans="1:32" x14ac:dyDescent="0.15">
      <c r="A8" s="27">
        <v>43316</v>
      </c>
      <c r="B8" s="7">
        <f>'[4]Production Summary'!$J40</f>
        <v>20199999.999998908</v>
      </c>
      <c r="C8" s="8">
        <f t="shared" si="17"/>
        <v>20.199999999998909</v>
      </c>
      <c r="D8" s="10">
        <f t="shared" si="18"/>
        <v>62.013999999996649</v>
      </c>
      <c r="E8" s="7">
        <f>'[4]Production Summary'!$E40</f>
        <v>8000000</v>
      </c>
      <c r="F8" s="8">
        <f t="shared" si="19"/>
        <v>8</v>
      </c>
      <c r="G8" s="10">
        <f t="shared" si="20"/>
        <v>24.56</v>
      </c>
      <c r="H8" s="7">
        <f>'[4]Production Summary'!$G40</f>
        <v>15340000</v>
      </c>
      <c r="I8" s="8">
        <f t="shared" si="21"/>
        <v>15.34</v>
      </c>
      <c r="J8" s="10">
        <f t="shared" si="22"/>
        <v>47.093799999999995</v>
      </c>
      <c r="K8" s="7">
        <f>'[4]Production Summary'!$T40</f>
        <v>2014239</v>
      </c>
      <c r="L8" s="8">
        <f t="shared" si="23"/>
        <v>2.0142389999999999</v>
      </c>
      <c r="M8" s="10">
        <f t="shared" si="24"/>
        <v>6.1837137299999991</v>
      </c>
      <c r="N8" s="21"/>
      <c r="O8" s="7">
        <f>'[4]Production Summary'!$I40</f>
        <v>12449000.000000009</v>
      </c>
      <c r="P8" s="8">
        <f t="shared" si="25"/>
        <v>12.449000000000009</v>
      </c>
      <c r="Q8" s="10">
        <f t="shared" si="26"/>
        <v>38.218430000000026</v>
      </c>
      <c r="R8" s="7">
        <f>'[4]Production Summary'!$C40</f>
        <v>12726000</v>
      </c>
      <c r="S8" s="8">
        <f t="shared" si="27"/>
        <v>12.726000000000001</v>
      </c>
      <c r="T8" s="10">
        <f t="shared" si="28"/>
        <v>39.068820000000002</v>
      </c>
      <c r="U8" s="7">
        <f>'[4]Production Summary'!$F40</f>
        <v>0</v>
      </c>
      <c r="V8" s="8">
        <f t="shared" si="29"/>
        <v>0</v>
      </c>
      <c r="W8" s="10">
        <f t="shared" si="30"/>
        <v>0</v>
      </c>
      <c r="X8" s="7">
        <f>'[4]Production Summary'!$AB40</f>
        <v>271999.99999999139</v>
      </c>
      <c r="Y8" s="8">
        <f t="shared" si="31"/>
        <v>0.27199999999999136</v>
      </c>
      <c r="Z8" s="10">
        <f t="shared" si="32"/>
        <v>0.83503999999997347</v>
      </c>
      <c r="AA8" s="15"/>
      <c r="AB8" s="7">
        <f t="shared" si="33"/>
        <v>32648999.99999892</v>
      </c>
      <c r="AC8" s="8">
        <f t="shared" si="33"/>
        <v>32.648999999998921</v>
      </c>
      <c r="AD8" s="8">
        <f>D8+Q8</f>
        <v>100.23242999999667</v>
      </c>
      <c r="AF8" s="8">
        <f t="shared" si="16"/>
        <v>1.5350000000002528E-2</v>
      </c>
    </row>
    <row r="9" spans="1:32" x14ac:dyDescent="0.15">
      <c r="A9" s="27">
        <v>43317</v>
      </c>
      <c r="B9" s="7">
        <f>'[4]Production Summary'!$J41</f>
        <v>21700000.000000726</v>
      </c>
      <c r="C9" s="8">
        <f t="shared" si="17"/>
        <v>21.700000000000728</v>
      </c>
      <c r="D9" s="10">
        <f t="shared" si="18"/>
        <v>66.619000000002231</v>
      </c>
      <c r="E9" s="7">
        <f>'[4]Production Summary'!$E41</f>
        <v>7000000</v>
      </c>
      <c r="F9" s="8">
        <f t="shared" si="19"/>
        <v>7</v>
      </c>
      <c r="G9" s="10">
        <f t="shared" si="20"/>
        <v>21.49</v>
      </c>
      <c r="H9" s="7">
        <f>'[4]Production Summary'!$G41</f>
        <v>15730000</v>
      </c>
      <c r="I9" s="8">
        <f t="shared" si="21"/>
        <v>15.73</v>
      </c>
      <c r="J9" s="10">
        <f t="shared" si="22"/>
        <v>48.2911</v>
      </c>
      <c r="K9" s="7">
        <f>'[4]Production Summary'!$T41</f>
        <v>1968098</v>
      </c>
      <c r="L9" s="8">
        <f t="shared" si="23"/>
        <v>1.9680979999999999</v>
      </c>
      <c r="M9" s="10">
        <f t="shared" si="24"/>
        <v>6.0420608599999994</v>
      </c>
      <c r="N9" s="21"/>
      <c r="O9" s="7">
        <f>'[4]Production Summary'!$I41</f>
        <v>12465999.999999991</v>
      </c>
      <c r="P9" s="8">
        <f t="shared" si="25"/>
        <v>12.46599999999999</v>
      </c>
      <c r="Q9" s="10">
        <f t="shared" si="26"/>
        <v>38.270619999999965</v>
      </c>
      <c r="R9" s="7">
        <f>'[4]Production Summary'!$C41</f>
        <v>12840000</v>
      </c>
      <c r="S9" s="8">
        <f t="shared" si="27"/>
        <v>12.84</v>
      </c>
      <c r="T9" s="10">
        <f t="shared" si="28"/>
        <v>39.418799999999997</v>
      </c>
      <c r="U9" s="7">
        <f>'[4]Production Summary'!$F41</f>
        <v>0</v>
      </c>
      <c r="V9" s="8">
        <f t="shared" si="29"/>
        <v>0</v>
      </c>
      <c r="W9" s="10">
        <f t="shared" si="30"/>
        <v>0</v>
      </c>
      <c r="X9" s="7">
        <f>'[4]Production Summary'!$AB41</f>
        <v>368000.0000000092</v>
      </c>
      <c r="Y9" s="8">
        <f t="shared" si="31"/>
        <v>0.36800000000000921</v>
      </c>
      <c r="Z9" s="10">
        <f t="shared" si="32"/>
        <v>1.1297600000000283</v>
      </c>
      <c r="AA9" s="15"/>
      <c r="AB9" s="7">
        <f t="shared" si="33"/>
        <v>34166000.000000715</v>
      </c>
      <c r="AC9" s="8">
        <f t="shared" si="33"/>
        <v>34.166000000000722</v>
      </c>
      <c r="AD9" s="8">
        <f t="shared" si="33"/>
        <v>104.8896200000022</v>
      </c>
      <c r="AF9" s="8">
        <f t="shared" si="16"/>
        <v>1.8420000000003656E-2</v>
      </c>
    </row>
    <row r="10" spans="1:32" x14ac:dyDescent="0.15">
      <c r="A10" s="27">
        <v>43318</v>
      </c>
      <c r="B10" s="7">
        <f>'[4]Production Summary'!$J42</f>
        <v>19000000</v>
      </c>
      <c r="C10" s="8">
        <f t="shared" si="17"/>
        <v>19</v>
      </c>
      <c r="D10" s="10">
        <f t="shared" si="18"/>
        <v>58.33</v>
      </c>
      <c r="E10" s="7">
        <f>'[4]Production Summary'!$E42</f>
        <v>8000000</v>
      </c>
      <c r="F10" s="8">
        <f t="shared" si="19"/>
        <v>8</v>
      </c>
      <c r="G10" s="10">
        <f t="shared" si="20"/>
        <v>24.56</v>
      </c>
      <c r="H10" s="7">
        <f>'[4]Production Summary'!$G42</f>
        <v>13140000</v>
      </c>
      <c r="I10" s="8">
        <f t="shared" si="21"/>
        <v>13.14</v>
      </c>
      <c r="J10" s="10">
        <f t="shared" si="22"/>
        <v>40.339799999999997</v>
      </c>
      <c r="K10" s="7">
        <f>'[4]Production Summary'!$T42</f>
        <v>1742341</v>
      </c>
      <c r="L10" s="8">
        <f t="shared" si="23"/>
        <v>1.7423409999999999</v>
      </c>
      <c r="M10" s="10">
        <f t="shared" si="24"/>
        <v>5.3489868699999992</v>
      </c>
      <c r="N10" s="21"/>
      <c r="O10" s="7">
        <f>'[4]Production Summary'!$I42</f>
        <v>11578000.000000007</v>
      </c>
      <c r="P10" s="8">
        <f t="shared" si="25"/>
        <v>11.578000000000008</v>
      </c>
      <c r="Q10" s="10">
        <f t="shared" si="26"/>
        <v>35.544460000000022</v>
      </c>
      <c r="R10" s="7">
        <f>'[4]Production Summary'!$C42</f>
        <v>11907000</v>
      </c>
      <c r="S10" s="8">
        <f t="shared" si="27"/>
        <v>11.907</v>
      </c>
      <c r="T10" s="10">
        <f t="shared" si="28"/>
        <v>36.554490000000001</v>
      </c>
      <c r="U10" s="7">
        <f>'[4]Production Summary'!$F42</f>
        <v>0</v>
      </c>
      <c r="V10" s="8">
        <f t="shared" si="29"/>
        <v>0</v>
      </c>
      <c r="W10" s="10">
        <f t="shared" si="30"/>
        <v>0</v>
      </c>
      <c r="X10" s="7">
        <f>'[4]Production Summary'!$AB42</f>
        <v>319999.99999999319</v>
      </c>
      <c r="Y10" s="8">
        <f t="shared" si="31"/>
        <v>0.31999999999999318</v>
      </c>
      <c r="Z10" s="10">
        <f t="shared" si="32"/>
        <v>0.98239999999997896</v>
      </c>
      <c r="AA10" s="15"/>
      <c r="AB10" s="7">
        <f t="shared" si="33"/>
        <v>30578000.000000007</v>
      </c>
      <c r="AC10" s="8">
        <f t="shared" si="33"/>
        <v>30.57800000000001</v>
      </c>
      <c r="AD10" s="8">
        <f t="shared" si="33"/>
        <v>93.874460000000028</v>
      </c>
      <c r="AF10" s="8">
        <f t="shared" si="16"/>
        <v>2.7630000000000154E-2</v>
      </c>
    </row>
    <row r="11" spans="1:32" x14ac:dyDescent="0.15">
      <c r="A11" s="27">
        <v>43319</v>
      </c>
      <c r="B11" s="7">
        <f>'[4]Production Summary'!$J43</f>
        <v>21700000.000000726</v>
      </c>
      <c r="C11" s="8">
        <f t="shared" si="17"/>
        <v>21.700000000000728</v>
      </c>
      <c r="D11" s="10">
        <f t="shared" si="18"/>
        <v>66.619000000002231</v>
      </c>
      <c r="E11" s="7">
        <f>'[4]Production Summary'!$E43</f>
        <v>9000000</v>
      </c>
      <c r="F11" s="8">
        <f t="shared" si="19"/>
        <v>9</v>
      </c>
      <c r="G11" s="10">
        <f t="shared" si="20"/>
        <v>27.63</v>
      </c>
      <c r="H11" s="7">
        <f>'[4]Production Summary'!$G43</f>
        <v>15510000</v>
      </c>
      <c r="I11" s="8">
        <f t="shared" si="21"/>
        <v>15.51</v>
      </c>
      <c r="J11" s="10">
        <f t="shared" si="22"/>
        <v>47.615699999999997</v>
      </c>
      <c r="K11" s="7">
        <f>'[4]Production Summary'!$T43</f>
        <v>2247804</v>
      </c>
      <c r="L11" s="8">
        <f t="shared" si="23"/>
        <v>2.2478039999999999</v>
      </c>
      <c r="M11" s="10">
        <f t="shared" si="24"/>
        <v>6.9007582799999998</v>
      </c>
      <c r="N11" s="21"/>
      <c r="O11" s="7">
        <f>'[4]Production Summary'!$I43</f>
        <v>12417999.999999998</v>
      </c>
      <c r="P11" s="8">
        <f t="shared" si="25"/>
        <v>12.417999999999997</v>
      </c>
      <c r="Q11" s="10">
        <f t="shared" si="26"/>
        <v>38.123259999999988</v>
      </c>
      <c r="R11" s="7">
        <f>'[4]Production Summary'!$C43</f>
        <v>12714000</v>
      </c>
      <c r="S11" s="8">
        <f t="shared" si="27"/>
        <v>12.714</v>
      </c>
      <c r="T11" s="10">
        <f t="shared" si="28"/>
        <v>39.031979999999997</v>
      </c>
      <c r="U11" s="7">
        <f>'[4]Production Summary'!$F43</f>
        <v>0</v>
      </c>
      <c r="V11" s="8">
        <f t="shared" si="29"/>
        <v>0</v>
      </c>
      <c r="W11" s="10">
        <f t="shared" si="30"/>
        <v>0</v>
      </c>
      <c r="X11" s="7">
        <f>'[4]Production Summary'!$AB43</f>
        <v>292000.00000000157</v>
      </c>
      <c r="Y11" s="8">
        <f t="shared" si="31"/>
        <v>0.29200000000000159</v>
      </c>
      <c r="Z11" s="10">
        <f t="shared" si="32"/>
        <v>0.89644000000000479</v>
      </c>
      <c r="AA11" s="15"/>
      <c r="AB11" s="7">
        <f t="shared" si="33"/>
        <v>34118000.000000723</v>
      </c>
      <c r="AC11" s="8">
        <f t="shared" si="33"/>
        <v>34.118000000000727</v>
      </c>
      <c r="AD11" s="8">
        <f t="shared" si="33"/>
        <v>104.74226000000222</v>
      </c>
      <c r="AF11" s="8">
        <f t="shared" si="16"/>
        <v>1.2280000000004732E-2</v>
      </c>
    </row>
    <row r="12" spans="1:32" x14ac:dyDescent="0.15">
      <c r="A12" s="27">
        <v>43320</v>
      </c>
      <c r="B12" s="7">
        <f>'[4]Production Summary'!$J44</f>
        <v>22599999.999998543</v>
      </c>
      <c r="C12" s="8">
        <f t="shared" si="17"/>
        <v>22.599999999998545</v>
      </c>
      <c r="D12" s="10">
        <f t="shared" si="18"/>
        <v>69.381999999995529</v>
      </c>
      <c r="E12" s="7">
        <f>'[4]Production Summary'!$E44</f>
        <v>9000000</v>
      </c>
      <c r="F12" s="8">
        <f t="shared" si="19"/>
        <v>9</v>
      </c>
      <c r="G12" s="10">
        <f t="shared" si="20"/>
        <v>27.63</v>
      </c>
      <c r="H12" s="7">
        <f>'[4]Production Summary'!$G44</f>
        <v>14730000</v>
      </c>
      <c r="I12" s="8">
        <f t="shared" si="21"/>
        <v>14.73</v>
      </c>
      <c r="J12" s="10">
        <f t="shared" si="22"/>
        <v>45.2211</v>
      </c>
      <c r="K12" s="7">
        <f>'[4]Production Summary'!$T44</f>
        <v>1953126</v>
      </c>
      <c r="L12" s="8">
        <f t="shared" si="23"/>
        <v>1.9531259999999999</v>
      </c>
      <c r="M12" s="10">
        <f t="shared" si="24"/>
        <v>5.9960968199999991</v>
      </c>
      <c r="N12" s="21"/>
      <c r="O12" s="7">
        <f>'[4]Production Summary'!$I44</f>
        <v>12681000</v>
      </c>
      <c r="P12" s="8">
        <f t="shared" si="25"/>
        <v>12.680999999999999</v>
      </c>
      <c r="Q12" s="10">
        <f t="shared" si="26"/>
        <v>38.930669999999992</v>
      </c>
      <c r="R12" s="7">
        <f>'[4]Production Summary'!$C44</f>
        <v>13060000</v>
      </c>
      <c r="S12" s="8">
        <f t="shared" si="27"/>
        <v>13.06</v>
      </c>
      <c r="T12" s="10">
        <f t="shared" si="28"/>
        <v>40.094200000000001</v>
      </c>
      <c r="U12" s="7">
        <f>'[4]Production Summary'!$F44</f>
        <v>0</v>
      </c>
      <c r="V12" s="8">
        <f t="shared" si="29"/>
        <v>0</v>
      </c>
      <c r="W12" s="10">
        <f t="shared" si="30"/>
        <v>0</v>
      </c>
      <c r="X12" s="7">
        <f>'[4]Production Summary'!$AB44</f>
        <v>371999.99999999988</v>
      </c>
      <c r="Y12" s="8">
        <f t="shared" si="31"/>
        <v>0.37199999999999989</v>
      </c>
      <c r="Z12" s="10">
        <f t="shared" si="32"/>
        <v>1.1420399999999995</v>
      </c>
      <c r="AA12" s="15"/>
      <c r="AB12" s="7">
        <f t="shared" si="33"/>
        <v>35280999.99999854</v>
      </c>
      <c r="AC12" s="8">
        <f t="shared" si="33"/>
        <v>35.280999999998542</v>
      </c>
      <c r="AD12" s="8">
        <f t="shared" si="33"/>
        <v>108.31266999999552</v>
      </c>
      <c r="AF12" s="8">
        <f t="shared" si="16"/>
        <v>2.1490000000009113E-2</v>
      </c>
    </row>
    <row r="13" spans="1:32" x14ac:dyDescent="0.15">
      <c r="A13" s="27">
        <v>43321</v>
      </c>
      <c r="B13" s="7">
        <f>'[4]Production Summary'!$J45</f>
        <v>20300000.000001092</v>
      </c>
      <c r="C13" s="8">
        <f t="shared" si="17"/>
        <v>20.300000000001091</v>
      </c>
      <c r="D13" s="10">
        <f t="shared" si="18"/>
        <v>62.321000000003345</v>
      </c>
      <c r="E13" s="7">
        <f>'[4]Production Summary'!$E45</f>
        <v>9000000</v>
      </c>
      <c r="F13" s="8">
        <f t="shared" si="19"/>
        <v>9</v>
      </c>
      <c r="G13" s="10">
        <f t="shared" si="20"/>
        <v>27.63</v>
      </c>
      <c r="H13" s="7">
        <f>'[4]Production Summary'!$G45</f>
        <v>14080000</v>
      </c>
      <c r="I13" s="8">
        <f t="shared" si="21"/>
        <v>14.08</v>
      </c>
      <c r="J13" s="10">
        <f t="shared" si="22"/>
        <v>43.2256</v>
      </c>
      <c r="K13" s="7">
        <f>'[4]Production Summary'!$T45</f>
        <v>1928576</v>
      </c>
      <c r="L13" s="8">
        <f t="shared" si="23"/>
        <v>1.9285760000000001</v>
      </c>
      <c r="M13" s="10">
        <f t="shared" si="24"/>
        <v>5.9207283200000003</v>
      </c>
      <c r="N13" s="21"/>
      <c r="O13" s="7">
        <f>'[4]Production Summary'!$I45</f>
        <v>13350999.999999998</v>
      </c>
      <c r="P13" s="8">
        <f t="shared" si="25"/>
        <v>13.350999999999997</v>
      </c>
      <c r="Q13" s="10">
        <f t="shared" si="26"/>
        <v>40.987569999999991</v>
      </c>
      <c r="R13" s="7">
        <f>'[4]Production Summary'!$C45</f>
        <v>13667000</v>
      </c>
      <c r="S13" s="8">
        <f t="shared" si="27"/>
        <v>13.667</v>
      </c>
      <c r="T13" s="10">
        <f t="shared" si="28"/>
        <v>41.957689999999999</v>
      </c>
      <c r="U13" s="7">
        <f>'[4]Production Summary'!$F45</f>
        <v>0</v>
      </c>
      <c r="V13" s="8">
        <f t="shared" si="29"/>
        <v>0</v>
      </c>
      <c r="W13" s="10">
        <f t="shared" si="30"/>
        <v>0</v>
      </c>
      <c r="X13" s="7">
        <f>'[4]Production Summary'!$AB45</f>
        <v>310000.00000000227</v>
      </c>
      <c r="Y13" s="8">
        <f t="shared" si="31"/>
        <v>0.31000000000000227</v>
      </c>
      <c r="Z13" s="10">
        <f t="shared" si="32"/>
        <v>0.95170000000000698</v>
      </c>
      <c r="AA13" s="15"/>
      <c r="AB13" s="7">
        <f t="shared" si="33"/>
        <v>33651000.000001088</v>
      </c>
      <c r="AC13" s="8">
        <f t="shared" si="33"/>
        <v>33.65100000000109</v>
      </c>
      <c r="AD13" s="8">
        <f t="shared" si="33"/>
        <v>103.30857000000333</v>
      </c>
      <c r="AF13" s="8">
        <f t="shared" si="16"/>
        <v>1.8420000000001546E-2</v>
      </c>
    </row>
    <row r="14" spans="1:32" x14ac:dyDescent="0.15">
      <c r="A14" s="27">
        <v>43322</v>
      </c>
      <c r="B14" s="7">
        <f>'[4]Production Summary'!$J46</f>
        <v>23199999.999998908</v>
      </c>
      <c r="C14" s="8">
        <f t="shared" si="17"/>
        <v>23.199999999998909</v>
      </c>
      <c r="D14" s="10">
        <f t="shared" si="18"/>
        <v>71.22399999999665</v>
      </c>
      <c r="E14" s="7">
        <f>'[4]Production Summary'!$E46</f>
        <v>6000000</v>
      </c>
      <c r="F14" s="8">
        <f t="shared" si="19"/>
        <v>6</v>
      </c>
      <c r="G14" s="10">
        <f t="shared" si="20"/>
        <v>18.419999999999998</v>
      </c>
      <c r="H14" s="7">
        <f>'[4]Production Summary'!$G46</f>
        <v>18270000</v>
      </c>
      <c r="I14" s="8">
        <f t="shared" si="21"/>
        <v>18.27</v>
      </c>
      <c r="J14" s="10">
        <f t="shared" si="22"/>
        <v>56.088899999999995</v>
      </c>
      <c r="K14" s="7">
        <f>'[4]Production Summary'!$T46</f>
        <v>2386608</v>
      </c>
      <c r="L14" s="8">
        <f t="shared" si="23"/>
        <v>2.3866079999999998</v>
      </c>
      <c r="M14" s="10">
        <f t="shared" si="24"/>
        <v>7.3268865599999993</v>
      </c>
      <c r="N14" s="21"/>
      <c r="O14" s="7">
        <f>'[4]Production Summary'!$I46</f>
        <v>13179000.000000004</v>
      </c>
      <c r="P14" s="8">
        <f t="shared" si="25"/>
        <v>13.179000000000004</v>
      </c>
      <c r="Q14" s="10">
        <f t="shared" si="26"/>
        <v>40.459530000000008</v>
      </c>
      <c r="R14" s="7">
        <f>'[4]Production Summary'!$C46</f>
        <v>13603000</v>
      </c>
      <c r="S14" s="8">
        <f t="shared" si="27"/>
        <v>13.603</v>
      </c>
      <c r="T14" s="10">
        <f t="shared" si="28"/>
        <v>41.761209999999998</v>
      </c>
      <c r="U14" s="7">
        <f>'[4]Production Summary'!$F46</f>
        <v>0</v>
      </c>
      <c r="V14" s="8">
        <f t="shared" si="29"/>
        <v>0</v>
      </c>
      <c r="W14" s="10">
        <f t="shared" si="30"/>
        <v>0</v>
      </c>
      <c r="X14" s="7">
        <f>'[4]Production Summary'!$AB46</f>
        <v>415999.9999999968</v>
      </c>
      <c r="Y14" s="8">
        <f t="shared" si="31"/>
        <v>0.41599999999999682</v>
      </c>
      <c r="Z14" s="10">
        <f t="shared" si="32"/>
        <v>1.2771199999999903</v>
      </c>
      <c r="AA14" s="15"/>
      <c r="AB14" s="7">
        <f t="shared" si="33"/>
        <v>36378999.999998912</v>
      </c>
      <c r="AC14" s="8">
        <f t="shared" si="33"/>
        <v>36.378999999998911</v>
      </c>
      <c r="AD14" s="8">
        <f t="shared" si="33"/>
        <v>111.68352999999667</v>
      </c>
      <c r="AF14" s="8">
        <f t="shared" si="16"/>
        <v>2.4560000000000137E-2</v>
      </c>
    </row>
    <row r="15" spans="1:32" x14ac:dyDescent="0.15">
      <c r="A15" s="27">
        <v>43323</v>
      </c>
      <c r="B15" s="7">
        <f>'[4]Production Summary'!$J47</f>
        <v>25100000.000000365</v>
      </c>
      <c r="C15" s="8">
        <f t="shared" si="17"/>
        <v>25.100000000000364</v>
      </c>
      <c r="D15" s="10">
        <f t="shared" si="18"/>
        <v>77.057000000001111</v>
      </c>
      <c r="E15" s="7">
        <f>'[4]Production Summary'!$E47</f>
        <v>8000000</v>
      </c>
      <c r="F15" s="8">
        <f t="shared" si="19"/>
        <v>8</v>
      </c>
      <c r="G15" s="10">
        <f t="shared" si="20"/>
        <v>24.56</v>
      </c>
      <c r="H15" s="7">
        <f>'[4]Production Summary'!$G47</f>
        <v>19550000</v>
      </c>
      <c r="I15" s="8">
        <f t="shared" si="21"/>
        <v>19.55</v>
      </c>
      <c r="J15" s="10">
        <f t="shared" si="22"/>
        <v>60.018499999999996</v>
      </c>
      <c r="K15" s="7">
        <f>'[4]Production Summary'!$T47</f>
        <v>2438912</v>
      </c>
      <c r="L15" s="8">
        <f t="shared" si="23"/>
        <v>2.4389120000000002</v>
      </c>
      <c r="M15" s="10">
        <f t="shared" si="24"/>
        <v>7.4874598400000005</v>
      </c>
      <c r="N15" s="21"/>
      <c r="O15" s="7">
        <f>'[4]Production Summary'!$I47</f>
        <v>11971999.999999994</v>
      </c>
      <c r="P15" s="8">
        <f t="shared" si="25"/>
        <v>11.971999999999994</v>
      </c>
      <c r="Q15" s="10">
        <f t="shared" si="26"/>
        <v>36.754039999999982</v>
      </c>
      <c r="R15" s="7">
        <f>'[4]Production Summary'!$C47</f>
        <v>12231000</v>
      </c>
      <c r="S15" s="8">
        <f t="shared" si="27"/>
        <v>12.231</v>
      </c>
      <c r="T15" s="10">
        <f t="shared" si="28"/>
        <v>37.549169999999997</v>
      </c>
      <c r="U15" s="7">
        <f>'[4]Production Summary'!$F47</f>
        <v>0</v>
      </c>
      <c r="V15" s="8">
        <f t="shared" si="29"/>
        <v>0</v>
      </c>
      <c r="W15" s="10">
        <f t="shared" si="30"/>
        <v>0</v>
      </c>
      <c r="X15" s="7">
        <f>'[4]Production Summary'!$AB47</f>
        <v>254000.00000000489</v>
      </c>
      <c r="Y15" s="8">
        <f t="shared" si="31"/>
        <v>0.25400000000000489</v>
      </c>
      <c r="Z15" s="10">
        <f t="shared" si="32"/>
        <v>0.77978000000001502</v>
      </c>
      <c r="AA15" s="15"/>
      <c r="AB15" s="7">
        <f t="shared" si="33"/>
        <v>37072000.000000358</v>
      </c>
      <c r="AC15" s="8">
        <f t="shared" si="33"/>
        <v>37.072000000000358</v>
      </c>
      <c r="AD15" s="8">
        <f t="shared" si="33"/>
        <v>113.8110400000011</v>
      </c>
      <c r="AF15" s="8">
        <f>T15-Q15-Z15</f>
        <v>1.5349999999999531E-2</v>
      </c>
    </row>
    <row r="16" spans="1:32" x14ac:dyDescent="0.15">
      <c r="A16" s="27">
        <v>43324</v>
      </c>
      <c r="B16" s="7">
        <f>'[4]Production Summary'!$J48</f>
        <v>23500000</v>
      </c>
      <c r="C16" s="8">
        <f t="shared" si="17"/>
        <v>23.5</v>
      </c>
      <c r="D16" s="10">
        <f t="shared" si="18"/>
        <v>72.144999999999996</v>
      </c>
      <c r="E16" s="7">
        <f>'[4]Production Summary'!$E48</f>
        <v>7000000</v>
      </c>
      <c r="F16" s="8">
        <f t="shared" si="19"/>
        <v>7</v>
      </c>
      <c r="G16" s="10">
        <f t="shared" si="20"/>
        <v>21.49</v>
      </c>
      <c r="H16" s="7">
        <f>'[4]Production Summary'!$G48</f>
        <v>17850000</v>
      </c>
      <c r="I16" s="8">
        <f t="shared" si="21"/>
        <v>17.850000000000001</v>
      </c>
      <c r="J16" s="10">
        <f t="shared" si="22"/>
        <v>54.799500000000002</v>
      </c>
      <c r="K16" s="7">
        <f>'[4]Production Summary'!$T48</f>
        <v>2158422</v>
      </c>
      <c r="L16" s="8">
        <f t="shared" si="23"/>
        <v>2.1584219999999998</v>
      </c>
      <c r="M16" s="10">
        <f t="shared" si="24"/>
        <v>6.6263555399999996</v>
      </c>
      <c r="N16" s="21"/>
      <c r="O16" s="7">
        <f>'[4]Production Summary'!$I48</f>
        <v>12817000.000000009</v>
      </c>
      <c r="P16" s="8">
        <f t="shared" si="25"/>
        <v>12.817000000000009</v>
      </c>
      <c r="Q16" s="10">
        <f t="shared" si="26"/>
        <v>39.348190000000024</v>
      </c>
      <c r="R16" s="7">
        <f>'[4]Production Summary'!$C48</f>
        <v>13079000</v>
      </c>
      <c r="S16" s="8">
        <f t="shared" si="27"/>
        <v>13.079000000000001</v>
      </c>
      <c r="T16" s="10">
        <f t="shared" si="28"/>
        <v>40.152529999999999</v>
      </c>
      <c r="U16" s="7">
        <f>'[4]Production Summary'!$F48</f>
        <v>0</v>
      </c>
      <c r="V16" s="8">
        <f t="shared" si="29"/>
        <v>0</v>
      </c>
      <c r="W16" s="10">
        <f t="shared" si="30"/>
        <v>0</v>
      </c>
      <c r="X16" s="7">
        <f>'[4]Production Summary'!$AB48</f>
        <v>256999.9999999908</v>
      </c>
      <c r="Y16" s="8">
        <f t="shared" si="31"/>
        <v>0.25699999999999079</v>
      </c>
      <c r="Z16" s="10">
        <f t="shared" si="32"/>
        <v>0.78898999999997166</v>
      </c>
      <c r="AA16" s="15"/>
      <c r="AB16" s="7">
        <f t="shared" si="33"/>
        <v>36317000.000000007</v>
      </c>
      <c r="AC16" s="8">
        <f t="shared" si="33"/>
        <v>36.317000000000007</v>
      </c>
      <c r="AD16" s="8">
        <f t="shared" si="33"/>
        <v>111.49319000000003</v>
      </c>
      <c r="AF16" s="8">
        <f>T16-Q16-Z16</f>
        <v>1.5350000000003305E-2</v>
      </c>
    </row>
    <row r="17" spans="1:32" x14ac:dyDescent="0.15">
      <c r="A17" s="27">
        <v>43325</v>
      </c>
      <c r="B17" s="7">
        <f>'[4]Production Summary'!$J49</f>
        <v>23600000.000000365</v>
      </c>
      <c r="C17" s="8">
        <f t="shared" si="17"/>
        <v>23.600000000000364</v>
      </c>
      <c r="D17" s="10">
        <f t="shared" si="18"/>
        <v>72.452000000001107</v>
      </c>
      <c r="E17" s="7">
        <f>'[4]Production Summary'!$E49</f>
        <v>9000000</v>
      </c>
      <c r="F17" s="8">
        <f t="shared" si="19"/>
        <v>9</v>
      </c>
      <c r="G17" s="10">
        <f t="shared" si="20"/>
        <v>27.63</v>
      </c>
      <c r="H17" s="7">
        <f>'[4]Production Summary'!$G49</f>
        <v>17930000</v>
      </c>
      <c r="I17" s="8">
        <f t="shared" si="21"/>
        <v>17.93</v>
      </c>
      <c r="J17" s="10">
        <f t="shared" si="22"/>
        <v>55.045099999999998</v>
      </c>
      <c r="K17" s="7">
        <f>'[4]Production Summary'!$T49</f>
        <v>2191708</v>
      </c>
      <c r="L17" s="8">
        <f t="shared" si="23"/>
        <v>2.1917080000000002</v>
      </c>
      <c r="M17" s="10">
        <f t="shared" si="24"/>
        <v>6.7285435600000003</v>
      </c>
      <c r="N17" s="21"/>
      <c r="O17" s="7">
        <f>'[4]Production Summary'!$I49</f>
        <v>14213999.999999996</v>
      </c>
      <c r="P17" s="8">
        <f t="shared" si="25"/>
        <v>14.213999999999997</v>
      </c>
      <c r="Q17" s="10">
        <f t="shared" si="26"/>
        <v>43.636979999999987</v>
      </c>
      <c r="R17" s="7">
        <f>'[4]Production Summary'!$C49</f>
        <v>14563000</v>
      </c>
      <c r="S17" s="8">
        <f t="shared" si="27"/>
        <v>14.563000000000001</v>
      </c>
      <c r="T17" s="10">
        <f t="shared" si="28"/>
        <v>44.708410000000001</v>
      </c>
      <c r="U17" s="7">
        <f>'[4]Production Summary'!$F49</f>
        <v>0</v>
      </c>
      <c r="V17" s="8">
        <f t="shared" si="29"/>
        <v>0</v>
      </c>
      <c r="W17" s="10">
        <f t="shared" si="30"/>
        <v>0</v>
      </c>
      <c r="X17" s="7">
        <f>'[4]Production Summary'!$AB49</f>
        <v>343000.00000000355</v>
      </c>
      <c r="Y17" s="8">
        <f t="shared" si="31"/>
        <v>0.34300000000000352</v>
      </c>
      <c r="Z17" s="10">
        <f t="shared" si="32"/>
        <v>1.0530100000000107</v>
      </c>
      <c r="AA17" s="15"/>
      <c r="AB17" s="7">
        <f t="shared" si="33"/>
        <v>37814000.000000358</v>
      </c>
      <c r="AC17" s="8">
        <f t="shared" si="33"/>
        <v>37.814000000000362</v>
      </c>
      <c r="AD17" s="8">
        <f t="shared" si="33"/>
        <v>116.0889800000011</v>
      </c>
      <c r="AF17" s="8">
        <f>T17-Q17-Z17</f>
        <v>1.842000000000299E-2</v>
      </c>
    </row>
    <row r="18" spans="1:32" x14ac:dyDescent="0.15">
      <c r="A18" s="27">
        <v>43326</v>
      </c>
      <c r="B18" s="7">
        <f>'[4]Production Summary'!$J50</f>
        <v>21399999.999999635</v>
      </c>
      <c r="C18" s="8">
        <f t="shared" si="17"/>
        <v>21.399999999999636</v>
      </c>
      <c r="D18" s="10">
        <f t="shared" si="18"/>
        <v>65.697999999998885</v>
      </c>
      <c r="E18" s="7">
        <f>'[4]Production Summary'!$E50</f>
        <v>8000000</v>
      </c>
      <c r="F18" s="8">
        <f t="shared" si="19"/>
        <v>8</v>
      </c>
      <c r="G18" s="10">
        <f t="shared" si="20"/>
        <v>24.56</v>
      </c>
      <c r="H18" s="7">
        <f>'[4]Production Summary'!$G50</f>
        <v>14950000</v>
      </c>
      <c r="I18" s="8">
        <f t="shared" si="21"/>
        <v>14.95</v>
      </c>
      <c r="J18" s="10">
        <f t="shared" si="22"/>
        <v>45.896499999999996</v>
      </c>
      <c r="K18" s="7">
        <f>'[4]Production Summary'!$T50</f>
        <v>2074562</v>
      </c>
      <c r="L18" s="8">
        <f t="shared" si="23"/>
        <v>2.0745619999999998</v>
      </c>
      <c r="M18" s="10">
        <f t="shared" si="24"/>
        <v>6.3689053399999986</v>
      </c>
      <c r="N18" s="21"/>
      <c r="O18" s="7">
        <f>'[4]Production Summary'!$I50</f>
        <v>14125999.999999998</v>
      </c>
      <c r="P18" s="8">
        <f t="shared" si="25"/>
        <v>14.125999999999998</v>
      </c>
      <c r="Q18" s="10">
        <f t="shared" si="26"/>
        <v>43.36681999999999</v>
      </c>
      <c r="R18" s="7">
        <f>'[4]Production Summary'!$C50</f>
        <v>14560000</v>
      </c>
      <c r="S18" s="8">
        <f t="shared" si="27"/>
        <v>14.56</v>
      </c>
      <c r="T18" s="10">
        <f t="shared" si="28"/>
        <v>44.699199999999998</v>
      </c>
      <c r="U18" s="7">
        <f>'[4]Production Summary'!$F50</f>
        <v>0</v>
      </c>
      <c r="V18" s="8">
        <f t="shared" si="29"/>
        <v>0</v>
      </c>
      <c r="W18" s="10">
        <f t="shared" si="30"/>
        <v>0</v>
      </c>
      <c r="X18" s="7">
        <f>'[4]Production Summary'!$AB50</f>
        <v>426000.00000000192</v>
      </c>
      <c r="Y18" s="8">
        <f t="shared" si="31"/>
        <v>0.42600000000000193</v>
      </c>
      <c r="Z18" s="10">
        <f t="shared" si="32"/>
        <v>1.3078200000000058</v>
      </c>
      <c r="AA18" s="15"/>
      <c r="AB18" s="7">
        <f t="shared" si="33"/>
        <v>35525999.999999635</v>
      </c>
      <c r="AC18" s="8">
        <f t="shared" si="33"/>
        <v>35.525999999999634</v>
      </c>
      <c r="AD18" s="8">
        <f t="shared" si="33"/>
        <v>109.06481999999887</v>
      </c>
      <c r="AF18" s="8">
        <f>T18-Q18-Z18</f>
        <v>2.4560000000001914E-2</v>
      </c>
    </row>
    <row r="19" spans="1:32" x14ac:dyDescent="0.15">
      <c r="A19" s="27">
        <v>43327</v>
      </c>
      <c r="B19" s="7">
        <f>'[4]Production Summary'!$J51</f>
        <v>19399999.999999635</v>
      </c>
      <c r="C19" s="8">
        <f t="shared" si="17"/>
        <v>19.399999999999636</v>
      </c>
      <c r="D19" s="10">
        <f t="shared" si="18"/>
        <v>59.557999999998877</v>
      </c>
      <c r="E19" s="7">
        <f>'[4]Production Summary'!$E51</f>
        <v>8000000</v>
      </c>
      <c r="F19" s="8">
        <f t="shared" si="19"/>
        <v>8</v>
      </c>
      <c r="G19" s="10">
        <f t="shared" si="20"/>
        <v>24.56</v>
      </c>
      <c r="H19" s="7">
        <f>'[4]Production Summary'!$G51</f>
        <v>13170000</v>
      </c>
      <c r="I19" s="8">
        <f t="shared" si="21"/>
        <v>13.17</v>
      </c>
      <c r="J19" s="10">
        <f t="shared" si="22"/>
        <v>40.431899999999999</v>
      </c>
      <c r="K19" s="7">
        <f>'[4]Production Summary'!$T51</f>
        <v>1789226</v>
      </c>
      <c r="L19" s="8">
        <f t="shared" si="23"/>
        <v>1.789226</v>
      </c>
      <c r="M19" s="10">
        <f t="shared" si="24"/>
        <v>5.4929238199999997</v>
      </c>
      <c r="N19" s="21"/>
      <c r="O19" s="7">
        <f>'[4]Production Summary'!$I51</f>
        <v>11513000.000000002</v>
      </c>
      <c r="P19" s="8">
        <f t="shared" si="25"/>
        <v>11.513000000000002</v>
      </c>
      <c r="Q19" s="10">
        <f t="shared" si="26"/>
        <v>35.344910000000006</v>
      </c>
      <c r="R19" s="7">
        <f>'[4]Production Summary'!$C51</f>
        <v>11966000</v>
      </c>
      <c r="S19" s="8">
        <f t="shared" si="27"/>
        <v>11.965999999999999</v>
      </c>
      <c r="T19" s="10">
        <f t="shared" si="28"/>
        <v>36.735619999999997</v>
      </c>
      <c r="U19" s="7">
        <f>'[4]Production Summary'!$F51</f>
        <v>0</v>
      </c>
      <c r="V19" s="8">
        <f t="shared" si="29"/>
        <v>0</v>
      </c>
      <c r="W19" s="10">
        <f t="shared" si="30"/>
        <v>0</v>
      </c>
      <c r="X19" s="7">
        <f>'[4]Production Summary'!$AB51</f>
        <v>442999.99999999785</v>
      </c>
      <c r="Y19" s="8">
        <f t="shared" si="31"/>
        <v>0.44299999999999784</v>
      </c>
      <c r="Z19" s="10">
        <f t="shared" si="32"/>
        <v>1.3600099999999933</v>
      </c>
      <c r="AA19" s="15"/>
      <c r="AB19" s="7">
        <f t="shared" si="33"/>
        <v>30912999.999999635</v>
      </c>
      <c r="AC19" s="8">
        <f t="shared" si="33"/>
        <v>30.912999999999638</v>
      </c>
      <c r="AD19" s="8">
        <f>D19+Q19</f>
        <v>94.902909999998883</v>
      </c>
      <c r="AF19" s="8">
        <f>T19-Q19-Z19</f>
        <v>3.0699999999998173E-2</v>
      </c>
    </row>
    <row r="20" spans="1:32" x14ac:dyDescent="0.15">
      <c r="A20" s="27">
        <v>43328</v>
      </c>
      <c r="B20" s="7">
        <f>'[4]Production Summary'!$J52</f>
        <v>19600000.000000365</v>
      </c>
      <c r="C20" s="8">
        <f t="shared" si="17"/>
        <v>19.600000000000364</v>
      </c>
      <c r="D20" s="10">
        <f t="shared" si="18"/>
        <v>60.172000000001113</v>
      </c>
      <c r="E20" s="7">
        <f>'[4]Production Summary'!$E52</f>
        <v>9000000</v>
      </c>
      <c r="F20" s="8">
        <f t="shared" si="19"/>
        <v>9</v>
      </c>
      <c r="G20" s="10">
        <f t="shared" si="20"/>
        <v>27.63</v>
      </c>
      <c r="H20" s="7">
        <f>'[4]Production Summary'!$G52</f>
        <v>13030000</v>
      </c>
      <c r="I20" s="8">
        <f t="shared" si="21"/>
        <v>13.03</v>
      </c>
      <c r="J20" s="10">
        <f t="shared" si="22"/>
        <v>40.002099999999999</v>
      </c>
      <c r="K20" s="7">
        <f>'[4]Production Summary'!$T52</f>
        <v>1931335</v>
      </c>
      <c r="L20" s="8">
        <f t="shared" si="23"/>
        <v>1.931335</v>
      </c>
      <c r="M20" s="10">
        <f t="shared" si="24"/>
        <v>5.9291984499999995</v>
      </c>
      <c r="N20" s="21"/>
      <c r="O20" s="7">
        <f>'[4]Production Summary'!$I52</f>
        <v>11347999.999999994</v>
      </c>
      <c r="P20" s="8">
        <f t="shared" si="25"/>
        <v>11.347999999999994</v>
      </c>
      <c r="Q20" s="10">
        <f t="shared" si="26"/>
        <v>34.83835999999998</v>
      </c>
      <c r="R20" s="7">
        <f>'[4]Production Summary'!$C52</f>
        <v>11513000</v>
      </c>
      <c r="S20" s="8">
        <f t="shared" si="27"/>
        <v>11.513</v>
      </c>
      <c r="T20" s="10">
        <f t="shared" si="28"/>
        <v>35.344909999999999</v>
      </c>
      <c r="U20" s="7">
        <f>'[4]Production Summary'!$F52</f>
        <v>0</v>
      </c>
      <c r="V20" s="8">
        <f t="shared" si="29"/>
        <v>0</v>
      </c>
      <c r="W20" s="10">
        <f t="shared" si="30"/>
        <v>0</v>
      </c>
      <c r="X20" s="7">
        <f>'[4]Production Summary'!$AB52</f>
        <v>162000.00000000614</v>
      </c>
      <c r="Y20" s="8">
        <f t="shared" si="31"/>
        <v>0.16200000000000614</v>
      </c>
      <c r="Z20" s="10">
        <f t="shared" si="32"/>
        <v>0.49734000000001882</v>
      </c>
      <c r="AA20" s="15"/>
      <c r="AB20" s="7">
        <f t="shared" si="33"/>
        <v>30948000.000000358</v>
      </c>
      <c r="AC20" s="8">
        <f t="shared" si="33"/>
        <v>30.948000000000356</v>
      </c>
      <c r="AD20" s="8">
        <f t="shared" si="33"/>
        <v>95.0103600000011</v>
      </c>
      <c r="AF20" s="8">
        <f t="shared" ref="AF20:AF35" si="34">T20-Q20-Z20</f>
        <v>9.2099999999996629E-3</v>
      </c>
    </row>
    <row r="21" spans="1:32" x14ac:dyDescent="0.15">
      <c r="A21" s="27">
        <v>43329</v>
      </c>
      <c r="B21" s="7">
        <f>'[4]Production Summary'!$J53</f>
        <v>24899999.999999635</v>
      </c>
      <c r="C21" s="8">
        <f t="shared" si="17"/>
        <v>24.899999999999636</v>
      </c>
      <c r="D21" s="10">
        <f t="shared" si="18"/>
        <v>76.442999999998875</v>
      </c>
      <c r="E21" s="7">
        <f>'[4]Production Summary'!$E53</f>
        <v>11000000</v>
      </c>
      <c r="F21" s="8">
        <f t="shared" si="19"/>
        <v>11</v>
      </c>
      <c r="G21" s="10">
        <f t="shared" si="20"/>
        <v>33.769999999999996</v>
      </c>
      <c r="H21" s="7">
        <f>'[4]Production Summary'!$G53</f>
        <v>16830000</v>
      </c>
      <c r="I21" s="8">
        <f t="shared" si="21"/>
        <v>16.829999999999998</v>
      </c>
      <c r="J21" s="10">
        <f t="shared" si="22"/>
        <v>51.668099999999995</v>
      </c>
      <c r="K21" s="7">
        <f>'[4]Production Summary'!$T53</f>
        <v>2493294</v>
      </c>
      <c r="L21" s="8">
        <f t="shared" si="23"/>
        <v>2.4932940000000001</v>
      </c>
      <c r="M21" s="10">
        <f t="shared" si="24"/>
        <v>7.6544125799999998</v>
      </c>
      <c r="N21" s="21"/>
      <c r="O21" s="7">
        <f>'[4]Production Summary'!$I53</f>
        <v>12409000.000000007</v>
      </c>
      <c r="P21" s="8">
        <f t="shared" si="25"/>
        <v>12.409000000000008</v>
      </c>
      <c r="Q21" s="10">
        <f t="shared" si="26"/>
        <v>38.095630000000021</v>
      </c>
      <c r="R21" s="7">
        <f>'[4]Production Summary'!$C53</f>
        <v>12716000</v>
      </c>
      <c r="S21" s="8">
        <f t="shared" si="27"/>
        <v>12.715999999999999</v>
      </c>
      <c r="T21" s="10">
        <f t="shared" si="28"/>
        <v>39.038119999999999</v>
      </c>
      <c r="U21" s="7">
        <f>'[4]Production Summary'!$F53</f>
        <v>0</v>
      </c>
      <c r="V21" s="8">
        <f t="shared" si="29"/>
        <v>0</v>
      </c>
      <c r="W21" s="10">
        <f t="shared" si="30"/>
        <v>0</v>
      </c>
      <c r="X21" s="7">
        <f>'[4]Production Summary'!$AB53</f>
        <v>301999.99999999249</v>
      </c>
      <c r="Y21" s="8">
        <f t="shared" si="31"/>
        <v>0.3019999999999925</v>
      </c>
      <c r="Z21" s="10">
        <f t="shared" si="32"/>
        <v>0.92713999999997687</v>
      </c>
      <c r="AA21" s="15"/>
      <c r="AB21" s="7">
        <f t="shared" si="33"/>
        <v>37308999.999999642</v>
      </c>
      <c r="AC21" s="8">
        <f t="shared" si="33"/>
        <v>37.308999999999642</v>
      </c>
      <c r="AD21" s="8">
        <f t="shared" si="33"/>
        <v>114.5386299999989</v>
      </c>
      <c r="AF21" s="8">
        <f t="shared" si="34"/>
        <v>1.5350000000001196E-2</v>
      </c>
    </row>
    <row r="22" spans="1:32" x14ac:dyDescent="0.15">
      <c r="A22" s="27">
        <v>43330</v>
      </c>
      <c r="B22" s="7">
        <f>'[4]Production Summary'!$J54</f>
        <v>24200000.000000726</v>
      </c>
      <c r="C22" s="8">
        <f t="shared" si="17"/>
        <v>24.200000000000728</v>
      </c>
      <c r="D22" s="10">
        <f t="shared" si="18"/>
        <v>74.294000000002228</v>
      </c>
      <c r="E22" s="7">
        <f>'[4]Production Summary'!$E54</f>
        <v>11000000</v>
      </c>
      <c r="F22" s="8">
        <f t="shared" si="19"/>
        <v>11</v>
      </c>
      <c r="G22" s="10">
        <f t="shared" si="20"/>
        <v>33.769999999999996</v>
      </c>
      <c r="H22" s="7">
        <f>'[4]Production Summary'!$G54</f>
        <v>16500000</v>
      </c>
      <c r="I22" s="8">
        <f t="shared" si="21"/>
        <v>16.5</v>
      </c>
      <c r="J22" s="10">
        <f t="shared" si="22"/>
        <v>50.654999999999994</v>
      </c>
      <c r="K22" s="7">
        <f>'[4]Production Summary'!$T54</f>
        <v>2330400</v>
      </c>
      <c r="L22" s="8">
        <f t="shared" si="23"/>
        <v>2.3304</v>
      </c>
      <c r="M22" s="10">
        <f t="shared" si="24"/>
        <v>7.1543279999999996</v>
      </c>
      <c r="N22" s="21"/>
      <c r="O22" s="7">
        <f>'[4]Production Summary'!$I54</f>
        <v>11917000.000000004</v>
      </c>
      <c r="P22" s="8">
        <f t="shared" si="25"/>
        <v>11.917000000000003</v>
      </c>
      <c r="Q22" s="10">
        <f t="shared" si="26"/>
        <v>36.585190000000011</v>
      </c>
      <c r="R22" s="7">
        <f>'[4]Production Summary'!$C54</f>
        <v>12311000</v>
      </c>
      <c r="S22" s="8">
        <f t="shared" si="27"/>
        <v>12.311</v>
      </c>
      <c r="T22" s="10">
        <f t="shared" si="28"/>
        <v>37.79477</v>
      </c>
      <c r="U22" s="7">
        <f>'[4]Production Summary'!$F54</f>
        <v>0</v>
      </c>
      <c r="V22" s="8">
        <f t="shared" si="29"/>
        <v>0</v>
      </c>
      <c r="W22" s="10">
        <f t="shared" si="30"/>
        <v>0</v>
      </c>
      <c r="X22" s="7">
        <f>'[4]Production Summary'!$AB54</f>
        <v>385999.99999999569</v>
      </c>
      <c r="Y22" s="8">
        <f t="shared" si="31"/>
        <v>0.38599999999999568</v>
      </c>
      <c r="Z22" s="10">
        <f t="shared" si="32"/>
        <v>1.1850199999999866</v>
      </c>
      <c r="AA22" s="15"/>
      <c r="AB22" s="7">
        <f t="shared" si="33"/>
        <v>36117000.00000073</v>
      </c>
      <c r="AC22" s="8">
        <f t="shared" si="33"/>
        <v>36.117000000000729</v>
      </c>
      <c r="AD22" s="8">
        <f t="shared" si="33"/>
        <v>110.87919000000224</v>
      </c>
      <c r="AF22" s="8">
        <f t="shared" si="34"/>
        <v>2.4560000000001692E-2</v>
      </c>
    </row>
    <row r="23" spans="1:32" x14ac:dyDescent="0.15">
      <c r="A23" s="27">
        <v>43331</v>
      </c>
      <c r="B23" s="7">
        <f>'[4]Production Summary'!$J55</f>
        <v>17100000.000000365</v>
      </c>
      <c r="C23" s="8">
        <f t="shared" si="17"/>
        <v>17.100000000000364</v>
      </c>
      <c r="D23" s="10">
        <f t="shared" si="18"/>
        <v>52.497000000001115</v>
      </c>
      <c r="E23" s="7">
        <f>'[4]Production Summary'!$E55</f>
        <v>8000000</v>
      </c>
      <c r="F23" s="8">
        <f t="shared" si="19"/>
        <v>8</v>
      </c>
      <c r="G23" s="10">
        <f t="shared" si="20"/>
        <v>24.56</v>
      </c>
      <c r="H23" s="7">
        <f>'[4]Production Summary'!$G55</f>
        <v>10850000</v>
      </c>
      <c r="I23" s="8">
        <f t="shared" si="21"/>
        <v>10.85</v>
      </c>
      <c r="J23" s="10">
        <f t="shared" si="22"/>
        <v>33.3095</v>
      </c>
      <c r="K23" s="7">
        <f>'[4]Production Summary'!$T55</f>
        <v>1625065</v>
      </c>
      <c r="L23" s="8">
        <f t="shared" si="23"/>
        <v>1.625065</v>
      </c>
      <c r="M23" s="10">
        <f t="shared" si="24"/>
        <v>4.9889495500000001</v>
      </c>
      <c r="N23" s="21"/>
      <c r="O23" s="7">
        <f>'[4]Production Summary'!$I55</f>
        <v>10467999.999999994</v>
      </c>
      <c r="P23" s="8">
        <f t="shared" si="25"/>
        <v>10.467999999999995</v>
      </c>
      <c r="Q23" s="10">
        <f t="shared" si="26"/>
        <v>32.136759999999981</v>
      </c>
      <c r="R23" s="7">
        <f>'[4]Production Summary'!$C55</f>
        <v>10763000</v>
      </c>
      <c r="S23" s="8">
        <f t="shared" si="27"/>
        <v>10.763</v>
      </c>
      <c r="T23" s="10">
        <f t="shared" si="28"/>
        <v>33.042409999999997</v>
      </c>
      <c r="U23" s="7">
        <f>'[4]Production Summary'!$F55</f>
        <v>0</v>
      </c>
      <c r="V23" s="8">
        <f t="shared" si="29"/>
        <v>0</v>
      </c>
      <c r="W23" s="10">
        <f t="shared" si="30"/>
        <v>0</v>
      </c>
      <c r="X23" s="7">
        <f>'[4]Production Summary'!$AB55</f>
        <v>290000.00000000623</v>
      </c>
      <c r="Y23" s="8">
        <f t="shared" si="31"/>
        <v>0.29000000000000625</v>
      </c>
      <c r="Z23" s="10">
        <f t="shared" si="32"/>
        <v>0.89030000000001919</v>
      </c>
      <c r="AA23" s="15"/>
      <c r="AB23" s="7">
        <f t="shared" si="33"/>
        <v>27568000.000000358</v>
      </c>
      <c r="AC23" s="8">
        <f t="shared" si="33"/>
        <v>27.56800000000036</v>
      </c>
      <c r="AD23" s="8">
        <f t="shared" si="33"/>
        <v>84.633760000001104</v>
      </c>
      <c r="AF23" s="8">
        <f t="shared" si="34"/>
        <v>1.5349999999996422E-2</v>
      </c>
    </row>
    <row r="24" spans="1:32" x14ac:dyDescent="0.15">
      <c r="A24" s="27">
        <v>43332</v>
      </c>
      <c r="B24" s="7">
        <f>'[4]Production Summary'!$J56</f>
        <v>18899999.999999635</v>
      </c>
      <c r="C24" s="8">
        <f t="shared" si="17"/>
        <v>18.899999999999636</v>
      </c>
      <c r="D24" s="10">
        <f t="shared" si="18"/>
        <v>58.022999999998881</v>
      </c>
      <c r="E24" s="7">
        <f>'[4]Production Summary'!$E56</f>
        <v>8000000</v>
      </c>
      <c r="F24" s="8">
        <f t="shared" si="19"/>
        <v>8</v>
      </c>
      <c r="G24" s="10">
        <f t="shared" si="20"/>
        <v>24.56</v>
      </c>
      <c r="H24" s="7">
        <f>'[4]Production Summary'!$G56</f>
        <v>12690000</v>
      </c>
      <c r="I24" s="8">
        <f t="shared" si="21"/>
        <v>12.69</v>
      </c>
      <c r="J24" s="10">
        <f t="shared" si="22"/>
        <v>38.958299999999994</v>
      </c>
      <c r="K24" s="7">
        <f>'[4]Production Summary'!$T56</f>
        <v>1709734</v>
      </c>
      <c r="L24" s="8">
        <f t="shared" si="23"/>
        <v>1.7097340000000001</v>
      </c>
      <c r="M24" s="10">
        <f t="shared" si="24"/>
        <v>5.2488833799999997</v>
      </c>
      <c r="N24" s="21"/>
      <c r="O24" s="7">
        <f>'[4]Production Summary'!$I56</f>
        <v>10547000.000000002</v>
      </c>
      <c r="P24" s="8">
        <f t="shared" si="25"/>
        <v>10.547000000000002</v>
      </c>
      <c r="Q24" s="10">
        <f t="shared" si="26"/>
        <v>32.379290000000005</v>
      </c>
      <c r="R24" s="7">
        <f>'[4]Production Summary'!$C56</f>
        <v>10856000</v>
      </c>
      <c r="S24" s="8">
        <f t="shared" si="27"/>
        <v>10.856</v>
      </c>
      <c r="T24" s="10">
        <f t="shared" si="28"/>
        <v>33.327919999999999</v>
      </c>
      <c r="U24" s="7">
        <f>'[4]Production Summary'!$F56</f>
        <v>0</v>
      </c>
      <c r="V24" s="8">
        <f t="shared" si="29"/>
        <v>0</v>
      </c>
      <c r="W24" s="10">
        <f t="shared" si="30"/>
        <v>0</v>
      </c>
      <c r="X24" s="7">
        <f>'[4]Production Summary'!$AB56</f>
        <v>302999.99999999726</v>
      </c>
      <c r="Y24" s="8">
        <f t="shared" si="31"/>
        <v>0.30299999999999727</v>
      </c>
      <c r="Z24" s="10">
        <f t="shared" si="32"/>
        <v>0.93020999999999154</v>
      </c>
      <c r="AA24" s="15"/>
      <c r="AB24" s="7">
        <f t="shared" si="33"/>
        <v>29446999.999999635</v>
      </c>
      <c r="AC24" s="8">
        <f t="shared" si="33"/>
        <v>29.44699999999964</v>
      </c>
      <c r="AD24" s="8">
        <f>D24+Q24</f>
        <v>90.402289999998885</v>
      </c>
      <c r="AF24" s="8">
        <f t="shared" si="34"/>
        <v>1.8420000000002767E-2</v>
      </c>
    </row>
    <row r="25" spans="1:32" x14ac:dyDescent="0.15">
      <c r="A25" s="27">
        <v>43333</v>
      </c>
      <c r="B25" s="7">
        <f>'[4]Production Summary'!$J57</f>
        <v>18799999.999999274</v>
      </c>
      <c r="C25" s="8">
        <f t="shared" si="17"/>
        <v>18.799999999999272</v>
      </c>
      <c r="D25" s="10">
        <f t="shared" si="18"/>
        <v>57.715999999997763</v>
      </c>
      <c r="E25" s="7">
        <f>'[4]Production Summary'!$E57</f>
        <v>9000000</v>
      </c>
      <c r="F25" s="8">
        <f t="shared" si="19"/>
        <v>9</v>
      </c>
      <c r="G25" s="10">
        <f t="shared" si="20"/>
        <v>27.63</v>
      </c>
      <c r="H25" s="7">
        <f>'[4]Production Summary'!$G57</f>
        <v>12830000</v>
      </c>
      <c r="I25" s="8">
        <f t="shared" si="21"/>
        <v>12.83</v>
      </c>
      <c r="J25" s="10">
        <f t="shared" si="22"/>
        <v>39.388100000000001</v>
      </c>
      <c r="K25" s="7">
        <f>'[4]Production Summary'!$T57</f>
        <v>1835303</v>
      </c>
      <c r="L25" s="8">
        <f t="shared" si="23"/>
        <v>1.8353029999999999</v>
      </c>
      <c r="M25" s="10">
        <f t="shared" si="24"/>
        <v>5.6343802099999998</v>
      </c>
      <c r="N25" s="21"/>
      <c r="O25" s="7">
        <f>'[4]Production Summary'!$I57</f>
        <v>10419999.999999998</v>
      </c>
      <c r="P25" s="8">
        <f t="shared" si="25"/>
        <v>10.419999999999998</v>
      </c>
      <c r="Q25" s="10">
        <f t="shared" si="26"/>
        <v>31.989399999999993</v>
      </c>
      <c r="R25" s="7">
        <f>'[4]Production Summary'!$C57</f>
        <v>10737000</v>
      </c>
      <c r="S25" s="8">
        <f t="shared" si="27"/>
        <v>10.737</v>
      </c>
      <c r="T25" s="10">
        <f t="shared" si="28"/>
        <v>32.962589999999999</v>
      </c>
      <c r="U25" s="7">
        <f>'[4]Production Summary'!$F57</f>
        <v>0</v>
      </c>
      <c r="V25" s="8">
        <f t="shared" si="29"/>
        <v>0</v>
      </c>
      <c r="W25" s="10">
        <f t="shared" si="30"/>
        <v>0</v>
      </c>
      <c r="X25" s="7">
        <f>'[4]Production Summary'!$AB57</f>
        <v>310000.00000000227</v>
      </c>
      <c r="Y25" s="8">
        <f t="shared" si="31"/>
        <v>0.31000000000000227</v>
      </c>
      <c r="Z25" s="10">
        <f t="shared" si="32"/>
        <v>0.95170000000000698</v>
      </c>
      <c r="AA25" s="15"/>
      <c r="AB25" s="7">
        <f t="shared" si="33"/>
        <v>29219999.99999927</v>
      </c>
      <c r="AC25" s="8">
        <f t="shared" si="33"/>
        <v>29.219999999999271</v>
      </c>
      <c r="AD25" s="8">
        <f t="shared" si="33"/>
        <v>89.705399999997752</v>
      </c>
      <c r="AF25" s="8">
        <f t="shared" si="34"/>
        <v>2.148999999999901E-2</v>
      </c>
    </row>
    <row r="26" spans="1:32" x14ac:dyDescent="0.15">
      <c r="A26" s="27">
        <v>43334</v>
      </c>
      <c r="B26" s="7">
        <f>'[4]Production Summary'!$J58</f>
        <v>18700000.000000726</v>
      </c>
      <c r="C26" s="8">
        <f t="shared" si="17"/>
        <v>18.700000000000728</v>
      </c>
      <c r="D26" s="10">
        <f t="shared" si="18"/>
        <v>57.40900000000223</v>
      </c>
      <c r="E26" s="7">
        <f>'[4]Production Summary'!$E58</f>
        <v>8000000</v>
      </c>
      <c r="F26" s="8">
        <f t="shared" si="19"/>
        <v>8</v>
      </c>
      <c r="G26" s="10">
        <f t="shared" si="20"/>
        <v>24.56</v>
      </c>
      <c r="H26" s="7">
        <f>'[4]Production Summary'!$G58</f>
        <v>13230000</v>
      </c>
      <c r="I26" s="8">
        <f t="shared" si="21"/>
        <v>13.23</v>
      </c>
      <c r="J26" s="10">
        <f t="shared" si="22"/>
        <v>40.616099999999996</v>
      </c>
      <c r="K26" s="7">
        <f>'[4]Production Summary'!$T58</f>
        <v>1874141</v>
      </c>
      <c r="L26" s="8">
        <f t="shared" si="23"/>
        <v>1.8741410000000001</v>
      </c>
      <c r="M26" s="10">
        <f t="shared" si="24"/>
        <v>5.7536128699999995</v>
      </c>
      <c r="N26" s="21"/>
      <c r="O26" s="7">
        <f>'[4]Production Summary'!$I58</f>
        <v>11619000</v>
      </c>
      <c r="P26" s="8">
        <f t="shared" si="25"/>
        <v>11.619</v>
      </c>
      <c r="Q26" s="10">
        <f t="shared" si="26"/>
        <v>35.67033</v>
      </c>
      <c r="R26" s="7">
        <f>'[4]Production Summary'!$C58</f>
        <v>11851000</v>
      </c>
      <c r="S26" s="8">
        <f t="shared" si="27"/>
        <v>11.851000000000001</v>
      </c>
      <c r="T26" s="10">
        <f t="shared" si="28"/>
        <v>36.382570000000001</v>
      </c>
      <c r="U26" s="7">
        <f>'[4]Production Summary'!$F58</f>
        <v>0</v>
      </c>
      <c r="V26" s="8">
        <f t="shared" si="29"/>
        <v>0</v>
      </c>
      <c r="W26" s="10">
        <f t="shared" si="30"/>
        <v>0</v>
      </c>
      <c r="X26" s="7">
        <f>'[4]Production Summary'!$AB58</f>
        <v>228999.99999999921</v>
      </c>
      <c r="Y26" s="8">
        <f t="shared" si="31"/>
        <v>0.2289999999999992</v>
      </c>
      <c r="Z26" s="10">
        <f t="shared" si="32"/>
        <v>0.70302999999999749</v>
      </c>
      <c r="AA26" s="15"/>
      <c r="AB26" s="7">
        <f t="shared" si="33"/>
        <v>30319000.000000726</v>
      </c>
      <c r="AC26" s="8">
        <f t="shared" si="33"/>
        <v>30.319000000000727</v>
      </c>
      <c r="AD26" s="8">
        <f t="shared" si="33"/>
        <v>93.07933000000223</v>
      </c>
      <c r="AF26" s="8">
        <f t="shared" si="34"/>
        <v>9.2100000000038262E-3</v>
      </c>
    </row>
    <row r="27" spans="1:32" x14ac:dyDescent="0.15">
      <c r="A27" s="27">
        <v>43335</v>
      </c>
      <c r="B27" s="7">
        <f>'[4]Production Summary'!$J59</f>
        <v>20000000</v>
      </c>
      <c r="C27" s="8">
        <f t="shared" si="17"/>
        <v>20</v>
      </c>
      <c r="D27" s="10">
        <f t="shared" si="18"/>
        <v>61.4</v>
      </c>
      <c r="E27" s="7">
        <f>'[4]Production Summary'!$E59</f>
        <v>8000000</v>
      </c>
      <c r="F27" s="8">
        <f t="shared" si="19"/>
        <v>8</v>
      </c>
      <c r="G27" s="10">
        <f t="shared" si="20"/>
        <v>24.56</v>
      </c>
      <c r="H27" s="7">
        <f>'[4]Production Summary'!$G59</f>
        <v>14180000</v>
      </c>
      <c r="I27" s="8">
        <f t="shared" si="21"/>
        <v>14.18</v>
      </c>
      <c r="J27" s="10">
        <f t="shared" si="22"/>
        <v>43.532599999999995</v>
      </c>
      <c r="K27" s="7">
        <f>'[4]Production Summary'!$T59</f>
        <v>2040894</v>
      </c>
      <c r="L27" s="8">
        <f t="shared" si="23"/>
        <v>2.0408940000000002</v>
      </c>
      <c r="M27" s="10">
        <f t="shared" si="24"/>
        <v>6.2655445800000003</v>
      </c>
      <c r="N27" s="21"/>
      <c r="O27" s="7">
        <f>'[4]Production Summary'!$I59</f>
        <v>10238000.000000002</v>
      </c>
      <c r="P27" s="8">
        <f t="shared" si="25"/>
        <v>10.238000000000001</v>
      </c>
      <c r="Q27" s="10">
        <f t="shared" si="26"/>
        <v>31.430660000000003</v>
      </c>
      <c r="R27" s="7">
        <f>'[4]Production Summary'!$C59</f>
        <v>10579000</v>
      </c>
      <c r="S27" s="8">
        <f t="shared" si="27"/>
        <v>10.579000000000001</v>
      </c>
      <c r="T27" s="10">
        <f t="shared" si="28"/>
        <v>32.477530000000002</v>
      </c>
      <c r="U27" s="7">
        <f>'[4]Production Summary'!$F59</f>
        <v>0</v>
      </c>
      <c r="V27" s="8">
        <f t="shared" si="29"/>
        <v>0</v>
      </c>
      <c r="W27" s="10">
        <f t="shared" si="30"/>
        <v>0</v>
      </c>
      <c r="X27" s="7">
        <f>'[4]Production Summary'!$AB59</f>
        <v>332999.99999999843</v>
      </c>
      <c r="Y27" s="8">
        <f t="shared" si="31"/>
        <v>0.33299999999999841</v>
      </c>
      <c r="Z27" s="10">
        <f t="shared" si="32"/>
        <v>1.0223099999999952</v>
      </c>
      <c r="AA27" s="15"/>
      <c r="AB27" s="7">
        <f t="shared" si="33"/>
        <v>30238000</v>
      </c>
      <c r="AC27" s="8">
        <f t="shared" si="33"/>
        <v>30.238</v>
      </c>
      <c r="AD27" s="8">
        <f t="shared" si="33"/>
        <v>92.830659999999995</v>
      </c>
      <c r="AF27" s="8">
        <f>T27-Q27-Z27</f>
        <v>2.4560000000003246E-2</v>
      </c>
    </row>
    <row r="28" spans="1:32" x14ac:dyDescent="0.15">
      <c r="A28" s="27">
        <v>43336</v>
      </c>
      <c r="B28" s="7">
        <f>'[4]Production Summary'!$J60</f>
        <v>21500000</v>
      </c>
      <c r="C28" s="8">
        <f t="shared" si="17"/>
        <v>21.5</v>
      </c>
      <c r="D28" s="10">
        <f t="shared" si="18"/>
        <v>66.004999999999995</v>
      </c>
      <c r="E28" s="7">
        <f>'[4]Production Summary'!$E60</f>
        <v>10000000</v>
      </c>
      <c r="F28" s="8">
        <f t="shared" si="19"/>
        <v>10</v>
      </c>
      <c r="G28" s="10">
        <f t="shared" si="20"/>
        <v>30.7</v>
      </c>
      <c r="H28" s="7">
        <f>'[4]Production Summary'!$G60</f>
        <v>14590000</v>
      </c>
      <c r="I28" s="8">
        <f t="shared" si="21"/>
        <v>14.59</v>
      </c>
      <c r="J28" s="10">
        <f t="shared" si="22"/>
        <v>44.7913</v>
      </c>
      <c r="K28" s="7">
        <f>'[4]Production Summary'!$T60</f>
        <v>2193455</v>
      </c>
      <c r="L28" s="8">
        <f t="shared" si="23"/>
        <v>2.1934550000000002</v>
      </c>
      <c r="M28" s="10">
        <f t="shared" si="24"/>
        <v>6.7339068500000003</v>
      </c>
      <c r="N28" s="21"/>
      <c r="O28" s="7">
        <f>'[4]Production Summary'!$I60</f>
        <v>11472000</v>
      </c>
      <c r="P28" s="8">
        <f t="shared" si="25"/>
        <v>11.472</v>
      </c>
      <c r="Q28" s="10">
        <f t="shared" si="26"/>
        <v>35.21904</v>
      </c>
      <c r="R28" s="7">
        <f>'[4]Production Summary'!$C60</f>
        <v>11701000</v>
      </c>
      <c r="S28" s="8">
        <f t="shared" si="27"/>
        <v>11.701000000000001</v>
      </c>
      <c r="T28" s="10">
        <f t="shared" si="28"/>
        <v>35.922069999999998</v>
      </c>
      <c r="U28" s="7">
        <f>'[4]Production Summary'!$F60</f>
        <v>0</v>
      </c>
      <c r="V28" s="8">
        <f t="shared" si="29"/>
        <v>0</v>
      </c>
      <c r="W28" s="10">
        <f t="shared" si="30"/>
        <v>0</v>
      </c>
      <c r="X28" s="7">
        <f>'[4]Production Summary'!$AB60</f>
        <v>225999.9999999991</v>
      </c>
      <c r="Y28" s="8">
        <f t="shared" si="31"/>
        <v>0.22599999999999909</v>
      </c>
      <c r="Z28" s="10">
        <f t="shared" si="32"/>
        <v>0.69381999999999722</v>
      </c>
      <c r="AA28" s="15"/>
      <c r="AB28" s="7">
        <f t="shared" si="33"/>
        <v>32972000</v>
      </c>
      <c r="AC28" s="8">
        <f t="shared" si="33"/>
        <v>32.972000000000001</v>
      </c>
      <c r="AD28" s="8">
        <f t="shared" si="33"/>
        <v>101.22404</v>
      </c>
      <c r="AF28" s="8">
        <f t="shared" si="34"/>
        <v>9.2100000000010507E-3</v>
      </c>
    </row>
    <row r="29" spans="1:32" x14ac:dyDescent="0.15">
      <c r="A29" s="27">
        <v>43337</v>
      </c>
      <c r="B29" s="7">
        <f>'[4]Production Summary'!$J61</f>
        <v>24399999.999999635</v>
      </c>
      <c r="C29" s="8">
        <f t="shared" si="17"/>
        <v>24.399999999999636</v>
      </c>
      <c r="D29" s="10">
        <f t="shared" si="18"/>
        <v>74.907999999998879</v>
      </c>
      <c r="E29" s="7">
        <f>'[4]Production Summary'!$E61</f>
        <v>11000000</v>
      </c>
      <c r="F29" s="8">
        <f t="shared" si="19"/>
        <v>11</v>
      </c>
      <c r="G29" s="10">
        <f t="shared" si="20"/>
        <v>33.769999999999996</v>
      </c>
      <c r="H29" s="7">
        <f>'[4]Production Summary'!$G61</f>
        <v>16480000</v>
      </c>
      <c r="I29" s="8">
        <f t="shared" si="21"/>
        <v>16.48</v>
      </c>
      <c r="J29" s="10">
        <f t="shared" si="22"/>
        <v>50.593600000000002</v>
      </c>
      <c r="K29" s="7">
        <f>'[4]Production Summary'!$T61</f>
        <v>2486896</v>
      </c>
      <c r="L29" s="8">
        <f t="shared" si="23"/>
        <v>2.4868960000000002</v>
      </c>
      <c r="M29" s="10">
        <f t="shared" si="24"/>
        <v>7.6347707200000006</v>
      </c>
      <c r="N29" s="21"/>
      <c r="O29" s="7">
        <f>'[4]Production Summary'!$I61</f>
        <v>11544999.999999991</v>
      </c>
      <c r="P29" s="8">
        <f t="shared" si="25"/>
        <v>11.544999999999991</v>
      </c>
      <c r="Q29" s="10">
        <f t="shared" si="26"/>
        <v>35.443149999999967</v>
      </c>
      <c r="R29" s="7">
        <f>'[4]Production Summary'!$C61</f>
        <v>11911000</v>
      </c>
      <c r="S29" s="8">
        <f t="shared" si="27"/>
        <v>11.911</v>
      </c>
      <c r="T29" s="10">
        <f t="shared" si="28"/>
        <v>36.566769999999998</v>
      </c>
      <c r="U29" s="7">
        <f>'[4]Production Summary'!$F61</f>
        <v>0</v>
      </c>
      <c r="V29" s="8">
        <f t="shared" si="29"/>
        <v>0</v>
      </c>
      <c r="W29" s="10">
        <f t="shared" si="30"/>
        <v>0</v>
      </c>
      <c r="X29" s="7">
        <f>'[4]Production Summary'!$AB61</f>
        <v>359000.00000000885</v>
      </c>
      <c r="Y29" s="8">
        <f t="shared" si="31"/>
        <v>0.35900000000000887</v>
      </c>
      <c r="Z29" s="10">
        <f t="shared" si="32"/>
        <v>1.1021300000000271</v>
      </c>
      <c r="AA29" s="15"/>
      <c r="AB29" s="7">
        <f t="shared" si="33"/>
        <v>35944999.999999627</v>
      </c>
      <c r="AC29" s="8">
        <f t="shared" si="33"/>
        <v>35.944999999999624</v>
      </c>
      <c r="AD29" s="8">
        <f t="shared" si="33"/>
        <v>110.35114999999885</v>
      </c>
      <c r="AF29" s="8">
        <f t="shared" si="34"/>
        <v>2.1490000000003784E-2</v>
      </c>
    </row>
    <row r="30" spans="1:32" x14ac:dyDescent="0.15">
      <c r="A30" s="27">
        <v>43338</v>
      </c>
      <c r="B30" s="7">
        <f>'[4]Production Summary'!$J62</f>
        <v>23500000</v>
      </c>
      <c r="C30" s="8">
        <f t="shared" si="17"/>
        <v>23.5</v>
      </c>
      <c r="D30" s="10">
        <f t="shared" si="18"/>
        <v>72.144999999999996</v>
      </c>
      <c r="E30" s="7">
        <f>'[4]Production Summary'!$E62</f>
        <v>11000000</v>
      </c>
      <c r="F30" s="8">
        <f t="shared" si="19"/>
        <v>11</v>
      </c>
      <c r="G30" s="10">
        <f t="shared" si="20"/>
        <v>33.769999999999996</v>
      </c>
      <c r="H30" s="7">
        <f>'[4]Production Summary'!$G62</f>
        <v>16410000</v>
      </c>
      <c r="I30" s="8">
        <f t="shared" si="21"/>
        <v>16.41</v>
      </c>
      <c r="J30" s="10">
        <f t="shared" si="22"/>
        <v>50.378699999999995</v>
      </c>
      <c r="K30" s="7">
        <f>'[4]Production Summary'!$T62</f>
        <v>2677019</v>
      </c>
      <c r="L30" s="8">
        <f t="shared" si="23"/>
        <v>2.677019</v>
      </c>
      <c r="M30" s="10">
        <f t="shared" si="24"/>
        <v>8.2184483299999993</v>
      </c>
      <c r="N30" s="21"/>
      <c r="O30" s="7">
        <f>'[4]Production Summary'!$I62</f>
        <v>11623000.000000007</v>
      </c>
      <c r="P30" s="8">
        <f t="shared" si="25"/>
        <v>11.623000000000008</v>
      </c>
      <c r="Q30" s="10">
        <f t="shared" si="26"/>
        <v>35.682610000000025</v>
      </c>
      <c r="R30" s="7">
        <f>'[4]Production Summary'!$C62</f>
        <v>11942000</v>
      </c>
      <c r="S30" s="8">
        <f t="shared" si="27"/>
        <v>11.942</v>
      </c>
      <c r="T30" s="10">
        <f t="shared" si="28"/>
        <v>36.661940000000001</v>
      </c>
      <c r="U30" s="7">
        <f>'[4]Production Summary'!$F62</f>
        <v>0</v>
      </c>
      <c r="V30" s="8">
        <f t="shared" si="29"/>
        <v>0</v>
      </c>
      <c r="W30" s="10">
        <f t="shared" si="30"/>
        <v>0</v>
      </c>
      <c r="X30" s="7">
        <f>'[4]Production Summary'!$AB62</f>
        <v>310999.99999999284</v>
      </c>
      <c r="Y30" s="8">
        <f t="shared" si="31"/>
        <v>0.31099999999999284</v>
      </c>
      <c r="Z30" s="10">
        <f t="shared" si="32"/>
        <v>0.95476999999997791</v>
      </c>
      <c r="AA30" s="15"/>
      <c r="AB30" s="7">
        <f t="shared" si="33"/>
        <v>35123000.000000007</v>
      </c>
      <c r="AC30" s="8">
        <f t="shared" si="33"/>
        <v>35.123000000000005</v>
      </c>
      <c r="AD30" s="8">
        <f>D30+Q30</f>
        <v>107.82761000000002</v>
      </c>
      <c r="AF30" s="8">
        <f t="shared" si="34"/>
        <v>2.4559999999998139E-2</v>
      </c>
    </row>
    <row r="31" spans="1:32" x14ac:dyDescent="0.15">
      <c r="A31" s="27">
        <v>43339</v>
      </c>
      <c r="B31" s="7">
        <f>'[4]Production Summary'!$J63</f>
        <v>23800000.000001092</v>
      </c>
      <c r="C31" s="8">
        <f t="shared" si="17"/>
        <v>23.800000000001091</v>
      </c>
      <c r="D31" s="10">
        <f t="shared" si="18"/>
        <v>73.066000000003342</v>
      </c>
      <c r="E31" s="7">
        <f>'[4]Production Summary'!$E63</f>
        <v>10000000</v>
      </c>
      <c r="F31" s="8">
        <f t="shared" si="19"/>
        <v>10</v>
      </c>
      <c r="G31" s="10">
        <f t="shared" si="20"/>
        <v>30.7</v>
      </c>
      <c r="H31" s="7">
        <f>'[4]Production Summary'!$G63</f>
        <v>15700000</v>
      </c>
      <c r="I31" s="8">
        <f t="shared" si="21"/>
        <v>15.7</v>
      </c>
      <c r="J31" s="10">
        <f t="shared" si="22"/>
        <v>48.198999999999998</v>
      </c>
      <c r="K31" s="7">
        <f>'[4]Production Summary'!$T63</f>
        <v>2452630</v>
      </c>
      <c r="L31" s="8">
        <f t="shared" si="23"/>
        <v>2.4526300000000001</v>
      </c>
      <c r="M31" s="10">
        <f t="shared" si="24"/>
        <v>7.5295740999999996</v>
      </c>
      <c r="N31" s="21"/>
      <c r="O31" s="7">
        <f>'[4]Production Summary'!$I63</f>
        <v>12243000</v>
      </c>
      <c r="P31" s="8">
        <f t="shared" si="25"/>
        <v>12.243</v>
      </c>
      <c r="Q31" s="10">
        <f t="shared" si="26"/>
        <v>37.586010000000002</v>
      </c>
      <c r="R31" s="7">
        <f>'[4]Production Summary'!$C63</f>
        <v>12490000</v>
      </c>
      <c r="S31" s="8">
        <f t="shared" si="27"/>
        <v>12.49</v>
      </c>
      <c r="T31" s="10">
        <f t="shared" si="28"/>
        <v>38.344299999999997</v>
      </c>
      <c r="U31" s="7">
        <f>'[4]Production Summary'!$F63</f>
        <v>0</v>
      </c>
      <c r="V31" s="8">
        <f t="shared" si="29"/>
        <v>0</v>
      </c>
      <c r="W31" s="10">
        <f t="shared" si="30"/>
        <v>0</v>
      </c>
      <c r="X31" s="7">
        <f>'[4]Production Summary'!$AB63</f>
        <v>240999.99999999965</v>
      </c>
      <c r="Y31" s="8">
        <f t="shared" si="31"/>
        <v>0.24099999999999966</v>
      </c>
      <c r="Z31" s="10">
        <f t="shared" si="32"/>
        <v>0.73986999999999892</v>
      </c>
      <c r="AA31" s="15"/>
      <c r="AB31" s="7">
        <f t="shared" si="33"/>
        <v>36043000.000001088</v>
      </c>
      <c r="AC31" s="8">
        <f t="shared" si="33"/>
        <v>36.043000000001093</v>
      </c>
      <c r="AD31" s="8">
        <f t="shared" si="33"/>
        <v>110.65201000000334</v>
      </c>
      <c r="AF31" s="8">
        <f t="shared" si="34"/>
        <v>1.8419999999996328E-2</v>
      </c>
    </row>
    <row r="32" spans="1:32" x14ac:dyDescent="0.15">
      <c r="A32" s="27">
        <v>43340</v>
      </c>
      <c r="B32" s="7">
        <f>'[4]Production Summary'!$J64</f>
        <v>21299999.999999274</v>
      </c>
      <c r="C32" s="8">
        <f t="shared" si="17"/>
        <v>21.299999999999272</v>
      </c>
      <c r="D32" s="10">
        <f t="shared" si="18"/>
        <v>65.39099999999776</v>
      </c>
      <c r="E32" s="7">
        <f>'[4]Production Summary'!$E64</f>
        <v>10000000</v>
      </c>
      <c r="F32" s="8">
        <f t="shared" si="19"/>
        <v>10</v>
      </c>
      <c r="G32" s="10">
        <f t="shared" si="20"/>
        <v>30.7</v>
      </c>
      <c r="H32" s="7">
        <f>'[4]Production Summary'!$G64</f>
        <v>14680000</v>
      </c>
      <c r="I32" s="8">
        <f t="shared" si="21"/>
        <v>14.68</v>
      </c>
      <c r="J32" s="10">
        <f t="shared" si="22"/>
        <v>45.067599999999999</v>
      </c>
      <c r="K32" s="7">
        <f>'[4]Production Summary'!$T64</f>
        <v>2273772</v>
      </c>
      <c r="L32" s="8">
        <f t="shared" si="23"/>
        <v>2.2737720000000001</v>
      </c>
      <c r="M32" s="10">
        <f t="shared" si="24"/>
        <v>6.9804800399999998</v>
      </c>
      <c r="N32" s="21"/>
      <c r="O32" s="7">
        <f>'[4]Production Summary'!$I64</f>
        <v>11643000</v>
      </c>
      <c r="P32" s="8">
        <f t="shared" si="25"/>
        <v>11.643000000000001</v>
      </c>
      <c r="Q32" s="10">
        <f t="shared" si="26"/>
        <v>35.744010000000003</v>
      </c>
      <c r="R32" s="7">
        <f>'[4]Production Summary'!$C64</f>
        <v>11794000</v>
      </c>
      <c r="S32" s="8">
        <f t="shared" si="27"/>
        <v>11.794</v>
      </c>
      <c r="T32" s="10">
        <f t="shared" si="28"/>
        <v>36.20758</v>
      </c>
      <c r="U32" s="7">
        <f>'[4]Production Summary'!$F64</f>
        <v>0</v>
      </c>
      <c r="V32" s="8">
        <f t="shared" si="29"/>
        <v>0</v>
      </c>
      <c r="W32" s="10">
        <f t="shared" si="30"/>
        <v>0</v>
      </c>
      <c r="X32" s="7">
        <f>'[4]Production Summary'!$AB64</f>
        <v>146000.00000000079</v>
      </c>
      <c r="Y32" s="8">
        <f t="shared" si="31"/>
        <v>0.1460000000000008</v>
      </c>
      <c r="Z32" s="10">
        <f t="shared" si="32"/>
        <v>0.44822000000000239</v>
      </c>
      <c r="AA32" s="15"/>
      <c r="AB32" s="7">
        <f t="shared" si="33"/>
        <v>32942999.999999274</v>
      </c>
      <c r="AC32" s="8">
        <f t="shared" si="33"/>
        <v>32.942999999999273</v>
      </c>
      <c r="AD32" s="8">
        <f t="shared" si="33"/>
        <v>101.13500999999776</v>
      </c>
      <c r="AF32" s="8">
        <f t="shared" si="34"/>
        <v>1.5349999999994757E-2</v>
      </c>
    </row>
    <row r="33" spans="1:32" x14ac:dyDescent="0.15">
      <c r="A33" s="27">
        <v>43341</v>
      </c>
      <c r="B33" s="7">
        <f>'[4]Production Summary'!$J65</f>
        <v>21200000.000000726</v>
      </c>
      <c r="C33" s="8">
        <f t="shared" si="17"/>
        <v>21.200000000000728</v>
      </c>
      <c r="D33" s="10">
        <f t="shared" si="18"/>
        <v>65.084000000002234</v>
      </c>
      <c r="E33" s="7">
        <f>'[4]Production Summary'!$E65</f>
        <v>10000000</v>
      </c>
      <c r="F33" s="8">
        <f t="shared" si="19"/>
        <v>10</v>
      </c>
      <c r="G33" s="10">
        <f t="shared" si="20"/>
        <v>30.7</v>
      </c>
      <c r="H33" s="7">
        <f>'[4]Production Summary'!$G65</f>
        <v>14060000</v>
      </c>
      <c r="I33" s="8">
        <f t="shared" si="21"/>
        <v>14.06</v>
      </c>
      <c r="J33" s="10">
        <f t="shared" si="22"/>
        <v>43.164200000000001</v>
      </c>
      <c r="K33" s="7">
        <f>'[4]Production Summary'!$T65</f>
        <v>2302701</v>
      </c>
      <c r="L33" s="8">
        <f t="shared" si="23"/>
        <v>2.3027009999999999</v>
      </c>
      <c r="M33" s="10">
        <f t="shared" si="24"/>
        <v>7.0692920699999995</v>
      </c>
      <c r="N33" s="21"/>
      <c r="O33" s="7">
        <f>'[4]Production Summary'!$I65</f>
        <v>11727999.999999998</v>
      </c>
      <c r="P33" s="8">
        <f t="shared" si="25"/>
        <v>11.727999999999998</v>
      </c>
      <c r="Q33" s="10">
        <f t="shared" si="26"/>
        <v>36.00495999999999</v>
      </c>
      <c r="R33" s="7">
        <f>'[4]Production Summary'!$C65</f>
        <v>11912000</v>
      </c>
      <c r="S33" s="8">
        <f t="shared" si="27"/>
        <v>11.912000000000001</v>
      </c>
      <c r="T33" s="10">
        <f t="shared" si="28"/>
        <v>36.569839999999999</v>
      </c>
      <c r="U33" s="7">
        <f>'[4]Production Summary'!$F65</f>
        <v>0</v>
      </c>
      <c r="V33" s="8">
        <f t="shared" si="29"/>
        <v>0</v>
      </c>
      <c r="W33" s="10">
        <f t="shared" si="30"/>
        <v>0</v>
      </c>
      <c r="X33" s="7">
        <f>'[4]Production Summary'!$AB65</f>
        <v>179000.00000000204</v>
      </c>
      <c r="Y33" s="8">
        <f t="shared" si="31"/>
        <v>0.17900000000000205</v>
      </c>
      <c r="Z33" s="10">
        <f t="shared" si="32"/>
        <v>0.54953000000000629</v>
      </c>
      <c r="AA33" s="15"/>
      <c r="AB33" s="7">
        <f t="shared" si="33"/>
        <v>32928000.000000723</v>
      </c>
      <c r="AC33" s="8">
        <f t="shared" si="33"/>
        <v>32.928000000000722</v>
      </c>
      <c r="AD33" s="8">
        <f t="shared" si="33"/>
        <v>101.08896000000223</v>
      </c>
      <c r="AF33" s="8">
        <f t="shared" si="34"/>
        <v>1.5350000000003083E-2</v>
      </c>
    </row>
    <row r="34" spans="1:32" x14ac:dyDescent="0.15">
      <c r="A34" s="27">
        <v>43342</v>
      </c>
      <c r="B34" s="7">
        <f>'[4]Production Summary'!$J66</f>
        <v>22000000</v>
      </c>
      <c r="C34" s="8">
        <f t="shared" si="17"/>
        <v>22</v>
      </c>
      <c r="D34" s="10">
        <f t="shared" si="18"/>
        <v>67.539999999999992</v>
      </c>
      <c r="E34" s="7">
        <f>'[4]Production Summary'!$E66</f>
        <v>10000000</v>
      </c>
      <c r="F34" s="8">
        <f t="shared" si="19"/>
        <v>10</v>
      </c>
      <c r="G34" s="10">
        <f t="shared" si="20"/>
        <v>30.7</v>
      </c>
      <c r="H34" s="7">
        <f>'[4]Production Summary'!$G66</f>
        <v>15240000</v>
      </c>
      <c r="I34" s="8">
        <f t="shared" si="21"/>
        <v>15.24</v>
      </c>
      <c r="J34" s="10">
        <f t="shared" si="22"/>
        <v>46.786799999999999</v>
      </c>
      <c r="K34" s="7">
        <f>'[4]Production Summary'!$T66</f>
        <v>2449724</v>
      </c>
      <c r="L34" s="8">
        <f t="shared" si="23"/>
        <v>2.4497239999999998</v>
      </c>
      <c r="M34" s="10">
        <f t="shared" si="24"/>
        <v>7.5206526799999986</v>
      </c>
      <c r="N34" s="21"/>
      <c r="O34" s="7">
        <f>'[4]Production Summary'!$I66</f>
        <v>11362000.000000004</v>
      </c>
      <c r="P34" s="8">
        <f t="shared" si="25"/>
        <v>11.362000000000004</v>
      </c>
      <c r="Q34" s="10">
        <f t="shared" si="26"/>
        <v>34.881340000000009</v>
      </c>
      <c r="R34" s="7">
        <f>'[4]Production Summary'!$C66</f>
        <v>11637000</v>
      </c>
      <c r="S34" s="8">
        <f t="shared" si="27"/>
        <v>11.637</v>
      </c>
      <c r="T34" s="10">
        <f t="shared" si="28"/>
        <v>35.725589999999997</v>
      </c>
      <c r="U34" s="7">
        <f>'[4]Production Summary'!$F66</f>
        <v>0</v>
      </c>
      <c r="V34" s="8">
        <f t="shared" si="29"/>
        <v>0</v>
      </c>
      <c r="W34" s="10">
        <f t="shared" si="30"/>
        <v>0</v>
      </c>
      <c r="X34" s="7">
        <f>'[4]Production Summary'!$AB66</f>
        <v>266999.99999999593</v>
      </c>
      <c r="Y34" s="8">
        <f t="shared" si="31"/>
        <v>0.26699999999999591</v>
      </c>
      <c r="Z34" s="10">
        <f t="shared" si="32"/>
        <v>0.81968999999998737</v>
      </c>
      <c r="AA34" s="15"/>
      <c r="AB34" s="7">
        <f t="shared" si="33"/>
        <v>33362000.000000004</v>
      </c>
      <c r="AC34" s="8">
        <f t="shared" si="33"/>
        <v>33.362000000000002</v>
      </c>
      <c r="AD34" s="8">
        <f t="shared" si="33"/>
        <v>102.42134</v>
      </c>
      <c r="AF34" s="8">
        <f t="shared" si="34"/>
        <v>2.4560000000000803E-2</v>
      </c>
    </row>
    <row r="35" spans="1:32" ht="14" thickBot="1" x14ac:dyDescent="0.2">
      <c r="A35" s="27">
        <v>43343</v>
      </c>
      <c r="B35" s="7">
        <f>'[4]Production Summary'!$J67</f>
        <v>23000000</v>
      </c>
      <c r="C35" s="8">
        <f t="shared" si="17"/>
        <v>23</v>
      </c>
      <c r="D35" s="10">
        <f t="shared" si="18"/>
        <v>70.61</v>
      </c>
      <c r="E35" s="7">
        <f>'[4]Production Summary'!$E67</f>
        <v>10000000</v>
      </c>
      <c r="F35" s="8">
        <f t="shared" si="19"/>
        <v>10</v>
      </c>
      <c r="G35" s="10">
        <f t="shared" si="20"/>
        <v>30.7</v>
      </c>
      <c r="H35" s="7">
        <f>'[4]Production Summary'!$G67</f>
        <v>15550000</v>
      </c>
      <c r="I35" s="8">
        <f t="shared" si="21"/>
        <v>15.55</v>
      </c>
      <c r="J35" s="10">
        <f t="shared" si="22"/>
        <v>47.738500000000002</v>
      </c>
      <c r="K35" s="7">
        <f>'[4]Production Summary'!$T67</f>
        <v>2284306</v>
      </c>
      <c r="L35" s="8">
        <f t="shared" si="23"/>
        <v>2.2843059999999999</v>
      </c>
      <c r="M35" s="10">
        <f t="shared" si="24"/>
        <v>7.0128194199999996</v>
      </c>
      <c r="N35" s="21"/>
      <c r="O35" s="7">
        <f>'[4]Production Summary'!$I67</f>
        <v>12411999.999999996</v>
      </c>
      <c r="P35" s="8">
        <f t="shared" si="25"/>
        <v>12.411999999999995</v>
      </c>
      <c r="Q35" s="10">
        <f t="shared" si="26"/>
        <v>38.104839999999982</v>
      </c>
      <c r="R35" s="7">
        <f>'[4]Production Summary'!$C67</f>
        <v>12624000</v>
      </c>
      <c r="S35" s="8">
        <f t="shared" si="27"/>
        <v>12.624000000000001</v>
      </c>
      <c r="T35" s="10">
        <f t="shared" si="28"/>
        <v>38.755679999999998</v>
      </c>
      <c r="U35" s="7">
        <f>'[4]Production Summary'!$F67</f>
        <v>0</v>
      </c>
      <c r="V35" s="8">
        <f t="shared" si="29"/>
        <v>0</v>
      </c>
      <c r="W35" s="10">
        <f t="shared" si="30"/>
        <v>0</v>
      </c>
      <c r="X35" s="7">
        <f>'[4]Production Summary'!$AB67</f>
        <v>206000.00000000306</v>
      </c>
      <c r="Y35" s="8">
        <f t="shared" si="31"/>
        <v>0.20600000000000307</v>
      </c>
      <c r="Z35" s="10">
        <f t="shared" si="32"/>
        <v>0.63242000000000942</v>
      </c>
      <c r="AA35" s="15"/>
      <c r="AB35" s="7">
        <f t="shared" si="33"/>
        <v>35412000</v>
      </c>
      <c r="AC35" s="8">
        <f t="shared" si="33"/>
        <v>35.411999999999992</v>
      </c>
      <c r="AD35" s="8">
        <f t="shared" si="33"/>
        <v>108.71483999999998</v>
      </c>
      <c r="AF35" s="8">
        <f t="shared" si="34"/>
        <v>1.8420000000007097E-2</v>
      </c>
    </row>
    <row r="36" spans="1:32" ht="14" thickBot="1" x14ac:dyDescent="0.2">
      <c r="A36" s="14"/>
      <c r="B36" s="37"/>
      <c r="C36" s="38">
        <f>SUM(C5:C35)</f>
        <v>670</v>
      </c>
      <c r="D36" s="38">
        <f t="shared" ref="D36" si="35">C36*3.07</f>
        <v>2056.9</v>
      </c>
      <c r="E36" s="37"/>
      <c r="F36" s="38">
        <f>SUM(F5:F35)</f>
        <v>280</v>
      </c>
      <c r="G36" s="38">
        <f t="shared" ref="G36" si="36">F36*3.07</f>
        <v>859.59999999999991</v>
      </c>
      <c r="H36" s="37"/>
      <c r="I36" s="38">
        <f>SUM(I5:I35)</f>
        <v>464.21000000000009</v>
      </c>
      <c r="J36" s="38">
        <f t="shared" ref="J36" si="37">I36*3.07</f>
        <v>1425.1247000000003</v>
      </c>
      <c r="K36" s="37"/>
      <c r="L36" s="38">
        <f>SUM(L5:L35)</f>
        <v>65.962289999999996</v>
      </c>
      <c r="M36" s="38">
        <f t="shared" ref="M36" si="38">L36*3.07</f>
        <v>202.50423029999999</v>
      </c>
      <c r="N36" s="14"/>
      <c r="O36" s="37"/>
      <c r="P36" s="38">
        <f>SUM(P5:P35)</f>
        <v>373.64399999999995</v>
      </c>
      <c r="Q36" s="38">
        <f t="shared" ref="Q36" si="39">P36*3.07</f>
        <v>1147.0870799999998</v>
      </c>
      <c r="R36" s="37"/>
      <c r="S36" s="38">
        <f>SUM(S5:S35)</f>
        <v>383.21600000000007</v>
      </c>
      <c r="T36" s="38">
        <f t="shared" ref="T36" si="40">S36*3.07</f>
        <v>1176.4731200000001</v>
      </c>
      <c r="U36" s="37"/>
      <c r="V36" s="38">
        <f>SUM(V5:V35)</f>
        <v>0</v>
      </c>
      <c r="W36" s="38">
        <f t="shared" ref="W36" si="41">V36*3.07</f>
        <v>0</v>
      </c>
      <c r="X36" s="37"/>
      <c r="Y36" s="38">
        <f>SUM(Y5:Y35)</f>
        <v>9.3790000000000049</v>
      </c>
      <c r="Z36" s="38">
        <f t="shared" ref="Z36" si="42">Y36*3.07</f>
        <v>28.793530000000015</v>
      </c>
      <c r="AA36" s="14"/>
      <c r="AB36" s="37"/>
      <c r="AC36" s="38">
        <f>SUM(AC5:AC35)</f>
        <v>1043.644</v>
      </c>
      <c r="AD36" s="38">
        <f>AC36*3.07</f>
        <v>3203.9870799999999</v>
      </c>
      <c r="AF36" s="38">
        <f>SUM(AF5:AF35)</f>
        <v>0.59251000000004117</v>
      </c>
    </row>
    <row r="37" spans="1:32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2" x14ac:dyDescent="0.15">
      <c r="G38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AF38"/>
  <sheetViews>
    <sheetView workbookViewId="0">
      <pane xSplit="1" ySplit="4" topLeftCell="N16" activePane="bottomRight" state="frozen"/>
      <selection activeCell="T39" sqref="T39"/>
      <selection pane="topRight" activeCell="T39" sqref="T39"/>
      <selection pane="bottomLeft" activeCell="T39" sqref="T39"/>
      <selection pane="bottomRight" activeCell="B26" sqref="B26"/>
    </sheetView>
  </sheetViews>
  <sheetFormatPr baseColWidth="10" defaultColWidth="8.83203125" defaultRowHeight="13" x14ac:dyDescent="0.15"/>
  <cols>
    <col min="2" max="2" width="12.5" customWidth="1"/>
    <col min="5" max="5" width="11.33203125" customWidth="1"/>
    <col min="8" max="8" width="11.33203125" customWidth="1"/>
    <col min="11" max="11" width="14.5" customWidth="1"/>
    <col min="12" max="12" width="10.5" customWidth="1"/>
    <col min="13" max="13" width="10.1640625" customWidth="1"/>
    <col min="15" max="15" width="13.5" customWidth="1"/>
    <col min="18" max="18" width="11.1640625" customWidth="1"/>
    <col min="22" max="22" width="11" customWidth="1"/>
    <col min="28" max="28" width="11.1640625" customWidth="1"/>
  </cols>
  <sheetData>
    <row r="1" spans="1:32" x14ac:dyDescent="0.15">
      <c r="A1" s="41"/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17</v>
      </c>
      <c r="V3" s="63"/>
      <c r="W3" s="64"/>
      <c r="X3" s="62" t="s">
        <v>7</v>
      </c>
      <c r="Y3" s="63"/>
      <c r="Z3" s="64"/>
      <c r="AA3" s="19"/>
      <c r="AB3" s="59" t="s">
        <v>8</v>
      </c>
      <c r="AC3" s="60"/>
      <c r="AD3" s="61"/>
      <c r="AF3" s="33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15">
      <c r="A5" s="27">
        <v>43344</v>
      </c>
      <c r="B5" s="7">
        <f>'[4]Production Summary'!$J68</f>
        <v>22199999.999998908</v>
      </c>
      <c r="C5" s="8">
        <f t="shared" ref="C5" si="0">B5/1000000</f>
        <v>22.199999999998909</v>
      </c>
      <c r="D5" s="10">
        <f t="shared" ref="D5" si="1">C5*3.07</f>
        <v>68.153999999996643</v>
      </c>
      <c r="E5" s="7">
        <f>'[4]Production Summary'!$E68</f>
        <v>10000000</v>
      </c>
      <c r="F5" s="8">
        <f t="shared" ref="F5" si="2">E5/1000000</f>
        <v>10</v>
      </c>
      <c r="G5" s="10">
        <f t="shared" ref="G5" si="3">F5*3.07</f>
        <v>30.7</v>
      </c>
      <c r="H5" s="7">
        <f>'[4]Production Summary'!$G68</f>
        <v>14770000</v>
      </c>
      <c r="I5" s="8">
        <f t="shared" ref="I5" si="4">H5/1000000</f>
        <v>14.77</v>
      </c>
      <c r="J5" s="10">
        <f t="shared" ref="J5" si="5">I5*3.07</f>
        <v>45.343899999999998</v>
      </c>
      <c r="K5" s="7">
        <f>'[4]Production Summary'!$T68</f>
        <v>2370330</v>
      </c>
      <c r="L5" s="8">
        <f t="shared" ref="L5" si="6">K5/1000000</f>
        <v>2.37033</v>
      </c>
      <c r="M5" s="10">
        <f t="shared" ref="M5" si="7">L5*3.07</f>
        <v>7.2769130999999998</v>
      </c>
      <c r="N5" s="21"/>
      <c r="O5" s="7">
        <f>'[4]Production Summary'!$I68</f>
        <v>11693000</v>
      </c>
      <c r="P5" s="8">
        <f t="shared" ref="P5" si="8">O5/1000000</f>
        <v>11.693</v>
      </c>
      <c r="Q5" s="10">
        <f t="shared" ref="Q5" si="9">P5*3.07</f>
        <v>35.897509999999997</v>
      </c>
      <c r="R5" s="7">
        <f>'[4]Production Summary'!$C68</f>
        <v>11932000</v>
      </c>
      <c r="S5" s="8">
        <f t="shared" ref="S5" si="10">R5/1000000</f>
        <v>11.932</v>
      </c>
      <c r="T5" s="10">
        <f t="shared" ref="T5" si="11">S5*3.07</f>
        <v>36.631239999999998</v>
      </c>
      <c r="U5" s="7">
        <f>'[4]Production Summary'!$F68</f>
        <v>0</v>
      </c>
      <c r="V5" s="8">
        <f t="shared" ref="V5" si="12">U5/1000000</f>
        <v>0</v>
      </c>
      <c r="W5" s="10">
        <f t="shared" ref="W5" si="13">V5*3.07</f>
        <v>0</v>
      </c>
      <c r="X5" s="7">
        <f>'[4]Production Summary'!$AB68</f>
        <v>231999.99999999933</v>
      </c>
      <c r="Y5" s="8">
        <f t="shared" ref="Y5" si="14">X5/1000000</f>
        <v>0.23199999999999932</v>
      </c>
      <c r="Z5" s="10">
        <f t="shared" ref="Z5" si="15">Y5*3.07</f>
        <v>0.71223999999999787</v>
      </c>
      <c r="AA5" s="15"/>
      <c r="AB5" s="7">
        <f>B5+O5</f>
        <v>33892999.999998912</v>
      </c>
      <c r="AC5" s="8">
        <f>C5+P5</f>
        <v>33.892999999998906</v>
      </c>
      <c r="AD5" s="8">
        <f>D5+Q5</f>
        <v>104.05150999999664</v>
      </c>
      <c r="AF5" s="8">
        <f>T5-Q5-Z5</f>
        <v>2.1490000000003451E-2</v>
      </c>
    </row>
    <row r="6" spans="1:32" x14ac:dyDescent="0.15">
      <c r="A6" s="27">
        <v>43345</v>
      </c>
      <c r="B6" s="7">
        <f>'[4]Production Summary'!$J69</f>
        <v>21399999.999999635</v>
      </c>
      <c r="C6" s="8">
        <f t="shared" ref="C6:C34" si="16">B6/1000000</f>
        <v>21.399999999999636</v>
      </c>
      <c r="D6" s="10">
        <f t="shared" ref="D6:D34" si="17">C6*3.07</f>
        <v>65.697999999998885</v>
      </c>
      <c r="E6" s="7">
        <f>'[4]Production Summary'!$E69</f>
        <v>10000000</v>
      </c>
      <c r="F6" s="8">
        <f t="shared" ref="F6:F34" si="18">E6/1000000</f>
        <v>10</v>
      </c>
      <c r="G6" s="10">
        <f t="shared" ref="G6:G34" si="19">F6*3.07</f>
        <v>30.7</v>
      </c>
      <c r="H6" s="7">
        <f>'[4]Production Summary'!$G69</f>
        <v>15140000</v>
      </c>
      <c r="I6" s="8">
        <f t="shared" ref="I6:I34" si="20">H6/1000000</f>
        <v>15.14</v>
      </c>
      <c r="J6" s="10">
        <f t="shared" ref="J6:J34" si="21">I6*3.07</f>
        <v>46.479799999999997</v>
      </c>
      <c r="K6" s="7">
        <f>'[4]Production Summary'!$T69</f>
        <v>2293680</v>
      </c>
      <c r="L6" s="8">
        <f t="shared" ref="L6:L34" si="22">K6/1000000</f>
        <v>2.2936800000000002</v>
      </c>
      <c r="M6" s="10">
        <f t="shared" ref="M6:M34" si="23">L6*3.07</f>
        <v>7.0415976000000002</v>
      </c>
      <c r="N6" s="21"/>
      <c r="O6" s="7">
        <f>'[4]Production Summary'!$I69</f>
        <v>11376999.999999998</v>
      </c>
      <c r="P6" s="8">
        <f t="shared" ref="P6:P34" si="24">O6/1000000</f>
        <v>11.376999999999999</v>
      </c>
      <c r="Q6" s="10">
        <f t="shared" ref="Q6:Q34" si="25">P6*3.07</f>
        <v>34.927389999999995</v>
      </c>
      <c r="R6" s="7">
        <f>'[4]Production Summary'!$C69</f>
        <v>11534000</v>
      </c>
      <c r="S6" s="8">
        <f t="shared" ref="S6:S34" si="26">R6/1000000</f>
        <v>11.534000000000001</v>
      </c>
      <c r="T6" s="10">
        <f t="shared" ref="T6:T34" si="27">S6*3.07</f>
        <v>35.409379999999999</v>
      </c>
      <c r="U6" s="7">
        <f>'[4]Production Summary'!$F69</f>
        <v>0</v>
      </c>
      <c r="V6" s="8">
        <f t="shared" ref="V6:V34" si="28">U6/1000000</f>
        <v>0</v>
      </c>
      <c r="W6" s="10">
        <f t="shared" ref="W6:W34" si="29">V6*3.07</f>
        <v>0</v>
      </c>
      <c r="X6" s="7">
        <f>'[4]Production Summary'!$AB69</f>
        <v>152000.00000000102</v>
      </c>
      <c r="Y6" s="8">
        <f t="shared" ref="Y6:Y34" si="30">X6/1000000</f>
        <v>0.15200000000000102</v>
      </c>
      <c r="Z6" s="10">
        <f t="shared" ref="Z6:Z34" si="31">Y6*3.07</f>
        <v>0.46664000000000311</v>
      </c>
      <c r="AA6" s="15"/>
      <c r="AB6" s="7">
        <f t="shared" ref="AB6:AD35" si="32">B6+O6</f>
        <v>32776999.999999635</v>
      </c>
      <c r="AC6" s="8">
        <f t="shared" si="32"/>
        <v>32.776999999999632</v>
      </c>
      <c r="AD6" s="8">
        <f t="shared" si="32"/>
        <v>100.62538999999887</v>
      </c>
      <c r="AF6" s="8">
        <f t="shared" ref="AF6:AF14" si="33">T6-Q6-Z6</f>
        <v>1.5350000000000141E-2</v>
      </c>
    </row>
    <row r="7" spans="1:32" x14ac:dyDescent="0.15">
      <c r="A7" s="27">
        <v>43346</v>
      </c>
      <c r="B7" s="7">
        <f>'[4]Production Summary'!$J70</f>
        <v>22300000.000001092</v>
      </c>
      <c r="C7" s="8">
        <f t="shared" si="16"/>
        <v>22.300000000001091</v>
      </c>
      <c r="D7" s="10">
        <f t="shared" si="17"/>
        <v>68.461000000003352</v>
      </c>
      <c r="E7" s="7">
        <f>'[4]Production Summary'!$E70</f>
        <v>11000000</v>
      </c>
      <c r="F7" s="8">
        <f t="shared" si="18"/>
        <v>11</v>
      </c>
      <c r="G7" s="10">
        <f t="shared" si="19"/>
        <v>33.769999999999996</v>
      </c>
      <c r="H7" s="7">
        <f>'[4]Production Summary'!$G70</f>
        <v>14770000</v>
      </c>
      <c r="I7" s="8">
        <f t="shared" si="20"/>
        <v>14.77</v>
      </c>
      <c r="J7" s="10">
        <f t="shared" si="21"/>
        <v>45.343899999999998</v>
      </c>
      <c r="K7" s="7">
        <f>'[4]Production Summary'!$T70</f>
        <v>2485326</v>
      </c>
      <c r="L7" s="8">
        <f t="shared" si="22"/>
        <v>2.4853260000000001</v>
      </c>
      <c r="M7" s="10">
        <f t="shared" si="23"/>
        <v>7.6299508200000004</v>
      </c>
      <c r="N7" s="21"/>
      <c r="O7" s="7">
        <f>'[4]Production Summary'!$I70</f>
        <v>11431000.000000006</v>
      </c>
      <c r="P7" s="8">
        <f t="shared" si="24"/>
        <v>11.431000000000006</v>
      </c>
      <c r="Q7" s="10">
        <f t="shared" si="25"/>
        <v>35.093170000000015</v>
      </c>
      <c r="R7" s="7">
        <f>'[4]Production Summary'!$C70</f>
        <v>11656000</v>
      </c>
      <c r="S7" s="8">
        <f t="shared" si="26"/>
        <v>11.656000000000001</v>
      </c>
      <c r="T7" s="10">
        <f t="shared" si="27"/>
        <v>35.783920000000002</v>
      </c>
      <c r="U7" s="7">
        <f>'[4]Production Summary'!$F70</f>
        <v>0</v>
      </c>
      <c r="V7" s="8">
        <f t="shared" si="28"/>
        <v>0</v>
      </c>
      <c r="W7" s="10">
        <f t="shared" si="29"/>
        <v>0</v>
      </c>
      <c r="X7" s="7">
        <f>'[4]Production Summary'!$AB70</f>
        <v>218999.99999999409</v>
      </c>
      <c r="Y7" s="8">
        <f t="shared" si="30"/>
        <v>0.21899999999999409</v>
      </c>
      <c r="Z7" s="10">
        <f t="shared" si="31"/>
        <v>0.67232999999998178</v>
      </c>
      <c r="AA7" s="15"/>
      <c r="AB7" s="7">
        <f t="shared" si="32"/>
        <v>33731000.000001095</v>
      </c>
      <c r="AC7" s="8">
        <f t="shared" si="32"/>
        <v>33.731000000001096</v>
      </c>
      <c r="AD7" s="8">
        <f t="shared" si="32"/>
        <v>103.55417000000337</v>
      </c>
      <c r="AF7" s="8">
        <f t="shared" si="33"/>
        <v>1.8420000000005321E-2</v>
      </c>
    </row>
    <row r="8" spans="1:32" x14ac:dyDescent="0.15">
      <c r="A8" s="27">
        <v>43347</v>
      </c>
      <c r="B8" s="7">
        <f>'[4]Production Summary'!$J71</f>
        <v>22100000.000000365</v>
      </c>
      <c r="C8" s="8">
        <f t="shared" si="16"/>
        <v>22.100000000000364</v>
      </c>
      <c r="D8" s="10">
        <f t="shared" si="17"/>
        <v>67.847000000001117</v>
      </c>
      <c r="E8" s="7">
        <f>'[4]Production Summary'!$E71</f>
        <v>9000000</v>
      </c>
      <c r="F8" s="8">
        <f t="shared" si="18"/>
        <v>9</v>
      </c>
      <c r="G8" s="10">
        <f t="shared" si="19"/>
        <v>27.63</v>
      </c>
      <c r="H8" s="7">
        <f>'[4]Production Summary'!$G71</f>
        <v>15130000</v>
      </c>
      <c r="I8" s="8">
        <f t="shared" si="20"/>
        <v>15.13</v>
      </c>
      <c r="J8" s="10">
        <f t="shared" si="21"/>
        <v>46.449100000000001</v>
      </c>
      <c r="K8" s="7">
        <f>'[4]Production Summary'!$T71</f>
        <v>2256143</v>
      </c>
      <c r="L8" s="8">
        <f t="shared" si="22"/>
        <v>2.2561429999999998</v>
      </c>
      <c r="M8" s="10">
        <f t="shared" si="23"/>
        <v>6.9263590099999988</v>
      </c>
      <c r="N8" s="21"/>
      <c r="O8" s="7">
        <f>'[4]Production Summary'!$I71</f>
        <v>11893999.999999996</v>
      </c>
      <c r="P8" s="8">
        <f t="shared" si="24"/>
        <v>11.893999999999997</v>
      </c>
      <c r="Q8" s="10">
        <f t="shared" si="25"/>
        <v>36.514579999999988</v>
      </c>
      <c r="R8" s="7">
        <f>'[4]Production Summary'!$C71</f>
        <v>12128000</v>
      </c>
      <c r="S8" s="8">
        <f t="shared" si="26"/>
        <v>12.128</v>
      </c>
      <c r="T8" s="10">
        <f t="shared" si="27"/>
        <v>37.232959999999999</v>
      </c>
      <c r="U8" s="7">
        <f>'[4]Production Summary'!$F71</f>
        <v>0</v>
      </c>
      <c r="V8" s="8">
        <f t="shared" si="28"/>
        <v>0</v>
      </c>
      <c r="W8" s="10">
        <f t="shared" si="29"/>
        <v>0</v>
      </c>
      <c r="X8" s="7">
        <f>'[4]Production Summary'!$AB71</f>
        <v>227000.00000000387</v>
      </c>
      <c r="Y8" s="8">
        <f t="shared" si="30"/>
        <v>0.22700000000000387</v>
      </c>
      <c r="Z8" s="10">
        <f t="shared" si="31"/>
        <v>0.69689000000001178</v>
      </c>
      <c r="AA8" s="15"/>
      <c r="AB8" s="7">
        <f t="shared" si="32"/>
        <v>33994000.000000358</v>
      </c>
      <c r="AC8" s="8">
        <f t="shared" si="32"/>
        <v>33.994000000000362</v>
      </c>
      <c r="AD8" s="8">
        <f>D8+Q8</f>
        <v>104.36158000000111</v>
      </c>
      <c r="AF8" s="8">
        <f t="shared" si="33"/>
        <v>2.1489999999998677E-2</v>
      </c>
    </row>
    <row r="9" spans="1:32" x14ac:dyDescent="0.15">
      <c r="A9" s="27">
        <v>43348</v>
      </c>
      <c r="B9" s="7">
        <f>'[4]Production Summary'!$J72</f>
        <v>18599999.999998543</v>
      </c>
      <c r="C9" s="8">
        <f t="shared" si="16"/>
        <v>18.599999999998545</v>
      </c>
      <c r="D9" s="10">
        <f t="shared" si="17"/>
        <v>57.101999999995527</v>
      </c>
      <c r="E9" s="7">
        <f>'[4]Production Summary'!$E72</f>
        <v>9000000</v>
      </c>
      <c r="F9" s="8">
        <f t="shared" si="18"/>
        <v>9</v>
      </c>
      <c r="G9" s="10">
        <f t="shared" si="19"/>
        <v>27.63</v>
      </c>
      <c r="H9" s="7">
        <f>'[4]Production Summary'!$G72</f>
        <v>12580000</v>
      </c>
      <c r="I9" s="8">
        <f t="shared" si="20"/>
        <v>12.58</v>
      </c>
      <c r="J9" s="10">
        <f t="shared" si="21"/>
        <v>38.620599999999996</v>
      </c>
      <c r="K9" s="7">
        <f>'[4]Production Summary'!$T72</f>
        <v>1848646</v>
      </c>
      <c r="L9" s="8">
        <f t="shared" si="22"/>
        <v>1.848646</v>
      </c>
      <c r="M9" s="10">
        <f t="shared" si="23"/>
        <v>5.6753432199999994</v>
      </c>
      <c r="N9" s="21"/>
      <c r="O9" s="7">
        <f>'[4]Production Summary'!$I72</f>
        <v>11437999.999999994</v>
      </c>
      <c r="P9" s="8">
        <f t="shared" si="24"/>
        <v>11.437999999999995</v>
      </c>
      <c r="Q9" s="10">
        <f t="shared" si="25"/>
        <v>35.114659999999986</v>
      </c>
      <c r="R9" s="7">
        <f>'[4]Production Summary'!$C72</f>
        <v>11589000</v>
      </c>
      <c r="S9" s="8">
        <f t="shared" si="26"/>
        <v>11.589</v>
      </c>
      <c r="T9" s="10">
        <f t="shared" si="27"/>
        <v>35.578229999999998</v>
      </c>
      <c r="U9" s="7">
        <f>'[4]Production Summary'!$F72</f>
        <v>0</v>
      </c>
      <c r="V9" s="8">
        <f t="shared" si="28"/>
        <v>0</v>
      </c>
      <c r="W9" s="10">
        <f t="shared" si="29"/>
        <v>0</v>
      </c>
      <c r="X9" s="7">
        <f>'[4]Production Summary'!$AB72</f>
        <v>147000.00000000556</v>
      </c>
      <c r="Y9" s="8">
        <f t="shared" si="30"/>
        <v>0.14700000000000557</v>
      </c>
      <c r="Z9" s="10">
        <f t="shared" si="31"/>
        <v>0.45129000000001707</v>
      </c>
      <c r="AA9" s="15"/>
      <c r="AB9" s="7">
        <f t="shared" si="32"/>
        <v>30037999.99999854</v>
      </c>
      <c r="AC9" s="8">
        <f t="shared" si="32"/>
        <v>30.03799999999854</v>
      </c>
      <c r="AD9" s="8">
        <f t="shared" si="32"/>
        <v>92.216659999995514</v>
      </c>
      <c r="AF9" s="8">
        <f t="shared" si="33"/>
        <v>1.2279999999994295E-2</v>
      </c>
    </row>
    <row r="10" spans="1:32" x14ac:dyDescent="0.15">
      <c r="A10" s="27">
        <v>43349</v>
      </c>
      <c r="B10" s="7">
        <f>'[4]Production Summary'!$J73</f>
        <v>15300000.000001092</v>
      </c>
      <c r="C10" s="8">
        <f t="shared" si="16"/>
        <v>15.300000000001091</v>
      </c>
      <c r="D10" s="10">
        <f t="shared" si="17"/>
        <v>46.97100000000335</v>
      </c>
      <c r="E10" s="7">
        <f>'[4]Production Summary'!$E73</f>
        <v>7000000</v>
      </c>
      <c r="F10" s="8">
        <f t="shared" si="18"/>
        <v>7</v>
      </c>
      <c r="G10" s="10">
        <f t="shared" si="19"/>
        <v>21.49</v>
      </c>
      <c r="H10" s="7">
        <f>'[4]Production Summary'!$G73</f>
        <v>9860000</v>
      </c>
      <c r="I10" s="8">
        <f t="shared" si="20"/>
        <v>9.86</v>
      </c>
      <c r="J10" s="10">
        <f t="shared" si="21"/>
        <v>30.270199999999996</v>
      </c>
      <c r="K10" s="7">
        <f>'[4]Production Summary'!$T73</f>
        <v>1588596</v>
      </c>
      <c r="L10" s="8">
        <f t="shared" si="22"/>
        <v>1.5885959999999999</v>
      </c>
      <c r="M10" s="10">
        <f t="shared" si="23"/>
        <v>4.8769897199999992</v>
      </c>
      <c r="N10" s="21"/>
      <c r="O10" s="7">
        <f>'[4]Production Summary'!$I73</f>
        <v>8151000.0000000056</v>
      </c>
      <c r="P10" s="8">
        <f t="shared" si="24"/>
        <v>8.1510000000000051</v>
      </c>
      <c r="Q10" s="10">
        <f t="shared" si="25"/>
        <v>25.023570000000014</v>
      </c>
      <c r="R10" s="7">
        <f>'[4]Production Summary'!$C73</f>
        <v>8389000</v>
      </c>
      <c r="S10" s="8">
        <f t="shared" si="26"/>
        <v>8.3889999999999993</v>
      </c>
      <c r="T10" s="10">
        <f t="shared" si="27"/>
        <v>25.754229999999996</v>
      </c>
      <c r="U10" s="7">
        <f>'[4]Production Summary'!$F73</f>
        <v>0</v>
      </c>
      <c r="V10" s="8">
        <f t="shared" si="28"/>
        <v>0</v>
      </c>
      <c r="W10" s="10">
        <f t="shared" si="29"/>
        <v>0</v>
      </c>
      <c r="X10" s="7">
        <f>'[4]Production Summary'!$AB73</f>
        <v>230999.99999999453</v>
      </c>
      <c r="Y10" s="8">
        <f t="shared" si="30"/>
        <v>0.23099999999999452</v>
      </c>
      <c r="Z10" s="10">
        <f t="shared" si="31"/>
        <v>0.70916999999998309</v>
      </c>
      <c r="AA10" s="15"/>
      <c r="AB10" s="7">
        <f t="shared" si="32"/>
        <v>23451000.000001095</v>
      </c>
      <c r="AC10" s="8">
        <f t="shared" si="32"/>
        <v>23.451000000001095</v>
      </c>
      <c r="AD10" s="8">
        <f t="shared" si="32"/>
        <v>71.994570000003364</v>
      </c>
      <c r="AF10" s="8">
        <f t="shared" si="33"/>
        <v>2.1489999999999454E-2</v>
      </c>
    </row>
    <row r="11" spans="1:32" x14ac:dyDescent="0.15">
      <c r="A11" s="27">
        <v>43350</v>
      </c>
      <c r="B11" s="7">
        <f>'[4]Production Summary'!$J74</f>
        <v>16000000</v>
      </c>
      <c r="C11" s="8">
        <f t="shared" si="16"/>
        <v>16</v>
      </c>
      <c r="D11" s="10">
        <f t="shared" si="17"/>
        <v>49.12</v>
      </c>
      <c r="E11" s="7">
        <f>'[4]Production Summary'!$E74</f>
        <v>7000000</v>
      </c>
      <c r="F11" s="8">
        <f t="shared" si="18"/>
        <v>7</v>
      </c>
      <c r="G11" s="10">
        <f t="shared" si="19"/>
        <v>21.49</v>
      </c>
      <c r="H11" s="7">
        <f>'[4]Production Summary'!$G74</f>
        <v>10030000</v>
      </c>
      <c r="I11" s="8">
        <f t="shared" si="20"/>
        <v>10.029999999999999</v>
      </c>
      <c r="J11" s="10">
        <f t="shared" si="21"/>
        <v>30.792099999999998</v>
      </c>
      <c r="K11" s="7">
        <f>'[4]Production Summary'!$T74</f>
        <v>1483946</v>
      </c>
      <c r="L11" s="8">
        <f t="shared" si="22"/>
        <v>1.483946</v>
      </c>
      <c r="M11" s="10">
        <f t="shared" si="23"/>
        <v>4.5557142199999996</v>
      </c>
      <c r="N11" s="21"/>
      <c r="O11" s="7">
        <f>'[4]Production Summary'!$I74</f>
        <v>11730999.999999996</v>
      </c>
      <c r="P11" s="8">
        <f t="shared" si="24"/>
        <v>11.730999999999996</v>
      </c>
      <c r="Q11" s="10">
        <f t="shared" si="25"/>
        <v>36.014169999999986</v>
      </c>
      <c r="R11" s="7">
        <f>'[4]Production Summary'!$C74</f>
        <v>11949000</v>
      </c>
      <c r="S11" s="8">
        <f t="shared" si="26"/>
        <v>11.949</v>
      </c>
      <c r="T11" s="10">
        <f t="shared" si="27"/>
        <v>36.683429999999994</v>
      </c>
      <c r="U11" s="7">
        <f>'[4]Production Summary'!$F74</f>
        <v>0</v>
      </c>
      <c r="V11" s="8">
        <f t="shared" si="28"/>
        <v>0</v>
      </c>
      <c r="W11" s="10">
        <f t="shared" si="29"/>
        <v>0</v>
      </c>
      <c r="X11" s="7">
        <f>'[4]Production Summary'!$AB74</f>
        <v>212000.00000000329</v>
      </c>
      <c r="Y11" s="8">
        <f t="shared" si="30"/>
        <v>0.2120000000000033</v>
      </c>
      <c r="Z11" s="10">
        <f t="shared" si="31"/>
        <v>0.65084000000001008</v>
      </c>
      <c r="AA11" s="15"/>
      <c r="AB11" s="7">
        <f t="shared" si="32"/>
        <v>27730999.999999996</v>
      </c>
      <c r="AC11" s="8">
        <f t="shared" si="32"/>
        <v>27.730999999999995</v>
      </c>
      <c r="AD11" s="8">
        <f t="shared" si="32"/>
        <v>85.134169999999983</v>
      </c>
      <c r="AF11" s="8">
        <f t="shared" si="33"/>
        <v>1.8419999999998327E-2</v>
      </c>
    </row>
    <row r="12" spans="1:32" x14ac:dyDescent="0.15">
      <c r="A12" s="27">
        <v>43351</v>
      </c>
      <c r="B12" s="7">
        <f>'[4]Production Summary'!$J75</f>
        <v>15500000</v>
      </c>
      <c r="C12" s="8">
        <f t="shared" si="16"/>
        <v>15.5</v>
      </c>
      <c r="D12" s="10">
        <f t="shared" si="17"/>
        <v>47.585000000000001</v>
      </c>
      <c r="E12" s="7">
        <f>'[4]Production Summary'!$E75</f>
        <v>7000000</v>
      </c>
      <c r="F12" s="8">
        <f t="shared" si="18"/>
        <v>7</v>
      </c>
      <c r="G12" s="10">
        <f t="shared" si="19"/>
        <v>21.49</v>
      </c>
      <c r="H12" s="7">
        <f>'[4]Production Summary'!$G75</f>
        <v>10220000</v>
      </c>
      <c r="I12" s="8">
        <f t="shared" si="20"/>
        <v>10.220000000000001</v>
      </c>
      <c r="J12" s="10">
        <f t="shared" si="21"/>
        <v>31.375399999999999</v>
      </c>
      <c r="K12" s="7">
        <f>'[4]Production Summary'!$T75</f>
        <v>1574142</v>
      </c>
      <c r="L12" s="8">
        <f t="shared" si="22"/>
        <v>1.5741419999999999</v>
      </c>
      <c r="M12" s="10">
        <f t="shared" si="23"/>
        <v>4.8326159399999993</v>
      </c>
      <c r="N12" s="21"/>
      <c r="O12" s="7">
        <f>'[4]Production Summary'!$I75</f>
        <v>13244000</v>
      </c>
      <c r="P12" s="8">
        <f t="shared" si="24"/>
        <v>13.244</v>
      </c>
      <c r="Q12" s="10">
        <f t="shared" si="25"/>
        <v>40.659079999999996</v>
      </c>
      <c r="R12" s="7">
        <f>'[4]Production Summary'!$C75</f>
        <v>13361000</v>
      </c>
      <c r="S12" s="8">
        <f t="shared" si="26"/>
        <v>13.361000000000001</v>
      </c>
      <c r="T12" s="10">
        <f t="shared" si="27"/>
        <v>41.018270000000001</v>
      </c>
      <c r="U12" s="7">
        <f>'[4]Production Summary'!$F75</f>
        <v>0</v>
      </c>
      <c r="V12" s="8">
        <f t="shared" si="28"/>
        <v>0</v>
      </c>
      <c r="W12" s="10">
        <f t="shared" si="29"/>
        <v>0</v>
      </c>
      <c r="X12" s="7">
        <f>'[4]Production Summary'!$AB75</f>
        <v>112999.99999999955</v>
      </c>
      <c r="Y12" s="8">
        <f t="shared" si="30"/>
        <v>0.11299999999999955</v>
      </c>
      <c r="Z12" s="10">
        <f t="shared" si="31"/>
        <v>0.34690999999999861</v>
      </c>
      <c r="AA12" s="15"/>
      <c r="AB12" s="7">
        <f t="shared" si="32"/>
        <v>28744000</v>
      </c>
      <c r="AC12" s="8">
        <f t="shared" si="32"/>
        <v>28.744</v>
      </c>
      <c r="AD12" s="8">
        <f t="shared" si="32"/>
        <v>88.244079999999997</v>
      </c>
      <c r="AF12" s="8">
        <f t="shared" si="33"/>
        <v>1.2280000000006619E-2</v>
      </c>
    </row>
    <row r="13" spans="1:32" x14ac:dyDescent="0.15">
      <c r="A13" s="27">
        <v>43352</v>
      </c>
      <c r="B13" s="7">
        <f>'[4]Production Summary'!$J76</f>
        <v>19000000</v>
      </c>
      <c r="C13" s="8">
        <f t="shared" si="16"/>
        <v>19</v>
      </c>
      <c r="D13" s="10">
        <f t="shared" si="17"/>
        <v>58.33</v>
      </c>
      <c r="E13" s="7">
        <f>'[4]Production Summary'!$E76</f>
        <v>8000000</v>
      </c>
      <c r="F13" s="8">
        <f t="shared" si="18"/>
        <v>8</v>
      </c>
      <c r="G13" s="10">
        <f t="shared" si="19"/>
        <v>24.56</v>
      </c>
      <c r="H13" s="7">
        <f>'[4]Production Summary'!$G76</f>
        <v>12730000</v>
      </c>
      <c r="I13" s="8">
        <f t="shared" si="20"/>
        <v>12.73</v>
      </c>
      <c r="J13" s="10">
        <f t="shared" si="21"/>
        <v>39.081099999999999</v>
      </c>
      <c r="K13" s="7">
        <f>'[4]Production Summary'!$T76</f>
        <v>2130876</v>
      </c>
      <c r="L13" s="8">
        <f t="shared" si="22"/>
        <v>2.1308760000000002</v>
      </c>
      <c r="M13" s="10">
        <f t="shared" si="23"/>
        <v>6.5417893200000004</v>
      </c>
      <c r="N13" s="21"/>
      <c r="O13" s="7">
        <f>'[4]Production Summary'!$I76</f>
        <v>12155999.999999994</v>
      </c>
      <c r="P13" s="8">
        <f t="shared" si="24"/>
        <v>12.155999999999995</v>
      </c>
      <c r="Q13" s="10">
        <f t="shared" si="25"/>
        <v>37.318919999999984</v>
      </c>
      <c r="R13" s="7">
        <f>'[4]Production Summary'!$C76</f>
        <v>12436000</v>
      </c>
      <c r="S13" s="8">
        <f t="shared" si="26"/>
        <v>12.436</v>
      </c>
      <c r="T13" s="10">
        <f t="shared" si="27"/>
        <v>38.178519999999999</v>
      </c>
      <c r="U13" s="7">
        <f>'[4]Production Summary'!$F76</f>
        <v>0</v>
      </c>
      <c r="V13" s="8">
        <f t="shared" si="28"/>
        <v>0</v>
      </c>
      <c r="W13" s="10">
        <f t="shared" si="29"/>
        <v>0</v>
      </c>
      <c r="X13" s="7">
        <f>'[4]Production Summary'!$AB76</f>
        <v>272000.00000000559</v>
      </c>
      <c r="Y13" s="8">
        <f t="shared" si="30"/>
        <v>0.27200000000000557</v>
      </c>
      <c r="Z13" s="10">
        <f t="shared" si="31"/>
        <v>0.8350400000000171</v>
      </c>
      <c r="AA13" s="15"/>
      <c r="AB13" s="7">
        <f t="shared" si="32"/>
        <v>31155999.999999993</v>
      </c>
      <c r="AC13" s="8">
        <f t="shared" si="32"/>
        <v>31.155999999999995</v>
      </c>
      <c r="AD13" s="8">
        <f t="shared" si="32"/>
        <v>95.648919999999976</v>
      </c>
      <c r="AF13" s="8">
        <f t="shared" si="33"/>
        <v>2.4559999999997473E-2</v>
      </c>
    </row>
    <row r="14" spans="1:32" x14ac:dyDescent="0.15">
      <c r="A14" s="27">
        <v>43353</v>
      </c>
      <c r="B14" s="7">
        <f>'[4]Production Summary'!$J77</f>
        <v>21000000</v>
      </c>
      <c r="C14" s="8">
        <f t="shared" si="16"/>
        <v>21</v>
      </c>
      <c r="D14" s="10">
        <f t="shared" si="17"/>
        <v>64.47</v>
      </c>
      <c r="E14" s="7">
        <f>'[4]Production Summary'!$E77</f>
        <v>9000000</v>
      </c>
      <c r="F14" s="8">
        <f t="shared" si="18"/>
        <v>9</v>
      </c>
      <c r="G14" s="10">
        <f t="shared" si="19"/>
        <v>27.63</v>
      </c>
      <c r="H14" s="7">
        <f>'[4]Production Summary'!$G77</f>
        <v>14010000</v>
      </c>
      <c r="I14" s="8">
        <f t="shared" si="20"/>
        <v>14.01</v>
      </c>
      <c r="J14" s="10">
        <f t="shared" si="21"/>
        <v>43.0107</v>
      </c>
      <c r="K14" s="7">
        <f>'[4]Production Summary'!$T77</f>
        <v>1961807</v>
      </c>
      <c r="L14" s="8">
        <f t="shared" si="22"/>
        <v>1.9618070000000001</v>
      </c>
      <c r="M14" s="10">
        <f t="shared" si="23"/>
        <v>6.0227474899999995</v>
      </c>
      <c r="N14" s="21"/>
      <c r="O14" s="7">
        <f>'[4]Production Summary'!$I77</f>
        <v>11946000.000000011</v>
      </c>
      <c r="P14" s="8">
        <f t="shared" si="24"/>
        <v>11.94600000000001</v>
      </c>
      <c r="Q14" s="10">
        <f t="shared" si="25"/>
        <v>36.674220000000027</v>
      </c>
      <c r="R14" s="7">
        <f>'[4]Production Summary'!$C77</f>
        <v>12158000</v>
      </c>
      <c r="S14" s="8">
        <f t="shared" si="26"/>
        <v>12.157999999999999</v>
      </c>
      <c r="T14" s="10">
        <f t="shared" si="27"/>
        <v>37.325059999999993</v>
      </c>
      <c r="U14" s="7">
        <f>'[4]Production Summary'!$F77</f>
        <v>0</v>
      </c>
      <c r="V14" s="8">
        <f t="shared" si="28"/>
        <v>0</v>
      </c>
      <c r="W14" s="10">
        <f t="shared" si="29"/>
        <v>0</v>
      </c>
      <c r="X14" s="7">
        <f>'[4]Production Summary'!$AB77</f>
        <v>205999.99999998885</v>
      </c>
      <c r="Y14" s="8">
        <f t="shared" si="30"/>
        <v>0.20599999999998886</v>
      </c>
      <c r="Z14" s="10">
        <f t="shared" si="31"/>
        <v>0.63241999999996579</v>
      </c>
      <c r="AA14" s="15"/>
      <c r="AB14" s="7">
        <f t="shared" si="32"/>
        <v>32946000.000000011</v>
      </c>
      <c r="AC14" s="8">
        <f t="shared" si="32"/>
        <v>32.946000000000012</v>
      </c>
      <c r="AD14" s="8">
        <f t="shared" si="32"/>
        <v>101.14422000000002</v>
      </c>
      <c r="AF14" s="8">
        <f t="shared" si="33"/>
        <v>1.8420000000000991E-2</v>
      </c>
    </row>
    <row r="15" spans="1:32" x14ac:dyDescent="0.15">
      <c r="A15" s="27">
        <v>43354</v>
      </c>
      <c r="B15" s="7">
        <f>'[4]Production Summary'!$J78</f>
        <v>21899999.999999635</v>
      </c>
      <c r="C15" s="8">
        <f t="shared" si="16"/>
        <v>21.899999999999636</v>
      </c>
      <c r="D15" s="10">
        <f t="shared" si="17"/>
        <v>67.232999999998881</v>
      </c>
      <c r="E15" s="7">
        <f>'[4]Production Summary'!$E78</f>
        <v>10000000</v>
      </c>
      <c r="F15" s="8">
        <f t="shared" si="18"/>
        <v>10</v>
      </c>
      <c r="G15" s="10">
        <f t="shared" si="19"/>
        <v>30.7</v>
      </c>
      <c r="H15" s="7">
        <f>'[4]Production Summary'!$G78</f>
        <v>14780000</v>
      </c>
      <c r="I15" s="8">
        <f t="shared" si="20"/>
        <v>14.78</v>
      </c>
      <c r="J15" s="10">
        <f t="shared" si="21"/>
        <v>45.374599999999994</v>
      </c>
      <c r="K15" s="7">
        <f>'[4]Production Summary'!$T78</f>
        <v>2364850</v>
      </c>
      <c r="L15" s="8">
        <f t="shared" si="22"/>
        <v>2.3648500000000001</v>
      </c>
      <c r="M15" s="10">
        <f t="shared" si="23"/>
        <v>7.2600895000000003</v>
      </c>
      <c r="N15" s="21"/>
      <c r="O15" s="7">
        <f>'[4]Production Summary'!$I78</f>
        <v>11649999.999999998</v>
      </c>
      <c r="P15" s="8">
        <f t="shared" si="24"/>
        <v>11.649999999999999</v>
      </c>
      <c r="Q15" s="10">
        <f t="shared" si="25"/>
        <v>35.765499999999996</v>
      </c>
      <c r="R15" s="7">
        <f>'[4]Production Summary'!$C78</f>
        <v>11828000</v>
      </c>
      <c r="S15" s="8">
        <f t="shared" si="26"/>
        <v>11.827999999999999</v>
      </c>
      <c r="T15" s="10">
        <f t="shared" si="27"/>
        <v>36.311959999999999</v>
      </c>
      <c r="U15" s="7">
        <f>'[4]Production Summary'!$F78</f>
        <v>0</v>
      </c>
      <c r="V15" s="8">
        <f t="shared" si="28"/>
        <v>0</v>
      </c>
      <c r="W15" s="10">
        <f t="shared" si="29"/>
        <v>0</v>
      </c>
      <c r="X15" s="7">
        <f>'[4]Production Summary'!$AB78</f>
        <v>173000.0000000018</v>
      </c>
      <c r="Y15" s="8">
        <f t="shared" si="30"/>
        <v>0.17300000000000179</v>
      </c>
      <c r="Z15" s="10">
        <f t="shared" si="31"/>
        <v>0.53111000000000552</v>
      </c>
      <c r="AA15" s="15"/>
      <c r="AB15" s="7">
        <f t="shared" si="32"/>
        <v>33549999.999999635</v>
      </c>
      <c r="AC15" s="8">
        <f t="shared" si="32"/>
        <v>33.549999999999635</v>
      </c>
      <c r="AD15" s="8">
        <f t="shared" si="32"/>
        <v>102.99849999999887</v>
      </c>
      <c r="AF15" s="8">
        <f>T15-Q15-Z15</f>
        <v>1.5349999999997754E-2</v>
      </c>
    </row>
    <row r="16" spans="1:32" x14ac:dyDescent="0.15">
      <c r="A16" s="27">
        <v>43355</v>
      </c>
      <c r="B16" s="7">
        <f>'[4]Production Summary'!$J79</f>
        <v>20399999.999999635</v>
      </c>
      <c r="C16" s="8">
        <f t="shared" si="16"/>
        <v>20.399999999999636</v>
      </c>
      <c r="D16" s="10">
        <f t="shared" si="17"/>
        <v>62.627999999998877</v>
      </c>
      <c r="E16" s="7">
        <f>'[4]Production Summary'!$E79</f>
        <v>9000000</v>
      </c>
      <c r="F16" s="8">
        <f t="shared" si="18"/>
        <v>9</v>
      </c>
      <c r="G16" s="10">
        <f t="shared" si="19"/>
        <v>27.63</v>
      </c>
      <c r="H16" s="7">
        <f>'[4]Production Summary'!$G79</f>
        <v>13370000</v>
      </c>
      <c r="I16" s="8">
        <f t="shared" si="20"/>
        <v>13.37</v>
      </c>
      <c r="J16" s="10">
        <f t="shared" si="21"/>
        <v>41.045899999999996</v>
      </c>
      <c r="K16" s="7">
        <f>'[4]Production Summary'!$T79</f>
        <v>2070455</v>
      </c>
      <c r="L16" s="8">
        <f t="shared" si="22"/>
        <v>2.0704549999999999</v>
      </c>
      <c r="M16" s="10">
        <f t="shared" si="23"/>
        <v>6.3562968499999997</v>
      </c>
      <c r="N16" s="21"/>
      <c r="O16" s="7">
        <f>'[4]Production Summary'!$I79</f>
        <v>11889999.999999994</v>
      </c>
      <c r="P16" s="8">
        <f t="shared" si="24"/>
        <v>11.889999999999995</v>
      </c>
      <c r="Q16" s="10">
        <f t="shared" si="25"/>
        <v>36.502299999999984</v>
      </c>
      <c r="R16" s="7">
        <f>'[4]Production Summary'!$C79</f>
        <v>12164000</v>
      </c>
      <c r="S16" s="8">
        <f t="shared" si="26"/>
        <v>12.164</v>
      </c>
      <c r="T16" s="10">
        <f t="shared" si="27"/>
        <v>37.34348</v>
      </c>
      <c r="U16" s="7">
        <f>'[4]Production Summary'!$F79</f>
        <v>0</v>
      </c>
      <c r="V16" s="8">
        <f t="shared" si="28"/>
        <v>0</v>
      </c>
      <c r="W16" s="10">
        <f t="shared" si="29"/>
        <v>0</v>
      </c>
      <c r="X16" s="7">
        <f>'[4]Production Summary'!$AB79</f>
        <v>266000.00000000536</v>
      </c>
      <c r="Y16" s="8">
        <f t="shared" si="30"/>
        <v>0.26600000000000534</v>
      </c>
      <c r="Z16" s="10">
        <f t="shared" si="31"/>
        <v>0.81662000000001633</v>
      </c>
      <c r="AA16" s="15"/>
      <c r="AB16" s="7">
        <f t="shared" si="32"/>
        <v>32289999.999999627</v>
      </c>
      <c r="AC16" s="8">
        <f t="shared" si="32"/>
        <v>32.28999999999963</v>
      </c>
      <c r="AD16" s="8">
        <f t="shared" si="32"/>
        <v>99.130299999998869</v>
      </c>
      <c r="AF16" s="8">
        <f>T16-Q16-Z16</f>
        <v>2.4559999999999249E-2</v>
      </c>
    </row>
    <row r="17" spans="1:32" x14ac:dyDescent="0.15">
      <c r="A17" s="27">
        <v>43356</v>
      </c>
      <c r="B17" s="7">
        <f>'[4]Production Summary'!$J80</f>
        <v>21200000.000000726</v>
      </c>
      <c r="C17" s="8">
        <f t="shared" si="16"/>
        <v>21.200000000000728</v>
      </c>
      <c r="D17" s="10">
        <f t="shared" si="17"/>
        <v>65.084000000002234</v>
      </c>
      <c r="E17" s="7">
        <f>'[4]Production Summary'!$E80</f>
        <v>10000000</v>
      </c>
      <c r="F17" s="8">
        <f t="shared" si="18"/>
        <v>10</v>
      </c>
      <c r="G17" s="10">
        <f t="shared" si="19"/>
        <v>30.7</v>
      </c>
      <c r="H17" s="7">
        <f>'[4]Production Summary'!$G80</f>
        <v>13760000</v>
      </c>
      <c r="I17" s="8">
        <f t="shared" si="20"/>
        <v>13.76</v>
      </c>
      <c r="J17" s="10">
        <f t="shared" si="21"/>
        <v>42.243199999999995</v>
      </c>
      <c r="K17" s="7">
        <f>'[4]Production Summary'!$T80</f>
        <v>2093291</v>
      </c>
      <c r="L17" s="8">
        <f t="shared" si="22"/>
        <v>2.0932909999999998</v>
      </c>
      <c r="M17" s="10">
        <f t="shared" si="23"/>
        <v>6.4264033699999992</v>
      </c>
      <c r="N17" s="21"/>
      <c r="O17" s="7">
        <f>'[4]Production Summary'!$I80</f>
        <v>12009000.000000006</v>
      </c>
      <c r="P17" s="8">
        <f t="shared" si="24"/>
        <v>12.009000000000006</v>
      </c>
      <c r="Q17" s="10">
        <f t="shared" si="25"/>
        <v>36.867630000000013</v>
      </c>
      <c r="R17" s="7">
        <f>'[4]Production Summary'!$C80</f>
        <v>12226000</v>
      </c>
      <c r="S17" s="8">
        <f t="shared" si="26"/>
        <v>12.226000000000001</v>
      </c>
      <c r="T17" s="10">
        <f t="shared" si="27"/>
        <v>37.533819999999999</v>
      </c>
      <c r="U17" s="7">
        <f>'[4]Production Summary'!$F80</f>
        <v>0</v>
      </c>
      <c r="V17" s="8">
        <f t="shared" si="28"/>
        <v>0</v>
      </c>
      <c r="W17" s="10">
        <f t="shared" si="29"/>
        <v>0</v>
      </c>
      <c r="X17" s="7">
        <f>'[4]Production Summary'!$AB80</f>
        <v>209999.99999999374</v>
      </c>
      <c r="Y17" s="8">
        <f t="shared" si="30"/>
        <v>0.20999999999999375</v>
      </c>
      <c r="Z17" s="10">
        <f t="shared" si="31"/>
        <v>0.64469999999998073</v>
      </c>
      <c r="AA17" s="15"/>
      <c r="AB17" s="7">
        <f t="shared" si="32"/>
        <v>33209000.00000073</v>
      </c>
      <c r="AC17" s="8">
        <f t="shared" si="32"/>
        <v>33.209000000000735</v>
      </c>
      <c r="AD17" s="8">
        <f t="shared" si="32"/>
        <v>101.95163000000224</v>
      </c>
      <c r="AF17" s="8">
        <f>T17-Q17-Z17</f>
        <v>2.1490000000005338E-2</v>
      </c>
    </row>
    <row r="18" spans="1:32" x14ac:dyDescent="0.15">
      <c r="A18" s="27">
        <v>43357</v>
      </c>
      <c r="B18" s="7">
        <f>'[4]Production Summary'!$J81</f>
        <v>22100000.000000365</v>
      </c>
      <c r="C18" s="8">
        <f t="shared" si="16"/>
        <v>22.100000000000364</v>
      </c>
      <c r="D18" s="10">
        <f t="shared" si="17"/>
        <v>67.847000000001117</v>
      </c>
      <c r="E18" s="7">
        <f>'[4]Production Summary'!$E81</f>
        <v>10000000</v>
      </c>
      <c r="F18" s="8">
        <f t="shared" si="18"/>
        <v>10</v>
      </c>
      <c r="G18" s="10">
        <f t="shared" si="19"/>
        <v>30.7</v>
      </c>
      <c r="H18" s="7">
        <f>'[4]Production Summary'!$G81</f>
        <v>15160000</v>
      </c>
      <c r="I18" s="8">
        <f t="shared" si="20"/>
        <v>15.16</v>
      </c>
      <c r="J18" s="10">
        <f t="shared" si="21"/>
        <v>46.541199999999996</v>
      </c>
      <c r="K18" s="7">
        <f>'[4]Production Summary'!$T81</f>
        <v>2323022</v>
      </c>
      <c r="L18" s="8">
        <f t="shared" si="22"/>
        <v>2.3230219999999999</v>
      </c>
      <c r="M18" s="10">
        <f t="shared" si="23"/>
        <v>7.1316775399999992</v>
      </c>
      <c r="N18" s="21"/>
      <c r="O18" s="7">
        <f>'[4]Production Summary'!$I81</f>
        <v>12586999.999999996</v>
      </c>
      <c r="P18" s="8">
        <f t="shared" si="24"/>
        <v>12.586999999999996</v>
      </c>
      <c r="Q18" s="10">
        <f t="shared" si="25"/>
        <v>38.642089999999989</v>
      </c>
      <c r="R18" s="7">
        <f>'[4]Production Summary'!$C81</f>
        <v>12704000</v>
      </c>
      <c r="S18" s="8">
        <f t="shared" si="26"/>
        <v>12.704000000000001</v>
      </c>
      <c r="T18" s="10">
        <f t="shared" si="27"/>
        <v>39.001280000000001</v>
      </c>
      <c r="U18" s="7">
        <f>'[4]Production Summary'!$F81</f>
        <v>0</v>
      </c>
      <c r="V18" s="8">
        <f t="shared" si="28"/>
        <v>0</v>
      </c>
      <c r="W18" s="10">
        <f t="shared" si="29"/>
        <v>0</v>
      </c>
      <c r="X18" s="7">
        <f>'[4]Production Summary'!$AB81</f>
        <v>114000.00000000432</v>
      </c>
      <c r="Y18" s="8">
        <f t="shared" si="30"/>
        <v>0.11400000000000432</v>
      </c>
      <c r="Z18" s="10">
        <f t="shared" si="31"/>
        <v>0.34998000000001322</v>
      </c>
      <c r="AA18" s="15"/>
      <c r="AB18" s="7">
        <f t="shared" si="32"/>
        <v>34687000.000000358</v>
      </c>
      <c r="AC18" s="8">
        <f t="shared" si="32"/>
        <v>34.68700000000036</v>
      </c>
      <c r="AD18" s="8">
        <f t="shared" si="32"/>
        <v>106.48909000000111</v>
      </c>
      <c r="AF18" s="8">
        <f>T18-Q18-Z18</f>
        <v>9.2099999999991078E-3</v>
      </c>
    </row>
    <row r="19" spans="1:32" x14ac:dyDescent="0.15">
      <c r="A19" s="27">
        <v>43358</v>
      </c>
      <c r="B19" s="7">
        <f>'[4]Production Summary'!$J82</f>
        <v>21299999.999999274</v>
      </c>
      <c r="C19" s="8">
        <f t="shared" si="16"/>
        <v>21.299999999999272</v>
      </c>
      <c r="D19" s="10">
        <f t="shared" si="17"/>
        <v>65.39099999999776</v>
      </c>
      <c r="E19" s="7">
        <f>'[4]Production Summary'!$E82</f>
        <v>10000000</v>
      </c>
      <c r="F19" s="8">
        <f t="shared" si="18"/>
        <v>10</v>
      </c>
      <c r="G19" s="10">
        <f t="shared" si="19"/>
        <v>30.7</v>
      </c>
      <c r="H19" s="7">
        <f>'[4]Production Summary'!$G82</f>
        <v>14000000</v>
      </c>
      <c r="I19" s="8">
        <f t="shared" si="20"/>
        <v>14</v>
      </c>
      <c r="J19" s="10">
        <f t="shared" si="21"/>
        <v>42.98</v>
      </c>
      <c r="K19" s="7">
        <f>'[4]Production Summary'!$T82</f>
        <v>2452801</v>
      </c>
      <c r="L19" s="8">
        <f t="shared" si="22"/>
        <v>2.452801</v>
      </c>
      <c r="M19" s="10">
        <f t="shared" si="23"/>
        <v>7.5300990699999995</v>
      </c>
      <c r="N19" s="21"/>
      <c r="O19" s="7">
        <f>'[4]Production Summary'!$I82</f>
        <v>12230999.999999994</v>
      </c>
      <c r="P19" s="8">
        <f t="shared" si="24"/>
        <v>12.230999999999995</v>
      </c>
      <c r="Q19" s="10">
        <f t="shared" si="25"/>
        <v>37.549169999999982</v>
      </c>
      <c r="R19" s="7">
        <f>'[4]Production Summary'!$C82</f>
        <v>12511000</v>
      </c>
      <c r="S19" s="8">
        <f t="shared" si="26"/>
        <v>12.510999999999999</v>
      </c>
      <c r="T19" s="10">
        <f t="shared" si="27"/>
        <v>38.408769999999997</v>
      </c>
      <c r="U19" s="7">
        <f>'[4]Production Summary'!$F82</f>
        <v>0</v>
      </c>
      <c r="V19" s="8">
        <f t="shared" si="28"/>
        <v>0</v>
      </c>
      <c r="W19" s="10">
        <f t="shared" si="29"/>
        <v>0</v>
      </c>
      <c r="X19" s="7">
        <f>'[4]Production Summary'!$AB82</f>
        <v>272000.00000000559</v>
      </c>
      <c r="Y19" s="8">
        <f t="shared" si="30"/>
        <v>0.27200000000000557</v>
      </c>
      <c r="Z19" s="10">
        <f t="shared" si="31"/>
        <v>0.8350400000000171</v>
      </c>
      <c r="AA19" s="15"/>
      <c r="AB19" s="7">
        <f t="shared" si="32"/>
        <v>33530999.99999927</v>
      </c>
      <c r="AC19" s="8">
        <f t="shared" si="32"/>
        <v>33.530999999999267</v>
      </c>
      <c r="AD19" s="8">
        <f>D19+Q19</f>
        <v>102.94016999999775</v>
      </c>
      <c r="AF19" s="8">
        <f>T19-Q19-Z19</f>
        <v>2.4559999999997473E-2</v>
      </c>
    </row>
    <row r="20" spans="1:32" x14ac:dyDescent="0.15">
      <c r="A20" s="27">
        <v>43359</v>
      </c>
      <c r="B20" s="7">
        <f>'[4]Production Summary'!$J83</f>
        <v>22100000.000000365</v>
      </c>
      <c r="C20" s="8">
        <f t="shared" si="16"/>
        <v>22.100000000000364</v>
      </c>
      <c r="D20" s="10">
        <f t="shared" si="17"/>
        <v>67.847000000001117</v>
      </c>
      <c r="E20" s="7">
        <f>'[4]Production Summary'!$E83</f>
        <v>10000000</v>
      </c>
      <c r="F20" s="8">
        <f t="shared" si="18"/>
        <v>10</v>
      </c>
      <c r="G20" s="10">
        <f t="shared" si="19"/>
        <v>30.7</v>
      </c>
      <c r="H20" s="7">
        <f>'[4]Production Summary'!$G83</f>
        <v>15020000</v>
      </c>
      <c r="I20" s="8">
        <f t="shared" si="20"/>
        <v>15.02</v>
      </c>
      <c r="J20" s="10">
        <f t="shared" si="21"/>
        <v>46.111399999999996</v>
      </c>
      <c r="K20" s="7">
        <f>'[4]Production Summary'!$T83</f>
        <v>2474278</v>
      </c>
      <c r="L20" s="8">
        <f t="shared" si="22"/>
        <v>2.474278</v>
      </c>
      <c r="M20" s="10">
        <f t="shared" si="23"/>
        <v>7.5960334599999992</v>
      </c>
      <c r="N20" s="21"/>
      <c r="O20" s="7">
        <f>'[4]Production Summary'!$I83</f>
        <v>12245000.000000009</v>
      </c>
      <c r="P20" s="8">
        <f t="shared" si="24"/>
        <v>12.24500000000001</v>
      </c>
      <c r="Q20" s="10">
        <f t="shared" si="25"/>
        <v>37.592150000000025</v>
      </c>
      <c r="R20" s="7">
        <f>'[4]Production Summary'!$C83</f>
        <v>12519000</v>
      </c>
      <c r="S20" s="8">
        <f t="shared" si="26"/>
        <v>12.519</v>
      </c>
      <c r="T20" s="10">
        <f t="shared" si="27"/>
        <v>38.433329999999998</v>
      </c>
      <c r="U20" s="7">
        <f>'[4]Production Summary'!$F83</f>
        <v>0</v>
      </c>
      <c r="V20" s="8">
        <f t="shared" si="28"/>
        <v>0</v>
      </c>
      <c r="W20" s="10">
        <f t="shared" si="29"/>
        <v>0</v>
      </c>
      <c r="X20" s="7">
        <f>'[4]Production Summary'!$AB83</f>
        <v>265999.99999999115</v>
      </c>
      <c r="Y20" s="8">
        <f t="shared" si="30"/>
        <v>0.26599999999999113</v>
      </c>
      <c r="Z20" s="10">
        <f t="shared" si="31"/>
        <v>0.8166199999999727</v>
      </c>
      <c r="AA20" s="15"/>
      <c r="AB20" s="7">
        <f t="shared" si="32"/>
        <v>34345000.000000373</v>
      </c>
      <c r="AC20" s="8">
        <f t="shared" si="32"/>
        <v>34.345000000000375</v>
      </c>
      <c r="AD20" s="8">
        <f t="shared" si="32"/>
        <v>105.43915000000115</v>
      </c>
      <c r="AF20" s="8">
        <f t="shared" ref="AF20:AF35" si="34">T20-Q20-Z20</f>
        <v>2.4560000000000248E-2</v>
      </c>
    </row>
    <row r="21" spans="1:32" x14ac:dyDescent="0.15">
      <c r="A21" s="27">
        <v>43360</v>
      </c>
      <c r="B21" s="7">
        <f>'[4]Production Summary'!$J84</f>
        <v>22299999.999999274</v>
      </c>
      <c r="C21" s="8">
        <f t="shared" si="16"/>
        <v>22.299999999999272</v>
      </c>
      <c r="D21" s="10">
        <f t="shared" si="17"/>
        <v>68.460999999997767</v>
      </c>
      <c r="E21" s="7">
        <f>'[4]Production Summary'!$E84</f>
        <v>10000000</v>
      </c>
      <c r="F21" s="8">
        <f t="shared" si="18"/>
        <v>10</v>
      </c>
      <c r="G21" s="10">
        <f t="shared" si="19"/>
        <v>30.7</v>
      </c>
      <c r="H21" s="7">
        <f>'[4]Production Summary'!$G84</f>
        <v>15030000</v>
      </c>
      <c r="I21" s="8">
        <f t="shared" si="20"/>
        <v>15.03</v>
      </c>
      <c r="J21" s="10">
        <f t="shared" si="21"/>
        <v>46.142099999999992</v>
      </c>
      <c r="K21" s="7">
        <f>'[4]Production Summary'!$T84</f>
        <v>2163927</v>
      </c>
      <c r="L21" s="8">
        <f t="shared" si="22"/>
        <v>2.1639270000000002</v>
      </c>
      <c r="M21" s="10">
        <f t="shared" si="23"/>
        <v>6.6432558899999998</v>
      </c>
      <c r="N21" s="21"/>
      <c r="O21" s="7">
        <f>'[4]Production Summary'!$I84</f>
        <v>12519999.999999996</v>
      </c>
      <c r="P21" s="8">
        <f t="shared" si="24"/>
        <v>12.519999999999996</v>
      </c>
      <c r="Q21" s="10">
        <f t="shared" si="25"/>
        <v>38.436399999999985</v>
      </c>
      <c r="R21" s="7">
        <f>'[4]Production Summary'!$C84</f>
        <v>12749000</v>
      </c>
      <c r="S21" s="8">
        <f t="shared" si="26"/>
        <v>12.749000000000001</v>
      </c>
      <c r="T21" s="10">
        <f t="shared" si="27"/>
        <v>39.139429999999997</v>
      </c>
      <c r="U21" s="7">
        <f>'[4]Production Summary'!$F84</f>
        <v>0</v>
      </c>
      <c r="V21" s="8">
        <f t="shared" si="28"/>
        <v>0</v>
      </c>
      <c r="W21" s="10">
        <f t="shared" si="29"/>
        <v>0</v>
      </c>
      <c r="X21" s="7">
        <f>'[4]Production Summary'!$AB84</f>
        <v>221000.00000000364</v>
      </c>
      <c r="Y21" s="8">
        <f t="shared" si="30"/>
        <v>0.22100000000000364</v>
      </c>
      <c r="Z21" s="10">
        <f t="shared" si="31"/>
        <v>0.67847000000001112</v>
      </c>
      <c r="AA21" s="15"/>
      <c r="AB21" s="7">
        <f t="shared" si="32"/>
        <v>34819999.99999927</v>
      </c>
      <c r="AC21" s="8">
        <f t="shared" si="32"/>
        <v>34.819999999999268</v>
      </c>
      <c r="AD21" s="8">
        <f t="shared" si="32"/>
        <v>106.89739999999776</v>
      </c>
      <c r="AF21" s="8">
        <f t="shared" si="34"/>
        <v>2.4560000000001359E-2</v>
      </c>
    </row>
    <row r="22" spans="1:32" x14ac:dyDescent="0.15">
      <c r="A22" s="27">
        <v>43361</v>
      </c>
      <c r="B22" s="7">
        <f>'[4]Production Summary'!$J85</f>
        <v>21399999.999999635</v>
      </c>
      <c r="C22" s="8">
        <f t="shared" si="16"/>
        <v>21.399999999999636</v>
      </c>
      <c r="D22" s="10">
        <f t="shared" si="17"/>
        <v>65.697999999998885</v>
      </c>
      <c r="E22" s="7">
        <f>'[4]Production Summary'!$E85</f>
        <v>10000000</v>
      </c>
      <c r="F22" s="8">
        <f t="shared" si="18"/>
        <v>10</v>
      </c>
      <c r="G22" s="10">
        <f t="shared" si="19"/>
        <v>30.7</v>
      </c>
      <c r="H22" s="7">
        <f>'[4]Production Summary'!$G85</f>
        <v>13910000</v>
      </c>
      <c r="I22" s="8">
        <f t="shared" si="20"/>
        <v>13.91</v>
      </c>
      <c r="J22" s="10">
        <f t="shared" si="21"/>
        <v>42.703699999999998</v>
      </c>
      <c r="K22" s="7">
        <f>'[4]Production Summary'!$T85</f>
        <v>2085927</v>
      </c>
      <c r="L22" s="8">
        <f t="shared" si="22"/>
        <v>2.0859269999999999</v>
      </c>
      <c r="M22" s="10">
        <f t="shared" si="23"/>
        <v>6.4037958899999996</v>
      </c>
      <c r="N22" s="21"/>
      <c r="O22" s="7">
        <f>'[4]Production Summary'!$I85</f>
        <v>12118000.000000004</v>
      </c>
      <c r="P22" s="8">
        <f t="shared" si="24"/>
        <v>12.118000000000004</v>
      </c>
      <c r="Q22" s="10">
        <f t="shared" si="25"/>
        <v>37.20226000000001</v>
      </c>
      <c r="R22" s="7">
        <f>'[4]Production Summary'!$C85</f>
        <v>12287000</v>
      </c>
      <c r="S22" s="8">
        <f t="shared" si="26"/>
        <v>12.287000000000001</v>
      </c>
      <c r="T22" s="10">
        <f t="shared" si="27"/>
        <v>37.721090000000004</v>
      </c>
      <c r="U22" s="7">
        <f>'[4]Production Summary'!$F85</f>
        <v>0</v>
      </c>
      <c r="V22" s="8">
        <f t="shared" si="28"/>
        <v>0</v>
      </c>
      <c r="W22" s="10">
        <f t="shared" si="29"/>
        <v>0</v>
      </c>
      <c r="X22" s="7">
        <f>'[4]Production Summary'!$AB85</f>
        <v>165999.99999999683</v>
      </c>
      <c r="Y22" s="8">
        <f t="shared" si="30"/>
        <v>0.16599999999999682</v>
      </c>
      <c r="Z22" s="10">
        <f t="shared" si="31"/>
        <v>0.50961999999999019</v>
      </c>
      <c r="AA22" s="15"/>
      <c r="AB22" s="7">
        <f t="shared" si="32"/>
        <v>33517999.999999639</v>
      </c>
      <c r="AC22" s="8">
        <f t="shared" si="32"/>
        <v>33.517999999999638</v>
      </c>
      <c r="AD22" s="8">
        <f t="shared" si="32"/>
        <v>102.90025999999889</v>
      </c>
      <c r="AF22" s="8">
        <f t="shared" si="34"/>
        <v>9.2100000000039373E-3</v>
      </c>
    </row>
    <row r="23" spans="1:32" x14ac:dyDescent="0.15">
      <c r="A23" s="27">
        <v>43362</v>
      </c>
      <c r="B23" s="7">
        <f>'[4]Production Summary'!$J86</f>
        <v>20700000.000000726</v>
      </c>
      <c r="C23" s="8">
        <f t="shared" si="16"/>
        <v>20.700000000000728</v>
      </c>
      <c r="D23" s="10">
        <f t="shared" si="17"/>
        <v>63.549000000002231</v>
      </c>
      <c r="E23" s="7">
        <f>'[4]Production Summary'!$E86</f>
        <v>9000000</v>
      </c>
      <c r="F23" s="8">
        <f t="shared" si="18"/>
        <v>9</v>
      </c>
      <c r="G23" s="10">
        <f t="shared" si="19"/>
        <v>27.63</v>
      </c>
      <c r="H23" s="7">
        <f>'[4]Production Summary'!$G86</f>
        <v>13380000</v>
      </c>
      <c r="I23" s="8">
        <f t="shared" si="20"/>
        <v>13.38</v>
      </c>
      <c r="J23" s="10">
        <f t="shared" si="21"/>
        <v>41.076599999999999</v>
      </c>
      <c r="K23" s="7">
        <f>'[4]Production Summary'!$T86</f>
        <v>2124259</v>
      </c>
      <c r="L23" s="8">
        <f t="shared" si="22"/>
        <v>2.1242589999999999</v>
      </c>
      <c r="M23" s="10">
        <f t="shared" si="23"/>
        <v>6.5214751299999998</v>
      </c>
      <c r="N23" s="21"/>
      <c r="O23" s="7">
        <f>'[4]Production Summary'!$I86</f>
        <v>12263000.000000002</v>
      </c>
      <c r="P23" s="8">
        <f t="shared" si="24"/>
        <v>12.263000000000002</v>
      </c>
      <c r="Q23" s="10">
        <f t="shared" si="25"/>
        <v>37.647410000000001</v>
      </c>
      <c r="R23" s="7">
        <f>'[4]Production Summary'!$C86</f>
        <v>12478000</v>
      </c>
      <c r="S23" s="8">
        <f t="shared" si="26"/>
        <v>12.478</v>
      </c>
      <c r="T23" s="10">
        <f t="shared" si="27"/>
        <v>38.307459999999999</v>
      </c>
      <c r="U23" s="7">
        <f>'[4]Production Summary'!$F86</f>
        <v>0</v>
      </c>
      <c r="V23" s="8">
        <f t="shared" si="28"/>
        <v>0</v>
      </c>
      <c r="W23" s="10">
        <f t="shared" si="29"/>
        <v>0</v>
      </c>
      <c r="X23" s="7">
        <f>'[4]Production Summary'!$AB86</f>
        <v>207999.9999999984</v>
      </c>
      <c r="Y23" s="8">
        <f t="shared" si="30"/>
        <v>0.20799999999999841</v>
      </c>
      <c r="Z23" s="10">
        <f t="shared" si="31"/>
        <v>0.63855999999999513</v>
      </c>
      <c r="AA23" s="15"/>
      <c r="AB23" s="7">
        <f t="shared" si="32"/>
        <v>32963000.00000073</v>
      </c>
      <c r="AC23" s="8">
        <f t="shared" si="32"/>
        <v>32.963000000000733</v>
      </c>
      <c r="AD23" s="8">
        <f t="shared" si="32"/>
        <v>101.19641000000223</v>
      </c>
      <c r="AF23" s="8">
        <f t="shared" si="34"/>
        <v>2.1490000000003118E-2</v>
      </c>
    </row>
    <row r="24" spans="1:32" x14ac:dyDescent="0.15">
      <c r="A24" s="27">
        <v>43363</v>
      </c>
      <c r="B24" s="7">
        <f>'[4]Production Summary'!$J87</f>
        <v>15000000</v>
      </c>
      <c r="C24" s="8">
        <f t="shared" si="16"/>
        <v>15</v>
      </c>
      <c r="D24" s="10">
        <f t="shared" si="17"/>
        <v>46.05</v>
      </c>
      <c r="E24" s="7">
        <f>'[4]Production Summary'!$E87</f>
        <v>6000000</v>
      </c>
      <c r="F24" s="8">
        <f t="shared" si="18"/>
        <v>6</v>
      </c>
      <c r="G24" s="10">
        <f t="shared" si="19"/>
        <v>18.419999999999998</v>
      </c>
      <c r="H24" s="7">
        <f>'[4]Production Summary'!$G87</f>
        <v>10430000</v>
      </c>
      <c r="I24" s="8">
        <f t="shared" si="20"/>
        <v>10.43</v>
      </c>
      <c r="J24" s="10">
        <f t="shared" si="21"/>
        <v>32.020099999999999</v>
      </c>
      <c r="K24" s="7">
        <f>'[4]Production Summary'!$T87</f>
        <v>1561464</v>
      </c>
      <c r="L24" s="8">
        <f t="shared" si="22"/>
        <v>1.561464</v>
      </c>
      <c r="M24" s="10">
        <f t="shared" si="23"/>
        <v>4.7936944799999992</v>
      </c>
      <c r="N24" s="21"/>
      <c r="O24" s="7">
        <f>'[4]Production Summary'!$I87</f>
        <v>10018999.999999998</v>
      </c>
      <c r="P24" s="8">
        <f t="shared" si="24"/>
        <v>10.018999999999998</v>
      </c>
      <c r="Q24" s="10">
        <f t="shared" si="25"/>
        <v>30.758329999999994</v>
      </c>
      <c r="R24" s="7">
        <f>'[4]Production Summary'!$C87</f>
        <v>10304000</v>
      </c>
      <c r="S24" s="8">
        <f t="shared" si="26"/>
        <v>10.304</v>
      </c>
      <c r="T24" s="10">
        <f t="shared" si="27"/>
        <v>31.633279999999999</v>
      </c>
      <c r="U24" s="7">
        <f>'[4]Production Summary'!$F87</f>
        <v>0</v>
      </c>
      <c r="V24" s="8">
        <f t="shared" si="28"/>
        <v>0</v>
      </c>
      <c r="W24" s="10">
        <f t="shared" si="29"/>
        <v>0</v>
      </c>
      <c r="X24" s="7">
        <f>'[4]Production Summary'!$AB87</f>
        <v>277000.00000000105</v>
      </c>
      <c r="Y24" s="8">
        <f t="shared" si="30"/>
        <v>0.27700000000000102</v>
      </c>
      <c r="Z24" s="10">
        <f t="shared" si="31"/>
        <v>0.85039000000000309</v>
      </c>
      <c r="AA24" s="15"/>
      <c r="AB24" s="7">
        <f t="shared" si="32"/>
        <v>25019000</v>
      </c>
      <c r="AC24" s="8">
        <f t="shared" si="32"/>
        <v>25.018999999999998</v>
      </c>
      <c r="AD24" s="8">
        <f>D24+Q24</f>
        <v>76.808329999999984</v>
      </c>
      <c r="AF24" s="8">
        <f t="shared" si="34"/>
        <v>2.4560000000002358E-2</v>
      </c>
    </row>
    <row r="25" spans="1:32" x14ac:dyDescent="0.15">
      <c r="A25" s="27">
        <v>43364</v>
      </c>
      <c r="B25" s="7">
        <f>'[4]Production Summary'!$J88</f>
        <v>20200000.000000726</v>
      </c>
      <c r="C25" s="8">
        <f t="shared" si="16"/>
        <v>20.200000000000728</v>
      </c>
      <c r="D25" s="10">
        <f t="shared" si="17"/>
        <v>62.014000000002234</v>
      </c>
      <c r="E25" s="7">
        <f>'[4]Production Summary'!$E88</f>
        <v>9000000</v>
      </c>
      <c r="F25" s="8">
        <f t="shared" si="18"/>
        <v>9</v>
      </c>
      <c r="G25" s="10">
        <f t="shared" si="19"/>
        <v>27.63</v>
      </c>
      <c r="H25" s="7">
        <f>'[4]Production Summary'!$G88</f>
        <v>13610000</v>
      </c>
      <c r="I25" s="8">
        <f t="shared" si="20"/>
        <v>13.61</v>
      </c>
      <c r="J25" s="10">
        <f t="shared" si="21"/>
        <v>41.782699999999998</v>
      </c>
      <c r="K25" s="7">
        <f>'[4]Production Summary'!$T88</f>
        <v>1955302</v>
      </c>
      <c r="L25" s="8">
        <f t="shared" si="22"/>
        <v>1.9553020000000001</v>
      </c>
      <c r="M25" s="10">
        <f t="shared" si="23"/>
        <v>6.0027771400000001</v>
      </c>
      <c r="N25" s="21"/>
      <c r="O25" s="7">
        <f>'[4]Production Summary'!$I88</f>
        <v>10909999.999999991</v>
      </c>
      <c r="P25" s="8">
        <f t="shared" si="24"/>
        <v>10.909999999999991</v>
      </c>
      <c r="Q25" s="10">
        <f t="shared" si="25"/>
        <v>33.493699999999968</v>
      </c>
      <c r="R25" s="7">
        <f>'[4]Production Summary'!$C88</f>
        <v>11019000</v>
      </c>
      <c r="S25" s="8">
        <f t="shared" si="26"/>
        <v>11.019</v>
      </c>
      <c r="T25" s="10">
        <f t="shared" si="27"/>
        <v>33.828330000000001</v>
      </c>
      <c r="U25" s="7">
        <f>'[4]Production Summary'!$F88</f>
        <v>0</v>
      </c>
      <c r="V25" s="8">
        <f t="shared" si="28"/>
        <v>0</v>
      </c>
      <c r="W25" s="10">
        <f t="shared" si="29"/>
        <v>0</v>
      </c>
      <c r="X25" s="7">
        <f>'[4]Production Summary'!$AB88</f>
        <v>106000.00000000876</v>
      </c>
      <c r="Y25" s="8">
        <f t="shared" si="30"/>
        <v>0.10600000000000875</v>
      </c>
      <c r="Z25" s="10">
        <f t="shared" si="31"/>
        <v>0.32542000000002685</v>
      </c>
      <c r="AA25" s="15"/>
      <c r="AB25" s="7">
        <f t="shared" si="32"/>
        <v>31110000.000000715</v>
      </c>
      <c r="AC25" s="8">
        <f t="shared" si="32"/>
        <v>31.110000000000717</v>
      </c>
      <c r="AD25" s="8">
        <f t="shared" si="32"/>
        <v>95.507700000002203</v>
      </c>
      <c r="AF25" s="8">
        <f t="shared" si="34"/>
        <v>9.2100000000057691E-3</v>
      </c>
    </row>
    <row r="26" spans="1:32" x14ac:dyDescent="0.15">
      <c r="A26" s="27">
        <v>43365</v>
      </c>
      <c r="B26" s="7">
        <f>'[4]Production Summary'!$J89</f>
        <v>19000000</v>
      </c>
      <c r="C26" s="8">
        <f t="shared" si="16"/>
        <v>19</v>
      </c>
      <c r="D26" s="10">
        <f t="shared" si="17"/>
        <v>58.33</v>
      </c>
      <c r="E26" s="7">
        <f>'[4]Production Summary'!$E89</f>
        <v>9000000</v>
      </c>
      <c r="F26" s="8">
        <f t="shared" si="18"/>
        <v>9</v>
      </c>
      <c r="G26" s="10">
        <f t="shared" si="19"/>
        <v>27.63</v>
      </c>
      <c r="H26" s="7">
        <f>'[4]Production Summary'!$G89</f>
        <v>13220000</v>
      </c>
      <c r="I26" s="8">
        <f t="shared" si="20"/>
        <v>13.22</v>
      </c>
      <c r="J26" s="10">
        <f t="shared" si="21"/>
        <v>40.5854</v>
      </c>
      <c r="K26" s="7">
        <f>'[4]Production Summary'!$T89</f>
        <v>2208848</v>
      </c>
      <c r="L26" s="8">
        <f t="shared" si="22"/>
        <v>2.2088480000000001</v>
      </c>
      <c r="M26" s="10">
        <f t="shared" si="23"/>
        <v>6.7811633599999999</v>
      </c>
      <c r="N26" s="21"/>
      <c r="O26" s="7">
        <f>'[4]Production Summary'!$I89</f>
        <v>9285000.0000000037</v>
      </c>
      <c r="P26" s="8">
        <f t="shared" si="24"/>
        <v>9.2850000000000037</v>
      </c>
      <c r="Q26" s="10">
        <f t="shared" si="25"/>
        <v>28.504950000000012</v>
      </c>
      <c r="R26" s="7">
        <f>'[4]Production Summary'!$C89</f>
        <v>9560000</v>
      </c>
      <c r="S26" s="8">
        <f t="shared" si="26"/>
        <v>9.56</v>
      </c>
      <c r="T26" s="10">
        <f t="shared" si="27"/>
        <v>29.3492</v>
      </c>
      <c r="U26" s="7">
        <f>'[4]Production Summary'!$F89</f>
        <v>0</v>
      </c>
      <c r="V26" s="8">
        <f t="shared" si="28"/>
        <v>0</v>
      </c>
      <c r="W26" s="10">
        <f t="shared" si="29"/>
        <v>0</v>
      </c>
      <c r="X26" s="7">
        <f>'[4]Production Summary'!$AB89</f>
        <v>266999.99999999593</v>
      </c>
      <c r="Y26" s="8">
        <f t="shared" si="30"/>
        <v>0.26699999999999591</v>
      </c>
      <c r="Z26" s="10">
        <f t="shared" si="31"/>
        <v>0.81968999999998737</v>
      </c>
      <c r="AA26" s="15"/>
      <c r="AB26" s="7">
        <f t="shared" si="32"/>
        <v>28285000.000000004</v>
      </c>
      <c r="AC26" s="8">
        <f t="shared" si="32"/>
        <v>28.285000000000004</v>
      </c>
      <c r="AD26" s="8">
        <f t="shared" si="32"/>
        <v>86.834950000000006</v>
      </c>
      <c r="AF26" s="8">
        <f t="shared" si="34"/>
        <v>2.4560000000000803E-2</v>
      </c>
    </row>
    <row r="27" spans="1:32" x14ac:dyDescent="0.15">
      <c r="A27" s="27">
        <v>43366</v>
      </c>
      <c r="B27" s="7">
        <f>'[4]Production Summary'!$J90</f>
        <v>23000000</v>
      </c>
      <c r="C27" s="8">
        <f t="shared" si="16"/>
        <v>23</v>
      </c>
      <c r="D27" s="10">
        <f t="shared" si="17"/>
        <v>70.61</v>
      </c>
      <c r="E27" s="7">
        <f>'[4]Production Summary'!$E90</f>
        <v>10000000</v>
      </c>
      <c r="F27" s="8">
        <f t="shared" si="18"/>
        <v>10</v>
      </c>
      <c r="G27" s="10">
        <f t="shared" si="19"/>
        <v>30.7</v>
      </c>
      <c r="H27" s="7">
        <f>'[4]Production Summary'!$G90</f>
        <v>15800000</v>
      </c>
      <c r="I27" s="8">
        <f t="shared" si="20"/>
        <v>15.8</v>
      </c>
      <c r="J27" s="10">
        <f t="shared" si="21"/>
        <v>48.506</v>
      </c>
      <c r="K27" s="7">
        <f>'[4]Production Summary'!$T90</f>
        <v>2253798</v>
      </c>
      <c r="L27" s="8">
        <f t="shared" si="22"/>
        <v>2.2537980000000002</v>
      </c>
      <c r="M27" s="10">
        <f t="shared" si="23"/>
        <v>6.9191598600000006</v>
      </c>
      <c r="N27" s="21"/>
      <c r="O27" s="7">
        <f>'[4]Production Summary'!$I90</f>
        <v>9845999.9999999963</v>
      </c>
      <c r="P27" s="8">
        <f t="shared" si="24"/>
        <v>9.8459999999999965</v>
      </c>
      <c r="Q27" s="10">
        <f t="shared" si="25"/>
        <v>30.227219999999988</v>
      </c>
      <c r="R27" s="7">
        <f>'[4]Production Summary'!$C90</f>
        <v>9969000</v>
      </c>
      <c r="S27" s="8">
        <f t="shared" si="26"/>
        <v>9.9689999999999994</v>
      </c>
      <c r="T27" s="10">
        <f t="shared" si="27"/>
        <v>30.604829999999996</v>
      </c>
      <c r="U27" s="7">
        <f>'[4]Production Summary'!$F90</f>
        <v>0</v>
      </c>
      <c r="V27" s="8">
        <f t="shared" si="28"/>
        <v>0</v>
      </c>
      <c r="W27" s="10">
        <f t="shared" si="29"/>
        <v>0</v>
      </c>
      <c r="X27" s="7">
        <f>'[4]Production Summary'!$AB90</f>
        <v>120000.00000000454</v>
      </c>
      <c r="Y27" s="8">
        <f t="shared" si="30"/>
        <v>0.12000000000000453</v>
      </c>
      <c r="Z27" s="10">
        <f t="shared" si="31"/>
        <v>0.36840000000001388</v>
      </c>
      <c r="AA27" s="15"/>
      <c r="AB27" s="7">
        <f t="shared" si="32"/>
        <v>32845999.999999996</v>
      </c>
      <c r="AC27" s="8">
        <f t="shared" si="32"/>
        <v>32.845999999999997</v>
      </c>
      <c r="AD27" s="8">
        <f t="shared" si="32"/>
        <v>100.83721999999999</v>
      </c>
      <c r="AF27" s="8">
        <f t="shared" si="34"/>
        <v>9.2099999999938897E-3</v>
      </c>
    </row>
    <row r="28" spans="1:32" x14ac:dyDescent="0.15">
      <c r="A28" s="27">
        <v>43367</v>
      </c>
      <c r="B28" s="7">
        <f>'[4]Production Summary'!$J91</f>
        <v>21500000</v>
      </c>
      <c r="C28" s="8">
        <f t="shared" si="16"/>
        <v>21.5</v>
      </c>
      <c r="D28" s="10">
        <f t="shared" si="17"/>
        <v>66.004999999999995</v>
      </c>
      <c r="E28" s="7">
        <f>'[4]Production Summary'!$E91</f>
        <v>9000000</v>
      </c>
      <c r="F28" s="8">
        <f t="shared" si="18"/>
        <v>9</v>
      </c>
      <c r="G28" s="10">
        <f t="shared" si="19"/>
        <v>27.63</v>
      </c>
      <c r="H28" s="7">
        <f>'[4]Production Summary'!$G91</f>
        <v>15200000</v>
      </c>
      <c r="I28" s="8">
        <f t="shared" si="20"/>
        <v>15.2</v>
      </c>
      <c r="J28" s="10">
        <f t="shared" si="21"/>
        <v>46.663999999999994</v>
      </c>
      <c r="K28" s="7">
        <f>'[4]Production Summary'!$T91</f>
        <v>2344147</v>
      </c>
      <c r="L28" s="8">
        <f t="shared" si="22"/>
        <v>2.344147</v>
      </c>
      <c r="M28" s="10">
        <f t="shared" si="23"/>
        <v>7.1965312899999994</v>
      </c>
      <c r="N28" s="21"/>
      <c r="O28" s="7">
        <f>'[4]Production Summary'!$I91</f>
        <v>9982000.0000000056</v>
      </c>
      <c r="P28" s="8">
        <f t="shared" si="24"/>
        <v>9.9820000000000064</v>
      </c>
      <c r="Q28" s="10">
        <f t="shared" si="25"/>
        <v>30.644740000000017</v>
      </c>
      <c r="R28" s="7">
        <f>'[4]Production Summary'!$C91</f>
        <v>10086000</v>
      </c>
      <c r="S28" s="8">
        <f t="shared" si="26"/>
        <v>10.086</v>
      </c>
      <c r="T28" s="10">
        <f t="shared" si="27"/>
        <v>30.964019999999998</v>
      </c>
      <c r="U28" s="7">
        <f>'[4]Production Summary'!$F91</f>
        <v>0</v>
      </c>
      <c r="V28" s="8">
        <f t="shared" si="28"/>
        <v>0</v>
      </c>
      <c r="W28" s="10">
        <f t="shared" si="29"/>
        <v>0</v>
      </c>
      <c r="X28" s="7">
        <f>'[4]Production Summary'!$AB91</f>
        <v>99999.99999999431</v>
      </c>
      <c r="Y28" s="8">
        <f t="shared" si="30"/>
        <v>9.9999999999994316E-2</v>
      </c>
      <c r="Z28" s="10">
        <f t="shared" si="31"/>
        <v>0.30699999999998251</v>
      </c>
      <c r="AA28" s="15"/>
      <c r="AB28" s="7">
        <f t="shared" si="32"/>
        <v>31482000.000000007</v>
      </c>
      <c r="AC28" s="8">
        <f t="shared" si="32"/>
        <v>31.482000000000006</v>
      </c>
      <c r="AD28" s="8">
        <f t="shared" si="32"/>
        <v>96.649740000000008</v>
      </c>
      <c r="AF28" s="8">
        <f t="shared" si="34"/>
        <v>1.2279999999998847E-2</v>
      </c>
    </row>
    <row r="29" spans="1:32" x14ac:dyDescent="0.15">
      <c r="A29" s="27">
        <v>43368</v>
      </c>
      <c r="B29" s="7">
        <f>'[4]Production Summary'!$J92</f>
        <v>18299999.999999274</v>
      </c>
      <c r="C29" s="8">
        <f t="shared" si="16"/>
        <v>18.299999999999272</v>
      </c>
      <c r="D29" s="10">
        <f t="shared" si="17"/>
        <v>56.180999999997766</v>
      </c>
      <c r="E29" s="7">
        <f>'[4]Production Summary'!$E92</f>
        <v>8000000</v>
      </c>
      <c r="F29" s="8">
        <f t="shared" si="18"/>
        <v>8</v>
      </c>
      <c r="G29" s="10">
        <f t="shared" si="19"/>
        <v>24.56</v>
      </c>
      <c r="H29" s="7">
        <f>'[4]Production Summary'!$G92</f>
        <v>12610000</v>
      </c>
      <c r="I29" s="8">
        <f t="shared" si="20"/>
        <v>12.61</v>
      </c>
      <c r="J29" s="10">
        <f t="shared" si="21"/>
        <v>38.712699999999998</v>
      </c>
      <c r="K29" s="7">
        <f>'[4]Production Summary'!$T92</f>
        <v>2020304</v>
      </c>
      <c r="L29" s="8">
        <f t="shared" si="22"/>
        <v>2.0203039999999999</v>
      </c>
      <c r="M29" s="10">
        <f t="shared" si="23"/>
        <v>6.2023332799999995</v>
      </c>
      <c r="N29" s="21"/>
      <c r="O29" s="7">
        <f>'[4]Production Summary'!$I92</f>
        <v>10134999.999999996</v>
      </c>
      <c r="P29" s="8">
        <f t="shared" si="24"/>
        <v>10.134999999999996</v>
      </c>
      <c r="Q29" s="10">
        <f t="shared" si="25"/>
        <v>31.114449999999987</v>
      </c>
      <c r="R29" s="7">
        <f>'[4]Production Summary'!$C92</f>
        <v>10365000</v>
      </c>
      <c r="S29" s="8">
        <f t="shared" si="26"/>
        <v>10.365</v>
      </c>
      <c r="T29" s="10">
        <f t="shared" si="27"/>
        <v>31.820549999999997</v>
      </c>
      <c r="U29" s="7">
        <f>'[4]Production Summary'!$F92</f>
        <v>0</v>
      </c>
      <c r="V29" s="8">
        <f t="shared" si="28"/>
        <v>0</v>
      </c>
      <c r="W29" s="10">
        <f t="shared" si="29"/>
        <v>0</v>
      </c>
      <c r="X29" s="7">
        <f>'[4]Production Summary'!$AB92</f>
        <v>224000.00000000375</v>
      </c>
      <c r="Y29" s="8">
        <f t="shared" si="30"/>
        <v>0.22400000000000375</v>
      </c>
      <c r="Z29" s="10">
        <f t="shared" si="31"/>
        <v>0.6876800000000115</v>
      </c>
      <c r="AA29" s="15"/>
      <c r="AB29" s="7">
        <f t="shared" si="32"/>
        <v>28434999.99999927</v>
      </c>
      <c r="AC29" s="8">
        <f t="shared" si="32"/>
        <v>28.43499999999927</v>
      </c>
      <c r="AD29" s="8">
        <f t="shared" si="32"/>
        <v>87.295449999997757</v>
      </c>
      <c r="AF29" s="8">
        <f t="shared" si="34"/>
        <v>1.8419999999998438E-2</v>
      </c>
    </row>
    <row r="30" spans="1:32" x14ac:dyDescent="0.15">
      <c r="A30" s="27">
        <v>43369</v>
      </c>
      <c r="B30" s="7">
        <f>'[4]Production Summary'!$J93</f>
        <v>20799999.999999274</v>
      </c>
      <c r="C30" s="8">
        <f t="shared" si="16"/>
        <v>20.799999999999272</v>
      </c>
      <c r="D30" s="10">
        <f t="shared" si="17"/>
        <v>63.855999999997763</v>
      </c>
      <c r="E30" s="7">
        <f>'[4]Production Summary'!$E93</f>
        <v>9000000</v>
      </c>
      <c r="F30" s="8">
        <f t="shared" si="18"/>
        <v>9</v>
      </c>
      <c r="G30" s="10">
        <f t="shared" si="19"/>
        <v>27.63</v>
      </c>
      <c r="H30" s="7">
        <f>'[4]Production Summary'!$G93</f>
        <v>14900000</v>
      </c>
      <c r="I30" s="8">
        <f t="shared" si="20"/>
        <v>14.9</v>
      </c>
      <c r="J30" s="10">
        <f t="shared" si="21"/>
        <v>45.743000000000002</v>
      </c>
      <c r="K30" s="7">
        <f>'[4]Production Summary'!$T93</f>
        <v>2228913</v>
      </c>
      <c r="L30" s="8">
        <f t="shared" si="22"/>
        <v>2.2289129999999999</v>
      </c>
      <c r="M30" s="10">
        <f t="shared" si="23"/>
        <v>6.8427629099999994</v>
      </c>
      <c r="N30" s="21"/>
      <c r="O30" s="7">
        <f>'[4]Production Summary'!$I93</f>
        <v>10046999.999999996</v>
      </c>
      <c r="P30" s="8">
        <f t="shared" si="24"/>
        <v>10.046999999999997</v>
      </c>
      <c r="Q30" s="10">
        <f t="shared" si="25"/>
        <v>30.84428999999999</v>
      </c>
      <c r="R30" s="7">
        <f>'[4]Production Summary'!$C93</f>
        <v>10260000</v>
      </c>
      <c r="S30" s="8">
        <f t="shared" si="26"/>
        <v>10.26</v>
      </c>
      <c r="T30" s="10">
        <f t="shared" si="27"/>
        <v>31.498199999999997</v>
      </c>
      <c r="U30" s="7">
        <f>'[4]Production Summary'!$F93</f>
        <v>0</v>
      </c>
      <c r="V30" s="8">
        <f t="shared" si="28"/>
        <v>0</v>
      </c>
      <c r="W30" s="10">
        <f t="shared" si="29"/>
        <v>0</v>
      </c>
      <c r="X30" s="7">
        <f>'[4]Production Summary'!$AB93</f>
        <v>206000.00000000306</v>
      </c>
      <c r="Y30" s="8">
        <f t="shared" si="30"/>
        <v>0.20600000000000307</v>
      </c>
      <c r="Z30" s="10">
        <f t="shared" si="31"/>
        <v>0.63242000000000942</v>
      </c>
      <c r="AA30" s="15"/>
      <c r="AB30" s="7">
        <f t="shared" si="32"/>
        <v>30846999.99999927</v>
      </c>
      <c r="AC30" s="8">
        <f t="shared" si="32"/>
        <v>30.846999999999269</v>
      </c>
      <c r="AD30" s="8">
        <f>D30+Q30</f>
        <v>94.70028999999775</v>
      </c>
      <c r="AF30" s="8">
        <f t="shared" si="34"/>
        <v>2.1489999999997456E-2</v>
      </c>
    </row>
    <row r="31" spans="1:32" x14ac:dyDescent="0.15">
      <c r="A31" s="27">
        <v>43370</v>
      </c>
      <c r="B31" s="7">
        <f>'[4]Production Summary'!$J94</f>
        <v>19900000.000001457</v>
      </c>
      <c r="C31" s="8">
        <f t="shared" si="16"/>
        <v>19.900000000001455</v>
      </c>
      <c r="D31" s="10">
        <f t="shared" si="17"/>
        <v>61.093000000004466</v>
      </c>
      <c r="E31" s="7">
        <f>'[4]Production Summary'!$E94</f>
        <v>8000000</v>
      </c>
      <c r="F31" s="8">
        <f t="shared" si="18"/>
        <v>8</v>
      </c>
      <c r="G31" s="10">
        <f t="shared" si="19"/>
        <v>24.56</v>
      </c>
      <c r="H31" s="7">
        <f>'[4]Production Summary'!$G94</f>
        <v>13530000</v>
      </c>
      <c r="I31" s="8">
        <f t="shared" si="20"/>
        <v>13.53</v>
      </c>
      <c r="J31" s="10">
        <f t="shared" si="21"/>
        <v>41.537099999999995</v>
      </c>
      <c r="K31" s="7">
        <f>'[4]Production Summary'!$T94</f>
        <v>1975691</v>
      </c>
      <c r="L31" s="8">
        <f t="shared" si="22"/>
        <v>1.9756910000000001</v>
      </c>
      <c r="M31" s="10">
        <f t="shared" si="23"/>
        <v>6.0653713700000003</v>
      </c>
      <c r="N31" s="21"/>
      <c r="O31" s="7">
        <f>'[4]Production Summary'!$I94</f>
        <v>9011000.0000000093</v>
      </c>
      <c r="P31" s="8">
        <f t="shared" si="24"/>
        <v>9.0110000000000099</v>
      </c>
      <c r="Q31" s="10">
        <f t="shared" si="25"/>
        <v>27.663770000000028</v>
      </c>
      <c r="R31" s="7">
        <f>'[4]Production Summary'!$C94</f>
        <v>9134000</v>
      </c>
      <c r="S31" s="8">
        <f t="shared" si="26"/>
        <v>9.1340000000000003</v>
      </c>
      <c r="T31" s="10">
        <f t="shared" si="27"/>
        <v>28.04138</v>
      </c>
      <c r="U31" s="7">
        <f>'[4]Production Summary'!$F94</f>
        <v>0</v>
      </c>
      <c r="V31" s="8">
        <f t="shared" si="28"/>
        <v>0</v>
      </c>
      <c r="W31" s="10">
        <f t="shared" si="29"/>
        <v>0</v>
      </c>
      <c r="X31" s="7">
        <f>'[4]Production Summary'!$AB94</f>
        <v>119999.99999999034</v>
      </c>
      <c r="Y31" s="8">
        <f t="shared" si="30"/>
        <v>0.11999999999999034</v>
      </c>
      <c r="Z31" s="10">
        <f t="shared" si="31"/>
        <v>0.36839999999997031</v>
      </c>
      <c r="AA31" s="15"/>
      <c r="AB31" s="7">
        <f t="shared" si="32"/>
        <v>28911000.000001468</v>
      </c>
      <c r="AC31" s="8">
        <f t="shared" si="32"/>
        <v>28.911000000001465</v>
      </c>
      <c r="AD31" s="8">
        <f t="shared" si="32"/>
        <v>88.756770000004494</v>
      </c>
      <c r="AF31" s="8">
        <f>T31-Q31-Z31</f>
        <v>9.2100000000019389E-3</v>
      </c>
    </row>
    <row r="32" spans="1:32" x14ac:dyDescent="0.15">
      <c r="A32" s="27">
        <v>43371</v>
      </c>
      <c r="B32" s="7">
        <f>'[4]Production Summary'!$J95</f>
        <v>18699999.999998908</v>
      </c>
      <c r="C32" s="8">
        <f t="shared" si="16"/>
        <v>18.699999999998909</v>
      </c>
      <c r="D32" s="10">
        <f t="shared" si="17"/>
        <v>57.408999999996645</v>
      </c>
      <c r="E32" s="7">
        <f>'[4]Production Summary'!$E95</f>
        <v>9000000</v>
      </c>
      <c r="F32" s="8">
        <f t="shared" si="18"/>
        <v>9</v>
      </c>
      <c r="G32" s="10">
        <f t="shared" si="19"/>
        <v>27.63</v>
      </c>
      <c r="H32" s="7">
        <f>'[4]Production Summary'!$G95</f>
        <v>12750000</v>
      </c>
      <c r="I32" s="8">
        <f t="shared" si="20"/>
        <v>12.75</v>
      </c>
      <c r="J32" s="10">
        <f t="shared" si="21"/>
        <v>39.142499999999998</v>
      </c>
      <c r="K32" s="7">
        <f>'[4]Production Summary'!$T95</f>
        <v>2056665</v>
      </c>
      <c r="L32" s="8">
        <f t="shared" si="22"/>
        <v>2.0566650000000002</v>
      </c>
      <c r="M32" s="10">
        <f t="shared" si="23"/>
        <v>6.3139615500000001</v>
      </c>
      <c r="N32" s="21"/>
      <c r="O32" s="7">
        <f>'[4]Production Summary'!$I95</f>
        <v>9236999.9999999944</v>
      </c>
      <c r="P32" s="8">
        <f t="shared" si="24"/>
        <v>9.2369999999999948</v>
      </c>
      <c r="Q32" s="10">
        <f t="shared" si="25"/>
        <v>28.357589999999984</v>
      </c>
      <c r="R32" s="7">
        <f>'[4]Production Summary'!$C95</f>
        <v>9401000</v>
      </c>
      <c r="S32" s="8">
        <f t="shared" si="26"/>
        <v>9.4009999999999998</v>
      </c>
      <c r="T32" s="10">
        <f t="shared" si="27"/>
        <v>28.861069999999998</v>
      </c>
      <c r="U32" s="7">
        <f>'[4]Production Summary'!$F95</f>
        <v>0</v>
      </c>
      <c r="V32" s="8">
        <f t="shared" si="28"/>
        <v>0</v>
      </c>
      <c r="W32" s="10">
        <f t="shared" si="29"/>
        <v>0</v>
      </c>
      <c r="X32" s="7">
        <f>'[4]Production Summary'!$AB95</f>
        <v>159000.00000000602</v>
      </c>
      <c r="Y32" s="8">
        <f t="shared" si="30"/>
        <v>0.15900000000000603</v>
      </c>
      <c r="Z32" s="10">
        <f t="shared" si="31"/>
        <v>0.48813000000001849</v>
      </c>
      <c r="AA32" s="15"/>
      <c r="AB32" s="7">
        <f t="shared" si="32"/>
        <v>27936999.999998905</v>
      </c>
      <c r="AC32" s="8">
        <f t="shared" si="32"/>
        <v>27.936999999998903</v>
      </c>
      <c r="AD32" s="8">
        <f t="shared" si="32"/>
        <v>85.766589999996626</v>
      </c>
      <c r="AF32" s="8">
        <f t="shared" si="34"/>
        <v>1.5349999999995423E-2</v>
      </c>
    </row>
    <row r="33" spans="1:32" x14ac:dyDescent="0.15">
      <c r="A33" s="27">
        <v>43372</v>
      </c>
      <c r="B33" s="7">
        <f>'[4]Production Summary'!$J96</f>
        <v>17000000</v>
      </c>
      <c r="C33" s="8">
        <f t="shared" si="16"/>
        <v>17</v>
      </c>
      <c r="D33" s="10">
        <f t="shared" si="17"/>
        <v>52.19</v>
      </c>
      <c r="E33" s="7">
        <f>'[4]Production Summary'!$E96</f>
        <v>6000000</v>
      </c>
      <c r="F33" s="8">
        <f t="shared" si="18"/>
        <v>6</v>
      </c>
      <c r="G33" s="10">
        <f t="shared" si="19"/>
        <v>18.419999999999998</v>
      </c>
      <c r="H33" s="7">
        <f>'[4]Production Summary'!$G96</f>
        <v>12400000</v>
      </c>
      <c r="I33" s="8">
        <f t="shared" si="20"/>
        <v>12.4</v>
      </c>
      <c r="J33" s="10">
        <f t="shared" si="21"/>
        <v>38.067999999999998</v>
      </c>
      <c r="K33" s="7">
        <f>'[4]Production Summary'!$T96</f>
        <v>1824926</v>
      </c>
      <c r="L33" s="8">
        <f t="shared" si="22"/>
        <v>1.824926</v>
      </c>
      <c r="M33" s="10">
        <f t="shared" si="23"/>
        <v>5.6025228199999999</v>
      </c>
      <c r="N33" s="21"/>
      <c r="O33" s="7">
        <f>'[4]Production Summary'!$I96</f>
        <v>9685000.0000000056</v>
      </c>
      <c r="P33" s="8">
        <f t="shared" si="24"/>
        <v>9.6850000000000058</v>
      </c>
      <c r="Q33" s="10">
        <f t="shared" si="25"/>
        <v>29.732950000000017</v>
      </c>
      <c r="R33" s="7">
        <f>'[4]Production Summary'!$C96</f>
        <v>9910000</v>
      </c>
      <c r="S33" s="8">
        <f t="shared" si="26"/>
        <v>9.91</v>
      </c>
      <c r="T33" s="10">
        <f t="shared" si="27"/>
        <v>30.4237</v>
      </c>
      <c r="U33" s="7">
        <f>'[4]Production Summary'!$F96</f>
        <v>0</v>
      </c>
      <c r="V33" s="8">
        <f t="shared" si="28"/>
        <v>0</v>
      </c>
      <c r="W33" s="10">
        <f t="shared" si="29"/>
        <v>0</v>
      </c>
      <c r="X33" s="7">
        <f>'[4]Production Summary'!$AB96</f>
        <v>218999.99999999409</v>
      </c>
      <c r="Y33" s="8">
        <f t="shared" si="30"/>
        <v>0.21899999999999409</v>
      </c>
      <c r="Z33" s="10">
        <f t="shared" si="31"/>
        <v>0.67232999999998178</v>
      </c>
      <c r="AA33" s="15"/>
      <c r="AB33" s="7">
        <f t="shared" si="32"/>
        <v>26685000.000000007</v>
      </c>
      <c r="AC33" s="8">
        <f t="shared" si="32"/>
        <v>26.685000000000006</v>
      </c>
      <c r="AD33" s="8">
        <f t="shared" si="32"/>
        <v>81.922950000000014</v>
      </c>
      <c r="AF33" s="8">
        <f t="shared" si="34"/>
        <v>1.8420000000001768E-2</v>
      </c>
    </row>
    <row r="34" spans="1:32" ht="14" thickBot="1" x14ac:dyDescent="0.2">
      <c r="A34" s="27">
        <v>43373</v>
      </c>
      <c r="B34" s="7">
        <f>'[4]Production Summary'!$J97</f>
        <v>17399999.999999635</v>
      </c>
      <c r="C34" s="8">
        <f t="shared" si="16"/>
        <v>17.399999999999636</v>
      </c>
      <c r="D34" s="10">
        <f t="shared" si="17"/>
        <v>53.417999999998884</v>
      </c>
      <c r="E34" s="7">
        <f>'[4]Production Summary'!$E97</f>
        <v>7000000</v>
      </c>
      <c r="F34" s="8">
        <f t="shared" si="18"/>
        <v>7</v>
      </c>
      <c r="G34" s="10">
        <f t="shared" si="19"/>
        <v>21.49</v>
      </c>
      <c r="H34" s="7">
        <f>'[4]Production Summary'!$G97</f>
        <v>12820000</v>
      </c>
      <c r="I34" s="8">
        <f t="shared" si="20"/>
        <v>12.82</v>
      </c>
      <c r="J34" s="10">
        <f t="shared" si="21"/>
        <v>39.357399999999998</v>
      </c>
      <c r="K34" s="7">
        <f>'[4]Production Summary'!$T97</f>
        <v>1812289</v>
      </c>
      <c r="L34" s="8">
        <f t="shared" si="22"/>
        <v>1.812289</v>
      </c>
      <c r="M34" s="10">
        <f t="shared" si="23"/>
        <v>5.5637272299999996</v>
      </c>
      <c r="N34" s="21"/>
      <c r="O34" s="7">
        <f>'[4]Production Summary'!$I97</f>
        <v>9892999.9999999981</v>
      </c>
      <c r="P34" s="8">
        <f t="shared" si="24"/>
        <v>9.8929999999999989</v>
      </c>
      <c r="Q34" s="10">
        <f t="shared" si="25"/>
        <v>30.371509999999994</v>
      </c>
      <c r="R34" s="7">
        <f>'[4]Production Summary'!$C97</f>
        <v>9955000</v>
      </c>
      <c r="S34" s="8">
        <f t="shared" si="26"/>
        <v>9.9550000000000001</v>
      </c>
      <c r="T34" s="10">
        <f t="shared" si="27"/>
        <v>30.56185</v>
      </c>
      <c r="U34" s="7">
        <f>'[4]Production Summary'!$F97</f>
        <v>0</v>
      </c>
      <c r="V34" s="8">
        <f t="shared" si="28"/>
        <v>0</v>
      </c>
      <c r="W34" s="10">
        <f t="shared" si="29"/>
        <v>0</v>
      </c>
      <c r="X34" s="7">
        <f>'[4]Production Summary'!$AB97</f>
        <v>60000.00000000227</v>
      </c>
      <c r="Y34" s="8">
        <f t="shared" si="30"/>
        <v>6.0000000000002267E-2</v>
      </c>
      <c r="Z34" s="10">
        <f t="shared" si="31"/>
        <v>0.18420000000000694</v>
      </c>
      <c r="AA34" s="15"/>
      <c r="AB34" s="7">
        <f t="shared" si="32"/>
        <v>27292999.999999635</v>
      </c>
      <c r="AC34" s="8">
        <f t="shared" si="32"/>
        <v>27.292999999999637</v>
      </c>
      <c r="AD34" s="8">
        <f t="shared" si="32"/>
        <v>83.78950999999887</v>
      </c>
      <c r="AF34" s="8">
        <f t="shared" si="34"/>
        <v>6.1399999999992294E-3</v>
      </c>
    </row>
    <row r="35" spans="1:32" ht="14" thickBot="1" x14ac:dyDescent="0.2">
      <c r="A35" s="3"/>
      <c r="B35" s="37">
        <f t="shared" ref="B35:I35" si="35">SUM(B5:B34)</f>
        <v>597599999.99999857</v>
      </c>
      <c r="C35" s="38">
        <f t="shared" si="35"/>
        <v>597.59999999999854</v>
      </c>
      <c r="D35" s="38">
        <f t="shared" si="35"/>
        <v>1834.6319999999957</v>
      </c>
      <c r="E35" s="37">
        <f t="shared" si="35"/>
        <v>265000000</v>
      </c>
      <c r="F35" s="38">
        <f t="shared" si="35"/>
        <v>265</v>
      </c>
      <c r="G35" s="38">
        <f t="shared" si="35"/>
        <v>813.54999999999984</v>
      </c>
      <c r="H35" s="37">
        <f t="shared" si="35"/>
        <v>404920000</v>
      </c>
      <c r="I35" s="38">
        <f t="shared" si="35"/>
        <v>404.92</v>
      </c>
      <c r="J35" s="38">
        <f t="shared" ref="J35" si="36">I35*3.07</f>
        <v>1243.1043999999999</v>
      </c>
      <c r="K35" s="37">
        <f>SUM(K5:K34)</f>
        <v>62388649</v>
      </c>
      <c r="L35" s="38">
        <f>SUM(L5:L34)</f>
        <v>62.388649000000008</v>
      </c>
      <c r="M35" s="38">
        <f t="shared" ref="M35" si="37">L35*3.07</f>
        <v>191.53315243</v>
      </c>
      <c r="N35" s="14"/>
      <c r="O35" s="37">
        <f>SUM(O5:O34)</f>
        <v>332624000</v>
      </c>
      <c r="P35" s="38">
        <f>SUM(P5:P34)</f>
        <v>332.62400000000002</v>
      </c>
      <c r="Q35" s="38">
        <f t="shared" ref="Q35" si="38">P35*3.07</f>
        <v>1021.1556800000001</v>
      </c>
      <c r="R35" s="37"/>
      <c r="S35" s="38">
        <f>SUM(S5:S34)</f>
        <v>338.56100000000004</v>
      </c>
      <c r="T35" s="38">
        <f t="shared" ref="T35" si="39">S35*3.07</f>
        <v>1039.3822700000001</v>
      </c>
      <c r="U35" s="37">
        <f>SUM(U5:U34)</f>
        <v>0</v>
      </c>
      <c r="V35" s="38">
        <f>SUM(V5:V34)</f>
        <v>0</v>
      </c>
      <c r="W35" s="38">
        <f t="shared" ref="W35" si="40">V35*3.07</f>
        <v>0</v>
      </c>
      <c r="X35" s="37"/>
      <c r="Y35" s="38">
        <f>SUM(Y5:Y34)</f>
        <v>5.7650000000000006</v>
      </c>
      <c r="Z35" s="38">
        <f t="shared" ref="Z35" si="41">Y35*3.07</f>
        <v>17.698550000000001</v>
      </c>
      <c r="AA35" s="14"/>
      <c r="AB35" s="37">
        <f>B35+O35</f>
        <v>930223999.99999857</v>
      </c>
      <c r="AC35" s="38">
        <f t="shared" si="32"/>
        <v>930.22399999999857</v>
      </c>
      <c r="AD35" s="38">
        <f t="shared" si="32"/>
        <v>2855.7876799999958</v>
      </c>
      <c r="AF35" s="8">
        <f t="shared" si="34"/>
        <v>0.52803999999998652</v>
      </c>
    </row>
    <row r="36" spans="1:32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9"/>
      <c r="AC36" s="29"/>
      <c r="AD36" s="23"/>
      <c r="AF36" s="29"/>
    </row>
    <row r="37" spans="1:32" x14ac:dyDescent="0.15">
      <c r="Q37" s="18"/>
    </row>
    <row r="38" spans="1:32" x14ac:dyDescent="0.15">
      <c r="Q38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F3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35" sqref="J5:J35"/>
    </sheetView>
  </sheetViews>
  <sheetFormatPr baseColWidth="10" defaultColWidth="8.83203125" defaultRowHeight="13" x14ac:dyDescent="0.15"/>
  <cols>
    <col min="2" max="2" width="11" customWidth="1"/>
    <col min="5" max="5" width="11.33203125" customWidth="1"/>
    <col min="8" max="8" width="14.33203125" customWidth="1"/>
    <col min="11" max="11" width="15.5" customWidth="1"/>
    <col min="12" max="12" width="10.6640625" customWidth="1"/>
    <col min="13" max="13" width="12.1640625" customWidth="1"/>
    <col min="15" max="15" width="11" customWidth="1"/>
    <col min="18" max="18" width="10.6640625" customWidth="1"/>
    <col min="21" max="21" width="10.1640625" bestFit="1" customWidth="1"/>
    <col min="22" max="22" width="10.6640625" customWidth="1"/>
    <col min="28" max="28" width="13.5" customWidth="1"/>
  </cols>
  <sheetData>
    <row r="1" spans="1:32" x14ac:dyDescent="0.15">
      <c r="A1" s="41"/>
      <c r="B1" s="52" t="s">
        <v>16</v>
      </c>
      <c r="C1" s="40"/>
      <c r="D1" s="40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62" t="s">
        <v>10</v>
      </c>
      <c r="C3" s="63"/>
      <c r="D3" s="64"/>
      <c r="E3" s="62" t="s">
        <v>11</v>
      </c>
      <c r="F3" s="63"/>
      <c r="G3" s="64"/>
      <c r="H3" s="62" t="s">
        <v>12</v>
      </c>
      <c r="I3" s="63"/>
      <c r="J3" s="64"/>
      <c r="K3" s="62" t="s">
        <v>13</v>
      </c>
      <c r="L3" s="63"/>
      <c r="M3" s="64"/>
      <c r="N3" s="19"/>
      <c r="O3" s="62" t="s">
        <v>4</v>
      </c>
      <c r="P3" s="63"/>
      <c r="Q3" s="64"/>
      <c r="R3" s="62" t="s">
        <v>3</v>
      </c>
      <c r="S3" s="63"/>
      <c r="T3" s="64"/>
      <c r="U3" s="62" t="s">
        <v>6</v>
      </c>
      <c r="V3" s="63"/>
      <c r="W3" s="64"/>
      <c r="X3" s="62" t="s">
        <v>7</v>
      </c>
      <c r="Y3" s="63"/>
      <c r="Z3" s="64"/>
      <c r="AA3" s="19"/>
      <c r="AB3" s="59" t="s">
        <v>8</v>
      </c>
      <c r="AC3" s="60"/>
      <c r="AD3" s="61"/>
      <c r="AF3" s="33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15">
      <c r="A5" s="27">
        <v>43374</v>
      </c>
      <c r="B5" s="7">
        <f>'[5]Production Summary'!J6</f>
        <v>16900000.000001457</v>
      </c>
      <c r="C5" s="8">
        <f t="shared" ref="C5" si="0">B5/1000000</f>
        <v>16.900000000001455</v>
      </c>
      <c r="D5" s="10">
        <f t="shared" ref="D5" si="1">C5*3.07</f>
        <v>51.883000000004465</v>
      </c>
      <c r="E5" s="7">
        <f>'[5]Production Summary'!E6</f>
        <v>8000000</v>
      </c>
      <c r="F5" s="8">
        <f t="shared" ref="F5" si="2">E5/1000000</f>
        <v>8</v>
      </c>
      <c r="G5" s="10">
        <f t="shared" ref="G5" si="3">F5*3.07</f>
        <v>24.56</v>
      </c>
      <c r="H5" s="7">
        <f>'[5]Production Summary'!G6</f>
        <v>12050000</v>
      </c>
      <c r="I5" s="8">
        <f t="shared" ref="I5" si="4">H5/1000000</f>
        <v>12.05</v>
      </c>
      <c r="J5" s="10">
        <f t="shared" ref="J5" si="5">I5*3.07</f>
        <v>36.993499999999997</v>
      </c>
      <c r="K5" s="7">
        <f>'[5]Production Summary'!T6</f>
        <v>1778308</v>
      </c>
      <c r="L5" s="8">
        <f t="shared" ref="L5" si="6">K5/1000000</f>
        <v>1.778308</v>
      </c>
      <c r="M5" s="10">
        <f t="shared" ref="M5" si="7">L5*3.07</f>
        <v>5.4594055599999995</v>
      </c>
      <c r="N5" s="21"/>
      <c r="O5" s="7">
        <f>'[5]Production Summary'!I6</f>
        <v>9436000</v>
      </c>
      <c r="P5" s="8">
        <f t="shared" ref="P5" si="8">O5/1000000</f>
        <v>9.4359999999999999</v>
      </c>
      <c r="Q5" s="10">
        <f t="shared" ref="Q5" si="9">P5*3.07</f>
        <v>28.968519999999998</v>
      </c>
      <c r="R5" s="7">
        <f>'[5]Production Summary'!C6</f>
        <v>9709000</v>
      </c>
      <c r="S5" s="8">
        <f t="shared" ref="S5" si="10">R5/1000000</f>
        <v>9.7089999999999996</v>
      </c>
      <c r="T5" s="10">
        <f t="shared" ref="T5" si="11">S5*3.07</f>
        <v>29.806629999999998</v>
      </c>
      <c r="U5" s="7">
        <f>'[5]Production Summary'!F6</f>
        <v>0</v>
      </c>
      <c r="V5" s="8">
        <f t="shared" ref="V5" si="12">U5/1000000</f>
        <v>0</v>
      </c>
      <c r="W5" s="10">
        <f t="shared" ref="W5" si="13">V5*3.07</f>
        <v>0</v>
      </c>
      <c r="X5" s="7">
        <f>'[5]Production Summary'!AB6</f>
        <v>265000.00000000058</v>
      </c>
      <c r="Y5" s="8">
        <f t="shared" ref="Y5" si="14">X5/1000000</f>
        <v>0.26500000000000057</v>
      </c>
      <c r="Z5" s="10">
        <f t="shared" ref="Z5" si="15">Y5*3.07</f>
        <v>0.81355000000000166</v>
      </c>
      <c r="AA5" s="15"/>
      <c r="AB5" s="7">
        <f>B5+O5</f>
        <v>26336000.000001457</v>
      </c>
      <c r="AC5" s="8">
        <f>C5+P5</f>
        <v>26.336000000001455</v>
      </c>
      <c r="AD5" s="8">
        <f>D5+Q5</f>
        <v>80.851520000004456</v>
      </c>
      <c r="AF5" s="8">
        <f>T5-Q5-Z5</f>
        <v>2.4559999999998694E-2</v>
      </c>
    </row>
    <row r="6" spans="1:32" x14ac:dyDescent="0.15">
      <c r="A6" s="27">
        <v>43375</v>
      </c>
      <c r="B6" s="7">
        <f>'[5]Production Summary'!J7</f>
        <v>15399999.999999637</v>
      </c>
      <c r="C6" s="8">
        <f t="shared" ref="C6:C35" si="16">B6/1000000</f>
        <v>15.399999999999636</v>
      </c>
      <c r="D6" s="10">
        <f t="shared" ref="D6:D35" si="17">C6*3.07</f>
        <v>47.277999999998883</v>
      </c>
      <c r="E6" s="7">
        <f>'[5]Production Summary'!E7</f>
        <v>6000000</v>
      </c>
      <c r="F6" s="8">
        <f t="shared" ref="F6:F35" si="18">E6/1000000</f>
        <v>6</v>
      </c>
      <c r="G6" s="10">
        <f t="shared" ref="G6:G35" si="19">F6*3.07</f>
        <v>18.419999999999998</v>
      </c>
      <c r="H6" s="7">
        <f>'[5]Production Summary'!G7</f>
        <v>9790000</v>
      </c>
      <c r="I6" s="8">
        <f t="shared" ref="I6:I35" si="20">H6/1000000</f>
        <v>9.7899999999999991</v>
      </c>
      <c r="J6" s="10">
        <f t="shared" ref="J6:J35" si="21">I6*3.07</f>
        <v>30.055299999999995</v>
      </c>
      <c r="K6" s="7">
        <f>'[5]Production Summary'!T7</f>
        <v>1438252</v>
      </c>
      <c r="L6" s="8">
        <f t="shared" ref="L6:L35" si="22">K6/1000000</f>
        <v>1.4382520000000001</v>
      </c>
      <c r="M6" s="10">
        <f t="shared" ref="M6:M35" si="23">L6*3.07</f>
        <v>4.4154336399999998</v>
      </c>
      <c r="N6" s="21"/>
      <c r="O6" s="7">
        <f>'[5]Production Summary'!I7</f>
        <v>7658999.9999999944</v>
      </c>
      <c r="P6" s="8">
        <f t="shared" ref="P6:P35" si="24">O6/1000000</f>
        <v>7.6589999999999945</v>
      </c>
      <c r="Q6" s="10">
        <f t="shared" ref="Q6:Q35" si="25">P6*3.07</f>
        <v>23.513129999999983</v>
      </c>
      <c r="R6" s="7">
        <f>'[5]Production Summary'!C7</f>
        <v>7811000</v>
      </c>
      <c r="S6" s="8">
        <f t="shared" ref="S6:S35" si="26">R6/1000000</f>
        <v>7.8109999999999999</v>
      </c>
      <c r="T6" s="10">
        <f t="shared" ref="T6:T35" si="27">S6*3.07</f>
        <v>23.979769999999998</v>
      </c>
      <c r="U6" s="7">
        <f>'[5]Production Summary'!F7</f>
        <v>0</v>
      </c>
      <c r="V6" s="8">
        <f t="shared" ref="V6:V35" si="28">U6/1000000</f>
        <v>0</v>
      </c>
      <c r="W6" s="10">
        <f t="shared" ref="W6:W35" si="29">V6*3.07</f>
        <v>0</v>
      </c>
      <c r="X6" s="7">
        <f>'[5]Production Summary'!AB7</f>
        <v>147000.00000000556</v>
      </c>
      <c r="Y6" s="8">
        <f t="shared" ref="Y6:Y35" si="30">X6/1000000</f>
        <v>0.14700000000000557</v>
      </c>
      <c r="Z6" s="10">
        <f t="shared" ref="Z6:Z35" si="31">Y6*3.07</f>
        <v>0.45129000000001707</v>
      </c>
      <c r="AA6" s="15"/>
      <c r="AB6" s="7">
        <f t="shared" ref="AB6:AD35" si="32">B6+O6</f>
        <v>23058999.999999631</v>
      </c>
      <c r="AC6" s="8">
        <f t="shared" si="32"/>
        <v>23.058999999999632</v>
      </c>
      <c r="AD6" s="8">
        <f t="shared" si="32"/>
        <v>70.791129999998873</v>
      </c>
      <c r="AF6" s="8">
        <f>T6-Q6-Z6</f>
        <v>1.5349999999998865E-2</v>
      </c>
    </row>
    <row r="7" spans="1:32" x14ac:dyDescent="0.15">
      <c r="A7" s="27">
        <v>43376</v>
      </c>
      <c r="B7" s="7">
        <f>'[5]Production Summary'!J8</f>
        <v>15500000</v>
      </c>
      <c r="C7" s="8">
        <f t="shared" si="16"/>
        <v>15.5</v>
      </c>
      <c r="D7" s="10">
        <f t="shared" si="17"/>
        <v>47.585000000000001</v>
      </c>
      <c r="E7" s="7">
        <f>'[5]Production Summary'!E8</f>
        <v>8000000</v>
      </c>
      <c r="F7" s="8">
        <f t="shared" si="18"/>
        <v>8</v>
      </c>
      <c r="G7" s="10">
        <f t="shared" si="19"/>
        <v>24.56</v>
      </c>
      <c r="H7" s="7">
        <f>'[5]Production Summary'!G8</f>
        <v>10190000</v>
      </c>
      <c r="I7" s="8">
        <f t="shared" si="20"/>
        <v>10.19</v>
      </c>
      <c r="J7" s="10">
        <f t="shared" si="21"/>
        <v>31.283299999999997</v>
      </c>
      <c r="K7" s="7">
        <f>'[5]Production Summary'!T8</f>
        <v>1783956</v>
      </c>
      <c r="L7" s="8">
        <f t="shared" si="22"/>
        <v>1.7839560000000001</v>
      </c>
      <c r="M7" s="10">
        <f t="shared" si="23"/>
        <v>5.4767449199999998</v>
      </c>
      <c r="N7" s="21"/>
      <c r="O7" s="7">
        <f>'[5]Production Summary'!I8</f>
        <v>9906000.000000013</v>
      </c>
      <c r="P7" s="8">
        <f t="shared" si="24"/>
        <v>9.906000000000013</v>
      </c>
      <c r="Q7" s="10">
        <f t="shared" si="25"/>
        <v>30.411420000000039</v>
      </c>
      <c r="R7" s="7">
        <f>'[5]Production Summary'!C8</f>
        <v>10090000</v>
      </c>
      <c r="S7" s="8">
        <f t="shared" si="26"/>
        <v>10.09</v>
      </c>
      <c r="T7" s="10">
        <f t="shared" si="27"/>
        <v>30.976299999999998</v>
      </c>
      <c r="U7" s="7">
        <f>'[5]Production Summary'!F8</f>
        <v>0</v>
      </c>
      <c r="V7" s="8">
        <f t="shared" si="28"/>
        <v>0</v>
      </c>
      <c r="W7" s="10">
        <f t="shared" si="29"/>
        <v>0</v>
      </c>
      <c r="X7" s="7">
        <f>'[5]Production Summary'!AB8</f>
        <v>178999.99999998783</v>
      </c>
      <c r="Y7" s="8">
        <f t="shared" si="30"/>
        <v>0.17899999999998784</v>
      </c>
      <c r="Z7" s="10">
        <f t="shared" si="31"/>
        <v>0.54952999999996266</v>
      </c>
      <c r="AA7" s="15"/>
      <c r="AB7" s="7">
        <f t="shared" si="32"/>
        <v>25406000.000000015</v>
      </c>
      <c r="AC7" s="8">
        <f t="shared" si="32"/>
        <v>25.406000000000013</v>
      </c>
      <c r="AD7" s="8">
        <f t="shared" si="32"/>
        <v>77.996420000000043</v>
      </c>
      <c r="AF7" s="8">
        <f t="shared" ref="AF7:AF14" si="33">T7-Q7-Z7</f>
        <v>1.5349999999996977E-2</v>
      </c>
    </row>
    <row r="8" spans="1:32" x14ac:dyDescent="0.15">
      <c r="A8" s="27">
        <v>43377</v>
      </c>
      <c r="B8" s="7">
        <f>'[5]Production Summary'!J9</f>
        <v>14699999.999998908</v>
      </c>
      <c r="C8" s="8">
        <f t="shared" si="16"/>
        <v>14.699999999998909</v>
      </c>
      <c r="D8" s="10">
        <f t="shared" si="17"/>
        <v>45.128999999996644</v>
      </c>
      <c r="E8" s="7">
        <f>'[5]Production Summary'!E9</f>
        <v>6000000</v>
      </c>
      <c r="F8" s="8">
        <f t="shared" si="18"/>
        <v>6</v>
      </c>
      <c r="G8" s="10">
        <f t="shared" si="19"/>
        <v>18.419999999999998</v>
      </c>
      <c r="H8" s="7">
        <f>'[5]Production Summary'!G9</f>
        <v>9810000</v>
      </c>
      <c r="I8" s="8">
        <f t="shared" si="20"/>
        <v>9.81</v>
      </c>
      <c r="J8" s="10">
        <f t="shared" si="21"/>
        <v>30.116700000000002</v>
      </c>
      <c r="K8" s="7">
        <f>'[5]Production Summary'!T9</f>
        <v>1796510</v>
      </c>
      <c r="L8" s="8">
        <f t="shared" si="22"/>
        <v>1.7965100000000001</v>
      </c>
      <c r="M8" s="10">
        <f t="shared" si="23"/>
        <v>5.5152856999999997</v>
      </c>
      <c r="N8" s="21"/>
      <c r="O8" s="7">
        <f>'[5]Production Summary'!I9</f>
        <v>9568999.9999999888</v>
      </c>
      <c r="P8" s="8">
        <f t="shared" si="24"/>
        <v>9.5689999999999884</v>
      </c>
      <c r="Q8" s="10">
        <f t="shared" si="25"/>
        <v>29.376829999999963</v>
      </c>
      <c r="R8" s="7">
        <f>'[5]Production Summary'!C9</f>
        <v>9739000</v>
      </c>
      <c r="S8" s="8">
        <f t="shared" si="26"/>
        <v>9.7390000000000008</v>
      </c>
      <c r="T8" s="10">
        <f t="shared" si="27"/>
        <v>29.89873</v>
      </c>
      <c r="U8" s="7">
        <f>'[5]Production Summary'!F9</f>
        <v>0</v>
      </c>
      <c r="V8" s="8">
        <f t="shared" si="28"/>
        <v>0</v>
      </c>
      <c r="W8" s="10">
        <f t="shared" si="29"/>
        <v>0</v>
      </c>
      <c r="X8" s="7">
        <f>'[5]Production Summary'!AB9</f>
        <v>166000.00000001103</v>
      </c>
      <c r="Y8" s="8">
        <f t="shared" si="30"/>
        <v>0.16600000000001103</v>
      </c>
      <c r="Z8" s="10">
        <f t="shared" si="31"/>
        <v>0.50962000000003382</v>
      </c>
      <c r="AA8" s="15"/>
      <c r="AB8" s="7">
        <f t="shared" si="32"/>
        <v>24268999.999998897</v>
      </c>
      <c r="AC8" s="8">
        <f t="shared" si="32"/>
        <v>24.268999999998897</v>
      </c>
      <c r="AD8" s="8">
        <f>D8+Q8</f>
        <v>74.505829999996607</v>
      </c>
      <c r="AF8" s="8">
        <f t="shared" si="33"/>
        <v>1.2280000000003954E-2</v>
      </c>
    </row>
    <row r="9" spans="1:32" x14ac:dyDescent="0.15">
      <c r="A9" s="27">
        <v>43378</v>
      </c>
      <c r="B9" s="7">
        <f>'[5]Production Summary'!J10</f>
        <v>14400000.000001455</v>
      </c>
      <c r="C9" s="8">
        <f t="shared" si="16"/>
        <v>14.400000000001455</v>
      </c>
      <c r="D9" s="10">
        <f t="shared" si="17"/>
        <v>44.208000000004468</v>
      </c>
      <c r="E9" s="7">
        <f>'[5]Production Summary'!E10</f>
        <v>7000000</v>
      </c>
      <c r="F9" s="8">
        <f t="shared" si="18"/>
        <v>7</v>
      </c>
      <c r="G9" s="10">
        <f t="shared" si="19"/>
        <v>21.49</v>
      </c>
      <c r="H9" s="7">
        <f>'[5]Production Summary'!G10</f>
        <v>9580000</v>
      </c>
      <c r="I9" s="8">
        <f t="shared" si="20"/>
        <v>9.58</v>
      </c>
      <c r="J9" s="10">
        <f t="shared" si="21"/>
        <v>29.410599999999999</v>
      </c>
      <c r="K9" s="7">
        <f>'[5]Production Summary'!T10</f>
        <v>1466132</v>
      </c>
      <c r="L9" s="8">
        <f t="shared" si="22"/>
        <v>1.466132</v>
      </c>
      <c r="M9" s="10">
        <f t="shared" si="23"/>
        <v>4.5010252399999997</v>
      </c>
      <c r="N9" s="21"/>
      <c r="O9" s="7">
        <f>'[5]Production Summary'!I10</f>
        <v>9137000.0000000075</v>
      </c>
      <c r="P9" s="8">
        <f t="shared" si="24"/>
        <v>9.1370000000000076</v>
      </c>
      <c r="Q9" s="10">
        <f t="shared" si="25"/>
        <v>28.050590000000021</v>
      </c>
      <c r="R9" s="7">
        <f>'[5]Production Summary'!C10</f>
        <v>9185000</v>
      </c>
      <c r="S9" s="8">
        <f t="shared" si="26"/>
        <v>9.1850000000000005</v>
      </c>
      <c r="T9" s="10">
        <f t="shared" si="27"/>
        <v>28.197949999999999</v>
      </c>
      <c r="U9" s="7">
        <f>'[5]Production Summary'!F10</f>
        <v>0</v>
      </c>
      <c r="V9" s="8">
        <f t="shared" si="28"/>
        <v>0</v>
      </c>
      <c r="W9" s="10">
        <f t="shared" si="29"/>
        <v>0</v>
      </c>
      <c r="X9" s="7">
        <f>'[5]Production Summary'!AB10</f>
        <v>45999.999999992273</v>
      </c>
      <c r="Y9" s="8">
        <f t="shared" si="30"/>
        <v>4.5999999999992276E-2</v>
      </c>
      <c r="Z9" s="10">
        <f t="shared" si="31"/>
        <v>0.14121999999997628</v>
      </c>
      <c r="AA9" s="15"/>
      <c r="AB9" s="7">
        <f t="shared" si="32"/>
        <v>23537000.00000146</v>
      </c>
      <c r="AC9" s="8">
        <f t="shared" si="32"/>
        <v>23.537000000001463</v>
      </c>
      <c r="AD9" s="8">
        <f t="shared" si="32"/>
        <v>72.258590000004489</v>
      </c>
      <c r="AF9" s="8">
        <f t="shared" si="33"/>
        <v>6.1400000000014499E-3</v>
      </c>
    </row>
    <row r="10" spans="1:32" x14ac:dyDescent="0.15">
      <c r="A10" s="27">
        <v>43379</v>
      </c>
      <c r="B10" s="7">
        <f>'[5]Production Summary'!J11</f>
        <v>11899999.999999637</v>
      </c>
      <c r="C10" s="8">
        <f t="shared" si="16"/>
        <v>11.899999999999636</v>
      </c>
      <c r="D10" s="10">
        <f t="shared" si="17"/>
        <v>36.532999999998879</v>
      </c>
      <c r="E10" s="7">
        <f>'[5]Production Summary'!E11</f>
        <v>5000000</v>
      </c>
      <c r="F10" s="8">
        <f t="shared" si="18"/>
        <v>5</v>
      </c>
      <c r="G10" s="10">
        <f t="shared" si="19"/>
        <v>15.35</v>
      </c>
      <c r="H10" s="7">
        <f>'[5]Production Summary'!G11</f>
        <v>7590000</v>
      </c>
      <c r="I10" s="8">
        <f t="shared" si="20"/>
        <v>7.59</v>
      </c>
      <c r="J10" s="10">
        <f t="shared" si="21"/>
        <v>23.301299999999998</v>
      </c>
      <c r="K10" s="7">
        <f>'[5]Production Summary'!T11</f>
        <v>1240237</v>
      </c>
      <c r="L10" s="8">
        <f t="shared" si="22"/>
        <v>1.240237</v>
      </c>
      <c r="M10" s="10">
        <f t="shared" si="23"/>
        <v>3.8075275899999999</v>
      </c>
      <c r="N10" s="21"/>
      <c r="O10" s="7">
        <f>'[5]Production Summary'!I11</f>
        <v>7032999.9999999963</v>
      </c>
      <c r="P10" s="8">
        <f t="shared" si="24"/>
        <v>7.0329999999999959</v>
      </c>
      <c r="Q10" s="10">
        <f t="shared" si="25"/>
        <v>21.591309999999986</v>
      </c>
      <c r="R10" s="7">
        <f>'[5]Production Summary'!C11</f>
        <v>7273000</v>
      </c>
      <c r="S10" s="8">
        <f t="shared" si="26"/>
        <v>7.2729999999999997</v>
      </c>
      <c r="T10" s="10">
        <f t="shared" si="27"/>
        <v>22.328109999999999</v>
      </c>
      <c r="U10" s="7">
        <f>'[5]Production Summary'!F11</f>
        <v>0</v>
      </c>
      <c r="V10" s="8">
        <f t="shared" si="28"/>
        <v>0</v>
      </c>
      <c r="W10" s="10">
        <f t="shared" si="29"/>
        <v>0</v>
      </c>
      <c r="X10" s="7">
        <f>'[5]Production Summary'!AB11</f>
        <v>233000.0000000041</v>
      </c>
      <c r="Y10" s="8">
        <f t="shared" si="30"/>
        <v>0.23300000000000409</v>
      </c>
      <c r="Z10" s="10">
        <f t="shared" si="31"/>
        <v>0.71531000000001255</v>
      </c>
      <c r="AA10" s="15"/>
      <c r="AB10" s="7">
        <f t="shared" si="32"/>
        <v>18932999.999999635</v>
      </c>
      <c r="AC10" s="8">
        <f t="shared" si="32"/>
        <v>18.93299999999963</v>
      </c>
      <c r="AD10" s="8">
        <f t="shared" si="32"/>
        <v>58.124309999998864</v>
      </c>
      <c r="AF10" s="8">
        <f t="shared" si="33"/>
        <v>2.1490000000000453E-2</v>
      </c>
    </row>
    <row r="11" spans="1:32" x14ac:dyDescent="0.15">
      <c r="A11" s="27">
        <v>43380</v>
      </c>
      <c r="B11" s="7">
        <f>'[5]Production Summary'!J12</f>
        <v>10899999.999999637</v>
      </c>
      <c r="C11" s="8">
        <f t="shared" si="16"/>
        <v>10.899999999999636</v>
      </c>
      <c r="D11" s="10">
        <f t="shared" si="17"/>
        <v>33.462999999998878</v>
      </c>
      <c r="E11" s="7">
        <f>'[5]Production Summary'!E12</f>
        <v>5000000</v>
      </c>
      <c r="F11" s="8">
        <f t="shared" si="18"/>
        <v>5</v>
      </c>
      <c r="G11" s="10">
        <f t="shared" si="19"/>
        <v>15.35</v>
      </c>
      <c r="H11" s="7">
        <f>'[5]Production Summary'!G12</f>
        <v>7470000</v>
      </c>
      <c r="I11" s="8">
        <f t="shared" si="20"/>
        <v>7.47</v>
      </c>
      <c r="J11" s="10">
        <f t="shared" si="21"/>
        <v>22.932899999999997</v>
      </c>
      <c r="K11" s="7">
        <f>'[5]Production Summary'!T12</f>
        <v>1245393</v>
      </c>
      <c r="L11" s="8">
        <f t="shared" si="22"/>
        <v>1.245393</v>
      </c>
      <c r="M11" s="10">
        <f t="shared" si="23"/>
        <v>3.8233565099999995</v>
      </c>
      <c r="N11" s="21"/>
      <c r="O11" s="7">
        <f>'[5]Production Summary'!I12</f>
        <v>7233999.9999999963</v>
      </c>
      <c r="P11" s="8">
        <f t="shared" si="24"/>
        <v>7.2339999999999964</v>
      </c>
      <c r="Q11" s="10">
        <f t="shared" si="25"/>
        <v>22.208379999999988</v>
      </c>
      <c r="R11" s="7">
        <f>'[5]Production Summary'!C12</f>
        <v>7330000</v>
      </c>
      <c r="S11" s="8">
        <f t="shared" si="26"/>
        <v>7.33</v>
      </c>
      <c r="T11" s="10">
        <f t="shared" si="27"/>
        <v>22.5031</v>
      </c>
      <c r="U11" s="7">
        <f>'[5]Production Summary'!F12</f>
        <v>0</v>
      </c>
      <c r="V11" s="8">
        <f t="shared" si="28"/>
        <v>0</v>
      </c>
      <c r="W11" s="10">
        <f t="shared" si="29"/>
        <v>0</v>
      </c>
      <c r="X11" s="7">
        <f>'[5]Production Summary'!AB12</f>
        <v>93000.000000003522</v>
      </c>
      <c r="Y11" s="8">
        <f t="shared" si="30"/>
        <v>9.3000000000003524E-2</v>
      </c>
      <c r="Z11" s="10">
        <f t="shared" si="31"/>
        <v>0.28551000000001081</v>
      </c>
      <c r="AA11" s="15"/>
      <c r="AB11" s="7">
        <f t="shared" si="32"/>
        <v>18133999.999999635</v>
      </c>
      <c r="AC11" s="8">
        <f t="shared" si="32"/>
        <v>18.133999999999631</v>
      </c>
      <c r="AD11" s="8">
        <f t="shared" si="32"/>
        <v>55.671379999998862</v>
      </c>
      <c r="AF11" s="8">
        <f t="shared" si="33"/>
        <v>9.2100000000014948E-3</v>
      </c>
    </row>
    <row r="12" spans="1:32" x14ac:dyDescent="0.15">
      <c r="A12" s="27">
        <v>43381</v>
      </c>
      <c r="B12" s="7">
        <f>'[5]Production Summary'!J13</f>
        <v>11700000.000000728</v>
      </c>
      <c r="C12" s="8">
        <f t="shared" si="16"/>
        <v>11.700000000000728</v>
      </c>
      <c r="D12" s="10">
        <f t="shared" si="17"/>
        <v>35.919000000002235</v>
      </c>
      <c r="E12" s="7">
        <f>'[5]Production Summary'!E13</f>
        <v>5000000</v>
      </c>
      <c r="F12" s="8">
        <f t="shared" si="18"/>
        <v>5</v>
      </c>
      <c r="G12" s="10">
        <f t="shared" si="19"/>
        <v>15.35</v>
      </c>
      <c r="H12" s="7">
        <f>'[5]Production Summary'!G13</f>
        <v>7840000</v>
      </c>
      <c r="I12" s="8">
        <f t="shared" si="20"/>
        <v>7.84</v>
      </c>
      <c r="J12" s="10">
        <f t="shared" si="21"/>
        <v>24.0688</v>
      </c>
      <c r="K12" s="7">
        <f>'[5]Production Summary'!T13</f>
        <v>1198729</v>
      </c>
      <c r="L12" s="8">
        <f t="shared" si="22"/>
        <v>1.1987289999999999</v>
      </c>
      <c r="M12" s="10">
        <f t="shared" si="23"/>
        <v>3.6800980299999995</v>
      </c>
      <c r="N12" s="21"/>
      <c r="O12" s="7">
        <f>'[5]Production Summary'!I13</f>
        <v>6346000.0000000028</v>
      </c>
      <c r="P12" s="8">
        <f t="shared" si="24"/>
        <v>6.3460000000000027</v>
      </c>
      <c r="Q12" s="10">
        <f t="shared" si="25"/>
        <v>19.482220000000009</v>
      </c>
      <c r="R12" s="7">
        <f>'[5]Production Summary'!C13</f>
        <v>6526000</v>
      </c>
      <c r="S12" s="8">
        <f t="shared" si="26"/>
        <v>6.5259999999999998</v>
      </c>
      <c r="T12" s="10">
        <f t="shared" si="27"/>
        <v>20.03482</v>
      </c>
      <c r="U12" s="7">
        <f>'[5]Production Summary'!F13</f>
        <v>0</v>
      </c>
      <c r="V12" s="8">
        <f t="shared" si="28"/>
        <v>0</v>
      </c>
      <c r="W12" s="10">
        <f t="shared" si="29"/>
        <v>0</v>
      </c>
      <c r="X12" s="7">
        <f>'[5]Production Summary'!AB13</f>
        <v>174999.99999999715</v>
      </c>
      <c r="Y12" s="8">
        <f t="shared" si="30"/>
        <v>0.17499999999999716</v>
      </c>
      <c r="Z12" s="10">
        <f t="shared" si="31"/>
        <v>0.53724999999999123</v>
      </c>
      <c r="AA12" s="15"/>
      <c r="AB12" s="7">
        <f t="shared" si="32"/>
        <v>18046000.00000073</v>
      </c>
      <c r="AC12" s="8">
        <f t="shared" si="32"/>
        <v>18.046000000000731</v>
      </c>
      <c r="AD12" s="8">
        <f t="shared" si="32"/>
        <v>55.40122000000224</v>
      </c>
      <c r="AF12" s="8">
        <f t="shared" si="33"/>
        <v>1.5349999999999864E-2</v>
      </c>
    </row>
    <row r="13" spans="1:32" x14ac:dyDescent="0.15">
      <c r="A13" s="27">
        <v>43382</v>
      </c>
      <c r="B13" s="7">
        <f>'[5]Production Summary'!J14</f>
        <v>10799999.999999272</v>
      </c>
      <c r="C13" s="8">
        <f t="shared" si="16"/>
        <v>10.799999999999272</v>
      </c>
      <c r="D13" s="10">
        <f t="shared" si="17"/>
        <v>33.155999999997768</v>
      </c>
      <c r="E13" s="7">
        <f>'[5]Production Summary'!E14</f>
        <v>5000000</v>
      </c>
      <c r="F13" s="8">
        <f t="shared" si="18"/>
        <v>5</v>
      </c>
      <c r="G13" s="10">
        <f t="shared" si="19"/>
        <v>15.35</v>
      </c>
      <c r="H13" s="7">
        <f>'[5]Production Summary'!G14</f>
        <v>7530000</v>
      </c>
      <c r="I13" s="8">
        <f t="shared" si="20"/>
        <v>7.53</v>
      </c>
      <c r="J13" s="10">
        <f t="shared" si="21"/>
        <v>23.117100000000001</v>
      </c>
      <c r="K13" s="7">
        <f>'[5]Production Summary'!T14</f>
        <v>1296612</v>
      </c>
      <c r="L13" s="8">
        <f t="shared" si="22"/>
        <v>1.2966120000000001</v>
      </c>
      <c r="M13" s="10">
        <f t="shared" si="23"/>
        <v>3.9805988400000003</v>
      </c>
      <c r="N13" s="21"/>
      <c r="O13" s="7">
        <f>'[5]Production Summary'!I14</f>
        <v>5990000.0000000084</v>
      </c>
      <c r="P13" s="8">
        <f t="shared" si="24"/>
        <v>5.9900000000000082</v>
      </c>
      <c r="Q13" s="10">
        <f t="shared" si="25"/>
        <v>18.389300000000024</v>
      </c>
      <c r="R13" s="7">
        <f>'[5]Production Summary'!C14</f>
        <v>6148000</v>
      </c>
      <c r="S13" s="8">
        <f t="shared" si="26"/>
        <v>6.1479999999999997</v>
      </c>
      <c r="T13" s="10">
        <f t="shared" si="27"/>
        <v>18.874359999999999</v>
      </c>
      <c r="U13" s="7">
        <f>'[5]Production Summary'!F14</f>
        <v>0</v>
      </c>
      <c r="V13" s="8">
        <f t="shared" si="28"/>
        <v>0</v>
      </c>
      <c r="W13" s="10">
        <f t="shared" si="29"/>
        <v>0</v>
      </c>
      <c r="X13" s="7">
        <f>'[5]Production Summary'!AB14</f>
        <v>152999.99999999159</v>
      </c>
      <c r="Y13" s="8">
        <f t="shared" si="30"/>
        <v>0.15299999999999159</v>
      </c>
      <c r="Z13" s="10">
        <f t="shared" si="31"/>
        <v>0.46970999999997415</v>
      </c>
      <c r="AA13" s="15"/>
      <c r="AB13" s="7">
        <f t="shared" si="32"/>
        <v>16789999.999999281</v>
      </c>
      <c r="AC13" s="8">
        <f t="shared" si="32"/>
        <v>16.789999999999281</v>
      </c>
      <c r="AD13" s="8">
        <f t="shared" si="32"/>
        <v>51.545299999997795</v>
      </c>
      <c r="AF13" s="8">
        <f t="shared" si="33"/>
        <v>1.5350000000001696E-2</v>
      </c>
    </row>
    <row r="14" spans="1:32" x14ac:dyDescent="0.15">
      <c r="A14" s="27">
        <v>43383</v>
      </c>
      <c r="B14" s="7">
        <f>'[5]Production Summary'!J15</f>
        <v>9500000</v>
      </c>
      <c r="C14" s="8">
        <f t="shared" si="16"/>
        <v>9.5</v>
      </c>
      <c r="D14" s="10">
        <f t="shared" si="17"/>
        <v>29.164999999999999</v>
      </c>
      <c r="E14" s="7">
        <f>'[5]Production Summary'!E15</f>
        <v>5000000</v>
      </c>
      <c r="F14" s="8">
        <f t="shared" si="18"/>
        <v>5</v>
      </c>
      <c r="G14" s="10">
        <f t="shared" si="19"/>
        <v>15.35</v>
      </c>
      <c r="H14" s="7">
        <f>'[5]Production Summary'!G15</f>
        <v>6040000</v>
      </c>
      <c r="I14" s="8">
        <f t="shared" si="20"/>
        <v>6.04</v>
      </c>
      <c r="J14" s="10">
        <f t="shared" si="21"/>
        <v>18.5428</v>
      </c>
      <c r="K14" s="7">
        <f>'[5]Production Summary'!T15</f>
        <v>1227076</v>
      </c>
      <c r="L14" s="8">
        <f t="shared" si="22"/>
        <v>1.2270760000000001</v>
      </c>
      <c r="M14" s="10">
        <f t="shared" si="23"/>
        <v>3.7671233200000001</v>
      </c>
      <c r="N14" s="21"/>
      <c r="O14" s="7">
        <f>'[5]Production Summary'!I15</f>
        <v>5269999.9999999981</v>
      </c>
      <c r="P14" s="8">
        <f t="shared" si="24"/>
        <v>5.2699999999999978</v>
      </c>
      <c r="Q14" s="10">
        <f t="shared" si="25"/>
        <v>16.178899999999992</v>
      </c>
      <c r="R14" s="7">
        <f>'[5]Production Summary'!C15</f>
        <v>5440000</v>
      </c>
      <c r="S14" s="8">
        <f t="shared" si="26"/>
        <v>5.44</v>
      </c>
      <c r="T14" s="10">
        <f t="shared" si="27"/>
        <v>16.700800000000001</v>
      </c>
      <c r="U14" s="7">
        <f>'[5]Production Summary'!F15</f>
        <v>0</v>
      </c>
      <c r="V14" s="8">
        <f t="shared" si="28"/>
        <v>0</v>
      </c>
      <c r="W14" s="10">
        <f t="shared" si="29"/>
        <v>0</v>
      </c>
      <c r="X14" s="7">
        <f>'[5]Production Summary'!AB15</f>
        <v>167000.0000000016</v>
      </c>
      <c r="Y14" s="8">
        <f t="shared" si="30"/>
        <v>0.16700000000000159</v>
      </c>
      <c r="Z14" s="10">
        <f t="shared" si="31"/>
        <v>0.51269000000000486</v>
      </c>
      <c r="AA14" s="15"/>
      <c r="AB14" s="7">
        <f t="shared" si="32"/>
        <v>14769999.999999998</v>
      </c>
      <c r="AC14" s="8">
        <f t="shared" si="32"/>
        <v>14.769999999999998</v>
      </c>
      <c r="AD14" s="8">
        <f t="shared" si="32"/>
        <v>45.343899999999991</v>
      </c>
      <c r="AF14" s="8">
        <f t="shared" si="33"/>
        <v>9.2100000000044924E-3</v>
      </c>
    </row>
    <row r="15" spans="1:32" x14ac:dyDescent="0.15">
      <c r="A15" s="27">
        <v>43384</v>
      </c>
      <c r="B15" s="7">
        <f>'[5]Production Summary'!J16</f>
        <v>9299999.9999992717</v>
      </c>
      <c r="C15" s="8">
        <f t="shared" si="16"/>
        <v>9.2999999999992724</v>
      </c>
      <c r="D15" s="10">
        <f t="shared" si="17"/>
        <v>28.550999999997764</v>
      </c>
      <c r="E15" s="7">
        <f>'[5]Production Summary'!E16</f>
        <v>6000000</v>
      </c>
      <c r="F15" s="8">
        <f t="shared" si="18"/>
        <v>6</v>
      </c>
      <c r="G15" s="10">
        <f t="shared" si="19"/>
        <v>18.419999999999998</v>
      </c>
      <c r="H15" s="7">
        <f>'[5]Production Summary'!G16</f>
        <v>5790000</v>
      </c>
      <c r="I15" s="8">
        <f t="shared" si="20"/>
        <v>5.79</v>
      </c>
      <c r="J15" s="10">
        <f t="shared" si="21"/>
        <v>17.775299999999998</v>
      </c>
      <c r="K15" s="7">
        <f>'[5]Production Summary'!T16</f>
        <v>1052161</v>
      </c>
      <c r="L15" s="8">
        <f t="shared" si="22"/>
        <v>1.0521609999999999</v>
      </c>
      <c r="M15" s="10">
        <f t="shared" si="23"/>
        <v>3.2301342699999998</v>
      </c>
      <c r="N15" s="21"/>
      <c r="O15" s="7">
        <f>'[5]Production Summary'!I16</f>
        <v>2424999.9999999963</v>
      </c>
      <c r="P15" s="8">
        <f t="shared" si="24"/>
        <v>2.4249999999999963</v>
      </c>
      <c r="Q15" s="10">
        <f t="shared" si="25"/>
        <v>7.4447499999999884</v>
      </c>
      <c r="R15" s="7">
        <f>'[5]Production Summary'!C16</f>
        <v>2527000</v>
      </c>
      <c r="S15" s="8">
        <f t="shared" si="26"/>
        <v>2.5270000000000001</v>
      </c>
      <c r="T15" s="10">
        <f t="shared" si="27"/>
        <v>7.7578899999999997</v>
      </c>
      <c r="U15" s="7">
        <f>'[5]Production Summary'!F16</f>
        <v>0</v>
      </c>
      <c r="V15" s="8">
        <f t="shared" si="28"/>
        <v>0</v>
      </c>
      <c r="W15" s="10">
        <f t="shared" si="29"/>
        <v>0</v>
      </c>
      <c r="X15" s="7">
        <f>'[5]Production Summary'!AB16</f>
        <v>99000.000000003754</v>
      </c>
      <c r="Y15" s="8">
        <f t="shared" si="30"/>
        <v>9.9000000000003752E-2</v>
      </c>
      <c r="Z15" s="10">
        <f t="shared" si="31"/>
        <v>0.30393000000001152</v>
      </c>
      <c r="AA15" s="15"/>
      <c r="AB15" s="7">
        <f t="shared" si="32"/>
        <v>11724999.999999268</v>
      </c>
      <c r="AC15" s="8">
        <f t="shared" si="32"/>
        <v>11.72499999999927</v>
      </c>
      <c r="AD15" s="8">
        <f t="shared" si="32"/>
        <v>35.995749999997756</v>
      </c>
      <c r="AF15" s="8">
        <f>T15-Q15-Z15</f>
        <v>9.2099999999997739E-3</v>
      </c>
    </row>
    <row r="16" spans="1:32" x14ac:dyDescent="0.15">
      <c r="A16" s="27">
        <v>43385</v>
      </c>
      <c r="B16" s="7">
        <f>'[5]Production Summary'!J17</f>
        <v>13200000.000000728</v>
      </c>
      <c r="C16" s="8">
        <f t="shared" si="16"/>
        <v>13.200000000000728</v>
      </c>
      <c r="D16" s="10">
        <f t="shared" si="17"/>
        <v>40.524000000002232</v>
      </c>
      <c r="E16" s="7">
        <f>'[5]Production Summary'!E17</f>
        <v>5000000</v>
      </c>
      <c r="F16" s="8">
        <f t="shared" si="18"/>
        <v>5</v>
      </c>
      <c r="G16" s="10">
        <f t="shared" si="19"/>
        <v>15.35</v>
      </c>
      <c r="H16" s="7">
        <f>'[5]Production Summary'!G17</f>
        <v>9150000</v>
      </c>
      <c r="I16" s="8">
        <f t="shared" si="20"/>
        <v>9.15</v>
      </c>
      <c r="J16" s="10">
        <f t="shared" si="21"/>
        <v>28.090499999999999</v>
      </c>
      <c r="K16" s="7">
        <f>'[5]Production Summary'!T17</f>
        <v>1342885</v>
      </c>
      <c r="L16" s="8">
        <f t="shared" si="22"/>
        <v>1.3428850000000001</v>
      </c>
      <c r="M16" s="10">
        <f t="shared" si="23"/>
        <v>4.1226569500000005</v>
      </c>
      <c r="N16" s="21"/>
      <c r="O16" s="7">
        <f>'[5]Production Summary'!I17</f>
        <v>0</v>
      </c>
      <c r="P16" s="8">
        <f t="shared" si="24"/>
        <v>0</v>
      </c>
      <c r="Q16" s="10">
        <f t="shared" si="25"/>
        <v>0</v>
      </c>
      <c r="R16" s="7">
        <f>'[5]Production Summary'!C17</f>
        <v>0</v>
      </c>
      <c r="S16" s="8">
        <f t="shared" si="26"/>
        <v>0</v>
      </c>
      <c r="T16" s="10">
        <f t="shared" si="27"/>
        <v>0</v>
      </c>
      <c r="U16" s="7">
        <f>'[5]Production Summary'!F17</f>
        <v>0</v>
      </c>
      <c r="V16" s="8">
        <f t="shared" si="28"/>
        <v>0</v>
      </c>
      <c r="W16" s="10">
        <f t="shared" si="29"/>
        <v>0</v>
      </c>
      <c r="X16" s="7">
        <f>'[5]Production Summary'!AB17</f>
        <v>87000.000000003303</v>
      </c>
      <c r="Y16" s="8">
        <f t="shared" si="30"/>
        <v>8.7000000000003297E-2</v>
      </c>
      <c r="Z16" s="10">
        <f t="shared" si="31"/>
        <v>0.2670900000000101</v>
      </c>
      <c r="AA16" s="15"/>
      <c r="AB16" s="7">
        <f t="shared" si="32"/>
        <v>13200000.000000728</v>
      </c>
      <c r="AC16" s="8">
        <f t="shared" si="32"/>
        <v>13.200000000000728</v>
      </c>
      <c r="AD16" s="8">
        <f t="shared" si="32"/>
        <v>40.524000000002232</v>
      </c>
      <c r="AF16" s="8">
        <f>T16-Q16-Z16</f>
        <v>-0.2670900000000101</v>
      </c>
    </row>
    <row r="17" spans="1:32" x14ac:dyDescent="0.15">
      <c r="A17" s="27">
        <v>43386</v>
      </c>
      <c r="B17" s="7">
        <f>'[5]Production Summary'!J18</f>
        <v>12799999.999999272</v>
      </c>
      <c r="C17" s="8">
        <f t="shared" si="16"/>
        <v>12.799999999999272</v>
      </c>
      <c r="D17" s="10">
        <f t="shared" si="17"/>
        <v>39.295999999997761</v>
      </c>
      <c r="E17" s="7">
        <f>'[5]Production Summary'!E18</f>
        <v>6000000</v>
      </c>
      <c r="F17" s="8">
        <f t="shared" si="18"/>
        <v>6</v>
      </c>
      <c r="G17" s="10">
        <f t="shared" si="19"/>
        <v>18.419999999999998</v>
      </c>
      <c r="H17" s="7">
        <f>'[5]Production Summary'!G18</f>
        <v>10010000</v>
      </c>
      <c r="I17" s="8">
        <f t="shared" si="20"/>
        <v>10.01</v>
      </c>
      <c r="J17" s="10">
        <f t="shared" si="21"/>
        <v>30.730699999999999</v>
      </c>
      <c r="K17" s="7">
        <f>'[5]Production Summary'!T18</f>
        <v>1677832</v>
      </c>
      <c r="L17" s="8">
        <f t="shared" si="22"/>
        <v>1.677832</v>
      </c>
      <c r="M17" s="10">
        <f t="shared" si="23"/>
        <v>5.1509442399999994</v>
      </c>
      <c r="N17" s="21"/>
      <c r="O17" s="7">
        <f>'[5]Production Summary'!I18</f>
        <v>0</v>
      </c>
      <c r="P17" s="8">
        <f t="shared" si="24"/>
        <v>0</v>
      </c>
      <c r="Q17" s="10">
        <f t="shared" si="25"/>
        <v>0</v>
      </c>
      <c r="R17" s="7">
        <f>'[5]Production Summary'!C18</f>
        <v>0</v>
      </c>
      <c r="S17" s="8">
        <f t="shared" si="26"/>
        <v>0</v>
      </c>
      <c r="T17" s="10">
        <f t="shared" si="27"/>
        <v>0</v>
      </c>
      <c r="U17" s="7">
        <f>'[5]Production Summary'!F18</f>
        <v>0</v>
      </c>
      <c r="V17" s="8">
        <f t="shared" si="28"/>
        <v>0</v>
      </c>
      <c r="W17" s="10">
        <f t="shared" si="29"/>
        <v>0</v>
      </c>
      <c r="X17" s="7">
        <f>'[5]Production Summary'!AB18</f>
        <v>52999.999999997272</v>
      </c>
      <c r="Y17" s="8">
        <f t="shared" si="30"/>
        <v>5.2999999999997272E-2</v>
      </c>
      <c r="Z17" s="10">
        <f t="shared" si="31"/>
        <v>0.16270999999999161</v>
      </c>
      <c r="AA17" s="15"/>
      <c r="AB17" s="7">
        <f t="shared" si="32"/>
        <v>12799999.999999272</v>
      </c>
      <c r="AC17" s="8">
        <f t="shared" si="32"/>
        <v>12.799999999999272</v>
      </c>
      <c r="AD17" s="8">
        <f t="shared" si="32"/>
        <v>39.295999999997761</v>
      </c>
      <c r="AF17" s="8">
        <f>T17-Q17-Z17</f>
        <v>-0.16270999999999161</v>
      </c>
    </row>
    <row r="18" spans="1:32" x14ac:dyDescent="0.15">
      <c r="A18" s="27">
        <v>43387</v>
      </c>
      <c r="B18" s="7">
        <f>'[5]Production Summary'!J19</f>
        <v>13400000.000001455</v>
      </c>
      <c r="C18" s="8">
        <f t="shared" si="16"/>
        <v>13.400000000001455</v>
      </c>
      <c r="D18" s="10">
        <f t="shared" si="17"/>
        <v>41.138000000004467</v>
      </c>
      <c r="E18" s="7">
        <f>'[5]Production Summary'!E19</f>
        <v>5000000</v>
      </c>
      <c r="F18" s="8">
        <f t="shared" si="18"/>
        <v>5</v>
      </c>
      <c r="G18" s="10">
        <f t="shared" si="19"/>
        <v>15.35</v>
      </c>
      <c r="H18" s="7">
        <f>'[5]Production Summary'!G19</f>
        <v>9980000</v>
      </c>
      <c r="I18" s="8">
        <f t="shared" si="20"/>
        <v>9.98</v>
      </c>
      <c r="J18" s="10">
        <f t="shared" si="21"/>
        <v>30.6386</v>
      </c>
      <c r="K18" s="7">
        <f>'[5]Production Summary'!T19</f>
        <v>1503787</v>
      </c>
      <c r="L18" s="8">
        <f t="shared" si="22"/>
        <v>1.503787</v>
      </c>
      <c r="M18" s="10">
        <f t="shared" si="23"/>
        <v>4.6166260899999996</v>
      </c>
      <c r="N18" s="21"/>
      <c r="O18" s="7">
        <f>'[5]Production Summary'!I19</f>
        <v>0</v>
      </c>
      <c r="P18" s="8">
        <f t="shared" si="24"/>
        <v>0</v>
      </c>
      <c r="Q18" s="10">
        <f t="shared" si="25"/>
        <v>0</v>
      </c>
      <c r="R18" s="7">
        <f>'[5]Production Summary'!C19</f>
        <v>0</v>
      </c>
      <c r="S18" s="8">
        <f t="shared" si="26"/>
        <v>0</v>
      </c>
      <c r="T18" s="10">
        <f t="shared" si="27"/>
        <v>0</v>
      </c>
      <c r="U18" s="7">
        <f>'[5]Production Summary'!F19</f>
        <v>0</v>
      </c>
      <c r="V18" s="8">
        <f t="shared" si="28"/>
        <v>0</v>
      </c>
      <c r="W18" s="10">
        <f t="shared" si="29"/>
        <v>0</v>
      </c>
      <c r="X18" s="7">
        <f>'[5]Production Summary'!AB19</f>
        <v>0</v>
      </c>
      <c r="Y18" s="8">
        <f t="shared" si="30"/>
        <v>0</v>
      </c>
      <c r="Z18" s="10">
        <f t="shared" si="31"/>
        <v>0</v>
      </c>
      <c r="AA18" s="15"/>
      <c r="AB18" s="7">
        <f t="shared" si="32"/>
        <v>13400000.000001455</v>
      </c>
      <c r="AC18" s="8">
        <f t="shared" si="32"/>
        <v>13.400000000001455</v>
      </c>
      <c r="AD18" s="8">
        <f t="shared" si="32"/>
        <v>41.138000000004467</v>
      </c>
      <c r="AF18" s="8">
        <f>T18-Q18-Z18</f>
        <v>0</v>
      </c>
    </row>
    <row r="19" spans="1:32" x14ac:dyDescent="0.15">
      <c r="A19" s="27">
        <v>43388</v>
      </c>
      <c r="B19" s="7">
        <f>'[5]Production Summary'!J20</f>
        <v>13699999.999998908</v>
      </c>
      <c r="C19" s="8">
        <f t="shared" si="16"/>
        <v>13.699999999998909</v>
      </c>
      <c r="D19" s="10">
        <f t="shared" si="17"/>
        <v>42.058999999996644</v>
      </c>
      <c r="E19" s="7">
        <f>'[5]Production Summary'!E20</f>
        <v>6000000</v>
      </c>
      <c r="F19" s="8">
        <f t="shared" si="18"/>
        <v>6</v>
      </c>
      <c r="G19" s="10">
        <f t="shared" si="19"/>
        <v>18.419999999999998</v>
      </c>
      <c r="H19" s="7">
        <f>'[5]Production Summary'!G20</f>
        <v>10110000</v>
      </c>
      <c r="I19" s="8">
        <f t="shared" si="20"/>
        <v>10.11</v>
      </c>
      <c r="J19" s="10">
        <f t="shared" si="21"/>
        <v>31.037699999999997</v>
      </c>
      <c r="K19" s="7">
        <f>'[5]Production Summary'!T20</f>
        <v>1519910</v>
      </c>
      <c r="L19" s="8">
        <f t="shared" si="22"/>
        <v>1.5199100000000001</v>
      </c>
      <c r="M19" s="10">
        <f t="shared" si="23"/>
        <v>4.6661237</v>
      </c>
      <c r="N19" s="21"/>
      <c r="O19" s="7">
        <f>'[5]Production Summary'!I20</f>
        <v>0</v>
      </c>
      <c r="P19" s="8">
        <f t="shared" si="24"/>
        <v>0</v>
      </c>
      <c r="Q19" s="10">
        <f t="shared" si="25"/>
        <v>0</v>
      </c>
      <c r="R19" s="7">
        <f>'[5]Production Summary'!C20</f>
        <v>0</v>
      </c>
      <c r="S19" s="8">
        <f t="shared" si="26"/>
        <v>0</v>
      </c>
      <c r="T19" s="10">
        <f t="shared" si="27"/>
        <v>0</v>
      </c>
      <c r="U19" s="7">
        <f>'[5]Production Summary'!F20</f>
        <v>0</v>
      </c>
      <c r="V19" s="8">
        <f t="shared" si="28"/>
        <v>0</v>
      </c>
      <c r="W19" s="10">
        <f t="shared" si="29"/>
        <v>0</v>
      </c>
      <c r="X19" s="7">
        <f>'[5]Production Summary'!AB20</f>
        <v>0</v>
      </c>
      <c r="Y19" s="8">
        <f t="shared" si="30"/>
        <v>0</v>
      </c>
      <c r="Z19" s="10">
        <f t="shared" si="31"/>
        <v>0</v>
      </c>
      <c r="AA19" s="15"/>
      <c r="AB19" s="7">
        <f t="shared" si="32"/>
        <v>13699999.999998908</v>
      </c>
      <c r="AC19" s="8">
        <f t="shared" si="32"/>
        <v>13.699999999998909</v>
      </c>
      <c r="AD19" s="8">
        <f>D19+Q19</f>
        <v>42.058999999996644</v>
      </c>
      <c r="AF19" s="8">
        <f>T19-Q19-Z19</f>
        <v>0</v>
      </c>
    </row>
    <row r="20" spans="1:32" x14ac:dyDescent="0.15">
      <c r="A20" s="27">
        <v>43389</v>
      </c>
      <c r="B20" s="7">
        <f>'[5]Production Summary'!J21</f>
        <v>12700000.000000728</v>
      </c>
      <c r="C20" s="8">
        <f t="shared" si="16"/>
        <v>12.700000000000728</v>
      </c>
      <c r="D20" s="10">
        <f t="shared" si="17"/>
        <v>38.989000000002228</v>
      </c>
      <c r="E20" s="7">
        <f>'[5]Production Summary'!E21</f>
        <v>5000000</v>
      </c>
      <c r="F20" s="8">
        <f t="shared" si="18"/>
        <v>5</v>
      </c>
      <c r="G20" s="10">
        <f t="shared" si="19"/>
        <v>15.35</v>
      </c>
      <c r="H20" s="7">
        <f>'[5]Production Summary'!G21</f>
        <v>9900000</v>
      </c>
      <c r="I20" s="8">
        <f t="shared" si="20"/>
        <v>9.9</v>
      </c>
      <c r="J20" s="10">
        <f t="shared" si="21"/>
        <v>30.393000000000001</v>
      </c>
      <c r="K20" s="7">
        <f>'[5]Production Summary'!T21</f>
        <v>1661711</v>
      </c>
      <c r="L20" s="8">
        <f t="shared" si="22"/>
        <v>1.6617109999999999</v>
      </c>
      <c r="M20" s="10">
        <f t="shared" si="23"/>
        <v>5.1014527699999999</v>
      </c>
      <c r="N20" s="21"/>
      <c r="O20" s="7">
        <f>'[5]Production Summary'!I21</f>
        <v>0</v>
      </c>
      <c r="P20" s="8">
        <f t="shared" si="24"/>
        <v>0</v>
      </c>
      <c r="Q20" s="10">
        <f t="shared" si="25"/>
        <v>0</v>
      </c>
      <c r="R20" s="7">
        <f>'[5]Production Summary'!C21</f>
        <v>0</v>
      </c>
      <c r="S20" s="8">
        <f t="shared" si="26"/>
        <v>0</v>
      </c>
      <c r="T20" s="10">
        <f t="shared" si="27"/>
        <v>0</v>
      </c>
      <c r="U20" s="7">
        <f>'[5]Production Summary'!F21</f>
        <v>0</v>
      </c>
      <c r="V20" s="8">
        <f t="shared" si="28"/>
        <v>0</v>
      </c>
      <c r="W20" s="10">
        <f t="shared" si="29"/>
        <v>0</v>
      </c>
      <c r="X20" s="7">
        <f>'[5]Production Summary'!AB21</f>
        <v>0</v>
      </c>
      <c r="Y20" s="8">
        <f t="shared" si="30"/>
        <v>0</v>
      </c>
      <c r="Z20" s="10">
        <f t="shared" si="31"/>
        <v>0</v>
      </c>
      <c r="AA20" s="15"/>
      <c r="AB20" s="7">
        <f t="shared" si="32"/>
        <v>12700000.000000728</v>
      </c>
      <c r="AC20" s="8">
        <f t="shared" si="32"/>
        <v>12.700000000000728</v>
      </c>
      <c r="AD20" s="8">
        <f t="shared" si="32"/>
        <v>38.989000000002228</v>
      </c>
      <c r="AF20" s="8">
        <f t="shared" ref="AF20:AF35" si="34">T20-Q20-Z20</f>
        <v>0</v>
      </c>
    </row>
    <row r="21" spans="1:32" x14ac:dyDescent="0.15">
      <c r="A21" s="27">
        <v>43390</v>
      </c>
      <c r="B21" s="7">
        <f>'[5]Production Summary'!J22</f>
        <v>13299999.999999272</v>
      </c>
      <c r="C21" s="8">
        <f t="shared" si="16"/>
        <v>13.299999999999272</v>
      </c>
      <c r="D21" s="10">
        <f t="shared" si="17"/>
        <v>40.830999999997765</v>
      </c>
      <c r="E21" s="7">
        <f>'[5]Production Summary'!E22</f>
        <v>5000000</v>
      </c>
      <c r="F21" s="8">
        <f t="shared" si="18"/>
        <v>5</v>
      </c>
      <c r="G21" s="10">
        <f t="shared" si="19"/>
        <v>15.35</v>
      </c>
      <c r="H21" s="7">
        <f>'[5]Production Summary'!G22</f>
        <v>9970000</v>
      </c>
      <c r="I21" s="8">
        <f t="shared" si="20"/>
        <v>9.9700000000000006</v>
      </c>
      <c r="J21" s="10">
        <f t="shared" si="21"/>
        <v>30.607900000000001</v>
      </c>
      <c r="K21" s="7">
        <f>'[5]Production Summary'!T22</f>
        <v>1359607</v>
      </c>
      <c r="L21" s="8">
        <f t="shared" si="22"/>
        <v>1.359607</v>
      </c>
      <c r="M21" s="10">
        <f t="shared" si="23"/>
        <v>4.17399349</v>
      </c>
      <c r="N21" s="21"/>
      <c r="O21" s="7">
        <f>'[5]Production Summary'!I22</f>
        <v>0</v>
      </c>
      <c r="P21" s="8">
        <f t="shared" si="24"/>
        <v>0</v>
      </c>
      <c r="Q21" s="10">
        <f t="shared" si="25"/>
        <v>0</v>
      </c>
      <c r="R21" s="7">
        <f>'[5]Production Summary'!C22</f>
        <v>0</v>
      </c>
      <c r="S21" s="8">
        <f t="shared" si="26"/>
        <v>0</v>
      </c>
      <c r="T21" s="10">
        <f t="shared" si="27"/>
        <v>0</v>
      </c>
      <c r="U21" s="7">
        <f>'[5]Production Summary'!F22</f>
        <v>0</v>
      </c>
      <c r="V21" s="8">
        <f t="shared" si="28"/>
        <v>0</v>
      </c>
      <c r="W21" s="10">
        <f t="shared" si="29"/>
        <v>0</v>
      </c>
      <c r="X21" s="7">
        <f>'[5]Production Summary'!AB22</f>
        <v>0</v>
      </c>
      <c r="Y21" s="8">
        <f t="shared" si="30"/>
        <v>0</v>
      </c>
      <c r="Z21" s="10">
        <f t="shared" si="31"/>
        <v>0</v>
      </c>
      <c r="AA21" s="15"/>
      <c r="AB21" s="7">
        <f t="shared" si="32"/>
        <v>13299999.999999272</v>
      </c>
      <c r="AC21" s="8">
        <f t="shared" si="32"/>
        <v>13.299999999999272</v>
      </c>
      <c r="AD21" s="8">
        <f t="shared" si="32"/>
        <v>40.830999999997765</v>
      </c>
      <c r="AF21" s="8">
        <f t="shared" si="34"/>
        <v>0</v>
      </c>
    </row>
    <row r="22" spans="1:32" x14ac:dyDescent="0.15">
      <c r="A22" s="27">
        <v>43391</v>
      </c>
      <c r="B22" s="7">
        <f>'[5]Production Summary'!J23</f>
        <v>13200000.000000728</v>
      </c>
      <c r="C22" s="8">
        <f t="shared" si="16"/>
        <v>13.200000000000728</v>
      </c>
      <c r="D22" s="10">
        <f t="shared" si="17"/>
        <v>40.524000000002232</v>
      </c>
      <c r="E22" s="7">
        <f>'[5]Production Summary'!E23</f>
        <v>5000000</v>
      </c>
      <c r="F22" s="8">
        <f t="shared" si="18"/>
        <v>5</v>
      </c>
      <c r="G22" s="10">
        <f t="shared" si="19"/>
        <v>15.35</v>
      </c>
      <c r="H22" s="7">
        <f>'[5]Production Summary'!G23</f>
        <v>9990000</v>
      </c>
      <c r="I22" s="8">
        <f t="shared" si="20"/>
        <v>9.99</v>
      </c>
      <c r="J22" s="10">
        <f t="shared" si="21"/>
        <v>30.6693</v>
      </c>
      <c r="K22" s="7">
        <f>'[5]Production Summary'!T23</f>
        <v>1400609</v>
      </c>
      <c r="L22" s="8">
        <f t="shared" si="22"/>
        <v>1.400609</v>
      </c>
      <c r="M22" s="10">
        <f t="shared" si="23"/>
        <v>4.2998696299999999</v>
      </c>
      <c r="N22" s="21"/>
      <c r="O22" s="7">
        <f>'[5]Production Summary'!I23</f>
        <v>0</v>
      </c>
      <c r="P22" s="8">
        <f t="shared" si="24"/>
        <v>0</v>
      </c>
      <c r="Q22" s="10">
        <f t="shared" si="25"/>
        <v>0</v>
      </c>
      <c r="R22" s="7">
        <f>'[5]Production Summary'!C23</f>
        <v>0</v>
      </c>
      <c r="S22" s="8">
        <f t="shared" si="26"/>
        <v>0</v>
      </c>
      <c r="T22" s="10">
        <f t="shared" si="27"/>
        <v>0</v>
      </c>
      <c r="U22" s="7">
        <f>'[5]Production Summary'!F23</f>
        <v>0</v>
      </c>
      <c r="V22" s="8">
        <f t="shared" si="28"/>
        <v>0</v>
      </c>
      <c r="W22" s="10">
        <f t="shared" si="29"/>
        <v>0</v>
      </c>
      <c r="X22" s="7">
        <f>'[5]Production Summary'!AB23</f>
        <v>0</v>
      </c>
      <c r="Y22" s="8">
        <f t="shared" si="30"/>
        <v>0</v>
      </c>
      <c r="Z22" s="10">
        <f t="shared" si="31"/>
        <v>0</v>
      </c>
      <c r="AA22" s="15"/>
      <c r="AB22" s="7">
        <f t="shared" si="32"/>
        <v>13200000.000000728</v>
      </c>
      <c r="AC22" s="8">
        <f t="shared" si="32"/>
        <v>13.200000000000728</v>
      </c>
      <c r="AD22" s="8">
        <f t="shared" si="32"/>
        <v>40.524000000002232</v>
      </c>
      <c r="AF22" s="8">
        <f t="shared" si="34"/>
        <v>0</v>
      </c>
    </row>
    <row r="23" spans="1:32" x14ac:dyDescent="0.15">
      <c r="A23" s="27">
        <v>43392</v>
      </c>
      <c r="B23" s="7">
        <f>'[5]Production Summary'!J24</f>
        <v>13000000</v>
      </c>
      <c r="C23" s="8">
        <f t="shared" si="16"/>
        <v>13</v>
      </c>
      <c r="D23" s="10">
        <f t="shared" si="17"/>
        <v>39.909999999999997</v>
      </c>
      <c r="E23" s="7">
        <f>'[5]Production Summary'!E24</f>
        <v>5000000</v>
      </c>
      <c r="F23" s="8">
        <f t="shared" si="18"/>
        <v>5</v>
      </c>
      <c r="G23" s="10">
        <f t="shared" si="19"/>
        <v>15.35</v>
      </c>
      <c r="H23" s="7">
        <f>'[5]Production Summary'!G24</f>
        <v>10040000</v>
      </c>
      <c r="I23" s="8">
        <f t="shared" si="20"/>
        <v>10.039999999999999</v>
      </c>
      <c r="J23" s="10">
        <f t="shared" si="21"/>
        <v>30.822799999999997</v>
      </c>
      <c r="K23" s="7">
        <f>'[5]Production Summary'!T24</f>
        <v>1378897</v>
      </c>
      <c r="L23" s="8">
        <f t="shared" si="22"/>
        <v>1.378897</v>
      </c>
      <c r="M23" s="10">
        <f t="shared" si="23"/>
        <v>4.2332137899999998</v>
      </c>
      <c r="N23" s="21"/>
      <c r="O23" s="7">
        <f>'[5]Production Summary'!I24</f>
        <v>0</v>
      </c>
      <c r="P23" s="8">
        <f t="shared" si="24"/>
        <v>0</v>
      </c>
      <c r="Q23" s="10">
        <f t="shared" si="25"/>
        <v>0</v>
      </c>
      <c r="R23" s="7">
        <f>'[5]Production Summary'!C24</f>
        <v>0</v>
      </c>
      <c r="S23" s="8">
        <f t="shared" si="26"/>
        <v>0</v>
      </c>
      <c r="T23" s="10">
        <f t="shared" si="27"/>
        <v>0</v>
      </c>
      <c r="U23" s="7">
        <f>'[5]Production Summary'!F24</f>
        <v>0</v>
      </c>
      <c r="V23" s="8">
        <f t="shared" si="28"/>
        <v>0</v>
      </c>
      <c r="W23" s="10">
        <f t="shared" si="29"/>
        <v>0</v>
      </c>
      <c r="X23" s="7">
        <f>'[5]Production Summary'!AB24</f>
        <v>0</v>
      </c>
      <c r="Y23" s="8">
        <f t="shared" si="30"/>
        <v>0</v>
      </c>
      <c r="Z23" s="10">
        <f t="shared" si="31"/>
        <v>0</v>
      </c>
      <c r="AA23" s="15"/>
      <c r="AB23" s="7">
        <f t="shared" si="32"/>
        <v>13000000</v>
      </c>
      <c r="AC23" s="8">
        <f t="shared" si="32"/>
        <v>13</v>
      </c>
      <c r="AD23" s="8">
        <f t="shared" si="32"/>
        <v>39.909999999999997</v>
      </c>
      <c r="AF23" s="8">
        <f t="shared" si="34"/>
        <v>0</v>
      </c>
    </row>
    <row r="24" spans="1:32" x14ac:dyDescent="0.15">
      <c r="A24" s="27">
        <v>43393</v>
      </c>
      <c r="B24" s="7">
        <f>'[5]Production Summary'!J25</f>
        <v>13199999.999998908</v>
      </c>
      <c r="C24" s="8">
        <f t="shared" si="16"/>
        <v>13.199999999998909</v>
      </c>
      <c r="D24" s="10">
        <f t="shared" si="17"/>
        <v>40.523999999996647</v>
      </c>
      <c r="E24" s="7">
        <f>'[5]Production Summary'!E25</f>
        <v>5000000</v>
      </c>
      <c r="F24" s="8">
        <f t="shared" si="18"/>
        <v>5</v>
      </c>
      <c r="G24" s="10">
        <f t="shared" si="19"/>
        <v>15.35</v>
      </c>
      <c r="H24" s="7">
        <f>'[5]Production Summary'!G25</f>
        <v>10000000</v>
      </c>
      <c r="I24" s="8">
        <f t="shared" si="20"/>
        <v>10</v>
      </c>
      <c r="J24" s="10">
        <f t="shared" si="21"/>
        <v>30.7</v>
      </c>
      <c r="K24" s="7">
        <f>'[5]Production Summary'!T25</f>
        <v>1487883</v>
      </c>
      <c r="L24" s="8">
        <f t="shared" si="22"/>
        <v>1.4878830000000001</v>
      </c>
      <c r="M24" s="10">
        <f t="shared" si="23"/>
        <v>4.5678008099999996</v>
      </c>
      <c r="N24" s="21"/>
      <c r="O24" s="7">
        <f>'[5]Production Summary'!I25</f>
        <v>0</v>
      </c>
      <c r="P24" s="8">
        <f t="shared" si="24"/>
        <v>0</v>
      </c>
      <c r="Q24" s="10">
        <f t="shared" si="25"/>
        <v>0</v>
      </c>
      <c r="R24" s="7">
        <f>'[5]Production Summary'!C25</f>
        <v>0</v>
      </c>
      <c r="S24" s="8">
        <f t="shared" si="26"/>
        <v>0</v>
      </c>
      <c r="T24" s="10">
        <f t="shared" si="27"/>
        <v>0</v>
      </c>
      <c r="U24" s="7">
        <f>'[5]Production Summary'!F25</f>
        <v>0</v>
      </c>
      <c r="V24" s="8">
        <f t="shared" si="28"/>
        <v>0</v>
      </c>
      <c r="W24" s="10">
        <f t="shared" si="29"/>
        <v>0</v>
      </c>
      <c r="X24" s="7">
        <f>'[5]Production Summary'!AB25</f>
        <v>0</v>
      </c>
      <c r="Y24" s="8">
        <f t="shared" si="30"/>
        <v>0</v>
      </c>
      <c r="Z24" s="10">
        <f t="shared" si="31"/>
        <v>0</v>
      </c>
      <c r="AA24" s="15"/>
      <c r="AB24" s="7">
        <f t="shared" si="32"/>
        <v>13199999.999998908</v>
      </c>
      <c r="AC24" s="8">
        <f t="shared" si="32"/>
        <v>13.199999999998909</v>
      </c>
      <c r="AD24" s="8">
        <f>D24+Q24</f>
        <v>40.523999999996647</v>
      </c>
      <c r="AF24" s="8">
        <f t="shared" si="34"/>
        <v>0</v>
      </c>
    </row>
    <row r="25" spans="1:32" x14ac:dyDescent="0.15">
      <c r="A25" s="27">
        <v>43394</v>
      </c>
      <c r="B25" s="7">
        <f>'[5]Production Summary'!J26</f>
        <v>13300000.000001092</v>
      </c>
      <c r="C25" s="8">
        <f t="shared" si="16"/>
        <v>13.300000000001091</v>
      </c>
      <c r="D25" s="10">
        <f t="shared" si="17"/>
        <v>40.83100000000335</v>
      </c>
      <c r="E25" s="7">
        <f>'[5]Production Summary'!E26</f>
        <v>5000000</v>
      </c>
      <c r="F25" s="8">
        <f t="shared" si="18"/>
        <v>5</v>
      </c>
      <c r="G25" s="10">
        <f t="shared" si="19"/>
        <v>15.35</v>
      </c>
      <c r="H25" s="7">
        <f>'[5]Production Summary'!G26</f>
        <v>9980000</v>
      </c>
      <c r="I25" s="8">
        <f t="shared" si="20"/>
        <v>9.98</v>
      </c>
      <c r="J25" s="10">
        <f t="shared" si="21"/>
        <v>30.6386</v>
      </c>
      <c r="K25" s="7">
        <f>'[5]Production Summary'!T26</f>
        <v>1566498</v>
      </c>
      <c r="L25" s="8">
        <f t="shared" si="22"/>
        <v>1.5664979999999999</v>
      </c>
      <c r="M25" s="10">
        <f t="shared" si="23"/>
        <v>4.8091488599999996</v>
      </c>
      <c r="N25" s="21"/>
      <c r="O25" s="7">
        <f>'[5]Production Summary'!I26</f>
        <v>0</v>
      </c>
      <c r="P25" s="8">
        <f t="shared" si="24"/>
        <v>0</v>
      </c>
      <c r="Q25" s="10">
        <f t="shared" si="25"/>
        <v>0</v>
      </c>
      <c r="R25" s="7">
        <f>'[5]Production Summary'!C26</f>
        <v>0</v>
      </c>
      <c r="S25" s="8">
        <f t="shared" si="26"/>
        <v>0</v>
      </c>
      <c r="T25" s="10">
        <f t="shared" si="27"/>
        <v>0</v>
      </c>
      <c r="U25" s="7">
        <f>'[5]Production Summary'!F26</f>
        <v>0</v>
      </c>
      <c r="V25" s="8">
        <f t="shared" si="28"/>
        <v>0</v>
      </c>
      <c r="W25" s="10">
        <f t="shared" si="29"/>
        <v>0</v>
      </c>
      <c r="X25" s="7">
        <f>'[5]Production Summary'!AB26</f>
        <v>0</v>
      </c>
      <c r="Y25" s="8">
        <f t="shared" si="30"/>
        <v>0</v>
      </c>
      <c r="Z25" s="10">
        <f t="shared" si="31"/>
        <v>0</v>
      </c>
      <c r="AA25" s="15"/>
      <c r="AB25" s="7">
        <f t="shared" si="32"/>
        <v>13300000.000001092</v>
      </c>
      <c r="AC25" s="8">
        <f t="shared" si="32"/>
        <v>13.300000000001091</v>
      </c>
      <c r="AD25" s="8">
        <f t="shared" si="32"/>
        <v>40.83100000000335</v>
      </c>
      <c r="AF25" s="8">
        <f t="shared" si="34"/>
        <v>0</v>
      </c>
    </row>
    <row r="26" spans="1:32" x14ac:dyDescent="0.15">
      <c r="A26" s="27">
        <v>43395</v>
      </c>
      <c r="B26" s="7">
        <f>'[5]Production Summary'!J27</f>
        <v>13000000</v>
      </c>
      <c r="C26" s="8">
        <f t="shared" si="16"/>
        <v>13</v>
      </c>
      <c r="D26" s="10">
        <f t="shared" si="17"/>
        <v>39.909999999999997</v>
      </c>
      <c r="E26" s="7">
        <f>'[5]Production Summary'!E27</f>
        <v>5000000</v>
      </c>
      <c r="F26" s="8">
        <f t="shared" si="18"/>
        <v>5</v>
      </c>
      <c r="G26" s="10">
        <f t="shared" si="19"/>
        <v>15.35</v>
      </c>
      <c r="H26" s="7">
        <f>'[5]Production Summary'!G27</f>
        <v>9940000</v>
      </c>
      <c r="I26" s="8">
        <f t="shared" si="20"/>
        <v>9.94</v>
      </c>
      <c r="J26" s="10">
        <f t="shared" si="21"/>
        <v>30.515799999999995</v>
      </c>
      <c r="K26" s="7">
        <f>'[5]Production Summary'!T27</f>
        <v>1454944</v>
      </c>
      <c r="L26" s="8">
        <f t="shared" si="22"/>
        <v>1.454944</v>
      </c>
      <c r="M26" s="10">
        <f t="shared" si="23"/>
        <v>4.4666780799999994</v>
      </c>
      <c r="N26" s="21"/>
      <c r="O26" s="7">
        <f>'[5]Production Summary'!I27</f>
        <v>0</v>
      </c>
      <c r="P26" s="8">
        <f t="shared" si="24"/>
        <v>0</v>
      </c>
      <c r="Q26" s="10">
        <f t="shared" si="25"/>
        <v>0</v>
      </c>
      <c r="R26" s="7">
        <f>'[5]Production Summary'!C27</f>
        <v>0</v>
      </c>
      <c r="S26" s="8">
        <f t="shared" si="26"/>
        <v>0</v>
      </c>
      <c r="T26" s="10">
        <f t="shared" si="27"/>
        <v>0</v>
      </c>
      <c r="U26" s="7">
        <f>'[5]Production Summary'!F27</f>
        <v>0</v>
      </c>
      <c r="V26" s="8">
        <f t="shared" si="28"/>
        <v>0</v>
      </c>
      <c r="W26" s="10">
        <f t="shared" si="29"/>
        <v>0</v>
      </c>
      <c r="X26" s="7">
        <f>'[5]Production Summary'!AB27</f>
        <v>0</v>
      </c>
      <c r="Y26" s="8">
        <f t="shared" si="30"/>
        <v>0</v>
      </c>
      <c r="Z26" s="10">
        <f t="shared" si="31"/>
        <v>0</v>
      </c>
      <c r="AA26" s="15"/>
      <c r="AB26" s="7">
        <f t="shared" si="32"/>
        <v>13000000</v>
      </c>
      <c r="AC26" s="8">
        <f t="shared" si="32"/>
        <v>13</v>
      </c>
      <c r="AD26" s="8">
        <f t="shared" si="32"/>
        <v>39.909999999999997</v>
      </c>
      <c r="AF26" s="8">
        <f t="shared" si="34"/>
        <v>0</v>
      </c>
    </row>
    <row r="27" spans="1:32" x14ac:dyDescent="0.15">
      <c r="A27" s="27">
        <v>43396</v>
      </c>
      <c r="B27" s="7">
        <f>'[5]Production Summary'!J28</f>
        <v>13699999.999998908</v>
      </c>
      <c r="C27" s="8">
        <f t="shared" si="16"/>
        <v>13.699999999998909</v>
      </c>
      <c r="D27" s="10">
        <f t="shared" si="17"/>
        <v>42.058999999996644</v>
      </c>
      <c r="E27" s="7">
        <f>'[5]Production Summary'!E28</f>
        <v>6000000</v>
      </c>
      <c r="F27" s="8">
        <f t="shared" si="18"/>
        <v>6</v>
      </c>
      <c r="G27" s="10">
        <f t="shared" si="19"/>
        <v>18.419999999999998</v>
      </c>
      <c r="H27" s="7">
        <f>'[5]Production Summary'!G28</f>
        <v>10070000</v>
      </c>
      <c r="I27" s="8">
        <f t="shared" si="20"/>
        <v>10.07</v>
      </c>
      <c r="J27" s="10">
        <f t="shared" si="21"/>
        <v>30.914899999999999</v>
      </c>
      <c r="K27" s="7">
        <f>'[5]Production Summary'!T28</f>
        <v>1506908</v>
      </c>
      <c r="L27" s="8">
        <f t="shared" si="22"/>
        <v>1.5069079999999999</v>
      </c>
      <c r="M27" s="10">
        <f t="shared" si="23"/>
        <v>4.6262075599999992</v>
      </c>
      <c r="N27" s="21"/>
      <c r="O27" s="7">
        <f>'[5]Production Summary'!I28</f>
        <v>0</v>
      </c>
      <c r="P27" s="8">
        <f t="shared" si="24"/>
        <v>0</v>
      </c>
      <c r="Q27" s="10">
        <f t="shared" si="25"/>
        <v>0</v>
      </c>
      <c r="R27" s="7">
        <f>'[5]Production Summary'!C28</f>
        <v>0</v>
      </c>
      <c r="S27" s="8">
        <f t="shared" si="26"/>
        <v>0</v>
      </c>
      <c r="T27" s="10">
        <f t="shared" si="27"/>
        <v>0</v>
      </c>
      <c r="U27" s="7">
        <f>'[5]Production Summary'!F28</f>
        <v>0</v>
      </c>
      <c r="V27" s="8">
        <f t="shared" si="28"/>
        <v>0</v>
      </c>
      <c r="W27" s="10">
        <f t="shared" si="29"/>
        <v>0</v>
      </c>
      <c r="X27" s="7">
        <f>'[5]Production Summary'!AB28</f>
        <v>0</v>
      </c>
      <c r="Y27" s="8">
        <f t="shared" si="30"/>
        <v>0</v>
      </c>
      <c r="Z27" s="10">
        <f t="shared" si="31"/>
        <v>0</v>
      </c>
      <c r="AA27" s="15"/>
      <c r="AB27" s="7">
        <f t="shared" si="32"/>
        <v>13699999.999998908</v>
      </c>
      <c r="AC27" s="8">
        <f t="shared" si="32"/>
        <v>13.699999999998909</v>
      </c>
      <c r="AD27" s="8">
        <f t="shared" si="32"/>
        <v>42.058999999996644</v>
      </c>
      <c r="AF27" s="8">
        <f t="shared" si="34"/>
        <v>0</v>
      </c>
    </row>
    <row r="28" spans="1:32" x14ac:dyDescent="0.15">
      <c r="A28" s="27">
        <v>43397</v>
      </c>
      <c r="B28" s="7">
        <f>'[5]Production Summary'!J29</f>
        <v>13300000.000001092</v>
      </c>
      <c r="C28" s="8">
        <f t="shared" si="16"/>
        <v>13.300000000001091</v>
      </c>
      <c r="D28" s="10">
        <f t="shared" si="17"/>
        <v>40.83100000000335</v>
      </c>
      <c r="E28" s="7">
        <f>'[5]Production Summary'!E29</f>
        <v>5000000</v>
      </c>
      <c r="F28" s="8">
        <f t="shared" si="18"/>
        <v>5</v>
      </c>
      <c r="G28" s="10">
        <f t="shared" si="19"/>
        <v>15.35</v>
      </c>
      <c r="H28" s="7">
        <f>'[5]Production Summary'!G29</f>
        <v>10010000</v>
      </c>
      <c r="I28" s="8">
        <f t="shared" si="20"/>
        <v>10.01</v>
      </c>
      <c r="J28" s="10">
        <f t="shared" si="21"/>
        <v>30.730699999999999</v>
      </c>
      <c r="K28" s="7">
        <f>'[5]Production Summary'!T29</f>
        <v>1424228</v>
      </c>
      <c r="L28" s="8">
        <f t="shared" si="22"/>
        <v>1.424228</v>
      </c>
      <c r="M28" s="10">
        <f t="shared" si="23"/>
        <v>4.37237996</v>
      </c>
      <c r="N28" s="21"/>
      <c r="O28" s="7">
        <f>'[5]Production Summary'!I29</f>
        <v>0</v>
      </c>
      <c r="P28" s="8">
        <f t="shared" si="24"/>
        <v>0</v>
      </c>
      <c r="Q28" s="10">
        <f t="shared" si="25"/>
        <v>0</v>
      </c>
      <c r="R28" s="7">
        <f>'[5]Production Summary'!C29</f>
        <v>0</v>
      </c>
      <c r="S28" s="8">
        <f t="shared" si="26"/>
        <v>0</v>
      </c>
      <c r="T28" s="10">
        <f t="shared" si="27"/>
        <v>0</v>
      </c>
      <c r="U28" s="7">
        <f>'[5]Production Summary'!F29</f>
        <v>0</v>
      </c>
      <c r="V28" s="8">
        <f t="shared" si="28"/>
        <v>0</v>
      </c>
      <c r="W28" s="10">
        <f t="shared" si="29"/>
        <v>0</v>
      </c>
      <c r="X28" s="7">
        <f>'[5]Production Summary'!AB29</f>
        <v>0</v>
      </c>
      <c r="Y28" s="8">
        <f t="shared" si="30"/>
        <v>0</v>
      </c>
      <c r="Z28" s="10">
        <f t="shared" si="31"/>
        <v>0</v>
      </c>
      <c r="AA28" s="15"/>
      <c r="AB28" s="7">
        <f t="shared" si="32"/>
        <v>13300000.000001092</v>
      </c>
      <c r="AC28" s="8">
        <f t="shared" si="32"/>
        <v>13.300000000001091</v>
      </c>
      <c r="AD28" s="8">
        <f t="shared" si="32"/>
        <v>40.83100000000335</v>
      </c>
      <c r="AF28" s="8">
        <f t="shared" si="34"/>
        <v>0</v>
      </c>
    </row>
    <row r="29" spans="1:32" x14ac:dyDescent="0.15">
      <c r="A29" s="27">
        <v>43398</v>
      </c>
      <c r="B29" s="7">
        <f>'[5]Production Summary'!J30</f>
        <v>12600000.000000363</v>
      </c>
      <c r="C29" s="8">
        <f t="shared" si="16"/>
        <v>12.600000000000364</v>
      </c>
      <c r="D29" s="10">
        <f t="shared" si="17"/>
        <v>38.682000000001118</v>
      </c>
      <c r="E29" s="7">
        <f>'[5]Production Summary'!E30</f>
        <v>5000000</v>
      </c>
      <c r="F29" s="8">
        <f t="shared" si="18"/>
        <v>5</v>
      </c>
      <c r="G29" s="10">
        <f t="shared" si="19"/>
        <v>15.35</v>
      </c>
      <c r="H29" s="7">
        <f>'[5]Production Summary'!G30</f>
        <v>9220000</v>
      </c>
      <c r="I29" s="8">
        <f t="shared" si="20"/>
        <v>9.2200000000000006</v>
      </c>
      <c r="J29" s="10">
        <f t="shared" si="21"/>
        <v>28.305399999999999</v>
      </c>
      <c r="K29" s="7">
        <f>'[5]Production Summary'!T30</f>
        <v>1614892</v>
      </c>
      <c r="L29" s="8">
        <f t="shared" si="22"/>
        <v>1.614892</v>
      </c>
      <c r="M29" s="10">
        <f t="shared" si="23"/>
        <v>4.9577184399999998</v>
      </c>
      <c r="N29" s="21"/>
      <c r="O29" s="7">
        <f>'[5]Production Summary'!I30</f>
        <v>0</v>
      </c>
      <c r="P29" s="8">
        <f t="shared" si="24"/>
        <v>0</v>
      </c>
      <c r="Q29" s="10">
        <f t="shared" si="25"/>
        <v>0</v>
      </c>
      <c r="R29" s="7">
        <f>'[5]Production Summary'!C30</f>
        <v>0</v>
      </c>
      <c r="S29" s="8">
        <f t="shared" si="26"/>
        <v>0</v>
      </c>
      <c r="T29" s="10">
        <f t="shared" si="27"/>
        <v>0</v>
      </c>
      <c r="U29" s="7">
        <f>'[5]Production Summary'!F30</f>
        <v>0</v>
      </c>
      <c r="V29" s="8">
        <f t="shared" si="28"/>
        <v>0</v>
      </c>
      <c r="W29" s="10">
        <f t="shared" si="29"/>
        <v>0</v>
      </c>
      <c r="X29" s="7">
        <f>'[5]Production Summary'!AB30</f>
        <v>0</v>
      </c>
      <c r="Y29" s="8">
        <f t="shared" si="30"/>
        <v>0</v>
      </c>
      <c r="Z29" s="10">
        <f t="shared" si="31"/>
        <v>0</v>
      </c>
      <c r="AA29" s="15"/>
      <c r="AB29" s="7">
        <f t="shared" si="32"/>
        <v>12600000.000000363</v>
      </c>
      <c r="AC29" s="8">
        <f t="shared" si="32"/>
        <v>12.600000000000364</v>
      </c>
      <c r="AD29" s="8">
        <f t="shared" si="32"/>
        <v>38.682000000001118</v>
      </c>
      <c r="AF29" s="8">
        <f t="shared" si="34"/>
        <v>0</v>
      </c>
    </row>
    <row r="30" spans="1:32" x14ac:dyDescent="0.15">
      <c r="A30" s="27">
        <v>43399</v>
      </c>
      <c r="B30" s="7">
        <f>'[5]Production Summary'!J31</f>
        <v>11500000</v>
      </c>
      <c r="C30" s="8">
        <f t="shared" si="16"/>
        <v>11.5</v>
      </c>
      <c r="D30" s="10">
        <f t="shared" si="17"/>
        <v>35.305</v>
      </c>
      <c r="E30" s="7">
        <f>'[5]Production Summary'!E31</f>
        <v>5000000</v>
      </c>
      <c r="F30" s="8">
        <f t="shared" si="18"/>
        <v>5</v>
      </c>
      <c r="G30" s="10">
        <f t="shared" si="19"/>
        <v>15.35</v>
      </c>
      <c r="H30" s="7">
        <f>'[5]Production Summary'!G31</f>
        <v>7410000</v>
      </c>
      <c r="I30" s="8">
        <f t="shared" si="20"/>
        <v>7.41</v>
      </c>
      <c r="J30" s="10">
        <f t="shared" si="21"/>
        <v>22.748699999999999</v>
      </c>
      <c r="K30" s="7">
        <f>'[5]Production Summary'!T31</f>
        <v>1109280</v>
      </c>
      <c r="L30" s="8">
        <f t="shared" si="22"/>
        <v>1.10928</v>
      </c>
      <c r="M30" s="10">
        <f t="shared" si="23"/>
        <v>3.4054896000000001</v>
      </c>
      <c r="N30" s="21"/>
      <c r="O30" s="7">
        <f>'[5]Production Summary'!I31</f>
        <v>0</v>
      </c>
      <c r="P30" s="8">
        <f t="shared" si="24"/>
        <v>0</v>
      </c>
      <c r="Q30" s="10">
        <f t="shared" si="25"/>
        <v>0</v>
      </c>
      <c r="R30" s="7">
        <f>'[5]Production Summary'!C31</f>
        <v>0</v>
      </c>
      <c r="S30" s="8">
        <f t="shared" si="26"/>
        <v>0</v>
      </c>
      <c r="T30" s="10">
        <f t="shared" si="27"/>
        <v>0</v>
      </c>
      <c r="U30" s="7">
        <f>'[5]Production Summary'!F31</f>
        <v>0</v>
      </c>
      <c r="V30" s="8">
        <f t="shared" si="28"/>
        <v>0</v>
      </c>
      <c r="W30" s="10">
        <f t="shared" si="29"/>
        <v>0</v>
      </c>
      <c r="X30" s="7">
        <f>'[5]Production Summary'!AB31</f>
        <v>0</v>
      </c>
      <c r="Y30" s="8">
        <f t="shared" si="30"/>
        <v>0</v>
      </c>
      <c r="Z30" s="10">
        <f t="shared" si="31"/>
        <v>0</v>
      </c>
      <c r="AA30" s="15"/>
      <c r="AB30" s="7">
        <f t="shared" si="32"/>
        <v>11500000</v>
      </c>
      <c r="AC30" s="8">
        <f t="shared" si="32"/>
        <v>11.5</v>
      </c>
      <c r="AD30" s="8">
        <f>D30+Q30</f>
        <v>35.305</v>
      </c>
      <c r="AF30" s="8">
        <f t="shared" si="34"/>
        <v>0</v>
      </c>
    </row>
    <row r="31" spans="1:32" x14ac:dyDescent="0.15">
      <c r="A31" s="27">
        <v>43400</v>
      </c>
      <c r="B31" s="7">
        <f>'[5]Production Summary'!J32</f>
        <v>11899999.999999637</v>
      </c>
      <c r="C31" s="8">
        <f t="shared" si="16"/>
        <v>11.899999999999636</v>
      </c>
      <c r="D31" s="10">
        <f t="shared" si="17"/>
        <v>36.532999999998879</v>
      </c>
      <c r="E31" s="7">
        <f>'[5]Production Summary'!E32</f>
        <v>6000000</v>
      </c>
      <c r="F31" s="8">
        <f t="shared" si="18"/>
        <v>6</v>
      </c>
      <c r="G31" s="10">
        <f t="shared" si="19"/>
        <v>18.419999999999998</v>
      </c>
      <c r="H31" s="7">
        <f>'[5]Production Summary'!G32</f>
        <v>8950000</v>
      </c>
      <c r="I31" s="8">
        <f t="shared" si="20"/>
        <v>8.9499999999999993</v>
      </c>
      <c r="J31" s="10">
        <f t="shared" si="21"/>
        <v>27.476499999999998</v>
      </c>
      <c r="K31" s="7">
        <f>'[5]Production Summary'!T32</f>
        <v>1357094</v>
      </c>
      <c r="L31" s="8">
        <f t="shared" si="22"/>
        <v>1.357094</v>
      </c>
      <c r="M31" s="10">
        <f t="shared" si="23"/>
        <v>4.1662785800000002</v>
      </c>
      <c r="N31" s="21"/>
      <c r="O31" s="7">
        <f>'[5]Production Summary'!I32</f>
        <v>0</v>
      </c>
      <c r="P31" s="8">
        <f t="shared" si="24"/>
        <v>0</v>
      </c>
      <c r="Q31" s="10">
        <f t="shared" si="25"/>
        <v>0</v>
      </c>
      <c r="R31" s="7">
        <f>'[5]Production Summary'!C32</f>
        <v>0</v>
      </c>
      <c r="S31" s="8">
        <f t="shared" si="26"/>
        <v>0</v>
      </c>
      <c r="T31" s="10">
        <f t="shared" si="27"/>
        <v>0</v>
      </c>
      <c r="U31" s="7">
        <f>'[5]Production Summary'!F32</f>
        <v>0</v>
      </c>
      <c r="V31" s="8">
        <f t="shared" si="28"/>
        <v>0</v>
      </c>
      <c r="W31" s="10">
        <f t="shared" si="29"/>
        <v>0</v>
      </c>
      <c r="X31" s="7">
        <f>'[5]Production Summary'!AB32</f>
        <v>0</v>
      </c>
      <c r="Y31" s="8">
        <f t="shared" si="30"/>
        <v>0</v>
      </c>
      <c r="Z31" s="10">
        <f t="shared" si="31"/>
        <v>0</v>
      </c>
      <c r="AA31" s="15"/>
      <c r="AB31" s="7">
        <f t="shared" si="32"/>
        <v>11899999.999999637</v>
      </c>
      <c r="AC31" s="8">
        <f t="shared" si="32"/>
        <v>11.899999999999636</v>
      </c>
      <c r="AD31" s="8">
        <f t="shared" si="32"/>
        <v>36.532999999998879</v>
      </c>
      <c r="AF31" s="8">
        <f>T31-Q31-Z31</f>
        <v>0</v>
      </c>
    </row>
    <row r="32" spans="1:32" x14ac:dyDescent="0.15">
      <c r="A32" s="27">
        <v>43401</v>
      </c>
      <c r="B32" s="7">
        <f>'[5]Production Summary'!J33</f>
        <v>13500000</v>
      </c>
      <c r="C32" s="8">
        <f t="shared" si="16"/>
        <v>13.5</v>
      </c>
      <c r="D32" s="10">
        <f t="shared" si="17"/>
        <v>41.445</v>
      </c>
      <c r="E32" s="7">
        <f>'[5]Production Summary'!E33</f>
        <v>5000000</v>
      </c>
      <c r="F32" s="8">
        <f t="shared" si="18"/>
        <v>5</v>
      </c>
      <c r="G32" s="10">
        <f t="shared" si="19"/>
        <v>15.35</v>
      </c>
      <c r="H32" s="7">
        <f>'[5]Production Summary'!G33</f>
        <v>9650000</v>
      </c>
      <c r="I32" s="8">
        <f t="shared" si="20"/>
        <v>9.65</v>
      </c>
      <c r="J32" s="10">
        <f t="shared" si="21"/>
        <v>29.625499999999999</v>
      </c>
      <c r="K32" s="7">
        <f>'[5]Production Summary'!T33</f>
        <v>1465860</v>
      </c>
      <c r="L32" s="8">
        <f t="shared" si="22"/>
        <v>1.4658599999999999</v>
      </c>
      <c r="M32" s="10">
        <f t="shared" si="23"/>
        <v>4.5001901999999996</v>
      </c>
      <c r="N32" s="21"/>
      <c r="O32" s="7">
        <f>'[5]Production Summary'!I33</f>
        <v>0</v>
      </c>
      <c r="P32" s="8">
        <f t="shared" si="24"/>
        <v>0</v>
      </c>
      <c r="Q32" s="10">
        <f t="shared" si="25"/>
        <v>0</v>
      </c>
      <c r="R32" s="7">
        <f>'[5]Production Summary'!C33</f>
        <v>0</v>
      </c>
      <c r="S32" s="8">
        <f t="shared" si="26"/>
        <v>0</v>
      </c>
      <c r="T32" s="10">
        <f t="shared" si="27"/>
        <v>0</v>
      </c>
      <c r="U32" s="7">
        <f>'[5]Production Summary'!F33</f>
        <v>0</v>
      </c>
      <c r="V32" s="8">
        <f t="shared" si="28"/>
        <v>0</v>
      </c>
      <c r="W32" s="10">
        <f t="shared" si="29"/>
        <v>0</v>
      </c>
      <c r="X32" s="7">
        <f>'[5]Production Summary'!AB33</f>
        <v>0</v>
      </c>
      <c r="Y32" s="8">
        <f t="shared" si="30"/>
        <v>0</v>
      </c>
      <c r="Z32" s="10">
        <f t="shared" si="31"/>
        <v>0</v>
      </c>
      <c r="AA32" s="15"/>
      <c r="AB32" s="7">
        <f t="shared" si="32"/>
        <v>13500000</v>
      </c>
      <c r="AC32" s="8">
        <f t="shared" si="32"/>
        <v>13.5</v>
      </c>
      <c r="AD32" s="8">
        <f t="shared" si="32"/>
        <v>41.445</v>
      </c>
      <c r="AF32" s="8">
        <f t="shared" si="34"/>
        <v>0</v>
      </c>
    </row>
    <row r="33" spans="1:32" x14ac:dyDescent="0.15">
      <c r="A33" s="27">
        <v>43402</v>
      </c>
      <c r="B33" s="7">
        <f>'[5]Production Summary'!J34</f>
        <v>14100000.000000363</v>
      </c>
      <c r="C33" s="8">
        <f t="shared" si="16"/>
        <v>14.100000000000364</v>
      </c>
      <c r="D33" s="10">
        <f t="shared" si="17"/>
        <v>43.287000000001115</v>
      </c>
      <c r="E33" s="7">
        <f>'[5]Production Summary'!E34</f>
        <v>6000000</v>
      </c>
      <c r="F33" s="8">
        <f t="shared" si="18"/>
        <v>6</v>
      </c>
      <c r="G33" s="10">
        <f t="shared" si="19"/>
        <v>18.419999999999998</v>
      </c>
      <c r="H33" s="7">
        <f>'[5]Production Summary'!G34</f>
        <v>10580000</v>
      </c>
      <c r="I33" s="8">
        <f t="shared" si="20"/>
        <v>10.58</v>
      </c>
      <c r="J33" s="10">
        <f t="shared" si="21"/>
        <v>32.480599999999995</v>
      </c>
      <c r="K33" s="7">
        <f>'[5]Production Summary'!T34</f>
        <v>1574185</v>
      </c>
      <c r="L33" s="8">
        <f t="shared" si="22"/>
        <v>1.5741849999999999</v>
      </c>
      <c r="M33" s="10">
        <f t="shared" si="23"/>
        <v>4.8327479499999999</v>
      </c>
      <c r="N33" s="21"/>
      <c r="O33" s="7">
        <f>'[5]Production Summary'!I34</f>
        <v>0</v>
      </c>
      <c r="P33" s="8">
        <f t="shared" si="24"/>
        <v>0</v>
      </c>
      <c r="Q33" s="10">
        <f t="shared" si="25"/>
        <v>0</v>
      </c>
      <c r="R33" s="7">
        <f>'[5]Production Summary'!C34</f>
        <v>0</v>
      </c>
      <c r="S33" s="8">
        <f t="shared" si="26"/>
        <v>0</v>
      </c>
      <c r="T33" s="10">
        <f t="shared" si="27"/>
        <v>0</v>
      </c>
      <c r="U33" s="7">
        <f>'[5]Production Summary'!F34</f>
        <v>0</v>
      </c>
      <c r="V33" s="8">
        <f t="shared" si="28"/>
        <v>0</v>
      </c>
      <c r="W33" s="10">
        <f t="shared" si="29"/>
        <v>0</v>
      </c>
      <c r="X33" s="7">
        <f>'[5]Production Summary'!AB34</f>
        <v>0</v>
      </c>
      <c r="Y33" s="8">
        <f t="shared" si="30"/>
        <v>0</v>
      </c>
      <c r="Z33" s="10">
        <f t="shared" si="31"/>
        <v>0</v>
      </c>
      <c r="AA33" s="15"/>
      <c r="AB33" s="7">
        <f t="shared" si="32"/>
        <v>14100000.000000363</v>
      </c>
      <c r="AC33" s="8">
        <f t="shared" si="32"/>
        <v>14.100000000000364</v>
      </c>
      <c r="AD33" s="8">
        <f t="shared" si="32"/>
        <v>43.287000000001115</v>
      </c>
      <c r="AF33" s="8">
        <f t="shared" si="34"/>
        <v>0</v>
      </c>
    </row>
    <row r="34" spans="1:32" x14ac:dyDescent="0.15">
      <c r="A34" s="27">
        <v>43403</v>
      </c>
      <c r="B34" s="7">
        <f>'[5]Production Summary'!J35</f>
        <v>13199999.999998908</v>
      </c>
      <c r="C34" s="8">
        <f t="shared" si="16"/>
        <v>13.199999999998909</v>
      </c>
      <c r="D34" s="10">
        <f t="shared" si="17"/>
        <v>40.523999999996647</v>
      </c>
      <c r="E34" s="7">
        <f>'[5]Production Summary'!E35</f>
        <v>6000000</v>
      </c>
      <c r="F34" s="8">
        <f t="shared" si="18"/>
        <v>6</v>
      </c>
      <c r="G34" s="10">
        <f t="shared" si="19"/>
        <v>18.419999999999998</v>
      </c>
      <c r="H34" s="7">
        <f>'[5]Production Summary'!G35</f>
        <v>9840000</v>
      </c>
      <c r="I34" s="8">
        <f t="shared" si="20"/>
        <v>9.84</v>
      </c>
      <c r="J34" s="10">
        <f t="shared" si="21"/>
        <v>30.208799999999997</v>
      </c>
      <c r="K34" s="7">
        <f>'[5]Production Summary'!T35</f>
        <v>1521857</v>
      </c>
      <c r="L34" s="8">
        <f t="shared" si="22"/>
        <v>1.521857</v>
      </c>
      <c r="M34" s="10">
        <f t="shared" si="23"/>
        <v>4.6721009899999997</v>
      </c>
      <c r="N34" s="21"/>
      <c r="O34" s="7">
        <f>'[5]Production Summary'!I35</f>
        <v>0</v>
      </c>
      <c r="P34" s="8">
        <f t="shared" si="24"/>
        <v>0</v>
      </c>
      <c r="Q34" s="10">
        <f t="shared" si="25"/>
        <v>0</v>
      </c>
      <c r="R34" s="7">
        <f>'[5]Production Summary'!C35</f>
        <v>0</v>
      </c>
      <c r="S34" s="8">
        <f t="shared" si="26"/>
        <v>0</v>
      </c>
      <c r="T34" s="10">
        <f t="shared" si="27"/>
        <v>0</v>
      </c>
      <c r="U34" s="7">
        <f>'[5]Production Summary'!F35</f>
        <v>0</v>
      </c>
      <c r="V34" s="8">
        <f t="shared" si="28"/>
        <v>0</v>
      </c>
      <c r="W34" s="10">
        <f t="shared" si="29"/>
        <v>0</v>
      </c>
      <c r="X34" s="7">
        <f>'[5]Production Summary'!AB35</f>
        <v>0</v>
      </c>
      <c r="Y34" s="8">
        <f t="shared" si="30"/>
        <v>0</v>
      </c>
      <c r="Z34" s="10">
        <f t="shared" si="31"/>
        <v>0</v>
      </c>
      <c r="AA34" s="15"/>
      <c r="AB34" s="7">
        <f t="shared" si="32"/>
        <v>13199999.999998908</v>
      </c>
      <c r="AC34" s="8">
        <f t="shared" si="32"/>
        <v>13.199999999998909</v>
      </c>
      <c r="AD34" s="8">
        <f t="shared" si="32"/>
        <v>40.523999999996647</v>
      </c>
      <c r="AF34" s="8">
        <f t="shared" si="34"/>
        <v>0</v>
      </c>
    </row>
    <row r="35" spans="1:32" ht="14" thickBot="1" x14ac:dyDescent="0.2">
      <c r="A35" s="27">
        <v>43404</v>
      </c>
      <c r="B35" s="7">
        <f>'[5]Production Summary'!J36</f>
        <v>12200000.000000728</v>
      </c>
      <c r="C35" s="8">
        <f t="shared" si="16"/>
        <v>12.200000000000728</v>
      </c>
      <c r="D35" s="10">
        <f t="shared" si="17"/>
        <v>37.454000000002232</v>
      </c>
      <c r="E35" s="7">
        <f>'[5]Production Summary'!E36</f>
        <v>6000000</v>
      </c>
      <c r="F35" s="8">
        <f t="shared" si="18"/>
        <v>6</v>
      </c>
      <c r="G35" s="10">
        <f t="shared" si="19"/>
        <v>18.419999999999998</v>
      </c>
      <c r="H35" s="7">
        <f>'[5]Production Summary'!G36</f>
        <v>8300000</v>
      </c>
      <c r="I35" s="8">
        <f t="shared" si="20"/>
        <v>8.3000000000000007</v>
      </c>
      <c r="J35" s="10">
        <f t="shared" si="21"/>
        <v>25.481000000000002</v>
      </c>
      <c r="K35" s="7">
        <f>'[5]Production Summary'!T36</f>
        <v>1307992</v>
      </c>
      <c r="L35" s="8">
        <f t="shared" si="22"/>
        <v>1.307992</v>
      </c>
      <c r="M35" s="10">
        <f t="shared" si="23"/>
        <v>4.0155354399999998</v>
      </c>
      <c r="N35" s="21"/>
      <c r="O35" s="7">
        <f>'[5]Production Summary'!I36</f>
        <v>0</v>
      </c>
      <c r="P35" s="8">
        <f t="shared" si="24"/>
        <v>0</v>
      </c>
      <c r="Q35" s="10">
        <f t="shared" si="25"/>
        <v>0</v>
      </c>
      <c r="R35" s="7">
        <f>'[5]Production Summary'!C36</f>
        <v>0</v>
      </c>
      <c r="S35" s="8">
        <f t="shared" si="26"/>
        <v>0</v>
      </c>
      <c r="T35" s="10">
        <f t="shared" si="27"/>
        <v>0</v>
      </c>
      <c r="U35" s="7">
        <f>'[5]Production Summary'!F36</f>
        <v>0</v>
      </c>
      <c r="V35" s="8">
        <f t="shared" si="28"/>
        <v>0</v>
      </c>
      <c r="W35" s="10">
        <f t="shared" si="29"/>
        <v>0</v>
      </c>
      <c r="X35" s="7">
        <f>'[5]Production Summary'!AB36</f>
        <v>0</v>
      </c>
      <c r="Y35" s="8">
        <f t="shared" si="30"/>
        <v>0</v>
      </c>
      <c r="Z35" s="10">
        <f t="shared" si="31"/>
        <v>0</v>
      </c>
      <c r="AA35" s="15"/>
      <c r="AB35" s="7">
        <f t="shared" si="32"/>
        <v>12200000.000000728</v>
      </c>
      <c r="AC35" s="8">
        <f t="shared" si="32"/>
        <v>12.200000000000728</v>
      </c>
      <c r="AD35" s="8">
        <f t="shared" si="32"/>
        <v>37.454000000002232</v>
      </c>
      <c r="AF35" s="8">
        <f t="shared" si="34"/>
        <v>0</v>
      </c>
    </row>
    <row r="36" spans="1:32" ht="14" thickBot="1" x14ac:dyDescent="0.2">
      <c r="A36" s="14"/>
      <c r="B36" s="37"/>
      <c r="C36" s="38">
        <f>SUM(C5:C35)</f>
        <v>401.80000000000109</v>
      </c>
      <c r="D36" s="38">
        <f>SUM(D5:D35)</f>
        <v>1233.5260000000035</v>
      </c>
      <c r="E36" s="37"/>
      <c r="F36" s="38">
        <f>SUM(F5:F35)</f>
        <v>173</v>
      </c>
      <c r="G36" s="38">
        <f>SUM(G5:G35)</f>
        <v>531.11000000000013</v>
      </c>
      <c r="H36" s="37"/>
      <c r="I36" s="38">
        <f>SUM(I5:I35)</f>
        <v>286.77999999999997</v>
      </c>
      <c r="J36" s="38">
        <f>SUM(J5:J35)</f>
        <v>880.41459999999995</v>
      </c>
      <c r="K36" s="37"/>
      <c r="L36" s="38">
        <f>SUM(L5:L35)</f>
        <v>44.760224999999984</v>
      </c>
      <c r="M36" s="38">
        <f>SUM(M5:M35)</f>
        <v>137.41389074999998</v>
      </c>
      <c r="N36" s="14"/>
      <c r="O36" s="37"/>
      <c r="P36" s="38">
        <f>SUM(P5:P35)</f>
        <v>80.004999999999995</v>
      </c>
      <c r="Q36" s="38">
        <f>SUM(Q5:Q35)</f>
        <v>245.61535000000001</v>
      </c>
      <c r="R36" s="37"/>
      <c r="S36" s="38">
        <f>SUM(S5:S35)</f>
        <v>81.777999999999992</v>
      </c>
      <c r="T36" s="38">
        <f>SUM(T5:T35)</f>
        <v>251.05846</v>
      </c>
      <c r="U36" s="37"/>
      <c r="V36" s="38">
        <f>SUM(V5:V35)</f>
        <v>0</v>
      </c>
      <c r="W36" s="38">
        <f>SUM(W5:W35)</f>
        <v>0</v>
      </c>
      <c r="X36" s="37"/>
      <c r="Y36" s="38">
        <f>SUM(Y5:Y35)</f>
        <v>1.8629999999999995</v>
      </c>
      <c r="Z36" s="38">
        <f>SUM(Z5:Z35)</f>
        <v>5.7194099999999981</v>
      </c>
      <c r="AA36" s="14"/>
      <c r="AB36" s="37"/>
      <c r="AC36" s="38">
        <f>SUM(AC5:AC35)</f>
        <v>481.80500000000109</v>
      </c>
      <c r="AD36" s="38">
        <f>SUM(AD5:AD35)</f>
        <v>1479.1413500000035</v>
      </c>
      <c r="AF36" s="38">
        <f>SUM(AF5:AF35)</f>
        <v>-0.27629999999999399</v>
      </c>
    </row>
    <row r="37" spans="1:32" x14ac:dyDescent="0.15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V37" s="3"/>
      <c r="W37" s="3"/>
      <c r="X37" s="3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K17"/>
  <sheetViews>
    <sheetView topLeftCell="A10" workbookViewId="0">
      <selection activeCell="B3" sqref="B3:I4"/>
    </sheetView>
  </sheetViews>
  <sheetFormatPr baseColWidth="10" defaultColWidth="9.1640625" defaultRowHeight="13" x14ac:dyDescent="0.15"/>
  <cols>
    <col min="1" max="1" width="9.1640625" style="49"/>
    <col min="2" max="2" width="16" style="49" bestFit="1" customWidth="1"/>
    <col min="3" max="3" width="16.33203125" style="49" bestFit="1" customWidth="1"/>
    <col min="4" max="4" width="16.83203125" style="49" bestFit="1" customWidth="1"/>
    <col min="5" max="5" width="15.6640625" style="49" bestFit="1" customWidth="1"/>
    <col min="6" max="6" width="13.83203125" style="49" bestFit="1" customWidth="1"/>
    <col min="7" max="7" width="21.83203125" style="49" bestFit="1" customWidth="1"/>
    <col min="8" max="8" width="14.1640625" style="49" bestFit="1" customWidth="1"/>
    <col min="9" max="9" width="13.5" style="49" bestFit="1" customWidth="1"/>
    <col min="10" max="16384" width="9.1640625" style="49"/>
  </cols>
  <sheetData>
    <row r="1" spans="1:11" s="42" customFormat="1" x14ac:dyDescent="0.15">
      <c r="B1" s="43" t="s">
        <v>10</v>
      </c>
      <c r="C1" s="43" t="s">
        <v>11</v>
      </c>
      <c r="D1" s="43" t="s">
        <v>12</v>
      </c>
      <c r="E1" s="43" t="s">
        <v>13</v>
      </c>
      <c r="F1" s="43" t="s">
        <v>4</v>
      </c>
      <c r="G1" s="43" t="s">
        <v>3</v>
      </c>
      <c r="H1" s="43" t="s">
        <v>6</v>
      </c>
      <c r="I1" s="43" t="s">
        <v>7</v>
      </c>
      <c r="J1" s="43"/>
      <c r="K1" s="43"/>
    </row>
    <row r="2" spans="1:11" s="44" customFormat="1" x14ac:dyDescent="0.15">
      <c r="B2" s="45" t="s">
        <v>2</v>
      </c>
      <c r="C2" s="45" t="s">
        <v>2</v>
      </c>
      <c r="D2" s="45" t="s">
        <v>2</v>
      </c>
      <c r="E2" s="45" t="s">
        <v>2</v>
      </c>
      <c r="F2" s="45" t="s">
        <v>2</v>
      </c>
      <c r="G2" s="45" t="s">
        <v>2</v>
      </c>
      <c r="H2" s="45" t="s">
        <v>2</v>
      </c>
      <c r="I2" s="45" t="s">
        <v>2</v>
      </c>
      <c r="J2" s="46"/>
      <c r="K2" s="46"/>
    </row>
    <row r="3" spans="1:11" x14ac:dyDescent="0.15">
      <c r="A3" s="47">
        <v>43040</v>
      </c>
      <c r="B3" s="48">
        <f>November!D35</f>
        <v>970.11999999999989</v>
      </c>
      <c r="C3" s="48">
        <f>November!G35</f>
        <v>282.44</v>
      </c>
      <c r="D3" s="48">
        <f>November!J35</f>
        <v>792.76610000000005</v>
      </c>
      <c r="E3" s="48">
        <f>November!M35</f>
        <v>9.5784959374999978</v>
      </c>
      <c r="F3" s="48">
        <f>November!Q35</f>
        <v>182.87682999999998</v>
      </c>
      <c r="G3" s="48">
        <f>November!T35</f>
        <v>187.38359</v>
      </c>
      <c r="H3" s="48">
        <f>November!W35</f>
        <v>50.762449999999994</v>
      </c>
      <c r="I3" s="48">
        <f>November!Z35</f>
        <v>6.5083999999999911</v>
      </c>
    </row>
    <row r="4" spans="1:11" x14ac:dyDescent="0.15">
      <c r="A4" s="47">
        <v>43070</v>
      </c>
      <c r="B4" s="48">
        <f>December!D36</f>
        <v>0</v>
      </c>
      <c r="C4" s="48">
        <f>December!G36</f>
        <v>67.539999999999992</v>
      </c>
      <c r="D4" s="48">
        <f>December!J36</f>
        <v>65.759399999999999</v>
      </c>
      <c r="E4" s="48">
        <f>December!M36</f>
        <v>7.2082679000000001</v>
      </c>
      <c r="F4" s="48">
        <f>December!Q36</f>
        <v>1186.7330599999996</v>
      </c>
      <c r="G4" s="48">
        <f>December!T36</f>
        <v>1211.35139</v>
      </c>
      <c r="H4" s="48">
        <f>December!W36</f>
        <v>0</v>
      </c>
      <c r="I4" s="48">
        <f>December!Z36</f>
        <v>23.970559999999995</v>
      </c>
    </row>
    <row r="5" spans="1:11" x14ac:dyDescent="0.15">
      <c r="A5" s="47">
        <v>43101</v>
      </c>
      <c r="B5" s="48">
        <f>January!D36</f>
        <v>0</v>
      </c>
      <c r="C5" s="48">
        <f>January!G36</f>
        <v>0</v>
      </c>
      <c r="D5" s="48">
        <f>January!J36</f>
        <v>0</v>
      </c>
      <c r="E5" s="48">
        <f>January!M36</f>
        <v>2.0850181299999999</v>
      </c>
      <c r="F5" s="48">
        <f>January!Q36</f>
        <v>1193.7019599999996</v>
      </c>
      <c r="G5" s="48">
        <f>January!T36</f>
        <v>1217.0155399999996</v>
      </c>
      <c r="H5" s="48">
        <f>January!W36</f>
        <v>3.9910000000000001E-2</v>
      </c>
      <c r="I5" s="48">
        <f>January!Z36</f>
        <v>22.665810000000008</v>
      </c>
    </row>
    <row r="6" spans="1:11" x14ac:dyDescent="0.15">
      <c r="A6" s="47">
        <v>43132</v>
      </c>
      <c r="B6" s="48">
        <f>February!D34</f>
        <v>0</v>
      </c>
      <c r="C6" s="48">
        <f>February!G34</f>
        <v>3.07</v>
      </c>
      <c r="D6" s="48">
        <f>February!J34</f>
        <v>3.0699999999999998E-2</v>
      </c>
      <c r="E6" s="48">
        <f>February!M34</f>
        <v>4.6466138499999996</v>
      </c>
      <c r="F6" s="48">
        <f>February!Q34</f>
        <v>1076.45559</v>
      </c>
      <c r="G6" s="48">
        <f>February!T34</f>
        <v>1096.7912699999999</v>
      </c>
      <c r="H6" s="48">
        <f>February!W34</f>
        <v>7.5337800000000001</v>
      </c>
      <c r="I6" s="48">
        <f>February!Z34</f>
        <v>19.752379999999992</v>
      </c>
    </row>
    <row r="7" spans="1:11" x14ac:dyDescent="0.15">
      <c r="A7" s="47">
        <v>43160</v>
      </c>
      <c r="B7" s="48">
        <f>March!D36</f>
        <v>320.815</v>
      </c>
      <c r="C7" s="48">
        <f>March!G36</f>
        <v>481.99000000000012</v>
      </c>
      <c r="D7" s="48">
        <f>March!J36</f>
        <v>6.1399999999999996E-2</v>
      </c>
      <c r="E7" s="48">
        <f>March!M36</f>
        <v>106.15428194</v>
      </c>
      <c r="F7" s="48">
        <f>March!Q36</f>
        <v>887.66593999999998</v>
      </c>
      <c r="G7" s="48">
        <f>March!T36</f>
        <v>899.83235000000002</v>
      </c>
      <c r="H7" s="48">
        <f>March!W36</f>
        <v>314.74254000000002</v>
      </c>
      <c r="I7" s="48">
        <f>March!Z36</f>
        <v>11.65372</v>
      </c>
    </row>
    <row r="8" spans="1:11" x14ac:dyDescent="0.15">
      <c r="A8" s="47">
        <v>43191</v>
      </c>
      <c r="B8" s="48">
        <f>April!D35</f>
        <v>1153.092000000001</v>
      </c>
      <c r="C8" s="48">
        <f>April!G35</f>
        <v>703.02999999999986</v>
      </c>
      <c r="D8" s="48">
        <f>April!J35</f>
        <v>571.02</v>
      </c>
      <c r="E8" s="48">
        <f>April!M35</f>
        <v>113.40425885999997</v>
      </c>
      <c r="F8" s="48">
        <f>April!Q35</f>
        <v>189.65538999999998</v>
      </c>
      <c r="G8" s="48">
        <f>April!T35</f>
        <v>189.99001999999999</v>
      </c>
      <c r="H8" s="48">
        <f>April!W35</f>
        <v>328.45929999999993</v>
      </c>
      <c r="I8" s="48">
        <f>April!Z35</f>
        <v>0</v>
      </c>
    </row>
    <row r="9" spans="1:11" x14ac:dyDescent="0.15">
      <c r="A9" s="47">
        <v>43221</v>
      </c>
      <c r="B9" s="48">
        <f>May!D36</f>
        <v>1554.9549999999999</v>
      </c>
      <c r="C9" s="48">
        <f>May!G36</f>
        <v>1200.3699999999999</v>
      </c>
      <c r="D9" s="48">
        <f>May!J36</f>
        <v>522.08420000000012</v>
      </c>
      <c r="E9" s="48">
        <f>May!M36</f>
        <v>150.64451010999997</v>
      </c>
      <c r="F9" s="48">
        <f>May!Q36</f>
        <v>690.76228000000015</v>
      </c>
      <c r="G9" s="48">
        <f>May!T36</f>
        <v>708.4608300000001</v>
      </c>
      <c r="H9" s="48">
        <f>May!W36</f>
        <v>329.98815999999999</v>
      </c>
      <c r="I9" s="48">
        <f>May!Z36</f>
        <v>17.317870000000017</v>
      </c>
    </row>
    <row r="10" spans="1:11" x14ac:dyDescent="0.15">
      <c r="A10" s="47">
        <v>43252</v>
      </c>
      <c r="B10" s="48">
        <f>June!D35</f>
        <v>2227.2849999999999</v>
      </c>
      <c r="C10" s="48">
        <f>June!G35</f>
        <v>1713.06</v>
      </c>
      <c r="D10" s="48">
        <f>June!J35</f>
        <v>754.45249999999999</v>
      </c>
      <c r="E10" s="48">
        <f>June!M35</f>
        <v>213.94463748999993</v>
      </c>
      <c r="F10" s="48">
        <f>June!Q35</f>
        <v>1173.5903899999998</v>
      </c>
      <c r="G10" s="48">
        <f>June!T35</f>
        <v>1204.1583799999996</v>
      </c>
      <c r="H10" s="48">
        <f>June!W35</f>
        <v>280.38309999999996</v>
      </c>
      <c r="I10" s="48">
        <f>June!Z35</f>
        <v>29.95092</v>
      </c>
    </row>
    <row r="11" spans="1:11" x14ac:dyDescent="0.15">
      <c r="A11" s="47">
        <v>43282</v>
      </c>
      <c r="B11" s="48">
        <f>July!D36</f>
        <v>2399.2049999999999</v>
      </c>
      <c r="C11" s="48">
        <f>June!G35</f>
        <v>1713.06</v>
      </c>
      <c r="D11" s="48">
        <f>July!J36</f>
        <v>933.21859999999981</v>
      </c>
      <c r="E11" s="48">
        <f>July!M36</f>
        <v>226.91134122999992</v>
      </c>
      <c r="F11" s="48">
        <f>July!Q36</f>
        <v>970.09544000000005</v>
      </c>
      <c r="G11" s="48">
        <f>July!T36</f>
        <v>998.1368200000004</v>
      </c>
      <c r="H11" s="48">
        <f>July!W36</f>
        <v>0</v>
      </c>
      <c r="I11" s="48">
        <f>July!Z36</f>
        <v>27.467289999999963</v>
      </c>
    </row>
    <row r="12" spans="1:11" x14ac:dyDescent="0.15">
      <c r="A12" s="47">
        <v>43313</v>
      </c>
      <c r="B12" s="48">
        <f>August!D36</f>
        <v>2056.9</v>
      </c>
      <c r="C12" s="48">
        <f>August!G36</f>
        <v>859.59999999999991</v>
      </c>
      <c r="D12" s="48">
        <f>August!J36</f>
        <v>1425.1247000000003</v>
      </c>
      <c r="E12" s="48">
        <f>August!M36</f>
        <v>202.50423029999999</v>
      </c>
      <c r="F12" s="48">
        <f>August!Q36</f>
        <v>1147.0870799999998</v>
      </c>
      <c r="G12" s="48">
        <f>August!T36</f>
        <v>1176.4731200000001</v>
      </c>
      <c r="H12" s="48">
        <f>August!W36</f>
        <v>0</v>
      </c>
      <c r="I12" s="48">
        <f>August!Z36</f>
        <v>28.793530000000015</v>
      </c>
    </row>
    <row r="13" spans="1:11" x14ac:dyDescent="0.15">
      <c r="A13" s="47">
        <v>43344</v>
      </c>
      <c r="B13" s="48">
        <f>September!D35</f>
        <v>1834.6319999999957</v>
      </c>
      <c r="C13" s="48">
        <f>September!G35</f>
        <v>813.54999999999984</v>
      </c>
      <c r="D13" s="48">
        <f>September!J35</f>
        <v>1243.1043999999999</v>
      </c>
      <c r="E13" s="48">
        <f>September!M35</f>
        <v>191.53315243</v>
      </c>
      <c r="F13" s="48">
        <f>September!Q35</f>
        <v>1021.1556800000001</v>
      </c>
      <c r="G13" s="48">
        <f>September!T35</f>
        <v>1039.3822700000001</v>
      </c>
      <c r="H13" s="48">
        <f>September!W35</f>
        <v>0</v>
      </c>
      <c r="I13" s="48">
        <f>September!Z35</f>
        <v>17.698550000000001</v>
      </c>
    </row>
    <row r="14" spans="1:11" x14ac:dyDescent="0.15">
      <c r="A14" s="47">
        <v>43374</v>
      </c>
      <c r="B14" s="48">
        <f>October!D36</f>
        <v>1233.5260000000035</v>
      </c>
      <c r="C14" s="48">
        <f>October!G36</f>
        <v>531.11000000000013</v>
      </c>
      <c r="D14" s="48">
        <f>October!J36</f>
        <v>880.41459999999995</v>
      </c>
      <c r="E14" s="48">
        <f>October!M36</f>
        <v>137.41389074999998</v>
      </c>
      <c r="F14" s="48">
        <f>October!Q36</f>
        <v>245.61535000000001</v>
      </c>
      <c r="G14" s="48">
        <f>October!T36</f>
        <v>251.05846</v>
      </c>
      <c r="H14" s="48">
        <f>October!W36</f>
        <v>0</v>
      </c>
      <c r="I14" s="48">
        <f>October!Z36</f>
        <v>5.7194099999999981</v>
      </c>
    </row>
    <row r="15" spans="1:11" x14ac:dyDescent="0.15">
      <c r="A15" s="47">
        <v>43405</v>
      </c>
      <c r="B15" s="48"/>
      <c r="C15" s="48"/>
      <c r="D15" s="48"/>
      <c r="E15" s="48"/>
      <c r="F15" s="48"/>
      <c r="G15" s="48"/>
      <c r="H15" s="48"/>
      <c r="I15" s="48"/>
    </row>
    <row r="16" spans="1:11" x14ac:dyDescent="0.15">
      <c r="A16" s="47">
        <v>43435</v>
      </c>
      <c r="B16" s="48"/>
      <c r="C16" s="48"/>
      <c r="D16" s="48"/>
      <c r="E16" s="48"/>
      <c r="F16" s="48"/>
      <c r="G16" s="48"/>
      <c r="H16" s="48"/>
      <c r="I16" s="48"/>
    </row>
    <row r="17" spans="1:9" x14ac:dyDescent="0.15">
      <c r="A17" s="50" t="s">
        <v>14</v>
      </c>
      <c r="B17" s="48">
        <f>SUM(B3:B14)</f>
        <v>13750.53</v>
      </c>
      <c r="C17" s="48">
        <f t="shared" ref="C17:I17" si="0">SUM(C3:C14)</f>
        <v>8368.82</v>
      </c>
      <c r="D17" s="48">
        <f t="shared" si="0"/>
        <v>7188.0366000000004</v>
      </c>
      <c r="E17" s="48">
        <f t="shared" si="0"/>
        <v>1366.0286989274998</v>
      </c>
      <c r="F17" s="48">
        <f t="shared" si="0"/>
        <v>9965.3949899999989</v>
      </c>
      <c r="G17" s="48">
        <f t="shared" si="0"/>
        <v>10180.03404</v>
      </c>
      <c r="H17" s="48">
        <f t="shared" si="0"/>
        <v>1311.90924</v>
      </c>
      <c r="I17" s="48">
        <f t="shared" si="0"/>
        <v>211.49843999999999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9E3D5A97D13E42A3FA97F9F6490356" ma:contentTypeVersion="7" ma:contentTypeDescription="Create a new document." ma:contentTypeScope="" ma:versionID="28c826bd0c557c42625fe5e73ffe2532">
  <xsd:schema xmlns:xsd="http://www.w3.org/2001/XMLSchema" xmlns:xs="http://www.w3.org/2001/XMLSchema" xmlns:p="http://schemas.microsoft.com/office/2006/metadata/properties" xmlns:ns2="c3ceea8c-8d7b-4050-a6dd-ca802b319f33" targetNamespace="http://schemas.microsoft.com/office/2006/metadata/properties" ma:root="true" ma:fieldsID="11134dd55bc57a9ac07ab25088c1a3a5" ns2:_="">
    <xsd:import namespace="c3ceea8c-8d7b-4050-a6dd-ca802b319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eea8c-8d7b-4050-a6dd-ca802b319f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01F677-AC5A-4C7C-BDD1-729B260C92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72336B9-C380-4A9A-B193-693AA2FB56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48B728-6059-48FB-AB92-04FA294AD3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ceea8c-8d7b-4050-a6dd-ca802b319f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Summary</vt:lpstr>
      <vt:lpstr>February!Print_Area</vt:lpstr>
      <vt:lpstr>May!Print_Area</vt:lpstr>
      <vt:lpstr>November!Print_Area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Microsoft Office User</cp:lastModifiedBy>
  <cp:lastPrinted>2017-06-20T17:00:43Z</cp:lastPrinted>
  <dcterms:created xsi:type="dcterms:W3CDTF">2004-01-27T20:05:57Z</dcterms:created>
  <dcterms:modified xsi:type="dcterms:W3CDTF">2020-12-24T16:40:24Z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0x010100C69E3D5A97D13E42A3FA97F9F6490356</vt:lpwstr>
  </property>
</Properties>
</file>