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yotegulch/Documents/Demand Management /"/>
    </mc:Choice>
  </mc:AlternateContent>
  <xr:revisionPtr revIDLastSave="0" documentId="13_ncr:1_{B46D4346-7D45-F64F-BAF5-6E13E7820F86}" xr6:coauthVersionLast="45" xr6:coauthVersionMax="45" xr10:uidLastSave="{00000000-0000-0000-0000-000000000000}"/>
  <bookViews>
    <workbookView xWindow="28640" yWindow="3160" windowWidth="19880" windowHeight="15380" tabRatio="706" firstSheet="2" activeTab="3" xr2:uid="{00000000-000D-0000-FFFF-FFFF00000000}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0" r:id="rId9"/>
    <sheet name="August" sheetId="11" r:id="rId10"/>
    <sheet name="September" sheetId="12" r:id="rId11"/>
    <sheet name="October" sheetId="5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Print_Area" localSheetId="9">August!$B$3:$M$36</definedName>
    <definedName name="_xlnm.Print_Area" localSheetId="8">July!$B$3:$M$36</definedName>
    <definedName name="_xlnm.Print_Area" localSheetId="10">September!$B$1:$M$35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4" i="5" l="1"/>
  <c r="V14" i="5" s="1"/>
  <c r="W14" i="5" s="1"/>
  <c r="U15" i="5"/>
  <c r="V15" i="5" s="1"/>
  <c r="W15" i="5" s="1"/>
  <c r="U16" i="5"/>
  <c r="V16" i="5" s="1"/>
  <c r="W16" i="5" s="1"/>
  <c r="K16" i="5"/>
  <c r="L16" i="5" s="1"/>
  <c r="M16" i="5" s="1"/>
  <c r="K17" i="5"/>
  <c r="L17" i="5" s="1"/>
  <c r="M17" i="5" s="1"/>
  <c r="K18" i="5"/>
  <c r="L18" i="5" s="1"/>
  <c r="M18" i="5" s="1"/>
  <c r="K19" i="5"/>
  <c r="L19" i="5" s="1"/>
  <c r="M19" i="5" s="1"/>
  <c r="K20" i="5"/>
  <c r="L20" i="5" s="1"/>
  <c r="M20" i="5" s="1"/>
  <c r="X35" i="5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R16" i="5"/>
  <c r="O16" i="5"/>
  <c r="X15" i="5"/>
  <c r="R15" i="5"/>
  <c r="O15" i="5"/>
  <c r="X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E35" i="5"/>
  <c r="B35" i="5"/>
  <c r="K34" i="5"/>
  <c r="H34" i="5"/>
  <c r="E34" i="5"/>
  <c r="B34" i="5"/>
  <c r="K33" i="5"/>
  <c r="H33" i="5"/>
  <c r="E33" i="5"/>
  <c r="B33" i="5"/>
  <c r="K32" i="5"/>
  <c r="H32" i="5"/>
  <c r="E32" i="5"/>
  <c r="B32" i="5"/>
  <c r="K31" i="5"/>
  <c r="H31" i="5"/>
  <c r="E31" i="5"/>
  <c r="B31" i="5"/>
  <c r="K30" i="5"/>
  <c r="H30" i="5"/>
  <c r="E30" i="5"/>
  <c r="B30" i="5"/>
  <c r="K29" i="5"/>
  <c r="H29" i="5"/>
  <c r="E29" i="5"/>
  <c r="B29" i="5"/>
  <c r="K28" i="5"/>
  <c r="H28" i="5"/>
  <c r="E28" i="5"/>
  <c r="B28" i="5"/>
  <c r="K27" i="5"/>
  <c r="H27" i="5"/>
  <c r="E27" i="5"/>
  <c r="B27" i="5"/>
  <c r="K26" i="5"/>
  <c r="H26" i="5"/>
  <c r="E26" i="5"/>
  <c r="B26" i="5"/>
  <c r="K25" i="5"/>
  <c r="H25" i="5"/>
  <c r="E25" i="5"/>
  <c r="B25" i="5"/>
  <c r="K24" i="5"/>
  <c r="H24" i="5"/>
  <c r="E24" i="5"/>
  <c r="B24" i="5"/>
  <c r="K23" i="5"/>
  <c r="H23" i="5"/>
  <c r="E23" i="5"/>
  <c r="B23" i="5"/>
  <c r="K22" i="5"/>
  <c r="H22" i="5"/>
  <c r="E22" i="5"/>
  <c r="B22" i="5"/>
  <c r="K21" i="5"/>
  <c r="H21" i="5"/>
  <c r="E21" i="5"/>
  <c r="B21" i="5"/>
  <c r="H20" i="5"/>
  <c r="E20" i="5"/>
  <c r="B20" i="5"/>
  <c r="H19" i="5"/>
  <c r="E19" i="5"/>
  <c r="B19" i="5"/>
  <c r="H18" i="5"/>
  <c r="E18" i="5"/>
  <c r="B18" i="5"/>
  <c r="H17" i="5"/>
  <c r="E17" i="5"/>
  <c r="B17" i="5"/>
  <c r="H16" i="5"/>
  <c r="E16" i="5"/>
  <c r="B16" i="5"/>
  <c r="K15" i="5"/>
  <c r="H15" i="5"/>
  <c r="E15" i="5"/>
  <c r="B15" i="5"/>
  <c r="K14" i="5"/>
  <c r="H14" i="5"/>
  <c r="E14" i="5"/>
  <c r="B14" i="5"/>
  <c r="K13" i="5"/>
  <c r="H13" i="5"/>
  <c r="E13" i="5"/>
  <c r="B13" i="5"/>
  <c r="K12" i="5"/>
  <c r="H12" i="5"/>
  <c r="E12" i="5"/>
  <c r="B12" i="5"/>
  <c r="K11" i="5"/>
  <c r="H11" i="5"/>
  <c r="E11" i="5"/>
  <c r="B11" i="5"/>
  <c r="K10" i="5"/>
  <c r="H10" i="5"/>
  <c r="E10" i="5"/>
  <c r="B10" i="5"/>
  <c r="K9" i="5"/>
  <c r="H9" i="5"/>
  <c r="E9" i="5"/>
  <c r="B9" i="5"/>
  <c r="K8" i="5"/>
  <c r="H8" i="5"/>
  <c r="E8" i="5"/>
  <c r="B8" i="5"/>
  <c r="K7" i="5"/>
  <c r="H7" i="5"/>
  <c r="E7" i="5"/>
  <c r="B7" i="5"/>
  <c r="K6" i="5"/>
  <c r="H6" i="5"/>
  <c r="E6" i="5"/>
  <c r="B6" i="5"/>
  <c r="K5" i="5"/>
  <c r="H5" i="5"/>
  <c r="E5" i="5"/>
  <c r="B5" i="5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E34" i="12"/>
  <c r="B34" i="12"/>
  <c r="K33" i="12"/>
  <c r="H33" i="12"/>
  <c r="E33" i="12"/>
  <c r="B33" i="12"/>
  <c r="K32" i="12"/>
  <c r="H32" i="12"/>
  <c r="E32" i="12"/>
  <c r="B32" i="12"/>
  <c r="K31" i="12"/>
  <c r="H31" i="12"/>
  <c r="E31" i="12"/>
  <c r="B31" i="12"/>
  <c r="K30" i="12"/>
  <c r="H30" i="12"/>
  <c r="E30" i="12"/>
  <c r="B30" i="12"/>
  <c r="K29" i="12"/>
  <c r="H29" i="12"/>
  <c r="E29" i="12"/>
  <c r="B29" i="12"/>
  <c r="K28" i="12"/>
  <c r="H28" i="12"/>
  <c r="E28" i="12"/>
  <c r="B28" i="12"/>
  <c r="K27" i="12"/>
  <c r="H27" i="12"/>
  <c r="E27" i="12"/>
  <c r="B27" i="12"/>
  <c r="K26" i="12"/>
  <c r="H26" i="12"/>
  <c r="E26" i="12"/>
  <c r="B26" i="12"/>
  <c r="K25" i="12"/>
  <c r="H25" i="12"/>
  <c r="E25" i="12"/>
  <c r="B25" i="12"/>
  <c r="K24" i="12"/>
  <c r="H24" i="12"/>
  <c r="E24" i="12"/>
  <c r="B24" i="12"/>
  <c r="K23" i="12"/>
  <c r="H23" i="12"/>
  <c r="E23" i="12"/>
  <c r="B23" i="12"/>
  <c r="K22" i="12"/>
  <c r="H22" i="12"/>
  <c r="E22" i="12"/>
  <c r="B22" i="12"/>
  <c r="K21" i="12"/>
  <c r="H21" i="12"/>
  <c r="E21" i="12"/>
  <c r="B21" i="12"/>
  <c r="K20" i="12"/>
  <c r="H20" i="12"/>
  <c r="E20" i="12"/>
  <c r="B20" i="12"/>
  <c r="K19" i="12"/>
  <c r="H19" i="12"/>
  <c r="E19" i="12"/>
  <c r="B19" i="12"/>
  <c r="K18" i="12"/>
  <c r="H18" i="12"/>
  <c r="E18" i="12"/>
  <c r="B18" i="12"/>
  <c r="K17" i="12"/>
  <c r="H17" i="12"/>
  <c r="E17" i="12"/>
  <c r="B17" i="12"/>
  <c r="K16" i="12"/>
  <c r="H16" i="12"/>
  <c r="E16" i="12"/>
  <c r="B16" i="12"/>
  <c r="K15" i="12"/>
  <c r="H15" i="12"/>
  <c r="E15" i="12"/>
  <c r="B15" i="12"/>
  <c r="K14" i="12"/>
  <c r="H14" i="12"/>
  <c r="E14" i="12"/>
  <c r="B14" i="12"/>
  <c r="K13" i="12"/>
  <c r="H13" i="12"/>
  <c r="E13" i="12"/>
  <c r="B13" i="12"/>
  <c r="K12" i="12"/>
  <c r="H12" i="12"/>
  <c r="E12" i="12"/>
  <c r="B12" i="12"/>
  <c r="K11" i="12"/>
  <c r="H11" i="12"/>
  <c r="E11" i="12"/>
  <c r="B11" i="12"/>
  <c r="K10" i="12"/>
  <c r="H10" i="12"/>
  <c r="E10" i="12"/>
  <c r="B10" i="12"/>
  <c r="K9" i="12"/>
  <c r="H9" i="12"/>
  <c r="E9" i="12"/>
  <c r="B9" i="12"/>
  <c r="K8" i="12"/>
  <c r="H8" i="12"/>
  <c r="E8" i="12"/>
  <c r="B8" i="12"/>
  <c r="K7" i="12"/>
  <c r="H7" i="12"/>
  <c r="E7" i="12"/>
  <c r="B7" i="12"/>
  <c r="K6" i="12"/>
  <c r="H6" i="12"/>
  <c r="E6" i="12"/>
  <c r="B6" i="12"/>
  <c r="K5" i="12"/>
  <c r="H5" i="12"/>
  <c r="E5" i="12"/>
  <c r="B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K35" i="11"/>
  <c r="H35" i="11"/>
  <c r="E35" i="11"/>
  <c r="B35" i="11"/>
  <c r="K34" i="11"/>
  <c r="H34" i="11"/>
  <c r="E34" i="11"/>
  <c r="B34" i="11"/>
  <c r="K33" i="11"/>
  <c r="H33" i="11"/>
  <c r="E33" i="11"/>
  <c r="B33" i="11"/>
  <c r="K32" i="11"/>
  <c r="H32" i="11"/>
  <c r="E32" i="11"/>
  <c r="B32" i="11"/>
  <c r="K31" i="11"/>
  <c r="H31" i="11"/>
  <c r="E31" i="11"/>
  <c r="B31" i="11"/>
  <c r="K30" i="11"/>
  <c r="H30" i="11"/>
  <c r="E30" i="11"/>
  <c r="B30" i="11"/>
  <c r="K29" i="11"/>
  <c r="H29" i="11"/>
  <c r="E29" i="11"/>
  <c r="B29" i="11"/>
  <c r="K28" i="11"/>
  <c r="H28" i="11"/>
  <c r="E28" i="11"/>
  <c r="B28" i="11"/>
  <c r="K27" i="11"/>
  <c r="H27" i="11"/>
  <c r="E27" i="11"/>
  <c r="B27" i="11"/>
  <c r="K26" i="11"/>
  <c r="H26" i="11"/>
  <c r="E26" i="11"/>
  <c r="B26" i="11"/>
  <c r="K25" i="11"/>
  <c r="H25" i="11"/>
  <c r="E25" i="11"/>
  <c r="B25" i="11"/>
  <c r="K24" i="11"/>
  <c r="H24" i="11"/>
  <c r="E24" i="11"/>
  <c r="B24" i="11"/>
  <c r="K23" i="11"/>
  <c r="H23" i="11"/>
  <c r="E23" i="11"/>
  <c r="B23" i="11"/>
  <c r="K22" i="11"/>
  <c r="H22" i="11"/>
  <c r="E22" i="11"/>
  <c r="B22" i="11"/>
  <c r="K21" i="11"/>
  <c r="H21" i="11"/>
  <c r="E21" i="11"/>
  <c r="B21" i="11"/>
  <c r="K20" i="11"/>
  <c r="H20" i="11"/>
  <c r="E20" i="11"/>
  <c r="B20" i="11"/>
  <c r="K19" i="11"/>
  <c r="H19" i="11"/>
  <c r="E19" i="11"/>
  <c r="B19" i="11"/>
  <c r="K18" i="11"/>
  <c r="H18" i="11"/>
  <c r="E18" i="11"/>
  <c r="B18" i="11"/>
  <c r="K17" i="11"/>
  <c r="H17" i="11"/>
  <c r="E17" i="11"/>
  <c r="B17" i="11"/>
  <c r="K16" i="11"/>
  <c r="H16" i="11"/>
  <c r="E16" i="11"/>
  <c r="B16" i="11"/>
  <c r="K15" i="11"/>
  <c r="H15" i="11"/>
  <c r="E15" i="11"/>
  <c r="B15" i="11"/>
  <c r="K14" i="11"/>
  <c r="H14" i="11"/>
  <c r="E14" i="11"/>
  <c r="B14" i="11"/>
  <c r="K13" i="11"/>
  <c r="H13" i="11"/>
  <c r="E13" i="11"/>
  <c r="B13" i="11"/>
  <c r="K12" i="11"/>
  <c r="H12" i="11"/>
  <c r="E12" i="11"/>
  <c r="B12" i="11"/>
  <c r="K11" i="11"/>
  <c r="H11" i="11"/>
  <c r="E11" i="11"/>
  <c r="B11" i="11"/>
  <c r="K10" i="11"/>
  <c r="H10" i="11"/>
  <c r="E10" i="11"/>
  <c r="B10" i="11"/>
  <c r="K9" i="11"/>
  <c r="H9" i="11"/>
  <c r="E9" i="11"/>
  <c r="B9" i="11"/>
  <c r="K8" i="11"/>
  <c r="H8" i="11"/>
  <c r="E8" i="11"/>
  <c r="B8" i="11"/>
  <c r="K7" i="11"/>
  <c r="H7" i="11"/>
  <c r="E7" i="11"/>
  <c r="B7" i="11"/>
  <c r="K6" i="11"/>
  <c r="H6" i="11"/>
  <c r="E6" i="11"/>
  <c r="B6" i="11"/>
  <c r="K5" i="11"/>
  <c r="H5" i="11"/>
  <c r="E5" i="11"/>
  <c r="B5" i="11"/>
  <c r="X35" i="13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AB35" i="10" l="1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X35" i="10"/>
  <c r="U35" i="10"/>
  <c r="R35" i="10"/>
  <c r="O35" i="10"/>
  <c r="X34" i="10"/>
  <c r="U34" i="10"/>
  <c r="R34" i="10"/>
  <c r="O34" i="10"/>
  <c r="X33" i="10"/>
  <c r="U33" i="10"/>
  <c r="R33" i="10"/>
  <c r="O33" i="10"/>
  <c r="X32" i="10"/>
  <c r="U32" i="10"/>
  <c r="R32" i="10"/>
  <c r="O32" i="10"/>
  <c r="X31" i="10"/>
  <c r="U31" i="10"/>
  <c r="R31" i="10"/>
  <c r="O31" i="10"/>
  <c r="X30" i="10"/>
  <c r="U30" i="10"/>
  <c r="R30" i="10"/>
  <c r="O30" i="10"/>
  <c r="X29" i="10"/>
  <c r="U29" i="10"/>
  <c r="R29" i="10"/>
  <c r="O29" i="10"/>
  <c r="X28" i="10"/>
  <c r="U28" i="10"/>
  <c r="R28" i="10"/>
  <c r="O28" i="10"/>
  <c r="X27" i="10"/>
  <c r="U27" i="10"/>
  <c r="R27" i="10"/>
  <c r="O27" i="10"/>
  <c r="X26" i="10"/>
  <c r="U26" i="10"/>
  <c r="R26" i="10"/>
  <c r="O26" i="10"/>
  <c r="X25" i="10"/>
  <c r="U25" i="10"/>
  <c r="R25" i="10"/>
  <c r="O25" i="10"/>
  <c r="X24" i="10"/>
  <c r="U24" i="10"/>
  <c r="R24" i="10"/>
  <c r="O24" i="10"/>
  <c r="X23" i="10"/>
  <c r="U23" i="10"/>
  <c r="R23" i="10"/>
  <c r="O23" i="10"/>
  <c r="X22" i="10"/>
  <c r="U22" i="10"/>
  <c r="R22" i="10"/>
  <c r="O22" i="10"/>
  <c r="X21" i="10"/>
  <c r="U21" i="10"/>
  <c r="R21" i="10"/>
  <c r="O21" i="10"/>
  <c r="X20" i="10"/>
  <c r="U20" i="10"/>
  <c r="R20" i="10"/>
  <c r="O20" i="10"/>
  <c r="X19" i="10"/>
  <c r="U19" i="10"/>
  <c r="R19" i="10"/>
  <c r="O19" i="10"/>
  <c r="X18" i="10"/>
  <c r="U18" i="10"/>
  <c r="R18" i="10"/>
  <c r="O18" i="10"/>
  <c r="X17" i="10"/>
  <c r="U17" i="10"/>
  <c r="R17" i="10"/>
  <c r="O17" i="10"/>
  <c r="X16" i="10"/>
  <c r="U16" i="10"/>
  <c r="R16" i="10"/>
  <c r="O16" i="10"/>
  <c r="X15" i="10"/>
  <c r="U15" i="10"/>
  <c r="R15" i="10"/>
  <c r="O15" i="10"/>
  <c r="X14" i="10"/>
  <c r="U14" i="10"/>
  <c r="R14" i="10"/>
  <c r="O14" i="10"/>
  <c r="X13" i="10"/>
  <c r="U13" i="10"/>
  <c r="R13" i="10"/>
  <c r="O13" i="10"/>
  <c r="X12" i="10"/>
  <c r="U12" i="10"/>
  <c r="R12" i="10"/>
  <c r="O12" i="10"/>
  <c r="X11" i="10"/>
  <c r="U11" i="10"/>
  <c r="R11" i="10"/>
  <c r="O11" i="10"/>
  <c r="X10" i="10"/>
  <c r="U10" i="10"/>
  <c r="R10" i="10"/>
  <c r="O10" i="10"/>
  <c r="X9" i="10"/>
  <c r="U9" i="10"/>
  <c r="R9" i="10"/>
  <c r="O9" i="10"/>
  <c r="X8" i="10"/>
  <c r="U8" i="10"/>
  <c r="R8" i="10"/>
  <c r="O8" i="10"/>
  <c r="X7" i="10"/>
  <c r="U7" i="10"/>
  <c r="R7" i="10"/>
  <c r="O7" i="10"/>
  <c r="X6" i="10"/>
  <c r="U6" i="10"/>
  <c r="R6" i="10"/>
  <c r="O6" i="10"/>
  <c r="X5" i="10"/>
  <c r="U5" i="10"/>
  <c r="R5" i="10"/>
  <c r="O5" i="10"/>
  <c r="K35" i="10"/>
  <c r="H35" i="10"/>
  <c r="E35" i="10"/>
  <c r="B35" i="10"/>
  <c r="K34" i="10"/>
  <c r="H34" i="10"/>
  <c r="E34" i="10"/>
  <c r="B34" i="10"/>
  <c r="K33" i="10"/>
  <c r="H33" i="10"/>
  <c r="E33" i="10"/>
  <c r="B33" i="10"/>
  <c r="K32" i="10"/>
  <c r="H32" i="10"/>
  <c r="E32" i="10"/>
  <c r="B32" i="10"/>
  <c r="K31" i="10"/>
  <c r="H31" i="10"/>
  <c r="E31" i="10"/>
  <c r="B31" i="10"/>
  <c r="K30" i="10"/>
  <c r="H30" i="10"/>
  <c r="E30" i="10"/>
  <c r="B30" i="10"/>
  <c r="K29" i="10"/>
  <c r="H29" i="10"/>
  <c r="E29" i="10"/>
  <c r="B29" i="10"/>
  <c r="K28" i="10"/>
  <c r="H28" i="10"/>
  <c r="E28" i="10"/>
  <c r="B28" i="10"/>
  <c r="K27" i="10"/>
  <c r="H27" i="10"/>
  <c r="E27" i="10"/>
  <c r="B27" i="10"/>
  <c r="K26" i="10"/>
  <c r="H26" i="10"/>
  <c r="E26" i="10"/>
  <c r="B26" i="10"/>
  <c r="K25" i="10"/>
  <c r="H25" i="10"/>
  <c r="E25" i="10"/>
  <c r="B25" i="10"/>
  <c r="K24" i="10"/>
  <c r="H24" i="10"/>
  <c r="E24" i="10"/>
  <c r="B24" i="10"/>
  <c r="K23" i="10"/>
  <c r="H23" i="10"/>
  <c r="E23" i="10"/>
  <c r="B23" i="10"/>
  <c r="K22" i="10"/>
  <c r="H22" i="10"/>
  <c r="E22" i="10"/>
  <c r="B22" i="10"/>
  <c r="K21" i="10"/>
  <c r="H21" i="10"/>
  <c r="E21" i="10"/>
  <c r="B21" i="10"/>
  <c r="K20" i="10"/>
  <c r="H20" i="10"/>
  <c r="E20" i="10"/>
  <c r="B20" i="10"/>
  <c r="K19" i="10"/>
  <c r="H19" i="10"/>
  <c r="E19" i="10"/>
  <c r="B19" i="10"/>
  <c r="K18" i="10"/>
  <c r="H18" i="10"/>
  <c r="E18" i="10"/>
  <c r="B18" i="10"/>
  <c r="K17" i="10"/>
  <c r="H17" i="10"/>
  <c r="E17" i="10"/>
  <c r="B17" i="10"/>
  <c r="K16" i="10"/>
  <c r="H16" i="10"/>
  <c r="E16" i="10"/>
  <c r="B16" i="10"/>
  <c r="K15" i="10"/>
  <c r="H15" i="10"/>
  <c r="E15" i="10"/>
  <c r="B15" i="10"/>
  <c r="K14" i="10"/>
  <c r="H14" i="10"/>
  <c r="E14" i="10"/>
  <c r="B14" i="10"/>
  <c r="K13" i="10"/>
  <c r="H13" i="10"/>
  <c r="E13" i="10"/>
  <c r="B13" i="10"/>
  <c r="K12" i="10"/>
  <c r="H12" i="10"/>
  <c r="E12" i="10"/>
  <c r="B12" i="10"/>
  <c r="K11" i="10"/>
  <c r="H11" i="10"/>
  <c r="E11" i="10"/>
  <c r="B11" i="10"/>
  <c r="K10" i="10"/>
  <c r="H10" i="10"/>
  <c r="E10" i="10"/>
  <c r="B10" i="10"/>
  <c r="K9" i="10"/>
  <c r="H9" i="10"/>
  <c r="E9" i="10"/>
  <c r="B9" i="10"/>
  <c r="K8" i="10"/>
  <c r="H8" i="10"/>
  <c r="E8" i="10"/>
  <c r="B8" i="10"/>
  <c r="K7" i="10"/>
  <c r="H7" i="10"/>
  <c r="E7" i="10"/>
  <c r="B7" i="10"/>
  <c r="K6" i="10"/>
  <c r="H6" i="10"/>
  <c r="E6" i="10"/>
  <c r="B6" i="10"/>
  <c r="K5" i="10"/>
  <c r="H5" i="10"/>
  <c r="E5" i="10"/>
  <c r="B5" i="10"/>
  <c r="X34" i="9"/>
  <c r="U34" i="9"/>
  <c r="R34" i="9"/>
  <c r="O34" i="9"/>
  <c r="X33" i="9"/>
  <c r="U33" i="9"/>
  <c r="R33" i="9"/>
  <c r="O33" i="9"/>
  <c r="X32" i="9"/>
  <c r="U32" i="9"/>
  <c r="R32" i="9"/>
  <c r="O32" i="9"/>
  <c r="X31" i="9"/>
  <c r="U31" i="9"/>
  <c r="R31" i="9"/>
  <c r="O31" i="9"/>
  <c r="X30" i="9"/>
  <c r="U30" i="9"/>
  <c r="R30" i="9"/>
  <c r="O30" i="9"/>
  <c r="X29" i="9"/>
  <c r="U29" i="9"/>
  <c r="R29" i="9"/>
  <c r="O29" i="9"/>
  <c r="X28" i="9"/>
  <c r="U28" i="9"/>
  <c r="R28" i="9"/>
  <c r="O28" i="9"/>
  <c r="X27" i="9"/>
  <c r="U27" i="9"/>
  <c r="R27" i="9"/>
  <c r="O27" i="9"/>
  <c r="X26" i="9"/>
  <c r="U26" i="9"/>
  <c r="R26" i="9"/>
  <c r="O26" i="9"/>
  <c r="X25" i="9"/>
  <c r="U25" i="9"/>
  <c r="R25" i="9"/>
  <c r="O25" i="9"/>
  <c r="X24" i="9"/>
  <c r="U24" i="9"/>
  <c r="R24" i="9"/>
  <c r="O24" i="9"/>
  <c r="X23" i="9"/>
  <c r="U23" i="9"/>
  <c r="R23" i="9"/>
  <c r="O23" i="9"/>
  <c r="X22" i="9"/>
  <c r="U22" i="9"/>
  <c r="R22" i="9"/>
  <c r="O22" i="9"/>
  <c r="X21" i="9"/>
  <c r="U21" i="9"/>
  <c r="R21" i="9"/>
  <c r="O21" i="9"/>
  <c r="X20" i="9"/>
  <c r="U20" i="9"/>
  <c r="R20" i="9"/>
  <c r="O20" i="9"/>
  <c r="X19" i="9"/>
  <c r="U19" i="9"/>
  <c r="R19" i="9"/>
  <c r="O19" i="9"/>
  <c r="X18" i="9"/>
  <c r="U18" i="9"/>
  <c r="R18" i="9"/>
  <c r="O18" i="9"/>
  <c r="X17" i="9"/>
  <c r="U17" i="9"/>
  <c r="R17" i="9"/>
  <c r="O17" i="9"/>
  <c r="X16" i="9"/>
  <c r="U16" i="9"/>
  <c r="R16" i="9"/>
  <c r="O16" i="9"/>
  <c r="X15" i="9"/>
  <c r="U15" i="9"/>
  <c r="R15" i="9"/>
  <c r="O15" i="9"/>
  <c r="X14" i="9"/>
  <c r="U14" i="9"/>
  <c r="R14" i="9"/>
  <c r="O14" i="9"/>
  <c r="X13" i="9"/>
  <c r="U13" i="9"/>
  <c r="R13" i="9"/>
  <c r="O13" i="9"/>
  <c r="X12" i="9"/>
  <c r="U12" i="9"/>
  <c r="R12" i="9"/>
  <c r="O12" i="9"/>
  <c r="X11" i="9"/>
  <c r="U11" i="9"/>
  <c r="R11" i="9"/>
  <c r="O11" i="9"/>
  <c r="X10" i="9"/>
  <c r="U10" i="9"/>
  <c r="R10" i="9"/>
  <c r="O10" i="9"/>
  <c r="X9" i="9"/>
  <c r="U9" i="9"/>
  <c r="R9" i="9"/>
  <c r="O9" i="9"/>
  <c r="X8" i="9"/>
  <c r="U8" i="9"/>
  <c r="R8" i="9"/>
  <c r="O8" i="9"/>
  <c r="X7" i="9"/>
  <c r="U7" i="9"/>
  <c r="R7" i="9"/>
  <c r="O7" i="9"/>
  <c r="X6" i="9"/>
  <c r="U6" i="9"/>
  <c r="R6" i="9"/>
  <c r="O6" i="9"/>
  <c r="X5" i="9"/>
  <c r="U5" i="9"/>
  <c r="R5" i="9"/>
  <c r="O5" i="9"/>
  <c r="K34" i="9"/>
  <c r="H34" i="9"/>
  <c r="E34" i="9"/>
  <c r="B34" i="9"/>
  <c r="K33" i="9"/>
  <c r="H33" i="9"/>
  <c r="E33" i="9"/>
  <c r="B33" i="9"/>
  <c r="K32" i="9"/>
  <c r="H32" i="9"/>
  <c r="E32" i="9"/>
  <c r="B32" i="9"/>
  <c r="K31" i="9"/>
  <c r="H31" i="9"/>
  <c r="E31" i="9"/>
  <c r="B31" i="9"/>
  <c r="K30" i="9"/>
  <c r="H30" i="9"/>
  <c r="E30" i="9"/>
  <c r="B30" i="9"/>
  <c r="K29" i="9"/>
  <c r="H29" i="9"/>
  <c r="E29" i="9"/>
  <c r="B29" i="9"/>
  <c r="K28" i="9"/>
  <c r="H28" i="9"/>
  <c r="E28" i="9"/>
  <c r="B28" i="9"/>
  <c r="K27" i="9"/>
  <c r="H27" i="9"/>
  <c r="E27" i="9"/>
  <c r="B27" i="9"/>
  <c r="K26" i="9"/>
  <c r="H26" i="9"/>
  <c r="E26" i="9"/>
  <c r="B26" i="9"/>
  <c r="K25" i="9"/>
  <c r="H25" i="9"/>
  <c r="E25" i="9"/>
  <c r="B25" i="9"/>
  <c r="K24" i="9"/>
  <c r="H24" i="9"/>
  <c r="E24" i="9"/>
  <c r="B24" i="9"/>
  <c r="K23" i="9"/>
  <c r="H23" i="9"/>
  <c r="E23" i="9"/>
  <c r="B23" i="9"/>
  <c r="K22" i="9"/>
  <c r="H22" i="9"/>
  <c r="E22" i="9"/>
  <c r="B22" i="9"/>
  <c r="K21" i="9"/>
  <c r="H21" i="9"/>
  <c r="E21" i="9"/>
  <c r="B21" i="9"/>
  <c r="K20" i="9"/>
  <c r="H20" i="9"/>
  <c r="E20" i="9"/>
  <c r="B20" i="9"/>
  <c r="K19" i="9"/>
  <c r="H19" i="9"/>
  <c r="E19" i="9"/>
  <c r="B19" i="9"/>
  <c r="K18" i="9"/>
  <c r="H18" i="9"/>
  <c r="E18" i="9"/>
  <c r="B18" i="9"/>
  <c r="K17" i="9"/>
  <c r="H17" i="9"/>
  <c r="E17" i="9"/>
  <c r="B17" i="9"/>
  <c r="K16" i="9"/>
  <c r="H16" i="9"/>
  <c r="E16" i="9"/>
  <c r="B16" i="9"/>
  <c r="K15" i="9"/>
  <c r="H15" i="9"/>
  <c r="E15" i="9"/>
  <c r="B15" i="9"/>
  <c r="K14" i="9"/>
  <c r="H14" i="9"/>
  <c r="E14" i="9"/>
  <c r="B14" i="9"/>
  <c r="K13" i="9"/>
  <c r="H13" i="9"/>
  <c r="E13" i="9"/>
  <c r="B13" i="9"/>
  <c r="K12" i="9"/>
  <c r="H12" i="9"/>
  <c r="E12" i="9"/>
  <c r="B12" i="9"/>
  <c r="K11" i="9"/>
  <c r="H11" i="9"/>
  <c r="E11" i="9"/>
  <c r="B11" i="9"/>
  <c r="K10" i="9"/>
  <c r="H10" i="9"/>
  <c r="E10" i="9"/>
  <c r="B10" i="9"/>
  <c r="K9" i="9"/>
  <c r="H9" i="9"/>
  <c r="E9" i="9"/>
  <c r="B9" i="9"/>
  <c r="K8" i="9"/>
  <c r="H8" i="9"/>
  <c r="E8" i="9"/>
  <c r="B8" i="9"/>
  <c r="K7" i="9"/>
  <c r="H7" i="9"/>
  <c r="E7" i="9"/>
  <c r="B7" i="9"/>
  <c r="K6" i="9"/>
  <c r="H6" i="9"/>
  <c r="E6" i="9"/>
  <c r="B6" i="9"/>
  <c r="K5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H31" i="8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K34" i="7"/>
  <c r="H34" i="7"/>
  <c r="E34" i="7"/>
  <c r="B34" i="7"/>
  <c r="AB34" i="7" s="1"/>
  <c r="K33" i="7"/>
  <c r="H33" i="7"/>
  <c r="E33" i="7"/>
  <c r="B33" i="7"/>
  <c r="AB33" i="7" s="1"/>
  <c r="K32" i="7"/>
  <c r="H32" i="7"/>
  <c r="E32" i="7"/>
  <c r="B32" i="7"/>
  <c r="AB32" i="7" s="1"/>
  <c r="K31" i="7"/>
  <c r="H31" i="7"/>
  <c r="E31" i="7"/>
  <c r="B31" i="7"/>
  <c r="AB31" i="7" s="1"/>
  <c r="K30" i="7"/>
  <c r="H30" i="7"/>
  <c r="E30" i="7"/>
  <c r="B30" i="7"/>
  <c r="K29" i="7"/>
  <c r="H29" i="7"/>
  <c r="E29" i="7"/>
  <c r="B29" i="7"/>
  <c r="AB29" i="7" s="1"/>
  <c r="K28" i="7"/>
  <c r="H28" i="7"/>
  <c r="E28" i="7"/>
  <c r="B28" i="7"/>
  <c r="AB28" i="7" s="1"/>
  <c r="K27" i="7"/>
  <c r="H27" i="7"/>
  <c r="E27" i="7"/>
  <c r="B27" i="7"/>
  <c r="AB27" i="7" s="1"/>
  <c r="K26" i="7"/>
  <c r="H26" i="7"/>
  <c r="E26" i="7"/>
  <c r="B26" i="7"/>
  <c r="AB26" i="7" s="1"/>
  <c r="K25" i="7"/>
  <c r="H25" i="7"/>
  <c r="E25" i="7"/>
  <c r="B25" i="7"/>
  <c r="AB25" i="7" s="1"/>
  <c r="K24" i="7"/>
  <c r="H24" i="7"/>
  <c r="E24" i="7"/>
  <c r="B24" i="7"/>
  <c r="AB24" i="7" s="1"/>
  <c r="K23" i="7"/>
  <c r="H23" i="7"/>
  <c r="E23" i="7"/>
  <c r="B23" i="7"/>
  <c r="AB23" i="7" s="1"/>
  <c r="K22" i="7"/>
  <c r="H22" i="7"/>
  <c r="E22" i="7"/>
  <c r="B22" i="7"/>
  <c r="K21" i="7"/>
  <c r="H21" i="7"/>
  <c r="E21" i="7"/>
  <c r="B21" i="7"/>
  <c r="AB21" i="7" s="1"/>
  <c r="K20" i="7"/>
  <c r="H20" i="7"/>
  <c r="E20" i="7"/>
  <c r="B20" i="7"/>
  <c r="AB20" i="7" s="1"/>
  <c r="K19" i="7"/>
  <c r="H19" i="7"/>
  <c r="E19" i="7"/>
  <c r="B19" i="7"/>
  <c r="AB19" i="7" s="1"/>
  <c r="K18" i="7"/>
  <c r="H18" i="7"/>
  <c r="E18" i="7"/>
  <c r="B18" i="7"/>
  <c r="AB18" i="7" s="1"/>
  <c r="K17" i="7"/>
  <c r="H17" i="7"/>
  <c r="E17" i="7"/>
  <c r="B17" i="7"/>
  <c r="AB17" i="7" s="1"/>
  <c r="K16" i="7"/>
  <c r="H16" i="7"/>
  <c r="E16" i="7"/>
  <c r="B16" i="7"/>
  <c r="AB16" i="7" s="1"/>
  <c r="K15" i="7"/>
  <c r="H15" i="7"/>
  <c r="E15" i="7"/>
  <c r="B15" i="7"/>
  <c r="AB15" i="7" s="1"/>
  <c r="K14" i="7"/>
  <c r="H14" i="7"/>
  <c r="E14" i="7"/>
  <c r="B14" i="7"/>
  <c r="K13" i="7"/>
  <c r="H13" i="7"/>
  <c r="E13" i="7"/>
  <c r="B13" i="7"/>
  <c r="AB13" i="7" s="1"/>
  <c r="K12" i="7"/>
  <c r="H12" i="7"/>
  <c r="E12" i="7"/>
  <c r="B12" i="7"/>
  <c r="AB12" i="7" s="1"/>
  <c r="K11" i="7"/>
  <c r="H11" i="7"/>
  <c r="E11" i="7"/>
  <c r="B11" i="7"/>
  <c r="AB11" i="7" s="1"/>
  <c r="K10" i="7"/>
  <c r="H10" i="7"/>
  <c r="E10" i="7"/>
  <c r="B10" i="7"/>
  <c r="AB10" i="7" s="1"/>
  <c r="K9" i="7"/>
  <c r="H9" i="7"/>
  <c r="E9" i="7"/>
  <c r="B9" i="7"/>
  <c r="AB9" i="7" s="1"/>
  <c r="K8" i="7"/>
  <c r="H8" i="7"/>
  <c r="E8" i="7"/>
  <c r="B8" i="7"/>
  <c r="AB8" i="7" s="1"/>
  <c r="K7" i="7"/>
  <c r="H7" i="7"/>
  <c r="E7" i="7"/>
  <c r="B7" i="7"/>
  <c r="AB7" i="7" s="1"/>
  <c r="K6" i="7"/>
  <c r="H6" i="7"/>
  <c r="E6" i="7"/>
  <c r="B6" i="7"/>
  <c r="K5" i="7"/>
  <c r="H5" i="7"/>
  <c r="E5" i="7"/>
  <c r="B5" i="7"/>
  <c r="AB5" i="7" s="1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X32" i="4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2" i="4"/>
  <c r="H32" i="4"/>
  <c r="E32" i="4"/>
  <c r="B32" i="4"/>
  <c r="AB32" i="4" s="1"/>
  <c r="K31" i="4"/>
  <c r="H31" i="4"/>
  <c r="E31" i="4"/>
  <c r="B31" i="4"/>
  <c r="AB31" i="4" s="1"/>
  <c r="K30" i="4"/>
  <c r="H30" i="4"/>
  <c r="E30" i="4"/>
  <c r="B30" i="4"/>
  <c r="K29" i="4"/>
  <c r="H29" i="4"/>
  <c r="E29" i="4"/>
  <c r="B29" i="4"/>
  <c r="AB29" i="4" s="1"/>
  <c r="K28" i="4"/>
  <c r="H28" i="4"/>
  <c r="E28" i="4"/>
  <c r="B28" i="4"/>
  <c r="AB28" i="4" s="1"/>
  <c r="K27" i="4"/>
  <c r="H27" i="4"/>
  <c r="E27" i="4"/>
  <c r="B27" i="4"/>
  <c r="AB27" i="4" s="1"/>
  <c r="K26" i="4"/>
  <c r="H26" i="4"/>
  <c r="E26" i="4"/>
  <c r="B26" i="4"/>
  <c r="AB26" i="4" s="1"/>
  <c r="K25" i="4"/>
  <c r="H25" i="4"/>
  <c r="E25" i="4"/>
  <c r="B25" i="4"/>
  <c r="AB25" i="4" s="1"/>
  <c r="K24" i="4"/>
  <c r="H24" i="4"/>
  <c r="E24" i="4"/>
  <c r="B24" i="4"/>
  <c r="AB24" i="4" s="1"/>
  <c r="K23" i="4"/>
  <c r="H23" i="4"/>
  <c r="E23" i="4"/>
  <c r="B23" i="4"/>
  <c r="AB23" i="4" s="1"/>
  <c r="K22" i="4"/>
  <c r="H22" i="4"/>
  <c r="E22" i="4"/>
  <c r="B22" i="4"/>
  <c r="K21" i="4"/>
  <c r="H21" i="4"/>
  <c r="E21" i="4"/>
  <c r="B21" i="4"/>
  <c r="AB21" i="4" s="1"/>
  <c r="K20" i="4"/>
  <c r="H20" i="4"/>
  <c r="E20" i="4"/>
  <c r="B20" i="4"/>
  <c r="AB20" i="4" s="1"/>
  <c r="K19" i="4"/>
  <c r="H19" i="4"/>
  <c r="E19" i="4"/>
  <c r="B19" i="4"/>
  <c r="AB19" i="4" s="1"/>
  <c r="K18" i="4"/>
  <c r="H18" i="4"/>
  <c r="E18" i="4"/>
  <c r="B18" i="4"/>
  <c r="AB18" i="4" s="1"/>
  <c r="K17" i="4"/>
  <c r="H17" i="4"/>
  <c r="E17" i="4"/>
  <c r="B17" i="4"/>
  <c r="AB17" i="4" s="1"/>
  <c r="K16" i="4"/>
  <c r="H16" i="4"/>
  <c r="E16" i="4"/>
  <c r="B16" i="4"/>
  <c r="AB16" i="4" s="1"/>
  <c r="K15" i="4"/>
  <c r="H15" i="4"/>
  <c r="E15" i="4"/>
  <c r="B15" i="4"/>
  <c r="AB15" i="4" s="1"/>
  <c r="K14" i="4"/>
  <c r="H14" i="4"/>
  <c r="E14" i="4"/>
  <c r="B14" i="4"/>
  <c r="K13" i="4"/>
  <c r="H13" i="4"/>
  <c r="E13" i="4"/>
  <c r="B13" i="4"/>
  <c r="AB13" i="4" s="1"/>
  <c r="K12" i="4"/>
  <c r="H12" i="4"/>
  <c r="E12" i="4"/>
  <c r="B12" i="4"/>
  <c r="AB12" i="4" s="1"/>
  <c r="K11" i="4"/>
  <c r="H11" i="4"/>
  <c r="E11" i="4"/>
  <c r="B11" i="4"/>
  <c r="AB11" i="4" s="1"/>
  <c r="K10" i="4"/>
  <c r="H10" i="4"/>
  <c r="E10" i="4"/>
  <c r="B10" i="4"/>
  <c r="AB10" i="4" s="1"/>
  <c r="K9" i="4"/>
  <c r="H9" i="4"/>
  <c r="E9" i="4"/>
  <c r="B9" i="4"/>
  <c r="AB9" i="4" s="1"/>
  <c r="K8" i="4"/>
  <c r="H8" i="4"/>
  <c r="E8" i="4"/>
  <c r="B8" i="4"/>
  <c r="AB8" i="4" s="1"/>
  <c r="K7" i="4"/>
  <c r="H7" i="4"/>
  <c r="E7" i="4"/>
  <c r="B7" i="4"/>
  <c r="AB7" i="4" s="1"/>
  <c r="K6" i="4"/>
  <c r="H6" i="4"/>
  <c r="E6" i="4"/>
  <c r="B6" i="4"/>
  <c r="K5" i="4"/>
  <c r="H5" i="4"/>
  <c r="E5" i="4"/>
  <c r="B5" i="4"/>
  <c r="AB5" i="4" s="1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E35" i="1"/>
  <c r="B35" i="1"/>
  <c r="AB35" i="1" s="1"/>
  <c r="K34" i="1"/>
  <c r="H34" i="1"/>
  <c r="E34" i="1"/>
  <c r="B34" i="1"/>
  <c r="AB34" i="1" s="1"/>
  <c r="K33" i="1"/>
  <c r="H33" i="1"/>
  <c r="E33" i="1"/>
  <c r="B33" i="1"/>
  <c r="AB33" i="1" s="1"/>
  <c r="K32" i="1"/>
  <c r="H32" i="1"/>
  <c r="E32" i="1"/>
  <c r="B32" i="1"/>
  <c r="AB32" i="1" s="1"/>
  <c r="K31" i="1"/>
  <c r="H31" i="1"/>
  <c r="E31" i="1"/>
  <c r="B31" i="1"/>
  <c r="AB31" i="1" s="1"/>
  <c r="K30" i="1"/>
  <c r="H30" i="1"/>
  <c r="E30" i="1"/>
  <c r="B30" i="1"/>
  <c r="AB30" i="1" s="1"/>
  <c r="K29" i="1"/>
  <c r="H29" i="1"/>
  <c r="E29" i="1"/>
  <c r="B29" i="1"/>
  <c r="K28" i="1"/>
  <c r="H28" i="1"/>
  <c r="E28" i="1"/>
  <c r="B28" i="1"/>
  <c r="AB28" i="1" s="1"/>
  <c r="K27" i="1"/>
  <c r="H27" i="1"/>
  <c r="E27" i="1"/>
  <c r="B27" i="1"/>
  <c r="AB27" i="1" s="1"/>
  <c r="K26" i="1"/>
  <c r="H26" i="1"/>
  <c r="E26" i="1"/>
  <c r="B26" i="1"/>
  <c r="AB26" i="1" s="1"/>
  <c r="K25" i="1"/>
  <c r="H25" i="1"/>
  <c r="E25" i="1"/>
  <c r="B25" i="1"/>
  <c r="AB25" i="1" s="1"/>
  <c r="K24" i="1"/>
  <c r="H24" i="1"/>
  <c r="E24" i="1"/>
  <c r="B24" i="1"/>
  <c r="AB24" i="1" s="1"/>
  <c r="K23" i="1"/>
  <c r="H23" i="1"/>
  <c r="E23" i="1"/>
  <c r="B23" i="1"/>
  <c r="AB23" i="1" s="1"/>
  <c r="K22" i="1"/>
  <c r="H22" i="1"/>
  <c r="E22" i="1"/>
  <c r="B22" i="1"/>
  <c r="AB22" i="1" s="1"/>
  <c r="K21" i="1"/>
  <c r="H21" i="1"/>
  <c r="E21" i="1"/>
  <c r="B21" i="1"/>
  <c r="K20" i="1"/>
  <c r="H20" i="1"/>
  <c r="E20" i="1"/>
  <c r="B20" i="1"/>
  <c r="AB20" i="1" s="1"/>
  <c r="K19" i="1"/>
  <c r="H19" i="1"/>
  <c r="E19" i="1"/>
  <c r="B19" i="1"/>
  <c r="AB19" i="1" s="1"/>
  <c r="K18" i="1"/>
  <c r="H18" i="1"/>
  <c r="E18" i="1"/>
  <c r="B18" i="1"/>
  <c r="AB18" i="1" s="1"/>
  <c r="K17" i="1"/>
  <c r="H17" i="1"/>
  <c r="E17" i="1"/>
  <c r="B17" i="1"/>
  <c r="AB17" i="1" s="1"/>
  <c r="K16" i="1"/>
  <c r="H16" i="1"/>
  <c r="E16" i="1"/>
  <c r="B16" i="1"/>
  <c r="AB16" i="1" s="1"/>
  <c r="K15" i="1"/>
  <c r="H15" i="1"/>
  <c r="E15" i="1"/>
  <c r="B15" i="1"/>
  <c r="AB15" i="1" s="1"/>
  <c r="K14" i="1"/>
  <c r="H14" i="1"/>
  <c r="E14" i="1"/>
  <c r="B14" i="1"/>
  <c r="AB14" i="1" s="1"/>
  <c r="K13" i="1"/>
  <c r="H13" i="1"/>
  <c r="E13" i="1"/>
  <c r="B13" i="1"/>
  <c r="AB13" i="1" s="1"/>
  <c r="K12" i="1"/>
  <c r="H12" i="1"/>
  <c r="E12" i="1"/>
  <c r="B12" i="1"/>
  <c r="AB12" i="1" s="1"/>
  <c r="K11" i="1"/>
  <c r="H11" i="1"/>
  <c r="E11" i="1"/>
  <c r="B11" i="1"/>
  <c r="AB11" i="1" s="1"/>
  <c r="K10" i="1"/>
  <c r="H10" i="1"/>
  <c r="E10" i="1"/>
  <c r="B10" i="1"/>
  <c r="AB10" i="1" s="1"/>
  <c r="K9" i="1"/>
  <c r="H9" i="1"/>
  <c r="E9" i="1"/>
  <c r="B9" i="1"/>
  <c r="AB9" i="1" s="1"/>
  <c r="K8" i="1"/>
  <c r="H8" i="1"/>
  <c r="E8" i="1"/>
  <c r="B8" i="1"/>
  <c r="AB8" i="1" s="1"/>
  <c r="K7" i="1"/>
  <c r="H7" i="1"/>
  <c r="E7" i="1"/>
  <c r="B7" i="1"/>
  <c r="AB7" i="1" s="1"/>
  <c r="K6" i="1"/>
  <c r="H6" i="1"/>
  <c r="E6" i="1"/>
  <c r="B6" i="1"/>
  <c r="AB6" i="1" s="1"/>
  <c r="K5" i="1"/>
  <c r="H5" i="1"/>
  <c r="E5" i="1"/>
  <c r="B5" i="1"/>
  <c r="AB5" i="1" s="1"/>
  <c r="AB35" i="7"/>
  <c r="AB30" i="7"/>
  <c r="AB22" i="7"/>
  <c r="AB14" i="7"/>
  <c r="AB6" i="7"/>
  <c r="AB34" i="4"/>
  <c r="AB33" i="4"/>
  <c r="AB30" i="4"/>
  <c r="AB22" i="4"/>
  <c r="AB14" i="4"/>
  <c r="AB6" i="4"/>
  <c r="AB29" i="1"/>
  <c r="AB21" i="1"/>
  <c r="AB35" i="14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S16" i="14" s="1"/>
  <c r="O16" i="14"/>
  <c r="P16" i="14" s="1"/>
  <c r="X15" i="14"/>
  <c r="U15" i="14"/>
  <c r="R15" i="14"/>
  <c r="S15" i="14" s="1"/>
  <c r="O15" i="14"/>
  <c r="X14" i="14"/>
  <c r="U14" i="14"/>
  <c r="R14" i="14"/>
  <c r="S14" i="14" s="1"/>
  <c r="O14" i="14"/>
  <c r="P14" i="14" s="1"/>
  <c r="X13" i="14"/>
  <c r="U13" i="14"/>
  <c r="R13" i="14"/>
  <c r="S13" i="14" s="1"/>
  <c r="O13" i="14"/>
  <c r="X12" i="14"/>
  <c r="U12" i="14"/>
  <c r="R12" i="14"/>
  <c r="S12" i="14" s="1"/>
  <c r="O12" i="14"/>
  <c r="P12" i="14" s="1"/>
  <c r="X11" i="14"/>
  <c r="U11" i="14"/>
  <c r="R11" i="14"/>
  <c r="S11" i="14" s="1"/>
  <c r="O11" i="14"/>
  <c r="X10" i="14"/>
  <c r="U10" i="14"/>
  <c r="R10" i="14"/>
  <c r="S10" i="14" s="1"/>
  <c r="O10" i="14"/>
  <c r="P10" i="14" s="1"/>
  <c r="X9" i="14"/>
  <c r="U9" i="14"/>
  <c r="R9" i="14"/>
  <c r="O9" i="14"/>
  <c r="X8" i="14"/>
  <c r="U8" i="14"/>
  <c r="R8" i="14"/>
  <c r="S8" i="14" s="1"/>
  <c r="O8" i="14"/>
  <c r="P8" i="14" s="1"/>
  <c r="X7" i="14"/>
  <c r="U7" i="14"/>
  <c r="R7" i="14"/>
  <c r="S7" i="14" s="1"/>
  <c r="O7" i="14"/>
  <c r="X6" i="14"/>
  <c r="U6" i="14"/>
  <c r="R6" i="14"/>
  <c r="S6" i="14" s="1"/>
  <c r="O6" i="14"/>
  <c r="P6" i="14" s="1"/>
  <c r="X5" i="14"/>
  <c r="U5" i="14"/>
  <c r="R5" i="14"/>
  <c r="S5" i="14" s="1"/>
  <c r="O5" i="14"/>
  <c r="K34" i="14"/>
  <c r="H34" i="14"/>
  <c r="E34" i="14"/>
  <c r="B34" i="14"/>
  <c r="AB34" i="14" s="1"/>
  <c r="K33" i="14"/>
  <c r="H33" i="14"/>
  <c r="E33" i="14"/>
  <c r="B33" i="14"/>
  <c r="AB33" i="14" s="1"/>
  <c r="K32" i="14"/>
  <c r="H32" i="14"/>
  <c r="E32" i="14"/>
  <c r="B32" i="14"/>
  <c r="AB32" i="14" s="1"/>
  <c r="K31" i="14"/>
  <c r="H31" i="14"/>
  <c r="E31" i="14"/>
  <c r="B31" i="14"/>
  <c r="AB31" i="14" s="1"/>
  <c r="K30" i="14"/>
  <c r="H30" i="14"/>
  <c r="E30" i="14"/>
  <c r="B30" i="14"/>
  <c r="AB30" i="14" s="1"/>
  <c r="K29" i="14"/>
  <c r="H29" i="14"/>
  <c r="E29" i="14"/>
  <c r="B29" i="14"/>
  <c r="AB29" i="14" s="1"/>
  <c r="K28" i="14"/>
  <c r="H28" i="14"/>
  <c r="E28" i="14"/>
  <c r="B28" i="14"/>
  <c r="AB28" i="14" s="1"/>
  <c r="K27" i="14"/>
  <c r="H27" i="14"/>
  <c r="E27" i="14"/>
  <c r="B27" i="14"/>
  <c r="AB27" i="14" s="1"/>
  <c r="K26" i="14"/>
  <c r="H26" i="14"/>
  <c r="E26" i="14"/>
  <c r="B26" i="14"/>
  <c r="AB26" i="14" s="1"/>
  <c r="K25" i="14"/>
  <c r="H25" i="14"/>
  <c r="E25" i="14"/>
  <c r="B25" i="14"/>
  <c r="AB25" i="14" s="1"/>
  <c r="K24" i="14"/>
  <c r="H24" i="14"/>
  <c r="E24" i="14"/>
  <c r="B24" i="14"/>
  <c r="AB24" i="14" s="1"/>
  <c r="K23" i="14"/>
  <c r="H23" i="14"/>
  <c r="E23" i="14"/>
  <c r="B23" i="14"/>
  <c r="AB23" i="14" s="1"/>
  <c r="K22" i="14"/>
  <c r="H22" i="14"/>
  <c r="E22" i="14"/>
  <c r="B22" i="14"/>
  <c r="AB22" i="14" s="1"/>
  <c r="K21" i="14"/>
  <c r="H21" i="14"/>
  <c r="E21" i="14"/>
  <c r="B21" i="14"/>
  <c r="AB21" i="14" s="1"/>
  <c r="K20" i="14"/>
  <c r="H20" i="14"/>
  <c r="E20" i="14"/>
  <c r="B20" i="14"/>
  <c r="AB20" i="14" s="1"/>
  <c r="K19" i="14"/>
  <c r="H19" i="14"/>
  <c r="E19" i="14"/>
  <c r="B19" i="14"/>
  <c r="AB19" i="14" s="1"/>
  <c r="K18" i="14"/>
  <c r="H18" i="14"/>
  <c r="E18" i="14"/>
  <c r="B18" i="14"/>
  <c r="AB18" i="14" s="1"/>
  <c r="K17" i="14"/>
  <c r="H17" i="14"/>
  <c r="E17" i="14"/>
  <c r="B17" i="14"/>
  <c r="AB17" i="14" s="1"/>
  <c r="K16" i="14"/>
  <c r="H16" i="14"/>
  <c r="E16" i="14"/>
  <c r="B16" i="14"/>
  <c r="AB16" i="14" s="1"/>
  <c r="K15" i="14"/>
  <c r="H15" i="14"/>
  <c r="E15" i="14"/>
  <c r="B15" i="14"/>
  <c r="AB15" i="14" s="1"/>
  <c r="K14" i="14"/>
  <c r="H14" i="14"/>
  <c r="E14" i="14"/>
  <c r="B14" i="14"/>
  <c r="AB14" i="14" s="1"/>
  <c r="K13" i="14"/>
  <c r="H13" i="14"/>
  <c r="E13" i="14"/>
  <c r="B13" i="14"/>
  <c r="AB13" i="14" s="1"/>
  <c r="K12" i="14"/>
  <c r="H12" i="14"/>
  <c r="E12" i="14"/>
  <c r="B12" i="14"/>
  <c r="AB12" i="14" s="1"/>
  <c r="K11" i="14"/>
  <c r="H11" i="14"/>
  <c r="E11" i="14"/>
  <c r="B11" i="14"/>
  <c r="AB11" i="14" s="1"/>
  <c r="K10" i="14"/>
  <c r="H10" i="14"/>
  <c r="E10" i="14"/>
  <c r="B10" i="14"/>
  <c r="AB10" i="14" s="1"/>
  <c r="K9" i="14"/>
  <c r="H9" i="14"/>
  <c r="E9" i="14"/>
  <c r="B9" i="14"/>
  <c r="AB9" i="14" s="1"/>
  <c r="K8" i="14"/>
  <c r="H8" i="14"/>
  <c r="E8" i="14"/>
  <c r="B8" i="14"/>
  <c r="AB8" i="14" s="1"/>
  <c r="K7" i="14"/>
  <c r="H7" i="14"/>
  <c r="E7" i="14"/>
  <c r="B7" i="14"/>
  <c r="AB7" i="14" s="1"/>
  <c r="K6" i="14"/>
  <c r="H6" i="14"/>
  <c r="E6" i="14"/>
  <c r="B6" i="14"/>
  <c r="AB6" i="14" s="1"/>
  <c r="K5" i="14"/>
  <c r="H5" i="14"/>
  <c r="E5" i="14"/>
  <c r="B5" i="14"/>
  <c r="AB5" i="14" s="1"/>
  <c r="S9" i="14"/>
  <c r="S17" i="14"/>
  <c r="P5" i="14"/>
  <c r="P7" i="14"/>
  <c r="P9" i="14"/>
  <c r="P11" i="14"/>
  <c r="P13" i="14"/>
  <c r="P15" i="14"/>
  <c r="C5" i="5" l="1"/>
  <c r="F5" i="5"/>
  <c r="G5" i="5" s="1"/>
  <c r="I5" i="5"/>
  <c r="J5" i="5" s="1"/>
  <c r="L5" i="5"/>
  <c r="M5" i="5" s="1"/>
  <c r="P5" i="5"/>
  <c r="Q5" i="5" s="1"/>
  <c r="S5" i="5"/>
  <c r="T5" i="5" s="1"/>
  <c r="V5" i="5"/>
  <c r="W5" i="5" s="1"/>
  <c r="Y5" i="5"/>
  <c r="Z5" i="5" s="1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AB6" i="5"/>
  <c r="C7" i="5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AB7" i="5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AB8" i="5"/>
  <c r="C9" i="5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AB9" i="5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AB10" i="5"/>
  <c r="C11" i="5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AB11" i="5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AB12" i="5"/>
  <c r="C13" i="5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AB13" i="5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Y14" i="5"/>
  <c r="Z14" i="5" s="1"/>
  <c r="AB14" i="5"/>
  <c r="C15" i="5"/>
  <c r="F15" i="5"/>
  <c r="G15" i="5" s="1"/>
  <c r="I15" i="5"/>
  <c r="J15" i="5" s="1"/>
  <c r="L15" i="5"/>
  <c r="M15" i="5" s="1"/>
  <c r="P15" i="5"/>
  <c r="Q15" i="5" s="1"/>
  <c r="S15" i="5"/>
  <c r="T15" i="5" s="1"/>
  <c r="Y15" i="5"/>
  <c r="Z15" i="5" s="1"/>
  <c r="AB15" i="5"/>
  <c r="C16" i="5"/>
  <c r="D16" i="5" s="1"/>
  <c r="F16" i="5"/>
  <c r="G16" i="5" s="1"/>
  <c r="I16" i="5"/>
  <c r="J16" i="5" s="1"/>
  <c r="P16" i="5"/>
  <c r="Q16" i="5" s="1"/>
  <c r="S16" i="5"/>
  <c r="T16" i="5" s="1"/>
  <c r="Y16" i="5"/>
  <c r="Z16" i="5" s="1"/>
  <c r="AB16" i="5"/>
  <c r="C17" i="5"/>
  <c r="F17" i="5"/>
  <c r="G17" i="5" s="1"/>
  <c r="I17" i="5"/>
  <c r="J17" i="5" s="1"/>
  <c r="P17" i="5"/>
  <c r="Q17" i="5" s="1"/>
  <c r="S17" i="5"/>
  <c r="T17" i="5" s="1"/>
  <c r="V17" i="5"/>
  <c r="W17" i="5" s="1"/>
  <c r="Y17" i="5"/>
  <c r="Z17" i="5" s="1"/>
  <c r="AB17" i="5"/>
  <c r="C18" i="5"/>
  <c r="D18" i="5" s="1"/>
  <c r="F18" i="5"/>
  <c r="G18" i="5" s="1"/>
  <c r="I18" i="5"/>
  <c r="J18" i="5" s="1"/>
  <c r="P18" i="5"/>
  <c r="Q18" i="5" s="1"/>
  <c r="S18" i="5"/>
  <c r="T18" i="5" s="1"/>
  <c r="V18" i="5"/>
  <c r="W18" i="5" s="1"/>
  <c r="Y18" i="5"/>
  <c r="Z18" i="5" s="1"/>
  <c r="AB18" i="5"/>
  <c r="C19" i="5"/>
  <c r="F19" i="5"/>
  <c r="G19" i="5" s="1"/>
  <c r="I19" i="5"/>
  <c r="J19" i="5" s="1"/>
  <c r="P19" i="5"/>
  <c r="Q19" i="5" s="1"/>
  <c r="S19" i="5"/>
  <c r="T19" i="5" s="1"/>
  <c r="V19" i="5"/>
  <c r="W19" i="5" s="1"/>
  <c r="Y19" i="5"/>
  <c r="Z19" i="5" s="1"/>
  <c r="AB19" i="5"/>
  <c r="C20" i="5"/>
  <c r="D20" i="5" s="1"/>
  <c r="F20" i="5"/>
  <c r="G20" i="5" s="1"/>
  <c r="I20" i="5"/>
  <c r="J20" i="5" s="1"/>
  <c r="P20" i="5"/>
  <c r="Q20" i="5" s="1"/>
  <c r="S20" i="5"/>
  <c r="T20" i="5" s="1"/>
  <c r="V20" i="5"/>
  <c r="W20" i="5" s="1"/>
  <c r="Y20" i="5"/>
  <c r="Z20" i="5" s="1"/>
  <c r="AB20" i="5"/>
  <c r="C21" i="5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AB22" i="5"/>
  <c r="C23" i="5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AB24" i="5"/>
  <c r="C25" i="5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AB26" i="5"/>
  <c r="C27" i="5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AB28" i="5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AB29" i="5"/>
  <c r="C30" i="5"/>
  <c r="F30" i="5"/>
  <c r="G30" i="5" s="1"/>
  <c r="I30" i="5"/>
  <c r="L30" i="5"/>
  <c r="M30" i="5" s="1"/>
  <c r="P30" i="5"/>
  <c r="S30" i="5"/>
  <c r="T30" i="5" s="1"/>
  <c r="V30" i="5"/>
  <c r="Y30" i="5"/>
  <c r="Z30" i="5" s="1"/>
  <c r="AB30" i="5"/>
  <c r="C31" i="5"/>
  <c r="D31" i="5" s="1"/>
  <c r="F31" i="5"/>
  <c r="I31" i="5"/>
  <c r="J31" i="5" s="1"/>
  <c r="L31" i="5"/>
  <c r="P31" i="5"/>
  <c r="Q31" i="5" s="1"/>
  <c r="S31" i="5"/>
  <c r="V31" i="5"/>
  <c r="W31" i="5" s="1"/>
  <c r="Y31" i="5"/>
  <c r="Z31" i="5" s="1"/>
  <c r="AB31" i="5"/>
  <c r="C32" i="5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AB32" i="5"/>
  <c r="C33" i="5"/>
  <c r="D33" i="5" s="1"/>
  <c r="F33" i="5"/>
  <c r="G33" i="5" s="1"/>
  <c r="I33" i="5"/>
  <c r="J33" i="5" s="1"/>
  <c r="L33" i="5"/>
  <c r="M33" i="5" s="1"/>
  <c r="P33" i="5"/>
  <c r="Q33" i="5" s="1"/>
  <c r="S33" i="5"/>
  <c r="T33" i="5" s="1"/>
  <c r="V33" i="5"/>
  <c r="W33" i="5" s="1"/>
  <c r="Y33" i="5"/>
  <c r="Z33" i="5" s="1"/>
  <c r="AB33" i="5"/>
  <c r="C34" i="5"/>
  <c r="F34" i="5"/>
  <c r="G34" i="5" s="1"/>
  <c r="I34" i="5"/>
  <c r="J34" i="5" s="1"/>
  <c r="L34" i="5"/>
  <c r="M34" i="5" s="1"/>
  <c r="P34" i="5"/>
  <c r="Q34" i="5" s="1"/>
  <c r="S34" i="5"/>
  <c r="T34" i="5" s="1"/>
  <c r="V34" i="5"/>
  <c r="W34" i="5" s="1"/>
  <c r="Y34" i="5"/>
  <c r="Z34" i="5" s="1"/>
  <c r="AB34" i="5"/>
  <c r="C35" i="5"/>
  <c r="D35" i="5" s="1"/>
  <c r="F35" i="5"/>
  <c r="G35" i="5" s="1"/>
  <c r="I35" i="5"/>
  <c r="J35" i="5" s="1"/>
  <c r="L35" i="5"/>
  <c r="M35" i="5" s="1"/>
  <c r="P35" i="5"/>
  <c r="Q35" i="5" s="1"/>
  <c r="S35" i="5"/>
  <c r="T35" i="5" s="1"/>
  <c r="V35" i="5"/>
  <c r="W35" i="5" s="1"/>
  <c r="Y35" i="5"/>
  <c r="Z35" i="5" s="1"/>
  <c r="AB35" i="5"/>
  <c r="C5" i="12"/>
  <c r="F5" i="12"/>
  <c r="G5" i="12" s="1"/>
  <c r="I5" i="12"/>
  <c r="J5" i="12" s="1"/>
  <c r="L5" i="12"/>
  <c r="M5" i="12" s="1"/>
  <c r="P5" i="12"/>
  <c r="Q5" i="12" s="1"/>
  <c r="S5" i="12"/>
  <c r="T5" i="12" s="1"/>
  <c r="V5" i="12"/>
  <c r="W5" i="12" s="1"/>
  <c r="Y5" i="12"/>
  <c r="Z5" i="12" s="1"/>
  <c r="AB5" i="12"/>
  <c r="C6" i="12"/>
  <c r="F6" i="12"/>
  <c r="G6" i="12" s="1"/>
  <c r="I6" i="12"/>
  <c r="J6" i="12" s="1"/>
  <c r="L6" i="12"/>
  <c r="M6" i="12" s="1"/>
  <c r="P6" i="12"/>
  <c r="Q6" i="12" s="1"/>
  <c r="S6" i="12"/>
  <c r="T6" i="12" s="1"/>
  <c r="V6" i="12"/>
  <c r="W6" i="12" s="1"/>
  <c r="Y6" i="12"/>
  <c r="Z6" i="12" s="1"/>
  <c r="AB6" i="12"/>
  <c r="C7" i="12"/>
  <c r="F7" i="12"/>
  <c r="G7" i="12" s="1"/>
  <c r="I7" i="12"/>
  <c r="J7" i="12" s="1"/>
  <c r="L7" i="12"/>
  <c r="M7" i="12" s="1"/>
  <c r="P7" i="12"/>
  <c r="Q7" i="12" s="1"/>
  <c r="S7" i="12"/>
  <c r="T7" i="12" s="1"/>
  <c r="V7" i="12"/>
  <c r="W7" i="12" s="1"/>
  <c r="Y7" i="12"/>
  <c r="Z7" i="12" s="1"/>
  <c r="AB7" i="12"/>
  <c r="C8" i="12"/>
  <c r="F8" i="12"/>
  <c r="G8" i="12" s="1"/>
  <c r="I8" i="12"/>
  <c r="J8" i="12" s="1"/>
  <c r="L8" i="12"/>
  <c r="M8" i="12" s="1"/>
  <c r="P8" i="12"/>
  <c r="Q8" i="12" s="1"/>
  <c r="S8" i="12"/>
  <c r="T8" i="12" s="1"/>
  <c r="V8" i="12"/>
  <c r="W8" i="12" s="1"/>
  <c r="Y8" i="12"/>
  <c r="Z8" i="12" s="1"/>
  <c r="AB8" i="12"/>
  <c r="C9" i="12"/>
  <c r="F9" i="12"/>
  <c r="G9" i="12" s="1"/>
  <c r="I9" i="12"/>
  <c r="J9" i="12" s="1"/>
  <c r="L9" i="12"/>
  <c r="M9" i="12" s="1"/>
  <c r="P9" i="12"/>
  <c r="Q9" i="12" s="1"/>
  <c r="S9" i="12"/>
  <c r="T9" i="12" s="1"/>
  <c r="V9" i="12"/>
  <c r="W9" i="12" s="1"/>
  <c r="Y9" i="12"/>
  <c r="Z9" i="12" s="1"/>
  <c r="AB9" i="12"/>
  <c r="C10" i="12"/>
  <c r="F10" i="12"/>
  <c r="G10" i="12" s="1"/>
  <c r="I10" i="12"/>
  <c r="J10" i="12" s="1"/>
  <c r="L10" i="12"/>
  <c r="M10" i="12" s="1"/>
  <c r="P10" i="12"/>
  <c r="Q10" i="12" s="1"/>
  <c r="S10" i="12"/>
  <c r="T10" i="12" s="1"/>
  <c r="V10" i="12"/>
  <c r="W10" i="12" s="1"/>
  <c r="Y10" i="12"/>
  <c r="Z10" i="12" s="1"/>
  <c r="AB10" i="12"/>
  <c r="C11" i="12"/>
  <c r="F11" i="12"/>
  <c r="G11" i="12" s="1"/>
  <c r="I11" i="12"/>
  <c r="J11" i="12" s="1"/>
  <c r="L11" i="12"/>
  <c r="M11" i="12" s="1"/>
  <c r="P11" i="12"/>
  <c r="Q11" i="12" s="1"/>
  <c r="S11" i="12"/>
  <c r="T11" i="12" s="1"/>
  <c r="V11" i="12"/>
  <c r="W11" i="12" s="1"/>
  <c r="Y11" i="12"/>
  <c r="Z11" i="12" s="1"/>
  <c r="AB11" i="12"/>
  <c r="C12" i="12"/>
  <c r="F12" i="12"/>
  <c r="G12" i="12" s="1"/>
  <c r="I12" i="12"/>
  <c r="J12" i="12" s="1"/>
  <c r="L12" i="12"/>
  <c r="M12" i="12" s="1"/>
  <c r="P12" i="12"/>
  <c r="Q12" i="12" s="1"/>
  <c r="S12" i="12"/>
  <c r="T12" i="12" s="1"/>
  <c r="V12" i="12"/>
  <c r="W12" i="12" s="1"/>
  <c r="Y12" i="12"/>
  <c r="Z12" i="12" s="1"/>
  <c r="AB12" i="12"/>
  <c r="C13" i="12"/>
  <c r="F13" i="12"/>
  <c r="G13" i="12" s="1"/>
  <c r="I13" i="12"/>
  <c r="J13" i="12" s="1"/>
  <c r="L13" i="12"/>
  <c r="M13" i="12" s="1"/>
  <c r="P13" i="12"/>
  <c r="Q13" i="12" s="1"/>
  <c r="S13" i="12"/>
  <c r="T13" i="12" s="1"/>
  <c r="V13" i="12"/>
  <c r="W13" i="12" s="1"/>
  <c r="Y13" i="12"/>
  <c r="Z13" i="12" s="1"/>
  <c r="AB13" i="12"/>
  <c r="C14" i="12"/>
  <c r="F14" i="12"/>
  <c r="G14" i="12" s="1"/>
  <c r="I14" i="12"/>
  <c r="J14" i="12" s="1"/>
  <c r="L14" i="12"/>
  <c r="M14" i="12" s="1"/>
  <c r="P14" i="12"/>
  <c r="Q14" i="12" s="1"/>
  <c r="S14" i="12"/>
  <c r="T14" i="12" s="1"/>
  <c r="V14" i="12"/>
  <c r="W14" i="12" s="1"/>
  <c r="Y14" i="12"/>
  <c r="Z14" i="12" s="1"/>
  <c r="AB14" i="12"/>
  <c r="C15" i="12"/>
  <c r="F15" i="12"/>
  <c r="G15" i="12" s="1"/>
  <c r="I15" i="12"/>
  <c r="J15" i="12" s="1"/>
  <c r="L15" i="12"/>
  <c r="M15" i="12" s="1"/>
  <c r="P15" i="12"/>
  <c r="Q15" i="12" s="1"/>
  <c r="S15" i="12"/>
  <c r="T15" i="12" s="1"/>
  <c r="V15" i="12"/>
  <c r="W15" i="12" s="1"/>
  <c r="Y15" i="12"/>
  <c r="Z15" i="12" s="1"/>
  <c r="AB15" i="12"/>
  <c r="C16" i="12"/>
  <c r="F16" i="12"/>
  <c r="G16" i="12" s="1"/>
  <c r="I16" i="12"/>
  <c r="J16" i="12" s="1"/>
  <c r="L16" i="12"/>
  <c r="M16" i="12" s="1"/>
  <c r="P16" i="12"/>
  <c r="Q16" i="12" s="1"/>
  <c r="S16" i="12"/>
  <c r="T16" i="12" s="1"/>
  <c r="V16" i="12"/>
  <c r="W16" i="12" s="1"/>
  <c r="Y16" i="12"/>
  <c r="Z16" i="12" s="1"/>
  <c r="AB16" i="12"/>
  <c r="C17" i="12"/>
  <c r="F17" i="12"/>
  <c r="G17" i="12" s="1"/>
  <c r="I17" i="12"/>
  <c r="J17" i="12" s="1"/>
  <c r="L17" i="12"/>
  <c r="M17" i="12" s="1"/>
  <c r="P17" i="12"/>
  <c r="Q17" i="12" s="1"/>
  <c r="S17" i="12"/>
  <c r="T17" i="12" s="1"/>
  <c r="V17" i="12"/>
  <c r="W17" i="12" s="1"/>
  <c r="Y17" i="12"/>
  <c r="Z17" i="12" s="1"/>
  <c r="AB17" i="12"/>
  <c r="C18" i="12"/>
  <c r="F18" i="12"/>
  <c r="G18" i="12" s="1"/>
  <c r="I18" i="12"/>
  <c r="J18" i="12" s="1"/>
  <c r="L18" i="12"/>
  <c r="M18" i="12" s="1"/>
  <c r="P18" i="12"/>
  <c r="Q18" i="12" s="1"/>
  <c r="S18" i="12"/>
  <c r="T18" i="12" s="1"/>
  <c r="V18" i="12"/>
  <c r="W18" i="12" s="1"/>
  <c r="Y18" i="12"/>
  <c r="Z18" i="12" s="1"/>
  <c r="AB18" i="12"/>
  <c r="C19" i="12"/>
  <c r="F19" i="12"/>
  <c r="G19" i="12" s="1"/>
  <c r="I19" i="12"/>
  <c r="J19" i="12" s="1"/>
  <c r="L19" i="12"/>
  <c r="M19" i="12" s="1"/>
  <c r="P19" i="12"/>
  <c r="Q19" i="12" s="1"/>
  <c r="S19" i="12"/>
  <c r="T19" i="12" s="1"/>
  <c r="V19" i="12"/>
  <c r="W19" i="12" s="1"/>
  <c r="Y19" i="12"/>
  <c r="Z19" i="12" s="1"/>
  <c r="AB19" i="12"/>
  <c r="C20" i="12"/>
  <c r="F20" i="12"/>
  <c r="G20" i="12" s="1"/>
  <c r="I20" i="12"/>
  <c r="J20" i="12" s="1"/>
  <c r="L20" i="12"/>
  <c r="M20" i="12" s="1"/>
  <c r="P20" i="12"/>
  <c r="Q20" i="12" s="1"/>
  <c r="S20" i="12"/>
  <c r="T20" i="12" s="1"/>
  <c r="V20" i="12"/>
  <c r="W20" i="12" s="1"/>
  <c r="Y20" i="12"/>
  <c r="Z20" i="12" s="1"/>
  <c r="AB20" i="12"/>
  <c r="C21" i="12"/>
  <c r="F21" i="12"/>
  <c r="G21" i="12" s="1"/>
  <c r="I21" i="12"/>
  <c r="J21" i="12" s="1"/>
  <c r="L21" i="12"/>
  <c r="M21" i="12" s="1"/>
  <c r="P21" i="12"/>
  <c r="Q21" i="12" s="1"/>
  <c r="S21" i="12"/>
  <c r="V21" i="12"/>
  <c r="W21" i="12" s="1"/>
  <c r="Y21" i="12"/>
  <c r="AB21" i="12"/>
  <c r="C22" i="12"/>
  <c r="F22" i="12"/>
  <c r="G22" i="12" s="1"/>
  <c r="I22" i="12"/>
  <c r="L22" i="12"/>
  <c r="M22" i="12" s="1"/>
  <c r="P22" i="12"/>
  <c r="S22" i="12"/>
  <c r="T22" i="12" s="1"/>
  <c r="V22" i="12"/>
  <c r="Y22" i="12"/>
  <c r="Z22" i="12" s="1"/>
  <c r="AB22" i="12"/>
  <c r="C23" i="12"/>
  <c r="F23" i="12"/>
  <c r="G23" i="12" s="1"/>
  <c r="I23" i="12"/>
  <c r="J23" i="12" s="1"/>
  <c r="L23" i="12"/>
  <c r="M23" i="12" s="1"/>
  <c r="P23" i="12"/>
  <c r="Q23" i="12" s="1"/>
  <c r="S23" i="12"/>
  <c r="T23" i="12" s="1"/>
  <c r="V23" i="12"/>
  <c r="W23" i="12" s="1"/>
  <c r="Y23" i="12"/>
  <c r="Z23" i="12" s="1"/>
  <c r="AB23" i="12"/>
  <c r="C24" i="12"/>
  <c r="F24" i="12"/>
  <c r="G24" i="12" s="1"/>
  <c r="I24" i="12"/>
  <c r="J24" i="12" s="1"/>
  <c r="L24" i="12"/>
  <c r="P24" i="12"/>
  <c r="Q24" i="12" s="1"/>
  <c r="S24" i="12"/>
  <c r="T24" i="12" s="1"/>
  <c r="V24" i="12"/>
  <c r="W24" i="12" s="1"/>
  <c r="Y24" i="12"/>
  <c r="Z24" i="12" s="1"/>
  <c r="AB24" i="12"/>
  <c r="C25" i="12"/>
  <c r="F25" i="12"/>
  <c r="G25" i="12" s="1"/>
  <c r="I25" i="12"/>
  <c r="J25" i="12" s="1"/>
  <c r="L25" i="12"/>
  <c r="M25" i="12" s="1"/>
  <c r="P25" i="12"/>
  <c r="Q25" i="12" s="1"/>
  <c r="S25" i="12"/>
  <c r="T25" i="12" s="1"/>
  <c r="V25" i="12"/>
  <c r="W25" i="12" s="1"/>
  <c r="Y25" i="12"/>
  <c r="Z25" i="12" s="1"/>
  <c r="AB25" i="12"/>
  <c r="C26" i="12"/>
  <c r="F26" i="12"/>
  <c r="I26" i="12"/>
  <c r="J26" i="12" s="1"/>
  <c r="L26" i="12"/>
  <c r="M26" i="12" s="1"/>
  <c r="P26" i="12"/>
  <c r="Q26" i="12" s="1"/>
  <c r="S26" i="12"/>
  <c r="T26" i="12" s="1"/>
  <c r="V26" i="12"/>
  <c r="W26" i="12" s="1"/>
  <c r="Y26" i="12"/>
  <c r="Z26" i="12" s="1"/>
  <c r="AB26" i="12"/>
  <c r="C27" i="12"/>
  <c r="F27" i="12"/>
  <c r="G27" i="12" s="1"/>
  <c r="I27" i="12"/>
  <c r="J27" i="12" s="1"/>
  <c r="L27" i="12"/>
  <c r="M27" i="12" s="1"/>
  <c r="P27" i="12"/>
  <c r="Q27" i="12" s="1"/>
  <c r="S27" i="12"/>
  <c r="T27" i="12" s="1"/>
  <c r="V27" i="12"/>
  <c r="W27" i="12" s="1"/>
  <c r="Y27" i="12"/>
  <c r="Z27" i="12" s="1"/>
  <c r="C28" i="12"/>
  <c r="F28" i="12"/>
  <c r="G28" i="12" s="1"/>
  <c r="I28" i="12"/>
  <c r="J28" i="12" s="1"/>
  <c r="L28" i="12"/>
  <c r="M28" i="12" s="1"/>
  <c r="P28" i="12"/>
  <c r="Q28" i="12" s="1"/>
  <c r="S28" i="12"/>
  <c r="T28" i="12" s="1"/>
  <c r="V28" i="12"/>
  <c r="W28" i="12" s="1"/>
  <c r="Y28" i="12"/>
  <c r="Z28" i="12" s="1"/>
  <c r="AB28" i="12"/>
  <c r="C29" i="12"/>
  <c r="F29" i="12"/>
  <c r="G29" i="12" s="1"/>
  <c r="I29" i="12"/>
  <c r="J29" i="12" s="1"/>
  <c r="L29" i="12"/>
  <c r="M29" i="12" s="1"/>
  <c r="P29" i="12"/>
  <c r="Q29" i="12" s="1"/>
  <c r="S29" i="12"/>
  <c r="T29" i="12" s="1"/>
  <c r="V29" i="12"/>
  <c r="W29" i="12" s="1"/>
  <c r="Y29" i="12"/>
  <c r="Z29" i="12" s="1"/>
  <c r="C30" i="12"/>
  <c r="F30" i="12"/>
  <c r="G30" i="12" s="1"/>
  <c r="I30" i="12"/>
  <c r="J30" i="12" s="1"/>
  <c r="L30" i="12"/>
  <c r="M30" i="12" s="1"/>
  <c r="P30" i="12"/>
  <c r="Q30" i="12" s="1"/>
  <c r="S30" i="12"/>
  <c r="T30" i="12" s="1"/>
  <c r="V30" i="12"/>
  <c r="W30" i="12" s="1"/>
  <c r="Y30" i="12"/>
  <c r="Z30" i="12" s="1"/>
  <c r="AB30" i="12"/>
  <c r="C31" i="12"/>
  <c r="F31" i="12"/>
  <c r="G31" i="12" s="1"/>
  <c r="I31" i="12"/>
  <c r="J31" i="12" s="1"/>
  <c r="L31" i="12"/>
  <c r="M31" i="12" s="1"/>
  <c r="P31" i="12"/>
  <c r="Q31" i="12" s="1"/>
  <c r="S31" i="12"/>
  <c r="T31" i="12" s="1"/>
  <c r="V31" i="12"/>
  <c r="W31" i="12" s="1"/>
  <c r="Y31" i="12"/>
  <c r="Z31" i="12" s="1"/>
  <c r="C32" i="12"/>
  <c r="D32" i="12" s="1"/>
  <c r="F32" i="12"/>
  <c r="G32" i="12" s="1"/>
  <c r="I32" i="12"/>
  <c r="J32" i="12" s="1"/>
  <c r="L32" i="12"/>
  <c r="M32" i="12" s="1"/>
  <c r="P32" i="12"/>
  <c r="Q32" i="12" s="1"/>
  <c r="S32" i="12"/>
  <c r="T32" i="12" s="1"/>
  <c r="V32" i="12"/>
  <c r="W32" i="12" s="1"/>
  <c r="Y32" i="12"/>
  <c r="Z32" i="12" s="1"/>
  <c r="AB32" i="12"/>
  <c r="C33" i="12"/>
  <c r="F33" i="12"/>
  <c r="G33" i="12" s="1"/>
  <c r="I33" i="12"/>
  <c r="J33" i="12" s="1"/>
  <c r="L33" i="12"/>
  <c r="M33" i="12" s="1"/>
  <c r="P33" i="12"/>
  <c r="Q33" i="12" s="1"/>
  <c r="S33" i="12"/>
  <c r="T33" i="12" s="1"/>
  <c r="V33" i="12"/>
  <c r="W33" i="12" s="1"/>
  <c r="Y33" i="12"/>
  <c r="Z33" i="12" s="1"/>
  <c r="C34" i="12"/>
  <c r="D34" i="12" s="1"/>
  <c r="F34" i="12"/>
  <c r="G34" i="12" s="1"/>
  <c r="I34" i="12"/>
  <c r="J34" i="12" s="1"/>
  <c r="L34" i="12"/>
  <c r="M34" i="12" s="1"/>
  <c r="P34" i="12"/>
  <c r="Q34" i="12" s="1"/>
  <c r="S34" i="12"/>
  <c r="T34" i="12" s="1"/>
  <c r="V34" i="12"/>
  <c r="W34" i="12" s="1"/>
  <c r="Y34" i="12"/>
  <c r="Z34" i="12" s="1"/>
  <c r="AB34" i="12"/>
  <c r="B35" i="12"/>
  <c r="E35" i="12"/>
  <c r="H35" i="12"/>
  <c r="K35" i="12"/>
  <c r="O35" i="12"/>
  <c r="AB35" i="12" s="1"/>
  <c r="U35" i="12"/>
  <c r="C5" i="11"/>
  <c r="F5" i="11"/>
  <c r="G5" i="11" s="1"/>
  <c r="I5" i="11"/>
  <c r="J5" i="11" s="1"/>
  <c r="L5" i="11"/>
  <c r="M5" i="11" s="1"/>
  <c r="P5" i="11"/>
  <c r="Q5" i="11" s="1"/>
  <c r="S5" i="11"/>
  <c r="T5" i="11" s="1"/>
  <c r="V5" i="11"/>
  <c r="W5" i="11" s="1"/>
  <c r="Y5" i="11"/>
  <c r="Z5" i="11" s="1"/>
  <c r="AB5" i="11"/>
  <c r="C6" i="11"/>
  <c r="F6" i="11"/>
  <c r="G6" i="11" s="1"/>
  <c r="I6" i="11"/>
  <c r="J6" i="11" s="1"/>
  <c r="L6" i="11"/>
  <c r="P6" i="11"/>
  <c r="Q6" i="11" s="1"/>
  <c r="S6" i="11"/>
  <c r="T6" i="11" s="1"/>
  <c r="V6" i="11"/>
  <c r="W6" i="11" s="1"/>
  <c r="Y6" i="11"/>
  <c r="AB6" i="11"/>
  <c r="C7" i="11"/>
  <c r="F7" i="11"/>
  <c r="G7" i="11" s="1"/>
  <c r="I7" i="11"/>
  <c r="J7" i="11" s="1"/>
  <c r="L7" i="11"/>
  <c r="M7" i="11" s="1"/>
  <c r="P7" i="11"/>
  <c r="Q7" i="11" s="1"/>
  <c r="S7" i="11"/>
  <c r="T7" i="11" s="1"/>
  <c r="V7" i="11"/>
  <c r="W7" i="11" s="1"/>
  <c r="Y7" i="11"/>
  <c r="Z7" i="11" s="1"/>
  <c r="AB7" i="11"/>
  <c r="C8" i="11"/>
  <c r="F8" i="11"/>
  <c r="G8" i="11" s="1"/>
  <c r="I8" i="11"/>
  <c r="J8" i="11" s="1"/>
  <c r="L8" i="11"/>
  <c r="M8" i="11" s="1"/>
  <c r="P8" i="11"/>
  <c r="Q8" i="11" s="1"/>
  <c r="S8" i="11"/>
  <c r="T8" i="11" s="1"/>
  <c r="V8" i="11"/>
  <c r="W8" i="11" s="1"/>
  <c r="Y8" i="11"/>
  <c r="Z8" i="11" s="1"/>
  <c r="AB8" i="11"/>
  <c r="C9" i="11"/>
  <c r="D9" i="11" s="1"/>
  <c r="F9" i="11"/>
  <c r="G9" i="11" s="1"/>
  <c r="I9" i="11"/>
  <c r="J9" i="11" s="1"/>
  <c r="L9" i="11"/>
  <c r="M9" i="11" s="1"/>
  <c r="P9" i="11"/>
  <c r="Q9" i="11" s="1"/>
  <c r="S9" i="11"/>
  <c r="T9" i="11" s="1"/>
  <c r="V9" i="11"/>
  <c r="W9" i="11" s="1"/>
  <c r="Y9" i="11"/>
  <c r="Z9" i="11" s="1"/>
  <c r="AB9" i="11"/>
  <c r="C10" i="11"/>
  <c r="F10" i="11"/>
  <c r="I10" i="11"/>
  <c r="J10" i="11" s="1"/>
  <c r="L10" i="11"/>
  <c r="M10" i="11" s="1"/>
  <c r="P10" i="11"/>
  <c r="Q10" i="11" s="1"/>
  <c r="S10" i="11"/>
  <c r="V10" i="11"/>
  <c r="W10" i="11" s="1"/>
  <c r="Y10" i="11"/>
  <c r="Z10" i="11" s="1"/>
  <c r="C11" i="11"/>
  <c r="D11" i="11" s="1"/>
  <c r="F11" i="11"/>
  <c r="G11" i="11" s="1"/>
  <c r="I11" i="11"/>
  <c r="J11" i="11" s="1"/>
  <c r="L11" i="11"/>
  <c r="M11" i="11" s="1"/>
  <c r="P11" i="11"/>
  <c r="Q11" i="11" s="1"/>
  <c r="S11" i="11"/>
  <c r="T11" i="11" s="1"/>
  <c r="V11" i="11"/>
  <c r="W11" i="11" s="1"/>
  <c r="Y11" i="11"/>
  <c r="Z11" i="11" s="1"/>
  <c r="AB11" i="11"/>
  <c r="C12" i="11"/>
  <c r="F12" i="11"/>
  <c r="G12" i="11" s="1"/>
  <c r="I12" i="11"/>
  <c r="J12" i="11" s="1"/>
  <c r="L12" i="11"/>
  <c r="M12" i="11" s="1"/>
  <c r="P12" i="11"/>
  <c r="Q12" i="11" s="1"/>
  <c r="S12" i="11"/>
  <c r="T12" i="11" s="1"/>
  <c r="V12" i="11"/>
  <c r="W12" i="11" s="1"/>
  <c r="Y12" i="11"/>
  <c r="Z12" i="11" s="1"/>
  <c r="C13" i="11"/>
  <c r="D13" i="11" s="1"/>
  <c r="F13" i="11"/>
  <c r="G13" i="11" s="1"/>
  <c r="I13" i="11"/>
  <c r="L13" i="11"/>
  <c r="M13" i="11" s="1"/>
  <c r="P13" i="11"/>
  <c r="Q13" i="11" s="1"/>
  <c r="S13" i="11"/>
  <c r="T13" i="11" s="1"/>
  <c r="V13" i="11"/>
  <c r="W13" i="11" s="1"/>
  <c r="Y13" i="11"/>
  <c r="Z13" i="11" s="1"/>
  <c r="AB13" i="11"/>
  <c r="C14" i="11"/>
  <c r="F14" i="11"/>
  <c r="G14" i="11" s="1"/>
  <c r="I14" i="11"/>
  <c r="J14" i="11" s="1"/>
  <c r="L14" i="11"/>
  <c r="M14" i="11" s="1"/>
  <c r="P14" i="11"/>
  <c r="Q14" i="11" s="1"/>
  <c r="S14" i="11"/>
  <c r="T14" i="11" s="1"/>
  <c r="V14" i="11"/>
  <c r="W14" i="11" s="1"/>
  <c r="Y14" i="11"/>
  <c r="Z14" i="11" s="1"/>
  <c r="C15" i="11"/>
  <c r="D15" i="11" s="1"/>
  <c r="F15" i="11"/>
  <c r="G15" i="11" s="1"/>
  <c r="I15" i="11"/>
  <c r="J15" i="11" s="1"/>
  <c r="L15" i="11"/>
  <c r="M15" i="11" s="1"/>
  <c r="P15" i="11"/>
  <c r="Q15" i="11" s="1"/>
  <c r="S15" i="11"/>
  <c r="T15" i="11" s="1"/>
  <c r="V15" i="11"/>
  <c r="W15" i="11" s="1"/>
  <c r="Y15" i="11"/>
  <c r="Z15" i="11" s="1"/>
  <c r="AB15" i="11"/>
  <c r="C16" i="11"/>
  <c r="F16" i="11"/>
  <c r="G16" i="11" s="1"/>
  <c r="I16" i="11"/>
  <c r="J16" i="11" s="1"/>
  <c r="L16" i="11"/>
  <c r="M16" i="11" s="1"/>
  <c r="P16" i="11"/>
  <c r="Q16" i="11" s="1"/>
  <c r="S16" i="11"/>
  <c r="T16" i="11" s="1"/>
  <c r="V16" i="11"/>
  <c r="W16" i="11" s="1"/>
  <c r="Y16" i="11"/>
  <c r="Z16" i="11" s="1"/>
  <c r="C17" i="11"/>
  <c r="D17" i="11" s="1"/>
  <c r="F17" i="11"/>
  <c r="G17" i="11" s="1"/>
  <c r="I17" i="11"/>
  <c r="J17" i="11" s="1"/>
  <c r="L17" i="11"/>
  <c r="M17" i="11" s="1"/>
  <c r="P17" i="11"/>
  <c r="Q17" i="11" s="1"/>
  <c r="S17" i="11"/>
  <c r="T17" i="11" s="1"/>
  <c r="V17" i="11"/>
  <c r="W17" i="11" s="1"/>
  <c r="Y17" i="11"/>
  <c r="Z17" i="11" s="1"/>
  <c r="AB17" i="11"/>
  <c r="C18" i="11"/>
  <c r="F18" i="11"/>
  <c r="G18" i="11" s="1"/>
  <c r="I18" i="11"/>
  <c r="J18" i="11" s="1"/>
  <c r="L18" i="11"/>
  <c r="M18" i="11" s="1"/>
  <c r="P18" i="11"/>
  <c r="Q18" i="11" s="1"/>
  <c r="S18" i="11"/>
  <c r="T18" i="11" s="1"/>
  <c r="V18" i="11"/>
  <c r="W18" i="11" s="1"/>
  <c r="Y18" i="11"/>
  <c r="Z18" i="11" s="1"/>
  <c r="C19" i="11"/>
  <c r="D19" i="11" s="1"/>
  <c r="F19" i="11"/>
  <c r="G19" i="11" s="1"/>
  <c r="I19" i="11"/>
  <c r="J19" i="11" s="1"/>
  <c r="L19" i="11"/>
  <c r="M19" i="11" s="1"/>
  <c r="P19" i="11"/>
  <c r="Q19" i="11" s="1"/>
  <c r="S19" i="11"/>
  <c r="T19" i="11" s="1"/>
  <c r="V19" i="11"/>
  <c r="W19" i="11" s="1"/>
  <c r="Y19" i="11"/>
  <c r="Z19" i="11" s="1"/>
  <c r="AB19" i="11"/>
  <c r="C20" i="11"/>
  <c r="F20" i="11"/>
  <c r="G20" i="11" s="1"/>
  <c r="I20" i="11"/>
  <c r="J20" i="11" s="1"/>
  <c r="L20" i="11"/>
  <c r="M20" i="11" s="1"/>
  <c r="P20" i="11"/>
  <c r="Q20" i="11" s="1"/>
  <c r="S20" i="11"/>
  <c r="T20" i="11" s="1"/>
  <c r="V20" i="11"/>
  <c r="W20" i="11" s="1"/>
  <c r="Y20" i="11"/>
  <c r="Z20" i="11" s="1"/>
  <c r="C21" i="11"/>
  <c r="D21" i="11" s="1"/>
  <c r="F21" i="11"/>
  <c r="G21" i="11" s="1"/>
  <c r="I21" i="11"/>
  <c r="J21" i="11" s="1"/>
  <c r="L21" i="11"/>
  <c r="M21" i="11" s="1"/>
  <c r="P21" i="11"/>
  <c r="Q21" i="11" s="1"/>
  <c r="S21" i="11"/>
  <c r="T21" i="11" s="1"/>
  <c r="V21" i="11"/>
  <c r="W21" i="11" s="1"/>
  <c r="Y21" i="11"/>
  <c r="Z21" i="11" s="1"/>
  <c r="AB21" i="11"/>
  <c r="C22" i="11"/>
  <c r="F22" i="11"/>
  <c r="G22" i="11" s="1"/>
  <c r="I22" i="11"/>
  <c r="J22" i="11" s="1"/>
  <c r="L22" i="11"/>
  <c r="M22" i="11" s="1"/>
  <c r="P22" i="11"/>
  <c r="Q22" i="11" s="1"/>
  <c r="S22" i="11"/>
  <c r="T22" i="11" s="1"/>
  <c r="V22" i="11"/>
  <c r="W22" i="11" s="1"/>
  <c r="Y22" i="11"/>
  <c r="Z22" i="11" s="1"/>
  <c r="C23" i="11"/>
  <c r="D23" i="11" s="1"/>
  <c r="F23" i="11"/>
  <c r="G23" i="11" s="1"/>
  <c r="I23" i="11"/>
  <c r="J23" i="11" s="1"/>
  <c r="L23" i="11"/>
  <c r="M23" i="11" s="1"/>
  <c r="P23" i="11"/>
  <c r="Q23" i="11" s="1"/>
  <c r="S23" i="11"/>
  <c r="T23" i="11" s="1"/>
  <c r="V23" i="11"/>
  <c r="W23" i="11" s="1"/>
  <c r="Y23" i="11"/>
  <c r="Z23" i="11" s="1"/>
  <c r="AB23" i="11"/>
  <c r="C24" i="11"/>
  <c r="F24" i="11"/>
  <c r="G24" i="11" s="1"/>
  <c r="I24" i="11"/>
  <c r="J24" i="11" s="1"/>
  <c r="L24" i="11"/>
  <c r="M24" i="11" s="1"/>
  <c r="P24" i="11"/>
  <c r="Q24" i="11" s="1"/>
  <c r="S24" i="11"/>
  <c r="T24" i="11" s="1"/>
  <c r="V24" i="11"/>
  <c r="W24" i="11" s="1"/>
  <c r="Y24" i="11"/>
  <c r="Z24" i="11" s="1"/>
  <c r="C25" i="11"/>
  <c r="D25" i="11" s="1"/>
  <c r="F25" i="11"/>
  <c r="G25" i="11" s="1"/>
  <c r="I25" i="11"/>
  <c r="J25" i="11" s="1"/>
  <c r="L25" i="11"/>
  <c r="M25" i="11" s="1"/>
  <c r="P25" i="11"/>
  <c r="Q25" i="11" s="1"/>
  <c r="S25" i="11"/>
  <c r="T25" i="11" s="1"/>
  <c r="V25" i="11"/>
  <c r="W25" i="11" s="1"/>
  <c r="Y25" i="11"/>
  <c r="Z25" i="11" s="1"/>
  <c r="AB25" i="11"/>
  <c r="C26" i="11"/>
  <c r="F26" i="11"/>
  <c r="G26" i="11" s="1"/>
  <c r="I26" i="11"/>
  <c r="J26" i="11" s="1"/>
  <c r="L26" i="11"/>
  <c r="M26" i="11" s="1"/>
  <c r="P26" i="11"/>
  <c r="Q26" i="11" s="1"/>
  <c r="S26" i="11"/>
  <c r="T26" i="11" s="1"/>
  <c r="V26" i="11"/>
  <c r="W26" i="11" s="1"/>
  <c r="Y26" i="11"/>
  <c r="Z26" i="11" s="1"/>
  <c r="C27" i="11"/>
  <c r="D27" i="11" s="1"/>
  <c r="F27" i="11"/>
  <c r="G27" i="11" s="1"/>
  <c r="I27" i="11"/>
  <c r="J27" i="11" s="1"/>
  <c r="L27" i="11"/>
  <c r="M27" i="11" s="1"/>
  <c r="P27" i="11"/>
  <c r="Q27" i="11" s="1"/>
  <c r="S27" i="11"/>
  <c r="T27" i="11" s="1"/>
  <c r="V27" i="11"/>
  <c r="W27" i="11" s="1"/>
  <c r="Y27" i="11"/>
  <c r="Z27" i="11" s="1"/>
  <c r="AB27" i="11"/>
  <c r="C28" i="11"/>
  <c r="F28" i="11"/>
  <c r="G28" i="11" s="1"/>
  <c r="I28" i="11"/>
  <c r="J28" i="11" s="1"/>
  <c r="L28" i="11"/>
  <c r="M28" i="11" s="1"/>
  <c r="P28" i="11"/>
  <c r="Q28" i="11" s="1"/>
  <c r="S28" i="11"/>
  <c r="T28" i="11" s="1"/>
  <c r="V28" i="11"/>
  <c r="W28" i="11" s="1"/>
  <c r="Y28" i="11"/>
  <c r="Z28" i="11" s="1"/>
  <c r="C29" i="11"/>
  <c r="D29" i="11" s="1"/>
  <c r="F29" i="11"/>
  <c r="G29" i="11" s="1"/>
  <c r="I29" i="11"/>
  <c r="J29" i="11" s="1"/>
  <c r="L29" i="11"/>
  <c r="M29" i="11" s="1"/>
  <c r="P29" i="11"/>
  <c r="Q29" i="11" s="1"/>
  <c r="S29" i="11"/>
  <c r="T29" i="11" s="1"/>
  <c r="V29" i="11"/>
  <c r="W29" i="11" s="1"/>
  <c r="Y29" i="11"/>
  <c r="Z29" i="11" s="1"/>
  <c r="AB29" i="11"/>
  <c r="C30" i="11"/>
  <c r="F30" i="11"/>
  <c r="G30" i="11" s="1"/>
  <c r="I30" i="11"/>
  <c r="J30" i="11" s="1"/>
  <c r="L30" i="11"/>
  <c r="M30" i="11" s="1"/>
  <c r="P30" i="11"/>
  <c r="Q30" i="11" s="1"/>
  <c r="S30" i="11"/>
  <c r="T30" i="11" s="1"/>
  <c r="V30" i="11"/>
  <c r="W30" i="11" s="1"/>
  <c r="Y30" i="11"/>
  <c r="Z30" i="11" s="1"/>
  <c r="C31" i="11"/>
  <c r="D31" i="11" s="1"/>
  <c r="F31" i="11"/>
  <c r="G31" i="11" s="1"/>
  <c r="I31" i="11"/>
  <c r="J31" i="11" s="1"/>
  <c r="L31" i="11"/>
  <c r="M31" i="11" s="1"/>
  <c r="P31" i="11"/>
  <c r="Q31" i="11" s="1"/>
  <c r="S31" i="11"/>
  <c r="T31" i="11" s="1"/>
  <c r="V31" i="11"/>
  <c r="W31" i="11" s="1"/>
  <c r="Y31" i="11"/>
  <c r="Z31" i="11" s="1"/>
  <c r="AB31" i="11"/>
  <c r="C32" i="11"/>
  <c r="F32" i="11"/>
  <c r="G32" i="11" s="1"/>
  <c r="I32" i="11"/>
  <c r="J32" i="11" s="1"/>
  <c r="L32" i="11"/>
  <c r="M32" i="11" s="1"/>
  <c r="P32" i="11"/>
  <c r="Q32" i="11" s="1"/>
  <c r="S32" i="11"/>
  <c r="T32" i="11" s="1"/>
  <c r="V32" i="11"/>
  <c r="W32" i="11" s="1"/>
  <c r="Y32" i="11"/>
  <c r="Z32" i="11" s="1"/>
  <c r="C33" i="11"/>
  <c r="D33" i="11" s="1"/>
  <c r="F33" i="11"/>
  <c r="G33" i="11" s="1"/>
  <c r="I33" i="11"/>
  <c r="J33" i="11" s="1"/>
  <c r="L33" i="11"/>
  <c r="M33" i="11" s="1"/>
  <c r="P33" i="11"/>
  <c r="Q33" i="11" s="1"/>
  <c r="S33" i="11"/>
  <c r="T33" i="11" s="1"/>
  <c r="V33" i="11"/>
  <c r="W33" i="11" s="1"/>
  <c r="Y33" i="11"/>
  <c r="Z33" i="11" s="1"/>
  <c r="AB33" i="11"/>
  <c r="C34" i="11"/>
  <c r="F34" i="11"/>
  <c r="G34" i="11" s="1"/>
  <c r="I34" i="11"/>
  <c r="J34" i="11" s="1"/>
  <c r="L34" i="11"/>
  <c r="M34" i="11" s="1"/>
  <c r="P34" i="11"/>
  <c r="Q34" i="11" s="1"/>
  <c r="S34" i="11"/>
  <c r="T34" i="11" s="1"/>
  <c r="V34" i="11"/>
  <c r="W34" i="11" s="1"/>
  <c r="Y34" i="11"/>
  <c r="Z34" i="11" s="1"/>
  <c r="C35" i="11"/>
  <c r="D35" i="11" s="1"/>
  <c r="F35" i="11"/>
  <c r="G35" i="11" s="1"/>
  <c r="I35" i="11"/>
  <c r="J35" i="11" s="1"/>
  <c r="L35" i="11"/>
  <c r="M35" i="11" s="1"/>
  <c r="P35" i="11"/>
  <c r="Q35" i="11" s="1"/>
  <c r="S35" i="11"/>
  <c r="T35" i="11" s="1"/>
  <c r="V35" i="11"/>
  <c r="W35" i="11" s="1"/>
  <c r="Y35" i="11"/>
  <c r="Z35" i="11" s="1"/>
  <c r="AB35" i="11"/>
  <c r="C5" i="10"/>
  <c r="F5" i="10"/>
  <c r="G5" i="10" s="1"/>
  <c r="I5" i="10"/>
  <c r="J5" i="10" s="1"/>
  <c r="L5" i="10"/>
  <c r="M5" i="10" s="1"/>
  <c r="P5" i="10"/>
  <c r="Q5" i="10" s="1"/>
  <c r="S5" i="10"/>
  <c r="T5" i="10" s="1"/>
  <c r="V5" i="10"/>
  <c r="W5" i="10" s="1"/>
  <c r="Y5" i="10"/>
  <c r="Z5" i="10" s="1"/>
  <c r="AC5" i="10"/>
  <c r="AF5" i="10"/>
  <c r="C6" i="10"/>
  <c r="D6" i="10" s="1"/>
  <c r="F6" i="10"/>
  <c r="I6" i="10"/>
  <c r="J6" i="10" s="1"/>
  <c r="L6" i="10"/>
  <c r="P6" i="10"/>
  <c r="Q6" i="10" s="1"/>
  <c r="S6" i="10"/>
  <c r="V6" i="10"/>
  <c r="W6" i="10" s="1"/>
  <c r="Y6" i="10"/>
  <c r="AC6" i="10"/>
  <c r="AD6" i="10" s="1"/>
  <c r="AF6" i="10"/>
  <c r="C7" i="10"/>
  <c r="F7" i="10"/>
  <c r="G7" i="10" s="1"/>
  <c r="I7" i="10"/>
  <c r="L7" i="10"/>
  <c r="M7" i="10" s="1"/>
  <c r="P7" i="10"/>
  <c r="S7" i="10"/>
  <c r="T7" i="10" s="1"/>
  <c r="V7" i="10"/>
  <c r="Y7" i="10"/>
  <c r="Z7" i="10" s="1"/>
  <c r="AC7" i="10"/>
  <c r="AD7" i="10" s="1"/>
  <c r="C8" i="10"/>
  <c r="D8" i="10" s="1"/>
  <c r="F8" i="10"/>
  <c r="G8" i="10" s="1"/>
  <c r="I8" i="10"/>
  <c r="J8" i="10" s="1"/>
  <c r="L8" i="10"/>
  <c r="M8" i="10" s="1"/>
  <c r="P8" i="10"/>
  <c r="Q8" i="10" s="1"/>
  <c r="S8" i="10"/>
  <c r="T8" i="10" s="1"/>
  <c r="V8" i="10"/>
  <c r="W8" i="10" s="1"/>
  <c r="Y8" i="10"/>
  <c r="Z8" i="10" s="1"/>
  <c r="AC8" i="10"/>
  <c r="AD8" i="10" s="1"/>
  <c r="AF8" i="10"/>
  <c r="C9" i="10"/>
  <c r="F9" i="10"/>
  <c r="G9" i="10" s="1"/>
  <c r="I9" i="10"/>
  <c r="J9" i="10" s="1"/>
  <c r="L9" i="10"/>
  <c r="M9" i="10" s="1"/>
  <c r="P9" i="10"/>
  <c r="Q9" i="10" s="1"/>
  <c r="S9" i="10"/>
  <c r="T9" i="10" s="1"/>
  <c r="V9" i="10"/>
  <c r="W9" i="10" s="1"/>
  <c r="Y9" i="10"/>
  <c r="Z9" i="10" s="1"/>
  <c r="AC9" i="10"/>
  <c r="AD9" i="10" s="1"/>
  <c r="C10" i="10"/>
  <c r="D10" i="10" s="1"/>
  <c r="F10" i="10"/>
  <c r="G10" i="10" s="1"/>
  <c r="I10" i="10"/>
  <c r="J10" i="10" s="1"/>
  <c r="L10" i="10"/>
  <c r="M10" i="10" s="1"/>
  <c r="P10" i="10"/>
  <c r="Q10" i="10" s="1"/>
  <c r="S10" i="10"/>
  <c r="T10" i="10" s="1"/>
  <c r="V10" i="10"/>
  <c r="W10" i="10" s="1"/>
  <c r="Y10" i="10"/>
  <c r="Z10" i="10" s="1"/>
  <c r="AC10" i="10"/>
  <c r="AD10" i="10" s="1"/>
  <c r="AF10" i="10"/>
  <c r="C11" i="10"/>
  <c r="F11" i="10"/>
  <c r="G11" i="10" s="1"/>
  <c r="I11" i="10"/>
  <c r="J11" i="10" s="1"/>
  <c r="L11" i="10"/>
  <c r="M11" i="10" s="1"/>
  <c r="P11" i="10"/>
  <c r="Q11" i="10" s="1"/>
  <c r="S11" i="10"/>
  <c r="T11" i="10" s="1"/>
  <c r="V11" i="10"/>
  <c r="W11" i="10" s="1"/>
  <c r="Y11" i="10"/>
  <c r="Z11" i="10" s="1"/>
  <c r="AC11" i="10"/>
  <c r="AD11" i="10" s="1"/>
  <c r="C12" i="10"/>
  <c r="D12" i="10" s="1"/>
  <c r="F12" i="10"/>
  <c r="G12" i="10" s="1"/>
  <c r="I12" i="10"/>
  <c r="J12" i="10" s="1"/>
  <c r="L12" i="10"/>
  <c r="M12" i="10" s="1"/>
  <c r="P12" i="10"/>
  <c r="Q12" i="10" s="1"/>
  <c r="S12" i="10"/>
  <c r="T12" i="10" s="1"/>
  <c r="V12" i="10"/>
  <c r="W12" i="10" s="1"/>
  <c r="Y12" i="10"/>
  <c r="Z12" i="10" s="1"/>
  <c r="AC12" i="10"/>
  <c r="AD12" i="10" s="1"/>
  <c r="AF12" i="10"/>
  <c r="C13" i="10"/>
  <c r="F13" i="10"/>
  <c r="G13" i="10" s="1"/>
  <c r="I13" i="10"/>
  <c r="J13" i="10" s="1"/>
  <c r="L13" i="10"/>
  <c r="M13" i="10" s="1"/>
  <c r="P13" i="10"/>
  <c r="Q13" i="10" s="1"/>
  <c r="S13" i="10"/>
  <c r="T13" i="10" s="1"/>
  <c r="V13" i="10"/>
  <c r="W13" i="10" s="1"/>
  <c r="Y13" i="10"/>
  <c r="Z13" i="10" s="1"/>
  <c r="AC13" i="10"/>
  <c r="AD13" i="10" s="1"/>
  <c r="C14" i="10"/>
  <c r="D14" i="10" s="1"/>
  <c r="F14" i="10"/>
  <c r="G14" i="10" s="1"/>
  <c r="I14" i="10"/>
  <c r="J14" i="10" s="1"/>
  <c r="L14" i="10"/>
  <c r="M14" i="10" s="1"/>
  <c r="P14" i="10"/>
  <c r="Q14" i="10" s="1"/>
  <c r="S14" i="10"/>
  <c r="T14" i="10" s="1"/>
  <c r="V14" i="10"/>
  <c r="W14" i="10" s="1"/>
  <c r="Y14" i="10"/>
  <c r="Z14" i="10" s="1"/>
  <c r="AC14" i="10"/>
  <c r="AD14" i="10" s="1"/>
  <c r="AF14" i="10"/>
  <c r="C15" i="10"/>
  <c r="F15" i="10"/>
  <c r="G15" i="10" s="1"/>
  <c r="I15" i="10"/>
  <c r="J15" i="10" s="1"/>
  <c r="L15" i="10"/>
  <c r="M15" i="10" s="1"/>
  <c r="P15" i="10"/>
  <c r="Q15" i="10" s="1"/>
  <c r="S15" i="10"/>
  <c r="T15" i="10" s="1"/>
  <c r="V15" i="10"/>
  <c r="W15" i="10" s="1"/>
  <c r="Y15" i="10"/>
  <c r="Z15" i="10" s="1"/>
  <c r="AC15" i="10"/>
  <c r="AD15" i="10" s="1"/>
  <c r="C16" i="10"/>
  <c r="D16" i="10" s="1"/>
  <c r="F16" i="10"/>
  <c r="G16" i="10" s="1"/>
  <c r="I16" i="10"/>
  <c r="J16" i="10" s="1"/>
  <c r="L16" i="10"/>
  <c r="M16" i="10" s="1"/>
  <c r="P16" i="10"/>
  <c r="Q16" i="10" s="1"/>
  <c r="S16" i="10"/>
  <c r="T16" i="10" s="1"/>
  <c r="V16" i="10"/>
  <c r="W16" i="10" s="1"/>
  <c r="Y16" i="10"/>
  <c r="Z16" i="10" s="1"/>
  <c r="AC16" i="10"/>
  <c r="AD16" i="10" s="1"/>
  <c r="AF16" i="10"/>
  <c r="C17" i="10"/>
  <c r="F17" i="10"/>
  <c r="G17" i="10" s="1"/>
  <c r="I17" i="10"/>
  <c r="J17" i="10" s="1"/>
  <c r="L17" i="10"/>
  <c r="M17" i="10" s="1"/>
  <c r="P17" i="10"/>
  <c r="Q17" i="10" s="1"/>
  <c r="S17" i="10"/>
  <c r="T17" i="10" s="1"/>
  <c r="V17" i="10"/>
  <c r="W17" i="10" s="1"/>
  <c r="Y17" i="10"/>
  <c r="Z17" i="10" s="1"/>
  <c r="AC17" i="10"/>
  <c r="AD17" i="10" s="1"/>
  <c r="C18" i="10"/>
  <c r="D18" i="10" s="1"/>
  <c r="F18" i="10"/>
  <c r="G18" i="10" s="1"/>
  <c r="I18" i="10"/>
  <c r="J18" i="10" s="1"/>
  <c r="L18" i="10"/>
  <c r="M18" i="10" s="1"/>
  <c r="P18" i="10"/>
  <c r="Q18" i="10" s="1"/>
  <c r="S18" i="10"/>
  <c r="T18" i="10" s="1"/>
  <c r="V18" i="10"/>
  <c r="W18" i="10" s="1"/>
  <c r="Y18" i="10"/>
  <c r="Z18" i="10" s="1"/>
  <c r="AC18" i="10"/>
  <c r="AD18" i="10" s="1"/>
  <c r="AF18" i="10"/>
  <c r="C19" i="10"/>
  <c r="F19" i="10"/>
  <c r="G19" i="10" s="1"/>
  <c r="I19" i="10"/>
  <c r="J19" i="10" s="1"/>
  <c r="L19" i="10"/>
  <c r="M19" i="10" s="1"/>
  <c r="P19" i="10"/>
  <c r="Q19" i="10" s="1"/>
  <c r="S19" i="10"/>
  <c r="T19" i="10" s="1"/>
  <c r="V19" i="10"/>
  <c r="W19" i="10" s="1"/>
  <c r="Y19" i="10"/>
  <c r="Z19" i="10" s="1"/>
  <c r="AC19" i="10"/>
  <c r="AD19" i="10" s="1"/>
  <c r="C20" i="10"/>
  <c r="D20" i="10" s="1"/>
  <c r="F20" i="10"/>
  <c r="G20" i="10" s="1"/>
  <c r="I20" i="10"/>
  <c r="J20" i="10" s="1"/>
  <c r="L20" i="10"/>
  <c r="M20" i="10" s="1"/>
  <c r="P20" i="10"/>
  <c r="Q20" i="10" s="1"/>
  <c r="S20" i="10"/>
  <c r="T20" i="10" s="1"/>
  <c r="V20" i="10"/>
  <c r="W20" i="10" s="1"/>
  <c r="Y20" i="10"/>
  <c r="Z20" i="10" s="1"/>
  <c r="AC20" i="10"/>
  <c r="AD20" i="10" s="1"/>
  <c r="AF20" i="10"/>
  <c r="C21" i="10"/>
  <c r="F21" i="10"/>
  <c r="G21" i="10" s="1"/>
  <c r="I21" i="10"/>
  <c r="J21" i="10" s="1"/>
  <c r="L21" i="10"/>
  <c r="M21" i="10" s="1"/>
  <c r="P21" i="10"/>
  <c r="Q21" i="10" s="1"/>
  <c r="S21" i="10"/>
  <c r="T21" i="10" s="1"/>
  <c r="V21" i="10"/>
  <c r="W21" i="10" s="1"/>
  <c r="Y21" i="10"/>
  <c r="Z21" i="10" s="1"/>
  <c r="AC21" i="10"/>
  <c r="AD21" i="10" s="1"/>
  <c r="C22" i="10"/>
  <c r="D22" i="10" s="1"/>
  <c r="F22" i="10"/>
  <c r="G22" i="10" s="1"/>
  <c r="I22" i="10"/>
  <c r="J22" i="10" s="1"/>
  <c r="L22" i="10"/>
  <c r="M22" i="10" s="1"/>
  <c r="P22" i="10"/>
  <c r="Q22" i="10" s="1"/>
  <c r="S22" i="10"/>
  <c r="T22" i="10" s="1"/>
  <c r="V22" i="10"/>
  <c r="W22" i="10" s="1"/>
  <c r="Y22" i="10"/>
  <c r="Z22" i="10" s="1"/>
  <c r="AC22" i="10"/>
  <c r="AD22" i="10" s="1"/>
  <c r="AF22" i="10"/>
  <c r="C23" i="10"/>
  <c r="F23" i="10"/>
  <c r="G23" i="10" s="1"/>
  <c r="I23" i="10"/>
  <c r="J23" i="10" s="1"/>
  <c r="L23" i="10"/>
  <c r="M23" i="10" s="1"/>
  <c r="P23" i="10"/>
  <c r="Q23" i="10" s="1"/>
  <c r="S23" i="10"/>
  <c r="T23" i="10" s="1"/>
  <c r="V23" i="10"/>
  <c r="W23" i="10" s="1"/>
  <c r="Y23" i="10"/>
  <c r="Z23" i="10" s="1"/>
  <c r="AC23" i="10"/>
  <c r="AD23" i="10" s="1"/>
  <c r="C24" i="10"/>
  <c r="D24" i="10" s="1"/>
  <c r="F24" i="10"/>
  <c r="G24" i="10" s="1"/>
  <c r="I24" i="10"/>
  <c r="J24" i="10" s="1"/>
  <c r="L24" i="10"/>
  <c r="M24" i="10" s="1"/>
  <c r="P24" i="10"/>
  <c r="Q24" i="10" s="1"/>
  <c r="S24" i="10"/>
  <c r="T24" i="10" s="1"/>
  <c r="V24" i="10"/>
  <c r="W24" i="10" s="1"/>
  <c r="Y24" i="10"/>
  <c r="Z24" i="10" s="1"/>
  <c r="AC24" i="10"/>
  <c r="AD24" i="10" s="1"/>
  <c r="AF24" i="10"/>
  <c r="C25" i="10"/>
  <c r="F25" i="10"/>
  <c r="G25" i="10" s="1"/>
  <c r="I25" i="10"/>
  <c r="J25" i="10" s="1"/>
  <c r="L25" i="10"/>
  <c r="M25" i="10" s="1"/>
  <c r="P25" i="10"/>
  <c r="Q25" i="10" s="1"/>
  <c r="S25" i="10"/>
  <c r="T25" i="10" s="1"/>
  <c r="V25" i="10"/>
  <c r="W25" i="10" s="1"/>
  <c r="Y25" i="10"/>
  <c r="Z25" i="10" s="1"/>
  <c r="AC25" i="10"/>
  <c r="AD25" i="10" s="1"/>
  <c r="C26" i="10"/>
  <c r="D26" i="10" s="1"/>
  <c r="F26" i="10"/>
  <c r="G26" i="10" s="1"/>
  <c r="I26" i="10"/>
  <c r="J26" i="10" s="1"/>
  <c r="L26" i="10"/>
  <c r="M26" i="10" s="1"/>
  <c r="P26" i="10"/>
  <c r="Q26" i="10" s="1"/>
  <c r="S26" i="10"/>
  <c r="T26" i="10" s="1"/>
  <c r="V26" i="10"/>
  <c r="W26" i="10" s="1"/>
  <c r="Y26" i="10"/>
  <c r="Z26" i="10" s="1"/>
  <c r="AC26" i="10"/>
  <c r="AD26" i="10" s="1"/>
  <c r="AF26" i="10"/>
  <c r="C27" i="10"/>
  <c r="F27" i="10"/>
  <c r="G27" i="10" s="1"/>
  <c r="I27" i="10"/>
  <c r="J27" i="10" s="1"/>
  <c r="L27" i="10"/>
  <c r="M27" i="10" s="1"/>
  <c r="P27" i="10"/>
  <c r="Q27" i="10" s="1"/>
  <c r="S27" i="10"/>
  <c r="T27" i="10" s="1"/>
  <c r="V27" i="10"/>
  <c r="W27" i="10" s="1"/>
  <c r="Y27" i="10"/>
  <c r="Z27" i="10" s="1"/>
  <c r="AC27" i="10"/>
  <c r="AD27" i="10" s="1"/>
  <c r="C28" i="10"/>
  <c r="D28" i="10" s="1"/>
  <c r="F28" i="10"/>
  <c r="G28" i="10" s="1"/>
  <c r="I28" i="10"/>
  <c r="J28" i="10" s="1"/>
  <c r="L28" i="10"/>
  <c r="M28" i="10" s="1"/>
  <c r="P28" i="10"/>
  <c r="Q28" i="10" s="1"/>
  <c r="S28" i="10"/>
  <c r="T28" i="10" s="1"/>
  <c r="V28" i="10"/>
  <c r="W28" i="10" s="1"/>
  <c r="Y28" i="10"/>
  <c r="Z28" i="10" s="1"/>
  <c r="AC28" i="10"/>
  <c r="AD28" i="10" s="1"/>
  <c r="AF28" i="10"/>
  <c r="C29" i="10"/>
  <c r="F29" i="10"/>
  <c r="G29" i="10" s="1"/>
  <c r="I29" i="10"/>
  <c r="J29" i="10" s="1"/>
  <c r="L29" i="10"/>
  <c r="M29" i="10" s="1"/>
  <c r="P29" i="10"/>
  <c r="Q29" i="10" s="1"/>
  <c r="S29" i="10"/>
  <c r="T29" i="10" s="1"/>
  <c r="V29" i="10"/>
  <c r="W29" i="10" s="1"/>
  <c r="Y29" i="10"/>
  <c r="Z29" i="10" s="1"/>
  <c r="AC29" i="10"/>
  <c r="AD29" i="10" s="1"/>
  <c r="C30" i="10"/>
  <c r="D30" i="10" s="1"/>
  <c r="F30" i="10"/>
  <c r="G30" i="10" s="1"/>
  <c r="I30" i="10"/>
  <c r="J30" i="10" s="1"/>
  <c r="L30" i="10"/>
  <c r="M30" i="10" s="1"/>
  <c r="P30" i="10"/>
  <c r="Q30" i="10" s="1"/>
  <c r="S30" i="10"/>
  <c r="T30" i="10" s="1"/>
  <c r="V30" i="10"/>
  <c r="W30" i="10" s="1"/>
  <c r="Y30" i="10"/>
  <c r="Z30" i="10" s="1"/>
  <c r="AC30" i="10"/>
  <c r="AD30" i="10" s="1"/>
  <c r="AF30" i="10"/>
  <c r="F31" i="10"/>
  <c r="G31" i="10" s="1"/>
  <c r="I31" i="10"/>
  <c r="J31" i="10" s="1"/>
  <c r="L31" i="10"/>
  <c r="M31" i="10" s="1"/>
  <c r="P31" i="10"/>
  <c r="Q31" i="10" s="1"/>
  <c r="S31" i="10"/>
  <c r="T31" i="10" s="1"/>
  <c r="V31" i="10"/>
  <c r="W31" i="10" s="1"/>
  <c r="Y31" i="10"/>
  <c r="Z31" i="10" s="1"/>
  <c r="AC31" i="10"/>
  <c r="AD31" i="10" s="1"/>
  <c r="C32" i="10"/>
  <c r="F32" i="10"/>
  <c r="G32" i="10" s="1"/>
  <c r="I32" i="10"/>
  <c r="J32" i="10" s="1"/>
  <c r="L32" i="10"/>
  <c r="M32" i="10" s="1"/>
  <c r="P32" i="10"/>
  <c r="Q32" i="10" s="1"/>
  <c r="S32" i="10"/>
  <c r="T32" i="10" s="1"/>
  <c r="V32" i="10"/>
  <c r="W32" i="10" s="1"/>
  <c r="Y32" i="10"/>
  <c r="Z32" i="10" s="1"/>
  <c r="AC32" i="10"/>
  <c r="AD32" i="10" s="1"/>
  <c r="AF32" i="10"/>
  <c r="F33" i="10"/>
  <c r="G33" i="10" s="1"/>
  <c r="I33" i="10"/>
  <c r="J33" i="10" s="1"/>
  <c r="L33" i="10"/>
  <c r="M33" i="10" s="1"/>
  <c r="P33" i="10"/>
  <c r="Q33" i="10" s="1"/>
  <c r="S33" i="10"/>
  <c r="T33" i="10" s="1"/>
  <c r="V33" i="10"/>
  <c r="W33" i="10" s="1"/>
  <c r="Y33" i="10"/>
  <c r="Z33" i="10" s="1"/>
  <c r="AC33" i="10"/>
  <c r="AD33" i="10" s="1"/>
  <c r="C34" i="10"/>
  <c r="F34" i="10"/>
  <c r="G34" i="10" s="1"/>
  <c r="I34" i="10"/>
  <c r="J34" i="10" s="1"/>
  <c r="L34" i="10"/>
  <c r="M34" i="10" s="1"/>
  <c r="P34" i="10"/>
  <c r="Q34" i="10" s="1"/>
  <c r="S34" i="10"/>
  <c r="T34" i="10" s="1"/>
  <c r="V34" i="10"/>
  <c r="W34" i="10" s="1"/>
  <c r="Y34" i="10"/>
  <c r="Z34" i="10" s="1"/>
  <c r="AC34" i="10"/>
  <c r="AD34" i="10" s="1"/>
  <c r="AF34" i="10"/>
  <c r="F35" i="10"/>
  <c r="G35" i="10" s="1"/>
  <c r="I35" i="10"/>
  <c r="J35" i="10" s="1"/>
  <c r="L35" i="10"/>
  <c r="M35" i="10" s="1"/>
  <c r="P35" i="10"/>
  <c r="Q35" i="10" s="1"/>
  <c r="S35" i="10"/>
  <c r="T35" i="10" s="1"/>
  <c r="V35" i="10"/>
  <c r="W35" i="10" s="1"/>
  <c r="Y35" i="10"/>
  <c r="Z35" i="10" s="1"/>
  <c r="AC35" i="10"/>
  <c r="AD35" i="10" s="1"/>
  <c r="F5" i="9"/>
  <c r="G5" i="9" s="1"/>
  <c r="I5" i="9"/>
  <c r="J5" i="9" s="1"/>
  <c r="L5" i="9"/>
  <c r="M5" i="9" s="1"/>
  <c r="P5" i="9"/>
  <c r="Q5" i="9" s="1"/>
  <c r="S5" i="9"/>
  <c r="T5" i="9" s="1"/>
  <c r="V5" i="9"/>
  <c r="W5" i="9" s="1"/>
  <c r="Y5" i="9"/>
  <c r="Z5" i="9" s="1"/>
  <c r="C6" i="9"/>
  <c r="F6" i="9"/>
  <c r="G6" i="9" s="1"/>
  <c r="I6" i="9"/>
  <c r="J6" i="9" s="1"/>
  <c r="L6" i="9"/>
  <c r="M6" i="9" s="1"/>
  <c r="P6" i="9"/>
  <c r="Q6" i="9" s="1"/>
  <c r="S6" i="9"/>
  <c r="T6" i="9" s="1"/>
  <c r="V6" i="9"/>
  <c r="W6" i="9" s="1"/>
  <c r="Y6" i="9"/>
  <c r="Z6" i="9" s="1"/>
  <c r="AB6" i="9"/>
  <c r="F7" i="9"/>
  <c r="G7" i="9" s="1"/>
  <c r="I7" i="9"/>
  <c r="J7" i="9" s="1"/>
  <c r="L7" i="9"/>
  <c r="M7" i="9" s="1"/>
  <c r="P7" i="9"/>
  <c r="Q7" i="9" s="1"/>
  <c r="S7" i="9"/>
  <c r="T7" i="9" s="1"/>
  <c r="V7" i="9"/>
  <c r="W7" i="9" s="1"/>
  <c r="Y7" i="9"/>
  <c r="Z7" i="9" s="1"/>
  <c r="C8" i="9"/>
  <c r="F8" i="9"/>
  <c r="G8" i="9" s="1"/>
  <c r="I8" i="9"/>
  <c r="J8" i="9" s="1"/>
  <c r="L8" i="9"/>
  <c r="M8" i="9" s="1"/>
  <c r="P8" i="9"/>
  <c r="Q8" i="9" s="1"/>
  <c r="S8" i="9"/>
  <c r="T8" i="9" s="1"/>
  <c r="V8" i="9"/>
  <c r="W8" i="9" s="1"/>
  <c r="Y8" i="9"/>
  <c r="Z8" i="9" s="1"/>
  <c r="AB8" i="9"/>
  <c r="F9" i="9"/>
  <c r="G9" i="9" s="1"/>
  <c r="I9" i="9"/>
  <c r="J9" i="9" s="1"/>
  <c r="L9" i="9"/>
  <c r="M9" i="9" s="1"/>
  <c r="P9" i="9"/>
  <c r="Q9" i="9" s="1"/>
  <c r="S9" i="9"/>
  <c r="T9" i="9" s="1"/>
  <c r="V9" i="9"/>
  <c r="W9" i="9" s="1"/>
  <c r="Y9" i="9"/>
  <c r="Z9" i="9" s="1"/>
  <c r="C10" i="9"/>
  <c r="F10" i="9"/>
  <c r="G10" i="9" s="1"/>
  <c r="I10" i="9"/>
  <c r="J10" i="9" s="1"/>
  <c r="L10" i="9"/>
  <c r="M10" i="9" s="1"/>
  <c r="P10" i="9"/>
  <c r="Q10" i="9" s="1"/>
  <c r="S10" i="9"/>
  <c r="T10" i="9" s="1"/>
  <c r="V10" i="9"/>
  <c r="W10" i="9" s="1"/>
  <c r="Y10" i="9"/>
  <c r="Z10" i="9" s="1"/>
  <c r="AB10" i="9"/>
  <c r="F11" i="9"/>
  <c r="G11" i="9" s="1"/>
  <c r="I11" i="9"/>
  <c r="J11" i="9" s="1"/>
  <c r="L11" i="9"/>
  <c r="M11" i="9" s="1"/>
  <c r="P11" i="9"/>
  <c r="Q11" i="9" s="1"/>
  <c r="S11" i="9"/>
  <c r="T11" i="9" s="1"/>
  <c r="V11" i="9"/>
  <c r="W11" i="9" s="1"/>
  <c r="Y11" i="9"/>
  <c r="Z11" i="9" s="1"/>
  <c r="C12" i="9"/>
  <c r="F12" i="9"/>
  <c r="G12" i="9" s="1"/>
  <c r="I12" i="9"/>
  <c r="J12" i="9" s="1"/>
  <c r="L12" i="9"/>
  <c r="M12" i="9" s="1"/>
  <c r="P12" i="9"/>
  <c r="Q12" i="9" s="1"/>
  <c r="S12" i="9"/>
  <c r="T12" i="9" s="1"/>
  <c r="V12" i="9"/>
  <c r="W12" i="9" s="1"/>
  <c r="Y12" i="9"/>
  <c r="Z12" i="9" s="1"/>
  <c r="AB12" i="9"/>
  <c r="F13" i="9"/>
  <c r="G13" i="9" s="1"/>
  <c r="I13" i="9"/>
  <c r="J13" i="9" s="1"/>
  <c r="L13" i="9"/>
  <c r="M13" i="9" s="1"/>
  <c r="P13" i="9"/>
  <c r="Q13" i="9" s="1"/>
  <c r="S13" i="9"/>
  <c r="T13" i="9" s="1"/>
  <c r="V13" i="9"/>
  <c r="W13" i="9" s="1"/>
  <c r="Y13" i="9"/>
  <c r="Z13" i="9" s="1"/>
  <c r="C14" i="9"/>
  <c r="F14" i="9"/>
  <c r="G14" i="9" s="1"/>
  <c r="I14" i="9"/>
  <c r="J14" i="9" s="1"/>
  <c r="L14" i="9"/>
  <c r="M14" i="9" s="1"/>
  <c r="P14" i="9"/>
  <c r="Q14" i="9" s="1"/>
  <c r="S14" i="9"/>
  <c r="T14" i="9" s="1"/>
  <c r="V14" i="9"/>
  <c r="W14" i="9" s="1"/>
  <c r="Y14" i="9"/>
  <c r="Z14" i="9" s="1"/>
  <c r="AB14" i="9"/>
  <c r="F15" i="9"/>
  <c r="G15" i="9" s="1"/>
  <c r="I15" i="9"/>
  <c r="J15" i="9" s="1"/>
  <c r="L15" i="9"/>
  <c r="M15" i="9" s="1"/>
  <c r="P15" i="9"/>
  <c r="Q15" i="9" s="1"/>
  <c r="S15" i="9"/>
  <c r="T15" i="9" s="1"/>
  <c r="V15" i="9"/>
  <c r="W15" i="9" s="1"/>
  <c r="Y15" i="9"/>
  <c r="Z15" i="9" s="1"/>
  <c r="C16" i="9"/>
  <c r="F16" i="9"/>
  <c r="G16" i="9" s="1"/>
  <c r="I16" i="9"/>
  <c r="J16" i="9" s="1"/>
  <c r="L16" i="9"/>
  <c r="M16" i="9" s="1"/>
  <c r="P16" i="9"/>
  <c r="Q16" i="9" s="1"/>
  <c r="S16" i="9"/>
  <c r="T16" i="9" s="1"/>
  <c r="V16" i="9"/>
  <c r="W16" i="9" s="1"/>
  <c r="Y16" i="9"/>
  <c r="Z16" i="9" s="1"/>
  <c r="AB16" i="9"/>
  <c r="C17" i="9"/>
  <c r="D17" i="9" s="1"/>
  <c r="F17" i="9"/>
  <c r="G17" i="9" s="1"/>
  <c r="I17" i="9"/>
  <c r="J17" i="9" s="1"/>
  <c r="L17" i="9"/>
  <c r="M17" i="9" s="1"/>
  <c r="P17" i="9"/>
  <c r="Q17" i="9" s="1"/>
  <c r="S17" i="9"/>
  <c r="T17" i="9" s="1"/>
  <c r="V17" i="9"/>
  <c r="W17" i="9" s="1"/>
  <c r="Y17" i="9"/>
  <c r="AB17" i="9"/>
  <c r="C18" i="9"/>
  <c r="F18" i="9"/>
  <c r="G18" i="9" s="1"/>
  <c r="I18" i="9"/>
  <c r="L18" i="9"/>
  <c r="M18" i="9" s="1"/>
  <c r="P18" i="9"/>
  <c r="S18" i="9"/>
  <c r="T18" i="9" s="1"/>
  <c r="V18" i="9"/>
  <c r="Y18" i="9"/>
  <c r="Z18" i="9" s="1"/>
  <c r="C19" i="9"/>
  <c r="D19" i="9" s="1"/>
  <c r="F19" i="9"/>
  <c r="I19" i="9"/>
  <c r="J19" i="9" s="1"/>
  <c r="L19" i="9"/>
  <c r="P19" i="9"/>
  <c r="Q19" i="9" s="1"/>
  <c r="S19" i="9"/>
  <c r="V19" i="9"/>
  <c r="W19" i="9" s="1"/>
  <c r="Y19" i="9"/>
  <c r="Z19" i="9" s="1"/>
  <c r="AB19" i="9"/>
  <c r="C20" i="9"/>
  <c r="F20" i="9"/>
  <c r="G20" i="9" s="1"/>
  <c r="I20" i="9"/>
  <c r="J20" i="9" s="1"/>
  <c r="L20" i="9"/>
  <c r="M20" i="9" s="1"/>
  <c r="P20" i="9"/>
  <c r="Q20" i="9" s="1"/>
  <c r="S20" i="9"/>
  <c r="T20" i="9" s="1"/>
  <c r="V20" i="9"/>
  <c r="W20" i="9" s="1"/>
  <c r="Y20" i="9"/>
  <c r="Z20" i="9" s="1"/>
  <c r="C21" i="9"/>
  <c r="D21" i="9" s="1"/>
  <c r="F21" i="9"/>
  <c r="G21" i="9" s="1"/>
  <c r="I21" i="9"/>
  <c r="J21" i="9" s="1"/>
  <c r="L21" i="9"/>
  <c r="M21" i="9" s="1"/>
  <c r="P21" i="9"/>
  <c r="Q21" i="9" s="1"/>
  <c r="S21" i="9"/>
  <c r="T21" i="9" s="1"/>
  <c r="V21" i="9"/>
  <c r="W21" i="9" s="1"/>
  <c r="Y21" i="9"/>
  <c r="Z21" i="9" s="1"/>
  <c r="AB21" i="9"/>
  <c r="C22" i="9"/>
  <c r="F22" i="9"/>
  <c r="G22" i="9" s="1"/>
  <c r="I22" i="9"/>
  <c r="J22" i="9" s="1"/>
  <c r="L22" i="9"/>
  <c r="M22" i="9" s="1"/>
  <c r="P22" i="9"/>
  <c r="Q22" i="9" s="1"/>
  <c r="S22" i="9"/>
  <c r="T22" i="9" s="1"/>
  <c r="V22" i="9"/>
  <c r="W22" i="9" s="1"/>
  <c r="Y22" i="9"/>
  <c r="Z22" i="9" s="1"/>
  <c r="C23" i="9"/>
  <c r="D23" i="9" s="1"/>
  <c r="F23" i="9"/>
  <c r="G23" i="9" s="1"/>
  <c r="I23" i="9"/>
  <c r="J23" i="9" s="1"/>
  <c r="L23" i="9"/>
  <c r="M23" i="9" s="1"/>
  <c r="P23" i="9"/>
  <c r="Q23" i="9" s="1"/>
  <c r="S23" i="9"/>
  <c r="T23" i="9" s="1"/>
  <c r="V23" i="9"/>
  <c r="W23" i="9" s="1"/>
  <c r="Y23" i="9"/>
  <c r="Z23" i="9" s="1"/>
  <c r="AB23" i="9"/>
  <c r="C24" i="9"/>
  <c r="F24" i="9"/>
  <c r="G24" i="9" s="1"/>
  <c r="I24" i="9"/>
  <c r="J24" i="9" s="1"/>
  <c r="L24" i="9"/>
  <c r="M24" i="9" s="1"/>
  <c r="P24" i="9"/>
  <c r="Q24" i="9" s="1"/>
  <c r="S24" i="9"/>
  <c r="T24" i="9" s="1"/>
  <c r="V24" i="9"/>
  <c r="W24" i="9" s="1"/>
  <c r="Y24" i="9"/>
  <c r="Z24" i="9" s="1"/>
  <c r="C25" i="9"/>
  <c r="D25" i="9" s="1"/>
  <c r="F25" i="9"/>
  <c r="G25" i="9" s="1"/>
  <c r="I25" i="9"/>
  <c r="J25" i="9" s="1"/>
  <c r="L25" i="9"/>
  <c r="M25" i="9" s="1"/>
  <c r="P25" i="9"/>
  <c r="Q25" i="9" s="1"/>
  <c r="S25" i="9"/>
  <c r="T25" i="9" s="1"/>
  <c r="V25" i="9"/>
  <c r="W25" i="9" s="1"/>
  <c r="Y25" i="9"/>
  <c r="Z25" i="9" s="1"/>
  <c r="AB25" i="9"/>
  <c r="C26" i="9"/>
  <c r="F26" i="9"/>
  <c r="G26" i="9" s="1"/>
  <c r="I26" i="9"/>
  <c r="J26" i="9" s="1"/>
  <c r="L26" i="9"/>
  <c r="M26" i="9" s="1"/>
  <c r="P26" i="9"/>
  <c r="Q26" i="9" s="1"/>
  <c r="S26" i="9"/>
  <c r="T26" i="9" s="1"/>
  <c r="V26" i="9"/>
  <c r="W26" i="9" s="1"/>
  <c r="Y26" i="9"/>
  <c r="Z26" i="9" s="1"/>
  <c r="C27" i="9"/>
  <c r="D27" i="9" s="1"/>
  <c r="F27" i="9"/>
  <c r="G27" i="9" s="1"/>
  <c r="I27" i="9"/>
  <c r="J27" i="9" s="1"/>
  <c r="L27" i="9"/>
  <c r="M27" i="9" s="1"/>
  <c r="P27" i="9"/>
  <c r="Q27" i="9" s="1"/>
  <c r="S27" i="9"/>
  <c r="T27" i="9" s="1"/>
  <c r="V27" i="9"/>
  <c r="W27" i="9" s="1"/>
  <c r="Y27" i="9"/>
  <c r="Z27" i="9" s="1"/>
  <c r="AB27" i="9"/>
  <c r="C28" i="9"/>
  <c r="F28" i="9"/>
  <c r="G28" i="9" s="1"/>
  <c r="I28" i="9"/>
  <c r="J28" i="9" s="1"/>
  <c r="L28" i="9"/>
  <c r="M28" i="9" s="1"/>
  <c r="P28" i="9"/>
  <c r="Q28" i="9" s="1"/>
  <c r="S28" i="9"/>
  <c r="T28" i="9" s="1"/>
  <c r="V28" i="9"/>
  <c r="W28" i="9" s="1"/>
  <c r="Y28" i="9"/>
  <c r="Z28" i="9" s="1"/>
  <c r="C29" i="9"/>
  <c r="D29" i="9" s="1"/>
  <c r="F29" i="9"/>
  <c r="G29" i="9" s="1"/>
  <c r="I29" i="9"/>
  <c r="J29" i="9" s="1"/>
  <c r="L29" i="9"/>
  <c r="M29" i="9" s="1"/>
  <c r="P29" i="9"/>
  <c r="Q29" i="9" s="1"/>
  <c r="S29" i="9"/>
  <c r="T29" i="9" s="1"/>
  <c r="V29" i="9"/>
  <c r="W29" i="9" s="1"/>
  <c r="Y29" i="9"/>
  <c r="Z29" i="9" s="1"/>
  <c r="AB29" i="9"/>
  <c r="C30" i="9"/>
  <c r="F30" i="9"/>
  <c r="G30" i="9" s="1"/>
  <c r="I30" i="9"/>
  <c r="J30" i="9" s="1"/>
  <c r="L30" i="9"/>
  <c r="M30" i="9" s="1"/>
  <c r="P30" i="9"/>
  <c r="Q30" i="9" s="1"/>
  <c r="S30" i="9"/>
  <c r="T30" i="9" s="1"/>
  <c r="V30" i="9"/>
  <c r="W30" i="9" s="1"/>
  <c r="Y30" i="9"/>
  <c r="Z30" i="9" s="1"/>
  <c r="C31" i="9"/>
  <c r="D31" i="9" s="1"/>
  <c r="F31" i="9"/>
  <c r="G31" i="9" s="1"/>
  <c r="I31" i="9"/>
  <c r="J31" i="9" s="1"/>
  <c r="L31" i="9"/>
  <c r="M31" i="9" s="1"/>
  <c r="P31" i="9"/>
  <c r="Q31" i="9" s="1"/>
  <c r="S31" i="9"/>
  <c r="T31" i="9" s="1"/>
  <c r="V31" i="9"/>
  <c r="W31" i="9" s="1"/>
  <c r="Y31" i="9"/>
  <c r="Z31" i="9" s="1"/>
  <c r="AB31" i="9"/>
  <c r="C32" i="9"/>
  <c r="F32" i="9"/>
  <c r="G32" i="9" s="1"/>
  <c r="I32" i="9"/>
  <c r="J32" i="9" s="1"/>
  <c r="L32" i="9"/>
  <c r="M32" i="9" s="1"/>
  <c r="P32" i="9"/>
  <c r="Q32" i="9" s="1"/>
  <c r="S32" i="9"/>
  <c r="T32" i="9" s="1"/>
  <c r="V32" i="9"/>
  <c r="W32" i="9" s="1"/>
  <c r="Y32" i="9"/>
  <c r="Z32" i="9" s="1"/>
  <c r="C33" i="9"/>
  <c r="D33" i="9" s="1"/>
  <c r="F33" i="9"/>
  <c r="G33" i="9" s="1"/>
  <c r="I33" i="9"/>
  <c r="J33" i="9" s="1"/>
  <c r="L33" i="9"/>
  <c r="M33" i="9" s="1"/>
  <c r="P33" i="9"/>
  <c r="Q33" i="9" s="1"/>
  <c r="S33" i="9"/>
  <c r="T33" i="9" s="1"/>
  <c r="V33" i="9"/>
  <c r="W33" i="9" s="1"/>
  <c r="Y33" i="9"/>
  <c r="Z33" i="9" s="1"/>
  <c r="AB33" i="9"/>
  <c r="C34" i="9"/>
  <c r="F34" i="9"/>
  <c r="G34" i="9" s="1"/>
  <c r="I34" i="9"/>
  <c r="J34" i="9" s="1"/>
  <c r="L34" i="9"/>
  <c r="M34" i="9" s="1"/>
  <c r="P34" i="9"/>
  <c r="Q34" i="9" s="1"/>
  <c r="S34" i="9"/>
  <c r="T34" i="9" s="1"/>
  <c r="V34" i="9"/>
  <c r="W34" i="9" s="1"/>
  <c r="Y34" i="9"/>
  <c r="Z34" i="9" s="1"/>
  <c r="C5" i="8"/>
  <c r="F5" i="8"/>
  <c r="G5" i="8" s="1"/>
  <c r="I5" i="8"/>
  <c r="L5" i="8"/>
  <c r="M5" i="8" s="1"/>
  <c r="P5" i="8"/>
  <c r="S5" i="8"/>
  <c r="T5" i="8" s="1"/>
  <c r="V5" i="8"/>
  <c r="Y5" i="8"/>
  <c r="Z5" i="8" s="1"/>
  <c r="C6" i="8"/>
  <c r="F6" i="8"/>
  <c r="G6" i="8" s="1"/>
  <c r="I6" i="8"/>
  <c r="J6" i="8" s="1"/>
  <c r="L6" i="8"/>
  <c r="M6" i="8" s="1"/>
  <c r="P6" i="8"/>
  <c r="Q6" i="8" s="1"/>
  <c r="S6" i="8"/>
  <c r="T6" i="8" s="1"/>
  <c r="V6" i="8"/>
  <c r="W6" i="8" s="1"/>
  <c r="Y6" i="8"/>
  <c r="Z6" i="8" s="1"/>
  <c r="C7" i="8"/>
  <c r="F7" i="8"/>
  <c r="G7" i="8" s="1"/>
  <c r="I7" i="8"/>
  <c r="J7" i="8" s="1"/>
  <c r="L7" i="8"/>
  <c r="M7" i="8" s="1"/>
  <c r="P7" i="8"/>
  <c r="Q7" i="8" s="1"/>
  <c r="S7" i="8"/>
  <c r="T7" i="8" s="1"/>
  <c r="V7" i="8"/>
  <c r="W7" i="8" s="1"/>
  <c r="Y7" i="8"/>
  <c r="Z7" i="8" s="1"/>
  <c r="C8" i="8"/>
  <c r="F8" i="8"/>
  <c r="G8" i="8" s="1"/>
  <c r="I8" i="8"/>
  <c r="J8" i="8" s="1"/>
  <c r="L8" i="8"/>
  <c r="M8" i="8" s="1"/>
  <c r="P8" i="8"/>
  <c r="Q8" i="8" s="1"/>
  <c r="S8" i="8"/>
  <c r="T8" i="8" s="1"/>
  <c r="V8" i="8"/>
  <c r="W8" i="8" s="1"/>
  <c r="Y8" i="8"/>
  <c r="Z8" i="8" s="1"/>
  <c r="C9" i="8"/>
  <c r="F9" i="8"/>
  <c r="G9" i="8" s="1"/>
  <c r="I9" i="8"/>
  <c r="J9" i="8" s="1"/>
  <c r="L9" i="8"/>
  <c r="M9" i="8" s="1"/>
  <c r="P9" i="8"/>
  <c r="Q9" i="8" s="1"/>
  <c r="S9" i="8"/>
  <c r="T9" i="8" s="1"/>
  <c r="V9" i="8"/>
  <c r="W9" i="8" s="1"/>
  <c r="Y9" i="8"/>
  <c r="Z9" i="8" s="1"/>
  <c r="C10" i="8"/>
  <c r="F10" i="8"/>
  <c r="G10" i="8" s="1"/>
  <c r="I10" i="8"/>
  <c r="J10" i="8" s="1"/>
  <c r="L10" i="8"/>
  <c r="M10" i="8" s="1"/>
  <c r="P10" i="8"/>
  <c r="Q10" i="8" s="1"/>
  <c r="S10" i="8"/>
  <c r="T10" i="8" s="1"/>
  <c r="V10" i="8"/>
  <c r="W10" i="8" s="1"/>
  <c r="Y10" i="8"/>
  <c r="Z10" i="8" s="1"/>
  <c r="C11" i="8"/>
  <c r="F11" i="8"/>
  <c r="G11" i="8" s="1"/>
  <c r="I11" i="8"/>
  <c r="J11" i="8" s="1"/>
  <c r="L11" i="8"/>
  <c r="M11" i="8" s="1"/>
  <c r="P11" i="8"/>
  <c r="Q11" i="8" s="1"/>
  <c r="S11" i="8"/>
  <c r="T11" i="8" s="1"/>
  <c r="V11" i="8"/>
  <c r="W11" i="8" s="1"/>
  <c r="Y11" i="8"/>
  <c r="Z11" i="8" s="1"/>
  <c r="C12" i="8"/>
  <c r="F12" i="8"/>
  <c r="G12" i="8" s="1"/>
  <c r="I12" i="8"/>
  <c r="J12" i="8" s="1"/>
  <c r="L12" i="8"/>
  <c r="M12" i="8" s="1"/>
  <c r="P12" i="8"/>
  <c r="Q12" i="8" s="1"/>
  <c r="S12" i="8"/>
  <c r="T12" i="8" s="1"/>
  <c r="V12" i="8"/>
  <c r="W12" i="8" s="1"/>
  <c r="Y12" i="8"/>
  <c r="Z12" i="8" s="1"/>
  <c r="C13" i="8"/>
  <c r="F13" i="8"/>
  <c r="G13" i="8" s="1"/>
  <c r="I13" i="8"/>
  <c r="J13" i="8" s="1"/>
  <c r="L13" i="8"/>
  <c r="M13" i="8" s="1"/>
  <c r="P13" i="8"/>
  <c r="Q13" i="8" s="1"/>
  <c r="S13" i="8"/>
  <c r="T13" i="8" s="1"/>
  <c r="V13" i="8"/>
  <c r="W13" i="8" s="1"/>
  <c r="Y13" i="8"/>
  <c r="Z13" i="8" s="1"/>
  <c r="C14" i="8"/>
  <c r="F14" i="8"/>
  <c r="G14" i="8" s="1"/>
  <c r="I14" i="8"/>
  <c r="J14" i="8" s="1"/>
  <c r="L14" i="8"/>
  <c r="M14" i="8" s="1"/>
  <c r="P14" i="8"/>
  <c r="Q14" i="8" s="1"/>
  <c r="S14" i="8"/>
  <c r="T14" i="8" s="1"/>
  <c r="V14" i="8"/>
  <c r="W14" i="8" s="1"/>
  <c r="Y14" i="8"/>
  <c r="Z14" i="8" s="1"/>
  <c r="C15" i="8"/>
  <c r="F15" i="8"/>
  <c r="G15" i="8" s="1"/>
  <c r="I15" i="8"/>
  <c r="J15" i="8" s="1"/>
  <c r="L15" i="8"/>
  <c r="M15" i="8" s="1"/>
  <c r="P15" i="8"/>
  <c r="Q15" i="8" s="1"/>
  <c r="S15" i="8"/>
  <c r="T15" i="8" s="1"/>
  <c r="V15" i="8"/>
  <c r="W15" i="8" s="1"/>
  <c r="Y15" i="8"/>
  <c r="Z15" i="8" s="1"/>
  <c r="C16" i="8"/>
  <c r="F16" i="8"/>
  <c r="G16" i="8" s="1"/>
  <c r="I16" i="8"/>
  <c r="J16" i="8" s="1"/>
  <c r="L16" i="8"/>
  <c r="M16" i="8" s="1"/>
  <c r="P16" i="8"/>
  <c r="Q16" i="8" s="1"/>
  <c r="S16" i="8"/>
  <c r="T16" i="8" s="1"/>
  <c r="V16" i="8"/>
  <c r="W16" i="8" s="1"/>
  <c r="Y16" i="8"/>
  <c r="Z16" i="8" s="1"/>
  <c r="C17" i="8"/>
  <c r="F17" i="8"/>
  <c r="G17" i="8" s="1"/>
  <c r="I17" i="8"/>
  <c r="J17" i="8" s="1"/>
  <c r="L17" i="8"/>
  <c r="M17" i="8" s="1"/>
  <c r="P17" i="8"/>
  <c r="Q17" i="8" s="1"/>
  <c r="S17" i="8"/>
  <c r="T17" i="8" s="1"/>
  <c r="V17" i="8"/>
  <c r="W17" i="8" s="1"/>
  <c r="Y17" i="8"/>
  <c r="Z17" i="8" s="1"/>
  <c r="C18" i="8"/>
  <c r="F18" i="8"/>
  <c r="G18" i="8" s="1"/>
  <c r="I18" i="8"/>
  <c r="J18" i="8" s="1"/>
  <c r="L18" i="8"/>
  <c r="M18" i="8" s="1"/>
  <c r="P18" i="8"/>
  <c r="Q18" i="8" s="1"/>
  <c r="S18" i="8"/>
  <c r="T18" i="8" s="1"/>
  <c r="V18" i="8"/>
  <c r="W18" i="8" s="1"/>
  <c r="Y18" i="8"/>
  <c r="Z18" i="8" s="1"/>
  <c r="C19" i="8"/>
  <c r="F19" i="8"/>
  <c r="G19" i="8" s="1"/>
  <c r="I19" i="8"/>
  <c r="J19" i="8" s="1"/>
  <c r="L19" i="8"/>
  <c r="M19" i="8" s="1"/>
  <c r="P19" i="8"/>
  <c r="Q19" i="8" s="1"/>
  <c r="S19" i="8"/>
  <c r="T19" i="8" s="1"/>
  <c r="V19" i="8"/>
  <c r="W19" i="8" s="1"/>
  <c r="Y19" i="8"/>
  <c r="Z19" i="8" s="1"/>
  <c r="C20" i="8"/>
  <c r="F20" i="8"/>
  <c r="G20" i="8" s="1"/>
  <c r="I20" i="8"/>
  <c r="J20" i="8" s="1"/>
  <c r="L20" i="8"/>
  <c r="M20" i="8" s="1"/>
  <c r="P20" i="8"/>
  <c r="Q20" i="8" s="1"/>
  <c r="S20" i="8"/>
  <c r="T20" i="8" s="1"/>
  <c r="V20" i="8"/>
  <c r="W20" i="8" s="1"/>
  <c r="Y20" i="8"/>
  <c r="Z20" i="8" s="1"/>
  <c r="C21" i="8"/>
  <c r="F21" i="8"/>
  <c r="G21" i="8" s="1"/>
  <c r="I21" i="8"/>
  <c r="J21" i="8" s="1"/>
  <c r="L21" i="8"/>
  <c r="M21" i="8" s="1"/>
  <c r="P21" i="8"/>
  <c r="Q21" i="8" s="1"/>
  <c r="S21" i="8"/>
  <c r="T21" i="8" s="1"/>
  <c r="V21" i="8"/>
  <c r="W21" i="8" s="1"/>
  <c r="Y21" i="8"/>
  <c r="Z21" i="8" s="1"/>
  <c r="C22" i="8"/>
  <c r="F22" i="8"/>
  <c r="G22" i="8" s="1"/>
  <c r="I22" i="8"/>
  <c r="J22" i="8" s="1"/>
  <c r="L22" i="8"/>
  <c r="M22" i="8" s="1"/>
  <c r="P22" i="8"/>
  <c r="Q22" i="8" s="1"/>
  <c r="S22" i="8"/>
  <c r="T22" i="8" s="1"/>
  <c r="V22" i="8"/>
  <c r="W22" i="8" s="1"/>
  <c r="Y22" i="8"/>
  <c r="Z22" i="8" s="1"/>
  <c r="C23" i="8"/>
  <c r="F23" i="8"/>
  <c r="G23" i="8" s="1"/>
  <c r="I23" i="8"/>
  <c r="J23" i="8" s="1"/>
  <c r="L23" i="8"/>
  <c r="M23" i="8" s="1"/>
  <c r="P23" i="8"/>
  <c r="Q23" i="8" s="1"/>
  <c r="S23" i="8"/>
  <c r="T23" i="8" s="1"/>
  <c r="V23" i="8"/>
  <c r="W23" i="8" s="1"/>
  <c r="Y23" i="8"/>
  <c r="Z23" i="8" s="1"/>
  <c r="C24" i="8"/>
  <c r="F24" i="8"/>
  <c r="G24" i="8" s="1"/>
  <c r="I24" i="8"/>
  <c r="J24" i="8" s="1"/>
  <c r="L24" i="8"/>
  <c r="M24" i="8" s="1"/>
  <c r="P24" i="8"/>
  <c r="Q24" i="8" s="1"/>
  <c r="S24" i="8"/>
  <c r="T24" i="8" s="1"/>
  <c r="V24" i="8"/>
  <c r="W24" i="8" s="1"/>
  <c r="Y24" i="8"/>
  <c r="Z24" i="8" s="1"/>
  <c r="C25" i="8"/>
  <c r="F25" i="8"/>
  <c r="G25" i="8" s="1"/>
  <c r="I25" i="8"/>
  <c r="J25" i="8" s="1"/>
  <c r="L25" i="8"/>
  <c r="M25" i="8" s="1"/>
  <c r="P25" i="8"/>
  <c r="Q25" i="8" s="1"/>
  <c r="S25" i="8"/>
  <c r="T25" i="8" s="1"/>
  <c r="V25" i="8"/>
  <c r="W25" i="8" s="1"/>
  <c r="Y25" i="8"/>
  <c r="Z25" i="8" s="1"/>
  <c r="C26" i="8"/>
  <c r="F26" i="8"/>
  <c r="G26" i="8" s="1"/>
  <c r="I26" i="8"/>
  <c r="J26" i="8" s="1"/>
  <c r="L26" i="8"/>
  <c r="M26" i="8" s="1"/>
  <c r="P26" i="8"/>
  <c r="Q26" i="8" s="1"/>
  <c r="S26" i="8"/>
  <c r="T26" i="8" s="1"/>
  <c r="V26" i="8"/>
  <c r="W26" i="8" s="1"/>
  <c r="Y26" i="8"/>
  <c r="Z26" i="8" s="1"/>
  <c r="C27" i="8"/>
  <c r="F27" i="8"/>
  <c r="G27" i="8" s="1"/>
  <c r="I27" i="8"/>
  <c r="J27" i="8" s="1"/>
  <c r="L27" i="8"/>
  <c r="M27" i="8" s="1"/>
  <c r="P27" i="8"/>
  <c r="Q27" i="8" s="1"/>
  <c r="S27" i="8"/>
  <c r="T27" i="8" s="1"/>
  <c r="V27" i="8"/>
  <c r="W27" i="8" s="1"/>
  <c r="Y27" i="8"/>
  <c r="Z27" i="8" s="1"/>
  <c r="C28" i="8"/>
  <c r="F28" i="8"/>
  <c r="G28" i="8" s="1"/>
  <c r="I28" i="8"/>
  <c r="J28" i="8" s="1"/>
  <c r="L28" i="8"/>
  <c r="M28" i="8" s="1"/>
  <c r="P28" i="8"/>
  <c r="Q28" i="8" s="1"/>
  <c r="S28" i="8"/>
  <c r="T28" i="8" s="1"/>
  <c r="V28" i="8"/>
  <c r="W28" i="8" s="1"/>
  <c r="Y28" i="8"/>
  <c r="Z28" i="8" s="1"/>
  <c r="C29" i="8"/>
  <c r="F29" i="8"/>
  <c r="G29" i="8" s="1"/>
  <c r="I29" i="8"/>
  <c r="J29" i="8" s="1"/>
  <c r="L29" i="8"/>
  <c r="M29" i="8" s="1"/>
  <c r="P29" i="8"/>
  <c r="Q29" i="8" s="1"/>
  <c r="S29" i="8"/>
  <c r="T29" i="8" s="1"/>
  <c r="V29" i="8"/>
  <c r="W29" i="8" s="1"/>
  <c r="Y29" i="8"/>
  <c r="Z29" i="8" s="1"/>
  <c r="C30" i="8"/>
  <c r="F30" i="8"/>
  <c r="G30" i="8" s="1"/>
  <c r="I30" i="8"/>
  <c r="J30" i="8" s="1"/>
  <c r="L30" i="8"/>
  <c r="M30" i="8" s="1"/>
  <c r="P30" i="8"/>
  <c r="Q30" i="8" s="1"/>
  <c r="S30" i="8"/>
  <c r="T30" i="8" s="1"/>
  <c r="V30" i="8"/>
  <c r="W30" i="8" s="1"/>
  <c r="Y30" i="8"/>
  <c r="Z30" i="8" s="1"/>
  <c r="C31" i="8"/>
  <c r="F31" i="8"/>
  <c r="G31" i="8" s="1"/>
  <c r="I31" i="8"/>
  <c r="J31" i="8" s="1"/>
  <c r="L31" i="8"/>
  <c r="M31" i="8" s="1"/>
  <c r="P31" i="8"/>
  <c r="Q31" i="8" s="1"/>
  <c r="S31" i="8"/>
  <c r="T31" i="8" s="1"/>
  <c r="V31" i="8"/>
  <c r="W31" i="8" s="1"/>
  <c r="Y31" i="8"/>
  <c r="Z31" i="8" s="1"/>
  <c r="C32" i="8"/>
  <c r="F32" i="8"/>
  <c r="G32" i="8" s="1"/>
  <c r="I32" i="8"/>
  <c r="J32" i="8" s="1"/>
  <c r="L32" i="8"/>
  <c r="M32" i="8" s="1"/>
  <c r="P32" i="8"/>
  <c r="Q32" i="8" s="1"/>
  <c r="S32" i="8"/>
  <c r="T32" i="8" s="1"/>
  <c r="V32" i="8"/>
  <c r="W32" i="8" s="1"/>
  <c r="Y32" i="8"/>
  <c r="Z32" i="8" s="1"/>
  <c r="C33" i="8"/>
  <c r="F33" i="8"/>
  <c r="G33" i="8" s="1"/>
  <c r="I33" i="8"/>
  <c r="J33" i="8" s="1"/>
  <c r="L33" i="8"/>
  <c r="M33" i="8" s="1"/>
  <c r="P33" i="8"/>
  <c r="Q33" i="8" s="1"/>
  <c r="S33" i="8"/>
  <c r="T33" i="8" s="1"/>
  <c r="V33" i="8"/>
  <c r="W33" i="8" s="1"/>
  <c r="Y33" i="8"/>
  <c r="Z33" i="8" s="1"/>
  <c r="C34" i="8"/>
  <c r="F34" i="8"/>
  <c r="G34" i="8" s="1"/>
  <c r="I34" i="8"/>
  <c r="J34" i="8" s="1"/>
  <c r="L34" i="8"/>
  <c r="M34" i="8" s="1"/>
  <c r="P34" i="8"/>
  <c r="Q34" i="8" s="1"/>
  <c r="S34" i="8"/>
  <c r="T34" i="8" s="1"/>
  <c r="V34" i="8"/>
  <c r="W34" i="8" s="1"/>
  <c r="Y34" i="8"/>
  <c r="Z34" i="8" s="1"/>
  <c r="C35" i="8"/>
  <c r="F35" i="8"/>
  <c r="G35" i="8" s="1"/>
  <c r="I35" i="8"/>
  <c r="J35" i="8" s="1"/>
  <c r="L35" i="8"/>
  <c r="M35" i="8" s="1"/>
  <c r="P35" i="8"/>
  <c r="Q35" i="8" s="1"/>
  <c r="S35" i="8"/>
  <c r="T35" i="8" s="1"/>
  <c r="V35" i="8"/>
  <c r="W35" i="8" s="1"/>
  <c r="Y35" i="8"/>
  <c r="Z35" i="8" s="1"/>
  <c r="C5" i="7"/>
  <c r="F5" i="7"/>
  <c r="G5" i="7" s="1"/>
  <c r="I5" i="7"/>
  <c r="L5" i="7"/>
  <c r="M5" i="7" s="1"/>
  <c r="P5" i="7"/>
  <c r="S5" i="7"/>
  <c r="T5" i="7" s="1"/>
  <c r="V5" i="7"/>
  <c r="Y5" i="7"/>
  <c r="Z5" i="7" s="1"/>
  <c r="C6" i="7"/>
  <c r="F6" i="7"/>
  <c r="I6" i="7"/>
  <c r="J6" i="7" s="1"/>
  <c r="L6" i="7"/>
  <c r="P6" i="7"/>
  <c r="Q6" i="7" s="1"/>
  <c r="S6" i="7"/>
  <c r="V6" i="7"/>
  <c r="W6" i="7" s="1"/>
  <c r="Y6" i="7"/>
  <c r="C7" i="7"/>
  <c r="F7" i="7"/>
  <c r="G7" i="7" s="1"/>
  <c r="I7" i="7"/>
  <c r="J7" i="7" s="1"/>
  <c r="L7" i="7"/>
  <c r="M7" i="7" s="1"/>
  <c r="P7" i="7"/>
  <c r="Q7" i="7" s="1"/>
  <c r="S7" i="7"/>
  <c r="T7" i="7" s="1"/>
  <c r="V7" i="7"/>
  <c r="W7" i="7" s="1"/>
  <c r="Y7" i="7"/>
  <c r="Z7" i="7" s="1"/>
  <c r="C8" i="7"/>
  <c r="F8" i="7"/>
  <c r="G8" i="7" s="1"/>
  <c r="I8" i="7"/>
  <c r="J8" i="7" s="1"/>
  <c r="L8" i="7"/>
  <c r="M8" i="7" s="1"/>
  <c r="P8" i="7"/>
  <c r="Q8" i="7" s="1"/>
  <c r="S8" i="7"/>
  <c r="T8" i="7" s="1"/>
  <c r="V8" i="7"/>
  <c r="W8" i="7" s="1"/>
  <c r="Y8" i="7"/>
  <c r="Z8" i="7" s="1"/>
  <c r="C9" i="7"/>
  <c r="F9" i="7"/>
  <c r="G9" i="7" s="1"/>
  <c r="I9" i="7"/>
  <c r="J9" i="7" s="1"/>
  <c r="L9" i="7"/>
  <c r="M9" i="7" s="1"/>
  <c r="P9" i="7"/>
  <c r="Q9" i="7" s="1"/>
  <c r="S9" i="7"/>
  <c r="T9" i="7" s="1"/>
  <c r="V9" i="7"/>
  <c r="W9" i="7" s="1"/>
  <c r="Y9" i="7"/>
  <c r="Z9" i="7" s="1"/>
  <c r="C10" i="7"/>
  <c r="F10" i="7"/>
  <c r="G10" i="7" s="1"/>
  <c r="I10" i="7"/>
  <c r="J10" i="7" s="1"/>
  <c r="L10" i="7"/>
  <c r="M10" i="7" s="1"/>
  <c r="P10" i="7"/>
  <c r="Q10" i="7" s="1"/>
  <c r="S10" i="7"/>
  <c r="T10" i="7" s="1"/>
  <c r="V10" i="7"/>
  <c r="W10" i="7" s="1"/>
  <c r="Y10" i="7"/>
  <c r="Z10" i="7" s="1"/>
  <c r="C11" i="7"/>
  <c r="F11" i="7"/>
  <c r="G11" i="7" s="1"/>
  <c r="I11" i="7"/>
  <c r="J11" i="7" s="1"/>
  <c r="L11" i="7"/>
  <c r="M11" i="7" s="1"/>
  <c r="P11" i="7"/>
  <c r="Q11" i="7" s="1"/>
  <c r="S11" i="7"/>
  <c r="T11" i="7" s="1"/>
  <c r="V11" i="7"/>
  <c r="W11" i="7" s="1"/>
  <c r="Y11" i="7"/>
  <c r="Z11" i="7" s="1"/>
  <c r="C12" i="7"/>
  <c r="F12" i="7"/>
  <c r="G12" i="7" s="1"/>
  <c r="I12" i="7"/>
  <c r="J12" i="7" s="1"/>
  <c r="L12" i="7"/>
  <c r="M12" i="7" s="1"/>
  <c r="P12" i="7"/>
  <c r="Q12" i="7" s="1"/>
  <c r="S12" i="7"/>
  <c r="T12" i="7" s="1"/>
  <c r="V12" i="7"/>
  <c r="W12" i="7" s="1"/>
  <c r="Y12" i="7"/>
  <c r="Z12" i="7" s="1"/>
  <c r="C13" i="7"/>
  <c r="F13" i="7"/>
  <c r="G13" i="7" s="1"/>
  <c r="I13" i="7"/>
  <c r="J13" i="7" s="1"/>
  <c r="L13" i="7"/>
  <c r="M13" i="7" s="1"/>
  <c r="P13" i="7"/>
  <c r="Q13" i="7" s="1"/>
  <c r="S13" i="7"/>
  <c r="T13" i="7" s="1"/>
  <c r="V13" i="7"/>
  <c r="W13" i="7" s="1"/>
  <c r="Y13" i="7"/>
  <c r="Z13" i="7" s="1"/>
  <c r="C14" i="7"/>
  <c r="F14" i="7"/>
  <c r="G14" i="7" s="1"/>
  <c r="I14" i="7"/>
  <c r="J14" i="7" s="1"/>
  <c r="L14" i="7"/>
  <c r="M14" i="7" s="1"/>
  <c r="P14" i="7"/>
  <c r="Q14" i="7" s="1"/>
  <c r="S14" i="7"/>
  <c r="T14" i="7" s="1"/>
  <c r="V14" i="7"/>
  <c r="W14" i="7" s="1"/>
  <c r="Y14" i="7"/>
  <c r="Z14" i="7" s="1"/>
  <c r="C15" i="7"/>
  <c r="F15" i="7"/>
  <c r="G15" i="7" s="1"/>
  <c r="I15" i="7"/>
  <c r="J15" i="7" s="1"/>
  <c r="L15" i="7"/>
  <c r="M15" i="7" s="1"/>
  <c r="P15" i="7"/>
  <c r="Q15" i="7" s="1"/>
  <c r="S15" i="7"/>
  <c r="T15" i="7" s="1"/>
  <c r="V15" i="7"/>
  <c r="W15" i="7" s="1"/>
  <c r="Y15" i="7"/>
  <c r="Z15" i="7" s="1"/>
  <c r="C16" i="7"/>
  <c r="F16" i="7"/>
  <c r="G16" i="7" s="1"/>
  <c r="I16" i="7"/>
  <c r="J16" i="7" s="1"/>
  <c r="L16" i="7"/>
  <c r="M16" i="7" s="1"/>
  <c r="P16" i="7"/>
  <c r="Q16" i="7" s="1"/>
  <c r="S16" i="7"/>
  <c r="T16" i="7" s="1"/>
  <c r="V16" i="7"/>
  <c r="W16" i="7" s="1"/>
  <c r="Y16" i="7"/>
  <c r="Z16" i="7" s="1"/>
  <c r="C17" i="7"/>
  <c r="F17" i="7"/>
  <c r="G17" i="7" s="1"/>
  <c r="I17" i="7"/>
  <c r="J17" i="7" s="1"/>
  <c r="L17" i="7"/>
  <c r="M17" i="7" s="1"/>
  <c r="P17" i="7"/>
  <c r="Q17" i="7" s="1"/>
  <c r="S17" i="7"/>
  <c r="T17" i="7" s="1"/>
  <c r="V17" i="7"/>
  <c r="W17" i="7" s="1"/>
  <c r="Y17" i="7"/>
  <c r="Z17" i="7" s="1"/>
  <c r="C18" i="7"/>
  <c r="F18" i="7"/>
  <c r="G18" i="7" s="1"/>
  <c r="I18" i="7"/>
  <c r="J18" i="7" s="1"/>
  <c r="L18" i="7"/>
  <c r="M18" i="7" s="1"/>
  <c r="P18" i="7"/>
  <c r="Q18" i="7" s="1"/>
  <c r="S18" i="7"/>
  <c r="T18" i="7" s="1"/>
  <c r="V18" i="7"/>
  <c r="W18" i="7" s="1"/>
  <c r="Y18" i="7"/>
  <c r="Z18" i="7" s="1"/>
  <c r="C19" i="7"/>
  <c r="F19" i="7"/>
  <c r="G19" i="7" s="1"/>
  <c r="I19" i="7"/>
  <c r="J19" i="7" s="1"/>
  <c r="L19" i="7"/>
  <c r="M19" i="7" s="1"/>
  <c r="P19" i="7"/>
  <c r="Q19" i="7" s="1"/>
  <c r="S19" i="7"/>
  <c r="T19" i="7" s="1"/>
  <c r="V19" i="7"/>
  <c r="W19" i="7" s="1"/>
  <c r="Y19" i="7"/>
  <c r="Z19" i="7" s="1"/>
  <c r="C20" i="7"/>
  <c r="F20" i="7"/>
  <c r="G20" i="7" s="1"/>
  <c r="I20" i="7"/>
  <c r="J20" i="7" s="1"/>
  <c r="L20" i="7"/>
  <c r="M20" i="7" s="1"/>
  <c r="P20" i="7"/>
  <c r="Q20" i="7" s="1"/>
  <c r="S20" i="7"/>
  <c r="T20" i="7" s="1"/>
  <c r="V20" i="7"/>
  <c r="W20" i="7" s="1"/>
  <c r="Y20" i="7"/>
  <c r="Z20" i="7" s="1"/>
  <c r="C21" i="7"/>
  <c r="F21" i="7"/>
  <c r="G21" i="7" s="1"/>
  <c r="I21" i="7"/>
  <c r="J21" i="7" s="1"/>
  <c r="L21" i="7"/>
  <c r="M21" i="7" s="1"/>
  <c r="P21" i="7"/>
  <c r="Q21" i="7" s="1"/>
  <c r="S21" i="7"/>
  <c r="T21" i="7" s="1"/>
  <c r="V21" i="7"/>
  <c r="W21" i="7" s="1"/>
  <c r="Y21" i="7"/>
  <c r="Z21" i="7" s="1"/>
  <c r="C22" i="7"/>
  <c r="F22" i="7"/>
  <c r="G22" i="7" s="1"/>
  <c r="I22" i="7"/>
  <c r="J22" i="7" s="1"/>
  <c r="L22" i="7"/>
  <c r="M22" i="7" s="1"/>
  <c r="P22" i="7"/>
  <c r="Q22" i="7" s="1"/>
  <c r="S22" i="7"/>
  <c r="T22" i="7" s="1"/>
  <c r="V22" i="7"/>
  <c r="W22" i="7" s="1"/>
  <c r="Y22" i="7"/>
  <c r="Z22" i="7" s="1"/>
  <c r="C23" i="7"/>
  <c r="F23" i="7"/>
  <c r="G23" i="7" s="1"/>
  <c r="I23" i="7"/>
  <c r="J23" i="7" s="1"/>
  <c r="L23" i="7"/>
  <c r="M23" i="7" s="1"/>
  <c r="P23" i="7"/>
  <c r="Q23" i="7" s="1"/>
  <c r="S23" i="7"/>
  <c r="T23" i="7" s="1"/>
  <c r="V23" i="7"/>
  <c r="W23" i="7" s="1"/>
  <c r="Y23" i="7"/>
  <c r="Z23" i="7" s="1"/>
  <c r="C24" i="7"/>
  <c r="F24" i="7"/>
  <c r="G24" i="7" s="1"/>
  <c r="I24" i="7"/>
  <c r="J24" i="7" s="1"/>
  <c r="L24" i="7"/>
  <c r="M24" i="7" s="1"/>
  <c r="P24" i="7"/>
  <c r="Q24" i="7" s="1"/>
  <c r="S24" i="7"/>
  <c r="T24" i="7" s="1"/>
  <c r="V24" i="7"/>
  <c r="W24" i="7" s="1"/>
  <c r="Y24" i="7"/>
  <c r="Z24" i="7" s="1"/>
  <c r="C25" i="7"/>
  <c r="F25" i="7"/>
  <c r="G25" i="7" s="1"/>
  <c r="I25" i="7"/>
  <c r="J25" i="7" s="1"/>
  <c r="L25" i="7"/>
  <c r="M25" i="7" s="1"/>
  <c r="P25" i="7"/>
  <c r="Q25" i="7" s="1"/>
  <c r="S25" i="7"/>
  <c r="T25" i="7" s="1"/>
  <c r="V25" i="7"/>
  <c r="W25" i="7" s="1"/>
  <c r="Y25" i="7"/>
  <c r="Z25" i="7" s="1"/>
  <c r="C26" i="7"/>
  <c r="F26" i="7"/>
  <c r="G26" i="7" s="1"/>
  <c r="I26" i="7"/>
  <c r="J26" i="7" s="1"/>
  <c r="L26" i="7"/>
  <c r="M26" i="7" s="1"/>
  <c r="P26" i="7"/>
  <c r="Q26" i="7" s="1"/>
  <c r="S26" i="7"/>
  <c r="T26" i="7" s="1"/>
  <c r="V26" i="7"/>
  <c r="W26" i="7" s="1"/>
  <c r="Y26" i="7"/>
  <c r="Z26" i="7" s="1"/>
  <c r="C27" i="7"/>
  <c r="F27" i="7"/>
  <c r="G27" i="7" s="1"/>
  <c r="I27" i="7"/>
  <c r="J27" i="7" s="1"/>
  <c r="L27" i="7"/>
  <c r="M27" i="7" s="1"/>
  <c r="P27" i="7"/>
  <c r="Q27" i="7" s="1"/>
  <c r="S27" i="7"/>
  <c r="T27" i="7" s="1"/>
  <c r="V27" i="7"/>
  <c r="W27" i="7" s="1"/>
  <c r="Y27" i="7"/>
  <c r="Z27" i="7" s="1"/>
  <c r="C28" i="7"/>
  <c r="F28" i="7"/>
  <c r="G28" i="7" s="1"/>
  <c r="I28" i="7"/>
  <c r="J28" i="7" s="1"/>
  <c r="L28" i="7"/>
  <c r="M28" i="7" s="1"/>
  <c r="P28" i="7"/>
  <c r="Q28" i="7" s="1"/>
  <c r="S28" i="7"/>
  <c r="T28" i="7" s="1"/>
  <c r="V28" i="7"/>
  <c r="W28" i="7" s="1"/>
  <c r="Y28" i="7"/>
  <c r="Z28" i="7" s="1"/>
  <c r="C29" i="7"/>
  <c r="F29" i="7"/>
  <c r="G29" i="7" s="1"/>
  <c r="I29" i="7"/>
  <c r="J29" i="7" s="1"/>
  <c r="L29" i="7"/>
  <c r="M29" i="7" s="1"/>
  <c r="P29" i="7"/>
  <c r="Q29" i="7" s="1"/>
  <c r="S29" i="7"/>
  <c r="T29" i="7" s="1"/>
  <c r="V29" i="7"/>
  <c r="W29" i="7" s="1"/>
  <c r="Y29" i="7"/>
  <c r="Z29" i="7" s="1"/>
  <c r="C30" i="7"/>
  <c r="F30" i="7"/>
  <c r="G30" i="7" s="1"/>
  <c r="I30" i="7"/>
  <c r="J30" i="7" s="1"/>
  <c r="L30" i="7"/>
  <c r="M30" i="7" s="1"/>
  <c r="P30" i="7"/>
  <c r="Q30" i="7" s="1"/>
  <c r="S30" i="7"/>
  <c r="T30" i="7" s="1"/>
  <c r="V30" i="7"/>
  <c r="W30" i="7" s="1"/>
  <c r="Y30" i="7"/>
  <c r="Z30" i="7" s="1"/>
  <c r="C31" i="7"/>
  <c r="F31" i="7"/>
  <c r="G31" i="7" s="1"/>
  <c r="I31" i="7"/>
  <c r="J31" i="7" s="1"/>
  <c r="L31" i="7"/>
  <c r="M31" i="7" s="1"/>
  <c r="P31" i="7"/>
  <c r="Q31" i="7" s="1"/>
  <c r="S31" i="7"/>
  <c r="T31" i="7" s="1"/>
  <c r="V31" i="7"/>
  <c r="W31" i="7" s="1"/>
  <c r="Y31" i="7"/>
  <c r="Z31" i="7" s="1"/>
  <c r="C32" i="7"/>
  <c r="F32" i="7"/>
  <c r="G32" i="7" s="1"/>
  <c r="I32" i="7"/>
  <c r="J32" i="7" s="1"/>
  <c r="L32" i="7"/>
  <c r="M32" i="7" s="1"/>
  <c r="P32" i="7"/>
  <c r="Q32" i="7" s="1"/>
  <c r="S32" i="7"/>
  <c r="T32" i="7" s="1"/>
  <c r="V32" i="7"/>
  <c r="W32" i="7" s="1"/>
  <c r="Y32" i="7"/>
  <c r="Z32" i="7" s="1"/>
  <c r="C33" i="7"/>
  <c r="F33" i="7"/>
  <c r="G33" i="7" s="1"/>
  <c r="I33" i="7"/>
  <c r="J33" i="7" s="1"/>
  <c r="L33" i="7"/>
  <c r="M33" i="7" s="1"/>
  <c r="P33" i="7"/>
  <c r="Q33" i="7" s="1"/>
  <c r="S33" i="7"/>
  <c r="T33" i="7" s="1"/>
  <c r="V33" i="7"/>
  <c r="W33" i="7" s="1"/>
  <c r="Y33" i="7"/>
  <c r="Z33" i="7" s="1"/>
  <c r="C34" i="7"/>
  <c r="F34" i="7"/>
  <c r="G34" i="7" s="1"/>
  <c r="I34" i="7"/>
  <c r="J34" i="7" s="1"/>
  <c r="L34" i="7"/>
  <c r="M34" i="7" s="1"/>
  <c r="P34" i="7"/>
  <c r="Q34" i="7" s="1"/>
  <c r="S34" i="7"/>
  <c r="T34" i="7" s="1"/>
  <c r="V34" i="7"/>
  <c r="W34" i="7" s="1"/>
  <c r="Y34" i="7"/>
  <c r="Z34" i="7" s="1"/>
  <c r="C5" i="6"/>
  <c r="D5" i="6" s="1"/>
  <c r="F5" i="6"/>
  <c r="G5" i="6" s="1"/>
  <c r="I5" i="6"/>
  <c r="J5" i="6" s="1"/>
  <c r="L5" i="6"/>
  <c r="M5" i="6" s="1"/>
  <c r="P5" i="6"/>
  <c r="Q5" i="6" s="1"/>
  <c r="S5" i="6"/>
  <c r="T5" i="6" s="1"/>
  <c r="V5" i="6"/>
  <c r="W5" i="6" s="1"/>
  <c r="Y5" i="6"/>
  <c r="Z5" i="6" s="1"/>
  <c r="AB5" i="6"/>
  <c r="C6" i="6"/>
  <c r="F6" i="6"/>
  <c r="G6" i="6" s="1"/>
  <c r="I6" i="6"/>
  <c r="J6" i="6" s="1"/>
  <c r="L6" i="6"/>
  <c r="M6" i="6" s="1"/>
  <c r="P6" i="6"/>
  <c r="Q6" i="6" s="1"/>
  <c r="S6" i="6"/>
  <c r="T6" i="6" s="1"/>
  <c r="V6" i="6"/>
  <c r="W6" i="6" s="1"/>
  <c r="Y6" i="6"/>
  <c r="Z6" i="6" s="1"/>
  <c r="C7" i="6"/>
  <c r="D7" i="6" s="1"/>
  <c r="F7" i="6"/>
  <c r="G7" i="6" s="1"/>
  <c r="I7" i="6"/>
  <c r="J7" i="6" s="1"/>
  <c r="L7" i="6"/>
  <c r="M7" i="6" s="1"/>
  <c r="P7" i="6"/>
  <c r="Q7" i="6" s="1"/>
  <c r="S7" i="6"/>
  <c r="T7" i="6" s="1"/>
  <c r="V7" i="6"/>
  <c r="W7" i="6" s="1"/>
  <c r="Y7" i="6"/>
  <c r="Z7" i="6" s="1"/>
  <c r="AB7" i="6"/>
  <c r="C8" i="6"/>
  <c r="F8" i="6"/>
  <c r="G8" i="6" s="1"/>
  <c r="I8" i="6"/>
  <c r="J8" i="6" s="1"/>
  <c r="L8" i="6"/>
  <c r="M8" i="6" s="1"/>
  <c r="P8" i="6"/>
  <c r="Q8" i="6" s="1"/>
  <c r="S8" i="6"/>
  <c r="T8" i="6" s="1"/>
  <c r="V8" i="6"/>
  <c r="W8" i="6" s="1"/>
  <c r="Y8" i="6"/>
  <c r="Z8" i="6" s="1"/>
  <c r="C9" i="6"/>
  <c r="D9" i="6" s="1"/>
  <c r="F9" i="6"/>
  <c r="G9" i="6" s="1"/>
  <c r="I9" i="6"/>
  <c r="J9" i="6" s="1"/>
  <c r="L9" i="6"/>
  <c r="M9" i="6" s="1"/>
  <c r="P9" i="6"/>
  <c r="Q9" i="6" s="1"/>
  <c r="S9" i="6"/>
  <c r="T9" i="6" s="1"/>
  <c r="V9" i="6"/>
  <c r="W9" i="6" s="1"/>
  <c r="Y9" i="6"/>
  <c r="Z9" i="6" s="1"/>
  <c r="AB9" i="6"/>
  <c r="C10" i="6"/>
  <c r="F10" i="6"/>
  <c r="G10" i="6" s="1"/>
  <c r="I10" i="6"/>
  <c r="J10" i="6" s="1"/>
  <c r="L10" i="6"/>
  <c r="M10" i="6" s="1"/>
  <c r="P10" i="6"/>
  <c r="Q10" i="6" s="1"/>
  <c r="S10" i="6"/>
  <c r="T10" i="6" s="1"/>
  <c r="V10" i="6"/>
  <c r="W10" i="6" s="1"/>
  <c r="Y10" i="6"/>
  <c r="Z10" i="6" s="1"/>
  <c r="C11" i="6"/>
  <c r="D11" i="6" s="1"/>
  <c r="F11" i="6"/>
  <c r="G11" i="6" s="1"/>
  <c r="I11" i="6"/>
  <c r="J11" i="6" s="1"/>
  <c r="L11" i="6"/>
  <c r="M11" i="6" s="1"/>
  <c r="P11" i="6"/>
  <c r="Q11" i="6" s="1"/>
  <c r="S11" i="6"/>
  <c r="T11" i="6" s="1"/>
  <c r="V11" i="6"/>
  <c r="W11" i="6" s="1"/>
  <c r="Y11" i="6"/>
  <c r="Z11" i="6" s="1"/>
  <c r="AB11" i="6"/>
  <c r="C12" i="6"/>
  <c r="F12" i="6"/>
  <c r="G12" i="6" s="1"/>
  <c r="I12" i="6"/>
  <c r="J12" i="6" s="1"/>
  <c r="L12" i="6"/>
  <c r="M12" i="6" s="1"/>
  <c r="P12" i="6"/>
  <c r="Q12" i="6" s="1"/>
  <c r="S12" i="6"/>
  <c r="T12" i="6" s="1"/>
  <c r="V12" i="6"/>
  <c r="W12" i="6" s="1"/>
  <c r="Y12" i="6"/>
  <c r="Z12" i="6" s="1"/>
  <c r="C13" i="6"/>
  <c r="D13" i="6" s="1"/>
  <c r="F13" i="6"/>
  <c r="G13" i="6" s="1"/>
  <c r="I13" i="6"/>
  <c r="J13" i="6" s="1"/>
  <c r="L13" i="6"/>
  <c r="M13" i="6" s="1"/>
  <c r="P13" i="6"/>
  <c r="Q13" i="6" s="1"/>
  <c r="S13" i="6"/>
  <c r="T13" i="6" s="1"/>
  <c r="V13" i="6"/>
  <c r="W13" i="6" s="1"/>
  <c r="Y13" i="6"/>
  <c r="Z13" i="6" s="1"/>
  <c r="AB13" i="6"/>
  <c r="C14" i="6"/>
  <c r="F14" i="6"/>
  <c r="G14" i="6" s="1"/>
  <c r="I14" i="6"/>
  <c r="J14" i="6" s="1"/>
  <c r="L14" i="6"/>
  <c r="M14" i="6" s="1"/>
  <c r="P14" i="6"/>
  <c r="Q14" i="6" s="1"/>
  <c r="S14" i="6"/>
  <c r="T14" i="6" s="1"/>
  <c r="V14" i="6"/>
  <c r="W14" i="6" s="1"/>
  <c r="Y14" i="6"/>
  <c r="Z14" i="6" s="1"/>
  <c r="C15" i="6"/>
  <c r="D15" i="6" s="1"/>
  <c r="F15" i="6"/>
  <c r="G15" i="6" s="1"/>
  <c r="I15" i="6"/>
  <c r="J15" i="6" s="1"/>
  <c r="L15" i="6"/>
  <c r="M15" i="6" s="1"/>
  <c r="P15" i="6"/>
  <c r="Q15" i="6" s="1"/>
  <c r="S15" i="6"/>
  <c r="T15" i="6" s="1"/>
  <c r="V15" i="6"/>
  <c r="W15" i="6" s="1"/>
  <c r="Y15" i="6"/>
  <c r="Z15" i="6" s="1"/>
  <c r="AB15" i="6"/>
  <c r="C16" i="6"/>
  <c r="D16" i="6" s="1"/>
  <c r="F16" i="6"/>
  <c r="G16" i="6" s="1"/>
  <c r="I16" i="6"/>
  <c r="J16" i="6" s="1"/>
  <c r="L16" i="6"/>
  <c r="M16" i="6" s="1"/>
  <c r="P16" i="6"/>
  <c r="Q16" i="6" s="1"/>
  <c r="S16" i="6"/>
  <c r="T16" i="6" s="1"/>
  <c r="V16" i="6"/>
  <c r="W16" i="6" s="1"/>
  <c r="Y16" i="6"/>
  <c r="Z16" i="6" s="1"/>
  <c r="C17" i="6"/>
  <c r="F17" i="6"/>
  <c r="G17" i="6" s="1"/>
  <c r="I17" i="6"/>
  <c r="J17" i="6" s="1"/>
  <c r="L17" i="6"/>
  <c r="M17" i="6" s="1"/>
  <c r="P17" i="6"/>
  <c r="Q17" i="6" s="1"/>
  <c r="S17" i="6"/>
  <c r="T17" i="6" s="1"/>
  <c r="V17" i="6"/>
  <c r="W17" i="6" s="1"/>
  <c r="Y17" i="6"/>
  <c r="Z17" i="6" s="1"/>
  <c r="AB17" i="6"/>
  <c r="F18" i="6"/>
  <c r="G18" i="6" s="1"/>
  <c r="I18" i="6"/>
  <c r="J18" i="6" s="1"/>
  <c r="L18" i="6"/>
  <c r="M18" i="6" s="1"/>
  <c r="P18" i="6"/>
  <c r="Q18" i="6" s="1"/>
  <c r="S18" i="6"/>
  <c r="T18" i="6" s="1"/>
  <c r="V18" i="6"/>
  <c r="W18" i="6" s="1"/>
  <c r="Y18" i="6"/>
  <c r="Z18" i="6" s="1"/>
  <c r="C19" i="6"/>
  <c r="F19" i="6"/>
  <c r="G19" i="6" s="1"/>
  <c r="I19" i="6"/>
  <c r="J19" i="6" s="1"/>
  <c r="L19" i="6"/>
  <c r="M19" i="6" s="1"/>
  <c r="P19" i="6"/>
  <c r="Q19" i="6" s="1"/>
  <c r="S19" i="6"/>
  <c r="T19" i="6" s="1"/>
  <c r="V19" i="6"/>
  <c r="W19" i="6" s="1"/>
  <c r="Y19" i="6"/>
  <c r="Z19" i="6" s="1"/>
  <c r="AB19" i="6"/>
  <c r="C20" i="6"/>
  <c r="D20" i="6" s="1"/>
  <c r="F20" i="6"/>
  <c r="G20" i="6" s="1"/>
  <c r="I20" i="6"/>
  <c r="J20" i="6" s="1"/>
  <c r="L20" i="6"/>
  <c r="M20" i="6" s="1"/>
  <c r="P20" i="6"/>
  <c r="Q20" i="6" s="1"/>
  <c r="S20" i="6"/>
  <c r="T20" i="6" s="1"/>
  <c r="V20" i="6"/>
  <c r="W20" i="6" s="1"/>
  <c r="Y20" i="6"/>
  <c r="Z20" i="6" s="1"/>
  <c r="AB20" i="6"/>
  <c r="C21" i="6"/>
  <c r="F21" i="6"/>
  <c r="G21" i="6" s="1"/>
  <c r="I21" i="6"/>
  <c r="L21" i="6"/>
  <c r="M21" i="6" s="1"/>
  <c r="P21" i="6"/>
  <c r="S21" i="6"/>
  <c r="T21" i="6" s="1"/>
  <c r="V21" i="6"/>
  <c r="Y21" i="6"/>
  <c r="Z21" i="6" s="1"/>
  <c r="C22" i="6"/>
  <c r="D22" i="6" s="1"/>
  <c r="F22" i="6"/>
  <c r="I22" i="6"/>
  <c r="J22" i="6" s="1"/>
  <c r="L22" i="6"/>
  <c r="P22" i="6"/>
  <c r="Q22" i="6" s="1"/>
  <c r="S22" i="6"/>
  <c r="V22" i="6"/>
  <c r="W22" i="6" s="1"/>
  <c r="Y22" i="6"/>
  <c r="AB22" i="6"/>
  <c r="C23" i="6"/>
  <c r="F23" i="6"/>
  <c r="G23" i="6" s="1"/>
  <c r="I23" i="6"/>
  <c r="J23" i="6" s="1"/>
  <c r="L23" i="6"/>
  <c r="M23" i="6" s="1"/>
  <c r="P23" i="6"/>
  <c r="Q23" i="6" s="1"/>
  <c r="S23" i="6"/>
  <c r="T23" i="6" s="1"/>
  <c r="V23" i="6"/>
  <c r="W23" i="6" s="1"/>
  <c r="Y23" i="6"/>
  <c r="Z23" i="6" s="1"/>
  <c r="C24" i="6"/>
  <c r="D24" i="6" s="1"/>
  <c r="F24" i="6"/>
  <c r="G24" i="6" s="1"/>
  <c r="I24" i="6"/>
  <c r="J24" i="6" s="1"/>
  <c r="L24" i="6"/>
  <c r="M24" i="6" s="1"/>
  <c r="P24" i="6"/>
  <c r="Q24" i="6" s="1"/>
  <c r="S24" i="6"/>
  <c r="T24" i="6" s="1"/>
  <c r="V24" i="6"/>
  <c r="W24" i="6" s="1"/>
  <c r="Y24" i="6"/>
  <c r="Z24" i="6" s="1"/>
  <c r="AB24" i="6"/>
  <c r="C25" i="6"/>
  <c r="F25" i="6"/>
  <c r="G25" i="6" s="1"/>
  <c r="I25" i="6"/>
  <c r="J25" i="6" s="1"/>
  <c r="L25" i="6"/>
  <c r="M25" i="6" s="1"/>
  <c r="P25" i="6"/>
  <c r="Q25" i="6" s="1"/>
  <c r="S25" i="6"/>
  <c r="T25" i="6" s="1"/>
  <c r="V25" i="6"/>
  <c r="W25" i="6" s="1"/>
  <c r="Y25" i="6"/>
  <c r="Z25" i="6" s="1"/>
  <c r="C26" i="6"/>
  <c r="D26" i="6" s="1"/>
  <c r="F26" i="6"/>
  <c r="G26" i="6" s="1"/>
  <c r="I26" i="6"/>
  <c r="J26" i="6" s="1"/>
  <c r="L26" i="6"/>
  <c r="M26" i="6" s="1"/>
  <c r="P26" i="6"/>
  <c r="Q26" i="6" s="1"/>
  <c r="S26" i="6"/>
  <c r="T26" i="6" s="1"/>
  <c r="V26" i="6"/>
  <c r="W26" i="6" s="1"/>
  <c r="Y26" i="6"/>
  <c r="Z26" i="6" s="1"/>
  <c r="AB26" i="6"/>
  <c r="C27" i="6"/>
  <c r="F27" i="6"/>
  <c r="G27" i="6" s="1"/>
  <c r="I27" i="6"/>
  <c r="J27" i="6" s="1"/>
  <c r="L27" i="6"/>
  <c r="M27" i="6" s="1"/>
  <c r="P27" i="6"/>
  <c r="Q27" i="6" s="1"/>
  <c r="S27" i="6"/>
  <c r="T27" i="6" s="1"/>
  <c r="V27" i="6"/>
  <c r="W27" i="6" s="1"/>
  <c r="Y27" i="6"/>
  <c r="Z27" i="6" s="1"/>
  <c r="C28" i="6"/>
  <c r="D28" i="6" s="1"/>
  <c r="F28" i="6"/>
  <c r="G28" i="6" s="1"/>
  <c r="I28" i="6"/>
  <c r="J28" i="6" s="1"/>
  <c r="L28" i="6"/>
  <c r="M28" i="6" s="1"/>
  <c r="P28" i="6"/>
  <c r="Q28" i="6" s="1"/>
  <c r="S28" i="6"/>
  <c r="T28" i="6" s="1"/>
  <c r="V28" i="6"/>
  <c r="W28" i="6" s="1"/>
  <c r="Y28" i="6"/>
  <c r="Z28" i="6" s="1"/>
  <c r="AB28" i="6"/>
  <c r="C29" i="6"/>
  <c r="F29" i="6"/>
  <c r="G29" i="6" s="1"/>
  <c r="I29" i="6"/>
  <c r="J29" i="6" s="1"/>
  <c r="L29" i="6"/>
  <c r="M29" i="6" s="1"/>
  <c r="P29" i="6"/>
  <c r="Q29" i="6" s="1"/>
  <c r="S29" i="6"/>
  <c r="T29" i="6" s="1"/>
  <c r="V29" i="6"/>
  <c r="W29" i="6" s="1"/>
  <c r="Y29" i="6"/>
  <c r="Z29" i="6" s="1"/>
  <c r="C30" i="6"/>
  <c r="D30" i="6" s="1"/>
  <c r="F30" i="6"/>
  <c r="G30" i="6" s="1"/>
  <c r="I30" i="6"/>
  <c r="J30" i="6" s="1"/>
  <c r="L30" i="6"/>
  <c r="M30" i="6" s="1"/>
  <c r="P30" i="6"/>
  <c r="Q30" i="6" s="1"/>
  <c r="S30" i="6"/>
  <c r="T30" i="6" s="1"/>
  <c r="V30" i="6"/>
  <c r="W30" i="6" s="1"/>
  <c r="Y30" i="6"/>
  <c r="Z30" i="6" s="1"/>
  <c r="AB30" i="6"/>
  <c r="C31" i="6"/>
  <c r="F31" i="6"/>
  <c r="G31" i="6" s="1"/>
  <c r="I31" i="6"/>
  <c r="J31" i="6" s="1"/>
  <c r="L31" i="6"/>
  <c r="M31" i="6" s="1"/>
  <c r="P31" i="6"/>
  <c r="Q31" i="6" s="1"/>
  <c r="S31" i="6"/>
  <c r="T31" i="6" s="1"/>
  <c r="V31" i="6"/>
  <c r="W31" i="6" s="1"/>
  <c r="Y31" i="6"/>
  <c r="Z31" i="6" s="1"/>
  <c r="C32" i="6"/>
  <c r="D32" i="6" s="1"/>
  <c r="F32" i="6"/>
  <c r="G32" i="6" s="1"/>
  <c r="I32" i="6"/>
  <c r="J32" i="6" s="1"/>
  <c r="L32" i="6"/>
  <c r="M32" i="6" s="1"/>
  <c r="P32" i="6"/>
  <c r="Q32" i="6" s="1"/>
  <c r="S32" i="6"/>
  <c r="T32" i="6" s="1"/>
  <c r="V32" i="6"/>
  <c r="W32" i="6" s="1"/>
  <c r="Y32" i="6"/>
  <c r="Z32" i="6" s="1"/>
  <c r="AB32" i="6"/>
  <c r="C33" i="6"/>
  <c r="F33" i="6"/>
  <c r="G33" i="6" s="1"/>
  <c r="I33" i="6"/>
  <c r="J33" i="6" s="1"/>
  <c r="L33" i="6"/>
  <c r="M33" i="6" s="1"/>
  <c r="P33" i="6"/>
  <c r="Q33" i="6" s="1"/>
  <c r="S33" i="6"/>
  <c r="T33" i="6" s="1"/>
  <c r="V33" i="6"/>
  <c r="W33" i="6" s="1"/>
  <c r="Y33" i="6"/>
  <c r="Z33" i="6" s="1"/>
  <c r="C34" i="6"/>
  <c r="D34" i="6" s="1"/>
  <c r="F34" i="6"/>
  <c r="G34" i="6" s="1"/>
  <c r="I34" i="6"/>
  <c r="J34" i="6" s="1"/>
  <c r="L34" i="6"/>
  <c r="M34" i="6" s="1"/>
  <c r="P34" i="6"/>
  <c r="Q34" i="6" s="1"/>
  <c r="S34" i="6"/>
  <c r="T34" i="6" s="1"/>
  <c r="V34" i="6"/>
  <c r="W34" i="6" s="1"/>
  <c r="Y34" i="6"/>
  <c r="Z34" i="6" s="1"/>
  <c r="AB34" i="6"/>
  <c r="C35" i="6"/>
  <c r="F35" i="6"/>
  <c r="G35" i="6" s="1"/>
  <c r="I35" i="6"/>
  <c r="J35" i="6" s="1"/>
  <c r="L35" i="6"/>
  <c r="M35" i="6" s="1"/>
  <c r="P35" i="6"/>
  <c r="Q35" i="6" s="1"/>
  <c r="S35" i="6"/>
  <c r="T35" i="6" s="1"/>
  <c r="V35" i="6"/>
  <c r="W35" i="6" s="1"/>
  <c r="Y35" i="6"/>
  <c r="Z35" i="6" s="1"/>
  <c r="C5" i="4"/>
  <c r="F5" i="4"/>
  <c r="I5" i="4"/>
  <c r="J5" i="4" s="1"/>
  <c r="L5" i="4"/>
  <c r="P5" i="4"/>
  <c r="Q5" i="4" s="1"/>
  <c r="S5" i="4"/>
  <c r="V5" i="4"/>
  <c r="W5" i="4" s="1"/>
  <c r="Y5" i="4"/>
  <c r="C6" i="4"/>
  <c r="F6" i="4"/>
  <c r="G6" i="4" s="1"/>
  <c r="I6" i="4"/>
  <c r="L6" i="4"/>
  <c r="M6" i="4" s="1"/>
  <c r="P6" i="4"/>
  <c r="S6" i="4"/>
  <c r="T6" i="4" s="1"/>
  <c r="V6" i="4"/>
  <c r="Y6" i="4"/>
  <c r="Z6" i="4" s="1"/>
  <c r="C7" i="4"/>
  <c r="F7" i="4"/>
  <c r="G7" i="4" s="1"/>
  <c r="I7" i="4"/>
  <c r="J7" i="4" s="1"/>
  <c r="L7" i="4"/>
  <c r="M7" i="4" s="1"/>
  <c r="P7" i="4"/>
  <c r="Q7" i="4" s="1"/>
  <c r="S7" i="4"/>
  <c r="T7" i="4" s="1"/>
  <c r="V7" i="4"/>
  <c r="W7" i="4" s="1"/>
  <c r="Y7" i="4"/>
  <c r="Z7" i="4" s="1"/>
  <c r="C8" i="4"/>
  <c r="F8" i="4"/>
  <c r="G8" i="4" s="1"/>
  <c r="I8" i="4"/>
  <c r="J8" i="4" s="1"/>
  <c r="L8" i="4"/>
  <c r="M8" i="4" s="1"/>
  <c r="P8" i="4"/>
  <c r="Q8" i="4" s="1"/>
  <c r="S8" i="4"/>
  <c r="T8" i="4" s="1"/>
  <c r="V8" i="4"/>
  <c r="W8" i="4" s="1"/>
  <c r="Y8" i="4"/>
  <c r="Z8" i="4" s="1"/>
  <c r="C9" i="4"/>
  <c r="F9" i="4"/>
  <c r="G9" i="4" s="1"/>
  <c r="I9" i="4"/>
  <c r="J9" i="4" s="1"/>
  <c r="L9" i="4"/>
  <c r="M9" i="4" s="1"/>
  <c r="P9" i="4"/>
  <c r="Q9" i="4" s="1"/>
  <c r="S9" i="4"/>
  <c r="T9" i="4" s="1"/>
  <c r="V9" i="4"/>
  <c r="W9" i="4" s="1"/>
  <c r="Y9" i="4"/>
  <c r="Z9" i="4" s="1"/>
  <c r="C10" i="4"/>
  <c r="F10" i="4"/>
  <c r="G10" i="4" s="1"/>
  <c r="I10" i="4"/>
  <c r="J10" i="4" s="1"/>
  <c r="L10" i="4"/>
  <c r="M10" i="4" s="1"/>
  <c r="P10" i="4"/>
  <c r="Q10" i="4" s="1"/>
  <c r="S10" i="4"/>
  <c r="T10" i="4" s="1"/>
  <c r="V10" i="4"/>
  <c r="W10" i="4" s="1"/>
  <c r="Y10" i="4"/>
  <c r="Z10" i="4" s="1"/>
  <c r="C11" i="4"/>
  <c r="F11" i="4"/>
  <c r="G11" i="4" s="1"/>
  <c r="I11" i="4"/>
  <c r="J11" i="4" s="1"/>
  <c r="L11" i="4"/>
  <c r="M11" i="4" s="1"/>
  <c r="P11" i="4"/>
  <c r="Q11" i="4" s="1"/>
  <c r="S11" i="4"/>
  <c r="T11" i="4" s="1"/>
  <c r="V11" i="4"/>
  <c r="W11" i="4" s="1"/>
  <c r="Y11" i="4"/>
  <c r="Z11" i="4" s="1"/>
  <c r="C12" i="4"/>
  <c r="F12" i="4"/>
  <c r="G12" i="4" s="1"/>
  <c r="I12" i="4"/>
  <c r="J12" i="4" s="1"/>
  <c r="L12" i="4"/>
  <c r="M12" i="4" s="1"/>
  <c r="P12" i="4"/>
  <c r="Q12" i="4" s="1"/>
  <c r="S12" i="4"/>
  <c r="T12" i="4" s="1"/>
  <c r="V12" i="4"/>
  <c r="W12" i="4" s="1"/>
  <c r="Y12" i="4"/>
  <c r="Z12" i="4" s="1"/>
  <c r="C13" i="4"/>
  <c r="F13" i="4"/>
  <c r="G13" i="4" s="1"/>
  <c r="I13" i="4"/>
  <c r="J13" i="4" s="1"/>
  <c r="L13" i="4"/>
  <c r="M13" i="4" s="1"/>
  <c r="P13" i="4"/>
  <c r="Q13" i="4" s="1"/>
  <c r="S13" i="4"/>
  <c r="T13" i="4" s="1"/>
  <c r="V13" i="4"/>
  <c r="W13" i="4" s="1"/>
  <c r="Y13" i="4"/>
  <c r="Z13" i="4" s="1"/>
  <c r="C14" i="4"/>
  <c r="F14" i="4"/>
  <c r="G14" i="4" s="1"/>
  <c r="I14" i="4"/>
  <c r="J14" i="4" s="1"/>
  <c r="L14" i="4"/>
  <c r="M14" i="4" s="1"/>
  <c r="P14" i="4"/>
  <c r="Q14" i="4" s="1"/>
  <c r="S14" i="4"/>
  <c r="T14" i="4" s="1"/>
  <c r="V14" i="4"/>
  <c r="W14" i="4" s="1"/>
  <c r="Y14" i="4"/>
  <c r="Z14" i="4" s="1"/>
  <c r="C15" i="4"/>
  <c r="F15" i="4"/>
  <c r="G15" i="4" s="1"/>
  <c r="I15" i="4"/>
  <c r="J15" i="4" s="1"/>
  <c r="L15" i="4"/>
  <c r="M15" i="4" s="1"/>
  <c r="P15" i="4"/>
  <c r="Q15" i="4" s="1"/>
  <c r="S15" i="4"/>
  <c r="T15" i="4" s="1"/>
  <c r="V15" i="4"/>
  <c r="W15" i="4" s="1"/>
  <c r="Y15" i="4"/>
  <c r="Z15" i="4" s="1"/>
  <c r="C16" i="4"/>
  <c r="F16" i="4"/>
  <c r="G16" i="4" s="1"/>
  <c r="I16" i="4"/>
  <c r="J16" i="4" s="1"/>
  <c r="L16" i="4"/>
  <c r="M16" i="4" s="1"/>
  <c r="P16" i="4"/>
  <c r="Q16" i="4" s="1"/>
  <c r="S16" i="4"/>
  <c r="T16" i="4" s="1"/>
  <c r="V16" i="4"/>
  <c r="W16" i="4" s="1"/>
  <c r="Y16" i="4"/>
  <c r="Z16" i="4" s="1"/>
  <c r="C17" i="4"/>
  <c r="F17" i="4"/>
  <c r="G17" i="4" s="1"/>
  <c r="I17" i="4"/>
  <c r="J17" i="4" s="1"/>
  <c r="L17" i="4"/>
  <c r="M17" i="4" s="1"/>
  <c r="P17" i="4"/>
  <c r="Q17" i="4" s="1"/>
  <c r="S17" i="4"/>
  <c r="T17" i="4" s="1"/>
  <c r="V17" i="4"/>
  <c r="W17" i="4" s="1"/>
  <c r="Y17" i="4"/>
  <c r="Z17" i="4" s="1"/>
  <c r="C18" i="4"/>
  <c r="F18" i="4"/>
  <c r="G18" i="4" s="1"/>
  <c r="I18" i="4"/>
  <c r="J18" i="4" s="1"/>
  <c r="L18" i="4"/>
  <c r="M18" i="4" s="1"/>
  <c r="P18" i="4"/>
  <c r="Q18" i="4" s="1"/>
  <c r="S18" i="4"/>
  <c r="T18" i="4" s="1"/>
  <c r="V18" i="4"/>
  <c r="W18" i="4" s="1"/>
  <c r="Y18" i="4"/>
  <c r="Z18" i="4" s="1"/>
  <c r="C19" i="4"/>
  <c r="F19" i="4"/>
  <c r="G19" i="4" s="1"/>
  <c r="I19" i="4"/>
  <c r="J19" i="4" s="1"/>
  <c r="L19" i="4"/>
  <c r="M19" i="4" s="1"/>
  <c r="P19" i="4"/>
  <c r="Q19" i="4" s="1"/>
  <c r="S19" i="4"/>
  <c r="T19" i="4" s="1"/>
  <c r="V19" i="4"/>
  <c r="W19" i="4" s="1"/>
  <c r="Y19" i="4"/>
  <c r="Z19" i="4" s="1"/>
  <c r="C20" i="4"/>
  <c r="F20" i="4"/>
  <c r="G20" i="4" s="1"/>
  <c r="I20" i="4"/>
  <c r="J20" i="4" s="1"/>
  <c r="L20" i="4"/>
  <c r="M20" i="4" s="1"/>
  <c r="P20" i="4"/>
  <c r="Q20" i="4" s="1"/>
  <c r="S20" i="4"/>
  <c r="T20" i="4" s="1"/>
  <c r="V20" i="4"/>
  <c r="W20" i="4" s="1"/>
  <c r="Y20" i="4"/>
  <c r="Z20" i="4" s="1"/>
  <c r="C21" i="4"/>
  <c r="F21" i="4"/>
  <c r="G21" i="4" s="1"/>
  <c r="I21" i="4"/>
  <c r="J21" i="4" s="1"/>
  <c r="L21" i="4"/>
  <c r="M21" i="4" s="1"/>
  <c r="P21" i="4"/>
  <c r="Q21" i="4" s="1"/>
  <c r="S21" i="4"/>
  <c r="T21" i="4" s="1"/>
  <c r="V21" i="4"/>
  <c r="W21" i="4" s="1"/>
  <c r="Y21" i="4"/>
  <c r="Z21" i="4" s="1"/>
  <c r="C22" i="4"/>
  <c r="F22" i="4"/>
  <c r="G22" i="4" s="1"/>
  <c r="I22" i="4"/>
  <c r="J22" i="4" s="1"/>
  <c r="L22" i="4"/>
  <c r="M22" i="4" s="1"/>
  <c r="P22" i="4"/>
  <c r="Q22" i="4" s="1"/>
  <c r="S22" i="4"/>
  <c r="T22" i="4" s="1"/>
  <c r="V22" i="4"/>
  <c r="W22" i="4" s="1"/>
  <c r="Y22" i="4"/>
  <c r="Z22" i="4" s="1"/>
  <c r="C23" i="4"/>
  <c r="F23" i="4"/>
  <c r="G23" i="4" s="1"/>
  <c r="I23" i="4"/>
  <c r="J23" i="4" s="1"/>
  <c r="L23" i="4"/>
  <c r="M23" i="4" s="1"/>
  <c r="P23" i="4"/>
  <c r="Q23" i="4" s="1"/>
  <c r="S23" i="4"/>
  <c r="T23" i="4" s="1"/>
  <c r="V23" i="4"/>
  <c r="W23" i="4" s="1"/>
  <c r="Y23" i="4"/>
  <c r="Z23" i="4" s="1"/>
  <c r="C24" i="4"/>
  <c r="F24" i="4"/>
  <c r="G24" i="4" s="1"/>
  <c r="I24" i="4"/>
  <c r="J24" i="4" s="1"/>
  <c r="L24" i="4"/>
  <c r="M24" i="4" s="1"/>
  <c r="P24" i="4"/>
  <c r="Q24" i="4" s="1"/>
  <c r="S24" i="4"/>
  <c r="T24" i="4" s="1"/>
  <c r="V24" i="4"/>
  <c r="W24" i="4" s="1"/>
  <c r="Y24" i="4"/>
  <c r="Z24" i="4" s="1"/>
  <c r="C25" i="4"/>
  <c r="F25" i="4"/>
  <c r="G25" i="4" s="1"/>
  <c r="I25" i="4"/>
  <c r="J25" i="4" s="1"/>
  <c r="L25" i="4"/>
  <c r="M25" i="4" s="1"/>
  <c r="P25" i="4"/>
  <c r="Q25" i="4" s="1"/>
  <c r="S25" i="4"/>
  <c r="T25" i="4" s="1"/>
  <c r="V25" i="4"/>
  <c r="W25" i="4" s="1"/>
  <c r="Y25" i="4"/>
  <c r="Z25" i="4" s="1"/>
  <c r="C26" i="4"/>
  <c r="F26" i="4"/>
  <c r="G26" i="4" s="1"/>
  <c r="I26" i="4"/>
  <c r="J26" i="4" s="1"/>
  <c r="L26" i="4"/>
  <c r="M26" i="4" s="1"/>
  <c r="P26" i="4"/>
  <c r="Q26" i="4" s="1"/>
  <c r="S26" i="4"/>
  <c r="T26" i="4" s="1"/>
  <c r="V26" i="4"/>
  <c r="W26" i="4" s="1"/>
  <c r="Y26" i="4"/>
  <c r="Z26" i="4" s="1"/>
  <c r="C27" i="4"/>
  <c r="F27" i="4"/>
  <c r="G27" i="4" s="1"/>
  <c r="I27" i="4"/>
  <c r="J27" i="4" s="1"/>
  <c r="L27" i="4"/>
  <c r="M27" i="4" s="1"/>
  <c r="P27" i="4"/>
  <c r="Q27" i="4" s="1"/>
  <c r="S27" i="4"/>
  <c r="T27" i="4" s="1"/>
  <c r="V27" i="4"/>
  <c r="W27" i="4" s="1"/>
  <c r="Y27" i="4"/>
  <c r="Z27" i="4" s="1"/>
  <c r="C28" i="4"/>
  <c r="F28" i="4"/>
  <c r="G28" i="4" s="1"/>
  <c r="I28" i="4"/>
  <c r="J28" i="4" s="1"/>
  <c r="L28" i="4"/>
  <c r="M28" i="4" s="1"/>
  <c r="P28" i="4"/>
  <c r="Q28" i="4" s="1"/>
  <c r="S28" i="4"/>
  <c r="T28" i="4" s="1"/>
  <c r="V28" i="4"/>
  <c r="W28" i="4" s="1"/>
  <c r="Y28" i="4"/>
  <c r="Z28" i="4" s="1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 s="1"/>
  <c r="L30" i="4"/>
  <c r="M30" i="4" s="1"/>
  <c r="P30" i="4"/>
  <c r="Q30" i="4" s="1"/>
  <c r="S30" i="4"/>
  <c r="T30" i="4" s="1"/>
  <c r="V30" i="4"/>
  <c r="W30" i="4" s="1"/>
  <c r="Y30" i="4"/>
  <c r="Z30" i="4" s="1"/>
  <c r="C31" i="4"/>
  <c r="F31" i="4"/>
  <c r="G31" i="4" s="1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 s="1"/>
  <c r="I32" i="4"/>
  <c r="J32" i="4" s="1"/>
  <c r="L32" i="4"/>
  <c r="M32" i="4" s="1"/>
  <c r="P32" i="4"/>
  <c r="Q32" i="4" s="1"/>
  <c r="S32" i="4"/>
  <c r="T32" i="4" s="1"/>
  <c r="V32" i="4"/>
  <c r="W32" i="4" s="1"/>
  <c r="Y32" i="4"/>
  <c r="Z32" i="4" s="1"/>
  <c r="C33" i="4"/>
  <c r="D33" i="4" s="1"/>
  <c r="F33" i="4"/>
  <c r="G33" i="4" s="1"/>
  <c r="I33" i="4"/>
  <c r="J33" i="4" s="1"/>
  <c r="L33" i="4"/>
  <c r="M33" i="4" s="1"/>
  <c r="P33" i="4"/>
  <c r="Q33" i="4" s="1"/>
  <c r="S33" i="4"/>
  <c r="T33" i="4" s="1"/>
  <c r="V33" i="4"/>
  <c r="W33" i="4" s="1"/>
  <c r="Y33" i="4"/>
  <c r="Z33" i="4" s="1"/>
  <c r="C5" i="1"/>
  <c r="F5" i="1"/>
  <c r="I5" i="1"/>
  <c r="J5" i="1" s="1"/>
  <c r="L5" i="1"/>
  <c r="P5" i="1"/>
  <c r="Q5" i="1" s="1"/>
  <c r="S5" i="1"/>
  <c r="V5" i="1"/>
  <c r="W5" i="1" s="1"/>
  <c r="Y5" i="1"/>
  <c r="C6" i="1"/>
  <c r="F6" i="1"/>
  <c r="G6" i="1" s="1"/>
  <c r="I6" i="1"/>
  <c r="L6" i="1"/>
  <c r="M6" i="1" s="1"/>
  <c r="P6" i="1"/>
  <c r="S6" i="1"/>
  <c r="T6" i="1" s="1"/>
  <c r="V6" i="1"/>
  <c r="Y6" i="1"/>
  <c r="Z6" i="1" s="1"/>
  <c r="C7" i="1"/>
  <c r="F7" i="1"/>
  <c r="G7" i="1" s="1"/>
  <c r="I7" i="1"/>
  <c r="J7" i="1" s="1"/>
  <c r="L7" i="1"/>
  <c r="M7" i="1" s="1"/>
  <c r="P7" i="1"/>
  <c r="Q7" i="1" s="1"/>
  <c r="S7" i="1"/>
  <c r="T7" i="1" s="1"/>
  <c r="V7" i="1"/>
  <c r="W7" i="1" s="1"/>
  <c r="Y7" i="1"/>
  <c r="Z7" i="1" s="1"/>
  <c r="C8" i="1"/>
  <c r="F8" i="1"/>
  <c r="G8" i="1" s="1"/>
  <c r="I8" i="1"/>
  <c r="J8" i="1" s="1"/>
  <c r="L8" i="1"/>
  <c r="M8" i="1" s="1"/>
  <c r="P8" i="1"/>
  <c r="Q8" i="1" s="1"/>
  <c r="S8" i="1"/>
  <c r="T8" i="1" s="1"/>
  <c r="V8" i="1"/>
  <c r="W8" i="1" s="1"/>
  <c r="Y8" i="1"/>
  <c r="Z8" i="1" s="1"/>
  <c r="C9" i="1"/>
  <c r="F9" i="1"/>
  <c r="G9" i="1" s="1"/>
  <c r="I9" i="1"/>
  <c r="J9" i="1" s="1"/>
  <c r="L9" i="1"/>
  <c r="M9" i="1" s="1"/>
  <c r="P9" i="1"/>
  <c r="Q9" i="1" s="1"/>
  <c r="S9" i="1"/>
  <c r="T9" i="1" s="1"/>
  <c r="V9" i="1"/>
  <c r="W9" i="1" s="1"/>
  <c r="Y9" i="1"/>
  <c r="Z9" i="1" s="1"/>
  <c r="C10" i="1"/>
  <c r="F10" i="1"/>
  <c r="G10" i="1" s="1"/>
  <c r="I10" i="1"/>
  <c r="J10" i="1" s="1"/>
  <c r="L10" i="1"/>
  <c r="M10" i="1" s="1"/>
  <c r="P10" i="1"/>
  <c r="Q10" i="1" s="1"/>
  <c r="S10" i="1"/>
  <c r="T10" i="1" s="1"/>
  <c r="V10" i="1"/>
  <c r="W10" i="1" s="1"/>
  <c r="Y10" i="1"/>
  <c r="Z10" i="1" s="1"/>
  <c r="C11" i="1"/>
  <c r="F11" i="1"/>
  <c r="G11" i="1" s="1"/>
  <c r="I11" i="1"/>
  <c r="J11" i="1" s="1"/>
  <c r="L11" i="1"/>
  <c r="M11" i="1" s="1"/>
  <c r="P11" i="1"/>
  <c r="Q11" i="1" s="1"/>
  <c r="S11" i="1"/>
  <c r="T11" i="1" s="1"/>
  <c r="V11" i="1"/>
  <c r="W11" i="1" s="1"/>
  <c r="Y11" i="1"/>
  <c r="Z11" i="1" s="1"/>
  <c r="C12" i="1"/>
  <c r="F12" i="1"/>
  <c r="G12" i="1" s="1"/>
  <c r="I12" i="1"/>
  <c r="J12" i="1" s="1"/>
  <c r="L12" i="1"/>
  <c r="M12" i="1" s="1"/>
  <c r="P12" i="1"/>
  <c r="Q12" i="1" s="1"/>
  <c r="S12" i="1"/>
  <c r="T12" i="1" s="1"/>
  <c r="V12" i="1"/>
  <c r="W12" i="1" s="1"/>
  <c r="Y12" i="1"/>
  <c r="Z12" i="1" s="1"/>
  <c r="C13" i="1"/>
  <c r="F13" i="1"/>
  <c r="G13" i="1" s="1"/>
  <c r="I13" i="1"/>
  <c r="J13" i="1" s="1"/>
  <c r="L13" i="1"/>
  <c r="M13" i="1" s="1"/>
  <c r="P13" i="1"/>
  <c r="Q13" i="1" s="1"/>
  <c r="S13" i="1"/>
  <c r="T13" i="1" s="1"/>
  <c r="V13" i="1"/>
  <c r="W13" i="1" s="1"/>
  <c r="Y13" i="1"/>
  <c r="Z13" i="1" s="1"/>
  <c r="C14" i="1"/>
  <c r="F14" i="1"/>
  <c r="G14" i="1" s="1"/>
  <c r="I14" i="1"/>
  <c r="J14" i="1" s="1"/>
  <c r="L14" i="1"/>
  <c r="M14" i="1" s="1"/>
  <c r="P14" i="1"/>
  <c r="Q14" i="1" s="1"/>
  <c r="S14" i="1"/>
  <c r="T14" i="1" s="1"/>
  <c r="V14" i="1"/>
  <c r="W14" i="1" s="1"/>
  <c r="Y14" i="1"/>
  <c r="Z14" i="1" s="1"/>
  <c r="C15" i="1"/>
  <c r="F15" i="1"/>
  <c r="G15" i="1" s="1"/>
  <c r="I15" i="1"/>
  <c r="J15" i="1" s="1"/>
  <c r="L15" i="1"/>
  <c r="M15" i="1" s="1"/>
  <c r="P15" i="1"/>
  <c r="Q15" i="1" s="1"/>
  <c r="S15" i="1"/>
  <c r="T15" i="1" s="1"/>
  <c r="V15" i="1"/>
  <c r="W15" i="1" s="1"/>
  <c r="Y15" i="1"/>
  <c r="Z15" i="1" s="1"/>
  <c r="C16" i="1"/>
  <c r="F16" i="1"/>
  <c r="G16" i="1" s="1"/>
  <c r="I16" i="1"/>
  <c r="J16" i="1" s="1"/>
  <c r="L16" i="1"/>
  <c r="M16" i="1" s="1"/>
  <c r="P16" i="1"/>
  <c r="Q16" i="1" s="1"/>
  <c r="S16" i="1"/>
  <c r="T16" i="1" s="1"/>
  <c r="V16" i="1"/>
  <c r="W16" i="1" s="1"/>
  <c r="Y16" i="1"/>
  <c r="Z16" i="1" s="1"/>
  <c r="C17" i="1"/>
  <c r="F17" i="1"/>
  <c r="G17" i="1" s="1"/>
  <c r="I17" i="1"/>
  <c r="J17" i="1" s="1"/>
  <c r="L17" i="1"/>
  <c r="M17" i="1" s="1"/>
  <c r="P17" i="1"/>
  <c r="Q17" i="1" s="1"/>
  <c r="S17" i="1"/>
  <c r="T17" i="1" s="1"/>
  <c r="V17" i="1"/>
  <c r="W17" i="1" s="1"/>
  <c r="Y17" i="1"/>
  <c r="Z17" i="1" s="1"/>
  <c r="C18" i="1"/>
  <c r="F18" i="1"/>
  <c r="G18" i="1" s="1"/>
  <c r="I18" i="1"/>
  <c r="J18" i="1" s="1"/>
  <c r="L18" i="1"/>
  <c r="M18" i="1" s="1"/>
  <c r="P18" i="1"/>
  <c r="Q18" i="1" s="1"/>
  <c r="S18" i="1"/>
  <c r="T18" i="1" s="1"/>
  <c r="V18" i="1"/>
  <c r="W18" i="1" s="1"/>
  <c r="Y18" i="1"/>
  <c r="Z18" i="1" s="1"/>
  <c r="C19" i="1"/>
  <c r="F19" i="1"/>
  <c r="G19" i="1" s="1"/>
  <c r="I19" i="1"/>
  <c r="J19" i="1" s="1"/>
  <c r="L19" i="1"/>
  <c r="M19" i="1" s="1"/>
  <c r="P19" i="1"/>
  <c r="Q19" i="1" s="1"/>
  <c r="S19" i="1"/>
  <c r="T19" i="1" s="1"/>
  <c r="V19" i="1"/>
  <c r="W19" i="1" s="1"/>
  <c r="Y19" i="1"/>
  <c r="Z19" i="1" s="1"/>
  <c r="C20" i="1"/>
  <c r="F20" i="1"/>
  <c r="G20" i="1" s="1"/>
  <c r="I20" i="1"/>
  <c r="J20" i="1" s="1"/>
  <c r="L20" i="1"/>
  <c r="M20" i="1" s="1"/>
  <c r="P20" i="1"/>
  <c r="Q20" i="1" s="1"/>
  <c r="S20" i="1"/>
  <c r="T20" i="1" s="1"/>
  <c r="V20" i="1"/>
  <c r="W20" i="1" s="1"/>
  <c r="Y20" i="1"/>
  <c r="Z20" i="1" s="1"/>
  <c r="C21" i="1"/>
  <c r="F21" i="1"/>
  <c r="G21" i="1" s="1"/>
  <c r="I21" i="1"/>
  <c r="J21" i="1" s="1"/>
  <c r="L21" i="1"/>
  <c r="M21" i="1" s="1"/>
  <c r="P21" i="1"/>
  <c r="Q21" i="1" s="1"/>
  <c r="S21" i="1"/>
  <c r="T21" i="1" s="1"/>
  <c r="V21" i="1"/>
  <c r="W21" i="1" s="1"/>
  <c r="Y21" i="1"/>
  <c r="Z21" i="1" s="1"/>
  <c r="C22" i="1"/>
  <c r="F22" i="1"/>
  <c r="G22" i="1" s="1"/>
  <c r="I22" i="1"/>
  <c r="J22" i="1" s="1"/>
  <c r="L22" i="1"/>
  <c r="M22" i="1" s="1"/>
  <c r="P22" i="1"/>
  <c r="Q22" i="1" s="1"/>
  <c r="S22" i="1"/>
  <c r="T22" i="1" s="1"/>
  <c r="V22" i="1"/>
  <c r="W22" i="1" s="1"/>
  <c r="Y22" i="1"/>
  <c r="Z22" i="1" s="1"/>
  <c r="C23" i="1"/>
  <c r="F23" i="1"/>
  <c r="G23" i="1" s="1"/>
  <c r="I23" i="1"/>
  <c r="J23" i="1" s="1"/>
  <c r="L23" i="1"/>
  <c r="M23" i="1" s="1"/>
  <c r="P23" i="1"/>
  <c r="Q23" i="1" s="1"/>
  <c r="S23" i="1"/>
  <c r="T23" i="1" s="1"/>
  <c r="V23" i="1"/>
  <c r="W23" i="1" s="1"/>
  <c r="Y23" i="1"/>
  <c r="Z23" i="1" s="1"/>
  <c r="C24" i="1"/>
  <c r="F24" i="1"/>
  <c r="G24" i="1" s="1"/>
  <c r="I24" i="1"/>
  <c r="J24" i="1" s="1"/>
  <c r="L24" i="1"/>
  <c r="M24" i="1" s="1"/>
  <c r="P24" i="1"/>
  <c r="Q24" i="1" s="1"/>
  <c r="S24" i="1"/>
  <c r="T24" i="1" s="1"/>
  <c r="V24" i="1"/>
  <c r="W24" i="1" s="1"/>
  <c r="Y24" i="1"/>
  <c r="Z24" i="1" s="1"/>
  <c r="C25" i="1"/>
  <c r="F25" i="1"/>
  <c r="G25" i="1" s="1"/>
  <c r="I25" i="1"/>
  <c r="J25" i="1" s="1"/>
  <c r="L25" i="1"/>
  <c r="M25" i="1" s="1"/>
  <c r="P25" i="1"/>
  <c r="Q25" i="1" s="1"/>
  <c r="S25" i="1"/>
  <c r="T25" i="1" s="1"/>
  <c r="V25" i="1"/>
  <c r="W25" i="1" s="1"/>
  <c r="Y25" i="1"/>
  <c r="Z25" i="1" s="1"/>
  <c r="C26" i="1"/>
  <c r="F26" i="1"/>
  <c r="G26" i="1" s="1"/>
  <c r="I26" i="1"/>
  <c r="J26" i="1" s="1"/>
  <c r="L26" i="1"/>
  <c r="M26" i="1" s="1"/>
  <c r="P26" i="1"/>
  <c r="Q26" i="1" s="1"/>
  <c r="S26" i="1"/>
  <c r="T26" i="1" s="1"/>
  <c r="V26" i="1"/>
  <c r="W26" i="1" s="1"/>
  <c r="Y26" i="1"/>
  <c r="Z26" i="1" s="1"/>
  <c r="C27" i="1"/>
  <c r="F27" i="1"/>
  <c r="G27" i="1" s="1"/>
  <c r="I27" i="1"/>
  <c r="J27" i="1" s="1"/>
  <c r="L27" i="1"/>
  <c r="M27" i="1" s="1"/>
  <c r="P27" i="1"/>
  <c r="Q27" i="1" s="1"/>
  <c r="S27" i="1"/>
  <c r="T27" i="1" s="1"/>
  <c r="V27" i="1"/>
  <c r="W27" i="1" s="1"/>
  <c r="Y27" i="1"/>
  <c r="Z27" i="1" s="1"/>
  <c r="C28" i="1"/>
  <c r="F28" i="1"/>
  <c r="G28" i="1" s="1"/>
  <c r="I28" i="1"/>
  <c r="J28" i="1" s="1"/>
  <c r="L28" i="1"/>
  <c r="M28" i="1" s="1"/>
  <c r="P28" i="1"/>
  <c r="Q28" i="1" s="1"/>
  <c r="S28" i="1"/>
  <c r="T28" i="1" s="1"/>
  <c r="V28" i="1"/>
  <c r="W28" i="1" s="1"/>
  <c r="Y28" i="1"/>
  <c r="Z28" i="1" s="1"/>
  <c r="C29" i="1"/>
  <c r="F29" i="1"/>
  <c r="G29" i="1" s="1"/>
  <c r="I29" i="1"/>
  <c r="J29" i="1" s="1"/>
  <c r="L29" i="1"/>
  <c r="M29" i="1" s="1"/>
  <c r="P29" i="1"/>
  <c r="Q29" i="1" s="1"/>
  <c r="S29" i="1"/>
  <c r="T29" i="1" s="1"/>
  <c r="V29" i="1"/>
  <c r="W29" i="1" s="1"/>
  <c r="Y29" i="1"/>
  <c r="Z29" i="1" s="1"/>
  <c r="C30" i="1"/>
  <c r="F30" i="1"/>
  <c r="G30" i="1" s="1"/>
  <c r="I30" i="1"/>
  <c r="J30" i="1" s="1"/>
  <c r="L30" i="1"/>
  <c r="M30" i="1" s="1"/>
  <c r="P30" i="1"/>
  <c r="Q30" i="1" s="1"/>
  <c r="S30" i="1"/>
  <c r="T30" i="1" s="1"/>
  <c r="V30" i="1"/>
  <c r="W30" i="1" s="1"/>
  <c r="Y30" i="1"/>
  <c r="Z30" i="1" s="1"/>
  <c r="C31" i="1"/>
  <c r="F31" i="1"/>
  <c r="G31" i="1" s="1"/>
  <c r="I31" i="1"/>
  <c r="J31" i="1" s="1"/>
  <c r="L31" i="1"/>
  <c r="M31" i="1" s="1"/>
  <c r="P31" i="1"/>
  <c r="Q31" i="1" s="1"/>
  <c r="S31" i="1"/>
  <c r="T31" i="1" s="1"/>
  <c r="V31" i="1"/>
  <c r="W31" i="1" s="1"/>
  <c r="Y31" i="1"/>
  <c r="Z31" i="1" s="1"/>
  <c r="C32" i="1"/>
  <c r="F32" i="1"/>
  <c r="G32" i="1" s="1"/>
  <c r="I32" i="1"/>
  <c r="J32" i="1" s="1"/>
  <c r="L32" i="1"/>
  <c r="M32" i="1" s="1"/>
  <c r="P32" i="1"/>
  <c r="Q32" i="1" s="1"/>
  <c r="S32" i="1"/>
  <c r="T32" i="1" s="1"/>
  <c r="V32" i="1"/>
  <c r="W32" i="1" s="1"/>
  <c r="Y32" i="1"/>
  <c r="Z32" i="1" s="1"/>
  <c r="C33" i="1"/>
  <c r="F33" i="1"/>
  <c r="G33" i="1" s="1"/>
  <c r="I33" i="1"/>
  <c r="J33" i="1" s="1"/>
  <c r="L33" i="1"/>
  <c r="M33" i="1" s="1"/>
  <c r="P33" i="1"/>
  <c r="Q33" i="1" s="1"/>
  <c r="S33" i="1"/>
  <c r="T33" i="1" s="1"/>
  <c r="V33" i="1"/>
  <c r="W33" i="1" s="1"/>
  <c r="Y33" i="1"/>
  <c r="Z33" i="1" s="1"/>
  <c r="C34" i="1"/>
  <c r="F34" i="1"/>
  <c r="G34" i="1" s="1"/>
  <c r="I34" i="1"/>
  <c r="J34" i="1" s="1"/>
  <c r="L34" i="1"/>
  <c r="M34" i="1" s="1"/>
  <c r="P34" i="1"/>
  <c r="Q34" i="1" s="1"/>
  <c r="S34" i="1"/>
  <c r="T34" i="1" s="1"/>
  <c r="V34" i="1"/>
  <c r="W34" i="1" s="1"/>
  <c r="Y34" i="1"/>
  <c r="Z34" i="1" s="1"/>
  <c r="C35" i="1"/>
  <c r="F35" i="1"/>
  <c r="G35" i="1" s="1"/>
  <c r="I35" i="1"/>
  <c r="J35" i="1" s="1"/>
  <c r="L35" i="1"/>
  <c r="M35" i="1" s="1"/>
  <c r="P35" i="1"/>
  <c r="Q35" i="1" s="1"/>
  <c r="S35" i="1"/>
  <c r="T35" i="1" s="1"/>
  <c r="V35" i="1"/>
  <c r="W35" i="1" s="1"/>
  <c r="Y35" i="1"/>
  <c r="Z35" i="1" s="1"/>
  <c r="F5" i="13"/>
  <c r="I5" i="13"/>
  <c r="L5" i="13"/>
  <c r="P5" i="13"/>
  <c r="S5" i="13"/>
  <c r="V5" i="13"/>
  <c r="Y5" i="13"/>
  <c r="F6" i="13"/>
  <c r="G6" i="13" s="1"/>
  <c r="I6" i="13"/>
  <c r="L6" i="13"/>
  <c r="M6" i="13" s="1"/>
  <c r="P6" i="13"/>
  <c r="Q6" i="13" s="1"/>
  <c r="S6" i="13"/>
  <c r="T6" i="13" s="1"/>
  <c r="V6" i="13"/>
  <c r="Y6" i="13"/>
  <c r="Z6" i="13" s="1"/>
  <c r="F7" i="13"/>
  <c r="I7" i="13"/>
  <c r="J7" i="13" s="1"/>
  <c r="L7" i="13"/>
  <c r="M7" i="13" s="1"/>
  <c r="P7" i="13"/>
  <c r="Q7" i="13" s="1"/>
  <c r="S7" i="13"/>
  <c r="V7" i="13"/>
  <c r="W7" i="13" s="1"/>
  <c r="Y7" i="13"/>
  <c r="Z7" i="13" s="1"/>
  <c r="F8" i="13"/>
  <c r="G8" i="13" s="1"/>
  <c r="I8" i="13"/>
  <c r="J8" i="13" s="1"/>
  <c r="L8" i="13"/>
  <c r="M8" i="13" s="1"/>
  <c r="P8" i="13"/>
  <c r="S8" i="13"/>
  <c r="T8" i="13" s="1"/>
  <c r="V8" i="13"/>
  <c r="W8" i="13" s="1"/>
  <c r="Y8" i="13"/>
  <c r="Z8" i="13" s="1"/>
  <c r="F9" i="13"/>
  <c r="G9" i="13" s="1"/>
  <c r="I9" i="13"/>
  <c r="J9" i="13" s="1"/>
  <c r="L9" i="13"/>
  <c r="M9" i="13" s="1"/>
  <c r="P9" i="13"/>
  <c r="Q9" i="13" s="1"/>
  <c r="S9" i="13"/>
  <c r="T9" i="13" s="1"/>
  <c r="V9" i="13"/>
  <c r="W9" i="13" s="1"/>
  <c r="Y9" i="13"/>
  <c r="Z9" i="13" s="1"/>
  <c r="F10" i="13"/>
  <c r="G10" i="13" s="1"/>
  <c r="I10" i="13"/>
  <c r="J10" i="13" s="1"/>
  <c r="L10" i="13"/>
  <c r="M10" i="13" s="1"/>
  <c r="P10" i="13"/>
  <c r="Q10" i="13" s="1"/>
  <c r="S10" i="13"/>
  <c r="T10" i="13" s="1"/>
  <c r="V10" i="13"/>
  <c r="W10" i="13" s="1"/>
  <c r="Y10" i="13"/>
  <c r="Z10" i="13" s="1"/>
  <c r="F11" i="13"/>
  <c r="G11" i="13" s="1"/>
  <c r="I11" i="13"/>
  <c r="J11" i="13" s="1"/>
  <c r="L11" i="13"/>
  <c r="M11" i="13" s="1"/>
  <c r="P11" i="13"/>
  <c r="Q11" i="13" s="1"/>
  <c r="S11" i="13"/>
  <c r="T11" i="13" s="1"/>
  <c r="V11" i="13"/>
  <c r="W11" i="13" s="1"/>
  <c r="Y11" i="13"/>
  <c r="Z11" i="13" s="1"/>
  <c r="F12" i="13"/>
  <c r="G12" i="13" s="1"/>
  <c r="I12" i="13"/>
  <c r="J12" i="13" s="1"/>
  <c r="L12" i="13"/>
  <c r="M12" i="13" s="1"/>
  <c r="P12" i="13"/>
  <c r="Q12" i="13" s="1"/>
  <c r="S12" i="13"/>
  <c r="T12" i="13" s="1"/>
  <c r="V12" i="13"/>
  <c r="W12" i="13" s="1"/>
  <c r="Y12" i="13"/>
  <c r="Z12" i="13" s="1"/>
  <c r="F13" i="13"/>
  <c r="G13" i="13" s="1"/>
  <c r="I13" i="13"/>
  <c r="J13" i="13" s="1"/>
  <c r="L13" i="13"/>
  <c r="M13" i="13" s="1"/>
  <c r="P13" i="13"/>
  <c r="Q13" i="13" s="1"/>
  <c r="S13" i="13"/>
  <c r="T13" i="13" s="1"/>
  <c r="V13" i="13"/>
  <c r="W13" i="13" s="1"/>
  <c r="Y13" i="13"/>
  <c r="Z13" i="13" s="1"/>
  <c r="F14" i="13"/>
  <c r="G14" i="13" s="1"/>
  <c r="I14" i="13"/>
  <c r="J14" i="13" s="1"/>
  <c r="L14" i="13"/>
  <c r="M14" i="13" s="1"/>
  <c r="P14" i="13"/>
  <c r="Q14" i="13" s="1"/>
  <c r="S14" i="13"/>
  <c r="T14" i="13" s="1"/>
  <c r="V14" i="13"/>
  <c r="W14" i="13" s="1"/>
  <c r="Y14" i="13"/>
  <c r="Z14" i="13" s="1"/>
  <c r="F15" i="13"/>
  <c r="G15" i="13" s="1"/>
  <c r="I15" i="13"/>
  <c r="J15" i="13" s="1"/>
  <c r="L15" i="13"/>
  <c r="M15" i="13" s="1"/>
  <c r="P15" i="13"/>
  <c r="Q15" i="13" s="1"/>
  <c r="S15" i="13"/>
  <c r="T15" i="13" s="1"/>
  <c r="V15" i="13"/>
  <c r="W15" i="13" s="1"/>
  <c r="Y15" i="13"/>
  <c r="Z15" i="13" s="1"/>
  <c r="F16" i="13"/>
  <c r="G16" i="13" s="1"/>
  <c r="I16" i="13"/>
  <c r="J16" i="13" s="1"/>
  <c r="L16" i="13"/>
  <c r="M16" i="13" s="1"/>
  <c r="P16" i="13"/>
  <c r="Q16" i="13" s="1"/>
  <c r="S16" i="13"/>
  <c r="T16" i="13" s="1"/>
  <c r="V16" i="13"/>
  <c r="W16" i="13" s="1"/>
  <c r="Y16" i="13"/>
  <c r="Z16" i="13" s="1"/>
  <c r="F17" i="13"/>
  <c r="G17" i="13" s="1"/>
  <c r="I17" i="13"/>
  <c r="J17" i="13" s="1"/>
  <c r="L17" i="13"/>
  <c r="M17" i="13" s="1"/>
  <c r="P17" i="13"/>
  <c r="Q17" i="13" s="1"/>
  <c r="S17" i="13"/>
  <c r="T17" i="13" s="1"/>
  <c r="V17" i="13"/>
  <c r="W17" i="13" s="1"/>
  <c r="Y17" i="13"/>
  <c r="Z17" i="13" s="1"/>
  <c r="F18" i="13"/>
  <c r="G18" i="13" s="1"/>
  <c r="I18" i="13"/>
  <c r="J18" i="13" s="1"/>
  <c r="L18" i="13"/>
  <c r="M18" i="13" s="1"/>
  <c r="P18" i="13"/>
  <c r="Q18" i="13" s="1"/>
  <c r="S18" i="13"/>
  <c r="T18" i="13" s="1"/>
  <c r="V18" i="13"/>
  <c r="W18" i="13" s="1"/>
  <c r="Y18" i="13"/>
  <c r="Z18" i="13" s="1"/>
  <c r="F19" i="13"/>
  <c r="G19" i="13" s="1"/>
  <c r="I19" i="13"/>
  <c r="J19" i="13" s="1"/>
  <c r="L19" i="13"/>
  <c r="M19" i="13" s="1"/>
  <c r="P19" i="13"/>
  <c r="Q19" i="13" s="1"/>
  <c r="S19" i="13"/>
  <c r="T19" i="13" s="1"/>
  <c r="V19" i="13"/>
  <c r="W19" i="13" s="1"/>
  <c r="Y19" i="13"/>
  <c r="Z19" i="13" s="1"/>
  <c r="F20" i="13"/>
  <c r="G20" i="13" s="1"/>
  <c r="I20" i="13"/>
  <c r="J20" i="13" s="1"/>
  <c r="L20" i="13"/>
  <c r="M20" i="13" s="1"/>
  <c r="P20" i="13"/>
  <c r="Q20" i="13" s="1"/>
  <c r="S20" i="13"/>
  <c r="T20" i="13" s="1"/>
  <c r="V20" i="13"/>
  <c r="W20" i="13" s="1"/>
  <c r="Y20" i="13"/>
  <c r="Z20" i="13" s="1"/>
  <c r="F21" i="13"/>
  <c r="G21" i="13" s="1"/>
  <c r="I21" i="13"/>
  <c r="J21" i="13" s="1"/>
  <c r="L21" i="13"/>
  <c r="M21" i="13" s="1"/>
  <c r="P21" i="13"/>
  <c r="Q21" i="13" s="1"/>
  <c r="S21" i="13"/>
  <c r="T21" i="13" s="1"/>
  <c r="V21" i="13"/>
  <c r="W21" i="13" s="1"/>
  <c r="Y21" i="13"/>
  <c r="Z21" i="13" s="1"/>
  <c r="F22" i="13"/>
  <c r="G22" i="13" s="1"/>
  <c r="I22" i="13"/>
  <c r="J22" i="13" s="1"/>
  <c r="L22" i="13"/>
  <c r="M22" i="13" s="1"/>
  <c r="P22" i="13"/>
  <c r="Q22" i="13" s="1"/>
  <c r="S22" i="13"/>
  <c r="T22" i="13" s="1"/>
  <c r="V22" i="13"/>
  <c r="W22" i="13" s="1"/>
  <c r="Y22" i="13"/>
  <c r="Z22" i="13" s="1"/>
  <c r="F23" i="13"/>
  <c r="G23" i="13" s="1"/>
  <c r="I23" i="13"/>
  <c r="J23" i="13" s="1"/>
  <c r="L23" i="13"/>
  <c r="M23" i="13" s="1"/>
  <c r="P23" i="13"/>
  <c r="Q23" i="13" s="1"/>
  <c r="S23" i="13"/>
  <c r="T23" i="13" s="1"/>
  <c r="V23" i="13"/>
  <c r="W23" i="13" s="1"/>
  <c r="Y23" i="13"/>
  <c r="Z23" i="13" s="1"/>
  <c r="F24" i="13"/>
  <c r="G24" i="13" s="1"/>
  <c r="I24" i="13"/>
  <c r="J24" i="13" s="1"/>
  <c r="L24" i="13"/>
  <c r="M24" i="13" s="1"/>
  <c r="P24" i="13"/>
  <c r="Q24" i="13" s="1"/>
  <c r="S24" i="13"/>
  <c r="T24" i="13" s="1"/>
  <c r="V24" i="13"/>
  <c r="W24" i="13" s="1"/>
  <c r="Y24" i="13"/>
  <c r="Z24" i="13" s="1"/>
  <c r="F25" i="13"/>
  <c r="G25" i="13" s="1"/>
  <c r="I25" i="13"/>
  <c r="J25" i="13" s="1"/>
  <c r="L25" i="13"/>
  <c r="M25" i="13" s="1"/>
  <c r="P25" i="13"/>
  <c r="Q25" i="13" s="1"/>
  <c r="S25" i="13"/>
  <c r="T25" i="13" s="1"/>
  <c r="V25" i="13"/>
  <c r="W25" i="13" s="1"/>
  <c r="Y25" i="13"/>
  <c r="Z25" i="13" s="1"/>
  <c r="F26" i="13"/>
  <c r="G26" i="13" s="1"/>
  <c r="I26" i="13"/>
  <c r="J26" i="13" s="1"/>
  <c r="L26" i="13"/>
  <c r="M26" i="13" s="1"/>
  <c r="P26" i="13"/>
  <c r="Q26" i="13" s="1"/>
  <c r="S26" i="13"/>
  <c r="T26" i="13" s="1"/>
  <c r="V26" i="13"/>
  <c r="W26" i="13" s="1"/>
  <c r="Y26" i="13"/>
  <c r="Z26" i="13" s="1"/>
  <c r="F27" i="13"/>
  <c r="G27" i="13" s="1"/>
  <c r="I27" i="13"/>
  <c r="J27" i="13" s="1"/>
  <c r="L27" i="13"/>
  <c r="M27" i="13" s="1"/>
  <c r="P27" i="13"/>
  <c r="Q27" i="13" s="1"/>
  <c r="S27" i="13"/>
  <c r="T27" i="13" s="1"/>
  <c r="V27" i="13"/>
  <c r="W27" i="13" s="1"/>
  <c r="Y27" i="13"/>
  <c r="Z27" i="13" s="1"/>
  <c r="F28" i="13"/>
  <c r="G28" i="13" s="1"/>
  <c r="I28" i="13"/>
  <c r="J28" i="13" s="1"/>
  <c r="L28" i="13"/>
  <c r="M28" i="13" s="1"/>
  <c r="P28" i="13"/>
  <c r="Q28" i="13" s="1"/>
  <c r="S28" i="13"/>
  <c r="T28" i="13" s="1"/>
  <c r="V28" i="13"/>
  <c r="W28" i="13" s="1"/>
  <c r="Y28" i="13"/>
  <c r="Z28" i="13" s="1"/>
  <c r="F29" i="13"/>
  <c r="G29" i="13" s="1"/>
  <c r="I29" i="13"/>
  <c r="J29" i="13" s="1"/>
  <c r="L29" i="13"/>
  <c r="M29" i="13" s="1"/>
  <c r="P29" i="13"/>
  <c r="Q29" i="13" s="1"/>
  <c r="S29" i="13"/>
  <c r="T29" i="13" s="1"/>
  <c r="V29" i="13"/>
  <c r="W29" i="13" s="1"/>
  <c r="Y29" i="13"/>
  <c r="Z29" i="13" s="1"/>
  <c r="F30" i="13"/>
  <c r="G30" i="13" s="1"/>
  <c r="I30" i="13"/>
  <c r="J30" i="13" s="1"/>
  <c r="L30" i="13"/>
  <c r="M30" i="13" s="1"/>
  <c r="P30" i="13"/>
  <c r="Q30" i="13" s="1"/>
  <c r="S30" i="13"/>
  <c r="T30" i="13" s="1"/>
  <c r="V30" i="13"/>
  <c r="W30" i="13" s="1"/>
  <c r="Y30" i="13"/>
  <c r="Z30" i="13" s="1"/>
  <c r="F31" i="13"/>
  <c r="G31" i="13" s="1"/>
  <c r="I31" i="13"/>
  <c r="J31" i="13" s="1"/>
  <c r="L31" i="13"/>
  <c r="M31" i="13" s="1"/>
  <c r="P31" i="13"/>
  <c r="Q31" i="13" s="1"/>
  <c r="S31" i="13"/>
  <c r="T31" i="13" s="1"/>
  <c r="V31" i="13"/>
  <c r="W31" i="13" s="1"/>
  <c r="Y31" i="13"/>
  <c r="Z31" i="13" s="1"/>
  <c r="F32" i="13"/>
  <c r="G32" i="13" s="1"/>
  <c r="I32" i="13"/>
  <c r="J32" i="13" s="1"/>
  <c r="L32" i="13"/>
  <c r="M32" i="13" s="1"/>
  <c r="P32" i="13"/>
  <c r="Q32" i="13" s="1"/>
  <c r="S32" i="13"/>
  <c r="T32" i="13" s="1"/>
  <c r="V32" i="13"/>
  <c r="W32" i="13" s="1"/>
  <c r="Y32" i="13"/>
  <c r="Z32" i="13" s="1"/>
  <c r="F33" i="13"/>
  <c r="G33" i="13" s="1"/>
  <c r="I33" i="13"/>
  <c r="J33" i="13" s="1"/>
  <c r="L33" i="13"/>
  <c r="M33" i="13" s="1"/>
  <c r="P33" i="13"/>
  <c r="Q33" i="13" s="1"/>
  <c r="S33" i="13"/>
  <c r="T33" i="13" s="1"/>
  <c r="V33" i="13"/>
  <c r="W33" i="13" s="1"/>
  <c r="Y33" i="13"/>
  <c r="Z33" i="13" s="1"/>
  <c r="F34" i="13"/>
  <c r="G34" i="13" s="1"/>
  <c r="I34" i="13"/>
  <c r="J34" i="13" s="1"/>
  <c r="L34" i="13"/>
  <c r="M34" i="13" s="1"/>
  <c r="P34" i="13"/>
  <c r="Q34" i="13" s="1"/>
  <c r="S34" i="13"/>
  <c r="T34" i="13" s="1"/>
  <c r="V34" i="13"/>
  <c r="W34" i="13" s="1"/>
  <c r="Y34" i="13"/>
  <c r="Z34" i="13" s="1"/>
  <c r="F35" i="13"/>
  <c r="G35" i="13" s="1"/>
  <c r="I35" i="13"/>
  <c r="J35" i="13" s="1"/>
  <c r="L35" i="13"/>
  <c r="M35" i="13" s="1"/>
  <c r="P35" i="13"/>
  <c r="Q35" i="13" s="1"/>
  <c r="S35" i="13"/>
  <c r="T35" i="13" s="1"/>
  <c r="V35" i="13"/>
  <c r="W35" i="13" s="1"/>
  <c r="Y35" i="13"/>
  <c r="Z35" i="13" s="1"/>
  <c r="C5" i="14"/>
  <c r="AC5" i="14" s="1"/>
  <c r="F5" i="14"/>
  <c r="G5" i="14" s="1"/>
  <c r="I5" i="14"/>
  <c r="L5" i="14"/>
  <c r="M5" i="14" s="1"/>
  <c r="Q5" i="14"/>
  <c r="T5" i="14"/>
  <c r="V5" i="14"/>
  <c r="Y5" i="14"/>
  <c r="Z5" i="14" s="1"/>
  <c r="C6" i="14"/>
  <c r="F6" i="14"/>
  <c r="I6" i="14"/>
  <c r="J6" i="14" s="1"/>
  <c r="L6" i="14"/>
  <c r="Q6" i="14"/>
  <c r="T6" i="14"/>
  <c r="V6" i="14"/>
  <c r="W6" i="14" s="1"/>
  <c r="Y6" i="14"/>
  <c r="C7" i="14"/>
  <c r="F7" i="14"/>
  <c r="G7" i="14" s="1"/>
  <c r="I7" i="14"/>
  <c r="J7" i="14" s="1"/>
  <c r="L7" i="14"/>
  <c r="M7" i="14" s="1"/>
  <c r="Q7" i="14"/>
  <c r="T7" i="14"/>
  <c r="V7" i="14"/>
  <c r="W7" i="14" s="1"/>
  <c r="Y7" i="14"/>
  <c r="Z7" i="14" s="1"/>
  <c r="C8" i="14"/>
  <c r="F8" i="14"/>
  <c r="G8" i="14" s="1"/>
  <c r="I8" i="14"/>
  <c r="J8" i="14" s="1"/>
  <c r="L8" i="14"/>
  <c r="M8" i="14" s="1"/>
  <c r="Q8" i="14"/>
  <c r="T8" i="14"/>
  <c r="V8" i="14"/>
  <c r="W8" i="14" s="1"/>
  <c r="Y8" i="14"/>
  <c r="Z8" i="14" s="1"/>
  <c r="C9" i="14"/>
  <c r="F9" i="14"/>
  <c r="G9" i="14" s="1"/>
  <c r="I9" i="14"/>
  <c r="J9" i="14" s="1"/>
  <c r="L9" i="14"/>
  <c r="M9" i="14" s="1"/>
  <c r="Q9" i="14"/>
  <c r="T9" i="14"/>
  <c r="V9" i="14"/>
  <c r="W9" i="14" s="1"/>
  <c r="Y9" i="14"/>
  <c r="Z9" i="14" s="1"/>
  <c r="C10" i="14"/>
  <c r="F10" i="14"/>
  <c r="G10" i="14" s="1"/>
  <c r="I10" i="14"/>
  <c r="J10" i="14" s="1"/>
  <c r="L10" i="14"/>
  <c r="M10" i="14" s="1"/>
  <c r="Q10" i="14"/>
  <c r="T10" i="14"/>
  <c r="V10" i="14"/>
  <c r="W10" i="14" s="1"/>
  <c r="Y10" i="14"/>
  <c r="Z10" i="14" s="1"/>
  <c r="C11" i="14"/>
  <c r="F11" i="14"/>
  <c r="G11" i="14" s="1"/>
  <c r="I11" i="14"/>
  <c r="J11" i="14" s="1"/>
  <c r="L11" i="14"/>
  <c r="M11" i="14" s="1"/>
  <c r="Q11" i="14"/>
  <c r="T11" i="14"/>
  <c r="V11" i="14"/>
  <c r="W11" i="14" s="1"/>
  <c r="Y11" i="14"/>
  <c r="Z11" i="14" s="1"/>
  <c r="C12" i="14"/>
  <c r="F12" i="14"/>
  <c r="G12" i="14" s="1"/>
  <c r="I12" i="14"/>
  <c r="J12" i="14" s="1"/>
  <c r="L12" i="14"/>
  <c r="M12" i="14" s="1"/>
  <c r="Q12" i="14"/>
  <c r="T12" i="14"/>
  <c r="V12" i="14"/>
  <c r="W12" i="14" s="1"/>
  <c r="Y12" i="14"/>
  <c r="Z12" i="14" s="1"/>
  <c r="C13" i="14"/>
  <c r="F13" i="14"/>
  <c r="G13" i="14" s="1"/>
  <c r="I13" i="14"/>
  <c r="J13" i="14" s="1"/>
  <c r="L13" i="14"/>
  <c r="M13" i="14" s="1"/>
  <c r="Q13" i="14"/>
  <c r="T13" i="14"/>
  <c r="V13" i="14"/>
  <c r="W13" i="14" s="1"/>
  <c r="Y13" i="14"/>
  <c r="Z13" i="14" s="1"/>
  <c r="C14" i="14"/>
  <c r="F14" i="14"/>
  <c r="G14" i="14" s="1"/>
  <c r="I14" i="14"/>
  <c r="J14" i="14" s="1"/>
  <c r="L14" i="14"/>
  <c r="M14" i="14" s="1"/>
  <c r="Q14" i="14"/>
  <c r="T14" i="14"/>
  <c r="V14" i="14"/>
  <c r="W14" i="14" s="1"/>
  <c r="Y14" i="14"/>
  <c r="Z14" i="14" s="1"/>
  <c r="C15" i="14"/>
  <c r="F15" i="14"/>
  <c r="G15" i="14" s="1"/>
  <c r="I15" i="14"/>
  <c r="J15" i="14" s="1"/>
  <c r="L15" i="14"/>
  <c r="M15" i="14" s="1"/>
  <c r="Q15" i="14"/>
  <c r="T15" i="14"/>
  <c r="V15" i="14"/>
  <c r="W15" i="14" s="1"/>
  <c r="Y15" i="14"/>
  <c r="Z15" i="14" s="1"/>
  <c r="C16" i="14"/>
  <c r="F16" i="14"/>
  <c r="G16" i="14" s="1"/>
  <c r="I16" i="14"/>
  <c r="J16" i="14" s="1"/>
  <c r="L16" i="14"/>
  <c r="M16" i="14" s="1"/>
  <c r="Q16" i="14"/>
  <c r="T16" i="14"/>
  <c r="V16" i="14"/>
  <c r="W16" i="14" s="1"/>
  <c r="Y16" i="14"/>
  <c r="Z16" i="14" s="1"/>
  <c r="C17" i="14"/>
  <c r="F17" i="14"/>
  <c r="G17" i="14" s="1"/>
  <c r="I17" i="14"/>
  <c r="J17" i="14" s="1"/>
  <c r="L17" i="14"/>
  <c r="M17" i="14" s="1"/>
  <c r="P17" i="14"/>
  <c r="T17" i="14"/>
  <c r="V17" i="14"/>
  <c r="W17" i="14" s="1"/>
  <c r="Y17" i="14"/>
  <c r="Z17" i="14" s="1"/>
  <c r="C18" i="14"/>
  <c r="F18" i="14"/>
  <c r="G18" i="14" s="1"/>
  <c r="I18" i="14"/>
  <c r="J18" i="14" s="1"/>
  <c r="L18" i="14"/>
  <c r="M18" i="14" s="1"/>
  <c r="P18" i="14"/>
  <c r="Q18" i="14" s="1"/>
  <c r="S18" i="14"/>
  <c r="V18" i="14"/>
  <c r="W18" i="14" s="1"/>
  <c r="Y18" i="14"/>
  <c r="Z18" i="14" s="1"/>
  <c r="C19" i="14"/>
  <c r="F19" i="14"/>
  <c r="G19" i="14" s="1"/>
  <c r="I19" i="14"/>
  <c r="J19" i="14" s="1"/>
  <c r="L19" i="14"/>
  <c r="M19" i="14" s="1"/>
  <c r="P19" i="14"/>
  <c r="Q19" i="14" s="1"/>
  <c r="S19" i="14"/>
  <c r="T19" i="14" s="1"/>
  <c r="V19" i="14"/>
  <c r="W19" i="14" s="1"/>
  <c r="Y19" i="14"/>
  <c r="Z19" i="14" s="1"/>
  <c r="C20" i="14"/>
  <c r="F20" i="14"/>
  <c r="G20" i="14" s="1"/>
  <c r="I20" i="14"/>
  <c r="J20" i="14" s="1"/>
  <c r="L20" i="14"/>
  <c r="M20" i="14" s="1"/>
  <c r="P20" i="14"/>
  <c r="Q20" i="14" s="1"/>
  <c r="S20" i="14"/>
  <c r="T20" i="14" s="1"/>
  <c r="V20" i="14"/>
  <c r="W20" i="14" s="1"/>
  <c r="Y20" i="14"/>
  <c r="Z20" i="14" s="1"/>
  <c r="C21" i="14"/>
  <c r="F21" i="14"/>
  <c r="G21" i="14" s="1"/>
  <c r="I21" i="14"/>
  <c r="J21" i="14" s="1"/>
  <c r="L21" i="14"/>
  <c r="M21" i="14" s="1"/>
  <c r="P21" i="14"/>
  <c r="Q21" i="14" s="1"/>
  <c r="S21" i="14"/>
  <c r="T21" i="14" s="1"/>
  <c r="V21" i="14"/>
  <c r="W21" i="14" s="1"/>
  <c r="Y21" i="14"/>
  <c r="Z21" i="14" s="1"/>
  <c r="C22" i="14"/>
  <c r="F22" i="14"/>
  <c r="G22" i="14" s="1"/>
  <c r="I22" i="14"/>
  <c r="J22" i="14" s="1"/>
  <c r="L22" i="14"/>
  <c r="M22" i="14" s="1"/>
  <c r="P22" i="14"/>
  <c r="Q22" i="14" s="1"/>
  <c r="S22" i="14"/>
  <c r="T22" i="14" s="1"/>
  <c r="V22" i="14"/>
  <c r="W22" i="14" s="1"/>
  <c r="Y22" i="14"/>
  <c r="Z22" i="14" s="1"/>
  <c r="C23" i="14"/>
  <c r="F23" i="14"/>
  <c r="G23" i="14" s="1"/>
  <c r="I23" i="14"/>
  <c r="J23" i="14" s="1"/>
  <c r="L23" i="14"/>
  <c r="M23" i="14" s="1"/>
  <c r="P23" i="14"/>
  <c r="Q23" i="14" s="1"/>
  <c r="S23" i="14"/>
  <c r="T23" i="14" s="1"/>
  <c r="V23" i="14"/>
  <c r="W23" i="14" s="1"/>
  <c r="Y23" i="14"/>
  <c r="Z23" i="14" s="1"/>
  <c r="C24" i="14"/>
  <c r="F24" i="14"/>
  <c r="G24" i="14" s="1"/>
  <c r="I24" i="14"/>
  <c r="J24" i="14" s="1"/>
  <c r="L24" i="14"/>
  <c r="M24" i="14" s="1"/>
  <c r="P24" i="14"/>
  <c r="Q24" i="14" s="1"/>
  <c r="S24" i="14"/>
  <c r="T24" i="14" s="1"/>
  <c r="V24" i="14"/>
  <c r="W24" i="14" s="1"/>
  <c r="Y24" i="14"/>
  <c r="Z24" i="14" s="1"/>
  <c r="C25" i="14"/>
  <c r="F25" i="14"/>
  <c r="G25" i="14" s="1"/>
  <c r="I25" i="14"/>
  <c r="J25" i="14" s="1"/>
  <c r="L25" i="14"/>
  <c r="M25" i="14" s="1"/>
  <c r="P25" i="14"/>
  <c r="Q25" i="14" s="1"/>
  <c r="S25" i="14"/>
  <c r="T25" i="14" s="1"/>
  <c r="V25" i="14"/>
  <c r="W25" i="14" s="1"/>
  <c r="Y25" i="14"/>
  <c r="Z25" i="14" s="1"/>
  <c r="C26" i="14"/>
  <c r="F26" i="14"/>
  <c r="G26" i="14" s="1"/>
  <c r="I26" i="14"/>
  <c r="J26" i="14" s="1"/>
  <c r="L26" i="14"/>
  <c r="M26" i="14" s="1"/>
  <c r="P26" i="14"/>
  <c r="Q26" i="14" s="1"/>
  <c r="S26" i="14"/>
  <c r="T26" i="14" s="1"/>
  <c r="V26" i="14"/>
  <c r="W26" i="14" s="1"/>
  <c r="Y26" i="14"/>
  <c r="Z26" i="14" s="1"/>
  <c r="C27" i="14"/>
  <c r="F27" i="14"/>
  <c r="G27" i="14" s="1"/>
  <c r="I27" i="14"/>
  <c r="J27" i="14" s="1"/>
  <c r="L27" i="14"/>
  <c r="M27" i="14" s="1"/>
  <c r="P27" i="14"/>
  <c r="Q27" i="14" s="1"/>
  <c r="S27" i="14"/>
  <c r="T27" i="14" s="1"/>
  <c r="V27" i="14"/>
  <c r="W27" i="14" s="1"/>
  <c r="Y27" i="14"/>
  <c r="Z27" i="14" s="1"/>
  <c r="C28" i="14"/>
  <c r="F28" i="14"/>
  <c r="G28" i="14" s="1"/>
  <c r="I28" i="14"/>
  <c r="J28" i="14" s="1"/>
  <c r="L28" i="14"/>
  <c r="M28" i="14" s="1"/>
  <c r="P28" i="14"/>
  <c r="Q28" i="14" s="1"/>
  <c r="S28" i="14"/>
  <c r="T28" i="14" s="1"/>
  <c r="V28" i="14"/>
  <c r="W28" i="14" s="1"/>
  <c r="Y28" i="14"/>
  <c r="Z28" i="14" s="1"/>
  <c r="C29" i="14"/>
  <c r="F29" i="14"/>
  <c r="G29" i="14" s="1"/>
  <c r="I29" i="14"/>
  <c r="J29" i="14" s="1"/>
  <c r="L29" i="14"/>
  <c r="M29" i="14" s="1"/>
  <c r="P29" i="14"/>
  <c r="Q29" i="14" s="1"/>
  <c r="S29" i="14"/>
  <c r="T29" i="14" s="1"/>
  <c r="V29" i="14"/>
  <c r="W29" i="14" s="1"/>
  <c r="Y29" i="14"/>
  <c r="Z29" i="14" s="1"/>
  <c r="C30" i="14"/>
  <c r="F30" i="14"/>
  <c r="G30" i="14" s="1"/>
  <c r="I30" i="14"/>
  <c r="J30" i="14" s="1"/>
  <c r="L30" i="14"/>
  <c r="M30" i="14" s="1"/>
  <c r="P30" i="14"/>
  <c r="Q30" i="14" s="1"/>
  <c r="S30" i="14"/>
  <c r="T30" i="14" s="1"/>
  <c r="V30" i="14"/>
  <c r="W30" i="14" s="1"/>
  <c r="Y30" i="14"/>
  <c r="Z30" i="14" s="1"/>
  <c r="C31" i="14"/>
  <c r="F31" i="14"/>
  <c r="G31" i="14" s="1"/>
  <c r="I31" i="14"/>
  <c r="J31" i="14" s="1"/>
  <c r="L31" i="14"/>
  <c r="M31" i="14" s="1"/>
  <c r="P31" i="14"/>
  <c r="Q31" i="14" s="1"/>
  <c r="S31" i="14"/>
  <c r="T31" i="14" s="1"/>
  <c r="V31" i="14"/>
  <c r="W31" i="14" s="1"/>
  <c r="Y31" i="14"/>
  <c r="Z31" i="14" s="1"/>
  <c r="C32" i="14"/>
  <c r="F32" i="14"/>
  <c r="G32" i="14" s="1"/>
  <c r="I32" i="14"/>
  <c r="J32" i="14" s="1"/>
  <c r="L32" i="14"/>
  <c r="M32" i="14" s="1"/>
  <c r="P32" i="14"/>
  <c r="Q32" i="14" s="1"/>
  <c r="S32" i="14"/>
  <c r="T32" i="14" s="1"/>
  <c r="V32" i="14"/>
  <c r="W32" i="14" s="1"/>
  <c r="Y32" i="14"/>
  <c r="Z32" i="14" s="1"/>
  <c r="C33" i="14"/>
  <c r="F33" i="14"/>
  <c r="G33" i="14" s="1"/>
  <c r="I33" i="14"/>
  <c r="J33" i="14" s="1"/>
  <c r="L33" i="14"/>
  <c r="M33" i="14" s="1"/>
  <c r="P33" i="14"/>
  <c r="Q33" i="14" s="1"/>
  <c r="S33" i="14"/>
  <c r="T33" i="14" s="1"/>
  <c r="V33" i="14"/>
  <c r="W33" i="14" s="1"/>
  <c r="Y33" i="14"/>
  <c r="Z33" i="14" s="1"/>
  <c r="C34" i="14"/>
  <c r="F34" i="14"/>
  <c r="G34" i="14" s="1"/>
  <c r="I34" i="14"/>
  <c r="J34" i="14" s="1"/>
  <c r="L34" i="14"/>
  <c r="M34" i="14" s="1"/>
  <c r="P34" i="14"/>
  <c r="Q34" i="14" s="1"/>
  <c r="S34" i="14"/>
  <c r="T34" i="14" s="1"/>
  <c r="V34" i="14"/>
  <c r="W34" i="14" s="1"/>
  <c r="Y34" i="14"/>
  <c r="Z34" i="14" s="1"/>
  <c r="AH30" i="10" l="1"/>
  <c r="AF27" i="11"/>
  <c r="AC32" i="9"/>
  <c r="AJ9" i="10"/>
  <c r="AC33" i="4"/>
  <c r="AC8" i="5"/>
  <c r="AC16" i="5"/>
  <c r="AC14" i="5"/>
  <c r="AC10" i="5"/>
  <c r="AC6" i="5"/>
  <c r="AC12" i="5"/>
  <c r="AD35" i="11"/>
  <c r="AC33" i="5"/>
  <c r="AC17" i="9"/>
  <c r="T5" i="13"/>
  <c r="S36" i="13"/>
  <c r="G5" i="13"/>
  <c r="F36" i="13"/>
  <c r="Y36" i="13"/>
  <c r="L36" i="13"/>
  <c r="D34" i="14"/>
  <c r="AD34" i="14" s="1"/>
  <c r="AC34" i="14"/>
  <c r="D33" i="14"/>
  <c r="AD33" i="14" s="1"/>
  <c r="AC33" i="14"/>
  <c r="D32" i="14"/>
  <c r="AD32" i="14" s="1"/>
  <c r="AC32" i="14"/>
  <c r="D31" i="14"/>
  <c r="AD31" i="14" s="1"/>
  <c r="AC31" i="14"/>
  <c r="D30" i="14"/>
  <c r="AD30" i="14" s="1"/>
  <c r="AC30" i="14"/>
  <c r="D29" i="14"/>
  <c r="AD29" i="14" s="1"/>
  <c r="AC29" i="14"/>
  <c r="D28" i="14"/>
  <c r="AD28" i="14" s="1"/>
  <c r="AC28" i="14"/>
  <c r="D27" i="14"/>
  <c r="AD27" i="14" s="1"/>
  <c r="AC27" i="14"/>
  <c r="D26" i="14"/>
  <c r="AD26" i="14" s="1"/>
  <c r="AC26" i="14"/>
  <c r="D25" i="14"/>
  <c r="AD25" i="14" s="1"/>
  <c r="AC25" i="14"/>
  <c r="D24" i="14"/>
  <c r="AD24" i="14" s="1"/>
  <c r="AC24" i="14"/>
  <c r="D23" i="14"/>
  <c r="AD23" i="14" s="1"/>
  <c r="AC23" i="14"/>
  <c r="D22" i="14"/>
  <c r="AD22" i="14" s="1"/>
  <c r="AC22" i="14"/>
  <c r="D21" i="14"/>
  <c r="AD21" i="14" s="1"/>
  <c r="AC21" i="14"/>
  <c r="D20" i="14"/>
  <c r="AD20" i="14" s="1"/>
  <c r="AC20" i="14"/>
  <c r="D19" i="14"/>
  <c r="AD19" i="14" s="1"/>
  <c r="AC19" i="14"/>
  <c r="D18" i="14"/>
  <c r="AD18" i="14" s="1"/>
  <c r="AC18" i="14"/>
  <c r="D17" i="14"/>
  <c r="AC17" i="14"/>
  <c r="D16" i="14"/>
  <c r="AD16" i="14" s="1"/>
  <c r="AC16" i="14"/>
  <c r="D15" i="14"/>
  <c r="AD15" i="14" s="1"/>
  <c r="AC15" i="14"/>
  <c r="D14" i="14"/>
  <c r="AD14" i="14" s="1"/>
  <c r="AC14" i="14"/>
  <c r="D13" i="14"/>
  <c r="AD13" i="14" s="1"/>
  <c r="AC13" i="14"/>
  <c r="D12" i="14"/>
  <c r="AD12" i="14" s="1"/>
  <c r="AC12" i="14"/>
  <c r="D11" i="14"/>
  <c r="AD11" i="14" s="1"/>
  <c r="AC11" i="14"/>
  <c r="D10" i="14"/>
  <c r="AD10" i="14" s="1"/>
  <c r="AC10" i="14"/>
  <c r="D9" i="14"/>
  <c r="AD9" i="14" s="1"/>
  <c r="AC9" i="14"/>
  <c r="D8" i="14"/>
  <c r="AD8" i="14" s="1"/>
  <c r="AC8" i="14"/>
  <c r="D7" i="14"/>
  <c r="AD7" i="14" s="1"/>
  <c r="AC7" i="14"/>
  <c r="D6" i="14"/>
  <c r="AD6" i="14" s="1"/>
  <c r="AC6" i="14"/>
  <c r="C35" i="13"/>
  <c r="AB35" i="13"/>
  <c r="C34" i="13"/>
  <c r="AB34" i="13"/>
  <c r="C33" i="13"/>
  <c r="AB33" i="13"/>
  <c r="C32" i="13"/>
  <c r="AB32" i="13"/>
  <c r="C31" i="13"/>
  <c r="AB31" i="13"/>
  <c r="C30" i="13"/>
  <c r="AB30" i="13"/>
  <c r="C29" i="13"/>
  <c r="AB29" i="13"/>
  <c r="C28" i="13"/>
  <c r="AB28" i="13"/>
  <c r="C27" i="13"/>
  <c r="AB27" i="13"/>
  <c r="C26" i="13"/>
  <c r="AB26" i="13"/>
  <c r="C25" i="13"/>
  <c r="AB25" i="13"/>
  <c r="C24" i="13"/>
  <c r="AB24" i="13"/>
  <c r="C23" i="13"/>
  <c r="AB23" i="13"/>
  <c r="C22" i="13"/>
  <c r="AB22" i="13"/>
  <c r="C21" i="13"/>
  <c r="AB21" i="13"/>
  <c r="C20" i="13"/>
  <c r="AB20" i="13"/>
  <c r="C19" i="13"/>
  <c r="AB19" i="13"/>
  <c r="C18" i="13"/>
  <c r="AB18" i="13"/>
  <c r="C17" i="13"/>
  <c r="AB17" i="13"/>
  <c r="C16" i="13"/>
  <c r="AB16" i="13"/>
  <c r="C15" i="13"/>
  <c r="AB15" i="13"/>
  <c r="C14" i="13"/>
  <c r="AB14" i="13"/>
  <c r="C13" i="13"/>
  <c r="AB13" i="13"/>
  <c r="C12" i="13"/>
  <c r="AB12" i="13"/>
  <c r="C11" i="13"/>
  <c r="AB11" i="13"/>
  <c r="C10" i="13"/>
  <c r="AB10" i="13"/>
  <c r="C9" i="13"/>
  <c r="AB9" i="13"/>
  <c r="C8" i="13"/>
  <c r="AC8" i="13" s="1"/>
  <c r="AB8" i="13"/>
  <c r="C7" i="13"/>
  <c r="C36" i="13" s="1"/>
  <c r="AB7" i="13"/>
  <c r="C6" i="13"/>
  <c r="AB6" i="13"/>
  <c r="W5" i="13"/>
  <c r="V36" i="13"/>
  <c r="Q5" i="13"/>
  <c r="P36" i="13"/>
  <c r="J5" i="13"/>
  <c r="I36" i="13"/>
  <c r="C5" i="13"/>
  <c r="AB5" i="13"/>
  <c r="AC35" i="5"/>
  <c r="AC31" i="5"/>
  <c r="AC20" i="5"/>
  <c r="D34" i="7"/>
  <c r="AD34" i="7" s="1"/>
  <c r="AC34" i="7"/>
  <c r="D33" i="7"/>
  <c r="AD33" i="7" s="1"/>
  <c r="AC33" i="7"/>
  <c r="D32" i="7"/>
  <c r="AD32" i="7" s="1"/>
  <c r="AC32" i="7"/>
  <c r="D31" i="7"/>
  <c r="AD31" i="7" s="1"/>
  <c r="AC31" i="7"/>
  <c r="D30" i="7"/>
  <c r="AD30" i="7" s="1"/>
  <c r="AC30" i="7"/>
  <c r="D29" i="7"/>
  <c r="AD29" i="7" s="1"/>
  <c r="AC29" i="7"/>
  <c r="D28" i="7"/>
  <c r="AD28" i="7" s="1"/>
  <c r="AC28" i="7"/>
  <c r="D27" i="7"/>
  <c r="AD27" i="7" s="1"/>
  <c r="AC27" i="7"/>
  <c r="D26" i="7"/>
  <c r="AD26" i="7" s="1"/>
  <c r="AC26" i="7"/>
  <c r="D25" i="7"/>
  <c r="AD25" i="7" s="1"/>
  <c r="AC25" i="7"/>
  <c r="D24" i="7"/>
  <c r="AD24" i="7" s="1"/>
  <c r="AC24" i="7"/>
  <c r="D23" i="7"/>
  <c r="AD23" i="7" s="1"/>
  <c r="AC23" i="7"/>
  <c r="D22" i="7"/>
  <c r="AD22" i="7" s="1"/>
  <c r="AC22" i="7"/>
  <c r="D21" i="7"/>
  <c r="AD21" i="7" s="1"/>
  <c r="AC21" i="7"/>
  <c r="D20" i="7"/>
  <c r="AD20" i="7" s="1"/>
  <c r="AC20" i="7"/>
  <c r="D19" i="7"/>
  <c r="AD19" i="7" s="1"/>
  <c r="AC19" i="7"/>
  <c r="D18" i="7"/>
  <c r="AD18" i="7" s="1"/>
  <c r="AC18" i="7"/>
  <c r="D17" i="7"/>
  <c r="AD17" i="7" s="1"/>
  <c r="AC17" i="7"/>
  <c r="D16" i="7"/>
  <c r="AD16" i="7" s="1"/>
  <c r="AC16" i="7"/>
  <c r="D15" i="7"/>
  <c r="AD15" i="7" s="1"/>
  <c r="AC15" i="7"/>
  <c r="D14" i="7"/>
  <c r="AD14" i="7" s="1"/>
  <c r="AC14" i="7"/>
  <c r="D13" i="7"/>
  <c r="AD13" i="7" s="1"/>
  <c r="AC13" i="7"/>
  <c r="D12" i="7"/>
  <c r="AD12" i="7" s="1"/>
  <c r="AC12" i="7"/>
  <c r="D11" i="7"/>
  <c r="AD11" i="7" s="1"/>
  <c r="AC11" i="7"/>
  <c r="D10" i="7"/>
  <c r="AD10" i="7" s="1"/>
  <c r="AC10" i="7"/>
  <c r="D9" i="7"/>
  <c r="AD9" i="7" s="1"/>
  <c r="AC9" i="7"/>
  <c r="D8" i="7"/>
  <c r="AD8" i="7" s="1"/>
  <c r="AC8" i="7"/>
  <c r="D7" i="7"/>
  <c r="AD7" i="7" s="1"/>
  <c r="AC7" i="7"/>
  <c r="D6" i="7"/>
  <c r="AD6" i="7" s="1"/>
  <c r="AC6" i="7"/>
  <c r="AC5" i="7"/>
  <c r="AD13" i="6"/>
  <c r="D32" i="4"/>
  <c r="AD32" i="4" s="1"/>
  <c r="AC32" i="4"/>
  <c r="D31" i="4"/>
  <c r="AD31" i="4" s="1"/>
  <c r="AC31" i="4"/>
  <c r="D30" i="4"/>
  <c r="AD30" i="4" s="1"/>
  <c r="AC30" i="4"/>
  <c r="D29" i="4"/>
  <c r="AD29" i="4" s="1"/>
  <c r="AC29" i="4"/>
  <c r="D28" i="4"/>
  <c r="AD28" i="4" s="1"/>
  <c r="AC28" i="4"/>
  <c r="D27" i="4"/>
  <c r="AD27" i="4" s="1"/>
  <c r="AC27" i="4"/>
  <c r="D26" i="4"/>
  <c r="AD26" i="4" s="1"/>
  <c r="AC26" i="4"/>
  <c r="D25" i="4"/>
  <c r="AD25" i="4" s="1"/>
  <c r="AC25" i="4"/>
  <c r="D24" i="4"/>
  <c r="AD24" i="4" s="1"/>
  <c r="AC24" i="4"/>
  <c r="D23" i="4"/>
  <c r="AD23" i="4" s="1"/>
  <c r="AC23" i="4"/>
  <c r="D22" i="4"/>
  <c r="AD22" i="4" s="1"/>
  <c r="AC22" i="4"/>
  <c r="D21" i="4"/>
  <c r="AD21" i="4" s="1"/>
  <c r="AC21" i="4"/>
  <c r="D20" i="4"/>
  <c r="AD20" i="4" s="1"/>
  <c r="AC20" i="4"/>
  <c r="D19" i="4"/>
  <c r="AD19" i="4" s="1"/>
  <c r="AC19" i="4"/>
  <c r="D18" i="4"/>
  <c r="AD18" i="4" s="1"/>
  <c r="AC18" i="4"/>
  <c r="D17" i="4"/>
  <c r="AD17" i="4" s="1"/>
  <c r="AC17" i="4"/>
  <c r="D16" i="4"/>
  <c r="AD16" i="4" s="1"/>
  <c r="AC16" i="4"/>
  <c r="D15" i="4"/>
  <c r="AD15" i="4" s="1"/>
  <c r="AC15" i="4"/>
  <c r="D14" i="4"/>
  <c r="AD14" i="4" s="1"/>
  <c r="AC14" i="4"/>
  <c r="D13" i="4"/>
  <c r="AD13" i="4" s="1"/>
  <c r="AC13" i="4"/>
  <c r="D12" i="4"/>
  <c r="AD12" i="4" s="1"/>
  <c r="AC12" i="4"/>
  <c r="D11" i="4"/>
  <c r="AD11" i="4" s="1"/>
  <c r="AC11" i="4"/>
  <c r="D10" i="4"/>
  <c r="AD10" i="4" s="1"/>
  <c r="AC10" i="4"/>
  <c r="D9" i="4"/>
  <c r="AD9" i="4" s="1"/>
  <c r="AC9" i="4"/>
  <c r="D8" i="4"/>
  <c r="AD8" i="4" s="1"/>
  <c r="AC8" i="4"/>
  <c r="D7" i="4"/>
  <c r="AD7" i="4" s="1"/>
  <c r="AC7" i="4"/>
  <c r="D5" i="4"/>
  <c r="AD5" i="4" s="1"/>
  <c r="AC5" i="4"/>
  <c r="AC6" i="4"/>
  <c r="D35" i="1"/>
  <c r="AD35" i="1" s="1"/>
  <c r="AC35" i="1"/>
  <c r="D34" i="1"/>
  <c r="AD34" i="1" s="1"/>
  <c r="AC34" i="1"/>
  <c r="D33" i="1"/>
  <c r="AD33" i="1" s="1"/>
  <c r="AC33" i="1"/>
  <c r="D32" i="1"/>
  <c r="AD32" i="1" s="1"/>
  <c r="AC32" i="1"/>
  <c r="D31" i="1"/>
  <c r="AD31" i="1" s="1"/>
  <c r="AC31" i="1"/>
  <c r="D30" i="1"/>
  <c r="AD30" i="1" s="1"/>
  <c r="AC30" i="1"/>
  <c r="D29" i="1"/>
  <c r="AD29" i="1" s="1"/>
  <c r="AC29" i="1"/>
  <c r="D28" i="1"/>
  <c r="AD28" i="1" s="1"/>
  <c r="AC28" i="1"/>
  <c r="D27" i="1"/>
  <c r="AD27" i="1" s="1"/>
  <c r="AC27" i="1"/>
  <c r="D26" i="1"/>
  <c r="AD26" i="1" s="1"/>
  <c r="AC26" i="1"/>
  <c r="D25" i="1"/>
  <c r="AD25" i="1" s="1"/>
  <c r="AC25" i="1"/>
  <c r="D24" i="1"/>
  <c r="AD24" i="1" s="1"/>
  <c r="AC24" i="1"/>
  <c r="D23" i="1"/>
  <c r="AD23" i="1" s="1"/>
  <c r="AC23" i="1"/>
  <c r="D22" i="1"/>
  <c r="AD22" i="1" s="1"/>
  <c r="AC22" i="1"/>
  <c r="D21" i="1"/>
  <c r="AD21" i="1" s="1"/>
  <c r="AC21" i="1"/>
  <c r="D20" i="1"/>
  <c r="AD20" i="1" s="1"/>
  <c r="AC20" i="1"/>
  <c r="D19" i="1"/>
  <c r="AD19" i="1" s="1"/>
  <c r="AC19" i="1"/>
  <c r="D18" i="1"/>
  <c r="AD18" i="1" s="1"/>
  <c r="AC18" i="1"/>
  <c r="D17" i="1"/>
  <c r="AD17" i="1" s="1"/>
  <c r="AC17" i="1"/>
  <c r="D16" i="1"/>
  <c r="AD16" i="1" s="1"/>
  <c r="AC16" i="1"/>
  <c r="D15" i="1"/>
  <c r="AD15" i="1" s="1"/>
  <c r="AC15" i="1"/>
  <c r="D14" i="1"/>
  <c r="AD14" i="1" s="1"/>
  <c r="AC14" i="1"/>
  <c r="D13" i="1"/>
  <c r="AD13" i="1" s="1"/>
  <c r="AC13" i="1"/>
  <c r="D12" i="1"/>
  <c r="AD12" i="1" s="1"/>
  <c r="AC12" i="1"/>
  <c r="D11" i="1"/>
  <c r="AD11" i="1" s="1"/>
  <c r="AC11" i="1"/>
  <c r="D10" i="1"/>
  <c r="AD10" i="1" s="1"/>
  <c r="AC10" i="1"/>
  <c r="D9" i="1"/>
  <c r="AD9" i="1" s="1"/>
  <c r="AC9" i="1"/>
  <c r="D8" i="1"/>
  <c r="AD8" i="1" s="1"/>
  <c r="AC8" i="1"/>
  <c r="D7" i="1"/>
  <c r="AD7" i="1" s="1"/>
  <c r="AC7" i="1"/>
  <c r="D5" i="1"/>
  <c r="AD5" i="1" s="1"/>
  <c r="AC5" i="1"/>
  <c r="AC6" i="1"/>
  <c r="S36" i="8"/>
  <c r="T36" i="8" s="1"/>
  <c r="F36" i="8"/>
  <c r="G36" i="8" s="1"/>
  <c r="AF7" i="9"/>
  <c r="AC20" i="6"/>
  <c r="AD20" i="6"/>
  <c r="AF16" i="6"/>
  <c r="Y36" i="8"/>
  <c r="Z36" i="8" s="1"/>
  <c r="L36" i="8"/>
  <c r="M36" i="8" s="1"/>
  <c r="AF15" i="9"/>
  <c r="AF9" i="9"/>
  <c r="AD28" i="5"/>
  <c r="Q8" i="13"/>
  <c r="T7" i="13"/>
  <c r="W6" i="13"/>
  <c r="Z5" i="13"/>
  <c r="Z36" i="13" s="1"/>
  <c r="AD29" i="5"/>
  <c r="G7" i="13"/>
  <c r="J6" i="13"/>
  <c r="M5" i="13"/>
  <c r="M36" i="13" s="1"/>
  <c r="AF18" i="6"/>
  <c r="AD17" i="9"/>
  <c r="AF13" i="9"/>
  <c r="AF11" i="9"/>
  <c r="AF5" i="9"/>
  <c r="AC29" i="5"/>
  <c r="AF24" i="5"/>
  <c r="AF16" i="5"/>
  <c r="AF15" i="5"/>
  <c r="AF12" i="5"/>
  <c r="AF11" i="5"/>
  <c r="AF8" i="5"/>
  <c r="AF7" i="5"/>
  <c r="AF26" i="5"/>
  <c r="AF22" i="5"/>
  <c r="AF18" i="5"/>
  <c r="AF17" i="5"/>
  <c r="AF14" i="5"/>
  <c r="AF13" i="5"/>
  <c r="AF10" i="5"/>
  <c r="AF9" i="5"/>
  <c r="AF23" i="12"/>
  <c r="AJ33" i="10"/>
  <c r="AF34" i="9"/>
  <c r="AF30" i="9"/>
  <c r="AF26" i="9"/>
  <c r="AF22" i="9"/>
  <c r="AF32" i="9"/>
  <c r="AF28" i="9"/>
  <c r="AF24" i="9"/>
  <c r="AF20" i="9"/>
  <c r="D5" i="10"/>
  <c r="AH5" i="10" s="1"/>
  <c r="AG5" i="10"/>
  <c r="AJ35" i="10"/>
  <c r="AJ31" i="10"/>
  <c r="AJ20" i="10"/>
  <c r="AJ18" i="10"/>
  <c r="AJ16" i="10"/>
  <c r="AJ14" i="10"/>
  <c r="AJ12" i="10"/>
  <c r="AJ10" i="10"/>
  <c r="AJ8" i="10"/>
  <c r="AJ5" i="10"/>
  <c r="AJ29" i="10"/>
  <c r="AJ27" i="10"/>
  <c r="AJ25" i="10"/>
  <c r="D30" i="12"/>
  <c r="AD30" i="12" s="1"/>
  <c r="AC30" i="12"/>
  <c r="D26" i="12"/>
  <c r="AD26" i="12" s="1"/>
  <c r="AC26" i="12"/>
  <c r="D28" i="12"/>
  <c r="AC28" i="12"/>
  <c r="D21" i="12"/>
  <c r="AD21" i="12" s="1"/>
  <c r="AC21" i="12"/>
  <c r="D19" i="12"/>
  <c r="AC19" i="12"/>
  <c r="D17" i="12"/>
  <c r="AD17" i="12" s="1"/>
  <c r="AC17" i="12"/>
  <c r="D15" i="12"/>
  <c r="AC15" i="12"/>
  <c r="D13" i="12"/>
  <c r="AD13" i="12" s="1"/>
  <c r="AC13" i="12"/>
  <c r="D11" i="12"/>
  <c r="AC11" i="12"/>
  <c r="D9" i="12"/>
  <c r="AD9" i="12" s="1"/>
  <c r="AC9" i="12"/>
  <c r="D7" i="12"/>
  <c r="AC7" i="12"/>
  <c r="D5" i="12"/>
  <c r="AD5" i="12" s="1"/>
  <c r="AC5" i="12"/>
  <c r="AF33" i="12"/>
  <c r="AF31" i="12"/>
  <c r="AF30" i="12"/>
  <c r="AF29" i="12"/>
  <c r="AF28" i="12"/>
  <c r="AF27" i="12"/>
  <c r="AF26" i="12"/>
  <c r="AF25" i="12"/>
  <c r="AB29" i="12"/>
  <c r="AB27" i="12"/>
  <c r="J13" i="11"/>
  <c r="I36" i="11"/>
  <c r="J36" i="11" s="1"/>
  <c r="G10" i="11"/>
  <c r="F36" i="11"/>
  <c r="G36" i="11" s="1"/>
  <c r="Z6" i="11"/>
  <c r="AF6" i="11" s="1"/>
  <c r="Y36" i="11"/>
  <c r="Z36" i="11" s="1"/>
  <c r="T10" i="11"/>
  <c r="AF10" i="11" s="1"/>
  <c r="S36" i="11"/>
  <c r="T36" i="11" s="1"/>
  <c r="D7" i="11"/>
  <c r="AC7" i="11"/>
  <c r="M6" i="11"/>
  <c r="L36" i="11"/>
  <c r="M36" i="11" s="1"/>
  <c r="D5" i="11"/>
  <c r="AD5" i="11" s="1"/>
  <c r="AC5" i="11"/>
  <c r="AF34" i="11"/>
  <c r="AF32" i="11"/>
  <c r="AF30" i="11"/>
  <c r="AF28" i="11"/>
  <c r="AF26" i="11"/>
  <c r="C36" i="11"/>
  <c r="D36" i="11" s="1"/>
  <c r="AF24" i="11"/>
  <c r="AF22" i="11"/>
  <c r="AF20" i="11"/>
  <c r="AF18" i="11"/>
  <c r="AF16" i="11"/>
  <c r="AF14" i="11"/>
  <c r="AF12" i="11"/>
  <c r="AF33" i="6"/>
  <c r="AF29" i="6"/>
  <c r="AF14" i="6"/>
  <c r="AF10" i="6"/>
  <c r="AF6" i="6"/>
  <c r="AF35" i="6"/>
  <c r="AF31" i="6"/>
  <c r="AF27" i="6"/>
  <c r="AF20" i="6"/>
  <c r="AF12" i="6"/>
  <c r="AF8" i="6"/>
  <c r="T18" i="14"/>
  <c r="T35" i="14" s="1"/>
  <c r="S35" i="14"/>
  <c r="M6" i="14"/>
  <c r="L35" i="14"/>
  <c r="J5" i="14"/>
  <c r="J35" i="14" s="1"/>
  <c r="I35" i="14"/>
  <c r="M35" i="14"/>
  <c r="Q17" i="14"/>
  <c r="Q35" i="14" s="1"/>
  <c r="P35" i="14"/>
  <c r="Z6" i="14"/>
  <c r="Z35" i="14" s="1"/>
  <c r="Y35" i="14"/>
  <c r="G6" i="14"/>
  <c r="G35" i="14" s="1"/>
  <c r="F35" i="14"/>
  <c r="W5" i="14"/>
  <c r="W35" i="14" s="1"/>
  <c r="V35" i="14"/>
  <c r="D5" i="14"/>
  <c r="C35" i="14"/>
  <c r="AC35" i="14" s="1"/>
  <c r="W6" i="1"/>
  <c r="W36" i="1" s="1"/>
  <c r="V36" i="1"/>
  <c r="J6" i="1"/>
  <c r="J36" i="1" s="1"/>
  <c r="I36" i="1"/>
  <c r="Z5" i="1"/>
  <c r="Z36" i="1" s="1"/>
  <c r="Y36" i="1"/>
  <c r="M5" i="1"/>
  <c r="M36" i="1" s="1"/>
  <c r="L36" i="1"/>
  <c r="W6" i="4"/>
  <c r="W34" i="4" s="1"/>
  <c r="V34" i="4"/>
  <c r="J6" i="4"/>
  <c r="J34" i="4" s="1"/>
  <c r="I34" i="4"/>
  <c r="Z5" i="4"/>
  <c r="Z34" i="4" s="1"/>
  <c r="Y34" i="4"/>
  <c r="M5" i="4"/>
  <c r="M34" i="4" s="1"/>
  <c r="L34" i="4"/>
  <c r="D35" i="6"/>
  <c r="AD35" i="6" s="1"/>
  <c r="AC35" i="6"/>
  <c r="D33" i="6"/>
  <c r="AD33" i="6" s="1"/>
  <c r="AC33" i="6"/>
  <c r="D31" i="6"/>
  <c r="AD31" i="6" s="1"/>
  <c r="AC31" i="6"/>
  <c r="D29" i="6"/>
  <c r="AD29" i="6" s="1"/>
  <c r="AC29" i="6"/>
  <c r="D27" i="6"/>
  <c r="AD27" i="6" s="1"/>
  <c r="AC27" i="6"/>
  <c r="D25" i="6"/>
  <c r="AD25" i="6" s="1"/>
  <c r="AC25" i="6"/>
  <c r="D23" i="6"/>
  <c r="AD23" i="6" s="1"/>
  <c r="AC23" i="6"/>
  <c r="Z22" i="6"/>
  <c r="Z36" i="6" s="1"/>
  <c r="Y36" i="6"/>
  <c r="M22" i="6"/>
  <c r="M36" i="6" s="1"/>
  <c r="L36" i="6"/>
  <c r="Q21" i="6"/>
  <c r="Q36" i="6" s="1"/>
  <c r="P36" i="6"/>
  <c r="D21" i="6"/>
  <c r="AC21" i="6"/>
  <c r="AD34" i="6"/>
  <c r="AD32" i="6"/>
  <c r="AD30" i="6"/>
  <c r="AD28" i="6"/>
  <c r="AD26" i="6"/>
  <c r="AF25" i="6"/>
  <c r="AD24" i="6"/>
  <c r="AF23" i="6"/>
  <c r="AD22" i="6"/>
  <c r="Q6" i="1"/>
  <c r="Q36" i="1" s="1"/>
  <c r="P36" i="1"/>
  <c r="D6" i="1"/>
  <c r="C36" i="1"/>
  <c r="T5" i="1"/>
  <c r="T36" i="1" s="1"/>
  <c r="S36" i="1"/>
  <c r="G5" i="1"/>
  <c r="G36" i="1" s="1"/>
  <c r="F36" i="1"/>
  <c r="Q6" i="4"/>
  <c r="Q34" i="4" s="1"/>
  <c r="P34" i="4"/>
  <c r="D6" i="4"/>
  <c r="C34" i="4"/>
  <c r="AC34" i="4" s="1"/>
  <c r="T5" i="4"/>
  <c r="T34" i="4" s="1"/>
  <c r="S34" i="4"/>
  <c r="G5" i="4"/>
  <c r="G34" i="4" s="1"/>
  <c r="F34" i="4"/>
  <c r="T22" i="6"/>
  <c r="S36" i="6"/>
  <c r="G22" i="6"/>
  <c r="G36" i="6" s="1"/>
  <c r="F36" i="6"/>
  <c r="W21" i="6"/>
  <c r="W36" i="6" s="1"/>
  <c r="V36" i="6"/>
  <c r="J21" i="6"/>
  <c r="J36" i="6" s="1"/>
  <c r="I36" i="6"/>
  <c r="AF34" i="6"/>
  <c r="AF32" i="6"/>
  <c r="AF30" i="6"/>
  <c r="AF28" i="6"/>
  <c r="AF26" i="6"/>
  <c r="AF24" i="6"/>
  <c r="C18" i="6"/>
  <c r="AB18" i="6"/>
  <c r="T6" i="7"/>
  <c r="T35" i="7" s="1"/>
  <c r="S35" i="7"/>
  <c r="G6" i="7"/>
  <c r="F35" i="7"/>
  <c r="W5" i="7"/>
  <c r="W35" i="7" s="1"/>
  <c r="V35" i="7"/>
  <c r="J5" i="7"/>
  <c r="J35" i="7" s="1"/>
  <c r="I35" i="7"/>
  <c r="D35" i="8"/>
  <c r="AD35" i="8" s="1"/>
  <c r="AC35" i="8"/>
  <c r="D33" i="8"/>
  <c r="AD33" i="8" s="1"/>
  <c r="AC33" i="8"/>
  <c r="D31" i="8"/>
  <c r="AD31" i="8" s="1"/>
  <c r="AC31" i="8"/>
  <c r="D29" i="8"/>
  <c r="AD29" i="8" s="1"/>
  <c r="AC29" i="8"/>
  <c r="D27" i="8"/>
  <c r="AD27" i="8" s="1"/>
  <c r="AC27" i="8"/>
  <c r="D25" i="8"/>
  <c r="AD25" i="8" s="1"/>
  <c r="AC25" i="8"/>
  <c r="D23" i="8"/>
  <c r="AD23" i="8" s="1"/>
  <c r="AC23" i="8"/>
  <c r="D21" i="8"/>
  <c r="AD21" i="8" s="1"/>
  <c r="AC21" i="8"/>
  <c r="D19" i="8"/>
  <c r="AD19" i="8" s="1"/>
  <c r="AC19" i="8"/>
  <c r="D17" i="8"/>
  <c r="AD17" i="8" s="1"/>
  <c r="AC17" i="8"/>
  <c r="D15" i="8"/>
  <c r="AD15" i="8" s="1"/>
  <c r="AC15" i="8"/>
  <c r="D13" i="8"/>
  <c r="AD13" i="8" s="1"/>
  <c r="AC13" i="8"/>
  <c r="D11" i="8"/>
  <c r="AD11" i="8" s="1"/>
  <c r="AC11" i="8"/>
  <c r="D9" i="8"/>
  <c r="AD9" i="8" s="1"/>
  <c r="AC9" i="8"/>
  <c r="D7" i="8"/>
  <c r="AD7" i="8" s="1"/>
  <c r="AC7" i="8"/>
  <c r="Q5" i="8"/>
  <c r="P36" i="8"/>
  <c r="Q36" i="8" s="1"/>
  <c r="D5" i="8"/>
  <c r="AD5" i="8" s="1"/>
  <c r="AC5" i="8"/>
  <c r="C36" i="8"/>
  <c r="D36" i="8" s="1"/>
  <c r="S35" i="9"/>
  <c r="T35" i="9" s="1"/>
  <c r="T19" i="9"/>
  <c r="AF19" i="9" s="1"/>
  <c r="F35" i="9"/>
  <c r="G35" i="9" s="1"/>
  <c r="G19" i="9"/>
  <c r="V35" i="9"/>
  <c r="W35" i="9" s="1"/>
  <c r="W18" i="9"/>
  <c r="I35" i="9"/>
  <c r="J35" i="9" s="1"/>
  <c r="J18" i="9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AF15" i="6"/>
  <c r="AF13" i="6"/>
  <c r="AF11" i="6"/>
  <c r="AF9" i="6"/>
  <c r="AF7" i="6"/>
  <c r="AF5" i="6"/>
  <c r="AF33" i="9"/>
  <c r="AF31" i="9"/>
  <c r="AF29" i="9"/>
  <c r="AF27" i="9"/>
  <c r="AF25" i="9"/>
  <c r="AF23" i="9"/>
  <c r="AF21" i="9"/>
  <c r="D19" i="6"/>
  <c r="AD19" i="6" s="1"/>
  <c r="AC19" i="6"/>
  <c r="D17" i="6"/>
  <c r="AD17" i="6" s="1"/>
  <c r="AC17" i="6"/>
  <c r="D14" i="6"/>
  <c r="AD14" i="6" s="1"/>
  <c r="AC14" i="6"/>
  <c r="D12" i="6"/>
  <c r="AD12" i="6" s="1"/>
  <c r="AC12" i="6"/>
  <c r="D10" i="6"/>
  <c r="AD10" i="6" s="1"/>
  <c r="AC10" i="6"/>
  <c r="D8" i="6"/>
  <c r="AD8" i="6" s="1"/>
  <c r="AC8" i="6"/>
  <c r="D6" i="6"/>
  <c r="AC6" i="6"/>
  <c r="Z6" i="7"/>
  <c r="Z35" i="7" s="1"/>
  <c r="Y35" i="7"/>
  <c r="M6" i="7"/>
  <c r="M35" i="7" s="1"/>
  <c r="L35" i="7"/>
  <c r="Q5" i="7"/>
  <c r="Q35" i="7" s="1"/>
  <c r="P35" i="7"/>
  <c r="D5" i="7"/>
  <c r="C35" i="7"/>
  <c r="D34" i="8"/>
  <c r="AD34" i="8" s="1"/>
  <c r="AC34" i="8"/>
  <c r="D32" i="8"/>
  <c r="AD32" i="8" s="1"/>
  <c r="AC32" i="8"/>
  <c r="D30" i="8"/>
  <c r="AD30" i="8" s="1"/>
  <c r="AC30" i="8"/>
  <c r="D28" i="8"/>
  <c r="AD28" i="8" s="1"/>
  <c r="AC28" i="8"/>
  <c r="D26" i="8"/>
  <c r="AD26" i="8" s="1"/>
  <c r="AC26" i="8"/>
  <c r="D24" i="8"/>
  <c r="AD24" i="8" s="1"/>
  <c r="AC24" i="8"/>
  <c r="D22" i="8"/>
  <c r="AD22" i="8" s="1"/>
  <c r="AC22" i="8"/>
  <c r="D20" i="8"/>
  <c r="AD20" i="8" s="1"/>
  <c r="AC20" i="8"/>
  <c r="D18" i="8"/>
  <c r="AD18" i="8" s="1"/>
  <c r="AC18" i="8"/>
  <c r="D16" i="8"/>
  <c r="AD16" i="8" s="1"/>
  <c r="AC16" i="8"/>
  <c r="D14" i="8"/>
  <c r="AD14" i="8" s="1"/>
  <c r="AC14" i="8"/>
  <c r="D12" i="8"/>
  <c r="AD12" i="8" s="1"/>
  <c r="AC12" i="8"/>
  <c r="D10" i="8"/>
  <c r="AD10" i="8" s="1"/>
  <c r="AC10" i="8"/>
  <c r="D8" i="8"/>
  <c r="AD8" i="8" s="1"/>
  <c r="AC8" i="8"/>
  <c r="D6" i="8"/>
  <c r="AD6" i="8" s="1"/>
  <c r="AC6" i="8"/>
  <c r="W5" i="8"/>
  <c r="V36" i="8"/>
  <c r="W36" i="8" s="1"/>
  <c r="J5" i="8"/>
  <c r="I36" i="8"/>
  <c r="J36" i="8" s="1"/>
  <c r="D34" i="9"/>
  <c r="AD34" i="9" s="1"/>
  <c r="AC34" i="9"/>
  <c r="D32" i="9"/>
  <c r="AD32" i="9" s="1"/>
  <c r="D30" i="9"/>
  <c r="AD30" i="9" s="1"/>
  <c r="AC30" i="9"/>
  <c r="D28" i="9"/>
  <c r="AD28" i="9" s="1"/>
  <c r="AC28" i="9"/>
  <c r="D26" i="9"/>
  <c r="AD26" i="9" s="1"/>
  <c r="AC26" i="9"/>
  <c r="D24" i="9"/>
  <c r="AD24" i="9" s="1"/>
  <c r="AC24" i="9"/>
  <c r="D22" i="9"/>
  <c r="AD22" i="9" s="1"/>
  <c r="AC22" i="9"/>
  <c r="D20" i="9"/>
  <c r="AD20" i="9" s="1"/>
  <c r="AC20" i="9"/>
  <c r="L35" i="9"/>
  <c r="M35" i="9" s="1"/>
  <c r="M19" i="9"/>
  <c r="P35" i="9"/>
  <c r="Q35" i="9" s="1"/>
  <c r="Q18" i="9"/>
  <c r="AF18" i="9" s="1"/>
  <c r="D18" i="9"/>
  <c r="AC18" i="9"/>
  <c r="Y35" i="9"/>
  <c r="Z35" i="9" s="1"/>
  <c r="Z17" i="9"/>
  <c r="AF17" i="9" s="1"/>
  <c r="AF19" i="6"/>
  <c r="AF17" i="6"/>
  <c r="AD16" i="6"/>
  <c r="AD15" i="6"/>
  <c r="AD11" i="6"/>
  <c r="AD9" i="6"/>
  <c r="AD7" i="6"/>
  <c r="AD5" i="6"/>
  <c r="G35" i="7"/>
  <c r="AD33" i="9"/>
  <c r="AD31" i="9"/>
  <c r="AD29" i="9"/>
  <c r="AD27" i="9"/>
  <c r="AD25" i="9"/>
  <c r="AD23" i="9"/>
  <c r="AD21" i="9"/>
  <c r="AD19" i="9"/>
  <c r="D16" i="9"/>
  <c r="AD16" i="9" s="1"/>
  <c r="AC16" i="9"/>
  <c r="D14" i="9"/>
  <c r="AD14" i="9" s="1"/>
  <c r="AC14" i="9"/>
  <c r="D12" i="9"/>
  <c r="AD12" i="9" s="1"/>
  <c r="AC12" i="9"/>
  <c r="D10" i="9"/>
  <c r="AD10" i="9" s="1"/>
  <c r="AC10" i="9"/>
  <c r="D8" i="9"/>
  <c r="AD8" i="9" s="1"/>
  <c r="AC8" i="9"/>
  <c r="D6" i="9"/>
  <c r="AD6" i="9" s="1"/>
  <c r="AC6" i="9"/>
  <c r="D34" i="10"/>
  <c r="AH34" i="10" s="1"/>
  <c r="AG34" i="10"/>
  <c r="D32" i="10"/>
  <c r="AH32" i="10" s="1"/>
  <c r="AG32" i="10"/>
  <c r="D29" i="10"/>
  <c r="AH29" i="10" s="1"/>
  <c r="AG29" i="10"/>
  <c r="D27" i="10"/>
  <c r="AH27" i="10" s="1"/>
  <c r="AG27" i="10"/>
  <c r="D25" i="10"/>
  <c r="AH25" i="10" s="1"/>
  <c r="AG25" i="10"/>
  <c r="D23" i="10"/>
  <c r="AH23" i="10" s="1"/>
  <c r="AG23" i="10"/>
  <c r="D21" i="10"/>
  <c r="AH21" i="10" s="1"/>
  <c r="AG21" i="10"/>
  <c r="D19" i="10"/>
  <c r="AH19" i="10" s="1"/>
  <c r="AG19" i="10"/>
  <c r="D17" i="10"/>
  <c r="AH17" i="10" s="1"/>
  <c r="AG17" i="10"/>
  <c r="D15" i="10"/>
  <c r="AH15" i="10" s="1"/>
  <c r="AG15" i="10"/>
  <c r="D13" i="10"/>
  <c r="AH13" i="10" s="1"/>
  <c r="AG13" i="10"/>
  <c r="D11" i="10"/>
  <c r="AH11" i="10" s="1"/>
  <c r="AG11" i="10"/>
  <c r="D9" i="10"/>
  <c r="AH9" i="10" s="1"/>
  <c r="AG9" i="10"/>
  <c r="Q7" i="10"/>
  <c r="AJ7" i="10" s="1"/>
  <c r="P36" i="10"/>
  <c r="Q36" i="10" s="1"/>
  <c r="D7" i="10"/>
  <c r="AG7" i="10"/>
  <c r="Z6" i="10"/>
  <c r="Y36" i="10"/>
  <c r="Z36" i="10" s="1"/>
  <c r="M6" i="10"/>
  <c r="L36" i="10"/>
  <c r="M36" i="10" s="1"/>
  <c r="AF16" i="9"/>
  <c r="AF14" i="9"/>
  <c r="AF12" i="9"/>
  <c r="AF10" i="9"/>
  <c r="AF8" i="9"/>
  <c r="AF6" i="9"/>
  <c r="AJ34" i="10"/>
  <c r="AJ32" i="10"/>
  <c r="AJ30" i="10"/>
  <c r="AH28" i="10"/>
  <c r="AH26" i="10"/>
  <c r="AH24" i="10"/>
  <c r="AJ23" i="10"/>
  <c r="AH22" i="10"/>
  <c r="AJ21" i="10"/>
  <c r="AH20" i="10"/>
  <c r="AJ19" i="10"/>
  <c r="AH18" i="10"/>
  <c r="AJ17" i="10"/>
  <c r="AH16" i="10"/>
  <c r="AJ15" i="10"/>
  <c r="AH14" i="10"/>
  <c r="AJ13" i="10"/>
  <c r="AH12" i="10"/>
  <c r="AJ11" i="10"/>
  <c r="AH10" i="10"/>
  <c r="AH8" i="10"/>
  <c r="AH6" i="10"/>
  <c r="C15" i="9"/>
  <c r="AB15" i="9"/>
  <c r="C13" i="9"/>
  <c r="AB13" i="9"/>
  <c r="C11" i="9"/>
  <c r="AB11" i="9"/>
  <c r="C9" i="9"/>
  <c r="AB9" i="9"/>
  <c r="C7" i="9"/>
  <c r="AB7" i="9"/>
  <c r="C5" i="9"/>
  <c r="AB5" i="9"/>
  <c r="C35" i="10"/>
  <c r="AF35" i="10"/>
  <c r="C33" i="10"/>
  <c r="AF33" i="10"/>
  <c r="C31" i="10"/>
  <c r="AF31" i="10"/>
  <c r="W7" i="10"/>
  <c r="V36" i="10"/>
  <c r="W36" i="10" s="1"/>
  <c r="J7" i="10"/>
  <c r="I36" i="10"/>
  <c r="J36" i="10" s="1"/>
  <c r="T6" i="10"/>
  <c r="S36" i="10"/>
  <c r="T36" i="10" s="1"/>
  <c r="G6" i="10"/>
  <c r="F36" i="10"/>
  <c r="G36" i="10" s="1"/>
  <c r="AD5" i="10"/>
  <c r="AC36" i="10"/>
  <c r="AD36" i="10" s="1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34" i="9"/>
  <c r="AC33" i="9"/>
  <c r="AB32" i="9"/>
  <c r="AC31" i="9"/>
  <c r="AB30" i="9"/>
  <c r="AC29" i="9"/>
  <c r="AB28" i="9"/>
  <c r="AC27" i="9"/>
  <c r="AB26" i="9"/>
  <c r="AC25" i="9"/>
  <c r="AB24" i="9"/>
  <c r="AC23" i="9"/>
  <c r="AB22" i="9"/>
  <c r="AC21" i="9"/>
  <c r="AB20" i="9"/>
  <c r="AC19" i="9"/>
  <c r="AB18" i="9"/>
  <c r="AJ28" i="10"/>
  <c r="AJ26" i="10"/>
  <c r="AJ24" i="10"/>
  <c r="AJ22" i="10"/>
  <c r="D8" i="11"/>
  <c r="AD8" i="11" s="1"/>
  <c r="AC8" i="11"/>
  <c r="D6" i="11"/>
  <c r="AD6" i="11" s="1"/>
  <c r="AC6" i="11"/>
  <c r="W22" i="12"/>
  <c r="V35" i="12"/>
  <c r="W35" i="12" s="1"/>
  <c r="J22" i="12"/>
  <c r="I35" i="12"/>
  <c r="J35" i="12" s="1"/>
  <c r="T21" i="12"/>
  <c r="S35" i="12"/>
  <c r="T35" i="12" s="1"/>
  <c r="AG30" i="10"/>
  <c r="AF29" i="10"/>
  <c r="AG28" i="10"/>
  <c r="AF27" i="10"/>
  <c r="AG26" i="10"/>
  <c r="AF25" i="10"/>
  <c r="AG24" i="10"/>
  <c r="AF23" i="10"/>
  <c r="AG22" i="10"/>
  <c r="AF21" i="10"/>
  <c r="AG20" i="10"/>
  <c r="AF19" i="10"/>
  <c r="AG18" i="10"/>
  <c r="AF17" i="10"/>
  <c r="AG16" i="10"/>
  <c r="AF15" i="10"/>
  <c r="AG14" i="10"/>
  <c r="AF13" i="10"/>
  <c r="AG12" i="10"/>
  <c r="AF11" i="10"/>
  <c r="AG10" i="10"/>
  <c r="AF9" i="10"/>
  <c r="AG8" i="10"/>
  <c r="AF7" i="10"/>
  <c r="AG6" i="10"/>
  <c r="V36" i="11"/>
  <c r="W36" i="11" s="1"/>
  <c r="P36" i="11"/>
  <c r="Q36" i="11" s="1"/>
  <c r="AF33" i="11"/>
  <c r="AF31" i="11"/>
  <c r="AF29" i="11"/>
  <c r="AF25" i="11"/>
  <c r="AF23" i="11"/>
  <c r="AF21" i="11"/>
  <c r="AF19" i="11"/>
  <c r="AF17" i="11"/>
  <c r="AF15" i="11"/>
  <c r="AF13" i="11"/>
  <c r="AF11" i="11"/>
  <c r="AF9" i="11"/>
  <c r="AF8" i="11"/>
  <c r="AF7" i="11"/>
  <c r="AF5" i="11"/>
  <c r="AF34" i="12"/>
  <c r="AF32" i="12"/>
  <c r="AD28" i="12"/>
  <c r="AF24" i="12"/>
  <c r="D34" i="11"/>
  <c r="AD34" i="11" s="1"/>
  <c r="AC34" i="11"/>
  <c r="D32" i="11"/>
  <c r="AD32" i="11" s="1"/>
  <c r="AC32" i="11"/>
  <c r="D30" i="11"/>
  <c r="AD30" i="11" s="1"/>
  <c r="AC30" i="11"/>
  <c r="D28" i="11"/>
  <c r="AD28" i="11" s="1"/>
  <c r="AC28" i="11"/>
  <c r="D26" i="11"/>
  <c r="AD26" i="11" s="1"/>
  <c r="AC26" i="11"/>
  <c r="D24" i="11"/>
  <c r="AD24" i="11" s="1"/>
  <c r="AC24" i="11"/>
  <c r="D22" i="11"/>
  <c r="AD22" i="11" s="1"/>
  <c r="AC22" i="11"/>
  <c r="D20" i="11"/>
  <c r="AD20" i="11" s="1"/>
  <c r="AC20" i="11"/>
  <c r="D18" i="11"/>
  <c r="AD18" i="11" s="1"/>
  <c r="AC18" i="11"/>
  <c r="D16" i="11"/>
  <c r="AD16" i="11" s="1"/>
  <c r="AC16" i="11"/>
  <c r="D14" i="11"/>
  <c r="AD14" i="11" s="1"/>
  <c r="AC14" i="11"/>
  <c r="D12" i="11"/>
  <c r="AD12" i="11" s="1"/>
  <c r="AC12" i="11"/>
  <c r="D10" i="11"/>
  <c r="AD10" i="11" s="1"/>
  <c r="AC10" i="11"/>
  <c r="D33" i="12"/>
  <c r="AD33" i="12" s="1"/>
  <c r="AC33" i="12"/>
  <c r="D31" i="12"/>
  <c r="AD31" i="12" s="1"/>
  <c r="AC31" i="12"/>
  <c r="D29" i="12"/>
  <c r="AD29" i="12" s="1"/>
  <c r="AC29" i="12"/>
  <c r="D27" i="12"/>
  <c r="AD27" i="12" s="1"/>
  <c r="AC27" i="12"/>
  <c r="G26" i="12"/>
  <c r="G35" i="12" s="1"/>
  <c r="F35" i="12"/>
  <c r="D25" i="12"/>
  <c r="AD25" i="12" s="1"/>
  <c r="AC25" i="12"/>
  <c r="M24" i="12"/>
  <c r="L35" i="12"/>
  <c r="M35" i="12" s="1"/>
  <c r="D24" i="12"/>
  <c r="AD24" i="12" s="1"/>
  <c r="AC24" i="12"/>
  <c r="D23" i="12"/>
  <c r="AD23" i="12" s="1"/>
  <c r="AC23" i="12"/>
  <c r="Q22" i="12"/>
  <c r="AF22" i="12" s="1"/>
  <c r="P35" i="12"/>
  <c r="Q35" i="12" s="1"/>
  <c r="D22" i="12"/>
  <c r="AC22" i="12"/>
  <c r="C35" i="12"/>
  <c r="Z21" i="12"/>
  <c r="Y35" i="12"/>
  <c r="Z35" i="12" s="1"/>
  <c r="AF35" i="11"/>
  <c r="AD33" i="11"/>
  <c r="AD31" i="11"/>
  <c r="AD29" i="11"/>
  <c r="AD27" i="11"/>
  <c r="AD25" i="11"/>
  <c r="AD23" i="11"/>
  <c r="AD21" i="11"/>
  <c r="AD19" i="11"/>
  <c r="AD17" i="11"/>
  <c r="AD15" i="11"/>
  <c r="AD13" i="11"/>
  <c r="AD11" i="11"/>
  <c r="AD9" i="11"/>
  <c r="AD7" i="11"/>
  <c r="AD34" i="12"/>
  <c r="AD32" i="12"/>
  <c r="D20" i="12"/>
  <c r="AD20" i="12" s="1"/>
  <c r="AC20" i="12"/>
  <c r="D18" i="12"/>
  <c r="AD18" i="12" s="1"/>
  <c r="AC18" i="12"/>
  <c r="D16" i="12"/>
  <c r="AD16" i="12" s="1"/>
  <c r="AC16" i="12"/>
  <c r="D14" i="12"/>
  <c r="AD14" i="12" s="1"/>
  <c r="AC14" i="12"/>
  <c r="D12" i="12"/>
  <c r="AD12" i="12" s="1"/>
  <c r="AC12" i="12"/>
  <c r="D10" i="12"/>
  <c r="AD10" i="12" s="1"/>
  <c r="AC10" i="12"/>
  <c r="D8" i="12"/>
  <c r="AD8" i="12" s="1"/>
  <c r="AC8" i="12"/>
  <c r="D6" i="12"/>
  <c r="AC6" i="12"/>
  <c r="D34" i="5"/>
  <c r="AD34" i="5" s="1"/>
  <c r="AC34" i="5"/>
  <c r="D32" i="5"/>
  <c r="AD32" i="5" s="1"/>
  <c r="AC32" i="5"/>
  <c r="T31" i="5"/>
  <c r="AF31" i="5" s="1"/>
  <c r="S36" i="5"/>
  <c r="G31" i="5"/>
  <c r="G36" i="5" s="1"/>
  <c r="F36" i="5"/>
  <c r="Q30" i="5"/>
  <c r="Q36" i="5" s="1"/>
  <c r="P36" i="5"/>
  <c r="D30" i="5"/>
  <c r="AC30" i="5"/>
  <c r="C36" i="5"/>
  <c r="Z29" i="5"/>
  <c r="Y36" i="5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35" i="5"/>
  <c r="AF34" i="5"/>
  <c r="AF33" i="5"/>
  <c r="AF32" i="5"/>
  <c r="M31" i="5"/>
  <c r="L36" i="5"/>
  <c r="W30" i="5"/>
  <c r="W36" i="5" s="1"/>
  <c r="V36" i="5"/>
  <c r="J30" i="5"/>
  <c r="J36" i="5" s="1"/>
  <c r="I36" i="5"/>
  <c r="AC35" i="11"/>
  <c r="AB34" i="11"/>
  <c r="AC33" i="11"/>
  <c r="AB32" i="11"/>
  <c r="AC31" i="11"/>
  <c r="AB30" i="11"/>
  <c r="AC29" i="11"/>
  <c r="AB28" i="11"/>
  <c r="AC27" i="11"/>
  <c r="AB26" i="11"/>
  <c r="AC25" i="11"/>
  <c r="AB24" i="11"/>
  <c r="AC23" i="11"/>
  <c r="AB22" i="11"/>
  <c r="AC21" i="11"/>
  <c r="AB20" i="11"/>
  <c r="AC19" i="11"/>
  <c r="AB18" i="11"/>
  <c r="AC17" i="11"/>
  <c r="AB16" i="11"/>
  <c r="AC15" i="11"/>
  <c r="AB14" i="11"/>
  <c r="AC13" i="11"/>
  <c r="AB12" i="11"/>
  <c r="AC11" i="11"/>
  <c r="AB10" i="11"/>
  <c r="AC9" i="11"/>
  <c r="AC34" i="12"/>
  <c r="AB33" i="12"/>
  <c r="AC32" i="12"/>
  <c r="AB31" i="12"/>
  <c r="AD19" i="12"/>
  <c r="AD15" i="12"/>
  <c r="AD11" i="12"/>
  <c r="AD7" i="12"/>
  <c r="AD35" i="5"/>
  <c r="AD33" i="5"/>
  <c r="AD31" i="5"/>
  <c r="M36" i="5"/>
  <c r="D27" i="5"/>
  <c r="AD27" i="5" s="1"/>
  <c r="AC27" i="5"/>
  <c r="D25" i="5"/>
  <c r="AD25" i="5" s="1"/>
  <c r="AC25" i="5"/>
  <c r="D23" i="5"/>
  <c r="AD23" i="5" s="1"/>
  <c r="AC23" i="5"/>
  <c r="D21" i="5"/>
  <c r="AD21" i="5" s="1"/>
  <c r="AC21" i="5"/>
  <c r="D19" i="5"/>
  <c r="AD19" i="5" s="1"/>
  <c r="AC19" i="5"/>
  <c r="D5" i="5"/>
  <c r="AC5" i="5"/>
  <c r="AF27" i="5"/>
  <c r="AD26" i="5"/>
  <c r="AF25" i="5"/>
  <c r="AD24" i="5"/>
  <c r="AF23" i="5"/>
  <c r="AD22" i="5"/>
  <c r="AF21" i="5"/>
  <c r="AF20" i="5"/>
  <c r="AF19" i="5"/>
  <c r="AD18" i="5"/>
  <c r="AD16" i="5"/>
  <c r="AD14" i="5"/>
  <c r="AD12" i="5"/>
  <c r="AD10" i="5"/>
  <c r="AD8" i="5"/>
  <c r="AD6" i="5"/>
  <c r="AF5" i="5"/>
  <c r="D17" i="5"/>
  <c r="AD17" i="5" s="1"/>
  <c r="AC17" i="5"/>
  <c r="D15" i="5"/>
  <c r="AD15" i="5" s="1"/>
  <c r="AC15" i="5"/>
  <c r="D13" i="5"/>
  <c r="AD13" i="5" s="1"/>
  <c r="AC13" i="5"/>
  <c r="D11" i="5"/>
  <c r="AD11" i="5" s="1"/>
  <c r="AC11" i="5"/>
  <c r="D9" i="5"/>
  <c r="AD9" i="5" s="1"/>
  <c r="AC9" i="5"/>
  <c r="D7" i="5"/>
  <c r="AD7" i="5" s="1"/>
  <c r="AC7" i="5"/>
  <c r="AF28" i="5"/>
  <c r="AD20" i="5"/>
  <c r="AF6" i="5"/>
  <c r="AC28" i="5"/>
  <c r="AB27" i="5"/>
  <c r="AC26" i="5"/>
  <c r="AB25" i="5"/>
  <c r="AC24" i="5"/>
  <c r="AB23" i="5"/>
  <c r="AC22" i="5"/>
  <c r="AB21" i="5"/>
  <c r="AC18" i="5"/>
  <c r="AB5" i="5"/>
  <c r="C36" i="10" l="1"/>
  <c r="D36" i="10" s="1"/>
  <c r="AD30" i="5"/>
  <c r="AD22" i="12"/>
  <c r="AH7" i="10"/>
  <c r="AC35" i="7"/>
  <c r="AD21" i="6"/>
  <c r="AF22" i="6"/>
  <c r="D8" i="13"/>
  <c r="AD8" i="13" s="1"/>
  <c r="D35" i="14"/>
  <c r="AD35" i="14" s="1"/>
  <c r="AD5" i="14"/>
  <c r="D5" i="13"/>
  <c r="AC5" i="13"/>
  <c r="D6" i="13"/>
  <c r="AD6" i="13" s="1"/>
  <c r="AC6" i="13"/>
  <c r="D7" i="13"/>
  <c r="AD7" i="13" s="1"/>
  <c r="AC7" i="13"/>
  <c r="D9" i="13"/>
  <c r="AD9" i="13" s="1"/>
  <c r="AC9" i="13"/>
  <c r="D10" i="13"/>
  <c r="AD10" i="13" s="1"/>
  <c r="AC10" i="13"/>
  <c r="D11" i="13"/>
  <c r="AD11" i="13" s="1"/>
  <c r="AC11" i="13"/>
  <c r="D12" i="13"/>
  <c r="AD12" i="13" s="1"/>
  <c r="AC12" i="13"/>
  <c r="D13" i="13"/>
  <c r="AD13" i="13" s="1"/>
  <c r="AC13" i="13"/>
  <c r="D14" i="13"/>
  <c r="AD14" i="13" s="1"/>
  <c r="AC14" i="13"/>
  <c r="D15" i="13"/>
  <c r="AD15" i="13" s="1"/>
  <c r="AC15" i="13"/>
  <c r="D16" i="13"/>
  <c r="AD16" i="13" s="1"/>
  <c r="AC16" i="13"/>
  <c r="D17" i="13"/>
  <c r="AD17" i="13" s="1"/>
  <c r="AC17" i="13"/>
  <c r="D18" i="13"/>
  <c r="AD18" i="13" s="1"/>
  <c r="AC18" i="13"/>
  <c r="D19" i="13"/>
  <c r="AD19" i="13" s="1"/>
  <c r="AC19" i="13"/>
  <c r="D20" i="13"/>
  <c r="AD20" i="13" s="1"/>
  <c r="AC20" i="13"/>
  <c r="D21" i="13"/>
  <c r="AD21" i="13" s="1"/>
  <c r="AC21" i="13"/>
  <c r="D22" i="13"/>
  <c r="AD22" i="13" s="1"/>
  <c r="AC22" i="13"/>
  <c r="D23" i="13"/>
  <c r="AD23" i="13" s="1"/>
  <c r="AC23" i="13"/>
  <c r="D24" i="13"/>
  <c r="AD24" i="13" s="1"/>
  <c r="AC24" i="13"/>
  <c r="D25" i="13"/>
  <c r="AD25" i="13" s="1"/>
  <c r="AC25" i="13"/>
  <c r="D26" i="13"/>
  <c r="AD26" i="13" s="1"/>
  <c r="AC26" i="13"/>
  <c r="D27" i="13"/>
  <c r="AD27" i="13" s="1"/>
  <c r="AC27" i="13"/>
  <c r="D28" i="13"/>
  <c r="AD28" i="13" s="1"/>
  <c r="AC28" i="13"/>
  <c r="D29" i="13"/>
  <c r="AD29" i="13" s="1"/>
  <c r="AC29" i="13"/>
  <c r="D30" i="13"/>
  <c r="AD30" i="13" s="1"/>
  <c r="AC30" i="13"/>
  <c r="D31" i="13"/>
  <c r="AD31" i="13" s="1"/>
  <c r="AC31" i="13"/>
  <c r="D32" i="13"/>
  <c r="AD32" i="13" s="1"/>
  <c r="AC32" i="13"/>
  <c r="D33" i="13"/>
  <c r="AD33" i="13" s="1"/>
  <c r="AC33" i="13"/>
  <c r="D34" i="13"/>
  <c r="AD34" i="13" s="1"/>
  <c r="AC34" i="13"/>
  <c r="D35" i="13"/>
  <c r="AD35" i="13" s="1"/>
  <c r="AC35" i="13"/>
  <c r="J36" i="13"/>
  <c r="Q36" i="13"/>
  <c r="W36" i="13"/>
  <c r="AD17" i="14"/>
  <c r="G36" i="13"/>
  <c r="T36" i="13"/>
  <c r="AC36" i="1"/>
  <c r="AD36" i="1" s="1"/>
  <c r="D35" i="7"/>
  <c r="AD35" i="7" s="1"/>
  <c r="AD5" i="7"/>
  <c r="D34" i="4"/>
  <c r="AD34" i="4" s="1"/>
  <c r="AD6" i="4"/>
  <c r="D36" i="1"/>
  <c r="AD6" i="1"/>
  <c r="AJ6" i="10"/>
  <c r="AJ36" i="10" s="1"/>
  <c r="AC36" i="5"/>
  <c r="AD36" i="5" s="1"/>
  <c r="AD18" i="9"/>
  <c r="AD5" i="5"/>
  <c r="D36" i="5"/>
  <c r="AF29" i="5"/>
  <c r="Z36" i="5"/>
  <c r="AG31" i="10"/>
  <c r="D31" i="10"/>
  <c r="AH31" i="10" s="1"/>
  <c r="AG33" i="10"/>
  <c r="D33" i="10"/>
  <c r="AH33" i="10" s="1"/>
  <c r="AG35" i="10"/>
  <c r="D35" i="10"/>
  <c r="AH35" i="10" s="1"/>
  <c r="AC5" i="9"/>
  <c r="C35" i="9"/>
  <c r="D35" i="9" s="1"/>
  <c r="D5" i="9"/>
  <c r="AD5" i="9" s="1"/>
  <c r="AC7" i="9"/>
  <c r="D7" i="9"/>
  <c r="AD7" i="9" s="1"/>
  <c r="AC9" i="9"/>
  <c r="D9" i="9"/>
  <c r="AD9" i="9" s="1"/>
  <c r="AC11" i="9"/>
  <c r="D11" i="9"/>
  <c r="AD11" i="9" s="1"/>
  <c r="AC13" i="9"/>
  <c r="D13" i="9"/>
  <c r="AD13" i="9" s="1"/>
  <c r="AC15" i="9"/>
  <c r="D15" i="9"/>
  <c r="AD15" i="9" s="1"/>
  <c r="D18" i="6"/>
  <c r="AD18" i="6" s="1"/>
  <c r="AC18" i="6"/>
  <c r="AC36" i="6" s="1"/>
  <c r="AD36" i="6" s="1"/>
  <c r="C36" i="6"/>
  <c r="T36" i="5"/>
  <c r="AC35" i="12"/>
  <c r="AF35" i="12"/>
  <c r="AC36" i="11"/>
  <c r="AD36" i="11" s="1"/>
  <c r="T36" i="6"/>
  <c r="AD6" i="12"/>
  <c r="D35" i="12"/>
  <c r="AD35" i="12" s="1"/>
  <c r="AD6" i="6"/>
  <c r="AF30" i="5"/>
  <c r="AF36" i="5" s="1"/>
  <c r="AF36" i="11"/>
  <c r="AG36" i="10"/>
  <c r="AH36" i="10" s="1"/>
  <c r="AF21" i="12"/>
  <c r="AF35" i="9"/>
  <c r="AC36" i="8"/>
  <c r="AD36" i="8" s="1"/>
  <c r="AF21" i="6"/>
  <c r="AF36" i="6" l="1"/>
  <c r="AD5" i="13"/>
  <c r="AD36" i="13" s="1"/>
  <c r="D36" i="13"/>
  <c r="D36" i="6"/>
  <c r="AC36" i="13"/>
  <c r="AC35" i="9"/>
  <c r="AD35" i="9" s="1"/>
</calcChain>
</file>

<file path=xl/sharedStrings.xml><?xml version="1.0" encoding="utf-8"?>
<sst xmlns="http://schemas.openxmlformats.org/spreadsheetml/2006/main" count="448" uniqueCount="14">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</sst>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4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2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3" fillId="2" borderId="0" xfId="0" applyFont="1" applyFill="1" applyAlignment="1"/>
    <xf numFmtId="0" fontId="0" fillId="2" borderId="0" xfId="0" applyFill="1" applyAlignment="1"/>
    <xf numFmtId="2" fontId="0" fillId="0" borderId="0" xfId="0" applyNumberFormat="1" applyFill="1" applyAlignment="1"/>
    <xf numFmtId="2" fontId="0" fillId="0" borderId="18" xfId="0" applyNumberFormat="1" applyFill="1" applyBorder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0/November%202010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0/December%202010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January%202011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February%202011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March%202011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April%202011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May%202011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June%202011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July%202011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August%202011%20Shift%20Shee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September%202011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1/October%202011%20Shift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14059000</v>
          </cell>
          <cell r="D4">
            <v>0</v>
          </cell>
          <cell r="E4">
            <v>0</v>
          </cell>
          <cell r="F4">
            <v>0</v>
          </cell>
          <cell r="H4">
            <v>13775999.999999998</v>
          </cell>
          <cell r="I4">
            <v>0</v>
          </cell>
        </row>
        <row r="5">
          <cell r="C5">
            <v>13029000</v>
          </cell>
          <cell r="D5">
            <v>2000</v>
          </cell>
          <cell r="E5">
            <v>0</v>
          </cell>
          <cell r="F5">
            <v>0</v>
          </cell>
          <cell r="H5">
            <v>12692000.000000002</v>
          </cell>
          <cell r="I5">
            <v>0</v>
          </cell>
        </row>
        <row r="6">
          <cell r="C6">
            <v>11747000</v>
          </cell>
          <cell r="D6">
            <v>0</v>
          </cell>
          <cell r="E6">
            <v>0</v>
          </cell>
          <cell r="F6">
            <v>0</v>
          </cell>
          <cell r="H6">
            <v>11521999.999999991</v>
          </cell>
          <cell r="I6">
            <v>0</v>
          </cell>
        </row>
        <row r="7">
          <cell r="C7">
            <v>13223000</v>
          </cell>
          <cell r="D7">
            <v>0</v>
          </cell>
          <cell r="E7">
            <v>0</v>
          </cell>
          <cell r="F7">
            <v>0</v>
          </cell>
          <cell r="H7">
            <v>12998000.000000006</v>
          </cell>
          <cell r="I7">
            <v>0</v>
          </cell>
        </row>
        <row r="8">
          <cell r="C8">
            <v>11754000</v>
          </cell>
          <cell r="D8">
            <v>0</v>
          </cell>
          <cell r="E8">
            <v>0</v>
          </cell>
          <cell r="F8">
            <v>0</v>
          </cell>
          <cell r="H8">
            <v>11471282.999999998</v>
          </cell>
          <cell r="I8">
            <v>0</v>
          </cell>
        </row>
        <row r="9">
          <cell r="C9">
            <v>12423000</v>
          </cell>
          <cell r="D9">
            <v>1000</v>
          </cell>
          <cell r="E9">
            <v>0</v>
          </cell>
          <cell r="F9">
            <v>0</v>
          </cell>
          <cell r="H9">
            <v>12142999.999999994</v>
          </cell>
          <cell r="I9">
            <v>0</v>
          </cell>
        </row>
        <row r="10">
          <cell r="C10">
            <v>13984000</v>
          </cell>
          <cell r="D10">
            <v>0</v>
          </cell>
          <cell r="E10">
            <v>0</v>
          </cell>
          <cell r="F10">
            <v>0</v>
          </cell>
          <cell r="H10">
            <v>13702000.000000004</v>
          </cell>
          <cell r="I10">
            <v>0</v>
          </cell>
        </row>
        <row r="11">
          <cell r="C11">
            <v>13881000</v>
          </cell>
          <cell r="D11">
            <v>0</v>
          </cell>
          <cell r="E11">
            <v>0</v>
          </cell>
          <cell r="F11">
            <v>0</v>
          </cell>
          <cell r="H11">
            <v>13656000.000000006</v>
          </cell>
          <cell r="I11">
            <v>0</v>
          </cell>
        </row>
        <row r="12">
          <cell r="C12">
            <v>13220000</v>
          </cell>
          <cell r="D12">
            <v>6000</v>
          </cell>
          <cell r="E12">
            <v>0</v>
          </cell>
          <cell r="F12">
            <v>0</v>
          </cell>
          <cell r="H12">
            <v>12942999.999999998</v>
          </cell>
          <cell r="I12">
            <v>0</v>
          </cell>
        </row>
        <row r="13">
          <cell r="C13">
            <v>10297000</v>
          </cell>
          <cell r="D13">
            <v>0</v>
          </cell>
          <cell r="E13">
            <v>0</v>
          </cell>
          <cell r="F13">
            <v>0</v>
          </cell>
          <cell r="H13">
            <v>10012000.000000004</v>
          </cell>
          <cell r="I13">
            <v>0</v>
          </cell>
        </row>
        <row r="14">
          <cell r="C14">
            <v>10693000</v>
          </cell>
          <cell r="D14">
            <v>0</v>
          </cell>
          <cell r="E14">
            <v>0</v>
          </cell>
          <cell r="F14">
            <v>0</v>
          </cell>
          <cell r="H14">
            <v>10411999.999999994</v>
          </cell>
          <cell r="I14">
            <v>0</v>
          </cell>
        </row>
        <row r="15">
          <cell r="C15">
            <v>11365000</v>
          </cell>
          <cell r="D15">
            <v>0</v>
          </cell>
          <cell r="E15">
            <v>0</v>
          </cell>
          <cell r="F15">
            <v>0</v>
          </cell>
          <cell r="H15">
            <v>11136000</v>
          </cell>
          <cell r="I15">
            <v>0</v>
          </cell>
        </row>
        <row r="16">
          <cell r="C16">
            <v>11978000</v>
          </cell>
          <cell r="D16">
            <v>0</v>
          </cell>
          <cell r="E16">
            <v>0</v>
          </cell>
          <cell r="F16">
            <v>0</v>
          </cell>
          <cell r="H16">
            <v>11723000.000000004</v>
          </cell>
          <cell r="I16">
            <v>0</v>
          </cell>
        </row>
        <row r="17">
          <cell r="C17">
            <v>12137000</v>
          </cell>
          <cell r="D17">
            <v>13000</v>
          </cell>
          <cell r="E17">
            <v>0</v>
          </cell>
          <cell r="F17">
            <v>0</v>
          </cell>
          <cell r="H17">
            <v>11832999.999999993</v>
          </cell>
          <cell r="I17">
            <v>0</v>
          </cell>
        </row>
        <row r="18">
          <cell r="C18">
            <v>12450000</v>
          </cell>
          <cell r="D18">
            <v>0</v>
          </cell>
          <cell r="E18">
            <v>0</v>
          </cell>
          <cell r="F18">
            <v>0</v>
          </cell>
          <cell r="H18">
            <v>12221000</v>
          </cell>
          <cell r="I18">
            <v>0</v>
          </cell>
        </row>
        <row r="19">
          <cell r="C19">
            <v>12247000</v>
          </cell>
          <cell r="D19">
            <v>0</v>
          </cell>
          <cell r="E19">
            <v>0</v>
          </cell>
          <cell r="F19">
            <v>0</v>
          </cell>
          <cell r="H19">
            <v>11905000.000000002</v>
          </cell>
          <cell r="I19">
            <v>0</v>
          </cell>
        </row>
        <row r="20">
          <cell r="C20">
            <v>12085000</v>
          </cell>
          <cell r="D20">
            <v>0</v>
          </cell>
          <cell r="E20">
            <v>0</v>
          </cell>
          <cell r="F20">
            <v>0</v>
          </cell>
          <cell r="H20">
            <v>11914000.000000007</v>
          </cell>
          <cell r="I20">
            <v>0</v>
          </cell>
        </row>
        <row r="21">
          <cell r="C21">
            <v>10379000</v>
          </cell>
          <cell r="D21">
            <v>0</v>
          </cell>
          <cell r="E21">
            <v>0</v>
          </cell>
          <cell r="F21">
            <v>0</v>
          </cell>
          <cell r="H21">
            <v>10094999.999999994</v>
          </cell>
          <cell r="I21">
            <v>0</v>
          </cell>
        </row>
        <row r="22">
          <cell r="C22">
            <v>11891000</v>
          </cell>
          <cell r="D22">
            <v>0</v>
          </cell>
          <cell r="E22">
            <v>0</v>
          </cell>
          <cell r="F22">
            <v>0</v>
          </cell>
          <cell r="H22">
            <v>11606000.000000004</v>
          </cell>
          <cell r="I22">
            <v>0</v>
          </cell>
        </row>
        <row r="23">
          <cell r="C23">
            <v>11984000</v>
          </cell>
          <cell r="D23">
            <v>0</v>
          </cell>
          <cell r="E23">
            <v>0</v>
          </cell>
          <cell r="F23">
            <v>0</v>
          </cell>
          <cell r="H23">
            <v>11697999.999999998</v>
          </cell>
          <cell r="I23">
            <v>0</v>
          </cell>
        </row>
        <row r="24">
          <cell r="C24">
            <v>12180000</v>
          </cell>
          <cell r="D24">
            <v>0</v>
          </cell>
          <cell r="E24">
            <v>0</v>
          </cell>
          <cell r="F24">
            <v>0</v>
          </cell>
          <cell r="H24">
            <v>11951999.999999991</v>
          </cell>
          <cell r="I24">
            <v>0</v>
          </cell>
        </row>
        <row r="25">
          <cell r="C25">
            <v>13048000</v>
          </cell>
          <cell r="D25">
            <v>0</v>
          </cell>
          <cell r="E25">
            <v>0</v>
          </cell>
          <cell r="F25">
            <v>0</v>
          </cell>
          <cell r="H25">
            <v>12761000.000000007</v>
          </cell>
          <cell r="I25">
            <v>0</v>
          </cell>
        </row>
        <row r="26">
          <cell r="C26">
            <v>12957000</v>
          </cell>
          <cell r="D26">
            <v>0</v>
          </cell>
          <cell r="E26">
            <v>0</v>
          </cell>
          <cell r="F26">
            <v>0</v>
          </cell>
          <cell r="H26">
            <v>12728000</v>
          </cell>
          <cell r="I26">
            <v>0</v>
          </cell>
        </row>
        <row r="27">
          <cell r="C27">
            <v>11975000</v>
          </cell>
          <cell r="D27">
            <v>0</v>
          </cell>
          <cell r="E27">
            <v>0</v>
          </cell>
          <cell r="F27">
            <v>0</v>
          </cell>
          <cell r="H27">
            <v>11630999.999999991</v>
          </cell>
          <cell r="I27">
            <v>0</v>
          </cell>
        </row>
        <row r="28">
          <cell r="C28">
            <v>11929000</v>
          </cell>
          <cell r="D28">
            <v>0</v>
          </cell>
          <cell r="E28">
            <v>0</v>
          </cell>
          <cell r="F28">
            <v>0</v>
          </cell>
          <cell r="H28">
            <v>11642000.000000007</v>
          </cell>
          <cell r="I28">
            <v>0</v>
          </cell>
        </row>
        <row r="29">
          <cell r="C29">
            <v>13157000</v>
          </cell>
          <cell r="D29">
            <v>1000</v>
          </cell>
          <cell r="E29">
            <v>0</v>
          </cell>
          <cell r="F29">
            <v>0</v>
          </cell>
          <cell r="H29">
            <v>12984999.999999998</v>
          </cell>
          <cell r="I29">
            <v>0</v>
          </cell>
        </row>
        <row r="30">
          <cell r="C30">
            <v>11958000</v>
          </cell>
          <cell r="D30">
            <v>0</v>
          </cell>
          <cell r="E30">
            <v>0</v>
          </cell>
          <cell r="F30">
            <v>0</v>
          </cell>
          <cell r="H30">
            <v>11670999.999999994</v>
          </cell>
          <cell r="I30">
            <v>0</v>
          </cell>
        </row>
        <row r="31">
          <cell r="C31">
            <v>12026000</v>
          </cell>
          <cell r="D31">
            <v>0</v>
          </cell>
          <cell r="E31">
            <v>0</v>
          </cell>
          <cell r="F31">
            <v>0</v>
          </cell>
          <cell r="H31">
            <v>11738000.000000004</v>
          </cell>
          <cell r="I31">
            <v>0</v>
          </cell>
        </row>
        <row r="32">
          <cell r="C32">
            <v>13191000</v>
          </cell>
          <cell r="D32">
            <v>0</v>
          </cell>
          <cell r="E32">
            <v>0</v>
          </cell>
          <cell r="F32">
            <v>0</v>
          </cell>
          <cell r="H32">
            <v>12904999.999999998</v>
          </cell>
          <cell r="I32">
            <v>0</v>
          </cell>
        </row>
        <row r="33">
          <cell r="C33">
            <v>11618000</v>
          </cell>
          <cell r="D33">
            <v>0</v>
          </cell>
          <cell r="E33">
            <v>0</v>
          </cell>
          <cell r="F33">
            <v>0</v>
          </cell>
          <cell r="H33">
            <v>11333000.000000004</v>
          </cell>
          <cell r="I33">
            <v>0</v>
          </cell>
        </row>
        <row r="252">
          <cell r="D252">
            <v>283000.00000000122</v>
          </cell>
          <cell r="H252">
            <v>0</v>
          </cell>
        </row>
        <row r="253">
          <cell r="D253">
            <v>338999.99999999866</v>
          </cell>
          <cell r="H253">
            <v>84835</v>
          </cell>
        </row>
        <row r="254">
          <cell r="D254">
            <v>225000.00000000853</v>
          </cell>
          <cell r="H254">
            <v>39705</v>
          </cell>
        </row>
        <row r="255">
          <cell r="D255">
            <v>224999.99999999432</v>
          </cell>
          <cell r="H255">
            <v>81754</v>
          </cell>
        </row>
        <row r="256">
          <cell r="D256">
            <v>283000.00000000122</v>
          </cell>
          <cell r="H256">
            <v>0</v>
          </cell>
        </row>
        <row r="257">
          <cell r="D257">
            <v>281000.00000000594</v>
          </cell>
          <cell r="H257">
            <v>0</v>
          </cell>
        </row>
        <row r="258">
          <cell r="D258">
            <v>281999.99999999645</v>
          </cell>
          <cell r="H258">
            <v>0</v>
          </cell>
        </row>
        <row r="259">
          <cell r="D259">
            <v>224999.99999999432</v>
          </cell>
          <cell r="H259">
            <v>0</v>
          </cell>
        </row>
        <row r="260">
          <cell r="D260">
            <v>283000.00000000122</v>
          </cell>
          <cell r="H260">
            <v>0</v>
          </cell>
        </row>
        <row r="261">
          <cell r="D261">
            <v>284999.99999999657</v>
          </cell>
          <cell r="H261">
            <v>0</v>
          </cell>
        </row>
        <row r="262">
          <cell r="D262">
            <v>281000.00000000594</v>
          </cell>
          <cell r="H262">
            <v>0</v>
          </cell>
        </row>
        <row r="263">
          <cell r="D263">
            <v>228999.99999999921</v>
          </cell>
          <cell r="H263">
            <v>0</v>
          </cell>
        </row>
        <row r="264">
          <cell r="D264">
            <v>254999.99999999546</v>
          </cell>
          <cell r="H264">
            <v>0</v>
          </cell>
        </row>
        <row r="265">
          <cell r="D265">
            <v>317000.00000000728</v>
          </cell>
          <cell r="H265">
            <v>0</v>
          </cell>
        </row>
        <row r="266">
          <cell r="D266">
            <v>228999.99999999921</v>
          </cell>
          <cell r="H266">
            <v>0</v>
          </cell>
        </row>
        <row r="267">
          <cell r="D267">
            <v>341999.99999999878</v>
          </cell>
          <cell r="H267">
            <v>0</v>
          </cell>
        </row>
        <row r="268">
          <cell r="D268">
            <v>170999.99999999226</v>
          </cell>
          <cell r="H268">
            <v>0</v>
          </cell>
        </row>
        <row r="269">
          <cell r="D269">
            <v>284000.00000000605</v>
          </cell>
          <cell r="H269">
            <v>0</v>
          </cell>
        </row>
        <row r="270">
          <cell r="D270">
            <v>284999.99999999657</v>
          </cell>
          <cell r="H270">
            <v>0</v>
          </cell>
        </row>
        <row r="271">
          <cell r="D271">
            <v>286000.00000000134</v>
          </cell>
          <cell r="H271">
            <v>0</v>
          </cell>
        </row>
        <row r="272">
          <cell r="D272">
            <v>228000.00000000864</v>
          </cell>
          <cell r="H272">
            <v>0</v>
          </cell>
        </row>
        <row r="273">
          <cell r="D273">
            <v>286999.99999999191</v>
          </cell>
          <cell r="H273">
            <v>0</v>
          </cell>
        </row>
        <row r="274">
          <cell r="D274">
            <v>228999.99999999921</v>
          </cell>
          <cell r="H274">
            <v>0</v>
          </cell>
        </row>
        <row r="275">
          <cell r="D275">
            <v>344000.00000000832</v>
          </cell>
          <cell r="H275">
            <v>0</v>
          </cell>
        </row>
        <row r="276">
          <cell r="D276">
            <v>286999.99999999191</v>
          </cell>
          <cell r="H276">
            <v>0</v>
          </cell>
        </row>
        <row r="277">
          <cell r="D277">
            <v>173000.0000000018</v>
          </cell>
          <cell r="H277">
            <v>0</v>
          </cell>
        </row>
        <row r="278">
          <cell r="D278">
            <v>287000.00000000611</v>
          </cell>
          <cell r="H278">
            <v>0</v>
          </cell>
        </row>
        <row r="279">
          <cell r="D279">
            <v>287999.99999999668</v>
          </cell>
          <cell r="H279">
            <v>0</v>
          </cell>
        </row>
        <row r="280">
          <cell r="D280">
            <v>286000.00000000134</v>
          </cell>
          <cell r="H280">
            <v>0</v>
          </cell>
        </row>
        <row r="281">
          <cell r="D281">
            <v>284999.99999999657</v>
          </cell>
          <cell r="H28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10814000</v>
          </cell>
          <cell r="D4">
            <v>0</v>
          </cell>
          <cell r="E4">
            <v>0</v>
          </cell>
          <cell r="F4">
            <v>0</v>
          </cell>
          <cell r="H4">
            <v>10642000.000000004</v>
          </cell>
          <cell r="I4">
            <v>0</v>
          </cell>
        </row>
        <row r="5">
          <cell r="C5">
            <v>11051000</v>
          </cell>
          <cell r="D5">
            <v>0</v>
          </cell>
          <cell r="E5">
            <v>0</v>
          </cell>
          <cell r="F5">
            <v>0</v>
          </cell>
          <cell r="H5">
            <v>10724000.000000002</v>
          </cell>
          <cell r="I5">
            <v>0</v>
          </cell>
        </row>
        <row r="6">
          <cell r="C6">
            <v>12485000</v>
          </cell>
          <cell r="D6">
            <v>0</v>
          </cell>
          <cell r="E6">
            <v>0</v>
          </cell>
          <cell r="F6">
            <v>0</v>
          </cell>
          <cell r="H6">
            <v>12143000.000000002</v>
          </cell>
          <cell r="I6">
            <v>0</v>
          </cell>
        </row>
        <row r="7">
          <cell r="C7">
            <v>12544000</v>
          </cell>
          <cell r="D7">
            <v>0</v>
          </cell>
          <cell r="E7">
            <v>0</v>
          </cell>
          <cell r="F7">
            <v>0</v>
          </cell>
          <cell r="H7">
            <v>12372999.999999993</v>
          </cell>
          <cell r="I7">
            <v>0</v>
          </cell>
        </row>
        <row r="8">
          <cell r="C8">
            <v>12506000</v>
          </cell>
          <cell r="D8">
            <v>0</v>
          </cell>
          <cell r="E8">
            <v>0</v>
          </cell>
          <cell r="F8">
            <v>0</v>
          </cell>
          <cell r="H8">
            <v>12218999.999999994</v>
          </cell>
          <cell r="I8">
            <v>0</v>
          </cell>
        </row>
        <row r="9">
          <cell r="C9">
            <v>12479000</v>
          </cell>
          <cell r="D9">
            <v>0</v>
          </cell>
          <cell r="E9">
            <v>0</v>
          </cell>
          <cell r="F9">
            <v>0</v>
          </cell>
          <cell r="H9">
            <v>12194000.000000004</v>
          </cell>
          <cell r="I9">
            <v>0</v>
          </cell>
        </row>
        <row r="10">
          <cell r="C10">
            <v>12013000</v>
          </cell>
          <cell r="D10">
            <v>0</v>
          </cell>
          <cell r="E10">
            <v>0</v>
          </cell>
          <cell r="F10">
            <v>0</v>
          </cell>
          <cell r="H10">
            <v>11732000.000000009</v>
          </cell>
          <cell r="I10">
            <v>0</v>
          </cell>
        </row>
        <row r="11">
          <cell r="C11">
            <v>10873000</v>
          </cell>
          <cell r="D11">
            <v>0</v>
          </cell>
          <cell r="E11">
            <v>0</v>
          </cell>
          <cell r="F11">
            <v>0</v>
          </cell>
          <cell r="H11">
            <v>10653000.000000002</v>
          </cell>
          <cell r="I11">
            <v>0</v>
          </cell>
        </row>
        <row r="12">
          <cell r="C12">
            <v>10571000</v>
          </cell>
          <cell r="D12">
            <v>0</v>
          </cell>
          <cell r="E12">
            <v>0</v>
          </cell>
          <cell r="F12">
            <v>0</v>
          </cell>
          <cell r="H12">
            <v>10295999.999999994</v>
          </cell>
          <cell r="I12">
            <v>0</v>
          </cell>
        </row>
        <row r="13">
          <cell r="C13">
            <v>10532000</v>
          </cell>
          <cell r="D13">
            <v>0</v>
          </cell>
          <cell r="E13">
            <v>0</v>
          </cell>
          <cell r="F13">
            <v>0</v>
          </cell>
          <cell r="H13">
            <v>10258000</v>
          </cell>
          <cell r="I13">
            <v>0</v>
          </cell>
        </row>
        <row r="14">
          <cell r="C14">
            <v>12188000</v>
          </cell>
          <cell r="D14">
            <v>0</v>
          </cell>
          <cell r="E14">
            <v>0</v>
          </cell>
          <cell r="F14">
            <v>0</v>
          </cell>
          <cell r="H14">
            <v>11969999.999999996</v>
          </cell>
          <cell r="I14">
            <v>0</v>
          </cell>
        </row>
        <row r="15">
          <cell r="C15">
            <v>12164000</v>
          </cell>
          <cell r="D15">
            <v>0</v>
          </cell>
          <cell r="E15">
            <v>0</v>
          </cell>
          <cell r="F15">
            <v>0</v>
          </cell>
          <cell r="H15">
            <v>11889000.000000009</v>
          </cell>
          <cell r="I15">
            <v>0</v>
          </cell>
        </row>
        <row r="16">
          <cell r="C16">
            <v>12387000</v>
          </cell>
          <cell r="D16">
            <v>0</v>
          </cell>
          <cell r="E16">
            <v>0</v>
          </cell>
          <cell r="F16">
            <v>0</v>
          </cell>
          <cell r="H16">
            <v>12110999.999999989</v>
          </cell>
          <cell r="I16">
            <v>0</v>
          </cell>
        </row>
        <row r="17">
          <cell r="C17">
            <v>11553000</v>
          </cell>
          <cell r="D17">
            <v>0</v>
          </cell>
          <cell r="E17">
            <v>0</v>
          </cell>
          <cell r="F17">
            <v>0</v>
          </cell>
          <cell r="H17">
            <v>11334000.000000006</v>
          </cell>
          <cell r="I17">
            <v>0</v>
          </cell>
        </row>
        <row r="18">
          <cell r="C18">
            <v>11166000</v>
          </cell>
          <cell r="D18">
            <v>0</v>
          </cell>
          <cell r="E18">
            <v>0</v>
          </cell>
          <cell r="F18">
            <v>0</v>
          </cell>
          <cell r="H18">
            <v>10892000</v>
          </cell>
          <cell r="I18">
            <v>0</v>
          </cell>
        </row>
        <row r="19">
          <cell r="C19">
            <v>11519000</v>
          </cell>
          <cell r="D19">
            <v>0</v>
          </cell>
          <cell r="E19">
            <v>0</v>
          </cell>
          <cell r="F19">
            <v>0</v>
          </cell>
          <cell r="H19">
            <v>11243999.999999994</v>
          </cell>
          <cell r="I19">
            <v>0</v>
          </cell>
        </row>
        <row r="20">
          <cell r="C20">
            <v>11416000</v>
          </cell>
          <cell r="D20">
            <v>0</v>
          </cell>
          <cell r="E20">
            <v>0</v>
          </cell>
          <cell r="F20">
            <v>0</v>
          </cell>
          <cell r="H20">
            <v>11193000.000000002</v>
          </cell>
          <cell r="I20">
            <v>0</v>
          </cell>
        </row>
        <row r="21">
          <cell r="C21">
            <v>11191000</v>
          </cell>
          <cell r="D21">
            <v>0</v>
          </cell>
          <cell r="E21">
            <v>0</v>
          </cell>
          <cell r="F21">
            <v>0</v>
          </cell>
          <cell r="H21">
            <v>10924000.000000004</v>
          </cell>
          <cell r="I21">
            <v>0</v>
          </cell>
        </row>
        <row r="22">
          <cell r="C22">
            <v>12404000</v>
          </cell>
          <cell r="D22">
            <v>0</v>
          </cell>
          <cell r="E22">
            <v>0</v>
          </cell>
          <cell r="F22">
            <v>0</v>
          </cell>
          <cell r="H22">
            <v>12179000.000000006</v>
          </cell>
          <cell r="I22">
            <v>0</v>
          </cell>
        </row>
        <row r="23">
          <cell r="C23">
            <v>11993000</v>
          </cell>
          <cell r="D23">
            <v>0</v>
          </cell>
          <cell r="E23">
            <v>0</v>
          </cell>
          <cell r="F23">
            <v>0</v>
          </cell>
          <cell r="H23">
            <v>11770999.999999991</v>
          </cell>
          <cell r="I23">
            <v>0</v>
          </cell>
        </row>
        <row r="24">
          <cell r="C24">
            <v>11564000</v>
          </cell>
          <cell r="D24">
            <v>0</v>
          </cell>
          <cell r="E24">
            <v>0</v>
          </cell>
          <cell r="F24">
            <v>0</v>
          </cell>
          <cell r="H24">
            <v>11236000.000000011</v>
          </cell>
          <cell r="I24">
            <v>99999.999998544808</v>
          </cell>
        </row>
        <row r="25">
          <cell r="C25">
            <v>12487000</v>
          </cell>
          <cell r="D25">
            <v>0</v>
          </cell>
          <cell r="E25">
            <v>0</v>
          </cell>
          <cell r="F25">
            <v>0</v>
          </cell>
          <cell r="H25">
            <v>12202999.999999994</v>
          </cell>
          <cell r="I25">
            <v>0</v>
          </cell>
        </row>
        <row r="26">
          <cell r="C26">
            <v>12064000</v>
          </cell>
          <cell r="D26">
            <v>0</v>
          </cell>
          <cell r="E26">
            <v>0</v>
          </cell>
          <cell r="F26">
            <v>0</v>
          </cell>
          <cell r="H26">
            <v>11836000.000000006</v>
          </cell>
          <cell r="I26">
            <v>0</v>
          </cell>
        </row>
        <row r="27">
          <cell r="C27">
            <v>11416000</v>
          </cell>
          <cell r="D27">
            <v>0</v>
          </cell>
          <cell r="E27">
            <v>0</v>
          </cell>
          <cell r="F27">
            <v>0</v>
          </cell>
          <cell r="H27">
            <v>11187999.999999991</v>
          </cell>
          <cell r="I27">
            <v>0</v>
          </cell>
        </row>
        <row r="28">
          <cell r="C28">
            <v>12939000</v>
          </cell>
          <cell r="D28">
            <v>0</v>
          </cell>
          <cell r="E28">
            <v>0</v>
          </cell>
          <cell r="F28">
            <v>0</v>
          </cell>
          <cell r="H28">
            <v>12652000.000000007</v>
          </cell>
          <cell r="I28">
            <v>0</v>
          </cell>
        </row>
        <row r="29">
          <cell r="C29">
            <v>10510000</v>
          </cell>
          <cell r="D29">
            <v>0</v>
          </cell>
          <cell r="E29">
            <v>0</v>
          </cell>
          <cell r="F29">
            <v>0</v>
          </cell>
          <cell r="H29">
            <v>10221999.999999989</v>
          </cell>
          <cell r="I29">
            <v>0</v>
          </cell>
        </row>
        <row r="30">
          <cell r="C30">
            <v>12885000</v>
          </cell>
          <cell r="D30">
            <v>0</v>
          </cell>
          <cell r="E30">
            <v>0</v>
          </cell>
          <cell r="F30">
            <v>0</v>
          </cell>
          <cell r="H30">
            <v>12542000.000000011</v>
          </cell>
          <cell r="I30">
            <v>0</v>
          </cell>
        </row>
        <row r="31">
          <cell r="C31">
            <v>12012000</v>
          </cell>
          <cell r="D31">
            <v>0</v>
          </cell>
          <cell r="E31">
            <v>0</v>
          </cell>
          <cell r="F31">
            <v>0</v>
          </cell>
          <cell r="H31">
            <v>11838999.999999998</v>
          </cell>
          <cell r="I31">
            <v>0</v>
          </cell>
        </row>
        <row r="32">
          <cell r="C32">
            <v>12042000</v>
          </cell>
          <cell r="D32">
            <v>0</v>
          </cell>
          <cell r="E32">
            <v>0</v>
          </cell>
          <cell r="F32">
            <v>0</v>
          </cell>
          <cell r="H32">
            <v>11810999.999999991</v>
          </cell>
          <cell r="I32">
            <v>0</v>
          </cell>
        </row>
        <row r="33">
          <cell r="C33">
            <v>12972000</v>
          </cell>
          <cell r="D33">
            <v>0</v>
          </cell>
          <cell r="E33">
            <v>0</v>
          </cell>
          <cell r="F33">
            <v>0</v>
          </cell>
          <cell r="H33">
            <v>12627000.000000002</v>
          </cell>
          <cell r="I33">
            <v>200000.0000007276</v>
          </cell>
        </row>
        <row r="34">
          <cell r="C34">
            <v>11031000</v>
          </cell>
          <cell r="D34">
            <v>0</v>
          </cell>
          <cell r="E34">
            <v>0</v>
          </cell>
          <cell r="F34">
            <v>0</v>
          </cell>
          <cell r="H34">
            <v>10740000.000000004</v>
          </cell>
          <cell r="I34">
            <v>0</v>
          </cell>
        </row>
        <row r="259">
          <cell r="D259">
            <v>171999.99999999703</v>
          </cell>
          <cell r="H259">
            <v>0</v>
          </cell>
        </row>
        <row r="260">
          <cell r="D260">
            <v>326999.9999999982</v>
          </cell>
          <cell r="H260">
            <v>0</v>
          </cell>
        </row>
        <row r="261">
          <cell r="D261">
            <v>341999.99999999878</v>
          </cell>
          <cell r="H261">
            <v>0</v>
          </cell>
        </row>
        <row r="262">
          <cell r="D262">
            <v>171000.00000000649</v>
          </cell>
          <cell r="H262">
            <v>0</v>
          </cell>
        </row>
        <row r="263">
          <cell r="D263">
            <v>287000.00000000611</v>
          </cell>
          <cell r="H263">
            <v>0</v>
          </cell>
        </row>
        <row r="264">
          <cell r="D264">
            <v>284999.99999999657</v>
          </cell>
          <cell r="H264">
            <v>0</v>
          </cell>
        </row>
        <row r="265">
          <cell r="D265">
            <v>280999.99999999168</v>
          </cell>
          <cell r="H265">
            <v>0</v>
          </cell>
        </row>
        <row r="266">
          <cell r="D266">
            <v>219999.99999999886</v>
          </cell>
          <cell r="H266">
            <v>0</v>
          </cell>
        </row>
        <row r="267">
          <cell r="D267">
            <v>275000.0000000057</v>
          </cell>
          <cell r="H267">
            <v>0</v>
          </cell>
        </row>
        <row r="268">
          <cell r="D268">
            <v>274000.00000000093</v>
          </cell>
          <cell r="H268">
            <v>0</v>
          </cell>
        </row>
        <row r="269">
          <cell r="D269">
            <v>218000.00000000352</v>
          </cell>
          <cell r="H269">
            <v>0</v>
          </cell>
        </row>
        <row r="270">
          <cell r="D270">
            <v>274999.9999999915</v>
          </cell>
          <cell r="H270">
            <v>0</v>
          </cell>
        </row>
        <row r="271">
          <cell r="D271">
            <v>276000.00000001048</v>
          </cell>
          <cell r="H271">
            <v>0</v>
          </cell>
        </row>
        <row r="272">
          <cell r="D272">
            <v>218999.99999999409</v>
          </cell>
          <cell r="H272">
            <v>0</v>
          </cell>
        </row>
        <row r="273">
          <cell r="D273">
            <v>274000.00000000093</v>
          </cell>
          <cell r="H273">
            <v>0</v>
          </cell>
        </row>
        <row r="274">
          <cell r="D274">
            <v>275000.0000000057</v>
          </cell>
          <cell r="H274">
            <v>0</v>
          </cell>
        </row>
        <row r="275">
          <cell r="D275">
            <v>222999.99999999898</v>
          </cell>
          <cell r="H275">
            <v>0</v>
          </cell>
        </row>
        <row r="276">
          <cell r="D276">
            <v>266999.99999999593</v>
          </cell>
          <cell r="H276">
            <v>0</v>
          </cell>
        </row>
        <row r="277">
          <cell r="D277">
            <v>224999.99999999432</v>
          </cell>
          <cell r="H277">
            <v>0</v>
          </cell>
        </row>
        <row r="278">
          <cell r="D278">
            <v>222000.00000000841</v>
          </cell>
          <cell r="H278">
            <v>0</v>
          </cell>
        </row>
        <row r="279">
          <cell r="D279">
            <v>327999.99999998877</v>
          </cell>
          <cell r="H279">
            <v>0</v>
          </cell>
        </row>
        <row r="280">
          <cell r="D280">
            <v>284000.00000000605</v>
          </cell>
          <cell r="H280">
            <v>0</v>
          </cell>
        </row>
        <row r="281">
          <cell r="D281">
            <v>227999.99999999444</v>
          </cell>
          <cell r="H281">
            <v>0</v>
          </cell>
        </row>
        <row r="282">
          <cell r="D282">
            <v>228000.00000000864</v>
          </cell>
          <cell r="H282">
            <v>0</v>
          </cell>
        </row>
        <row r="283">
          <cell r="D283">
            <v>286999.99999999191</v>
          </cell>
          <cell r="H283">
            <v>0</v>
          </cell>
        </row>
        <row r="284">
          <cell r="D284">
            <v>288000.00000001094</v>
          </cell>
          <cell r="H284">
            <v>0</v>
          </cell>
        </row>
        <row r="285">
          <cell r="D285">
            <v>342999.99999998929</v>
          </cell>
          <cell r="H285">
            <v>0</v>
          </cell>
        </row>
        <row r="286">
          <cell r="D286">
            <v>173000.0000000018</v>
          </cell>
          <cell r="H286">
            <v>0</v>
          </cell>
        </row>
        <row r="287">
          <cell r="D287">
            <v>231000.00000000876</v>
          </cell>
          <cell r="H287">
            <v>0</v>
          </cell>
        </row>
        <row r="288">
          <cell r="D288">
            <v>344999.99999999884</v>
          </cell>
          <cell r="H288">
            <v>0</v>
          </cell>
        </row>
        <row r="289">
          <cell r="D289">
            <v>290999.9999999968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12141000</v>
          </cell>
          <cell r="D4">
            <v>0</v>
          </cell>
          <cell r="E4">
            <v>0</v>
          </cell>
          <cell r="F4">
            <v>0</v>
          </cell>
          <cell r="H4">
            <v>11850999.999999994</v>
          </cell>
          <cell r="I4">
            <v>0</v>
          </cell>
        </row>
        <row r="5">
          <cell r="C5">
            <v>11990000</v>
          </cell>
          <cell r="D5">
            <v>0</v>
          </cell>
          <cell r="E5">
            <v>0</v>
          </cell>
          <cell r="F5">
            <v>0</v>
          </cell>
          <cell r="H5">
            <v>11815000.000000004</v>
          </cell>
          <cell r="I5">
            <v>0</v>
          </cell>
        </row>
        <row r="6">
          <cell r="C6">
            <v>12305000</v>
          </cell>
          <cell r="D6">
            <v>0</v>
          </cell>
          <cell r="E6">
            <v>0</v>
          </cell>
          <cell r="F6">
            <v>0</v>
          </cell>
          <cell r="H6">
            <v>12078000.000000011</v>
          </cell>
          <cell r="I6">
            <v>0</v>
          </cell>
        </row>
        <row r="7">
          <cell r="C7">
            <v>12261000</v>
          </cell>
          <cell r="D7">
            <v>0</v>
          </cell>
          <cell r="E7">
            <v>0</v>
          </cell>
          <cell r="F7">
            <v>0</v>
          </cell>
          <cell r="H7">
            <v>11892999.999999991</v>
          </cell>
          <cell r="I7">
            <v>0</v>
          </cell>
        </row>
        <row r="8">
          <cell r="C8">
            <v>11952000</v>
          </cell>
          <cell r="D8">
            <v>0</v>
          </cell>
          <cell r="E8">
            <v>0</v>
          </cell>
          <cell r="F8">
            <v>1000000</v>
          </cell>
          <cell r="H8">
            <v>11593000.000000006</v>
          </cell>
          <cell r="I8">
            <v>0</v>
          </cell>
        </row>
        <row r="9">
          <cell r="C9">
            <v>11783000</v>
          </cell>
          <cell r="D9">
            <v>0</v>
          </cell>
          <cell r="E9">
            <v>0</v>
          </cell>
          <cell r="F9">
            <v>0</v>
          </cell>
          <cell r="H9">
            <v>11483000.000000004</v>
          </cell>
          <cell r="I9">
            <v>0</v>
          </cell>
        </row>
        <row r="10">
          <cell r="C10">
            <v>11785000</v>
          </cell>
          <cell r="D10">
            <v>0</v>
          </cell>
          <cell r="E10">
            <v>0</v>
          </cell>
          <cell r="F10">
            <v>0</v>
          </cell>
          <cell r="H10">
            <v>11428000</v>
          </cell>
          <cell r="I10">
            <v>0</v>
          </cell>
        </row>
        <row r="11">
          <cell r="C11">
            <v>11750000</v>
          </cell>
          <cell r="D11">
            <v>0</v>
          </cell>
          <cell r="E11">
            <v>0</v>
          </cell>
          <cell r="F11">
            <v>0</v>
          </cell>
          <cell r="H11">
            <v>11390999.999999991</v>
          </cell>
          <cell r="I11">
            <v>0</v>
          </cell>
        </row>
        <row r="12">
          <cell r="C12">
            <v>12373000</v>
          </cell>
          <cell r="D12">
            <v>0</v>
          </cell>
          <cell r="E12">
            <v>0</v>
          </cell>
          <cell r="F12">
            <v>0</v>
          </cell>
          <cell r="H12">
            <v>12013000</v>
          </cell>
          <cell r="I12">
            <v>0</v>
          </cell>
        </row>
        <row r="13">
          <cell r="C13">
            <v>12863000</v>
          </cell>
          <cell r="D13">
            <v>0</v>
          </cell>
          <cell r="E13">
            <v>0</v>
          </cell>
          <cell r="F13">
            <v>1000000</v>
          </cell>
          <cell r="H13">
            <v>12507000.000000006</v>
          </cell>
          <cell r="I13">
            <v>0</v>
          </cell>
        </row>
        <row r="14">
          <cell r="C14">
            <v>11281000</v>
          </cell>
          <cell r="D14">
            <v>0</v>
          </cell>
          <cell r="E14">
            <v>0</v>
          </cell>
          <cell r="F14">
            <v>0</v>
          </cell>
          <cell r="H14">
            <v>10981000.000000004</v>
          </cell>
          <cell r="I14">
            <v>0</v>
          </cell>
        </row>
        <row r="15">
          <cell r="C15">
            <v>12004000</v>
          </cell>
          <cell r="D15">
            <v>0</v>
          </cell>
          <cell r="E15">
            <v>0</v>
          </cell>
          <cell r="F15">
            <v>0</v>
          </cell>
          <cell r="H15">
            <v>11644999.999999991</v>
          </cell>
          <cell r="I15">
            <v>0</v>
          </cell>
        </row>
        <row r="16">
          <cell r="C16">
            <v>11419000</v>
          </cell>
          <cell r="D16">
            <v>0</v>
          </cell>
          <cell r="E16">
            <v>0</v>
          </cell>
          <cell r="F16">
            <v>0</v>
          </cell>
          <cell r="H16">
            <v>11120000.000000007</v>
          </cell>
          <cell r="I16">
            <v>0</v>
          </cell>
        </row>
        <row r="17">
          <cell r="C17">
            <v>12128000</v>
          </cell>
          <cell r="D17">
            <v>0</v>
          </cell>
          <cell r="E17">
            <v>0</v>
          </cell>
          <cell r="F17">
            <v>0</v>
          </cell>
          <cell r="H17">
            <v>11766999.999999996</v>
          </cell>
          <cell r="I17">
            <v>0</v>
          </cell>
        </row>
        <row r="18">
          <cell r="C18">
            <v>11962000</v>
          </cell>
          <cell r="D18">
            <v>0</v>
          </cell>
          <cell r="E18">
            <v>0</v>
          </cell>
          <cell r="F18">
            <v>0</v>
          </cell>
          <cell r="H18">
            <v>11603999.999999996</v>
          </cell>
          <cell r="I18">
            <v>0</v>
          </cell>
        </row>
        <row r="19">
          <cell r="C19">
            <v>11939000</v>
          </cell>
          <cell r="D19">
            <v>0</v>
          </cell>
          <cell r="E19">
            <v>0</v>
          </cell>
          <cell r="F19">
            <v>1000000</v>
          </cell>
          <cell r="H19">
            <v>11628000.000000007</v>
          </cell>
          <cell r="I19">
            <v>0</v>
          </cell>
        </row>
        <row r="20">
          <cell r="C20">
            <v>12000000</v>
          </cell>
          <cell r="D20">
            <v>0</v>
          </cell>
          <cell r="E20">
            <v>0</v>
          </cell>
          <cell r="F20">
            <v>0</v>
          </cell>
          <cell r="H20">
            <v>11649999.999999991</v>
          </cell>
          <cell r="I20">
            <v>0</v>
          </cell>
        </row>
        <row r="21">
          <cell r="C21">
            <v>12106000</v>
          </cell>
          <cell r="D21">
            <v>0</v>
          </cell>
          <cell r="E21">
            <v>0</v>
          </cell>
          <cell r="F21">
            <v>0</v>
          </cell>
          <cell r="H21">
            <v>11713000</v>
          </cell>
          <cell r="I21">
            <v>0</v>
          </cell>
        </row>
        <row r="22">
          <cell r="C22">
            <v>12137000</v>
          </cell>
          <cell r="D22">
            <v>0</v>
          </cell>
          <cell r="E22">
            <v>0</v>
          </cell>
          <cell r="F22">
            <v>1000000</v>
          </cell>
          <cell r="H22">
            <v>11879000.000000004</v>
          </cell>
          <cell r="I22">
            <v>0</v>
          </cell>
        </row>
        <row r="23">
          <cell r="C23">
            <v>11306000</v>
          </cell>
          <cell r="D23">
            <v>0</v>
          </cell>
          <cell r="E23">
            <v>0</v>
          </cell>
          <cell r="F23">
            <v>0</v>
          </cell>
          <cell r="H23">
            <v>11022000.000000007</v>
          </cell>
          <cell r="I23">
            <v>0</v>
          </cell>
        </row>
        <row r="24">
          <cell r="C24">
            <v>11941000</v>
          </cell>
          <cell r="D24">
            <v>0</v>
          </cell>
          <cell r="E24">
            <v>0</v>
          </cell>
          <cell r="F24">
            <v>0</v>
          </cell>
          <cell r="H24">
            <v>11609999.999999996</v>
          </cell>
          <cell r="I24">
            <v>0</v>
          </cell>
        </row>
        <row r="25">
          <cell r="C25">
            <v>11962000</v>
          </cell>
          <cell r="D25">
            <v>0</v>
          </cell>
          <cell r="E25">
            <v>0</v>
          </cell>
          <cell r="F25">
            <v>0</v>
          </cell>
          <cell r="H25">
            <v>11614999.999999991</v>
          </cell>
          <cell r="I25">
            <v>0</v>
          </cell>
        </row>
        <row r="26">
          <cell r="C26">
            <v>12578000</v>
          </cell>
          <cell r="D26">
            <v>0</v>
          </cell>
          <cell r="E26">
            <v>0</v>
          </cell>
          <cell r="F26">
            <v>1000000</v>
          </cell>
          <cell r="H26">
            <v>12228000.000000006</v>
          </cell>
          <cell r="I26">
            <v>0</v>
          </cell>
        </row>
        <row r="27">
          <cell r="C27">
            <v>12585000</v>
          </cell>
          <cell r="D27">
            <v>0</v>
          </cell>
          <cell r="E27">
            <v>0</v>
          </cell>
          <cell r="F27">
            <v>0</v>
          </cell>
          <cell r="H27">
            <v>12237000.000000002</v>
          </cell>
          <cell r="I27">
            <v>0</v>
          </cell>
        </row>
        <row r="28">
          <cell r="C28">
            <v>12304000</v>
          </cell>
          <cell r="D28">
            <v>0</v>
          </cell>
          <cell r="E28">
            <v>0</v>
          </cell>
          <cell r="F28">
            <v>0</v>
          </cell>
          <cell r="H28">
            <v>11954999.999999996</v>
          </cell>
          <cell r="I28">
            <v>0</v>
          </cell>
        </row>
        <row r="29">
          <cell r="C29">
            <v>12575000</v>
          </cell>
          <cell r="D29">
            <v>0</v>
          </cell>
          <cell r="E29">
            <v>0</v>
          </cell>
          <cell r="F29">
            <v>35000000</v>
          </cell>
          <cell r="H29">
            <v>12228999.999999996</v>
          </cell>
          <cell r="I29">
            <v>0</v>
          </cell>
        </row>
        <row r="30">
          <cell r="C30">
            <v>12096000</v>
          </cell>
          <cell r="D30">
            <v>0</v>
          </cell>
          <cell r="E30">
            <v>0</v>
          </cell>
          <cell r="F30">
            <v>0</v>
          </cell>
          <cell r="H30">
            <v>11754000.000000002</v>
          </cell>
          <cell r="I30">
            <v>0</v>
          </cell>
        </row>
        <row r="31">
          <cell r="C31">
            <v>11992000</v>
          </cell>
          <cell r="D31">
            <v>0</v>
          </cell>
          <cell r="E31">
            <v>0</v>
          </cell>
          <cell r="F31">
            <v>0</v>
          </cell>
          <cell r="H31">
            <v>11702000.000000007</v>
          </cell>
          <cell r="I31">
            <v>0</v>
          </cell>
        </row>
        <row r="32">
          <cell r="C32">
            <v>12026000</v>
          </cell>
          <cell r="D32">
            <v>0</v>
          </cell>
          <cell r="E32">
            <v>0</v>
          </cell>
          <cell r="F32">
            <v>0</v>
          </cell>
          <cell r="H32">
            <v>11679999.999999996</v>
          </cell>
          <cell r="I32">
            <v>0</v>
          </cell>
        </row>
        <row r="33">
          <cell r="C33">
            <v>12044000</v>
          </cell>
          <cell r="D33">
            <v>0</v>
          </cell>
          <cell r="E33">
            <v>0</v>
          </cell>
          <cell r="F33">
            <v>0</v>
          </cell>
          <cell r="H33">
            <v>11750999.999999993</v>
          </cell>
          <cell r="I33">
            <v>0</v>
          </cell>
        </row>
        <row r="34">
          <cell r="C34">
            <v>12000000</v>
          </cell>
          <cell r="D34">
            <v>0</v>
          </cell>
          <cell r="E34">
            <v>0</v>
          </cell>
          <cell r="F34">
            <v>19000000</v>
          </cell>
          <cell r="H34">
            <v>11657000.000000011</v>
          </cell>
          <cell r="I34">
            <v>0</v>
          </cell>
        </row>
        <row r="259">
          <cell r="D259">
            <v>290000.00000000623</v>
          </cell>
          <cell r="H259">
            <v>0</v>
          </cell>
        </row>
        <row r="260">
          <cell r="D260">
            <v>174999.99999999715</v>
          </cell>
          <cell r="H260">
            <v>0</v>
          </cell>
        </row>
        <row r="261">
          <cell r="D261">
            <v>226999.99999998967</v>
          </cell>
          <cell r="H261">
            <v>0</v>
          </cell>
        </row>
        <row r="262">
          <cell r="D262">
            <v>368000.0000000092</v>
          </cell>
          <cell r="H262">
            <v>0</v>
          </cell>
        </row>
        <row r="263">
          <cell r="D263">
            <v>358999.99999999464</v>
          </cell>
          <cell r="H263">
            <v>0</v>
          </cell>
        </row>
        <row r="264">
          <cell r="D264">
            <v>299999.99999999715</v>
          </cell>
          <cell r="H264">
            <v>0</v>
          </cell>
        </row>
        <row r="265">
          <cell r="D265">
            <v>356999.9999999993</v>
          </cell>
          <cell r="H265">
            <v>0</v>
          </cell>
        </row>
        <row r="266">
          <cell r="D266">
            <v>359000.00000000885</v>
          </cell>
          <cell r="H266">
            <v>0</v>
          </cell>
        </row>
        <row r="267">
          <cell r="D267">
            <v>359999.99999999942</v>
          </cell>
          <cell r="H267">
            <v>0</v>
          </cell>
        </row>
        <row r="268">
          <cell r="D268">
            <v>355999.99999999453</v>
          </cell>
          <cell r="H268">
            <v>0</v>
          </cell>
        </row>
        <row r="269">
          <cell r="D269">
            <v>299999.99999999715</v>
          </cell>
          <cell r="H269">
            <v>0</v>
          </cell>
        </row>
        <row r="270">
          <cell r="D270">
            <v>359000.00000000885</v>
          </cell>
          <cell r="H270">
            <v>0</v>
          </cell>
        </row>
        <row r="271">
          <cell r="D271">
            <v>298999.99999999237</v>
          </cell>
          <cell r="H271">
            <v>0</v>
          </cell>
        </row>
        <row r="272">
          <cell r="D272">
            <v>361000.00000000419</v>
          </cell>
          <cell r="H272">
            <v>0</v>
          </cell>
        </row>
        <row r="273">
          <cell r="D273">
            <v>358000.00000000407</v>
          </cell>
          <cell r="H273">
            <v>0</v>
          </cell>
        </row>
        <row r="274">
          <cell r="D274">
            <v>310999.99999999284</v>
          </cell>
          <cell r="H274">
            <v>0</v>
          </cell>
        </row>
        <row r="275">
          <cell r="D275">
            <v>350000.0000000085</v>
          </cell>
          <cell r="H275">
            <v>0</v>
          </cell>
        </row>
        <row r="276">
          <cell r="D276">
            <v>393000.0000000007</v>
          </cell>
          <cell r="H276">
            <v>0</v>
          </cell>
        </row>
        <row r="277">
          <cell r="D277">
            <v>257999.99999999558</v>
          </cell>
          <cell r="H277">
            <v>0</v>
          </cell>
        </row>
        <row r="278">
          <cell r="D278">
            <v>283999.99999999179</v>
          </cell>
          <cell r="H278">
            <v>0</v>
          </cell>
        </row>
        <row r="279">
          <cell r="D279">
            <v>331000.00000000309</v>
          </cell>
          <cell r="H279">
            <v>0</v>
          </cell>
        </row>
        <row r="280">
          <cell r="D280">
            <v>347000.00000000844</v>
          </cell>
          <cell r="H280">
            <v>0</v>
          </cell>
        </row>
        <row r="281">
          <cell r="D281">
            <v>349999.9999999943</v>
          </cell>
          <cell r="H281">
            <v>0</v>
          </cell>
        </row>
        <row r="282">
          <cell r="D282">
            <v>347999.99999999895</v>
          </cell>
          <cell r="H282">
            <v>0</v>
          </cell>
        </row>
        <row r="283">
          <cell r="D283">
            <v>349000.00000000373</v>
          </cell>
          <cell r="H283">
            <v>0</v>
          </cell>
        </row>
        <row r="284">
          <cell r="D284">
            <v>346000.00000000361</v>
          </cell>
          <cell r="H284">
            <v>0</v>
          </cell>
        </row>
        <row r="285">
          <cell r="D285">
            <v>341999.99999999878</v>
          </cell>
          <cell r="H285">
            <v>0</v>
          </cell>
        </row>
        <row r="286">
          <cell r="D286">
            <v>289999.99999999203</v>
          </cell>
          <cell r="H286">
            <v>155767</v>
          </cell>
        </row>
        <row r="287">
          <cell r="D287">
            <v>346000.00000000361</v>
          </cell>
          <cell r="H287">
            <v>-155767</v>
          </cell>
        </row>
        <row r="288">
          <cell r="D288">
            <v>293000.00000000634</v>
          </cell>
          <cell r="H288">
            <v>0</v>
          </cell>
        </row>
        <row r="289">
          <cell r="D289">
            <v>342999.99999998929</v>
          </cell>
          <cell r="H289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Feb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C4">
            <v>12053000</v>
          </cell>
          <cell r="D4">
            <v>0</v>
          </cell>
          <cell r="E4">
            <v>0</v>
          </cell>
          <cell r="F4">
            <v>0</v>
          </cell>
          <cell r="H4">
            <v>11706999.999999996</v>
          </cell>
          <cell r="I4">
            <v>0</v>
          </cell>
        </row>
        <row r="5">
          <cell r="C5">
            <v>11870000</v>
          </cell>
          <cell r="D5">
            <v>0</v>
          </cell>
          <cell r="E5">
            <v>0</v>
          </cell>
          <cell r="F5">
            <v>0</v>
          </cell>
          <cell r="H5">
            <v>11585000.000000004</v>
          </cell>
          <cell r="I5">
            <v>0</v>
          </cell>
        </row>
        <row r="6">
          <cell r="C6">
            <v>12401000</v>
          </cell>
          <cell r="D6">
            <v>0</v>
          </cell>
          <cell r="E6">
            <v>0</v>
          </cell>
          <cell r="F6">
            <v>0</v>
          </cell>
          <cell r="H6">
            <v>12062999.999999993</v>
          </cell>
          <cell r="I6">
            <v>0</v>
          </cell>
        </row>
        <row r="7">
          <cell r="C7">
            <v>12515000</v>
          </cell>
          <cell r="D7">
            <v>0</v>
          </cell>
          <cell r="E7">
            <v>0</v>
          </cell>
          <cell r="F7">
            <v>0</v>
          </cell>
          <cell r="H7">
            <v>12183999.999999996</v>
          </cell>
          <cell r="I7">
            <v>0</v>
          </cell>
        </row>
        <row r="8">
          <cell r="C8">
            <v>12508000</v>
          </cell>
          <cell r="D8">
            <v>0</v>
          </cell>
          <cell r="E8">
            <v>0</v>
          </cell>
          <cell r="F8">
            <v>0</v>
          </cell>
          <cell r="H8">
            <v>12218000.000000007</v>
          </cell>
          <cell r="I8">
            <v>0</v>
          </cell>
        </row>
        <row r="9">
          <cell r="C9">
            <v>12124000</v>
          </cell>
          <cell r="D9">
            <v>0</v>
          </cell>
          <cell r="E9">
            <v>0</v>
          </cell>
          <cell r="F9">
            <v>0</v>
          </cell>
          <cell r="H9">
            <v>11780999.999999996</v>
          </cell>
          <cell r="I9">
            <v>0</v>
          </cell>
        </row>
        <row r="10">
          <cell r="C10">
            <v>12252000</v>
          </cell>
          <cell r="D10">
            <v>0</v>
          </cell>
          <cell r="E10">
            <v>0</v>
          </cell>
          <cell r="F10">
            <v>0</v>
          </cell>
          <cell r="H10">
            <v>11971000.000000009</v>
          </cell>
          <cell r="I10">
            <v>0</v>
          </cell>
        </row>
        <row r="11">
          <cell r="C11">
            <v>11805000</v>
          </cell>
          <cell r="D11">
            <v>0</v>
          </cell>
          <cell r="E11">
            <v>0</v>
          </cell>
          <cell r="F11">
            <v>0</v>
          </cell>
          <cell r="H11">
            <v>11521999.999999998</v>
          </cell>
          <cell r="I11">
            <v>0</v>
          </cell>
        </row>
        <row r="12">
          <cell r="C12">
            <v>12167000</v>
          </cell>
          <cell r="D12">
            <v>0</v>
          </cell>
          <cell r="E12">
            <v>0</v>
          </cell>
          <cell r="F12">
            <v>0</v>
          </cell>
          <cell r="H12">
            <v>11828000.000000002</v>
          </cell>
          <cell r="I12">
            <v>0</v>
          </cell>
        </row>
        <row r="13">
          <cell r="C13">
            <v>11860000</v>
          </cell>
          <cell r="D13">
            <v>0</v>
          </cell>
          <cell r="E13">
            <v>0</v>
          </cell>
          <cell r="F13">
            <v>0</v>
          </cell>
          <cell r="H13">
            <v>11572999.999999994</v>
          </cell>
          <cell r="I13">
            <v>0</v>
          </cell>
        </row>
        <row r="14">
          <cell r="C14">
            <v>11733000</v>
          </cell>
          <cell r="D14">
            <v>0</v>
          </cell>
          <cell r="E14">
            <v>0</v>
          </cell>
          <cell r="F14">
            <v>0</v>
          </cell>
          <cell r="H14">
            <v>11392999.999999996</v>
          </cell>
          <cell r="I14">
            <v>0</v>
          </cell>
        </row>
        <row r="15">
          <cell r="C15">
            <v>12005000</v>
          </cell>
          <cell r="D15">
            <v>0</v>
          </cell>
          <cell r="E15">
            <v>0</v>
          </cell>
          <cell r="F15">
            <v>0</v>
          </cell>
          <cell r="H15">
            <v>11637000.000000006</v>
          </cell>
          <cell r="I15">
            <v>0</v>
          </cell>
        </row>
        <row r="16">
          <cell r="C16">
            <v>12138000</v>
          </cell>
          <cell r="D16">
            <v>0</v>
          </cell>
          <cell r="E16">
            <v>0</v>
          </cell>
          <cell r="F16">
            <v>0</v>
          </cell>
          <cell r="H16">
            <v>11790999.999999991</v>
          </cell>
          <cell r="I16">
            <v>0</v>
          </cell>
        </row>
        <row r="17">
          <cell r="C17">
            <v>10960000</v>
          </cell>
          <cell r="D17">
            <v>0</v>
          </cell>
          <cell r="E17">
            <v>0</v>
          </cell>
          <cell r="F17">
            <v>0</v>
          </cell>
          <cell r="H17">
            <v>10609000</v>
          </cell>
          <cell r="I17">
            <v>0</v>
          </cell>
        </row>
        <row r="18">
          <cell r="C18">
            <v>13535000</v>
          </cell>
          <cell r="D18">
            <v>0</v>
          </cell>
          <cell r="E18">
            <v>0</v>
          </cell>
          <cell r="F18">
            <v>0</v>
          </cell>
          <cell r="H18">
            <v>13191000.000000006</v>
          </cell>
          <cell r="I18">
            <v>0</v>
          </cell>
        </row>
        <row r="19">
          <cell r="C19">
            <v>11767000</v>
          </cell>
          <cell r="D19">
            <v>0</v>
          </cell>
          <cell r="E19">
            <v>0</v>
          </cell>
          <cell r="F19">
            <v>68000000</v>
          </cell>
          <cell r="H19">
            <v>11464999.999999993</v>
          </cell>
          <cell r="I19">
            <v>0</v>
          </cell>
        </row>
        <row r="20">
          <cell r="C20">
            <v>11857000</v>
          </cell>
          <cell r="D20">
            <v>0</v>
          </cell>
          <cell r="E20">
            <v>0</v>
          </cell>
          <cell r="F20">
            <v>0</v>
          </cell>
          <cell r="H20">
            <v>11501000.000000006</v>
          </cell>
          <cell r="I20">
            <v>0</v>
          </cell>
        </row>
        <row r="21">
          <cell r="C21">
            <v>11644000</v>
          </cell>
          <cell r="D21">
            <v>0</v>
          </cell>
          <cell r="E21">
            <v>0</v>
          </cell>
          <cell r="F21">
            <v>0</v>
          </cell>
          <cell r="H21">
            <v>11282999.999999996</v>
          </cell>
          <cell r="I21">
            <v>0</v>
          </cell>
        </row>
        <row r="22">
          <cell r="C22">
            <v>11818000</v>
          </cell>
          <cell r="D22">
            <v>0</v>
          </cell>
          <cell r="E22">
            <v>0</v>
          </cell>
          <cell r="F22">
            <v>0</v>
          </cell>
          <cell r="H22">
            <v>11464000</v>
          </cell>
          <cell r="I22">
            <v>0</v>
          </cell>
        </row>
        <row r="23">
          <cell r="C23">
            <v>12536000</v>
          </cell>
          <cell r="D23">
            <v>0</v>
          </cell>
          <cell r="E23">
            <v>0</v>
          </cell>
          <cell r="F23">
            <v>0</v>
          </cell>
          <cell r="H23">
            <v>12175000.000000011</v>
          </cell>
          <cell r="I23">
            <v>0</v>
          </cell>
        </row>
        <row r="24">
          <cell r="C24">
            <v>11845000</v>
          </cell>
          <cell r="D24">
            <v>0</v>
          </cell>
          <cell r="E24">
            <v>0</v>
          </cell>
          <cell r="F24">
            <v>0</v>
          </cell>
          <cell r="H24">
            <v>11547999.999999989</v>
          </cell>
          <cell r="I24">
            <v>0</v>
          </cell>
        </row>
        <row r="25">
          <cell r="C25">
            <v>11790000</v>
          </cell>
          <cell r="D25">
            <v>0</v>
          </cell>
          <cell r="E25">
            <v>0</v>
          </cell>
          <cell r="F25">
            <v>0</v>
          </cell>
          <cell r="H25">
            <v>11426000.000000009</v>
          </cell>
          <cell r="I25">
            <v>0</v>
          </cell>
        </row>
        <row r="26">
          <cell r="C26">
            <v>10534000</v>
          </cell>
          <cell r="D26">
            <v>0</v>
          </cell>
          <cell r="E26">
            <v>0</v>
          </cell>
          <cell r="F26">
            <v>0</v>
          </cell>
          <cell r="H26">
            <v>10184999.999999996</v>
          </cell>
          <cell r="I26">
            <v>0</v>
          </cell>
        </row>
        <row r="27">
          <cell r="C27">
            <v>10790000</v>
          </cell>
          <cell r="D27">
            <v>0</v>
          </cell>
          <cell r="E27">
            <v>0</v>
          </cell>
          <cell r="F27">
            <v>0</v>
          </cell>
          <cell r="H27">
            <v>10445000.000000002</v>
          </cell>
          <cell r="I27">
            <v>0</v>
          </cell>
        </row>
        <row r="28">
          <cell r="C28">
            <v>12007000</v>
          </cell>
          <cell r="D28">
            <v>0</v>
          </cell>
          <cell r="E28">
            <v>0</v>
          </cell>
          <cell r="F28">
            <v>0</v>
          </cell>
          <cell r="H28">
            <v>11659000.000000002</v>
          </cell>
          <cell r="I28">
            <v>0</v>
          </cell>
        </row>
        <row r="29">
          <cell r="C29">
            <v>12046000</v>
          </cell>
          <cell r="D29">
            <v>0</v>
          </cell>
          <cell r="E29">
            <v>0</v>
          </cell>
          <cell r="F29">
            <v>0</v>
          </cell>
          <cell r="H29">
            <v>11758999.999999994</v>
          </cell>
          <cell r="I29">
            <v>0</v>
          </cell>
        </row>
        <row r="30">
          <cell r="C30">
            <v>12164000</v>
          </cell>
          <cell r="D30">
            <v>0</v>
          </cell>
          <cell r="E30">
            <v>0</v>
          </cell>
          <cell r="F30">
            <v>0</v>
          </cell>
          <cell r="H30">
            <v>11817000.000000006</v>
          </cell>
          <cell r="I30">
            <v>0</v>
          </cell>
        </row>
        <row r="31">
          <cell r="C31">
            <v>12503000</v>
          </cell>
          <cell r="D31">
            <v>0</v>
          </cell>
          <cell r="E31">
            <v>0</v>
          </cell>
          <cell r="F31">
            <v>0</v>
          </cell>
          <cell r="H31">
            <v>12164000.000000002</v>
          </cell>
          <cell r="I31">
            <v>0</v>
          </cell>
        </row>
        <row r="245">
          <cell r="D245">
            <v>346000.00000000361</v>
          </cell>
          <cell r="H245">
            <v>0</v>
          </cell>
        </row>
        <row r="246">
          <cell r="D246">
            <v>284999.99999999657</v>
          </cell>
          <cell r="H246">
            <v>0</v>
          </cell>
        </row>
        <row r="247">
          <cell r="D247">
            <v>338000.00000000809</v>
          </cell>
          <cell r="H247">
            <v>0</v>
          </cell>
        </row>
        <row r="248">
          <cell r="D248">
            <v>331000.00000000309</v>
          </cell>
          <cell r="H248">
            <v>0</v>
          </cell>
        </row>
        <row r="249">
          <cell r="D249">
            <v>289999.99999999203</v>
          </cell>
          <cell r="H249">
            <v>0</v>
          </cell>
        </row>
        <row r="250">
          <cell r="D250">
            <v>343000.00000000355</v>
          </cell>
          <cell r="H250">
            <v>0</v>
          </cell>
        </row>
        <row r="251">
          <cell r="D251">
            <v>280999.99999999168</v>
          </cell>
          <cell r="H251">
            <v>0</v>
          </cell>
        </row>
        <row r="252">
          <cell r="D252">
            <v>283000.00000000122</v>
          </cell>
          <cell r="H252">
            <v>0</v>
          </cell>
        </row>
        <row r="253">
          <cell r="D253">
            <v>338999.99999999866</v>
          </cell>
          <cell r="H253">
            <v>0</v>
          </cell>
        </row>
        <row r="254">
          <cell r="D254">
            <v>287000.00000000611</v>
          </cell>
          <cell r="H254">
            <v>0</v>
          </cell>
        </row>
        <row r="255">
          <cell r="D255">
            <v>340000.00000000343</v>
          </cell>
          <cell r="H255">
            <v>0</v>
          </cell>
        </row>
        <row r="256">
          <cell r="D256">
            <v>367999.99999999499</v>
          </cell>
          <cell r="H256">
            <v>0</v>
          </cell>
        </row>
        <row r="257">
          <cell r="D257">
            <v>347000.00000000844</v>
          </cell>
          <cell r="H257">
            <v>0</v>
          </cell>
        </row>
        <row r="258">
          <cell r="D258">
            <v>350999.99999999907</v>
          </cell>
          <cell r="H258">
            <v>0</v>
          </cell>
        </row>
        <row r="259">
          <cell r="D259">
            <v>343999.99999999406</v>
          </cell>
          <cell r="H259">
            <v>0</v>
          </cell>
        </row>
        <row r="260">
          <cell r="D260">
            <v>302000.00000000669</v>
          </cell>
          <cell r="H260">
            <v>0</v>
          </cell>
        </row>
        <row r="261">
          <cell r="D261">
            <v>355999.99999999453</v>
          </cell>
          <cell r="H261">
            <v>0</v>
          </cell>
        </row>
        <row r="262">
          <cell r="D262">
            <v>361000.00000000419</v>
          </cell>
          <cell r="H262">
            <v>0</v>
          </cell>
        </row>
        <row r="263">
          <cell r="D263">
            <v>353999.99999999919</v>
          </cell>
          <cell r="H263">
            <v>0</v>
          </cell>
        </row>
        <row r="264">
          <cell r="D264">
            <v>360999.99999998999</v>
          </cell>
          <cell r="H264">
            <v>0</v>
          </cell>
        </row>
        <row r="265">
          <cell r="D265">
            <v>297000.00000001123</v>
          </cell>
          <cell r="H265">
            <v>0</v>
          </cell>
        </row>
        <row r="266">
          <cell r="D266">
            <v>363999.9999999901</v>
          </cell>
          <cell r="H266">
            <v>0</v>
          </cell>
        </row>
        <row r="267">
          <cell r="D267">
            <v>349000.00000000373</v>
          </cell>
          <cell r="H267">
            <v>0</v>
          </cell>
        </row>
        <row r="268">
          <cell r="D268">
            <v>344999.99999999884</v>
          </cell>
          <cell r="H268">
            <v>0</v>
          </cell>
        </row>
        <row r="269">
          <cell r="D269">
            <v>347999.99999999895</v>
          </cell>
          <cell r="H269">
            <v>0</v>
          </cell>
        </row>
        <row r="270">
          <cell r="D270">
            <v>287000.00000000611</v>
          </cell>
          <cell r="H270">
            <v>0</v>
          </cell>
        </row>
        <row r="271">
          <cell r="D271">
            <v>346999.99999999418</v>
          </cell>
          <cell r="H271">
            <v>0</v>
          </cell>
        </row>
        <row r="272">
          <cell r="D272">
            <v>338999.99999999866</v>
          </cell>
          <cell r="H272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12096000</v>
          </cell>
          <cell r="D4">
            <v>0</v>
          </cell>
          <cell r="E4">
            <v>0</v>
          </cell>
          <cell r="F4">
            <v>0</v>
          </cell>
          <cell r="H4">
            <v>11745999.999999991</v>
          </cell>
          <cell r="I4">
            <v>0</v>
          </cell>
        </row>
        <row r="5">
          <cell r="C5">
            <v>11860000</v>
          </cell>
          <cell r="D5">
            <v>0</v>
          </cell>
          <cell r="E5">
            <v>1000000</v>
          </cell>
          <cell r="F5">
            <v>0</v>
          </cell>
          <cell r="H5">
            <v>11510000.000000006</v>
          </cell>
          <cell r="I5">
            <v>0</v>
          </cell>
        </row>
        <row r="6">
          <cell r="C6">
            <v>11954000</v>
          </cell>
          <cell r="D6">
            <v>0</v>
          </cell>
          <cell r="E6">
            <v>0</v>
          </cell>
          <cell r="F6">
            <v>0</v>
          </cell>
          <cell r="H6">
            <v>11604000.000000006</v>
          </cell>
          <cell r="I6">
            <v>0</v>
          </cell>
        </row>
        <row r="7">
          <cell r="C7">
            <v>11050000</v>
          </cell>
          <cell r="D7">
            <v>1000</v>
          </cell>
          <cell r="E7">
            <v>0</v>
          </cell>
          <cell r="F7">
            <v>0</v>
          </cell>
          <cell r="H7">
            <v>10700999.999999991</v>
          </cell>
          <cell r="I7">
            <v>0</v>
          </cell>
        </row>
        <row r="8">
          <cell r="C8">
            <v>11329000</v>
          </cell>
          <cell r="D8">
            <v>0</v>
          </cell>
          <cell r="E8">
            <v>0</v>
          </cell>
          <cell r="F8">
            <v>0</v>
          </cell>
          <cell r="H8">
            <v>10982000.000000006</v>
          </cell>
          <cell r="I8">
            <v>0</v>
          </cell>
        </row>
        <row r="9">
          <cell r="C9">
            <v>12026000</v>
          </cell>
          <cell r="D9">
            <v>0</v>
          </cell>
          <cell r="E9">
            <v>0</v>
          </cell>
          <cell r="F9">
            <v>0</v>
          </cell>
          <cell r="H9">
            <v>11730999.999999998</v>
          </cell>
          <cell r="I9">
            <v>0</v>
          </cell>
        </row>
        <row r="10">
          <cell r="C10">
            <v>12203000</v>
          </cell>
          <cell r="D10">
            <v>0</v>
          </cell>
          <cell r="E10">
            <v>0</v>
          </cell>
          <cell r="F10">
            <v>0</v>
          </cell>
          <cell r="H10">
            <v>11852000</v>
          </cell>
          <cell r="I10">
            <v>100000.0000003638</v>
          </cell>
        </row>
        <row r="11">
          <cell r="C11">
            <v>11813000</v>
          </cell>
          <cell r="D11">
            <v>0</v>
          </cell>
          <cell r="E11">
            <v>0</v>
          </cell>
          <cell r="F11">
            <v>0</v>
          </cell>
          <cell r="H11">
            <v>11459000</v>
          </cell>
          <cell r="I11">
            <v>0</v>
          </cell>
        </row>
        <row r="12">
          <cell r="C12">
            <v>12006000</v>
          </cell>
          <cell r="D12">
            <v>0</v>
          </cell>
          <cell r="E12">
            <v>0</v>
          </cell>
          <cell r="F12">
            <v>0</v>
          </cell>
          <cell r="H12">
            <v>11718000.000000004</v>
          </cell>
          <cell r="I12">
            <v>0</v>
          </cell>
        </row>
        <row r="13">
          <cell r="C13">
            <v>12037000</v>
          </cell>
          <cell r="D13">
            <v>0</v>
          </cell>
          <cell r="E13">
            <v>8000000</v>
          </cell>
          <cell r="F13">
            <v>0</v>
          </cell>
          <cell r="H13">
            <v>11686999.999999991</v>
          </cell>
          <cell r="I13">
            <v>0</v>
          </cell>
        </row>
        <row r="14">
          <cell r="C14">
            <v>12016000</v>
          </cell>
          <cell r="D14">
            <v>0</v>
          </cell>
          <cell r="E14">
            <v>1000000</v>
          </cell>
          <cell r="F14">
            <v>0</v>
          </cell>
          <cell r="H14">
            <v>11723999.999999998</v>
          </cell>
          <cell r="I14">
            <v>0</v>
          </cell>
        </row>
        <row r="15">
          <cell r="C15">
            <v>12564000</v>
          </cell>
          <cell r="D15">
            <v>0</v>
          </cell>
          <cell r="E15">
            <v>0</v>
          </cell>
          <cell r="F15">
            <v>0</v>
          </cell>
          <cell r="H15">
            <v>12211000.000000006</v>
          </cell>
          <cell r="I15">
            <v>0</v>
          </cell>
        </row>
        <row r="16">
          <cell r="C16">
            <v>12425000</v>
          </cell>
          <cell r="D16">
            <v>0</v>
          </cell>
          <cell r="E16">
            <v>0</v>
          </cell>
          <cell r="F16">
            <v>0</v>
          </cell>
          <cell r="H16">
            <v>12074999.999999991</v>
          </cell>
          <cell r="I16">
            <v>0</v>
          </cell>
        </row>
        <row r="17">
          <cell r="C17">
            <v>9653000</v>
          </cell>
          <cell r="D17">
            <v>0</v>
          </cell>
          <cell r="E17">
            <v>4000000</v>
          </cell>
          <cell r="F17">
            <v>0</v>
          </cell>
          <cell r="H17">
            <v>9359000.0000000037</v>
          </cell>
          <cell r="I17">
            <v>3437500</v>
          </cell>
        </row>
        <row r="18">
          <cell r="C18">
            <v>4946000</v>
          </cell>
          <cell r="D18">
            <v>0</v>
          </cell>
          <cell r="E18">
            <v>7000000</v>
          </cell>
          <cell r="F18">
            <v>0</v>
          </cell>
          <cell r="H18">
            <v>4650000.0000000075</v>
          </cell>
          <cell r="I18">
            <v>7000000</v>
          </cell>
        </row>
        <row r="19">
          <cell r="C19">
            <v>5015000</v>
          </cell>
          <cell r="D19">
            <v>0</v>
          </cell>
          <cell r="E19">
            <v>7000000</v>
          </cell>
          <cell r="F19">
            <v>0</v>
          </cell>
          <cell r="H19">
            <v>4778999.9999999953</v>
          </cell>
          <cell r="I19">
            <v>6800000</v>
          </cell>
        </row>
        <row r="20">
          <cell r="C20">
            <v>4998000</v>
          </cell>
          <cell r="D20">
            <v>0</v>
          </cell>
          <cell r="E20">
            <v>8000000</v>
          </cell>
          <cell r="F20">
            <v>0</v>
          </cell>
          <cell r="H20">
            <v>4764000.0000000056</v>
          </cell>
          <cell r="I20">
            <v>7399999.9999996359</v>
          </cell>
        </row>
        <row r="21">
          <cell r="C21">
            <v>5035000</v>
          </cell>
          <cell r="D21">
            <v>0</v>
          </cell>
          <cell r="E21">
            <v>8000000</v>
          </cell>
          <cell r="F21">
            <v>0</v>
          </cell>
          <cell r="H21">
            <v>4858999.9999999981</v>
          </cell>
          <cell r="I21">
            <v>7600000.0000003641</v>
          </cell>
        </row>
        <row r="22">
          <cell r="C22">
            <v>4998000</v>
          </cell>
          <cell r="D22">
            <v>0</v>
          </cell>
          <cell r="E22">
            <v>8000000</v>
          </cell>
          <cell r="F22">
            <v>0</v>
          </cell>
          <cell r="H22">
            <v>4823999.9999999935</v>
          </cell>
          <cell r="I22">
            <v>7600000.0000003641</v>
          </cell>
        </row>
        <row r="23">
          <cell r="C23">
            <v>5296000</v>
          </cell>
          <cell r="D23">
            <v>0</v>
          </cell>
          <cell r="E23">
            <v>7000000</v>
          </cell>
          <cell r="F23">
            <v>0</v>
          </cell>
          <cell r="H23">
            <v>5115000.0000000028</v>
          </cell>
          <cell r="I23">
            <v>7599999.9999985453</v>
          </cell>
        </row>
        <row r="24">
          <cell r="C24">
            <v>2907000</v>
          </cell>
          <cell r="D24">
            <v>0</v>
          </cell>
          <cell r="E24">
            <v>10000000</v>
          </cell>
          <cell r="F24">
            <v>0</v>
          </cell>
          <cell r="H24">
            <v>2792999.9999999953</v>
          </cell>
          <cell r="I24">
            <v>9100000.0000003632</v>
          </cell>
        </row>
        <row r="25">
          <cell r="C25">
            <v>0</v>
          </cell>
          <cell r="D25">
            <v>0</v>
          </cell>
          <cell r="E25">
            <v>14000000</v>
          </cell>
          <cell r="F25">
            <v>0</v>
          </cell>
          <cell r="H25">
            <v>0</v>
          </cell>
          <cell r="I25">
            <v>13300000.000001092</v>
          </cell>
        </row>
        <row r="26">
          <cell r="C26">
            <v>0</v>
          </cell>
          <cell r="D26">
            <v>0</v>
          </cell>
          <cell r="E26">
            <v>14000000</v>
          </cell>
          <cell r="F26">
            <v>0</v>
          </cell>
          <cell r="H26">
            <v>0</v>
          </cell>
          <cell r="I26">
            <v>12399999.999999637</v>
          </cell>
        </row>
        <row r="27">
          <cell r="C27">
            <v>0</v>
          </cell>
          <cell r="D27">
            <v>0</v>
          </cell>
          <cell r="E27">
            <v>6000000</v>
          </cell>
          <cell r="F27">
            <v>6000000</v>
          </cell>
          <cell r="H27">
            <v>0</v>
          </cell>
          <cell r="I27">
            <v>11500000</v>
          </cell>
        </row>
        <row r="28">
          <cell r="C28">
            <v>0</v>
          </cell>
          <cell r="D28">
            <v>0</v>
          </cell>
          <cell r="E28">
            <v>8000000</v>
          </cell>
          <cell r="F28">
            <v>5000000</v>
          </cell>
          <cell r="H28">
            <v>0</v>
          </cell>
          <cell r="I28">
            <v>12100000.000000363</v>
          </cell>
        </row>
        <row r="29">
          <cell r="C29">
            <v>0</v>
          </cell>
          <cell r="D29">
            <v>0</v>
          </cell>
          <cell r="E29">
            <v>13000000</v>
          </cell>
          <cell r="F29">
            <v>0</v>
          </cell>
          <cell r="H29">
            <v>0</v>
          </cell>
          <cell r="I29">
            <v>12299999.999999272</v>
          </cell>
        </row>
        <row r="30">
          <cell r="C30">
            <v>0</v>
          </cell>
          <cell r="D30">
            <v>0</v>
          </cell>
          <cell r="E30">
            <v>15000000</v>
          </cell>
          <cell r="F30">
            <v>0</v>
          </cell>
          <cell r="H30">
            <v>0</v>
          </cell>
          <cell r="I30">
            <v>14899999.999999637</v>
          </cell>
        </row>
        <row r="31">
          <cell r="C31">
            <v>0</v>
          </cell>
          <cell r="D31">
            <v>0</v>
          </cell>
          <cell r="E31">
            <v>16000000</v>
          </cell>
          <cell r="F31">
            <v>0</v>
          </cell>
          <cell r="H31">
            <v>0</v>
          </cell>
          <cell r="I31">
            <v>14300000.000001092</v>
          </cell>
        </row>
        <row r="32">
          <cell r="C32">
            <v>0</v>
          </cell>
          <cell r="D32">
            <v>0</v>
          </cell>
          <cell r="E32">
            <v>13000000</v>
          </cell>
          <cell r="F32">
            <v>0</v>
          </cell>
          <cell r="H32">
            <v>0</v>
          </cell>
          <cell r="I32">
            <v>12299999.999999272</v>
          </cell>
        </row>
        <row r="33">
          <cell r="C33">
            <v>0</v>
          </cell>
          <cell r="D33">
            <v>0</v>
          </cell>
          <cell r="E33">
            <v>11000000</v>
          </cell>
          <cell r="F33">
            <v>0</v>
          </cell>
          <cell r="H33">
            <v>0</v>
          </cell>
          <cell r="I33">
            <v>10600000.000000363</v>
          </cell>
        </row>
        <row r="34">
          <cell r="C34">
            <v>0</v>
          </cell>
          <cell r="D34">
            <v>0</v>
          </cell>
          <cell r="E34">
            <v>14000000</v>
          </cell>
          <cell r="F34">
            <v>0</v>
          </cell>
          <cell r="H34">
            <v>0</v>
          </cell>
          <cell r="I34">
            <v>12500000</v>
          </cell>
        </row>
        <row r="259">
          <cell r="D259">
            <v>350000.0000000085</v>
          </cell>
          <cell r="H259">
            <v>0</v>
          </cell>
        </row>
        <row r="260">
          <cell r="D260">
            <v>349999.9999999943</v>
          </cell>
          <cell r="H260">
            <v>0</v>
          </cell>
        </row>
        <row r="261">
          <cell r="D261">
            <v>349999.9999999943</v>
          </cell>
          <cell r="H261">
            <v>0</v>
          </cell>
        </row>
        <row r="262">
          <cell r="D262">
            <v>350000.0000000085</v>
          </cell>
          <cell r="H262">
            <v>0</v>
          </cell>
        </row>
        <row r="263">
          <cell r="D263">
            <v>346999.99999999418</v>
          </cell>
          <cell r="H263">
            <v>0</v>
          </cell>
        </row>
        <row r="264">
          <cell r="D264">
            <v>295000.00000000169</v>
          </cell>
          <cell r="H264">
            <v>0</v>
          </cell>
        </row>
        <row r="265">
          <cell r="D265">
            <v>350999.99999999907</v>
          </cell>
          <cell r="H265">
            <v>0</v>
          </cell>
        </row>
        <row r="266">
          <cell r="D266">
            <v>353999.99999999919</v>
          </cell>
          <cell r="H266">
            <v>0</v>
          </cell>
        </row>
        <row r="267">
          <cell r="D267">
            <v>287999.99999999668</v>
          </cell>
          <cell r="H267">
            <v>0</v>
          </cell>
        </row>
        <row r="268">
          <cell r="D268">
            <v>350000.0000000085</v>
          </cell>
          <cell r="H268">
            <v>0</v>
          </cell>
        </row>
        <row r="269">
          <cell r="D269">
            <v>292000.00000000157</v>
          </cell>
          <cell r="H269">
            <v>41958</v>
          </cell>
        </row>
        <row r="270">
          <cell r="D270">
            <v>352999.99999999441</v>
          </cell>
          <cell r="H270">
            <v>0</v>
          </cell>
        </row>
        <row r="271">
          <cell r="D271">
            <v>350000.0000000085</v>
          </cell>
          <cell r="H271">
            <v>-41958</v>
          </cell>
        </row>
        <row r="272">
          <cell r="D272">
            <v>293999.99999999691</v>
          </cell>
          <cell r="H272">
            <v>0</v>
          </cell>
        </row>
        <row r="273">
          <cell r="D273">
            <v>295999.99999999226</v>
          </cell>
          <cell r="H273">
            <v>0</v>
          </cell>
        </row>
        <row r="274">
          <cell r="D274">
            <v>236000.00000000422</v>
          </cell>
          <cell r="H274">
            <v>368455</v>
          </cell>
        </row>
        <row r="275">
          <cell r="D275">
            <v>233999.99999999464</v>
          </cell>
          <cell r="H275">
            <v>39352</v>
          </cell>
        </row>
        <row r="276">
          <cell r="D276">
            <v>176000.00000000192</v>
          </cell>
          <cell r="H276">
            <v>0</v>
          </cell>
        </row>
        <row r="277">
          <cell r="D277">
            <v>174000.00000000661</v>
          </cell>
          <cell r="H277">
            <v>0</v>
          </cell>
        </row>
        <row r="278">
          <cell r="D278">
            <v>180999.99999999738</v>
          </cell>
          <cell r="H278">
            <v>0</v>
          </cell>
        </row>
        <row r="279">
          <cell r="D279">
            <v>114000.00000000432</v>
          </cell>
          <cell r="H279">
            <v>164063</v>
          </cell>
        </row>
        <row r="280">
          <cell r="D280">
            <v>0</v>
          </cell>
          <cell r="H280">
            <v>253270</v>
          </cell>
        </row>
        <row r="281">
          <cell r="D281">
            <v>0</v>
          </cell>
          <cell r="H281">
            <v>792744</v>
          </cell>
        </row>
        <row r="282">
          <cell r="D282">
            <v>0</v>
          </cell>
          <cell r="H282">
            <v>587009</v>
          </cell>
        </row>
        <row r="283">
          <cell r="D283">
            <v>0</v>
          </cell>
          <cell r="H283">
            <v>-1506543</v>
          </cell>
        </row>
        <row r="284">
          <cell r="D284">
            <v>0</v>
          </cell>
          <cell r="H284">
            <v>-2316</v>
          </cell>
        </row>
        <row r="285">
          <cell r="D285">
            <v>0</v>
          </cell>
          <cell r="H285">
            <v>86155</v>
          </cell>
        </row>
        <row r="286">
          <cell r="D286">
            <v>0</v>
          </cell>
          <cell r="H286">
            <v>751936</v>
          </cell>
        </row>
        <row r="287">
          <cell r="D287">
            <v>0</v>
          </cell>
          <cell r="H287">
            <v>862991</v>
          </cell>
        </row>
        <row r="288">
          <cell r="D288">
            <v>0</v>
          </cell>
          <cell r="H288">
            <v>580000</v>
          </cell>
        </row>
        <row r="289">
          <cell r="D289">
            <v>0</v>
          </cell>
          <cell r="H289">
            <v>696917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Ap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14000000</v>
          </cell>
          <cell r="F4">
            <v>0</v>
          </cell>
          <cell r="H4">
            <v>0</v>
          </cell>
          <cell r="I4">
            <v>14000000</v>
          </cell>
        </row>
        <row r="5">
          <cell r="C5">
            <v>0</v>
          </cell>
          <cell r="D5">
            <v>0</v>
          </cell>
          <cell r="E5">
            <v>18000000</v>
          </cell>
          <cell r="F5">
            <v>0</v>
          </cell>
          <cell r="H5">
            <v>0</v>
          </cell>
          <cell r="I5">
            <v>17199999.999998908</v>
          </cell>
        </row>
        <row r="6">
          <cell r="C6">
            <v>0</v>
          </cell>
          <cell r="D6">
            <v>0</v>
          </cell>
          <cell r="E6">
            <v>18000000</v>
          </cell>
          <cell r="F6">
            <v>0</v>
          </cell>
          <cell r="H6">
            <v>-90999.999999999971</v>
          </cell>
          <cell r="I6">
            <v>16200000.000000728</v>
          </cell>
        </row>
        <row r="7">
          <cell r="C7">
            <v>0</v>
          </cell>
          <cell r="D7">
            <v>0</v>
          </cell>
          <cell r="E7">
            <v>13000000</v>
          </cell>
          <cell r="F7">
            <v>0</v>
          </cell>
          <cell r="H7">
            <v>-340000.00000000006</v>
          </cell>
          <cell r="I7">
            <v>11799999.999999272</v>
          </cell>
        </row>
        <row r="8">
          <cell r="C8">
            <v>0</v>
          </cell>
          <cell r="D8">
            <v>0</v>
          </cell>
          <cell r="E8">
            <v>12000000</v>
          </cell>
          <cell r="F8">
            <v>0</v>
          </cell>
          <cell r="H8">
            <v>0</v>
          </cell>
          <cell r="I8">
            <v>11600000.000000363</v>
          </cell>
        </row>
        <row r="9">
          <cell r="C9">
            <v>0</v>
          </cell>
          <cell r="D9">
            <v>0</v>
          </cell>
          <cell r="E9">
            <v>13000000</v>
          </cell>
          <cell r="F9">
            <v>0</v>
          </cell>
          <cell r="H9">
            <v>0</v>
          </cell>
          <cell r="I9">
            <v>12399999.999999637</v>
          </cell>
        </row>
        <row r="10">
          <cell r="C10">
            <v>0</v>
          </cell>
          <cell r="D10">
            <v>0</v>
          </cell>
          <cell r="E10">
            <v>13000000</v>
          </cell>
          <cell r="F10">
            <v>0</v>
          </cell>
          <cell r="H10">
            <v>0</v>
          </cell>
          <cell r="I10">
            <v>12300000.000001092</v>
          </cell>
        </row>
        <row r="11">
          <cell r="C11">
            <v>6000</v>
          </cell>
          <cell r="D11">
            <v>0</v>
          </cell>
          <cell r="E11">
            <v>14000000</v>
          </cell>
          <cell r="F11">
            <v>0</v>
          </cell>
          <cell r="H11">
            <v>6000</v>
          </cell>
          <cell r="I11">
            <v>13600000.000000363</v>
          </cell>
        </row>
        <row r="12">
          <cell r="C12">
            <v>0</v>
          </cell>
          <cell r="D12">
            <v>0</v>
          </cell>
          <cell r="E12">
            <v>16000000</v>
          </cell>
          <cell r="F12">
            <v>0</v>
          </cell>
          <cell r="H12">
            <v>0</v>
          </cell>
          <cell r="I12">
            <v>15599999.999998545</v>
          </cell>
        </row>
        <row r="13">
          <cell r="C13">
            <v>0</v>
          </cell>
          <cell r="D13">
            <v>0</v>
          </cell>
          <cell r="E13">
            <v>14000000</v>
          </cell>
          <cell r="F13">
            <v>0</v>
          </cell>
          <cell r="H13">
            <v>0</v>
          </cell>
          <cell r="I13">
            <v>12600000.000000363</v>
          </cell>
        </row>
        <row r="14">
          <cell r="C14">
            <v>0</v>
          </cell>
          <cell r="D14">
            <v>0</v>
          </cell>
          <cell r="E14">
            <v>20000000</v>
          </cell>
          <cell r="F14">
            <v>0</v>
          </cell>
          <cell r="H14">
            <v>0</v>
          </cell>
          <cell r="I14">
            <v>19100000.000000365</v>
          </cell>
        </row>
        <row r="15">
          <cell r="C15">
            <v>0</v>
          </cell>
          <cell r="D15">
            <v>0</v>
          </cell>
          <cell r="E15">
            <v>19000000</v>
          </cell>
          <cell r="F15">
            <v>0</v>
          </cell>
          <cell r="H15">
            <v>0</v>
          </cell>
          <cell r="I15">
            <v>18700000.000000726</v>
          </cell>
        </row>
        <row r="16">
          <cell r="C16">
            <v>0</v>
          </cell>
          <cell r="D16">
            <v>0</v>
          </cell>
          <cell r="E16">
            <v>14000000</v>
          </cell>
          <cell r="F16">
            <v>0</v>
          </cell>
          <cell r="H16">
            <v>0</v>
          </cell>
          <cell r="I16">
            <v>13399999.999999637</v>
          </cell>
        </row>
        <row r="17">
          <cell r="C17">
            <v>0</v>
          </cell>
          <cell r="D17">
            <v>0</v>
          </cell>
          <cell r="E17">
            <v>14000000</v>
          </cell>
          <cell r="F17">
            <v>0</v>
          </cell>
          <cell r="H17">
            <v>0</v>
          </cell>
          <cell r="I17">
            <v>12899999.999999637</v>
          </cell>
        </row>
        <row r="18">
          <cell r="C18">
            <v>0</v>
          </cell>
          <cell r="D18">
            <v>0</v>
          </cell>
          <cell r="E18">
            <v>15000000</v>
          </cell>
          <cell r="F18">
            <v>0</v>
          </cell>
          <cell r="H18">
            <v>0</v>
          </cell>
          <cell r="I18">
            <v>14500000</v>
          </cell>
        </row>
        <row r="19">
          <cell r="C19">
            <v>0</v>
          </cell>
          <cell r="D19">
            <v>0</v>
          </cell>
          <cell r="E19">
            <v>16000000</v>
          </cell>
          <cell r="F19">
            <v>0</v>
          </cell>
          <cell r="H19">
            <v>0</v>
          </cell>
          <cell r="I19">
            <v>15399999.999999637</v>
          </cell>
        </row>
        <row r="20">
          <cell r="C20">
            <v>0</v>
          </cell>
          <cell r="D20">
            <v>0</v>
          </cell>
          <cell r="E20">
            <v>18000000</v>
          </cell>
          <cell r="F20">
            <v>0</v>
          </cell>
          <cell r="H20">
            <v>0</v>
          </cell>
          <cell r="I20">
            <v>16600000.000000363</v>
          </cell>
        </row>
        <row r="21">
          <cell r="C21">
            <v>2489000</v>
          </cell>
          <cell r="D21">
            <v>0</v>
          </cell>
          <cell r="E21">
            <v>15000000</v>
          </cell>
          <cell r="F21">
            <v>0</v>
          </cell>
          <cell r="H21">
            <v>2489000</v>
          </cell>
          <cell r="I21">
            <v>13700000.000000728</v>
          </cell>
        </row>
        <row r="22">
          <cell r="C22">
            <v>4978000</v>
          </cell>
          <cell r="D22">
            <v>0</v>
          </cell>
          <cell r="E22">
            <v>10000000</v>
          </cell>
          <cell r="F22">
            <v>0</v>
          </cell>
          <cell r="H22">
            <v>4689000</v>
          </cell>
          <cell r="I22">
            <v>9599999.9999985453</v>
          </cell>
        </row>
        <row r="23">
          <cell r="C23">
            <v>5116000</v>
          </cell>
          <cell r="D23">
            <v>0</v>
          </cell>
          <cell r="E23">
            <v>10000000</v>
          </cell>
          <cell r="F23">
            <v>0</v>
          </cell>
          <cell r="H23">
            <v>4606000</v>
          </cell>
          <cell r="I23">
            <v>9400000.0000014547</v>
          </cell>
        </row>
        <row r="24">
          <cell r="C24">
            <v>4664000</v>
          </cell>
          <cell r="D24">
            <v>0</v>
          </cell>
          <cell r="E24">
            <v>12000000</v>
          </cell>
          <cell r="F24">
            <v>0</v>
          </cell>
          <cell r="H24">
            <v>4200000</v>
          </cell>
          <cell r="I24">
            <v>11599999.999998545</v>
          </cell>
        </row>
        <row r="25">
          <cell r="C25">
            <v>4934000</v>
          </cell>
          <cell r="D25">
            <v>0</v>
          </cell>
          <cell r="E25">
            <v>10000000</v>
          </cell>
          <cell r="F25">
            <v>0</v>
          </cell>
          <cell r="H25">
            <v>4451000</v>
          </cell>
          <cell r="I25">
            <v>9500000</v>
          </cell>
        </row>
        <row r="26">
          <cell r="C26">
            <v>4888000</v>
          </cell>
          <cell r="D26">
            <v>0</v>
          </cell>
          <cell r="E26">
            <v>12000000</v>
          </cell>
          <cell r="F26">
            <v>0</v>
          </cell>
          <cell r="H26">
            <v>4501000</v>
          </cell>
          <cell r="I26">
            <v>10200000.000000728</v>
          </cell>
        </row>
        <row r="27">
          <cell r="C27">
            <v>5125000</v>
          </cell>
          <cell r="D27">
            <v>0</v>
          </cell>
          <cell r="E27">
            <v>13000000</v>
          </cell>
          <cell r="F27">
            <v>0</v>
          </cell>
          <cell r="H27">
            <v>4741000</v>
          </cell>
          <cell r="I27">
            <v>12500000</v>
          </cell>
        </row>
        <row r="28">
          <cell r="C28">
            <v>5015000</v>
          </cell>
          <cell r="D28">
            <v>0</v>
          </cell>
          <cell r="E28">
            <v>10000000</v>
          </cell>
          <cell r="F28">
            <v>0</v>
          </cell>
          <cell r="H28">
            <v>4535000</v>
          </cell>
          <cell r="I28">
            <v>10000000</v>
          </cell>
        </row>
        <row r="29">
          <cell r="C29">
            <v>5036000</v>
          </cell>
          <cell r="D29">
            <v>0</v>
          </cell>
          <cell r="E29">
            <v>11000000</v>
          </cell>
          <cell r="F29">
            <v>0</v>
          </cell>
          <cell r="H29">
            <v>4564000</v>
          </cell>
          <cell r="I29">
            <v>9299999.9999992717</v>
          </cell>
        </row>
        <row r="30">
          <cell r="C30">
            <v>4938000</v>
          </cell>
          <cell r="D30">
            <v>0</v>
          </cell>
          <cell r="E30">
            <v>11000000</v>
          </cell>
          <cell r="F30">
            <v>0</v>
          </cell>
          <cell r="H30">
            <v>4448000</v>
          </cell>
          <cell r="I30">
            <v>9600000.0000003632</v>
          </cell>
        </row>
        <row r="31">
          <cell r="C31">
            <v>4931000</v>
          </cell>
          <cell r="D31">
            <v>0</v>
          </cell>
          <cell r="E31">
            <v>13000000</v>
          </cell>
          <cell r="F31">
            <v>0</v>
          </cell>
          <cell r="H31">
            <v>4576000</v>
          </cell>
          <cell r="I31">
            <v>13399999.999999637</v>
          </cell>
        </row>
        <row r="32">
          <cell r="C32">
            <v>5134000</v>
          </cell>
          <cell r="D32">
            <v>0</v>
          </cell>
          <cell r="E32">
            <v>16000000</v>
          </cell>
          <cell r="F32">
            <v>0</v>
          </cell>
          <cell r="H32">
            <v>4764000</v>
          </cell>
          <cell r="I32">
            <v>14900000.000001455</v>
          </cell>
        </row>
        <row r="33">
          <cell r="C33">
            <v>4989000</v>
          </cell>
          <cell r="D33">
            <v>0</v>
          </cell>
          <cell r="E33">
            <v>14000000</v>
          </cell>
          <cell r="F33">
            <v>0</v>
          </cell>
          <cell r="H33">
            <v>4618000</v>
          </cell>
          <cell r="I33">
            <v>12299999.999999272</v>
          </cell>
        </row>
        <row r="252">
          <cell r="D252">
            <v>0</v>
          </cell>
          <cell r="H252">
            <v>686614</v>
          </cell>
        </row>
        <row r="253">
          <cell r="D253">
            <v>0</v>
          </cell>
          <cell r="H253">
            <v>0</v>
          </cell>
        </row>
        <row r="254">
          <cell r="D254">
            <v>90999.999999999971</v>
          </cell>
          <cell r="H254">
            <v>991805</v>
          </cell>
        </row>
        <row r="255">
          <cell r="D255">
            <v>340000.00000000006</v>
          </cell>
          <cell r="H255">
            <v>661647</v>
          </cell>
        </row>
        <row r="256">
          <cell r="D256">
            <v>13999.999999999791</v>
          </cell>
          <cell r="H256">
            <v>620173</v>
          </cell>
        </row>
        <row r="257">
          <cell r="D257">
            <v>0</v>
          </cell>
          <cell r="H257">
            <v>698270</v>
          </cell>
        </row>
        <row r="258">
          <cell r="D258">
            <v>0</v>
          </cell>
          <cell r="H258">
            <v>762798</v>
          </cell>
        </row>
        <row r="259">
          <cell r="D259">
            <v>0</v>
          </cell>
          <cell r="H259">
            <v>668906</v>
          </cell>
        </row>
        <row r="260">
          <cell r="D260">
            <v>0</v>
          </cell>
          <cell r="H260">
            <v>825523</v>
          </cell>
        </row>
        <row r="261">
          <cell r="D261">
            <v>0</v>
          </cell>
          <cell r="H261">
            <v>659051</v>
          </cell>
        </row>
        <row r="262">
          <cell r="D262">
            <v>0</v>
          </cell>
          <cell r="H262">
            <v>1142538</v>
          </cell>
        </row>
        <row r="263">
          <cell r="D263">
            <v>0</v>
          </cell>
          <cell r="H263">
            <v>1082785</v>
          </cell>
        </row>
        <row r="264">
          <cell r="D264">
            <v>0</v>
          </cell>
          <cell r="H264">
            <v>796092</v>
          </cell>
        </row>
        <row r="265">
          <cell r="D265">
            <v>0</v>
          </cell>
          <cell r="H265">
            <v>619058</v>
          </cell>
        </row>
        <row r="266">
          <cell r="D266">
            <v>0</v>
          </cell>
          <cell r="H266">
            <v>861427</v>
          </cell>
        </row>
        <row r="267">
          <cell r="D267">
            <v>0</v>
          </cell>
          <cell r="H267">
            <v>856097</v>
          </cell>
        </row>
        <row r="268">
          <cell r="D268">
            <v>0</v>
          </cell>
          <cell r="H268">
            <v>740587</v>
          </cell>
        </row>
        <row r="269">
          <cell r="D269">
            <v>0</v>
          </cell>
          <cell r="H269">
            <v>740515</v>
          </cell>
        </row>
        <row r="270">
          <cell r="D270">
            <v>289000.00000000017</v>
          </cell>
          <cell r="H270">
            <v>411824</v>
          </cell>
        </row>
        <row r="271">
          <cell r="D271">
            <v>510000</v>
          </cell>
          <cell r="H271">
            <v>574054</v>
          </cell>
        </row>
        <row r="272">
          <cell r="D272">
            <v>463999.99999999994</v>
          </cell>
          <cell r="H272">
            <v>536957</v>
          </cell>
        </row>
        <row r="273">
          <cell r="D273">
            <v>483000.00000000012</v>
          </cell>
          <cell r="H273">
            <v>426995</v>
          </cell>
        </row>
        <row r="274">
          <cell r="D274">
            <v>387000</v>
          </cell>
          <cell r="H274">
            <v>656481</v>
          </cell>
        </row>
        <row r="275">
          <cell r="D275">
            <v>383999.99999999988</v>
          </cell>
          <cell r="H275">
            <v>616460</v>
          </cell>
        </row>
        <row r="276">
          <cell r="D276">
            <v>479999.99999999953</v>
          </cell>
          <cell r="H276">
            <v>494009</v>
          </cell>
        </row>
        <row r="277">
          <cell r="D277">
            <v>472000.00000000041</v>
          </cell>
          <cell r="H277">
            <v>673574</v>
          </cell>
        </row>
        <row r="278">
          <cell r="D278">
            <v>490000.00000000023</v>
          </cell>
          <cell r="H278">
            <v>601108</v>
          </cell>
        </row>
        <row r="279">
          <cell r="D279">
            <v>354999.99999999953</v>
          </cell>
          <cell r="H279">
            <v>786550</v>
          </cell>
        </row>
        <row r="280">
          <cell r="D280">
            <v>370000.00000000012</v>
          </cell>
          <cell r="H280">
            <v>826727</v>
          </cell>
        </row>
        <row r="281">
          <cell r="D281">
            <v>371000.00000000047</v>
          </cell>
          <cell r="H281">
            <v>716641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5026000</v>
          </cell>
          <cell r="D4">
            <v>0</v>
          </cell>
          <cell r="E4">
            <v>12000000</v>
          </cell>
          <cell r="F4">
            <v>0</v>
          </cell>
          <cell r="H4">
            <v>4665000</v>
          </cell>
          <cell r="I4">
            <v>11600000.000000363</v>
          </cell>
        </row>
        <row r="5">
          <cell r="C5">
            <v>4929000</v>
          </cell>
          <cell r="D5">
            <v>0</v>
          </cell>
          <cell r="E5">
            <v>15000000</v>
          </cell>
          <cell r="F5">
            <v>0</v>
          </cell>
          <cell r="H5">
            <v>4556000</v>
          </cell>
          <cell r="I5">
            <v>14399999.999999637</v>
          </cell>
        </row>
        <row r="6">
          <cell r="C6">
            <v>5064000</v>
          </cell>
          <cell r="D6">
            <v>0</v>
          </cell>
          <cell r="E6">
            <v>19000000</v>
          </cell>
          <cell r="F6">
            <v>0</v>
          </cell>
          <cell r="H6">
            <v>4684000</v>
          </cell>
          <cell r="I6">
            <v>16899999.999999635</v>
          </cell>
        </row>
        <row r="7">
          <cell r="C7">
            <v>5002000</v>
          </cell>
          <cell r="D7">
            <v>0</v>
          </cell>
          <cell r="E7">
            <v>17000000</v>
          </cell>
          <cell r="F7">
            <v>0</v>
          </cell>
          <cell r="H7">
            <v>4645000.0000000009</v>
          </cell>
          <cell r="I7">
            <v>16600000.000000363</v>
          </cell>
        </row>
        <row r="8">
          <cell r="C8">
            <v>5236000</v>
          </cell>
          <cell r="D8">
            <v>0</v>
          </cell>
          <cell r="E8">
            <v>21000000</v>
          </cell>
          <cell r="F8">
            <v>0</v>
          </cell>
          <cell r="H8">
            <v>4787000</v>
          </cell>
          <cell r="I8">
            <v>19200000.000000726</v>
          </cell>
        </row>
        <row r="9">
          <cell r="C9">
            <v>9169000</v>
          </cell>
          <cell r="D9">
            <v>0</v>
          </cell>
          <cell r="E9">
            <v>21000000</v>
          </cell>
          <cell r="F9">
            <v>0</v>
          </cell>
          <cell r="H9">
            <v>8576000</v>
          </cell>
          <cell r="I9">
            <v>20500000</v>
          </cell>
        </row>
        <row r="10">
          <cell r="C10">
            <v>10018000</v>
          </cell>
          <cell r="D10">
            <v>0</v>
          </cell>
          <cell r="E10">
            <v>20000000</v>
          </cell>
          <cell r="F10">
            <v>0</v>
          </cell>
          <cell r="H10">
            <v>9295999.9999999981</v>
          </cell>
          <cell r="I10">
            <v>18399999.999999635</v>
          </cell>
        </row>
        <row r="11">
          <cell r="C11">
            <v>10034000</v>
          </cell>
          <cell r="D11">
            <v>0</v>
          </cell>
          <cell r="E11">
            <v>22000000</v>
          </cell>
          <cell r="F11">
            <v>0</v>
          </cell>
          <cell r="H11">
            <v>9426000.0000000019</v>
          </cell>
          <cell r="I11">
            <v>20699999.999998908</v>
          </cell>
        </row>
        <row r="12">
          <cell r="C12">
            <v>10008000</v>
          </cell>
          <cell r="D12">
            <v>0</v>
          </cell>
          <cell r="E12">
            <v>22000000</v>
          </cell>
          <cell r="F12">
            <v>0</v>
          </cell>
          <cell r="H12">
            <v>9131000</v>
          </cell>
          <cell r="I12">
            <v>21000000</v>
          </cell>
        </row>
        <row r="13">
          <cell r="C13">
            <v>9984000</v>
          </cell>
          <cell r="D13">
            <v>0</v>
          </cell>
          <cell r="E13">
            <v>22000000</v>
          </cell>
          <cell r="F13">
            <v>0</v>
          </cell>
          <cell r="H13">
            <v>9409000</v>
          </cell>
          <cell r="I13">
            <v>20900000.000001457</v>
          </cell>
        </row>
        <row r="14">
          <cell r="C14">
            <v>5444000</v>
          </cell>
          <cell r="D14">
            <v>0</v>
          </cell>
          <cell r="E14">
            <v>16000000</v>
          </cell>
          <cell r="F14">
            <v>0</v>
          </cell>
          <cell r="H14">
            <v>4839999.9999999991</v>
          </cell>
          <cell r="I14">
            <v>14799999.999999272</v>
          </cell>
        </row>
        <row r="15">
          <cell r="C15">
            <v>5252000</v>
          </cell>
          <cell r="D15">
            <v>0</v>
          </cell>
          <cell r="E15">
            <v>13000000</v>
          </cell>
          <cell r="F15">
            <v>0</v>
          </cell>
          <cell r="H15">
            <v>4740000</v>
          </cell>
          <cell r="I15">
            <v>11799999.999999272</v>
          </cell>
        </row>
        <row r="16">
          <cell r="C16">
            <v>5403000</v>
          </cell>
          <cell r="D16">
            <v>0</v>
          </cell>
          <cell r="E16">
            <v>11000000</v>
          </cell>
          <cell r="F16">
            <v>0</v>
          </cell>
          <cell r="H16">
            <v>4929000.0000000019</v>
          </cell>
          <cell r="I16">
            <v>10600000.000000363</v>
          </cell>
        </row>
        <row r="17">
          <cell r="C17">
            <v>5407000</v>
          </cell>
          <cell r="D17">
            <v>0</v>
          </cell>
          <cell r="E17">
            <v>13000000</v>
          </cell>
          <cell r="F17">
            <v>0</v>
          </cell>
          <cell r="H17">
            <v>5106000</v>
          </cell>
          <cell r="I17">
            <v>11800000.000001092</v>
          </cell>
        </row>
        <row r="18">
          <cell r="C18">
            <v>5287000</v>
          </cell>
          <cell r="D18">
            <v>0</v>
          </cell>
          <cell r="E18">
            <v>12000000</v>
          </cell>
          <cell r="F18">
            <v>0</v>
          </cell>
          <cell r="H18">
            <v>5105999.9999999991</v>
          </cell>
          <cell r="I18">
            <v>11899999.999999637</v>
          </cell>
        </row>
        <row r="19">
          <cell r="C19">
            <v>7500000</v>
          </cell>
          <cell r="D19">
            <v>0</v>
          </cell>
          <cell r="E19">
            <v>13000000</v>
          </cell>
          <cell r="F19">
            <v>0</v>
          </cell>
          <cell r="H19">
            <v>7127000.0000000009</v>
          </cell>
          <cell r="I19">
            <v>11799999.999999272</v>
          </cell>
        </row>
        <row r="20">
          <cell r="C20">
            <v>7224000</v>
          </cell>
          <cell r="D20">
            <v>0</v>
          </cell>
          <cell r="E20">
            <v>12000000</v>
          </cell>
          <cell r="F20">
            <v>0</v>
          </cell>
          <cell r="H20">
            <v>6574000</v>
          </cell>
          <cell r="I20">
            <v>11200000.000000728</v>
          </cell>
        </row>
        <row r="21">
          <cell r="C21">
            <v>6477000</v>
          </cell>
          <cell r="D21">
            <v>0</v>
          </cell>
          <cell r="E21">
            <v>11000000</v>
          </cell>
          <cell r="F21">
            <v>0</v>
          </cell>
          <cell r="H21">
            <v>5902000.0000000009</v>
          </cell>
          <cell r="I21">
            <v>10799999.999999272</v>
          </cell>
        </row>
        <row r="22">
          <cell r="C22">
            <v>6116000</v>
          </cell>
          <cell r="D22">
            <v>0</v>
          </cell>
          <cell r="E22">
            <v>10000000</v>
          </cell>
          <cell r="F22">
            <v>0</v>
          </cell>
          <cell r="H22">
            <v>5540999.9999999991</v>
          </cell>
          <cell r="I22">
            <v>9300000.0000010915</v>
          </cell>
        </row>
        <row r="23">
          <cell r="C23">
            <v>6310000</v>
          </cell>
          <cell r="D23">
            <v>0</v>
          </cell>
          <cell r="E23">
            <v>10000000</v>
          </cell>
          <cell r="F23">
            <v>0</v>
          </cell>
          <cell r="H23">
            <v>5819000</v>
          </cell>
          <cell r="I23">
            <v>9199999.9999989085</v>
          </cell>
        </row>
        <row r="24">
          <cell r="C24">
            <v>6206000</v>
          </cell>
          <cell r="D24">
            <v>0</v>
          </cell>
          <cell r="E24">
            <v>10000000</v>
          </cell>
          <cell r="F24">
            <v>0</v>
          </cell>
          <cell r="H24">
            <v>5716999.9999999991</v>
          </cell>
          <cell r="I24">
            <v>9399999.9999996368</v>
          </cell>
        </row>
        <row r="25">
          <cell r="C25">
            <v>7027000</v>
          </cell>
          <cell r="D25">
            <v>0</v>
          </cell>
          <cell r="E25">
            <v>12000000</v>
          </cell>
          <cell r="F25">
            <v>0</v>
          </cell>
          <cell r="H25">
            <v>6548000.0000000009</v>
          </cell>
          <cell r="I25">
            <v>11000000</v>
          </cell>
        </row>
        <row r="26">
          <cell r="C26">
            <v>7018000</v>
          </cell>
          <cell r="D26">
            <v>0</v>
          </cell>
          <cell r="E26">
            <v>12000000</v>
          </cell>
          <cell r="F26">
            <v>0</v>
          </cell>
          <cell r="H26">
            <v>6432000.0000000019</v>
          </cell>
          <cell r="I26">
            <v>11100000.000000363</v>
          </cell>
        </row>
        <row r="27">
          <cell r="C27">
            <v>6589000</v>
          </cell>
          <cell r="D27">
            <v>0</v>
          </cell>
          <cell r="E27">
            <v>12000000</v>
          </cell>
          <cell r="F27">
            <v>0</v>
          </cell>
          <cell r="H27">
            <v>6000999.9999999991</v>
          </cell>
          <cell r="I27">
            <v>11200000.000000728</v>
          </cell>
        </row>
        <row r="28">
          <cell r="C28">
            <v>5981000</v>
          </cell>
          <cell r="D28">
            <v>0</v>
          </cell>
          <cell r="E28">
            <v>12000000</v>
          </cell>
          <cell r="F28">
            <v>0</v>
          </cell>
          <cell r="H28">
            <v>5488999.9999999991</v>
          </cell>
          <cell r="I28">
            <v>11199999.999998908</v>
          </cell>
        </row>
        <row r="29">
          <cell r="C29">
            <v>6139000</v>
          </cell>
          <cell r="D29">
            <v>0</v>
          </cell>
          <cell r="E29">
            <v>12000000</v>
          </cell>
          <cell r="F29">
            <v>0</v>
          </cell>
          <cell r="H29">
            <v>5649000.0000000019</v>
          </cell>
          <cell r="I29">
            <v>11200000.000000728</v>
          </cell>
        </row>
        <row r="30">
          <cell r="C30">
            <v>7891000</v>
          </cell>
          <cell r="D30">
            <v>0</v>
          </cell>
          <cell r="E30">
            <v>14000000</v>
          </cell>
          <cell r="F30">
            <v>0</v>
          </cell>
          <cell r="H30">
            <v>7400999.9999999981</v>
          </cell>
          <cell r="I30">
            <v>12899999.999999637</v>
          </cell>
        </row>
        <row r="31">
          <cell r="C31">
            <v>8980000</v>
          </cell>
          <cell r="D31">
            <v>0</v>
          </cell>
          <cell r="E31">
            <v>15000000</v>
          </cell>
          <cell r="F31">
            <v>0</v>
          </cell>
          <cell r="H31">
            <v>8579000</v>
          </cell>
          <cell r="I31">
            <v>14700000.000000728</v>
          </cell>
        </row>
        <row r="32">
          <cell r="C32">
            <v>8032000</v>
          </cell>
          <cell r="D32">
            <v>0</v>
          </cell>
          <cell r="E32">
            <v>15000000</v>
          </cell>
          <cell r="F32">
            <v>0</v>
          </cell>
          <cell r="H32">
            <v>7336000.0000000019</v>
          </cell>
          <cell r="I32">
            <v>13600000.000000363</v>
          </cell>
        </row>
        <row r="33">
          <cell r="C33">
            <v>7978000</v>
          </cell>
          <cell r="D33">
            <v>0</v>
          </cell>
          <cell r="E33">
            <v>16000000</v>
          </cell>
          <cell r="F33">
            <v>0</v>
          </cell>
          <cell r="H33">
            <v>7380999.9999999981</v>
          </cell>
          <cell r="I33">
            <v>14399999.999999637</v>
          </cell>
        </row>
        <row r="34">
          <cell r="C34">
            <v>9072000</v>
          </cell>
          <cell r="D34">
            <v>0</v>
          </cell>
          <cell r="E34">
            <v>19000000</v>
          </cell>
          <cell r="F34">
            <v>0</v>
          </cell>
          <cell r="H34">
            <v>8485000</v>
          </cell>
          <cell r="I34">
            <v>19000000</v>
          </cell>
        </row>
        <row r="259">
          <cell r="D259">
            <v>360999.99999999977</v>
          </cell>
          <cell r="H259">
            <v>734986</v>
          </cell>
        </row>
        <row r="260">
          <cell r="D260">
            <v>373000.00000000023</v>
          </cell>
          <cell r="H260">
            <v>756796</v>
          </cell>
        </row>
        <row r="261">
          <cell r="D261">
            <v>379999.99999999988</v>
          </cell>
          <cell r="H261">
            <v>973100</v>
          </cell>
        </row>
        <row r="262">
          <cell r="D262">
            <v>356999.9999999993</v>
          </cell>
          <cell r="H262">
            <v>950941</v>
          </cell>
        </row>
        <row r="263">
          <cell r="D263">
            <v>448999.99999999983</v>
          </cell>
          <cell r="H263">
            <v>1056274</v>
          </cell>
        </row>
        <row r="264">
          <cell r="D264">
            <v>593000</v>
          </cell>
          <cell r="H264">
            <v>1140258</v>
          </cell>
        </row>
        <row r="265">
          <cell r="D265">
            <v>722000.00000000128</v>
          </cell>
          <cell r="H265">
            <v>954525</v>
          </cell>
        </row>
        <row r="266">
          <cell r="D266">
            <v>607999.99999999872</v>
          </cell>
          <cell r="H266">
            <v>1168948</v>
          </cell>
        </row>
        <row r="267">
          <cell r="D267">
            <v>877000.0000000007</v>
          </cell>
          <cell r="H267">
            <v>1077253</v>
          </cell>
        </row>
        <row r="268">
          <cell r="D268">
            <v>574999.9999999993</v>
          </cell>
          <cell r="H268">
            <v>1148815</v>
          </cell>
        </row>
        <row r="269">
          <cell r="D269">
            <v>604000.00000000093</v>
          </cell>
          <cell r="H269">
            <v>778702</v>
          </cell>
        </row>
        <row r="270">
          <cell r="D270">
            <v>512000.00000000047</v>
          </cell>
          <cell r="H270">
            <v>736572</v>
          </cell>
        </row>
        <row r="271">
          <cell r="D271">
            <v>473999.99999999843</v>
          </cell>
          <cell r="H271">
            <v>592030</v>
          </cell>
        </row>
        <row r="272">
          <cell r="D272">
            <v>301000.00000000017</v>
          </cell>
          <cell r="H272">
            <v>734000</v>
          </cell>
        </row>
        <row r="273">
          <cell r="D273">
            <v>181000.00000000093</v>
          </cell>
          <cell r="H273">
            <v>618108</v>
          </cell>
        </row>
        <row r="274">
          <cell r="D274">
            <v>372999.99999999936</v>
          </cell>
          <cell r="H274">
            <v>694609</v>
          </cell>
        </row>
        <row r="275">
          <cell r="D275">
            <v>650000.00000000035</v>
          </cell>
          <cell r="H275">
            <v>659522</v>
          </cell>
        </row>
        <row r="276">
          <cell r="D276">
            <v>574999.9999999993</v>
          </cell>
          <cell r="H276">
            <v>508860</v>
          </cell>
        </row>
        <row r="277">
          <cell r="D277">
            <v>575000.00000000105</v>
          </cell>
          <cell r="H277">
            <v>438028</v>
          </cell>
        </row>
        <row r="278">
          <cell r="D278">
            <v>490999.99999999965</v>
          </cell>
          <cell r="H278">
            <v>566893</v>
          </cell>
        </row>
        <row r="279">
          <cell r="D279">
            <v>489000.00000000076</v>
          </cell>
          <cell r="H279">
            <v>491199</v>
          </cell>
        </row>
        <row r="280">
          <cell r="D280">
            <v>478999.99999999919</v>
          </cell>
          <cell r="H280">
            <v>585422</v>
          </cell>
        </row>
        <row r="281">
          <cell r="D281">
            <v>585999.99999999849</v>
          </cell>
          <cell r="H281">
            <v>633101</v>
          </cell>
        </row>
        <row r="282">
          <cell r="D282">
            <v>588000.00000000093</v>
          </cell>
          <cell r="H282">
            <v>368068</v>
          </cell>
        </row>
        <row r="283">
          <cell r="D283">
            <v>492000.00000000087</v>
          </cell>
          <cell r="H283">
            <v>669319</v>
          </cell>
        </row>
        <row r="284">
          <cell r="D284">
            <v>489999.99999999843</v>
          </cell>
          <cell r="H284">
            <v>617311</v>
          </cell>
        </row>
        <row r="285">
          <cell r="D285">
            <v>490000.00000000198</v>
          </cell>
          <cell r="H285">
            <v>0</v>
          </cell>
        </row>
        <row r="286">
          <cell r="D286">
            <v>400999.99999999983</v>
          </cell>
          <cell r="H286">
            <v>815012</v>
          </cell>
        </row>
        <row r="287">
          <cell r="D287">
            <v>695999.9999999979</v>
          </cell>
          <cell r="H287">
            <v>656423</v>
          </cell>
        </row>
        <row r="288">
          <cell r="D288">
            <v>597000.00000000128</v>
          </cell>
          <cell r="H288">
            <v>782007</v>
          </cell>
        </row>
        <row r="289">
          <cell r="D289">
            <v>586999.99999999977</v>
          </cell>
          <cell r="H289">
            <v>1066333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9030000</v>
          </cell>
          <cell r="D4">
            <v>0</v>
          </cell>
          <cell r="E4">
            <v>21000000</v>
          </cell>
          <cell r="F4">
            <v>0</v>
          </cell>
          <cell r="H4">
            <v>8443000</v>
          </cell>
          <cell r="I4">
            <v>18299999.999999274</v>
          </cell>
        </row>
        <row r="5">
          <cell r="C5">
            <v>9299000</v>
          </cell>
          <cell r="D5">
            <v>0</v>
          </cell>
          <cell r="E5">
            <v>21000000</v>
          </cell>
          <cell r="F5">
            <v>0</v>
          </cell>
          <cell r="H5">
            <v>8587000</v>
          </cell>
          <cell r="I5">
            <v>21200000.000000726</v>
          </cell>
        </row>
        <row r="6">
          <cell r="C6">
            <v>9885000</v>
          </cell>
          <cell r="D6">
            <v>0</v>
          </cell>
          <cell r="E6">
            <v>20000000</v>
          </cell>
          <cell r="F6">
            <v>0</v>
          </cell>
          <cell r="H6">
            <v>9307999.9999999981</v>
          </cell>
          <cell r="I6">
            <v>19600000.000000365</v>
          </cell>
        </row>
        <row r="7">
          <cell r="C7">
            <v>11610000</v>
          </cell>
          <cell r="D7">
            <v>0</v>
          </cell>
          <cell r="E7">
            <v>22000000</v>
          </cell>
          <cell r="F7">
            <v>0</v>
          </cell>
          <cell r="H7">
            <v>10827000.000000002</v>
          </cell>
          <cell r="I7">
            <v>20299999.999999274</v>
          </cell>
        </row>
        <row r="8">
          <cell r="C8">
            <v>10230000</v>
          </cell>
          <cell r="D8">
            <v>0</v>
          </cell>
          <cell r="E8">
            <v>22000000</v>
          </cell>
          <cell r="F8">
            <v>0</v>
          </cell>
          <cell r="H8">
            <v>9451000</v>
          </cell>
          <cell r="I8">
            <v>21399999.999999635</v>
          </cell>
        </row>
        <row r="9">
          <cell r="C9">
            <v>11328000</v>
          </cell>
          <cell r="D9">
            <v>0</v>
          </cell>
          <cell r="E9">
            <v>23000000</v>
          </cell>
          <cell r="F9">
            <v>0</v>
          </cell>
          <cell r="H9">
            <v>10496000</v>
          </cell>
          <cell r="I9">
            <v>21399999.999999635</v>
          </cell>
        </row>
        <row r="10">
          <cell r="C10">
            <v>10022000</v>
          </cell>
          <cell r="D10">
            <v>0</v>
          </cell>
          <cell r="E10">
            <v>23000000</v>
          </cell>
          <cell r="F10">
            <v>0</v>
          </cell>
          <cell r="H10">
            <v>9179000</v>
          </cell>
          <cell r="I10">
            <v>22700000.000000726</v>
          </cell>
        </row>
        <row r="11">
          <cell r="C11">
            <v>11084000</v>
          </cell>
          <cell r="D11">
            <v>0</v>
          </cell>
          <cell r="E11">
            <v>22000000</v>
          </cell>
          <cell r="F11">
            <v>0</v>
          </cell>
          <cell r="H11">
            <v>10306999.999999998</v>
          </cell>
          <cell r="I11">
            <v>21000000</v>
          </cell>
        </row>
        <row r="12">
          <cell r="C12">
            <v>7132000</v>
          </cell>
          <cell r="D12">
            <v>0</v>
          </cell>
          <cell r="E12">
            <v>21000000</v>
          </cell>
          <cell r="F12">
            <v>0</v>
          </cell>
          <cell r="H12">
            <v>6322999.9999999991</v>
          </cell>
          <cell r="I12">
            <v>19799999.999999274</v>
          </cell>
        </row>
        <row r="13">
          <cell r="C13">
            <v>12142000</v>
          </cell>
          <cell r="D13">
            <v>0</v>
          </cell>
          <cell r="E13">
            <v>22000000</v>
          </cell>
          <cell r="F13">
            <v>0</v>
          </cell>
          <cell r="H13">
            <v>11492000.000000002</v>
          </cell>
          <cell r="I13">
            <v>20200000.000000726</v>
          </cell>
        </row>
        <row r="14">
          <cell r="C14">
            <v>11349000</v>
          </cell>
          <cell r="D14">
            <v>0</v>
          </cell>
          <cell r="E14">
            <v>23000000</v>
          </cell>
          <cell r="F14">
            <v>0</v>
          </cell>
          <cell r="H14">
            <v>10521000</v>
          </cell>
          <cell r="I14">
            <v>21700000.000000726</v>
          </cell>
        </row>
        <row r="15">
          <cell r="C15">
            <v>11217000</v>
          </cell>
          <cell r="D15">
            <v>0</v>
          </cell>
          <cell r="E15">
            <v>22000000</v>
          </cell>
          <cell r="F15">
            <v>0</v>
          </cell>
          <cell r="H15">
            <v>10438999.999999998</v>
          </cell>
          <cell r="I15">
            <v>21399999.999999635</v>
          </cell>
        </row>
        <row r="16">
          <cell r="C16">
            <v>11433000</v>
          </cell>
          <cell r="D16">
            <v>0</v>
          </cell>
          <cell r="E16">
            <v>22000000</v>
          </cell>
          <cell r="F16">
            <v>2000000</v>
          </cell>
          <cell r="H16">
            <v>10729000.000000004</v>
          </cell>
          <cell r="I16">
            <v>22799999.999999274</v>
          </cell>
        </row>
        <row r="17">
          <cell r="C17">
            <v>9656000</v>
          </cell>
          <cell r="D17">
            <v>0</v>
          </cell>
          <cell r="E17">
            <v>18000000</v>
          </cell>
          <cell r="F17">
            <v>5000000</v>
          </cell>
          <cell r="H17">
            <v>8900000</v>
          </cell>
          <cell r="I17">
            <v>21600000.000000365</v>
          </cell>
        </row>
        <row r="18">
          <cell r="C18">
            <v>11392000</v>
          </cell>
          <cell r="D18">
            <v>0</v>
          </cell>
          <cell r="E18">
            <v>22000000</v>
          </cell>
          <cell r="F18">
            <v>5000000</v>
          </cell>
          <cell r="H18">
            <v>10773999.999999998</v>
          </cell>
          <cell r="I18">
            <v>25299999.999999274</v>
          </cell>
        </row>
        <row r="19">
          <cell r="C19">
            <v>9656000</v>
          </cell>
          <cell r="D19">
            <v>0</v>
          </cell>
          <cell r="E19">
            <v>20000000</v>
          </cell>
          <cell r="F19">
            <v>5000000</v>
          </cell>
          <cell r="H19">
            <v>8996000.0000000037</v>
          </cell>
          <cell r="I19">
            <v>24100000.000000365</v>
          </cell>
        </row>
        <row r="20">
          <cell r="C20">
            <v>10819000</v>
          </cell>
          <cell r="D20">
            <v>0</v>
          </cell>
          <cell r="E20">
            <v>20000000</v>
          </cell>
          <cell r="F20">
            <v>5000000</v>
          </cell>
          <cell r="H20">
            <v>10101999.999999994</v>
          </cell>
          <cell r="I20">
            <v>22200000.000000726</v>
          </cell>
        </row>
        <row r="21">
          <cell r="C21">
            <v>10355000</v>
          </cell>
          <cell r="D21">
            <v>0</v>
          </cell>
          <cell r="E21">
            <v>19000000</v>
          </cell>
          <cell r="F21">
            <v>5000000</v>
          </cell>
          <cell r="H21">
            <v>9604000.0000000019</v>
          </cell>
          <cell r="I21">
            <v>23100000.000000365</v>
          </cell>
        </row>
        <row r="22">
          <cell r="C22">
            <v>10450000</v>
          </cell>
          <cell r="D22">
            <v>0</v>
          </cell>
          <cell r="E22">
            <v>19000000</v>
          </cell>
          <cell r="F22">
            <v>5000000</v>
          </cell>
          <cell r="H22">
            <v>9772000.0000000037</v>
          </cell>
          <cell r="I22">
            <v>23599999.999998543</v>
          </cell>
        </row>
        <row r="23">
          <cell r="C23">
            <v>7591000</v>
          </cell>
          <cell r="D23">
            <v>0</v>
          </cell>
          <cell r="E23">
            <v>14000000</v>
          </cell>
          <cell r="F23">
            <v>5000000</v>
          </cell>
          <cell r="H23">
            <v>7003999.9999999963</v>
          </cell>
          <cell r="I23">
            <v>16700000.000000728</v>
          </cell>
        </row>
        <row r="24">
          <cell r="C24">
            <v>6905000</v>
          </cell>
          <cell r="D24">
            <v>0</v>
          </cell>
          <cell r="E24">
            <v>15000000</v>
          </cell>
          <cell r="F24">
            <v>5000000</v>
          </cell>
          <cell r="H24">
            <v>6464000.0000000047</v>
          </cell>
          <cell r="I24">
            <v>19500000</v>
          </cell>
        </row>
        <row r="25">
          <cell r="C25">
            <v>9694000</v>
          </cell>
          <cell r="D25">
            <v>0</v>
          </cell>
          <cell r="E25">
            <v>19000000</v>
          </cell>
          <cell r="F25">
            <v>5000000</v>
          </cell>
          <cell r="H25">
            <v>9256999.9999999944</v>
          </cell>
          <cell r="I25">
            <v>21299999.999999274</v>
          </cell>
        </row>
        <row r="26">
          <cell r="C26">
            <v>9987000</v>
          </cell>
          <cell r="D26">
            <v>0</v>
          </cell>
          <cell r="E26">
            <v>18000000</v>
          </cell>
          <cell r="F26">
            <v>5000000</v>
          </cell>
          <cell r="H26">
            <v>9354000.0000000037</v>
          </cell>
          <cell r="I26">
            <v>21700000.000000726</v>
          </cell>
        </row>
        <row r="27">
          <cell r="C27">
            <v>11271000</v>
          </cell>
          <cell r="D27">
            <v>0</v>
          </cell>
          <cell r="E27">
            <v>21000000</v>
          </cell>
          <cell r="F27">
            <v>5000000</v>
          </cell>
          <cell r="H27">
            <v>10515000</v>
          </cell>
          <cell r="I27">
            <v>24600000.000000365</v>
          </cell>
        </row>
        <row r="28">
          <cell r="C28">
            <v>10805000</v>
          </cell>
          <cell r="D28">
            <v>0</v>
          </cell>
          <cell r="E28">
            <v>20000000</v>
          </cell>
          <cell r="F28">
            <v>5000000</v>
          </cell>
          <cell r="H28">
            <v>10217000</v>
          </cell>
          <cell r="I28">
            <v>22899999.999999635</v>
          </cell>
        </row>
        <row r="29">
          <cell r="C29">
            <v>11349000</v>
          </cell>
          <cell r="D29">
            <v>0</v>
          </cell>
          <cell r="E29">
            <v>23000000</v>
          </cell>
          <cell r="F29">
            <v>5000000</v>
          </cell>
          <cell r="H29">
            <v>10663999.999999998</v>
          </cell>
          <cell r="I29">
            <v>25500000</v>
          </cell>
        </row>
        <row r="30">
          <cell r="C30">
            <v>11161000</v>
          </cell>
          <cell r="D30">
            <v>44000</v>
          </cell>
          <cell r="E30">
            <v>22000000</v>
          </cell>
          <cell r="F30">
            <v>5000000</v>
          </cell>
          <cell r="H30">
            <v>10525999.999999998</v>
          </cell>
          <cell r="I30">
            <v>25200000.000000726</v>
          </cell>
        </row>
        <row r="31">
          <cell r="C31">
            <v>12097000</v>
          </cell>
          <cell r="D31">
            <v>1707000</v>
          </cell>
          <cell r="E31">
            <v>21000000</v>
          </cell>
          <cell r="F31">
            <v>5000000</v>
          </cell>
          <cell r="H31">
            <v>9700000.0000000019</v>
          </cell>
          <cell r="I31">
            <v>24399999.999999635</v>
          </cell>
        </row>
        <row r="32">
          <cell r="C32">
            <v>15304000</v>
          </cell>
          <cell r="D32">
            <v>3035000</v>
          </cell>
          <cell r="E32">
            <v>24000000</v>
          </cell>
          <cell r="F32">
            <v>5000000</v>
          </cell>
          <cell r="H32">
            <v>11540999.999999998</v>
          </cell>
          <cell r="I32">
            <v>28100000.000000365</v>
          </cell>
        </row>
        <row r="33">
          <cell r="C33">
            <v>12359000</v>
          </cell>
          <cell r="D33">
            <v>3032000</v>
          </cell>
          <cell r="E33">
            <v>19000000</v>
          </cell>
          <cell r="F33">
            <v>5000000</v>
          </cell>
          <cell r="H33">
            <v>8668999.9999999981</v>
          </cell>
          <cell r="I33">
            <v>21500000</v>
          </cell>
        </row>
        <row r="252">
          <cell r="D252">
            <v>586999.99999999977</v>
          </cell>
          <cell r="H252">
            <v>1031583</v>
          </cell>
        </row>
        <row r="253">
          <cell r="D253">
            <v>711999.99999999977</v>
          </cell>
          <cell r="H253">
            <v>1228957</v>
          </cell>
        </row>
        <row r="254">
          <cell r="D254">
            <v>577000.00000000175</v>
          </cell>
          <cell r="H254">
            <v>936560</v>
          </cell>
        </row>
        <row r="255">
          <cell r="D255">
            <v>782999.99999999767</v>
          </cell>
          <cell r="H255">
            <v>911410</v>
          </cell>
        </row>
        <row r="256">
          <cell r="D256">
            <v>778999.99999999988</v>
          </cell>
          <cell r="H256">
            <v>1100000</v>
          </cell>
        </row>
        <row r="257">
          <cell r="D257">
            <v>832000.0000000007</v>
          </cell>
          <cell r="H257">
            <v>1039765</v>
          </cell>
        </row>
        <row r="258">
          <cell r="D258">
            <v>843000</v>
          </cell>
          <cell r="H258">
            <v>1195999</v>
          </cell>
        </row>
        <row r="259">
          <cell r="D259">
            <v>777000.00000000105</v>
          </cell>
          <cell r="H259">
            <v>326280</v>
          </cell>
        </row>
        <row r="260">
          <cell r="D260">
            <v>809000.00000000105</v>
          </cell>
          <cell r="H260">
            <v>1046747</v>
          </cell>
        </row>
        <row r="261">
          <cell r="D261">
            <v>649999.9999999986</v>
          </cell>
          <cell r="H261">
            <v>1054212</v>
          </cell>
        </row>
        <row r="262">
          <cell r="D262">
            <v>827999.99999999942</v>
          </cell>
          <cell r="H262">
            <v>1137800</v>
          </cell>
        </row>
        <row r="263">
          <cell r="D263">
            <v>778000.00000000221</v>
          </cell>
          <cell r="H263">
            <v>604954</v>
          </cell>
        </row>
        <row r="264">
          <cell r="D264">
            <v>703999.99999999709</v>
          </cell>
          <cell r="H264">
            <v>1241475</v>
          </cell>
        </row>
        <row r="265">
          <cell r="D265">
            <v>756000.00000000023</v>
          </cell>
          <cell r="H265">
            <v>1118591</v>
          </cell>
        </row>
        <row r="266">
          <cell r="D266">
            <v>618000.0000000021</v>
          </cell>
          <cell r="H266">
            <v>1293715</v>
          </cell>
        </row>
        <row r="267">
          <cell r="D267">
            <v>659999.99999999662</v>
          </cell>
          <cell r="H267">
            <v>1524070</v>
          </cell>
        </row>
        <row r="268">
          <cell r="D268">
            <v>717000.00000000582</v>
          </cell>
          <cell r="H268">
            <v>1363330</v>
          </cell>
        </row>
        <row r="269">
          <cell r="D269">
            <v>750999.99999999767</v>
          </cell>
          <cell r="H269">
            <v>1417764</v>
          </cell>
        </row>
        <row r="270">
          <cell r="D270">
            <v>677999.99999999732</v>
          </cell>
          <cell r="H270">
            <v>1342615</v>
          </cell>
        </row>
        <row r="271">
          <cell r="D271">
            <v>587000.00000000326</v>
          </cell>
          <cell r="H271">
            <v>1243257</v>
          </cell>
        </row>
        <row r="272">
          <cell r="D272">
            <v>440999.9999999954</v>
          </cell>
          <cell r="H272">
            <v>1204157</v>
          </cell>
        </row>
        <row r="273">
          <cell r="D273">
            <v>437000.00000000471</v>
          </cell>
          <cell r="H273">
            <v>1379050</v>
          </cell>
        </row>
        <row r="274">
          <cell r="D274">
            <v>632999.99999999558</v>
          </cell>
          <cell r="H274">
            <v>1682150</v>
          </cell>
        </row>
        <row r="275">
          <cell r="D275">
            <v>756000.00000000023</v>
          </cell>
          <cell r="H275">
            <v>1638720</v>
          </cell>
        </row>
        <row r="276">
          <cell r="D276">
            <v>588000.00000000093</v>
          </cell>
          <cell r="H276">
            <v>1552688</v>
          </cell>
        </row>
        <row r="277">
          <cell r="D277">
            <v>685000.00000000233</v>
          </cell>
          <cell r="H277">
            <v>1637254</v>
          </cell>
        </row>
        <row r="278">
          <cell r="D278">
            <v>591000.00000000105</v>
          </cell>
          <cell r="H278">
            <v>12548</v>
          </cell>
        </row>
        <row r="279">
          <cell r="D279">
            <v>689999.99999999767</v>
          </cell>
          <cell r="H279">
            <v>1688253</v>
          </cell>
        </row>
        <row r="280">
          <cell r="D280">
            <v>728000.00000000151</v>
          </cell>
          <cell r="H280">
            <v>1637924</v>
          </cell>
        </row>
        <row r="281">
          <cell r="D281">
            <v>658000.00000000128</v>
          </cell>
          <cell r="H281">
            <v>1352524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14156000</v>
          </cell>
          <cell r="D4">
            <v>3007000</v>
          </cell>
          <cell r="E4">
            <v>21000000</v>
          </cell>
          <cell r="F4">
            <v>5000000</v>
          </cell>
          <cell r="G4">
            <v>0</v>
          </cell>
          <cell r="H4">
            <v>10412000.000000006</v>
          </cell>
          <cell r="I4">
            <v>23500000</v>
          </cell>
        </row>
        <row r="5">
          <cell r="C5">
            <v>15133000</v>
          </cell>
          <cell r="D5">
            <v>3030000</v>
          </cell>
          <cell r="E5">
            <v>23000000</v>
          </cell>
          <cell r="F5">
            <v>5000000</v>
          </cell>
          <cell r="G5">
            <v>0</v>
          </cell>
          <cell r="H5">
            <v>11375999.999999996</v>
          </cell>
          <cell r="I5">
            <v>26599999.999998543</v>
          </cell>
        </row>
        <row r="6">
          <cell r="C6">
            <v>12822000</v>
          </cell>
          <cell r="D6">
            <v>3042000</v>
          </cell>
          <cell r="E6">
            <v>21000000</v>
          </cell>
          <cell r="F6">
            <v>5000000</v>
          </cell>
          <cell r="G6">
            <v>0</v>
          </cell>
          <cell r="H6">
            <v>9109999.9999999981</v>
          </cell>
          <cell r="I6">
            <v>24800000.000001092</v>
          </cell>
        </row>
        <row r="7">
          <cell r="C7">
            <v>14268000</v>
          </cell>
          <cell r="D7">
            <v>3004000</v>
          </cell>
          <cell r="E7">
            <v>23000000</v>
          </cell>
          <cell r="F7">
            <v>5000000</v>
          </cell>
          <cell r="G7">
            <v>0</v>
          </cell>
          <cell r="H7">
            <v>10928000.000000002</v>
          </cell>
          <cell r="I7">
            <v>26299999.999999274</v>
          </cell>
        </row>
        <row r="8">
          <cell r="C8">
            <v>14542000</v>
          </cell>
          <cell r="D8">
            <v>3031000</v>
          </cell>
          <cell r="E8">
            <v>23000000</v>
          </cell>
          <cell r="F8">
            <v>5000000</v>
          </cell>
          <cell r="G8">
            <v>0</v>
          </cell>
          <cell r="H8">
            <v>10922000.000000002</v>
          </cell>
          <cell r="I8">
            <v>25100000.000000365</v>
          </cell>
        </row>
        <row r="9">
          <cell r="C9">
            <v>13388000</v>
          </cell>
          <cell r="D9">
            <v>3030000</v>
          </cell>
          <cell r="E9">
            <v>17000000</v>
          </cell>
          <cell r="F9">
            <v>5000000</v>
          </cell>
          <cell r="G9">
            <v>0</v>
          </cell>
          <cell r="H9">
            <v>9614999.9999999981</v>
          </cell>
          <cell r="I9">
            <v>21000000</v>
          </cell>
        </row>
        <row r="10">
          <cell r="C10">
            <v>12364000</v>
          </cell>
          <cell r="D10">
            <v>3005000</v>
          </cell>
          <cell r="E10">
            <v>16000000</v>
          </cell>
          <cell r="F10">
            <v>2000000</v>
          </cell>
          <cell r="G10">
            <v>0</v>
          </cell>
          <cell r="H10">
            <v>8797000.0000000019</v>
          </cell>
          <cell r="I10">
            <v>16799999.999999274</v>
          </cell>
        </row>
        <row r="11">
          <cell r="C11">
            <v>11102000</v>
          </cell>
          <cell r="D11">
            <v>3049000</v>
          </cell>
          <cell r="E11">
            <v>19000000</v>
          </cell>
          <cell r="F11">
            <v>0</v>
          </cell>
          <cell r="G11">
            <v>0</v>
          </cell>
          <cell r="H11">
            <v>7517999.9999999963</v>
          </cell>
          <cell r="I11">
            <v>18100000.000000365</v>
          </cell>
        </row>
        <row r="12">
          <cell r="C12">
            <v>9254000</v>
          </cell>
          <cell r="D12">
            <v>2979000</v>
          </cell>
          <cell r="E12">
            <v>16000000</v>
          </cell>
          <cell r="F12">
            <v>0</v>
          </cell>
          <cell r="G12">
            <v>0</v>
          </cell>
          <cell r="H12">
            <v>5720000</v>
          </cell>
          <cell r="I12">
            <v>15200000.000000728</v>
          </cell>
        </row>
        <row r="13">
          <cell r="C13">
            <v>11407000</v>
          </cell>
          <cell r="D13">
            <v>3029000</v>
          </cell>
          <cell r="E13">
            <v>17000000</v>
          </cell>
          <cell r="F13">
            <v>0</v>
          </cell>
          <cell r="G13">
            <v>0</v>
          </cell>
          <cell r="H13">
            <v>7955000.0000000056</v>
          </cell>
          <cell r="I13">
            <v>14799999.999999272</v>
          </cell>
        </row>
        <row r="14">
          <cell r="C14">
            <v>11855000</v>
          </cell>
          <cell r="D14">
            <v>3040000</v>
          </cell>
          <cell r="E14">
            <v>16000000</v>
          </cell>
          <cell r="F14">
            <v>0</v>
          </cell>
          <cell r="G14">
            <v>0</v>
          </cell>
          <cell r="H14">
            <v>8391999.9999999981</v>
          </cell>
          <cell r="I14">
            <v>15200000.000000728</v>
          </cell>
        </row>
        <row r="15">
          <cell r="C15">
            <v>11130000</v>
          </cell>
          <cell r="D15">
            <v>3030000</v>
          </cell>
          <cell r="E15">
            <v>14000000</v>
          </cell>
          <cell r="F15">
            <v>0</v>
          </cell>
          <cell r="G15">
            <v>0</v>
          </cell>
          <cell r="H15">
            <v>7560999.9999999981</v>
          </cell>
          <cell r="I15">
            <v>12600000.000000363</v>
          </cell>
        </row>
        <row r="16">
          <cell r="C16">
            <v>12068000</v>
          </cell>
          <cell r="D16">
            <v>3100000</v>
          </cell>
          <cell r="E16">
            <v>11000000</v>
          </cell>
          <cell r="F16">
            <v>0</v>
          </cell>
          <cell r="G16">
            <v>0</v>
          </cell>
          <cell r="H16">
            <v>8421000.0000000037</v>
          </cell>
          <cell r="I16">
            <v>10799999.999999272</v>
          </cell>
        </row>
        <row r="17">
          <cell r="C17">
            <v>11469000</v>
          </cell>
          <cell r="D17">
            <v>2903000</v>
          </cell>
          <cell r="E17">
            <v>12000000</v>
          </cell>
          <cell r="F17">
            <v>0</v>
          </cell>
          <cell r="G17">
            <v>0</v>
          </cell>
          <cell r="H17">
            <v>7886000</v>
          </cell>
          <cell r="I17">
            <v>10500000</v>
          </cell>
        </row>
        <row r="18">
          <cell r="C18">
            <v>10292000</v>
          </cell>
          <cell r="D18">
            <v>3030000</v>
          </cell>
          <cell r="E18">
            <v>11000000</v>
          </cell>
          <cell r="F18">
            <v>4000000</v>
          </cell>
          <cell r="G18">
            <v>0</v>
          </cell>
          <cell r="H18">
            <v>6826000</v>
          </cell>
          <cell r="I18">
            <v>13299999.999999272</v>
          </cell>
        </row>
        <row r="19">
          <cell r="C19">
            <v>10925000</v>
          </cell>
          <cell r="D19">
            <v>3030000</v>
          </cell>
          <cell r="E19">
            <v>9000000</v>
          </cell>
          <cell r="F19">
            <v>5000000</v>
          </cell>
          <cell r="G19">
            <v>0</v>
          </cell>
          <cell r="H19">
            <v>7369999.9999999944</v>
          </cell>
          <cell r="I19">
            <v>11900000.000001455</v>
          </cell>
        </row>
        <row r="20">
          <cell r="C20">
            <v>12641000</v>
          </cell>
          <cell r="D20">
            <v>3030000</v>
          </cell>
          <cell r="E20">
            <v>10000000</v>
          </cell>
          <cell r="F20">
            <v>5000000</v>
          </cell>
          <cell r="G20">
            <v>0</v>
          </cell>
          <cell r="H20">
            <v>9083000.0000000019</v>
          </cell>
          <cell r="I20">
            <v>14399999.999999637</v>
          </cell>
        </row>
        <row r="21">
          <cell r="C21">
            <v>13251000</v>
          </cell>
          <cell r="D21">
            <v>3070000</v>
          </cell>
          <cell r="E21">
            <v>15000000</v>
          </cell>
          <cell r="F21">
            <v>5000000</v>
          </cell>
          <cell r="G21">
            <v>0</v>
          </cell>
          <cell r="H21">
            <v>9506000.0000000037</v>
          </cell>
          <cell r="I21">
            <v>19299999.999999274</v>
          </cell>
        </row>
        <row r="22">
          <cell r="C22">
            <v>11634000</v>
          </cell>
          <cell r="D22">
            <v>1194000</v>
          </cell>
          <cell r="E22">
            <v>16000000</v>
          </cell>
          <cell r="F22">
            <v>3000000</v>
          </cell>
          <cell r="G22">
            <v>0</v>
          </cell>
          <cell r="H22">
            <v>9764999.9999999963</v>
          </cell>
          <cell r="I22">
            <v>18300000.000001092</v>
          </cell>
        </row>
        <row r="23">
          <cell r="C23">
            <v>7957000</v>
          </cell>
          <cell r="D23">
            <v>0</v>
          </cell>
          <cell r="E23">
            <v>14000000</v>
          </cell>
          <cell r="F23">
            <v>5000000</v>
          </cell>
          <cell r="G23">
            <v>0</v>
          </cell>
          <cell r="H23">
            <v>7189000.0000000065</v>
          </cell>
          <cell r="I23">
            <v>17599999.999998543</v>
          </cell>
        </row>
        <row r="24">
          <cell r="C24">
            <v>8794000</v>
          </cell>
          <cell r="D24">
            <v>0</v>
          </cell>
          <cell r="E24">
            <v>14000000</v>
          </cell>
          <cell r="F24">
            <v>5000000</v>
          </cell>
          <cell r="G24">
            <v>0</v>
          </cell>
          <cell r="H24">
            <v>8264999.9999999963</v>
          </cell>
          <cell r="I24">
            <v>17400000.000001457</v>
          </cell>
        </row>
        <row r="25">
          <cell r="C25">
            <v>12772000</v>
          </cell>
          <cell r="D25">
            <v>0</v>
          </cell>
          <cell r="E25">
            <v>18000000</v>
          </cell>
          <cell r="F25">
            <v>5000000</v>
          </cell>
          <cell r="G25">
            <v>0</v>
          </cell>
          <cell r="H25">
            <v>12190000</v>
          </cell>
          <cell r="I25">
            <v>21299999.999999274</v>
          </cell>
        </row>
        <row r="26">
          <cell r="C26">
            <v>11986000</v>
          </cell>
          <cell r="D26">
            <v>0</v>
          </cell>
          <cell r="E26">
            <v>17000000</v>
          </cell>
          <cell r="F26">
            <v>5000000</v>
          </cell>
          <cell r="G26">
            <v>0</v>
          </cell>
          <cell r="H26">
            <v>11250000.000000004</v>
          </cell>
          <cell r="I26">
            <v>20799999.999999274</v>
          </cell>
        </row>
        <row r="27">
          <cell r="C27">
            <v>11286000</v>
          </cell>
          <cell r="D27">
            <v>0</v>
          </cell>
          <cell r="E27">
            <v>20000000</v>
          </cell>
          <cell r="F27">
            <v>5000000</v>
          </cell>
          <cell r="G27">
            <v>0</v>
          </cell>
          <cell r="H27">
            <v>10609000</v>
          </cell>
          <cell r="I27">
            <v>24000000</v>
          </cell>
        </row>
        <row r="28">
          <cell r="C28">
            <v>11921000</v>
          </cell>
          <cell r="D28">
            <v>0</v>
          </cell>
          <cell r="E28">
            <v>22000000</v>
          </cell>
          <cell r="F28">
            <v>5000000</v>
          </cell>
          <cell r="G28">
            <v>0</v>
          </cell>
          <cell r="H28">
            <v>11287999.999999996</v>
          </cell>
          <cell r="I28">
            <v>25100000.000000365</v>
          </cell>
        </row>
        <row r="29">
          <cell r="C29">
            <v>10785000</v>
          </cell>
          <cell r="D29">
            <v>0</v>
          </cell>
          <cell r="E29">
            <v>18000000</v>
          </cell>
          <cell r="F29">
            <v>5000000</v>
          </cell>
          <cell r="G29">
            <v>0</v>
          </cell>
          <cell r="H29">
            <v>10104000.000000002</v>
          </cell>
          <cell r="I29">
            <v>22200000.000000726</v>
          </cell>
        </row>
        <row r="30">
          <cell r="C30">
            <v>9715000</v>
          </cell>
          <cell r="D30">
            <v>0</v>
          </cell>
          <cell r="E30">
            <v>16000000</v>
          </cell>
          <cell r="F30">
            <v>5000000</v>
          </cell>
          <cell r="G30">
            <v>0</v>
          </cell>
          <cell r="H30">
            <v>9184999.9999999981</v>
          </cell>
          <cell r="I30">
            <v>19199999.999998908</v>
          </cell>
        </row>
        <row r="31">
          <cell r="C31">
            <v>9218000</v>
          </cell>
          <cell r="D31">
            <v>1000</v>
          </cell>
          <cell r="E31">
            <v>16000000</v>
          </cell>
          <cell r="F31">
            <v>5000000</v>
          </cell>
          <cell r="G31">
            <v>0</v>
          </cell>
          <cell r="H31">
            <v>8588000</v>
          </cell>
          <cell r="I31">
            <v>20000000</v>
          </cell>
        </row>
        <row r="32">
          <cell r="C32">
            <v>11517000</v>
          </cell>
          <cell r="D32">
            <v>0</v>
          </cell>
          <cell r="E32">
            <v>20000000</v>
          </cell>
          <cell r="F32">
            <v>5000000</v>
          </cell>
          <cell r="G32">
            <v>0</v>
          </cell>
          <cell r="H32">
            <v>10987999.999999996</v>
          </cell>
          <cell r="I32">
            <v>23600000.000000365</v>
          </cell>
        </row>
        <row r="33">
          <cell r="C33">
            <v>11650000</v>
          </cell>
          <cell r="D33">
            <v>0</v>
          </cell>
          <cell r="E33">
            <v>20000000</v>
          </cell>
          <cell r="F33">
            <v>5000000</v>
          </cell>
          <cell r="G33">
            <v>0</v>
          </cell>
          <cell r="H33">
            <v>10917000.000000004</v>
          </cell>
          <cell r="I33">
            <v>23899999.999999635</v>
          </cell>
        </row>
        <row r="34">
          <cell r="C34">
            <v>12014000</v>
          </cell>
          <cell r="D34">
            <v>0</v>
          </cell>
          <cell r="E34">
            <v>21000000</v>
          </cell>
          <cell r="F34">
            <v>5000000</v>
          </cell>
          <cell r="G34">
            <v>0</v>
          </cell>
          <cell r="H34">
            <v>11330000.000000002</v>
          </cell>
          <cell r="I34">
            <v>24100000.000000365</v>
          </cell>
        </row>
        <row r="259">
          <cell r="D259">
            <v>736999.99999999476</v>
          </cell>
          <cell r="H259">
            <v>1875000</v>
          </cell>
        </row>
        <row r="260">
          <cell r="D260">
            <v>727000.00000000384</v>
          </cell>
          <cell r="H260">
            <v>1738524</v>
          </cell>
        </row>
        <row r="261">
          <cell r="D261">
            <v>670000.00000000175</v>
          </cell>
          <cell r="H261">
            <v>1637237</v>
          </cell>
        </row>
        <row r="262">
          <cell r="D262">
            <v>335999.99999999854</v>
          </cell>
          <cell r="H262">
            <v>1495038</v>
          </cell>
        </row>
        <row r="263">
          <cell r="D263">
            <v>588999.9999999986</v>
          </cell>
          <cell r="H263">
            <v>1506836</v>
          </cell>
        </row>
        <row r="264">
          <cell r="D264">
            <v>743000.0000000021</v>
          </cell>
          <cell r="H264">
            <v>1394590</v>
          </cell>
        </row>
        <row r="265">
          <cell r="D265">
            <v>561999.99999999756</v>
          </cell>
          <cell r="H265">
            <v>1091898</v>
          </cell>
        </row>
        <row r="266">
          <cell r="D266">
            <v>535000.00000000373</v>
          </cell>
          <cell r="H266">
            <v>112358</v>
          </cell>
        </row>
        <row r="267">
          <cell r="D267">
            <v>554999.99999999977</v>
          </cell>
          <cell r="H267">
            <v>1113465</v>
          </cell>
        </row>
        <row r="268">
          <cell r="D268">
            <v>422999.9999999947</v>
          </cell>
          <cell r="H268">
            <v>1263842</v>
          </cell>
        </row>
        <row r="269">
          <cell r="D269">
            <v>423000.0000000018</v>
          </cell>
          <cell r="H269">
            <v>1177008</v>
          </cell>
        </row>
        <row r="270">
          <cell r="D270">
            <v>539000.00000000151</v>
          </cell>
          <cell r="H270">
            <v>791069</v>
          </cell>
        </row>
        <row r="271">
          <cell r="D271">
            <v>546999.99999999709</v>
          </cell>
          <cell r="H271">
            <v>825478</v>
          </cell>
        </row>
        <row r="272">
          <cell r="D272">
            <v>679999.99999999977</v>
          </cell>
          <cell r="H272">
            <v>1163992</v>
          </cell>
        </row>
        <row r="273">
          <cell r="D273">
            <v>435999.99999999994</v>
          </cell>
          <cell r="H273">
            <v>1482528</v>
          </cell>
        </row>
        <row r="274">
          <cell r="D274">
            <v>525000.0000000057</v>
          </cell>
          <cell r="H274">
            <v>944080</v>
          </cell>
        </row>
        <row r="275">
          <cell r="D275">
            <v>527999.99999999872</v>
          </cell>
          <cell r="H275">
            <v>1079864</v>
          </cell>
        </row>
        <row r="276">
          <cell r="D276">
            <v>674999.99999999721</v>
          </cell>
          <cell r="H276">
            <v>1051298</v>
          </cell>
        </row>
        <row r="277">
          <cell r="D277">
            <v>675000.00000000431</v>
          </cell>
          <cell r="H277">
            <v>1056784</v>
          </cell>
        </row>
        <row r="278">
          <cell r="D278">
            <v>767999.9999999936</v>
          </cell>
          <cell r="H278">
            <v>1058254</v>
          </cell>
        </row>
        <row r="279">
          <cell r="D279">
            <v>529000.00000000349</v>
          </cell>
          <cell r="H279">
            <v>1042438</v>
          </cell>
        </row>
        <row r="280">
          <cell r="D280">
            <v>582000.0000000007</v>
          </cell>
          <cell r="H280">
            <v>1200580</v>
          </cell>
        </row>
        <row r="281">
          <cell r="D281">
            <v>735999.99999999709</v>
          </cell>
          <cell r="H281">
            <v>1100295</v>
          </cell>
        </row>
        <row r="282">
          <cell r="D282">
            <v>676999.99999999965</v>
          </cell>
          <cell r="H282">
            <v>1326662</v>
          </cell>
        </row>
        <row r="283">
          <cell r="D283">
            <v>633000.00000000268</v>
          </cell>
          <cell r="H283">
            <v>1506790</v>
          </cell>
        </row>
        <row r="284">
          <cell r="D284">
            <v>680999.99999999744</v>
          </cell>
          <cell r="H284">
            <v>1417852</v>
          </cell>
        </row>
        <row r="285">
          <cell r="D285">
            <v>530000.00000000116</v>
          </cell>
          <cell r="H285">
            <v>1277200</v>
          </cell>
        </row>
        <row r="286">
          <cell r="D286">
            <v>631000.00000000023</v>
          </cell>
          <cell r="H286">
            <v>1202696</v>
          </cell>
        </row>
        <row r="287">
          <cell r="D287">
            <v>529000.00000000349</v>
          </cell>
          <cell r="H287">
            <v>1552968</v>
          </cell>
        </row>
        <row r="288">
          <cell r="D288">
            <v>732999.99999999697</v>
          </cell>
          <cell r="H288">
            <v>1455860</v>
          </cell>
        </row>
        <row r="289">
          <cell r="D289">
            <v>683999.99999999756</v>
          </cell>
          <cell r="H289">
            <v>1507757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12878000</v>
          </cell>
          <cell r="D4">
            <v>0</v>
          </cell>
          <cell r="E4">
            <v>20000000</v>
          </cell>
          <cell r="F4">
            <v>10000000</v>
          </cell>
          <cell r="H4">
            <v>12198000</v>
          </cell>
          <cell r="I4">
            <v>24000000</v>
          </cell>
        </row>
        <row r="5">
          <cell r="C5">
            <v>12522000</v>
          </cell>
          <cell r="D5">
            <v>0</v>
          </cell>
          <cell r="E5">
            <v>22000000</v>
          </cell>
          <cell r="F5">
            <v>5000000</v>
          </cell>
          <cell r="H5">
            <v>11792999.999999993</v>
          </cell>
          <cell r="I5">
            <v>25399999.999999635</v>
          </cell>
        </row>
        <row r="6">
          <cell r="C6">
            <v>9690000</v>
          </cell>
          <cell r="D6">
            <v>0</v>
          </cell>
          <cell r="E6">
            <v>19000000</v>
          </cell>
          <cell r="F6">
            <v>5000000</v>
          </cell>
          <cell r="H6">
            <v>9112000.0000000037</v>
          </cell>
          <cell r="I6">
            <v>22800000.000001092</v>
          </cell>
        </row>
        <row r="7">
          <cell r="C7">
            <v>10151000</v>
          </cell>
          <cell r="D7">
            <v>0</v>
          </cell>
          <cell r="E7">
            <v>21000000</v>
          </cell>
          <cell r="F7">
            <v>5000000</v>
          </cell>
          <cell r="H7">
            <v>9747999.9999999944</v>
          </cell>
          <cell r="I7">
            <v>23500000</v>
          </cell>
        </row>
        <row r="8">
          <cell r="C8">
            <v>12483000</v>
          </cell>
          <cell r="D8">
            <v>0</v>
          </cell>
          <cell r="E8">
            <v>19000000</v>
          </cell>
          <cell r="F8">
            <v>7000000</v>
          </cell>
          <cell r="H8">
            <v>12143000.000000011</v>
          </cell>
          <cell r="I8">
            <v>24100000.000000365</v>
          </cell>
        </row>
        <row r="9">
          <cell r="C9">
            <v>10702000</v>
          </cell>
          <cell r="D9">
            <v>0</v>
          </cell>
          <cell r="E9">
            <v>18000000</v>
          </cell>
          <cell r="F9">
            <v>7000000</v>
          </cell>
          <cell r="H9">
            <v>10363999.999999993</v>
          </cell>
          <cell r="I9">
            <v>24299999.999999274</v>
          </cell>
        </row>
        <row r="10">
          <cell r="C10">
            <v>11478000</v>
          </cell>
          <cell r="D10">
            <v>0</v>
          </cell>
          <cell r="E10">
            <v>22000000</v>
          </cell>
          <cell r="F10">
            <v>7000000</v>
          </cell>
          <cell r="H10">
            <v>11136000.000000002</v>
          </cell>
          <cell r="I10">
            <v>26500000</v>
          </cell>
        </row>
        <row r="11">
          <cell r="C11">
            <v>11592000</v>
          </cell>
          <cell r="D11">
            <v>0</v>
          </cell>
          <cell r="E11">
            <v>20000000</v>
          </cell>
          <cell r="F11">
            <v>7000000</v>
          </cell>
          <cell r="H11">
            <v>11251999.999999996</v>
          </cell>
          <cell r="I11">
            <v>25299999.999999274</v>
          </cell>
        </row>
        <row r="12">
          <cell r="C12">
            <v>11680000</v>
          </cell>
          <cell r="D12">
            <v>0</v>
          </cell>
          <cell r="E12">
            <v>20000000</v>
          </cell>
          <cell r="F12">
            <v>7000000</v>
          </cell>
          <cell r="H12">
            <v>11332000.000000002</v>
          </cell>
          <cell r="I12">
            <v>25100000.000000365</v>
          </cell>
        </row>
        <row r="13">
          <cell r="C13">
            <v>12666000</v>
          </cell>
          <cell r="D13">
            <v>0</v>
          </cell>
          <cell r="E13">
            <v>18000000</v>
          </cell>
          <cell r="F13">
            <v>7000000</v>
          </cell>
          <cell r="H13">
            <v>12316000.000000006</v>
          </cell>
          <cell r="I13">
            <v>23600000.000000365</v>
          </cell>
        </row>
        <row r="14">
          <cell r="C14">
            <v>11718000</v>
          </cell>
          <cell r="D14">
            <v>0</v>
          </cell>
          <cell r="E14">
            <v>20000000</v>
          </cell>
          <cell r="F14">
            <v>7000000</v>
          </cell>
          <cell r="H14">
            <v>11371999.999999996</v>
          </cell>
          <cell r="I14">
            <v>25600000.000000365</v>
          </cell>
        </row>
        <row r="15">
          <cell r="C15">
            <v>11005000</v>
          </cell>
          <cell r="D15">
            <v>0</v>
          </cell>
          <cell r="E15">
            <v>20000000</v>
          </cell>
          <cell r="F15">
            <v>7000000</v>
          </cell>
          <cell r="H15">
            <v>10715999.999999998</v>
          </cell>
          <cell r="I15">
            <v>25399999.999999635</v>
          </cell>
        </row>
        <row r="16">
          <cell r="C16">
            <v>11887000</v>
          </cell>
          <cell r="D16">
            <v>0</v>
          </cell>
          <cell r="E16">
            <v>20000000</v>
          </cell>
          <cell r="F16">
            <v>7000000</v>
          </cell>
          <cell r="H16">
            <v>11594000.000000007</v>
          </cell>
          <cell r="I16">
            <v>26100000.000000365</v>
          </cell>
        </row>
        <row r="17">
          <cell r="C17">
            <v>11794000</v>
          </cell>
          <cell r="D17">
            <v>0</v>
          </cell>
          <cell r="E17">
            <v>19000000</v>
          </cell>
          <cell r="F17">
            <v>7000000</v>
          </cell>
          <cell r="H17">
            <v>11506999.999999994</v>
          </cell>
          <cell r="I17">
            <v>24500000</v>
          </cell>
        </row>
        <row r="18">
          <cell r="C18">
            <v>13364000</v>
          </cell>
          <cell r="D18">
            <v>0</v>
          </cell>
          <cell r="E18">
            <v>20000000</v>
          </cell>
          <cell r="F18">
            <v>7000000</v>
          </cell>
          <cell r="H18">
            <v>13028000.000000002</v>
          </cell>
          <cell r="I18">
            <v>26000000</v>
          </cell>
        </row>
        <row r="19">
          <cell r="C19">
            <v>11774000</v>
          </cell>
          <cell r="D19">
            <v>0</v>
          </cell>
          <cell r="E19">
            <v>17000000</v>
          </cell>
          <cell r="F19">
            <v>7000000</v>
          </cell>
          <cell r="H19">
            <v>11432000.000000002</v>
          </cell>
          <cell r="I19">
            <v>22899999.999999635</v>
          </cell>
        </row>
        <row r="20">
          <cell r="C20">
            <v>11730000</v>
          </cell>
          <cell r="D20">
            <v>0</v>
          </cell>
          <cell r="E20">
            <v>17000000</v>
          </cell>
          <cell r="F20">
            <v>7000000</v>
          </cell>
          <cell r="H20">
            <v>11439999.999999994</v>
          </cell>
          <cell r="I20">
            <v>22399999.999999635</v>
          </cell>
        </row>
        <row r="21">
          <cell r="C21">
            <v>11402000</v>
          </cell>
          <cell r="D21">
            <v>0</v>
          </cell>
          <cell r="E21">
            <v>20000000</v>
          </cell>
          <cell r="F21">
            <v>5000000</v>
          </cell>
          <cell r="H21">
            <v>11058000.000000006</v>
          </cell>
          <cell r="I21">
            <v>24100000.000000365</v>
          </cell>
        </row>
        <row r="22">
          <cell r="C22">
            <v>16306000</v>
          </cell>
          <cell r="D22">
            <v>0</v>
          </cell>
          <cell r="E22">
            <v>21000000</v>
          </cell>
          <cell r="F22">
            <v>5000000</v>
          </cell>
          <cell r="H22">
            <v>16015999.999999994</v>
          </cell>
          <cell r="I22">
            <v>21799999.999999274</v>
          </cell>
        </row>
        <row r="23">
          <cell r="C23">
            <v>11312000</v>
          </cell>
          <cell r="D23">
            <v>0</v>
          </cell>
          <cell r="E23">
            <v>13000000</v>
          </cell>
          <cell r="F23">
            <v>5000000</v>
          </cell>
          <cell r="H23">
            <v>10972000.000000011</v>
          </cell>
          <cell r="I23">
            <v>19800000.000001092</v>
          </cell>
        </row>
        <row r="24">
          <cell r="C24">
            <v>14777000</v>
          </cell>
          <cell r="D24">
            <v>0</v>
          </cell>
          <cell r="E24">
            <v>23000000</v>
          </cell>
          <cell r="F24">
            <v>2000000</v>
          </cell>
          <cell r="H24">
            <v>14475999.999999998</v>
          </cell>
          <cell r="I24">
            <v>24100000.000000365</v>
          </cell>
        </row>
        <row r="25">
          <cell r="C25">
            <v>12515000</v>
          </cell>
          <cell r="D25">
            <v>0</v>
          </cell>
          <cell r="E25">
            <v>25000000</v>
          </cell>
          <cell r="F25">
            <v>0</v>
          </cell>
          <cell r="H25">
            <v>12171999.999999996</v>
          </cell>
          <cell r="I25">
            <v>23399999.999999635</v>
          </cell>
        </row>
        <row r="26">
          <cell r="C26">
            <v>12124000</v>
          </cell>
          <cell r="D26">
            <v>1494000</v>
          </cell>
          <cell r="E26">
            <v>17000000</v>
          </cell>
          <cell r="F26">
            <v>7000000</v>
          </cell>
          <cell r="H26">
            <v>11839999.999999994</v>
          </cell>
          <cell r="I26">
            <v>22899999.999999635</v>
          </cell>
        </row>
        <row r="27">
          <cell r="C27">
            <v>13986000</v>
          </cell>
          <cell r="D27">
            <v>2196000</v>
          </cell>
          <cell r="E27">
            <v>20000000</v>
          </cell>
          <cell r="F27">
            <v>6000000</v>
          </cell>
          <cell r="H27">
            <v>13650000.000000002</v>
          </cell>
          <cell r="I27">
            <v>23700000.000000726</v>
          </cell>
        </row>
        <row r="28">
          <cell r="C28">
            <v>13258000</v>
          </cell>
          <cell r="D28">
            <v>2997000</v>
          </cell>
          <cell r="E28">
            <v>26000000</v>
          </cell>
          <cell r="F28">
            <v>0</v>
          </cell>
          <cell r="H28">
            <v>12915000.000000011</v>
          </cell>
          <cell r="I28">
            <v>24599999.999998543</v>
          </cell>
        </row>
        <row r="29">
          <cell r="C29">
            <v>13418000</v>
          </cell>
          <cell r="D29">
            <v>3049000</v>
          </cell>
          <cell r="E29">
            <v>25000000</v>
          </cell>
          <cell r="F29">
            <v>0</v>
          </cell>
          <cell r="H29">
            <v>13071999.999999996</v>
          </cell>
          <cell r="I29">
            <v>23800000.000001092</v>
          </cell>
        </row>
        <row r="30">
          <cell r="C30">
            <v>14897000</v>
          </cell>
          <cell r="D30">
            <v>3002000</v>
          </cell>
          <cell r="E30">
            <v>24000000</v>
          </cell>
          <cell r="F30">
            <v>0</v>
          </cell>
          <cell r="H30">
            <v>14549000.000000002</v>
          </cell>
          <cell r="I30">
            <v>23100000.000000365</v>
          </cell>
        </row>
        <row r="31">
          <cell r="C31">
            <v>15076000</v>
          </cell>
          <cell r="D31">
            <v>3037000</v>
          </cell>
          <cell r="E31">
            <v>24000000</v>
          </cell>
          <cell r="F31">
            <v>0</v>
          </cell>
          <cell r="H31">
            <v>14672999.999999994</v>
          </cell>
          <cell r="I31">
            <v>22699999.999998908</v>
          </cell>
        </row>
        <row r="32">
          <cell r="C32">
            <v>14178000</v>
          </cell>
          <cell r="D32">
            <v>3024000</v>
          </cell>
          <cell r="E32">
            <v>24000000</v>
          </cell>
          <cell r="F32">
            <v>0</v>
          </cell>
          <cell r="H32">
            <v>13834000.000000006</v>
          </cell>
          <cell r="I32">
            <v>22600000.000000365</v>
          </cell>
        </row>
        <row r="33">
          <cell r="C33">
            <v>12450000</v>
          </cell>
          <cell r="D33">
            <v>3020000</v>
          </cell>
          <cell r="E33">
            <v>22000000</v>
          </cell>
          <cell r="F33">
            <v>0</v>
          </cell>
          <cell r="H33">
            <v>12105000.000000002</v>
          </cell>
          <cell r="I33">
            <v>21299999.999999274</v>
          </cell>
        </row>
        <row r="34">
          <cell r="C34">
            <v>14726000</v>
          </cell>
          <cell r="D34">
            <v>3021000</v>
          </cell>
          <cell r="E34">
            <v>26000000</v>
          </cell>
          <cell r="F34">
            <v>0</v>
          </cell>
          <cell r="H34">
            <v>14375999.999999991</v>
          </cell>
          <cell r="I34">
            <v>24000000</v>
          </cell>
        </row>
        <row r="259">
          <cell r="D259">
            <v>679999.99999999977</v>
          </cell>
          <cell r="H259">
            <v>1426907</v>
          </cell>
        </row>
        <row r="260">
          <cell r="D260">
            <v>729000.00000000629</v>
          </cell>
          <cell r="H260">
            <v>1640666</v>
          </cell>
        </row>
        <row r="261">
          <cell r="D261">
            <v>577999.99999999581</v>
          </cell>
          <cell r="H261">
            <v>1540824</v>
          </cell>
        </row>
        <row r="262">
          <cell r="D262">
            <v>403000.00000000582</v>
          </cell>
          <cell r="H262">
            <v>1514070</v>
          </cell>
        </row>
        <row r="263">
          <cell r="D263">
            <v>339999.99999998917</v>
          </cell>
          <cell r="H263">
            <v>1495473</v>
          </cell>
        </row>
        <row r="264">
          <cell r="D264">
            <v>338000.00000000809</v>
          </cell>
          <cell r="H264">
            <v>1429427</v>
          </cell>
        </row>
        <row r="265">
          <cell r="D265">
            <v>341999.99999999878</v>
          </cell>
          <cell r="H265">
            <v>1507894</v>
          </cell>
        </row>
        <row r="266">
          <cell r="D266">
            <v>340000.00000000343</v>
          </cell>
          <cell r="H266">
            <v>1451750</v>
          </cell>
        </row>
        <row r="267">
          <cell r="D267">
            <v>347999.99999999895</v>
          </cell>
          <cell r="H267">
            <v>1477440</v>
          </cell>
        </row>
        <row r="268">
          <cell r="D268">
            <v>349999.9999999943</v>
          </cell>
          <cell r="H268">
            <v>1452130</v>
          </cell>
        </row>
        <row r="269">
          <cell r="D269">
            <v>346000.00000000361</v>
          </cell>
          <cell r="H269">
            <v>1536037</v>
          </cell>
        </row>
        <row r="270">
          <cell r="D270">
            <v>289000.00000000146</v>
          </cell>
          <cell r="H270">
            <v>1451992</v>
          </cell>
        </row>
        <row r="271">
          <cell r="D271">
            <v>292999.99999999214</v>
          </cell>
          <cell r="H271">
            <v>1302851</v>
          </cell>
        </row>
        <row r="272">
          <cell r="D272">
            <v>287000.00000000611</v>
          </cell>
          <cell r="H272">
            <v>1381520</v>
          </cell>
        </row>
        <row r="273">
          <cell r="D273">
            <v>335999.99999999854</v>
          </cell>
          <cell r="H273">
            <v>1403513</v>
          </cell>
        </row>
        <row r="274">
          <cell r="D274">
            <v>341999.99999999878</v>
          </cell>
          <cell r="H274">
            <v>1361397</v>
          </cell>
        </row>
        <row r="275">
          <cell r="D275">
            <v>290000.00000000623</v>
          </cell>
          <cell r="H275">
            <v>1222872</v>
          </cell>
        </row>
        <row r="276">
          <cell r="D276">
            <v>343999.99999999406</v>
          </cell>
          <cell r="H276">
            <v>1177900</v>
          </cell>
        </row>
        <row r="277">
          <cell r="D277">
            <v>290000.00000000623</v>
          </cell>
          <cell r="H277">
            <v>1240034</v>
          </cell>
        </row>
        <row r="278">
          <cell r="D278">
            <v>339999.99999998917</v>
          </cell>
          <cell r="H278">
            <v>1133093</v>
          </cell>
        </row>
        <row r="279">
          <cell r="D279">
            <v>301000.00000000192</v>
          </cell>
          <cell r="H279">
            <v>1241000</v>
          </cell>
        </row>
        <row r="280">
          <cell r="D280">
            <v>343000.00000000355</v>
          </cell>
          <cell r="H280">
            <v>1402055</v>
          </cell>
        </row>
        <row r="281">
          <cell r="D281">
            <v>284000.00000000605</v>
          </cell>
          <cell r="H281">
            <v>1295269</v>
          </cell>
        </row>
        <row r="282">
          <cell r="D282">
            <v>335999.99999999854</v>
          </cell>
          <cell r="H282">
            <v>1379310</v>
          </cell>
        </row>
        <row r="283">
          <cell r="D283">
            <v>342999.99999998929</v>
          </cell>
          <cell r="H283">
            <v>1285975</v>
          </cell>
        </row>
        <row r="284">
          <cell r="D284">
            <v>346000.00000000361</v>
          </cell>
          <cell r="H284">
            <v>1291019</v>
          </cell>
        </row>
        <row r="285">
          <cell r="D285">
            <v>347999.99999999895</v>
          </cell>
          <cell r="H285">
            <v>1360960</v>
          </cell>
        </row>
        <row r="286">
          <cell r="D286">
            <v>403000.00000000582</v>
          </cell>
          <cell r="H286">
            <v>1284339</v>
          </cell>
        </row>
        <row r="287">
          <cell r="D287">
            <v>343999.99999999406</v>
          </cell>
          <cell r="H287">
            <v>1321040</v>
          </cell>
        </row>
        <row r="288">
          <cell r="D288">
            <v>344999.99999999884</v>
          </cell>
          <cell r="H288">
            <v>1166739</v>
          </cell>
        </row>
        <row r="289">
          <cell r="D289">
            <v>350000.0000000085</v>
          </cell>
          <cell r="H289">
            <v>1487061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 Prod"/>
      <sheetName val="Sheet1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13981000</v>
          </cell>
          <cell r="D4">
            <v>3041000</v>
          </cell>
          <cell r="E4">
            <v>22000000</v>
          </cell>
          <cell r="F4">
            <v>0</v>
          </cell>
          <cell r="H4">
            <v>13694000.000000007</v>
          </cell>
          <cell r="I4">
            <v>21200000.000000726</v>
          </cell>
        </row>
        <row r="5">
          <cell r="C5">
            <v>11899000</v>
          </cell>
          <cell r="D5">
            <v>3022000</v>
          </cell>
          <cell r="E5">
            <v>26000000</v>
          </cell>
          <cell r="F5">
            <v>0</v>
          </cell>
          <cell r="H5">
            <v>11551999.999999991</v>
          </cell>
          <cell r="I5">
            <v>24200000.000000726</v>
          </cell>
        </row>
        <row r="6">
          <cell r="C6">
            <v>11384000</v>
          </cell>
          <cell r="D6">
            <v>2997000</v>
          </cell>
          <cell r="E6">
            <v>24000000</v>
          </cell>
          <cell r="F6">
            <v>0</v>
          </cell>
          <cell r="H6">
            <v>11035000.000000011</v>
          </cell>
          <cell r="I6">
            <v>23000000</v>
          </cell>
        </row>
        <row r="7">
          <cell r="C7">
            <v>12717000</v>
          </cell>
          <cell r="D7">
            <v>3026000</v>
          </cell>
          <cell r="E7">
            <v>23000000</v>
          </cell>
          <cell r="F7">
            <v>0</v>
          </cell>
          <cell r="H7">
            <v>12376999.999999996</v>
          </cell>
          <cell r="I7">
            <v>21899999.999999635</v>
          </cell>
        </row>
        <row r="8">
          <cell r="C8">
            <v>11745000</v>
          </cell>
          <cell r="D8">
            <v>3018000</v>
          </cell>
          <cell r="E8">
            <v>26000000</v>
          </cell>
          <cell r="F8">
            <v>0</v>
          </cell>
          <cell r="H8">
            <v>11451999.999999993</v>
          </cell>
          <cell r="I8">
            <v>24100000.000000365</v>
          </cell>
        </row>
        <row r="9">
          <cell r="C9">
            <v>11697000</v>
          </cell>
          <cell r="D9">
            <v>3032000</v>
          </cell>
          <cell r="E9">
            <v>22000000</v>
          </cell>
          <cell r="F9">
            <v>0</v>
          </cell>
          <cell r="H9">
            <v>11352000.000000002</v>
          </cell>
          <cell r="I9">
            <v>20899999.999999635</v>
          </cell>
        </row>
        <row r="10">
          <cell r="C10">
            <v>9964000</v>
          </cell>
          <cell r="D10">
            <v>3000000</v>
          </cell>
          <cell r="E10">
            <v>20000000</v>
          </cell>
          <cell r="F10">
            <v>0</v>
          </cell>
          <cell r="H10">
            <v>9617999.9999999963</v>
          </cell>
          <cell r="I10">
            <v>18100000.000000365</v>
          </cell>
        </row>
        <row r="11">
          <cell r="C11">
            <v>10277000</v>
          </cell>
          <cell r="D11">
            <v>1239000</v>
          </cell>
          <cell r="E11">
            <v>17000000</v>
          </cell>
          <cell r="F11">
            <v>0</v>
          </cell>
          <cell r="H11">
            <v>11238000.000000009</v>
          </cell>
          <cell r="I11">
            <v>16299999.999999272</v>
          </cell>
        </row>
        <row r="12">
          <cell r="C12">
            <v>11352000</v>
          </cell>
          <cell r="D12">
            <v>0</v>
          </cell>
          <cell r="E12">
            <v>23000000</v>
          </cell>
          <cell r="F12">
            <v>0</v>
          </cell>
          <cell r="H12">
            <v>11007999.999999991</v>
          </cell>
          <cell r="I12">
            <v>21500000</v>
          </cell>
        </row>
        <row r="13">
          <cell r="C13">
            <v>9953000</v>
          </cell>
          <cell r="D13">
            <v>0</v>
          </cell>
          <cell r="E13">
            <v>20000000</v>
          </cell>
          <cell r="F13">
            <v>0</v>
          </cell>
          <cell r="H13">
            <v>9663999.9999999981</v>
          </cell>
          <cell r="I13">
            <v>19399999.999999635</v>
          </cell>
        </row>
        <row r="14">
          <cell r="C14">
            <v>12070000</v>
          </cell>
          <cell r="D14">
            <v>0</v>
          </cell>
          <cell r="E14">
            <v>21000000</v>
          </cell>
          <cell r="F14">
            <v>0</v>
          </cell>
          <cell r="H14">
            <v>11728000.000000002</v>
          </cell>
          <cell r="I14">
            <v>19500000</v>
          </cell>
        </row>
        <row r="15">
          <cell r="C15">
            <v>10484000</v>
          </cell>
          <cell r="D15">
            <v>0</v>
          </cell>
          <cell r="E15">
            <v>20000000</v>
          </cell>
          <cell r="F15">
            <v>3000000</v>
          </cell>
          <cell r="H15">
            <v>10193000.000000004</v>
          </cell>
          <cell r="I15">
            <v>20899999.999999635</v>
          </cell>
        </row>
        <row r="16">
          <cell r="C16">
            <v>10066000</v>
          </cell>
          <cell r="D16">
            <v>0</v>
          </cell>
          <cell r="E16">
            <v>18000000</v>
          </cell>
          <cell r="F16">
            <v>4000000</v>
          </cell>
          <cell r="H16">
            <v>10060000</v>
          </cell>
          <cell r="I16">
            <v>22600000.000000365</v>
          </cell>
        </row>
        <row r="17">
          <cell r="C17">
            <v>7980000</v>
          </cell>
          <cell r="D17">
            <v>0</v>
          </cell>
          <cell r="E17">
            <v>15000000</v>
          </cell>
          <cell r="F17">
            <v>6000000</v>
          </cell>
          <cell r="H17">
            <v>7745000.0000000009</v>
          </cell>
          <cell r="I17">
            <v>17399999.999999635</v>
          </cell>
        </row>
        <row r="18">
          <cell r="C18">
            <v>7311000</v>
          </cell>
          <cell r="D18">
            <v>0</v>
          </cell>
          <cell r="E18">
            <v>12000000</v>
          </cell>
          <cell r="F18">
            <v>1000000</v>
          </cell>
          <cell r="H18">
            <v>7021000.0000000084</v>
          </cell>
          <cell r="I18">
            <v>13100000.000000363</v>
          </cell>
        </row>
        <row r="19">
          <cell r="C19">
            <v>7322000</v>
          </cell>
          <cell r="D19">
            <v>0</v>
          </cell>
          <cell r="E19">
            <v>12000000</v>
          </cell>
          <cell r="F19">
            <v>0</v>
          </cell>
          <cell r="H19">
            <v>7035999.9999999981</v>
          </cell>
          <cell r="I19">
            <v>11300000.000001092</v>
          </cell>
        </row>
        <row r="20">
          <cell r="C20">
            <v>8871000</v>
          </cell>
          <cell r="D20">
            <v>0</v>
          </cell>
          <cell r="E20">
            <v>16000000</v>
          </cell>
          <cell r="F20">
            <v>0</v>
          </cell>
          <cell r="H20">
            <v>8518999.9999999963</v>
          </cell>
          <cell r="I20">
            <v>15000000</v>
          </cell>
        </row>
        <row r="21">
          <cell r="C21">
            <v>9522000</v>
          </cell>
          <cell r="D21">
            <v>0</v>
          </cell>
          <cell r="E21">
            <v>15000000</v>
          </cell>
          <cell r="F21">
            <v>0</v>
          </cell>
          <cell r="H21">
            <v>9285999.9999999963</v>
          </cell>
          <cell r="I21">
            <v>14399999.999999637</v>
          </cell>
        </row>
        <row r="22">
          <cell r="C22">
            <v>9936000</v>
          </cell>
          <cell r="D22">
            <v>1000</v>
          </cell>
          <cell r="E22">
            <v>18000000</v>
          </cell>
          <cell r="F22">
            <v>0</v>
          </cell>
          <cell r="H22">
            <v>9595000.0000000019</v>
          </cell>
          <cell r="I22">
            <v>16799999.999999274</v>
          </cell>
        </row>
        <row r="23">
          <cell r="C23">
            <v>8694000</v>
          </cell>
          <cell r="D23">
            <v>0</v>
          </cell>
          <cell r="E23">
            <v>18000000</v>
          </cell>
          <cell r="F23">
            <v>0</v>
          </cell>
          <cell r="H23">
            <v>8349000.0000000019</v>
          </cell>
          <cell r="I23">
            <v>16100000.000000363</v>
          </cell>
        </row>
        <row r="24">
          <cell r="C24">
            <v>8979000</v>
          </cell>
          <cell r="D24">
            <v>1000</v>
          </cell>
          <cell r="E24">
            <v>19000000</v>
          </cell>
          <cell r="F24">
            <v>0</v>
          </cell>
          <cell r="H24">
            <v>8635000.0000000019</v>
          </cell>
          <cell r="I24">
            <v>17100000.000000365</v>
          </cell>
        </row>
        <row r="25">
          <cell r="C25">
            <v>7388000</v>
          </cell>
          <cell r="D25">
            <v>0</v>
          </cell>
          <cell r="E25">
            <v>16000000</v>
          </cell>
          <cell r="F25">
            <v>0</v>
          </cell>
          <cell r="H25">
            <v>7098999.9999999981</v>
          </cell>
          <cell r="I25">
            <v>15199999.999998908</v>
          </cell>
        </row>
        <row r="26">
          <cell r="C26">
            <v>8759000</v>
          </cell>
          <cell r="D26">
            <v>1000</v>
          </cell>
          <cell r="E26">
            <v>19000000</v>
          </cell>
          <cell r="F26">
            <v>0</v>
          </cell>
          <cell r="H26">
            <v>8437000.0000000075</v>
          </cell>
          <cell r="I26">
            <v>17400000.000001457</v>
          </cell>
        </row>
        <row r="27">
          <cell r="C27">
            <v>9970000</v>
          </cell>
          <cell r="D27">
            <v>0</v>
          </cell>
          <cell r="E27">
            <v>19000000</v>
          </cell>
          <cell r="F27">
            <v>0</v>
          </cell>
          <cell r="H27">
            <v>9663999.9999999888</v>
          </cell>
          <cell r="I27">
            <v>17599999.999998543</v>
          </cell>
        </row>
        <row r="28">
          <cell r="C28">
            <v>9411000</v>
          </cell>
          <cell r="D28">
            <v>1000</v>
          </cell>
          <cell r="E28">
            <v>20000000</v>
          </cell>
          <cell r="F28">
            <v>0</v>
          </cell>
          <cell r="H28">
            <v>9123000.000000013</v>
          </cell>
          <cell r="I28">
            <v>18700000.000000726</v>
          </cell>
        </row>
        <row r="29">
          <cell r="C29">
            <v>11652000</v>
          </cell>
          <cell r="D29">
            <v>0</v>
          </cell>
          <cell r="E29">
            <v>20000000</v>
          </cell>
          <cell r="F29">
            <v>0</v>
          </cell>
          <cell r="H29">
            <v>11308999.999999996</v>
          </cell>
          <cell r="I29">
            <v>18600000.000000365</v>
          </cell>
        </row>
        <row r="30">
          <cell r="C30">
            <v>9829000</v>
          </cell>
          <cell r="D30">
            <v>0</v>
          </cell>
          <cell r="E30">
            <v>18000000</v>
          </cell>
          <cell r="F30">
            <v>0</v>
          </cell>
          <cell r="H30">
            <v>9484999.9999999907</v>
          </cell>
          <cell r="I30">
            <v>16500000</v>
          </cell>
        </row>
        <row r="31">
          <cell r="C31">
            <v>10958000</v>
          </cell>
          <cell r="D31">
            <v>0</v>
          </cell>
          <cell r="E31">
            <v>21000000</v>
          </cell>
          <cell r="F31">
            <v>0</v>
          </cell>
          <cell r="H31">
            <v>10617000.000000006</v>
          </cell>
          <cell r="I31">
            <v>20199999.999998908</v>
          </cell>
        </row>
        <row r="32">
          <cell r="C32">
            <v>4616000</v>
          </cell>
          <cell r="D32">
            <v>2000</v>
          </cell>
          <cell r="E32">
            <v>22000000</v>
          </cell>
          <cell r="F32">
            <v>0</v>
          </cell>
          <cell r="H32">
            <v>4390000.0000000056</v>
          </cell>
          <cell r="I32">
            <v>20000000</v>
          </cell>
        </row>
        <row r="33">
          <cell r="C33">
            <v>6100000</v>
          </cell>
          <cell r="D33">
            <v>0</v>
          </cell>
          <cell r="E33">
            <v>23000000</v>
          </cell>
          <cell r="F33">
            <v>0</v>
          </cell>
          <cell r="H33">
            <v>5802999.9999999888</v>
          </cell>
          <cell r="I33">
            <v>22400000.000001457</v>
          </cell>
        </row>
        <row r="252">
          <cell r="D252">
            <v>286999.99999999191</v>
          </cell>
          <cell r="H252">
            <v>1243183</v>
          </cell>
        </row>
        <row r="253">
          <cell r="D253">
            <v>347000.00000000844</v>
          </cell>
          <cell r="H253">
            <v>1375871</v>
          </cell>
        </row>
        <row r="254">
          <cell r="D254">
            <v>348999.99999998952</v>
          </cell>
          <cell r="H254">
            <v>1381550</v>
          </cell>
        </row>
        <row r="255">
          <cell r="D255">
            <v>340000.00000000343</v>
          </cell>
          <cell r="H255">
            <v>1257102</v>
          </cell>
        </row>
        <row r="256">
          <cell r="D256">
            <v>293000.00000000634</v>
          </cell>
          <cell r="H256">
            <v>1504517</v>
          </cell>
        </row>
        <row r="257">
          <cell r="D257">
            <v>344999.99999999884</v>
          </cell>
          <cell r="H257">
            <v>1357063</v>
          </cell>
        </row>
        <row r="258">
          <cell r="D258">
            <v>346000.00000000361</v>
          </cell>
          <cell r="H258">
            <v>1198485</v>
          </cell>
        </row>
        <row r="259">
          <cell r="D259">
            <v>277999.99999999156</v>
          </cell>
          <cell r="H259">
            <v>1023916</v>
          </cell>
        </row>
        <row r="260">
          <cell r="D260">
            <v>344000.00000000832</v>
          </cell>
          <cell r="H260">
            <v>1294375</v>
          </cell>
        </row>
        <row r="261">
          <cell r="D261">
            <v>289000.00000000146</v>
          </cell>
          <cell r="H261">
            <v>1226798</v>
          </cell>
        </row>
        <row r="262">
          <cell r="D262">
            <v>341999.99999999878</v>
          </cell>
          <cell r="H262">
            <v>1197637</v>
          </cell>
        </row>
        <row r="263">
          <cell r="D263">
            <v>290999.9999999968</v>
          </cell>
          <cell r="H263">
            <v>1309988</v>
          </cell>
        </row>
        <row r="264">
          <cell r="D264">
            <v>6000.0000000002274</v>
          </cell>
          <cell r="H264">
            <v>1409247</v>
          </cell>
        </row>
        <row r="265">
          <cell r="D265">
            <v>234999.99999999942</v>
          </cell>
          <cell r="H265">
            <v>1146481</v>
          </cell>
        </row>
        <row r="266">
          <cell r="D266">
            <v>289999.99999999203</v>
          </cell>
          <cell r="H266">
            <v>636845</v>
          </cell>
        </row>
        <row r="267">
          <cell r="D267">
            <v>286000.00000000134</v>
          </cell>
          <cell r="H267">
            <v>814944</v>
          </cell>
        </row>
        <row r="268">
          <cell r="D268">
            <v>352000.00000000384</v>
          </cell>
          <cell r="H268">
            <v>1126953</v>
          </cell>
        </row>
        <row r="269">
          <cell r="D269">
            <v>236000.00000000422</v>
          </cell>
          <cell r="H269">
            <v>917006</v>
          </cell>
        </row>
        <row r="270">
          <cell r="D270">
            <v>341999.99999999878</v>
          </cell>
          <cell r="H270">
            <v>1106800</v>
          </cell>
        </row>
        <row r="271">
          <cell r="D271">
            <v>344999.99999999884</v>
          </cell>
          <cell r="H271">
            <v>1065581</v>
          </cell>
        </row>
        <row r="272">
          <cell r="D272">
            <v>344999.99999999884</v>
          </cell>
          <cell r="H272">
            <v>1108096</v>
          </cell>
        </row>
        <row r="273">
          <cell r="D273">
            <v>289000.00000000146</v>
          </cell>
          <cell r="H273">
            <v>980268</v>
          </cell>
        </row>
        <row r="274">
          <cell r="D274">
            <v>322999.99999999331</v>
          </cell>
          <cell r="H274">
            <v>1161638</v>
          </cell>
        </row>
        <row r="275">
          <cell r="D275">
            <v>306000.00000001158</v>
          </cell>
          <cell r="H275">
            <v>1441850</v>
          </cell>
        </row>
        <row r="276">
          <cell r="D276">
            <v>288999.99999998725</v>
          </cell>
          <cell r="H276">
            <v>1125959</v>
          </cell>
        </row>
        <row r="277">
          <cell r="D277">
            <v>343000.00000000355</v>
          </cell>
          <cell r="H277">
            <v>1215050</v>
          </cell>
        </row>
        <row r="278">
          <cell r="D278">
            <v>344000.00000000832</v>
          </cell>
          <cell r="H278">
            <v>1016228</v>
          </cell>
        </row>
        <row r="279">
          <cell r="D279">
            <v>340999.99999999395</v>
          </cell>
          <cell r="H279">
            <v>1176881</v>
          </cell>
        </row>
        <row r="280">
          <cell r="D280">
            <v>227999.99999999444</v>
          </cell>
          <cell r="H280">
            <v>1195197</v>
          </cell>
        </row>
        <row r="281">
          <cell r="D281">
            <v>297000.00000001123</v>
          </cell>
          <cell r="H281">
            <v>1245000</v>
          </cell>
        </row>
      </sheetData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9739000</v>
          </cell>
          <cell r="D4">
            <v>0</v>
          </cell>
          <cell r="E4">
            <v>23000000</v>
          </cell>
          <cell r="F4">
            <v>0</v>
          </cell>
          <cell r="H4">
            <v>9446999.9999999981</v>
          </cell>
          <cell r="I4">
            <v>19800000.000001092</v>
          </cell>
        </row>
        <row r="5">
          <cell r="C5">
            <v>9591000</v>
          </cell>
          <cell r="D5">
            <v>0</v>
          </cell>
          <cell r="E5">
            <v>18000000</v>
          </cell>
          <cell r="F5">
            <v>0</v>
          </cell>
          <cell r="H5">
            <v>9259000.0000000075</v>
          </cell>
          <cell r="I5">
            <v>20000000</v>
          </cell>
        </row>
        <row r="6">
          <cell r="C6">
            <v>9226000</v>
          </cell>
          <cell r="D6">
            <v>0</v>
          </cell>
          <cell r="E6">
            <v>20000000</v>
          </cell>
          <cell r="F6">
            <v>0</v>
          </cell>
          <cell r="H6">
            <v>8825000.0000000037</v>
          </cell>
          <cell r="I6">
            <v>19100000.000000365</v>
          </cell>
        </row>
        <row r="7">
          <cell r="C7">
            <v>8947000</v>
          </cell>
          <cell r="D7">
            <v>1000</v>
          </cell>
          <cell r="E7">
            <v>18000000</v>
          </cell>
          <cell r="F7">
            <v>0</v>
          </cell>
          <cell r="H7">
            <v>8612999.9999999925</v>
          </cell>
          <cell r="I7">
            <v>15899999.999999637</v>
          </cell>
        </row>
        <row r="8">
          <cell r="C8">
            <v>9359000</v>
          </cell>
          <cell r="D8">
            <v>0</v>
          </cell>
          <cell r="E8">
            <v>18000000</v>
          </cell>
          <cell r="F8">
            <v>0</v>
          </cell>
          <cell r="H8">
            <v>9080000.0000000037</v>
          </cell>
          <cell r="I8">
            <v>17600000.000000365</v>
          </cell>
        </row>
        <row r="9">
          <cell r="C9">
            <v>8713000</v>
          </cell>
          <cell r="D9">
            <v>0</v>
          </cell>
          <cell r="E9">
            <v>18000000</v>
          </cell>
          <cell r="F9">
            <v>0</v>
          </cell>
          <cell r="H9">
            <v>8369999.9999999963</v>
          </cell>
          <cell r="I9">
            <v>15700000.000000728</v>
          </cell>
        </row>
        <row r="10">
          <cell r="C10">
            <v>7887000</v>
          </cell>
          <cell r="D10">
            <v>0</v>
          </cell>
          <cell r="E10">
            <v>15000000</v>
          </cell>
          <cell r="F10">
            <v>0</v>
          </cell>
          <cell r="H10">
            <v>7606000.0000000084</v>
          </cell>
          <cell r="I10">
            <v>15299999.999999272</v>
          </cell>
        </row>
        <row r="11">
          <cell r="C11">
            <v>7197000</v>
          </cell>
          <cell r="D11">
            <v>1000</v>
          </cell>
          <cell r="E11">
            <v>16000000</v>
          </cell>
          <cell r="F11">
            <v>0</v>
          </cell>
          <cell r="H11">
            <v>6863999.9999999963</v>
          </cell>
          <cell r="I11">
            <v>14100000.000000363</v>
          </cell>
        </row>
        <row r="12">
          <cell r="C12">
            <v>6037000</v>
          </cell>
          <cell r="D12">
            <v>0</v>
          </cell>
          <cell r="E12">
            <v>15000000</v>
          </cell>
          <cell r="F12">
            <v>0</v>
          </cell>
          <cell r="H12">
            <v>5755000.0000000037</v>
          </cell>
          <cell r="I12">
            <v>13000000</v>
          </cell>
        </row>
        <row r="13">
          <cell r="C13">
            <v>2518000</v>
          </cell>
          <cell r="D13">
            <v>-1000</v>
          </cell>
          <cell r="E13">
            <v>17000000</v>
          </cell>
          <cell r="F13">
            <v>0</v>
          </cell>
          <cell r="H13">
            <v>2292000.0000000009</v>
          </cell>
          <cell r="I13">
            <v>15600000.000000363</v>
          </cell>
        </row>
        <row r="14">
          <cell r="C14">
            <v>0</v>
          </cell>
          <cell r="D14">
            <v>0</v>
          </cell>
          <cell r="E14">
            <v>20000000</v>
          </cell>
          <cell r="F14">
            <v>0</v>
          </cell>
          <cell r="H14">
            <v>0</v>
          </cell>
          <cell r="I14">
            <v>20000000</v>
          </cell>
        </row>
        <row r="15">
          <cell r="C15">
            <v>0</v>
          </cell>
          <cell r="D15">
            <v>0</v>
          </cell>
          <cell r="E15">
            <v>20000000</v>
          </cell>
          <cell r="F15">
            <v>0</v>
          </cell>
          <cell r="H15">
            <v>0</v>
          </cell>
          <cell r="I15">
            <v>17799999.999999274</v>
          </cell>
        </row>
        <row r="16">
          <cell r="C16">
            <v>0</v>
          </cell>
          <cell r="D16">
            <v>0</v>
          </cell>
          <cell r="E16">
            <v>20000000</v>
          </cell>
          <cell r="F16">
            <v>0</v>
          </cell>
          <cell r="H16">
            <v>0</v>
          </cell>
          <cell r="I16">
            <v>18100000.000000365</v>
          </cell>
        </row>
        <row r="17">
          <cell r="C17">
            <v>0</v>
          </cell>
          <cell r="D17">
            <v>0</v>
          </cell>
          <cell r="E17">
            <v>20000000</v>
          </cell>
          <cell r="F17">
            <v>0</v>
          </cell>
          <cell r="H17">
            <v>0</v>
          </cell>
          <cell r="I17">
            <v>19699999.999998908</v>
          </cell>
        </row>
        <row r="18">
          <cell r="C18">
            <v>0</v>
          </cell>
          <cell r="D18">
            <v>0</v>
          </cell>
          <cell r="E18">
            <v>23000000</v>
          </cell>
          <cell r="F18">
            <v>0</v>
          </cell>
          <cell r="H18">
            <v>0</v>
          </cell>
          <cell r="I18">
            <v>21300000.000001092</v>
          </cell>
        </row>
        <row r="19">
          <cell r="C19">
            <v>0</v>
          </cell>
          <cell r="D19">
            <v>0</v>
          </cell>
          <cell r="E19">
            <v>20000000</v>
          </cell>
          <cell r="F19">
            <v>0</v>
          </cell>
          <cell r="H19">
            <v>0</v>
          </cell>
          <cell r="I19">
            <v>19199999.999998908</v>
          </cell>
        </row>
        <row r="20">
          <cell r="C20">
            <v>0</v>
          </cell>
          <cell r="D20">
            <v>0</v>
          </cell>
          <cell r="E20">
            <v>19000000</v>
          </cell>
          <cell r="F20">
            <v>0</v>
          </cell>
          <cell r="H20">
            <v>0</v>
          </cell>
          <cell r="I20">
            <v>17500000</v>
          </cell>
        </row>
        <row r="21">
          <cell r="C21">
            <v>0</v>
          </cell>
          <cell r="D21">
            <v>0</v>
          </cell>
          <cell r="E21">
            <v>15000000</v>
          </cell>
          <cell r="F21">
            <v>0</v>
          </cell>
          <cell r="H21">
            <v>0</v>
          </cell>
          <cell r="I21">
            <v>14500000</v>
          </cell>
        </row>
        <row r="22">
          <cell r="C22">
            <v>0</v>
          </cell>
          <cell r="D22">
            <v>0</v>
          </cell>
          <cell r="E22">
            <v>17000000</v>
          </cell>
          <cell r="F22">
            <v>0</v>
          </cell>
          <cell r="H22">
            <v>0</v>
          </cell>
          <cell r="I22">
            <v>14700000.000000728</v>
          </cell>
        </row>
        <row r="23">
          <cell r="C23">
            <v>0</v>
          </cell>
          <cell r="D23">
            <v>0</v>
          </cell>
          <cell r="E23">
            <v>18000000</v>
          </cell>
          <cell r="F23">
            <v>0</v>
          </cell>
          <cell r="H23">
            <v>0</v>
          </cell>
          <cell r="I23">
            <v>16299999.999999272</v>
          </cell>
        </row>
        <row r="24">
          <cell r="C24">
            <v>0</v>
          </cell>
          <cell r="D24">
            <v>0</v>
          </cell>
          <cell r="E24">
            <v>14000000</v>
          </cell>
          <cell r="F24">
            <v>0</v>
          </cell>
          <cell r="H24">
            <v>0</v>
          </cell>
          <cell r="I24">
            <v>13700000.000000728</v>
          </cell>
        </row>
        <row r="25">
          <cell r="C25">
            <v>0</v>
          </cell>
          <cell r="D25">
            <v>0</v>
          </cell>
          <cell r="E25">
            <v>16000000</v>
          </cell>
          <cell r="F25">
            <v>0</v>
          </cell>
          <cell r="H25">
            <v>0</v>
          </cell>
          <cell r="I25">
            <v>15100000.000000363</v>
          </cell>
        </row>
        <row r="26">
          <cell r="C26">
            <v>0</v>
          </cell>
          <cell r="D26">
            <v>0</v>
          </cell>
          <cell r="E26">
            <v>17000000</v>
          </cell>
          <cell r="F26">
            <v>0</v>
          </cell>
          <cell r="H26">
            <v>0</v>
          </cell>
          <cell r="I26">
            <v>15699999.999998908</v>
          </cell>
        </row>
        <row r="27">
          <cell r="C27">
            <v>0</v>
          </cell>
          <cell r="D27">
            <v>0</v>
          </cell>
          <cell r="E27">
            <v>15000000</v>
          </cell>
          <cell r="F27">
            <v>0</v>
          </cell>
          <cell r="H27">
            <v>0</v>
          </cell>
          <cell r="I27">
            <v>14100000.000000363</v>
          </cell>
        </row>
        <row r="28">
          <cell r="C28">
            <v>34000</v>
          </cell>
          <cell r="D28">
            <v>0</v>
          </cell>
          <cell r="E28">
            <v>14000000</v>
          </cell>
          <cell r="F28">
            <v>0</v>
          </cell>
          <cell r="H28">
            <v>0</v>
          </cell>
          <cell r="I28">
            <v>13500000</v>
          </cell>
        </row>
        <row r="29">
          <cell r="C29">
            <v>1596000</v>
          </cell>
          <cell r="D29">
            <v>0</v>
          </cell>
          <cell r="E29">
            <v>12000000</v>
          </cell>
          <cell r="F29">
            <v>0</v>
          </cell>
          <cell r="H29">
            <v>1596000</v>
          </cell>
          <cell r="I29">
            <v>11100000.000000363</v>
          </cell>
        </row>
        <row r="30">
          <cell r="C30">
            <v>2815000</v>
          </cell>
          <cell r="D30">
            <v>0</v>
          </cell>
          <cell r="E30">
            <v>10000000</v>
          </cell>
          <cell r="F30">
            <v>0</v>
          </cell>
          <cell r="H30">
            <v>2752999.9999999884</v>
          </cell>
          <cell r="I30">
            <v>9399999.9999996368</v>
          </cell>
        </row>
        <row r="31">
          <cell r="C31">
            <v>5050000</v>
          </cell>
          <cell r="D31">
            <v>0</v>
          </cell>
          <cell r="E31">
            <v>9000000</v>
          </cell>
          <cell r="F31">
            <v>0</v>
          </cell>
          <cell r="H31">
            <v>4931000</v>
          </cell>
          <cell r="I31">
            <v>7300000.0000010915</v>
          </cell>
        </row>
        <row r="32">
          <cell r="C32">
            <v>4959000</v>
          </cell>
          <cell r="D32">
            <v>0</v>
          </cell>
          <cell r="E32">
            <v>10000000</v>
          </cell>
          <cell r="F32">
            <v>0</v>
          </cell>
          <cell r="H32">
            <v>4841000.0000000056</v>
          </cell>
          <cell r="I32">
            <v>8799999.9999992717</v>
          </cell>
        </row>
        <row r="33">
          <cell r="C33">
            <v>5027000</v>
          </cell>
          <cell r="D33">
            <v>0</v>
          </cell>
          <cell r="E33">
            <v>8000000</v>
          </cell>
          <cell r="F33">
            <v>0</v>
          </cell>
          <cell r="H33">
            <v>4912999.9999999953</v>
          </cell>
          <cell r="I33">
            <v>7600000.0000003641</v>
          </cell>
        </row>
        <row r="34">
          <cell r="C34">
            <v>5048000</v>
          </cell>
          <cell r="D34">
            <v>0</v>
          </cell>
          <cell r="E34">
            <v>7000000</v>
          </cell>
          <cell r="F34">
            <v>0</v>
          </cell>
          <cell r="H34">
            <v>4934000.0000000102</v>
          </cell>
          <cell r="I34">
            <v>6699999.9999989085</v>
          </cell>
        </row>
        <row r="259">
          <cell r="D259">
            <v>292000.00000000157</v>
          </cell>
          <cell r="H259">
            <v>1138142</v>
          </cell>
        </row>
        <row r="260">
          <cell r="D260">
            <v>331999.99999999366</v>
          </cell>
          <cell r="H260">
            <v>1120738</v>
          </cell>
        </row>
        <row r="261">
          <cell r="D261">
            <v>400999.99999999627</v>
          </cell>
          <cell r="H261">
            <v>1106817</v>
          </cell>
        </row>
        <row r="262">
          <cell r="D262">
            <v>335000.00000000797</v>
          </cell>
          <cell r="H262">
            <v>1089839</v>
          </cell>
        </row>
        <row r="263">
          <cell r="D263">
            <v>278999.99999999639</v>
          </cell>
          <cell r="H263">
            <v>1023450</v>
          </cell>
        </row>
        <row r="264">
          <cell r="D264">
            <v>343000.00000000355</v>
          </cell>
          <cell r="H264">
            <v>985275</v>
          </cell>
        </row>
        <row r="265">
          <cell r="D265">
            <v>280999.99999999168</v>
          </cell>
          <cell r="H265">
            <v>971015</v>
          </cell>
        </row>
        <row r="266">
          <cell r="D266">
            <v>334000.0000000032</v>
          </cell>
          <cell r="H266">
            <v>948240</v>
          </cell>
        </row>
        <row r="267">
          <cell r="D267">
            <v>281999.99999999645</v>
          </cell>
          <cell r="H267">
            <v>849539</v>
          </cell>
        </row>
        <row r="268">
          <cell r="D268">
            <v>225999.9999999991</v>
          </cell>
          <cell r="H268">
            <v>975565</v>
          </cell>
        </row>
        <row r="269">
          <cell r="D269">
            <v>0</v>
          </cell>
          <cell r="H269">
            <v>1065590</v>
          </cell>
        </row>
        <row r="270">
          <cell r="D270">
            <v>0</v>
          </cell>
          <cell r="H270">
            <v>1060395</v>
          </cell>
        </row>
        <row r="271">
          <cell r="D271">
            <v>38000.000000010914</v>
          </cell>
          <cell r="H271">
            <v>1016358</v>
          </cell>
        </row>
        <row r="272">
          <cell r="D272">
            <v>0</v>
          </cell>
          <cell r="H272">
            <v>1077883</v>
          </cell>
        </row>
        <row r="273">
          <cell r="D273">
            <v>0</v>
          </cell>
          <cell r="H273">
            <v>1256125</v>
          </cell>
        </row>
        <row r="274">
          <cell r="D274">
            <v>0</v>
          </cell>
          <cell r="H274">
            <v>1020050</v>
          </cell>
        </row>
        <row r="275">
          <cell r="D275">
            <v>49999.999999997155</v>
          </cell>
          <cell r="H275">
            <v>1040507</v>
          </cell>
        </row>
        <row r="276">
          <cell r="D276">
            <v>131999.9999999908</v>
          </cell>
          <cell r="H276">
            <v>865826</v>
          </cell>
        </row>
        <row r="277">
          <cell r="D277">
            <v>0</v>
          </cell>
          <cell r="H277">
            <v>887732</v>
          </cell>
        </row>
        <row r="278">
          <cell r="D278">
            <v>15000.000000000568</v>
          </cell>
          <cell r="H278">
            <v>977585</v>
          </cell>
        </row>
        <row r="279">
          <cell r="D279">
            <v>68000.000000012049</v>
          </cell>
          <cell r="H279">
            <v>695350</v>
          </cell>
        </row>
        <row r="280">
          <cell r="D280">
            <v>0</v>
          </cell>
          <cell r="H280">
            <v>890439</v>
          </cell>
        </row>
        <row r="281">
          <cell r="D281">
            <v>0</v>
          </cell>
          <cell r="H281">
            <v>876410</v>
          </cell>
        </row>
        <row r="282">
          <cell r="D282">
            <v>0</v>
          </cell>
          <cell r="H282">
            <v>802251</v>
          </cell>
        </row>
        <row r="283">
          <cell r="D283">
            <v>56999.999999987951</v>
          </cell>
          <cell r="H283">
            <v>696122</v>
          </cell>
        </row>
        <row r="284">
          <cell r="D284">
            <v>0</v>
          </cell>
          <cell r="H284">
            <v>406641</v>
          </cell>
        </row>
        <row r="285">
          <cell r="D285">
            <v>62000.000000011823</v>
          </cell>
          <cell r="H285">
            <v>248099</v>
          </cell>
        </row>
        <row r="286">
          <cell r="D286">
            <v>118999.99999999977</v>
          </cell>
          <cell r="H286">
            <v>781346</v>
          </cell>
        </row>
        <row r="287">
          <cell r="D287">
            <v>117999.99999999499</v>
          </cell>
          <cell r="H287">
            <v>691440</v>
          </cell>
        </row>
        <row r="288">
          <cell r="D288">
            <v>114000.00000000432</v>
          </cell>
          <cell r="H288">
            <v>382441</v>
          </cell>
        </row>
        <row r="289">
          <cell r="D289">
            <v>113999.9999999901</v>
          </cell>
          <cell r="H289">
            <v>473755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6"/>
  <sheetViews>
    <sheetView workbookViewId="0">
      <pane xSplit="1" ySplit="4" topLeftCell="H5" activePane="bottomRight" state="frozen"/>
      <selection pane="topRight" activeCell="B1" sqref="B1"/>
      <selection pane="bottomLeft" activeCell="A5" sqref="A5"/>
      <selection pane="bottomRight" activeCell="AD35" sqref="AD35"/>
    </sheetView>
  </sheetViews>
  <sheetFormatPr baseColWidth="10" defaultColWidth="8.83203125" defaultRowHeight="13" x14ac:dyDescent="0.15"/>
  <cols>
    <col min="2" max="2" width="12" customWidth="1"/>
    <col min="5" max="5" width="11.33203125" customWidth="1"/>
    <col min="8" max="8" width="11.6640625" customWidth="1"/>
    <col min="11" max="11" width="10.1640625" bestFit="1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15">
      <c r="A5" s="1">
        <v>38292</v>
      </c>
      <c r="B5" s="7">
        <f>'[1]Nov Prod'!I4</f>
        <v>0</v>
      </c>
      <c r="C5" s="8">
        <f t="shared" ref="C5:C34" si="0">B5/1000000</f>
        <v>0</v>
      </c>
      <c r="D5" s="10">
        <f t="shared" ref="D5:D34" si="1">C5*3.07</f>
        <v>0</v>
      </c>
      <c r="E5" s="7">
        <f>'[1]Nov Prod'!E4</f>
        <v>0</v>
      </c>
      <c r="F5" s="8">
        <f t="shared" ref="F5:F34" si="2">E5/1000000</f>
        <v>0</v>
      </c>
      <c r="G5" s="10">
        <f t="shared" ref="G5:G34" si="3">F5*3.07</f>
        <v>0</v>
      </c>
      <c r="H5" s="7">
        <f>'[1]Nov Prod'!F4</f>
        <v>0</v>
      </c>
      <c r="I5" s="8">
        <f t="shared" ref="I5:I34" si="4">H5/1000000</f>
        <v>0</v>
      </c>
      <c r="J5" s="10">
        <f t="shared" ref="J5:J34" si="5">I5*3.07</f>
        <v>0</v>
      </c>
      <c r="K5" s="7">
        <f>'[1]Nov Prod'!$H252*10</f>
        <v>0</v>
      </c>
      <c r="L5" s="8">
        <f t="shared" ref="L5:L34" si="6">K5/1000000</f>
        <v>0</v>
      </c>
      <c r="M5" s="10">
        <f t="shared" ref="M5:M34" si="7">L5*3.07</f>
        <v>0</v>
      </c>
      <c r="N5" s="21"/>
      <c r="O5" s="7">
        <f>'[1]Nov Prod'!H4</f>
        <v>13775999.999999998</v>
      </c>
      <c r="P5" s="8">
        <f t="shared" ref="P5:P16" si="8">O5/1000000</f>
        <v>13.775999999999998</v>
      </c>
      <c r="Q5" s="10">
        <f t="shared" ref="Q5:Q34" si="9">P5*3.07</f>
        <v>42.292319999999989</v>
      </c>
      <c r="R5" s="7">
        <f>'[1]Nov Prod'!C4</f>
        <v>14059000</v>
      </c>
      <c r="S5" s="8">
        <f t="shared" ref="S5:S17" si="10">R5/1000000</f>
        <v>14.058999999999999</v>
      </c>
      <c r="T5" s="10">
        <f t="shared" ref="T5:T34" si="11">S5*3.07</f>
        <v>43.161129999999993</v>
      </c>
      <c r="U5" s="7">
        <f>'[1]Nov Prod'!D4</f>
        <v>0</v>
      </c>
      <c r="V5" s="8">
        <f t="shared" ref="V5:V34" si="12">U5/1000000</f>
        <v>0</v>
      </c>
      <c r="W5" s="10">
        <f t="shared" ref="W5:W34" si="13">V5*3.07</f>
        <v>0</v>
      </c>
      <c r="X5" s="7">
        <f>'[1]Nov Prod'!$D252</f>
        <v>283000.00000000122</v>
      </c>
      <c r="Y5" s="8">
        <f t="shared" ref="Y5:Y34" si="14">X5/1000000</f>
        <v>0.2830000000000012</v>
      </c>
      <c r="Z5" s="10">
        <f t="shared" ref="Z5:Z34" si="15">Y5*3.07</f>
        <v>0.86881000000000363</v>
      </c>
      <c r="AA5" s="15"/>
      <c r="AB5" s="7">
        <f>B5+O5</f>
        <v>13775999.999999998</v>
      </c>
      <c r="AC5" s="8">
        <f>C5+P5</f>
        <v>13.775999999999998</v>
      </c>
      <c r="AD5" s="8">
        <f>D5+Q5</f>
        <v>42.292319999999989</v>
      </c>
    </row>
    <row r="6" spans="1:30" x14ac:dyDescent="0.15">
      <c r="A6" s="1">
        <v>38293</v>
      </c>
      <c r="B6" s="7">
        <f>'[1]Nov Prod'!I5</f>
        <v>0</v>
      </c>
      <c r="C6" s="8">
        <f t="shared" si="0"/>
        <v>0</v>
      </c>
      <c r="D6" s="10">
        <f t="shared" si="1"/>
        <v>0</v>
      </c>
      <c r="E6" s="7">
        <f>'[1]Nov Prod'!E5</f>
        <v>0</v>
      </c>
      <c r="F6" s="8">
        <f t="shared" si="2"/>
        <v>0</v>
      </c>
      <c r="G6" s="10">
        <f t="shared" si="3"/>
        <v>0</v>
      </c>
      <c r="H6" s="7">
        <f>'[1]Nov Prod'!F5</f>
        <v>0</v>
      </c>
      <c r="I6" s="8">
        <f t="shared" si="4"/>
        <v>0</v>
      </c>
      <c r="J6" s="10">
        <f t="shared" si="5"/>
        <v>0</v>
      </c>
      <c r="K6" s="7">
        <f>'[1]Nov Prod'!$H253*10</f>
        <v>848350</v>
      </c>
      <c r="L6" s="8">
        <f t="shared" si="6"/>
        <v>0.84835000000000005</v>
      </c>
      <c r="M6" s="10">
        <f t="shared" si="7"/>
        <v>2.6044345</v>
      </c>
      <c r="N6" s="21"/>
      <c r="O6" s="7">
        <f>'[1]Nov Prod'!H5</f>
        <v>12692000.000000002</v>
      </c>
      <c r="P6" s="8">
        <f t="shared" si="8"/>
        <v>12.692000000000002</v>
      </c>
      <c r="Q6" s="10">
        <f t="shared" si="9"/>
        <v>38.964440000000003</v>
      </c>
      <c r="R6" s="7">
        <f>'[1]Nov Prod'!C5</f>
        <v>13029000</v>
      </c>
      <c r="S6" s="8">
        <f t="shared" si="10"/>
        <v>13.029</v>
      </c>
      <c r="T6" s="10">
        <f t="shared" si="11"/>
        <v>39.999029999999998</v>
      </c>
      <c r="U6" s="7">
        <f>'[1]Nov Prod'!D5</f>
        <v>2000</v>
      </c>
      <c r="V6" s="8">
        <f t="shared" si="12"/>
        <v>2E-3</v>
      </c>
      <c r="W6" s="10">
        <f t="shared" si="13"/>
        <v>6.1399999999999996E-3</v>
      </c>
      <c r="X6" s="7">
        <f>'[1]Nov Prod'!$D253</f>
        <v>338999.99999999866</v>
      </c>
      <c r="Y6" s="8">
        <f t="shared" si="14"/>
        <v>0.33899999999999864</v>
      </c>
      <c r="Z6" s="10">
        <f t="shared" si="15"/>
        <v>1.0407299999999957</v>
      </c>
      <c r="AA6" s="15"/>
      <c r="AB6" s="7">
        <f t="shared" ref="AB6:AD35" si="16">B6+O6</f>
        <v>12692000.000000002</v>
      </c>
      <c r="AC6" s="8">
        <f t="shared" si="16"/>
        <v>12.692000000000002</v>
      </c>
      <c r="AD6" s="8">
        <f t="shared" si="16"/>
        <v>38.964440000000003</v>
      </c>
    </row>
    <row r="7" spans="1:30" x14ac:dyDescent="0.15">
      <c r="A7" s="1">
        <v>38294</v>
      </c>
      <c r="B7" s="7">
        <f>'[1]Nov Prod'!I6</f>
        <v>0</v>
      </c>
      <c r="C7" s="8">
        <f t="shared" si="0"/>
        <v>0</v>
      </c>
      <c r="D7" s="10">
        <f t="shared" si="1"/>
        <v>0</v>
      </c>
      <c r="E7" s="7">
        <f>'[1]Nov Prod'!E6</f>
        <v>0</v>
      </c>
      <c r="F7" s="8">
        <f t="shared" si="2"/>
        <v>0</v>
      </c>
      <c r="G7" s="10">
        <f t="shared" si="3"/>
        <v>0</v>
      </c>
      <c r="H7" s="7">
        <f>'[1]Nov Prod'!F6</f>
        <v>0</v>
      </c>
      <c r="I7" s="8">
        <f t="shared" si="4"/>
        <v>0</v>
      </c>
      <c r="J7" s="10">
        <f t="shared" si="5"/>
        <v>0</v>
      </c>
      <c r="K7" s="7">
        <f>'[1]Nov Prod'!$H254*10</f>
        <v>397050</v>
      </c>
      <c r="L7" s="8">
        <f t="shared" si="6"/>
        <v>0.39705000000000001</v>
      </c>
      <c r="M7" s="10">
        <f t="shared" si="7"/>
        <v>1.2189435</v>
      </c>
      <c r="N7" s="21"/>
      <c r="O7" s="7">
        <f>'[1]Nov Prod'!H6</f>
        <v>11521999.999999991</v>
      </c>
      <c r="P7" s="8">
        <f t="shared" si="8"/>
        <v>11.521999999999991</v>
      </c>
      <c r="Q7" s="10">
        <f t="shared" si="9"/>
        <v>35.372539999999972</v>
      </c>
      <c r="R7" s="7">
        <f>'[1]Nov Prod'!C6</f>
        <v>11747000</v>
      </c>
      <c r="S7" s="8">
        <f t="shared" si="10"/>
        <v>11.747</v>
      </c>
      <c r="T7" s="10">
        <f t="shared" si="11"/>
        <v>36.063289999999995</v>
      </c>
      <c r="U7" s="7">
        <f>'[1]Nov Prod'!D6</f>
        <v>0</v>
      </c>
      <c r="V7" s="8">
        <f t="shared" si="12"/>
        <v>0</v>
      </c>
      <c r="W7" s="10">
        <f t="shared" si="13"/>
        <v>0</v>
      </c>
      <c r="X7" s="7">
        <f>'[1]Nov Prod'!$D254</f>
        <v>225000.00000000853</v>
      </c>
      <c r="Y7" s="8">
        <f t="shared" si="14"/>
        <v>0.22500000000000853</v>
      </c>
      <c r="Z7" s="10">
        <f t="shared" si="15"/>
        <v>0.69075000000002618</v>
      </c>
      <c r="AA7" s="15"/>
      <c r="AB7" s="7">
        <f t="shared" si="16"/>
        <v>11521999.999999991</v>
      </c>
      <c r="AC7" s="8">
        <f t="shared" si="16"/>
        <v>11.521999999999991</v>
      </c>
      <c r="AD7" s="8">
        <f t="shared" si="16"/>
        <v>35.372539999999972</v>
      </c>
    </row>
    <row r="8" spans="1:30" x14ac:dyDescent="0.15">
      <c r="A8" s="1">
        <v>38295</v>
      </c>
      <c r="B8" s="7">
        <f>'[1]Nov Prod'!I7</f>
        <v>0</v>
      </c>
      <c r="C8" s="8">
        <f t="shared" si="0"/>
        <v>0</v>
      </c>
      <c r="D8" s="10">
        <f t="shared" si="1"/>
        <v>0</v>
      </c>
      <c r="E8" s="7">
        <f>'[1]Nov Prod'!E7</f>
        <v>0</v>
      </c>
      <c r="F8" s="8">
        <f t="shared" si="2"/>
        <v>0</v>
      </c>
      <c r="G8" s="10">
        <f t="shared" si="3"/>
        <v>0</v>
      </c>
      <c r="H8" s="7">
        <f>'[1]Nov Prod'!F7</f>
        <v>0</v>
      </c>
      <c r="I8" s="8">
        <f t="shared" si="4"/>
        <v>0</v>
      </c>
      <c r="J8" s="10">
        <f t="shared" si="5"/>
        <v>0</v>
      </c>
      <c r="K8" s="7">
        <f>'[1]Nov Prod'!$H255*10</f>
        <v>817540</v>
      </c>
      <c r="L8" s="8">
        <f t="shared" si="6"/>
        <v>0.81754000000000004</v>
      </c>
      <c r="M8" s="10">
        <f t="shared" si="7"/>
        <v>2.5098478000000002</v>
      </c>
      <c r="N8" s="21"/>
      <c r="O8" s="7">
        <f>'[1]Nov Prod'!H7</f>
        <v>12998000.000000006</v>
      </c>
      <c r="P8" s="8">
        <f t="shared" si="8"/>
        <v>12.998000000000006</v>
      </c>
      <c r="Q8" s="10">
        <f t="shared" si="9"/>
        <v>39.903860000000016</v>
      </c>
      <c r="R8" s="7">
        <f>'[1]Nov Prod'!C7</f>
        <v>13223000</v>
      </c>
      <c r="S8" s="8">
        <f t="shared" si="10"/>
        <v>13.223000000000001</v>
      </c>
      <c r="T8" s="10">
        <f t="shared" si="11"/>
        <v>40.594610000000003</v>
      </c>
      <c r="U8" s="7">
        <f>'[1]Nov Prod'!D7</f>
        <v>0</v>
      </c>
      <c r="V8" s="8">
        <f t="shared" si="12"/>
        <v>0</v>
      </c>
      <c r="W8" s="10">
        <f t="shared" si="13"/>
        <v>0</v>
      </c>
      <c r="X8" s="7">
        <f>'[1]Nov Prod'!$D255</f>
        <v>224999.99999999432</v>
      </c>
      <c r="Y8" s="8">
        <f t="shared" si="14"/>
        <v>0.22499999999999432</v>
      </c>
      <c r="Z8" s="10">
        <f t="shared" si="15"/>
        <v>0.69074999999998254</v>
      </c>
      <c r="AA8" s="15"/>
      <c r="AB8" s="7">
        <f t="shared" si="16"/>
        <v>12998000.000000006</v>
      </c>
      <c r="AC8" s="8">
        <f t="shared" si="16"/>
        <v>12.998000000000006</v>
      </c>
      <c r="AD8" s="8">
        <f>D8+Q8</f>
        <v>39.903860000000016</v>
      </c>
    </row>
    <row r="9" spans="1:30" x14ac:dyDescent="0.15">
      <c r="A9" s="1">
        <v>38296</v>
      </c>
      <c r="B9" s="7">
        <f>'[1]Nov Prod'!I8</f>
        <v>0</v>
      </c>
      <c r="C9" s="8">
        <f t="shared" si="0"/>
        <v>0</v>
      </c>
      <c r="D9" s="10">
        <f t="shared" si="1"/>
        <v>0</v>
      </c>
      <c r="E9" s="7">
        <f>'[1]Nov Prod'!E8</f>
        <v>0</v>
      </c>
      <c r="F9" s="8">
        <f t="shared" si="2"/>
        <v>0</v>
      </c>
      <c r="G9" s="10">
        <f t="shared" si="3"/>
        <v>0</v>
      </c>
      <c r="H9" s="7">
        <f>'[1]Nov Prod'!F8</f>
        <v>0</v>
      </c>
      <c r="I9" s="8">
        <f t="shared" si="4"/>
        <v>0</v>
      </c>
      <c r="J9" s="10">
        <f t="shared" si="5"/>
        <v>0</v>
      </c>
      <c r="K9" s="7">
        <f>'[1]Nov Prod'!$H256*10</f>
        <v>0</v>
      </c>
      <c r="L9" s="8">
        <f t="shared" si="6"/>
        <v>0</v>
      </c>
      <c r="M9" s="10">
        <f t="shared" si="7"/>
        <v>0</v>
      </c>
      <c r="N9" s="21"/>
      <c r="O9" s="7">
        <f>'[1]Nov Prod'!H8</f>
        <v>11471282.999999998</v>
      </c>
      <c r="P9" s="8">
        <f t="shared" si="8"/>
        <v>11.471282999999998</v>
      </c>
      <c r="Q9" s="10">
        <f t="shared" si="9"/>
        <v>35.216838809999992</v>
      </c>
      <c r="R9" s="7">
        <f>'[1]Nov Prod'!C8</f>
        <v>11754000</v>
      </c>
      <c r="S9" s="8">
        <f t="shared" si="10"/>
        <v>11.754</v>
      </c>
      <c r="T9" s="10">
        <f t="shared" si="11"/>
        <v>36.084779999999995</v>
      </c>
      <c r="U9" s="7">
        <f>'[1]Nov Prod'!D8</f>
        <v>0</v>
      </c>
      <c r="V9" s="8">
        <f t="shared" si="12"/>
        <v>0</v>
      </c>
      <c r="W9" s="10">
        <f t="shared" si="13"/>
        <v>0</v>
      </c>
      <c r="X9" s="7">
        <f>'[1]Nov Prod'!$D256</f>
        <v>283000.00000000122</v>
      </c>
      <c r="Y9" s="8">
        <f t="shared" si="14"/>
        <v>0.2830000000000012</v>
      </c>
      <c r="Z9" s="10">
        <f t="shared" si="15"/>
        <v>0.86881000000000363</v>
      </c>
      <c r="AA9" s="15"/>
      <c r="AB9" s="7">
        <f t="shared" si="16"/>
        <v>11471282.999999998</v>
      </c>
      <c r="AC9" s="8">
        <f t="shared" si="16"/>
        <v>11.471282999999998</v>
      </c>
      <c r="AD9" s="8">
        <f t="shared" si="16"/>
        <v>35.216838809999992</v>
      </c>
    </row>
    <row r="10" spans="1:30" x14ac:dyDescent="0.15">
      <c r="A10" s="1">
        <v>38297</v>
      </c>
      <c r="B10" s="7">
        <f>'[1]Nov Prod'!I9</f>
        <v>0</v>
      </c>
      <c r="C10" s="8">
        <f t="shared" si="0"/>
        <v>0</v>
      </c>
      <c r="D10" s="10">
        <f t="shared" si="1"/>
        <v>0</v>
      </c>
      <c r="E10" s="7">
        <f>'[1]Nov Prod'!E9</f>
        <v>0</v>
      </c>
      <c r="F10" s="8">
        <f t="shared" si="2"/>
        <v>0</v>
      </c>
      <c r="G10" s="10">
        <f t="shared" si="3"/>
        <v>0</v>
      </c>
      <c r="H10" s="7">
        <f>'[1]Nov Prod'!F9</f>
        <v>0</v>
      </c>
      <c r="I10" s="8">
        <f t="shared" si="4"/>
        <v>0</v>
      </c>
      <c r="J10" s="10">
        <f t="shared" si="5"/>
        <v>0</v>
      </c>
      <c r="K10" s="7">
        <f>'[1]Nov Prod'!$H257*10</f>
        <v>0</v>
      </c>
      <c r="L10" s="8">
        <f t="shared" si="6"/>
        <v>0</v>
      </c>
      <c r="M10" s="10">
        <f t="shared" si="7"/>
        <v>0</v>
      </c>
      <c r="N10" s="21"/>
      <c r="O10" s="7">
        <f>'[1]Nov Prod'!H9</f>
        <v>12142999.999999994</v>
      </c>
      <c r="P10" s="8">
        <f t="shared" si="8"/>
        <v>12.142999999999994</v>
      </c>
      <c r="Q10" s="10">
        <f t="shared" si="9"/>
        <v>37.279009999999978</v>
      </c>
      <c r="R10" s="7">
        <f>'[1]Nov Prod'!C9</f>
        <v>12423000</v>
      </c>
      <c r="S10" s="8">
        <f t="shared" si="10"/>
        <v>12.423</v>
      </c>
      <c r="T10" s="10">
        <f t="shared" si="11"/>
        <v>38.13861</v>
      </c>
      <c r="U10" s="7">
        <f>'[1]Nov Prod'!D9</f>
        <v>1000</v>
      </c>
      <c r="V10" s="8">
        <f t="shared" si="12"/>
        <v>1E-3</v>
      </c>
      <c r="W10" s="10">
        <f t="shared" si="13"/>
        <v>3.0699999999999998E-3</v>
      </c>
      <c r="X10" s="7">
        <f>'[1]Nov Prod'!$D257</f>
        <v>281000.00000000594</v>
      </c>
      <c r="Y10" s="8">
        <f t="shared" si="14"/>
        <v>0.28100000000000591</v>
      </c>
      <c r="Z10" s="10">
        <f t="shared" si="15"/>
        <v>0.86267000000001814</v>
      </c>
      <c r="AA10" s="15"/>
      <c r="AB10" s="7">
        <f t="shared" si="16"/>
        <v>12142999.999999994</v>
      </c>
      <c r="AC10" s="8">
        <f t="shared" si="16"/>
        <v>12.142999999999994</v>
      </c>
      <c r="AD10" s="8">
        <f t="shared" si="16"/>
        <v>37.279009999999978</v>
      </c>
    </row>
    <row r="11" spans="1:30" x14ac:dyDescent="0.15">
      <c r="A11" s="1">
        <v>38298</v>
      </c>
      <c r="B11" s="7">
        <f>'[1]Nov Prod'!I10</f>
        <v>0</v>
      </c>
      <c r="C11" s="8">
        <f t="shared" si="0"/>
        <v>0</v>
      </c>
      <c r="D11" s="10">
        <f t="shared" si="1"/>
        <v>0</v>
      </c>
      <c r="E11" s="7">
        <f>'[1]Nov Prod'!E10</f>
        <v>0</v>
      </c>
      <c r="F11" s="8">
        <f t="shared" si="2"/>
        <v>0</v>
      </c>
      <c r="G11" s="10">
        <f t="shared" si="3"/>
        <v>0</v>
      </c>
      <c r="H11" s="7">
        <f>'[1]Nov Prod'!F10</f>
        <v>0</v>
      </c>
      <c r="I11" s="8">
        <f t="shared" si="4"/>
        <v>0</v>
      </c>
      <c r="J11" s="10">
        <f t="shared" si="5"/>
        <v>0</v>
      </c>
      <c r="K11" s="7">
        <f>'[1]Nov Prod'!$H258*10</f>
        <v>0</v>
      </c>
      <c r="L11" s="8">
        <f>K11/1000000</f>
        <v>0</v>
      </c>
      <c r="M11" s="10">
        <f t="shared" si="7"/>
        <v>0</v>
      </c>
      <c r="N11" s="21"/>
      <c r="O11" s="7">
        <f>'[1]Nov Prod'!H10</f>
        <v>13702000.000000004</v>
      </c>
      <c r="P11" s="8">
        <f t="shared" si="8"/>
        <v>13.702000000000004</v>
      </c>
      <c r="Q11" s="10">
        <f t="shared" si="9"/>
        <v>42.065140000000007</v>
      </c>
      <c r="R11" s="7">
        <f>'[1]Nov Prod'!C10</f>
        <v>13984000</v>
      </c>
      <c r="S11" s="8">
        <f t="shared" si="10"/>
        <v>13.984</v>
      </c>
      <c r="T11" s="10">
        <f t="shared" si="11"/>
        <v>42.930879999999995</v>
      </c>
      <c r="U11" s="7">
        <f>'[1]Nov Prod'!D10</f>
        <v>0</v>
      </c>
      <c r="V11" s="8">
        <f t="shared" si="12"/>
        <v>0</v>
      </c>
      <c r="W11" s="10">
        <f t="shared" si="13"/>
        <v>0</v>
      </c>
      <c r="X11" s="7">
        <f>'[1]Nov Prod'!$D258</f>
        <v>281999.99999999645</v>
      </c>
      <c r="Y11" s="8">
        <f t="shared" si="14"/>
        <v>0.28199999999999648</v>
      </c>
      <c r="Z11" s="10">
        <f t="shared" si="15"/>
        <v>0.86573999999998918</v>
      </c>
      <c r="AA11" s="15"/>
      <c r="AB11" s="7">
        <f t="shared" si="16"/>
        <v>13702000.000000004</v>
      </c>
      <c r="AC11" s="8">
        <f t="shared" si="16"/>
        <v>13.702000000000004</v>
      </c>
      <c r="AD11" s="8">
        <f t="shared" si="16"/>
        <v>42.065140000000007</v>
      </c>
    </row>
    <row r="12" spans="1:30" x14ac:dyDescent="0.15">
      <c r="A12" s="1">
        <v>38299</v>
      </c>
      <c r="B12" s="7">
        <f>'[1]Nov Prod'!I11</f>
        <v>0</v>
      </c>
      <c r="C12" s="8">
        <f t="shared" si="0"/>
        <v>0</v>
      </c>
      <c r="D12" s="10">
        <f t="shared" si="1"/>
        <v>0</v>
      </c>
      <c r="E12" s="7">
        <f>'[1]Nov Prod'!E11</f>
        <v>0</v>
      </c>
      <c r="F12" s="8">
        <f t="shared" si="2"/>
        <v>0</v>
      </c>
      <c r="G12" s="10">
        <f t="shared" si="3"/>
        <v>0</v>
      </c>
      <c r="H12" s="7">
        <f>'[1]Nov Prod'!F11</f>
        <v>0</v>
      </c>
      <c r="I12" s="8">
        <f t="shared" si="4"/>
        <v>0</v>
      </c>
      <c r="J12" s="10">
        <f t="shared" si="5"/>
        <v>0</v>
      </c>
      <c r="K12" s="7">
        <f>'[1]Nov Prod'!$H259*10</f>
        <v>0</v>
      </c>
      <c r="L12" s="8">
        <f t="shared" si="6"/>
        <v>0</v>
      </c>
      <c r="M12" s="10">
        <f t="shared" si="7"/>
        <v>0</v>
      </c>
      <c r="N12" s="21"/>
      <c r="O12" s="7">
        <f>'[1]Nov Prod'!H11</f>
        <v>13656000.000000006</v>
      </c>
      <c r="P12" s="8">
        <f t="shared" si="8"/>
        <v>13.656000000000006</v>
      </c>
      <c r="Q12" s="10">
        <f t="shared" si="9"/>
        <v>41.923920000000017</v>
      </c>
      <c r="R12" s="7">
        <f>'[1]Nov Prod'!C11</f>
        <v>13881000</v>
      </c>
      <c r="S12" s="8">
        <f t="shared" si="10"/>
        <v>13.881</v>
      </c>
      <c r="T12" s="10">
        <f t="shared" si="11"/>
        <v>42.614669999999997</v>
      </c>
      <c r="U12" s="7">
        <f>'[1]Nov Prod'!D11</f>
        <v>0</v>
      </c>
      <c r="V12" s="8">
        <f t="shared" si="12"/>
        <v>0</v>
      </c>
      <c r="W12" s="10">
        <f t="shared" si="13"/>
        <v>0</v>
      </c>
      <c r="X12" s="7">
        <f>'[1]Nov Prod'!$D259</f>
        <v>224999.99999999432</v>
      </c>
      <c r="Y12" s="8">
        <f t="shared" si="14"/>
        <v>0.22499999999999432</v>
      </c>
      <c r="Z12" s="10">
        <f t="shared" si="15"/>
        <v>0.69074999999998254</v>
      </c>
      <c r="AA12" s="15"/>
      <c r="AB12" s="7">
        <f t="shared" si="16"/>
        <v>13656000.000000006</v>
      </c>
      <c r="AC12" s="8">
        <f t="shared" si="16"/>
        <v>13.656000000000006</v>
      </c>
      <c r="AD12" s="8">
        <f t="shared" si="16"/>
        <v>41.923920000000017</v>
      </c>
    </row>
    <row r="13" spans="1:30" x14ac:dyDescent="0.15">
      <c r="A13" s="1">
        <v>38300</v>
      </c>
      <c r="B13" s="7">
        <f>'[1]Nov Prod'!I12</f>
        <v>0</v>
      </c>
      <c r="C13" s="8">
        <f t="shared" si="0"/>
        <v>0</v>
      </c>
      <c r="D13" s="10">
        <f t="shared" si="1"/>
        <v>0</v>
      </c>
      <c r="E13" s="7">
        <f>'[1]Nov Prod'!E12</f>
        <v>0</v>
      </c>
      <c r="F13" s="8">
        <f t="shared" si="2"/>
        <v>0</v>
      </c>
      <c r="G13" s="10">
        <f t="shared" si="3"/>
        <v>0</v>
      </c>
      <c r="H13" s="7">
        <f>'[1]Nov Prod'!F12</f>
        <v>0</v>
      </c>
      <c r="I13" s="8">
        <f t="shared" si="4"/>
        <v>0</v>
      </c>
      <c r="J13" s="10">
        <f t="shared" si="5"/>
        <v>0</v>
      </c>
      <c r="K13" s="7">
        <f>'[1]Nov Prod'!$H260*10</f>
        <v>0</v>
      </c>
      <c r="L13" s="8">
        <f t="shared" si="6"/>
        <v>0</v>
      </c>
      <c r="M13" s="10">
        <f t="shared" si="7"/>
        <v>0</v>
      </c>
      <c r="N13" s="21"/>
      <c r="O13" s="7">
        <f>'[1]Nov Prod'!H12</f>
        <v>12942999.999999998</v>
      </c>
      <c r="P13" s="8">
        <f t="shared" si="8"/>
        <v>12.942999999999998</v>
      </c>
      <c r="Q13" s="10">
        <f t="shared" si="9"/>
        <v>39.735009999999988</v>
      </c>
      <c r="R13" s="7">
        <f>'[1]Nov Prod'!C12</f>
        <v>13220000</v>
      </c>
      <c r="S13" s="8">
        <f t="shared" si="10"/>
        <v>13.22</v>
      </c>
      <c r="T13" s="10">
        <f t="shared" si="11"/>
        <v>40.5854</v>
      </c>
      <c r="U13" s="7">
        <f>'[1]Nov Prod'!D12</f>
        <v>6000</v>
      </c>
      <c r="V13" s="8">
        <f t="shared" si="12"/>
        <v>6.0000000000000001E-3</v>
      </c>
      <c r="W13" s="10">
        <f t="shared" si="13"/>
        <v>1.8419999999999999E-2</v>
      </c>
      <c r="X13" s="7">
        <f>'[1]Nov Prod'!$D260</f>
        <v>283000.00000000122</v>
      </c>
      <c r="Y13" s="8">
        <f t="shared" si="14"/>
        <v>0.2830000000000012</v>
      </c>
      <c r="Z13" s="10">
        <f t="shared" si="15"/>
        <v>0.86881000000000363</v>
      </c>
      <c r="AA13" s="15"/>
      <c r="AB13" s="7">
        <f t="shared" si="16"/>
        <v>12942999.999999998</v>
      </c>
      <c r="AC13" s="8">
        <f t="shared" si="16"/>
        <v>12.942999999999998</v>
      </c>
      <c r="AD13" s="8">
        <f t="shared" si="16"/>
        <v>39.735009999999988</v>
      </c>
    </row>
    <row r="14" spans="1:30" x14ac:dyDescent="0.15">
      <c r="A14" s="1">
        <v>38301</v>
      </c>
      <c r="B14" s="7">
        <f>'[1]Nov Prod'!I13</f>
        <v>0</v>
      </c>
      <c r="C14" s="8">
        <f t="shared" si="0"/>
        <v>0</v>
      </c>
      <c r="D14" s="10">
        <f t="shared" si="1"/>
        <v>0</v>
      </c>
      <c r="E14" s="7">
        <f>'[1]Nov Prod'!E13</f>
        <v>0</v>
      </c>
      <c r="F14" s="8">
        <f t="shared" si="2"/>
        <v>0</v>
      </c>
      <c r="G14" s="10">
        <f t="shared" si="3"/>
        <v>0</v>
      </c>
      <c r="H14" s="7">
        <f>'[1]Nov Prod'!F13</f>
        <v>0</v>
      </c>
      <c r="I14" s="8">
        <f t="shared" si="4"/>
        <v>0</v>
      </c>
      <c r="J14" s="10">
        <f t="shared" si="5"/>
        <v>0</v>
      </c>
      <c r="K14" s="7">
        <f>'[1]Nov Prod'!$H261*10</f>
        <v>0</v>
      </c>
      <c r="L14" s="8">
        <f t="shared" si="6"/>
        <v>0</v>
      </c>
      <c r="M14" s="10">
        <f t="shared" si="7"/>
        <v>0</v>
      </c>
      <c r="N14" s="21"/>
      <c r="O14" s="7">
        <f>'[1]Nov Prod'!H13</f>
        <v>10012000.000000004</v>
      </c>
      <c r="P14" s="8">
        <f t="shared" si="8"/>
        <v>10.012000000000004</v>
      </c>
      <c r="Q14" s="10">
        <f t="shared" si="9"/>
        <v>30.736840000000011</v>
      </c>
      <c r="R14" s="7">
        <f>'[1]Nov Prod'!C13</f>
        <v>10297000</v>
      </c>
      <c r="S14" s="8">
        <f t="shared" si="10"/>
        <v>10.297000000000001</v>
      </c>
      <c r="T14" s="10">
        <f t="shared" si="11"/>
        <v>31.611789999999999</v>
      </c>
      <c r="U14" s="7">
        <f>'[1]Nov Prod'!D13</f>
        <v>0</v>
      </c>
      <c r="V14" s="8">
        <f t="shared" si="12"/>
        <v>0</v>
      </c>
      <c r="W14" s="10">
        <f t="shared" si="13"/>
        <v>0</v>
      </c>
      <c r="X14" s="7">
        <f>'[1]Nov Prod'!$D261</f>
        <v>284999.99999999657</v>
      </c>
      <c r="Y14" s="8">
        <f t="shared" si="14"/>
        <v>0.28499999999999659</v>
      </c>
      <c r="Z14" s="10">
        <f t="shared" si="15"/>
        <v>0.87494999999998946</v>
      </c>
      <c r="AA14" s="15"/>
      <c r="AB14" s="7">
        <f t="shared" si="16"/>
        <v>10012000.000000004</v>
      </c>
      <c r="AC14" s="8">
        <f t="shared" si="16"/>
        <v>10.012000000000004</v>
      </c>
      <c r="AD14" s="8">
        <f t="shared" si="16"/>
        <v>30.736840000000011</v>
      </c>
    </row>
    <row r="15" spans="1:30" x14ac:dyDescent="0.15">
      <c r="A15" s="1">
        <v>38302</v>
      </c>
      <c r="B15" s="7">
        <f>'[1]Nov Prod'!I14</f>
        <v>0</v>
      </c>
      <c r="C15" s="8">
        <f t="shared" si="0"/>
        <v>0</v>
      </c>
      <c r="D15" s="10">
        <f t="shared" si="1"/>
        <v>0</v>
      </c>
      <c r="E15" s="7">
        <f>'[1]Nov Prod'!E14</f>
        <v>0</v>
      </c>
      <c r="F15" s="8">
        <f t="shared" si="2"/>
        <v>0</v>
      </c>
      <c r="G15" s="10">
        <f t="shared" si="3"/>
        <v>0</v>
      </c>
      <c r="H15" s="7">
        <f>'[1]Nov Prod'!F14</f>
        <v>0</v>
      </c>
      <c r="I15" s="8">
        <f t="shared" si="4"/>
        <v>0</v>
      </c>
      <c r="J15" s="10">
        <f t="shared" si="5"/>
        <v>0</v>
      </c>
      <c r="K15" s="7">
        <f>'[1]Nov Prod'!$H262*10</f>
        <v>0</v>
      </c>
      <c r="L15" s="8">
        <f t="shared" si="6"/>
        <v>0</v>
      </c>
      <c r="M15" s="10">
        <f t="shared" si="7"/>
        <v>0</v>
      </c>
      <c r="N15" s="21"/>
      <c r="O15" s="7">
        <f>'[1]Nov Prod'!H14</f>
        <v>10411999.999999994</v>
      </c>
      <c r="P15" s="8">
        <f t="shared" si="8"/>
        <v>10.411999999999994</v>
      </c>
      <c r="Q15" s="10">
        <f t="shared" si="9"/>
        <v>31.964839999999977</v>
      </c>
      <c r="R15" s="7">
        <f>'[1]Nov Prod'!C14</f>
        <v>10693000</v>
      </c>
      <c r="S15" s="8">
        <f t="shared" si="10"/>
        <v>10.693</v>
      </c>
      <c r="T15" s="10">
        <f t="shared" si="11"/>
        <v>32.827509999999997</v>
      </c>
      <c r="U15" s="7">
        <f>'[1]Nov Prod'!D14</f>
        <v>0</v>
      </c>
      <c r="V15" s="8">
        <f t="shared" si="12"/>
        <v>0</v>
      </c>
      <c r="W15" s="10">
        <f t="shared" si="13"/>
        <v>0</v>
      </c>
      <c r="X15" s="7">
        <f>'[1]Nov Prod'!$D262</f>
        <v>281000.00000000594</v>
      </c>
      <c r="Y15" s="8">
        <f t="shared" si="14"/>
        <v>0.28100000000000591</v>
      </c>
      <c r="Z15" s="10">
        <f t="shared" si="15"/>
        <v>0.86267000000001814</v>
      </c>
      <c r="AA15" s="15"/>
      <c r="AB15" s="7">
        <f t="shared" si="16"/>
        <v>10411999.999999994</v>
      </c>
      <c r="AC15" s="8">
        <f t="shared" si="16"/>
        <v>10.411999999999994</v>
      </c>
      <c r="AD15" s="8">
        <f t="shared" si="16"/>
        <v>31.964839999999977</v>
      </c>
    </row>
    <row r="16" spans="1:30" x14ac:dyDescent="0.15">
      <c r="A16" s="1">
        <v>38303</v>
      </c>
      <c r="B16" s="7">
        <f>'[1]Nov Prod'!I15</f>
        <v>0</v>
      </c>
      <c r="C16" s="8">
        <f t="shared" si="0"/>
        <v>0</v>
      </c>
      <c r="D16" s="10">
        <f t="shared" si="1"/>
        <v>0</v>
      </c>
      <c r="E16" s="7">
        <f>'[1]Nov Prod'!E15</f>
        <v>0</v>
      </c>
      <c r="F16" s="8">
        <f t="shared" si="2"/>
        <v>0</v>
      </c>
      <c r="G16" s="10">
        <f t="shared" si="3"/>
        <v>0</v>
      </c>
      <c r="H16" s="7">
        <f>'[1]Nov Prod'!F15</f>
        <v>0</v>
      </c>
      <c r="I16" s="8">
        <f t="shared" si="4"/>
        <v>0</v>
      </c>
      <c r="J16" s="10">
        <f t="shared" si="5"/>
        <v>0</v>
      </c>
      <c r="K16" s="7">
        <f>'[1]Nov Prod'!$H263*10</f>
        <v>0</v>
      </c>
      <c r="L16" s="8">
        <f t="shared" si="6"/>
        <v>0</v>
      </c>
      <c r="M16" s="10">
        <f t="shared" si="7"/>
        <v>0</v>
      </c>
      <c r="N16" s="21"/>
      <c r="O16" s="7">
        <f>'[1]Nov Prod'!H15</f>
        <v>11136000</v>
      </c>
      <c r="P16" s="8">
        <f t="shared" si="8"/>
        <v>11.135999999999999</v>
      </c>
      <c r="Q16" s="10">
        <f t="shared" si="9"/>
        <v>34.187519999999999</v>
      </c>
      <c r="R16" s="7">
        <f>'[1]Nov Prod'!C15</f>
        <v>11365000</v>
      </c>
      <c r="S16" s="8">
        <f t="shared" si="10"/>
        <v>11.365</v>
      </c>
      <c r="T16" s="10">
        <f t="shared" si="11"/>
        <v>34.890549999999998</v>
      </c>
      <c r="U16" s="7">
        <f>'[1]Nov Prod'!D15</f>
        <v>0</v>
      </c>
      <c r="V16" s="8">
        <f t="shared" si="12"/>
        <v>0</v>
      </c>
      <c r="W16" s="10">
        <f t="shared" si="13"/>
        <v>0</v>
      </c>
      <c r="X16" s="7">
        <f>'[1]Nov Prod'!$D263</f>
        <v>228999.99999999921</v>
      </c>
      <c r="Y16" s="8">
        <f t="shared" si="14"/>
        <v>0.2289999999999992</v>
      </c>
      <c r="Z16" s="10">
        <f t="shared" si="15"/>
        <v>0.70302999999999749</v>
      </c>
      <c r="AA16" s="15"/>
      <c r="AB16" s="7">
        <f t="shared" si="16"/>
        <v>11136000</v>
      </c>
      <c r="AC16" s="8">
        <f t="shared" si="16"/>
        <v>11.135999999999999</v>
      </c>
      <c r="AD16" s="8">
        <f t="shared" si="16"/>
        <v>34.187519999999999</v>
      </c>
    </row>
    <row r="17" spans="1:30" x14ac:dyDescent="0.15">
      <c r="A17" s="1">
        <v>38304</v>
      </c>
      <c r="B17" s="7">
        <f>'[1]Nov Prod'!I16</f>
        <v>0</v>
      </c>
      <c r="C17" s="8">
        <f t="shared" si="0"/>
        <v>0</v>
      </c>
      <c r="D17" s="10">
        <f t="shared" si="1"/>
        <v>0</v>
      </c>
      <c r="E17" s="7">
        <f>'[1]Nov Prod'!E16</f>
        <v>0</v>
      </c>
      <c r="F17" s="8">
        <f t="shared" si="2"/>
        <v>0</v>
      </c>
      <c r="G17" s="10">
        <f t="shared" si="3"/>
        <v>0</v>
      </c>
      <c r="H17" s="7">
        <f>'[1]Nov Prod'!F16</f>
        <v>0</v>
      </c>
      <c r="I17" s="8">
        <f t="shared" si="4"/>
        <v>0</v>
      </c>
      <c r="J17" s="10">
        <f t="shared" si="5"/>
        <v>0</v>
      </c>
      <c r="K17" s="7">
        <f>'[1]Nov Prod'!$H264*10</f>
        <v>0</v>
      </c>
      <c r="L17" s="8">
        <f t="shared" si="6"/>
        <v>0</v>
      </c>
      <c r="M17" s="10">
        <f t="shared" si="7"/>
        <v>0</v>
      </c>
      <c r="N17" s="21"/>
      <c r="O17" s="7">
        <f>'[1]Nov Prod'!H16</f>
        <v>11723000.000000004</v>
      </c>
      <c r="P17" s="8">
        <f t="shared" ref="P17:P34" si="17">O17/1000000</f>
        <v>11.723000000000004</v>
      </c>
      <c r="Q17" s="10">
        <f t="shared" si="9"/>
        <v>35.989610000000013</v>
      </c>
      <c r="R17" s="7">
        <f>'[1]Nov Prod'!C16</f>
        <v>11978000</v>
      </c>
      <c r="S17" s="8">
        <f t="shared" si="10"/>
        <v>11.978</v>
      </c>
      <c r="T17" s="10">
        <f t="shared" si="11"/>
        <v>36.772459999999995</v>
      </c>
      <c r="U17" s="7">
        <f>'[1]Nov Prod'!D16</f>
        <v>0</v>
      </c>
      <c r="V17" s="8">
        <f t="shared" si="12"/>
        <v>0</v>
      </c>
      <c r="W17" s="10">
        <f t="shared" si="13"/>
        <v>0</v>
      </c>
      <c r="X17" s="7">
        <f>'[1]Nov Prod'!$D264</f>
        <v>254999.99999999546</v>
      </c>
      <c r="Y17" s="8">
        <f t="shared" si="14"/>
        <v>0.25499999999999545</v>
      </c>
      <c r="Z17" s="10">
        <f t="shared" si="15"/>
        <v>0.78284999999998595</v>
      </c>
      <c r="AA17" s="15"/>
      <c r="AB17" s="7">
        <f t="shared" si="16"/>
        <v>11723000.000000004</v>
      </c>
      <c r="AC17" s="8">
        <f t="shared" si="16"/>
        <v>11.723000000000004</v>
      </c>
      <c r="AD17" s="8">
        <f t="shared" si="16"/>
        <v>35.989610000000013</v>
      </c>
    </row>
    <row r="18" spans="1:30" x14ac:dyDescent="0.15">
      <c r="A18" s="1">
        <v>38305</v>
      </c>
      <c r="B18" s="7">
        <f>'[1]Nov Prod'!I17</f>
        <v>0</v>
      </c>
      <c r="C18" s="8">
        <f t="shared" si="0"/>
        <v>0</v>
      </c>
      <c r="D18" s="10">
        <f t="shared" si="1"/>
        <v>0</v>
      </c>
      <c r="E18" s="7">
        <f>'[1]Nov Prod'!E17</f>
        <v>0</v>
      </c>
      <c r="F18" s="8">
        <f t="shared" si="2"/>
        <v>0</v>
      </c>
      <c r="G18" s="10">
        <f t="shared" si="3"/>
        <v>0</v>
      </c>
      <c r="H18" s="7">
        <f>'[1]Nov Prod'!F17</f>
        <v>0</v>
      </c>
      <c r="I18" s="8">
        <f t="shared" si="4"/>
        <v>0</v>
      </c>
      <c r="J18" s="10">
        <f t="shared" si="5"/>
        <v>0</v>
      </c>
      <c r="K18" s="7">
        <f>'[1]Nov Prod'!$H265*10</f>
        <v>0</v>
      </c>
      <c r="L18" s="8">
        <f t="shared" si="6"/>
        <v>0</v>
      </c>
      <c r="M18" s="10">
        <f t="shared" si="7"/>
        <v>0</v>
      </c>
      <c r="N18" s="21"/>
      <c r="O18" s="7">
        <f>'[1]Nov Prod'!H17</f>
        <v>11832999.999999993</v>
      </c>
      <c r="P18" s="8">
        <f t="shared" si="17"/>
        <v>11.832999999999993</v>
      </c>
      <c r="Q18" s="10">
        <f t="shared" si="9"/>
        <v>36.327309999999976</v>
      </c>
      <c r="R18" s="7">
        <f>'[1]Nov Prod'!C17</f>
        <v>12137000</v>
      </c>
      <c r="S18" s="8">
        <f t="shared" ref="S18:S34" si="18">R18/1000000</f>
        <v>12.137</v>
      </c>
      <c r="T18" s="10">
        <f t="shared" si="11"/>
        <v>37.260590000000001</v>
      </c>
      <c r="U18" s="7">
        <f>'[1]Nov Prod'!D17</f>
        <v>13000</v>
      </c>
      <c r="V18" s="8">
        <f t="shared" si="12"/>
        <v>1.2999999999999999E-2</v>
      </c>
      <c r="W18" s="10">
        <f t="shared" si="13"/>
        <v>3.9909999999999994E-2</v>
      </c>
      <c r="X18" s="7">
        <f>'[1]Nov Prod'!$D265</f>
        <v>317000.00000000728</v>
      </c>
      <c r="Y18" s="8">
        <f t="shared" si="14"/>
        <v>0.31700000000000728</v>
      </c>
      <c r="Z18" s="10">
        <f t="shared" si="15"/>
        <v>0.97319000000002231</v>
      </c>
      <c r="AA18" s="15"/>
      <c r="AB18" s="7">
        <f t="shared" si="16"/>
        <v>11832999.999999993</v>
      </c>
      <c r="AC18" s="8">
        <f t="shared" si="16"/>
        <v>11.832999999999993</v>
      </c>
      <c r="AD18" s="8">
        <f t="shared" si="16"/>
        <v>36.327309999999976</v>
      </c>
    </row>
    <row r="19" spans="1:30" x14ac:dyDescent="0.15">
      <c r="A19" s="1">
        <v>38306</v>
      </c>
      <c r="B19" s="7">
        <f>'[1]Nov Prod'!I18</f>
        <v>0</v>
      </c>
      <c r="C19" s="8">
        <f t="shared" si="0"/>
        <v>0</v>
      </c>
      <c r="D19" s="10">
        <f t="shared" si="1"/>
        <v>0</v>
      </c>
      <c r="E19" s="7">
        <f>'[1]Nov Prod'!E18</f>
        <v>0</v>
      </c>
      <c r="F19" s="8">
        <f t="shared" si="2"/>
        <v>0</v>
      </c>
      <c r="G19" s="10">
        <f t="shared" si="3"/>
        <v>0</v>
      </c>
      <c r="H19" s="7">
        <f>'[1]Nov Prod'!F18</f>
        <v>0</v>
      </c>
      <c r="I19" s="8">
        <f t="shared" si="4"/>
        <v>0</v>
      </c>
      <c r="J19" s="10">
        <f t="shared" si="5"/>
        <v>0</v>
      </c>
      <c r="K19" s="7">
        <f>'[1]Nov Prod'!$H266*10</f>
        <v>0</v>
      </c>
      <c r="L19" s="8">
        <f t="shared" si="6"/>
        <v>0</v>
      </c>
      <c r="M19" s="10">
        <f t="shared" si="7"/>
        <v>0</v>
      </c>
      <c r="N19" s="21"/>
      <c r="O19" s="7">
        <f>'[1]Nov Prod'!H18</f>
        <v>12221000</v>
      </c>
      <c r="P19" s="8">
        <f t="shared" si="17"/>
        <v>12.221</v>
      </c>
      <c r="Q19" s="10">
        <f t="shared" si="9"/>
        <v>37.518470000000001</v>
      </c>
      <c r="R19" s="7">
        <f>'[1]Nov Prod'!C18</f>
        <v>12450000</v>
      </c>
      <c r="S19" s="8">
        <f t="shared" si="18"/>
        <v>12.45</v>
      </c>
      <c r="T19" s="10">
        <f t="shared" si="11"/>
        <v>38.221499999999999</v>
      </c>
      <c r="U19" s="7">
        <f>'[1]Nov Prod'!D18</f>
        <v>0</v>
      </c>
      <c r="V19" s="8">
        <f t="shared" si="12"/>
        <v>0</v>
      </c>
      <c r="W19" s="10">
        <f t="shared" si="13"/>
        <v>0</v>
      </c>
      <c r="X19" s="7">
        <f>'[1]Nov Prod'!$D266</f>
        <v>228999.99999999921</v>
      </c>
      <c r="Y19" s="8">
        <f t="shared" si="14"/>
        <v>0.2289999999999992</v>
      </c>
      <c r="Z19" s="10">
        <f t="shared" si="15"/>
        <v>0.70302999999999749</v>
      </c>
      <c r="AA19" s="15"/>
      <c r="AB19" s="7">
        <f t="shared" si="16"/>
        <v>12221000</v>
      </c>
      <c r="AC19" s="8">
        <f t="shared" si="16"/>
        <v>12.221</v>
      </c>
      <c r="AD19" s="8">
        <f>D19+Q19</f>
        <v>37.518470000000001</v>
      </c>
    </row>
    <row r="20" spans="1:30" x14ac:dyDescent="0.15">
      <c r="A20" s="1">
        <v>38307</v>
      </c>
      <c r="B20" s="7">
        <f>'[1]Nov Prod'!I19</f>
        <v>0</v>
      </c>
      <c r="C20" s="8">
        <f t="shared" si="0"/>
        <v>0</v>
      </c>
      <c r="D20" s="10">
        <f t="shared" si="1"/>
        <v>0</v>
      </c>
      <c r="E20" s="7">
        <f>'[1]Nov Prod'!E19</f>
        <v>0</v>
      </c>
      <c r="F20" s="8">
        <f t="shared" si="2"/>
        <v>0</v>
      </c>
      <c r="G20" s="10">
        <f t="shared" si="3"/>
        <v>0</v>
      </c>
      <c r="H20" s="7">
        <f>'[1]Nov Prod'!F19</f>
        <v>0</v>
      </c>
      <c r="I20" s="8">
        <f t="shared" si="4"/>
        <v>0</v>
      </c>
      <c r="J20" s="10">
        <f t="shared" si="5"/>
        <v>0</v>
      </c>
      <c r="K20" s="7">
        <f>'[1]Nov Prod'!$H267*10</f>
        <v>0</v>
      </c>
      <c r="L20" s="8">
        <f t="shared" si="6"/>
        <v>0</v>
      </c>
      <c r="M20" s="10">
        <f t="shared" si="7"/>
        <v>0</v>
      </c>
      <c r="N20" s="21"/>
      <c r="O20" s="7">
        <f>'[1]Nov Prod'!H19</f>
        <v>11905000.000000002</v>
      </c>
      <c r="P20" s="8">
        <f t="shared" si="17"/>
        <v>11.905000000000001</v>
      </c>
      <c r="Q20" s="10">
        <f t="shared" si="9"/>
        <v>36.548349999999999</v>
      </c>
      <c r="R20" s="7">
        <f>'[1]Nov Prod'!C19</f>
        <v>12247000</v>
      </c>
      <c r="S20" s="8">
        <f t="shared" si="18"/>
        <v>12.247</v>
      </c>
      <c r="T20" s="10">
        <f t="shared" si="11"/>
        <v>37.598289999999999</v>
      </c>
      <c r="U20" s="7">
        <f>'[1]Nov Prod'!D19</f>
        <v>0</v>
      </c>
      <c r="V20" s="8">
        <f t="shared" si="12"/>
        <v>0</v>
      </c>
      <c r="W20" s="10">
        <f t="shared" si="13"/>
        <v>0</v>
      </c>
      <c r="X20" s="7">
        <f>'[1]Nov Prod'!$D267</f>
        <v>341999.99999999878</v>
      </c>
      <c r="Y20" s="8">
        <f t="shared" si="14"/>
        <v>0.3419999999999988</v>
      </c>
      <c r="Z20" s="10">
        <f t="shared" si="15"/>
        <v>1.0499399999999963</v>
      </c>
      <c r="AA20" s="15"/>
      <c r="AB20" s="7">
        <f t="shared" si="16"/>
        <v>11905000.000000002</v>
      </c>
      <c r="AC20" s="8">
        <f t="shared" si="16"/>
        <v>11.905000000000001</v>
      </c>
      <c r="AD20" s="8">
        <f t="shared" si="16"/>
        <v>36.548349999999999</v>
      </c>
    </row>
    <row r="21" spans="1:30" x14ac:dyDescent="0.15">
      <c r="A21" s="1">
        <v>38308</v>
      </c>
      <c r="B21" s="7">
        <f>'[1]Nov Prod'!I20</f>
        <v>0</v>
      </c>
      <c r="C21" s="8">
        <f t="shared" si="0"/>
        <v>0</v>
      </c>
      <c r="D21" s="10">
        <f t="shared" si="1"/>
        <v>0</v>
      </c>
      <c r="E21" s="7">
        <f>'[1]Nov Prod'!E20</f>
        <v>0</v>
      </c>
      <c r="F21" s="8">
        <f t="shared" si="2"/>
        <v>0</v>
      </c>
      <c r="G21" s="10">
        <f t="shared" si="3"/>
        <v>0</v>
      </c>
      <c r="H21" s="7">
        <f>'[1]Nov Prod'!F20</f>
        <v>0</v>
      </c>
      <c r="I21" s="8">
        <f t="shared" si="4"/>
        <v>0</v>
      </c>
      <c r="J21" s="10">
        <f t="shared" si="5"/>
        <v>0</v>
      </c>
      <c r="K21" s="7">
        <f>'[1]Nov Prod'!$H268*10</f>
        <v>0</v>
      </c>
      <c r="L21" s="8">
        <f t="shared" si="6"/>
        <v>0</v>
      </c>
      <c r="M21" s="10">
        <f t="shared" si="7"/>
        <v>0</v>
      </c>
      <c r="N21" s="21"/>
      <c r="O21" s="7">
        <f>'[1]Nov Prod'!H20</f>
        <v>11914000.000000007</v>
      </c>
      <c r="P21" s="8">
        <f t="shared" si="17"/>
        <v>11.914000000000007</v>
      </c>
      <c r="Q21" s="10">
        <f t="shared" si="9"/>
        <v>36.575980000000015</v>
      </c>
      <c r="R21" s="7">
        <f>'[1]Nov Prod'!C20</f>
        <v>12085000</v>
      </c>
      <c r="S21" s="8">
        <f t="shared" si="18"/>
        <v>12.085000000000001</v>
      </c>
      <c r="T21" s="10">
        <f t="shared" si="11"/>
        <v>37.100949999999997</v>
      </c>
      <c r="U21" s="7">
        <f>'[1]Nov Prod'!D20</f>
        <v>0</v>
      </c>
      <c r="V21" s="8">
        <f t="shared" si="12"/>
        <v>0</v>
      </c>
      <c r="W21" s="10">
        <f t="shared" si="13"/>
        <v>0</v>
      </c>
      <c r="X21" s="7">
        <f>'[1]Nov Prod'!$D268</f>
        <v>170999.99999999226</v>
      </c>
      <c r="Y21" s="8">
        <f t="shared" si="14"/>
        <v>0.17099999999999227</v>
      </c>
      <c r="Z21" s="10">
        <f t="shared" si="15"/>
        <v>0.52496999999997629</v>
      </c>
      <c r="AA21" s="15"/>
      <c r="AB21" s="7">
        <f t="shared" si="16"/>
        <v>11914000.000000007</v>
      </c>
      <c r="AC21" s="8">
        <f t="shared" si="16"/>
        <v>11.914000000000007</v>
      </c>
      <c r="AD21" s="8">
        <f t="shared" si="16"/>
        <v>36.575980000000015</v>
      </c>
    </row>
    <row r="22" spans="1:30" x14ac:dyDescent="0.15">
      <c r="A22" s="1">
        <v>38309</v>
      </c>
      <c r="B22" s="7">
        <f>'[1]Nov Prod'!I21</f>
        <v>0</v>
      </c>
      <c r="C22" s="8">
        <f t="shared" si="0"/>
        <v>0</v>
      </c>
      <c r="D22" s="10">
        <f t="shared" si="1"/>
        <v>0</v>
      </c>
      <c r="E22" s="7">
        <f>'[1]Nov Prod'!E21</f>
        <v>0</v>
      </c>
      <c r="F22" s="8">
        <f t="shared" si="2"/>
        <v>0</v>
      </c>
      <c r="G22" s="10">
        <f t="shared" si="3"/>
        <v>0</v>
      </c>
      <c r="H22" s="7">
        <f>'[1]Nov Prod'!F21</f>
        <v>0</v>
      </c>
      <c r="I22" s="8">
        <f t="shared" si="4"/>
        <v>0</v>
      </c>
      <c r="J22" s="10">
        <f t="shared" si="5"/>
        <v>0</v>
      </c>
      <c r="K22" s="7">
        <f>'[1]Nov Prod'!$H269*10</f>
        <v>0</v>
      </c>
      <c r="L22" s="8">
        <f t="shared" si="6"/>
        <v>0</v>
      </c>
      <c r="M22" s="10">
        <f t="shared" si="7"/>
        <v>0</v>
      </c>
      <c r="N22" s="21"/>
      <c r="O22" s="7">
        <f>'[1]Nov Prod'!H21</f>
        <v>10094999.999999994</v>
      </c>
      <c r="P22" s="8">
        <f t="shared" si="17"/>
        <v>10.094999999999994</v>
      </c>
      <c r="Q22" s="10">
        <f t="shared" si="9"/>
        <v>30.991649999999979</v>
      </c>
      <c r="R22" s="7">
        <f>'[1]Nov Prod'!C21</f>
        <v>10379000</v>
      </c>
      <c r="S22" s="8">
        <f t="shared" si="18"/>
        <v>10.379</v>
      </c>
      <c r="T22" s="10">
        <f t="shared" si="11"/>
        <v>31.863529999999997</v>
      </c>
      <c r="U22" s="7">
        <f>'[1]Nov Prod'!D21</f>
        <v>0</v>
      </c>
      <c r="V22" s="8">
        <f t="shared" si="12"/>
        <v>0</v>
      </c>
      <c r="W22" s="10">
        <f t="shared" si="13"/>
        <v>0</v>
      </c>
      <c r="X22" s="7">
        <f>'[1]Nov Prod'!$D269</f>
        <v>284000.00000000605</v>
      </c>
      <c r="Y22" s="8">
        <f t="shared" si="14"/>
        <v>0.28400000000000608</v>
      </c>
      <c r="Z22" s="10">
        <f t="shared" si="15"/>
        <v>0.87188000000001864</v>
      </c>
      <c r="AA22" s="15"/>
      <c r="AB22" s="7">
        <f t="shared" si="16"/>
        <v>10094999.999999994</v>
      </c>
      <c r="AC22" s="8">
        <f t="shared" si="16"/>
        <v>10.094999999999994</v>
      </c>
      <c r="AD22" s="8">
        <f t="shared" si="16"/>
        <v>30.991649999999979</v>
      </c>
    </row>
    <row r="23" spans="1:30" x14ac:dyDescent="0.15">
      <c r="A23" s="1">
        <v>38310</v>
      </c>
      <c r="B23" s="7">
        <f>'[1]Nov Prod'!I22</f>
        <v>0</v>
      </c>
      <c r="C23" s="8">
        <f t="shared" si="0"/>
        <v>0</v>
      </c>
      <c r="D23" s="10">
        <f t="shared" si="1"/>
        <v>0</v>
      </c>
      <c r="E23" s="7">
        <f>'[1]Nov Prod'!E22</f>
        <v>0</v>
      </c>
      <c r="F23" s="8">
        <f t="shared" si="2"/>
        <v>0</v>
      </c>
      <c r="G23" s="10">
        <f t="shared" si="3"/>
        <v>0</v>
      </c>
      <c r="H23" s="7">
        <f>'[1]Nov Prod'!F22</f>
        <v>0</v>
      </c>
      <c r="I23" s="8">
        <f t="shared" si="4"/>
        <v>0</v>
      </c>
      <c r="J23" s="10">
        <f t="shared" si="5"/>
        <v>0</v>
      </c>
      <c r="K23" s="7">
        <f>'[1]Nov Prod'!$H270*10</f>
        <v>0</v>
      </c>
      <c r="L23" s="8">
        <f t="shared" si="6"/>
        <v>0</v>
      </c>
      <c r="M23" s="10">
        <f t="shared" si="7"/>
        <v>0</v>
      </c>
      <c r="N23" s="21"/>
      <c r="O23" s="7">
        <f>'[1]Nov Prod'!H22</f>
        <v>11606000.000000004</v>
      </c>
      <c r="P23" s="8">
        <f t="shared" si="17"/>
        <v>11.606000000000003</v>
      </c>
      <c r="Q23" s="10">
        <f t="shared" si="9"/>
        <v>35.630420000000008</v>
      </c>
      <c r="R23" s="7">
        <f>'[1]Nov Prod'!C22</f>
        <v>11891000</v>
      </c>
      <c r="S23" s="8">
        <f t="shared" si="18"/>
        <v>11.891</v>
      </c>
      <c r="T23" s="10">
        <f t="shared" si="11"/>
        <v>36.505369999999999</v>
      </c>
      <c r="U23" s="7">
        <f>'[1]Nov Prod'!D22</f>
        <v>0</v>
      </c>
      <c r="V23" s="8">
        <f t="shared" si="12"/>
        <v>0</v>
      </c>
      <c r="W23" s="10">
        <f t="shared" si="13"/>
        <v>0</v>
      </c>
      <c r="X23" s="7">
        <f>'[1]Nov Prod'!$D270</f>
        <v>284999.99999999657</v>
      </c>
      <c r="Y23" s="8">
        <f t="shared" si="14"/>
        <v>0.28499999999999659</v>
      </c>
      <c r="Z23" s="10">
        <f t="shared" si="15"/>
        <v>0.87494999999998946</v>
      </c>
      <c r="AA23" s="15"/>
      <c r="AB23" s="7">
        <f t="shared" si="16"/>
        <v>11606000.000000004</v>
      </c>
      <c r="AC23" s="8">
        <f t="shared" si="16"/>
        <v>11.606000000000003</v>
      </c>
      <c r="AD23" s="8">
        <f t="shared" si="16"/>
        <v>35.630420000000008</v>
      </c>
    </row>
    <row r="24" spans="1:30" x14ac:dyDescent="0.15">
      <c r="A24" s="1">
        <v>38311</v>
      </c>
      <c r="B24" s="7">
        <f>'[1]Nov Prod'!I23</f>
        <v>0</v>
      </c>
      <c r="C24" s="8">
        <f t="shared" si="0"/>
        <v>0</v>
      </c>
      <c r="D24" s="10">
        <f t="shared" si="1"/>
        <v>0</v>
      </c>
      <c r="E24" s="7">
        <f>'[1]Nov Prod'!E23</f>
        <v>0</v>
      </c>
      <c r="F24" s="8">
        <f t="shared" si="2"/>
        <v>0</v>
      </c>
      <c r="G24" s="10">
        <f t="shared" si="3"/>
        <v>0</v>
      </c>
      <c r="H24" s="7">
        <f>'[1]Nov Prod'!F23</f>
        <v>0</v>
      </c>
      <c r="I24" s="8">
        <f t="shared" si="4"/>
        <v>0</v>
      </c>
      <c r="J24" s="10">
        <f t="shared" si="5"/>
        <v>0</v>
      </c>
      <c r="K24" s="7">
        <f>'[1]Nov Prod'!$H271*10</f>
        <v>0</v>
      </c>
      <c r="L24" s="8">
        <f t="shared" si="6"/>
        <v>0</v>
      </c>
      <c r="M24" s="10">
        <f t="shared" si="7"/>
        <v>0</v>
      </c>
      <c r="N24" s="21"/>
      <c r="O24" s="7">
        <f>'[1]Nov Prod'!H23</f>
        <v>11697999.999999998</v>
      </c>
      <c r="P24" s="8">
        <f t="shared" si="17"/>
        <v>11.697999999999999</v>
      </c>
      <c r="Q24" s="10">
        <f t="shared" si="9"/>
        <v>35.912859999999995</v>
      </c>
      <c r="R24" s="7">
        <f>'[1]Nov Prod'!C23</f>
        <v>11984000</v>
      </c>
      <c r="S24" s="8">
        <f t="shared" si="18"/>
        <v>11.984</v>
      </c>
      <c r="T24" s="10">
        <f t="shared" si="11"/>
        <v>36.790880000000001</v>
      </c>
      <c r="U24" s="7">
        <f>'[1]Nov Prod'!D23</f>
        <v>0</v>
      </c>
      <c r="V24" s="8">
        <f t="shared" si="12"/>
        <v>0</v>
      </c>
      <c r="W24" s="10">
        <f t="shared" si="13"/>
        <v>0</v>
      </c>
      <c r="X24" s="7">
        <f>'[1]Nov Prod'!$D271</f>
        <v>286000.00000000134</v>
      </c>
      <c r="Y24" s="8">
        <f t="shared" si="14"/>
        <v>0.28600000000000136</v>
      </c>
      <c r="Z24" s="10">
        <f t="shared" si="15"/>
        <v>0.87802000000000413</v>
      </c>
      <c r="AA24" s="15"/>
      <c r="AB24" s="7">
        <f t="shared" si="16"/>
        <v>11697999.999999998</v>
      </c>
      <c r="AC24" s="8">
        <f t="shared" si="16"/>
        <v>11.697999999999999</v>
      </c>
      <c r="AD24" s="8">
        <f>D24+Q24</f>
        <v>35.912859999999995</v>
      </c>
    </row>
    <row r="25" spans="1:30" x14ac:dyDescent="0.15">
      <c r="A25" s="1">
        <v>38312</v>
      </c>
      <c r="B25" s="7">
        <f>'[1]Nov Prod'!I24</f>
        <v>0</v>
      </c>
      <c r="C25" s="8">
        <f t="shared" si="0"/>
        <v>0</v>
      </c>
      <c r="D25" s="10">
        <f t="shared" si="1"/>
        <v>0</v>
      </c>
      <c r="E25" s="7">
        <f>'[1]Nov Prod'!E24</f>
        <v>0</v>
      </c>
      <c r="F25" s="8">
        <f t="shared" si="2"/>
        <v>0</v>
      </c>
      <c r="G25" s="10">
        <f t="shared" si="3"/>
        <v>0</v>
      </c>
      <c r="H25" s="7">
        <f>'[1]Nov Prod'!F24</f>
        <v>0</v>
      </c>
      <c r="I25" s="8">
        <f t="shared" si="4"/>
        <v>0</v>
      </c>
      <c r="J25" s="10">
        <f t="shared" si="5"/>
        <v>0</v>
      </c>
      <c r="K25" s="7">
        <f>'[1]Nov Prod'!$H272*10</f>
        <v>0</v>
      </c>
      <c r="L25" s="8">
        <f t="shared" si="6"/>
        <v>0</v>
      </c>
      <c r="M25" s="10">
        <f t="shared" si="7"/>
        <v>0</v>
      </c>
      <c r="N25" s="21"/>
      <c r="O25" s="7">
        <f>'[1]Nov Prod'!H24</f>
        <v>11951999.999999991</v>
      </c>
      <c r="P25" s="8">
        <f t="shared" si="17"/>
        <v>11.951999999999991</v>
      </c>
      <c r="Q25" s="10">
        <f t="shared" si="9"/>
        <v>36.692639999999969</v>
      </c>
      <c r="R25" s="7">
        <f>'[1]Nov Prod'!C24</f>
        <v>12180000</v>
      </c>
      <c r="S25" s="8">
        <f t="shared" si="18"/>
        <v>12.18</v>
      </c>
      <c r="T25" s="10">
        <f t="shared" si="11"/>
        <v>37.392599999999995</v>
      </c>
      <c r="U25" s="7">
        <f>'[1]Nov Prod'!D24</f>
        <v>0</v>
      </c>
      <c r="V25" s="8">
        <f t="shared" si="12"/>
        <v>0</v>
      </c>
      <c r="W25" s="10">
        <f t="shared" si="13"/>
        <v>0</v>
      </c>
      <c r="X25" s="7">
        <f>'[1]Nov Prod'!$D272</f>
        <v>228000.00000000864</v>
      </c>
      <c r="Y25" s="8">
        <f t="shared" si="14"/>
        <v>0.22800000000000864</v>
      </c>
      <c r="Z25" s="10">
        <f t="shared" si="15"/>
        <v>0.69996000000002645</v>
      </c>
      <c r="AA25" s="15"/>
      <c r="AB25" s="7">
        <f t="shared" si="16"/>
        <v>11951999.999999991</v>
      </c>
      <c r="AC25" s="8">
        <f t="shared" si="16"/>
        <v>11.951999999999991</v>
      </c>
      <c r="AD25" s="8">
        <f t="shared" si="16"/>
        <v>36.692639999999969</v>
      </c>
    </row>
    <row r="26" spans="1:30" x14ac:dyDescent="0.15">
      <c r="A26" s="1">
        <v>38313</v>
      </c>
      <c r="B26" s="7">
        <f>'[1]Nov Prod'!I25</f>
        <v>0</v>
      </c>
      <c r="C26" s="8">
        <f t="shared" si="0"/>
        <v>0</v>
      </c>
      <c r="D26" s="10">
        <f t="shared" si="1"/>
        <v>0</v>
      </c>
      <c r="E26" s="7">
        <f>'[1]Nov Prod'!E25</f>
        <v>0</v>
      </c>
      <c r="F26" s="8">
        <f t="shared" si="2"/>
        <v>0</v>
      </c>
      <c r="G26" s="10">
        <f t="shared" si="3"/>
        <v>0</v>
      </c>
      <c r="H26" s="7">
        <f>'[1]Nov Prod'!F25</f>
        <v>0</v>
      </c>
      <c r="I26" s="8">
        <f t="shared" si="4"/>
        <v>0</v>
      </c>
      <c r="J26" s="10">
        <f t="shared" si="5"/>
        <v>0</v>
      </c>
      <c r="K26" s="7">
        <f>'[1]Nov Prod'!$H273*10</f>
        <v>0</v>
      </c>
      <c r="L26" s="8">
        <f t="shared" si="6"/>
        <v>0</v>
      </c>
      <c r="M26" s="10">
        <f t="shared" si="7"/>
        <v>0</v>
      </c>
      <c r="N26" s="21"/>
      <c r="O26" s="7">
        <f>'[1]Nov Prod'!H25</f>
        <v>12761000.000000007</v>
      </c>
      <c r="P26" s="8">
        <f t="shared" si="17"/>
        <v>12.761000000000008</v>
      </c>
      <c r="Q26" s="10">
        <f t="shared" si="9"/>
        <v>39.176270000000024</v>
      </c>
      <c r="R26" s="7">
        <f>'[1]Nov Prod'!C25</f>
        <v>13048000</v>
      </c>
      <c r="S26" s="8">
        <f t="shared" si="18"/>
        <v>13.048</v>
      </c>
      <c r="T26" s="10">
        <f t="shared" si="11"/>
        <v>40.057359999999996</v>
      </c>
      <c r="U26" s="7">
        <f>'[1]Nov Prod'!D25</f>
        <v>0</v>
      </c>
      <c r="V26" s="8">
        <f t="shared" si="12"/>
        <v>0</v>
      </c>
      <c r="W26" s="10">
        <f t="shared" si="13"/>
        <v>0</v>
      </c>
      <c r="X26" s="7">
        <f>'[1]Nov Prod'!$D273</f>
        <v>286999.99999999191</v>
      </c>
      <c r="Y26" s="8">
        <f t="shared" si="14"/>
        <v>0.28699999999999193</v>
      </c>
      <c r="Z26" s="10">
        <f t="shared" si="15"/>
        <v>0.88108999999997517</v>
      </c>
      <c r="AA26" s="15"/>
      <c r="AB26" s="7">
        <f t="shared" si="16"/>
        <v>12761000.000000007</v>
      </c>
      <c r="AC26" s="8">
        <f t="shared" si="16"/>
        <v>12.761000000000008</v>
      </c>
      <c r="AD26" s="8">
        <f t="shared" si="16"/>
        <v>39.176270000000024</v>
      </c>
    </row>
    <row r="27" spans="1:30" x14ac:dyDescent="0.15">
      <c r="A27" s="1">
        <v>38314</v>
      </c>
      <c r="B27" s="7">
        <f>'[1]Nov Prod'!I26</f>
        <v>0</v>
      </c>
      <c r="C27" s="8">
        <f t="shared" si="0"/>
        <v>0</v>
      </c>
      <c r="D27" s="10">
        <f t="shared" si="1"/>
        <v>0</v>
      </c>
      <c r="E27" s="7">
        <f>'[1]Nov Prod'!E26</f>
        <v>0</v>
      </c>
      <c r="F27" s="8">
        <f t="shared" si="2"/>
        <v>0</v>
      </c>
      <c r="G27" s="10">
        <f t="shared" si="3"/>
        <v>0</v>
      </c>
      <c r="H27" s="7">
        <f>'[1]Nov Prod'!F26</f>
        <v>0</v>
      </c>
      <c r="I27" s="8">
        <f t="shared" si="4"/>
        <v>0</v>
      </c>
      <c r="J27" s="10">
        <f t="shared" si="5"/>
        <v>0</v>
      </c>
      <c r="K27" s="7">
        <f>'[1]Nov Prod'!$H274*10</f>
        <v>0</v>
      </c>
      <c r="L27" s="8">
        <f t="shared" si="6"/>
        <v>0</v>
      </c>
      <c r="M27" s="10">
        <f t="shared" si="7"/>
        <v>0</v>
      </c>
      <c r="N27" s="21"/>
      <c r="O27" s="7">
        <f>'[1]Nov Prod'!H26</f>
        <v>12728000</v>
      </c>
      <c r="P27" s="8">
        <f t="shared" si="17"/>
        <v>12.728</v>
      </c>
      <c r="Q27" s="10">
        <f t="shared" si="9"/>
        <v>39.074959999999997</v>
      </c>
      <c r="R27" s="7">
        <f>'[1]Nov Prod'!C26</f>
        <v>12957000</v>
      </c>
      <c r="S27" s="8">
        <f t="shared" si="18"/>
        <v>12.957000000000001</v>
      </c>
      <c r="T27" s="10">
        <f t="shared" si="11"/>
        <v>39.777990000000003</v>
      </c>
      <c r="U27" s="7">
        <f>'[1]Nov Prod'!D26</f>
        <v>0</v>
      </c>
      <c r="V27" s="8">
        <f t="shared" si="12"/>
        <v>0</v>
      </c>
      <c r="W27" s="10">
        <f t="shared" si="13"/>
        <v>0</v>
      </c>
      <c r="X27" s="7">
        <f>'[1]Nov Prod'!$D274</f>
        <v>228999.99999999921</v>
      </c>
      <c r="Y27" s="8">
        <f t="shared" si="14"/>
        <v>0.2289999999999992</v>
      </c>
      <c r="Z27" s="10">
        <f t="shared" si="15"/>
        <v>0.70302999999999749</v>
      </c>
      <c r="AA27" s="15"/>
      <c r="AB27" s="7">
        <f t="shared" si="16"/>
        <v>12728000</v>
      </c>
      <c r="AC27" s="8">
        <f t="shared" si="16"/>
        <v>12.728</v>
      </c>
      <c r="AD27" s="8">
        <f t="shared" si="16"/>
        <v>39.074959999999997</v>
      </c>
    </row>
    <row r="28" spans="1:30" x14ac:dyDescent="0.15">
      <c r="A28" s="1">
        <v>38315</v>
      </c>
      <c r="B28" s="7">
        <f>'[1]Nov Prod'!I27</f>
        <v>0</v>
      </c>
      <c r="C28" s="8">
        <f t="shared" si="0"/>
        <v>0</v>
      </c>
      <c r="D28" s="10">
        <f t="shared" si="1"/>
        <v>0</v>
      </c>
      <c r="E28" s="7">
        <f>'[1]Nov Prod'!E27</f>
        <v>0</v>
      </c>
      <c r="F28" s="8">
        <f t="shared" si="2"/>
        <v>0</v>
      </c>
      <c r="G28" s="10">
        <f t="shared" si="3"/>
        <v>0</v>
      </c>
      <c r="H28" s="7">
        <f>'[1]Nov Prod'!F27</f>
        <v>0</v>
      </c>
      <c r="I28" s="8">
        <f t="shared" si="4"/>
        <v>0</v>
      </c>
      <c r="J28" s="10">
        <f t="shared" si="5"/>
        <v>0</v>
      </c>
      <c r="K28" s="7">
        <f>'[1]Nov Prod'!$H275*10</f>
        <v>0</v>
      </c>
      <c r="L28" s="8">
        <f t="shared" si="6"/>
        <v>0</v>
      </c>
      <c r="M28" s="10">
        <f t="shared" si="7"/>
        <v>0</v>
      </c>
      <c r="N28" s="21"/>
      <c r="O28" s="7">
        <f>'[1]Nov Prod'!H27</f>
        <v>11630999.999999991</v>
      </c>
      <c r="P28" s="8">
        <f t="shared" si="17"/>
        <v>11.630999999999991</v>
      </c>
      <c r="Q28" s="10">
        <f t="shared" si="9"/>
        <v>35.707169999999969</v>
      </c>
      <c r="R28" s="7">
        <f>'[1]Nov Prod'!C27</f>
        <v>11975000</v>
      </c>
      <c r="S28" s="8">
        <f t="shared" si="18"/>
        <v>11.975</v>
      </c>
      <c r="T28" s="10">
        <f t="shared" si="11"/>
        <v>36.763249999999999</v>
      </c>
      <c r="U28" s="7">
        <f>'[1]Nov Prod'!D27</f>
        <v>0</v>
      </c>
      <c r="V28" s="8">
        <f t="shared" si="12"/>
        <v>0</v>
      </c>
      <c r="W28" s="10">
        <f t="shared" si="13"/>
        <v>0</v>
      </c>
      <c r="X28" s="7">
        <f>'[1]Nov Prod'!$D275</f>
        <v>344000.00000000832</v>
      </c>
      <c r="Y28" s="8">
        <f t="shared" si="14"/>
        <v>0.3440000000000083</v>
      </c>
      <c r="Z28" s="10">
        <f t="shared" si="15"/>
        <v>1.0560800000000254</v>
      </c>
      <c r="AA28" s="15"/>
      <c r="AB28" s="7">
        <f t="shared" si="16"/>
        <v>11630999.999999991</v>
      </c>
      <c r="AC28" s="8">
        <f t="shared" si="16"/>
        <v>11.630999999999991</v>
      </c>
      <c r="AD28" s="8">
        <f t="shared" si="16"/>
        <v>35.707169999999969</v>
      </c>
    </row>
    <row r="29" spans="1:30" x14ac:dyDescent="0.15">
      <c r="A29" s="1">
        <v>38316</v>
      </c>
      <c r="B29" s="7">
        <f>'[1]Nov Prod'!I28</f>
        <v>0</v>
      </c>
      <c r="C29" s="8">
        <f t="shared" si="0"/>
        <v>0</v>
      </c>
      <c r="D29" s="10">
        <f t="shared" si="1"/>
        <v>0</v>
      </c>
      <c r="E29" s="7">
        <f>'[1]Nov Prod'!E28</f>
        <v>0</v>
      </c>
      <c r="F29" s="8">
        <f t="shared" si="2"/>
        <v>0</v>
      </c>
      <c r="G29" s="10">
        <f t="shared" si="3"/>
        <v>0</v>
      </c>
      <c r="H29" s="7">
        <f>'[1]Nov Prod'!F28</f>
        <v>0</v>
      </c>
      <c r="I29" s="8">
        <f t="shared" si="4"/>
        <v>0</v>
      </c>
      <c r="J29" s="10">
        <f t="shared" si="5"/>
        <v>0</v>
      </c>
      <c r="K29" s="7">
        <f>'[1]Nov Prod'!$H276*10</f>
        <v>0</v>
      </c>
      <c r="L29" s="8">
        <f t="shared" si="6"/>
        <v>0</v>
      </c>
      <c r="M29" s="10">
        <f t="shared" si="7"/>
        <v>0</v>
      </c>
      <c r="N29" s="21"/>
      <c r="O29" s="7">
        <f>'[1]Nov Prod'!H28</f>
        <v>11642000.000000007</v>
      </c>
      <c r="P29" s="8">
        <f t="shared" si="17"/>
        <v>11.642000000000007</v>
      </c>
      <c r="Q29" s="10">
        <f t="shared" si="9"/>
        <v>35.740940000000016</v>
      </c>
      <c r="R29" s="7">
        <f>'[1]Nov Prod'!C28</f>
        <v>11929000</v>
      </c>
      <c r="S29" s="8">
        <f t="shared" si="18"/>
        <v>11.929</v>
      </c>
      <c r="T29" s="10">
        <f t="shared" si="11"/>
        <v>36.622030000000002</v>
      </c>
      <c r="U29" s="7">
        <f>'[1]Nov Prod'!D28</f>
        <v>0</v>
      </c>
      <c r="V29" s="8">
        <f t="shared" si="12"/>
        <v>0</v>
      </c>
      <c r="W29" s="10">
        <f t="shared" si="13"/>
        <v>0</v>
      </c>
      <c r="X29" s="7">
        <f>'[1]Nov Prod'!$D276</f>
        <v>286999.99999999191</v>
      </c>
      <c r="Y29" s="8">
        <f t="shared" si="14"/>
        <v>0.28699999999999193</v>
      </c>
      <c r="Z29" s="10">
        <f t="shared" si="15"/>
        <v>0.88108999999997517</v>
      </c>
      <c r="AA29" s="15"/>
      <c r="AB29" s="7">
        <f t="shared" si="16"/>
        <v>11642000.000000007</v>
      </c>
      <c r="AC29" s="8">
        <f t="shared" si="16"/>
        <v>11.642000000000007</v>
      </c>
      <c r="AD29" s="8">
        <f t="shared" si="16"/>
        <v>35.740940000000016</v>
      </c>
    </row>
    <row r="30" spans="1:30" x14ac:dyDescent="0.15">
      <c r="A30" s="1">
        <v>38317</v>
      </c>
      <c r="B30" s="7">
        <f>'[1]Nov Prod'!I29</f>
        <v>0</v>
      </c>
      <c r="C30" s="8">
        <f t="shared" si="0"/>
        <v>0</v>
      </c>
      <c r="D30" s="10">
        <f t="shared" si="1"/>
        <v>0</v>
      </c>
      <c r="E30" s="7">
        <f>'[1]Nov Prod'!E29</f>
        <v>0</v>
      </c>
      <c r="F30" s="8">
        <f t="shared" si="2"/>
        <v>0</v>
      </c>
      <c r="G30" s="10">
        <f t="shared" si="3"/>
        <v>0</v>
      </c>
      <c r="H30" s="7">
        <f>'[1]Nov Prod'!F29</f>
        <v>0</v>
      </c>
      <c r="I30" s="8">
        <f t="shared" si="4"/>
        <v>0</v>
      </c>
      <c r="J30" s="10">
        <f t="shared" si="5"/>
        <v>0</v>
      </c>
      <c r="K30" s="7">
        <f>'[1]Nov Prod'!$H277*10</f>
        <v>0</v>
      </c>
      <c r="L30" s="8">
        <f t="shared" si="6"/>
        <v>0</v>
      </c>
      <c r="M30" s="10">
        <f t="shared" si="7"/>
        <v>0</v>
      </c>
      <c r="N30" s="21"/>
      <c r="O30" s="7">
        <f>'[1]Nov Prod'!H29</f>
        <v>12984999.999999998</v>
      </c>
      <c r="P30" s="8">
        <f t="shared" si="17"/>
        <v>12.984999999999998</v>
      </c>
      <c r="Q30" s="10">
        <f t="shared" si="9"/>
        <v>39.863949999999988</v>
      </c>
      <c r="R30" s="7">
        <f>'[1]Nov Prod'!C29</f>
        <v>13157000</v>
      </c>
      <c r="S30" s="8">
        <f t="shared" si="18"/>
        <v>13.157</v>
      </c>
      <c r="T30" s="10">
        <f t="shared" si="11"/>
        <v>40.39199</v>
      </c>
      <c r="U30" s="7">
        <f>'[1]Nov Prod'!D29</f>
        <v>1000</v>
      </c>
      <c r="V30" s="8">
        <f t="shared" si="12"/>
        <v>1E-3</v>
      </c>
      <c r="W30" s="10">
        <f t="shared" si="13"/>
        <v>3.0699999999999998E-3</v>
      </c>
      <c r="X30" s="7">
        <f>'[1]Nov Prod'!$D277</f>
        <v>173000.0000000018</v>
      </c>
      <c r="Y30" s="8">
        <f t="shared" si="14"/>
        <v>0.17300000000000179</v>
      </c>
      <c r="Z30" s="10">
        <f t="shared" si="15"/>
        <v>0.53111000000000552</v>
      </c>
      <c r="AA30" s="15"/>
      <c r="AB30" s="7">
        <f t="shared" si="16"/>
        <v>12984999.999999998</v>
      </c>
      <c r="AC30" s="8">
        <f t="shared" si="16"/>
        <v>12.984999999999998</v>
      </c>
      <c r="AD30" s="8">
        <f>D30+Q30</f>
        <v>39.863949999999988</v>
      </c>
    </row>
    <row r="31" spans="1:30" x14ac:dyDescent="0.15">
      <c r="A31" s="1">
        <v>38318</v>
      </c>
      <c r="B31" s="7">
        <f>'[1]Nov Prod'!I30</f>
        <v>0</v>
      </c>
      <c r="C31" s="8">
        <f t="shared" si="0"/>
        <v>0</v>
      </c>
      <c r="D31" s="10">
        <f t="shared" si="1"/>
        <v>0</v>
      </c>
      <c r="E31" s="7">
        <f>'[1]Nov Prod'!E30</f>
        <v>0</v>
      </c>
      <c r="F31" s="8">
        <f t="shared" si="2"/>
        <v>0</v>
      </c>
      <c r="G31" s="10">
        <f t="shared" si="3"/>
        <v>0</v>
      </c>
      <c r="H31" s="7">
        <f>'[1]Nov Prod'!F30</f>
        <v>0</v>
      </c>
      <c r="I31" s="8">
        <f t="shared" si="4"/>
        <v>0</v>
      </c>
      <c r="J31" s="10">
        <f t="shared" si="5"/>
        <v>0</v>
      </c>
      <c r="K31" s="7">
        <f>'[1]Nov Prod'!$H278*10</f>
        <v>0</v>
      </c>
      <c r="L31" s="8">
        <f t="shared" si="6"/>
        <v>0</v>
      </c>
      <c r="M31" s="10">
        <f t="shared" si="7"/>
        <v>0</v>
      </c>
      <c r="N31" s="21"/>
      <c r="O31" s="7">
        <f>'[1]Nov Prod'!H30</f>
        <v>11670999.999999994</v>
      </c>
      <c r="P31" s="8">
        <f t="shared" si="17"/>
        <v>11.670999999999994</v>
      </c>
      <c r="Q31" s="10">
        <f t="shared" si="9"/>
        <v>35.829969999999982</v>
      </c>
      <c r="R31" s="7">
        <f>'[1]Nov Prod'!C30</f>
        <v>11958000</v>
      </c>
      <c r="S31" s="8">
        <f t="shared" si="18"/>
        <v>11.958</v>
      </c>
      <c r="T31" s="10">
        <f t="shared" si="11"/>
        <v>36.711059999999996</v>
      </c>
      <c r="U31" s="7">
        <f>'[1]Nov Prod'!D30</f>
        <v>0</v>
      </c>
      <c r="V31" s="8">
        <f t="shared" si="12"/>
        <v>0</v>
      </c>
      <c r="W31" s="10">
        <f t="shared" si="13"/>
        <v>0</v>
      </c>
      <c r="X31" s="7">
        <f>'[1]Nov Prod'!$D278</f>
        <v>287000.00000000611</v>
      </c>
      <c r="Y31" s="8">
        <f t="shared" si="14"/>
        <v>0.28700000000000614</v>
      </c>
      <c r="Z31" s="10">
        <f t="shared" si="15"/>
        <v>0.8810900000000188</v>
      </c>
      <c r="AA31" s="15"/>
      <c r="AB31" s="7">
        <f t="shared" si="16"/>
        <v>11670999.999999994</v>
      </c>
      <c r="AC31" s="8">
        <f t="shared" si="16"/>
        <v>11.670999999999994</v>
      </c>
      <c r="AD31" s="8">
        <f t="shared" si="16"/>
        <v>35.829969999999982</v>
      </c>
    </row>
    <row r="32" spans="1:30" x14ac:dyDescent="0.15">
      <c r="A32" s="1">
        <v>38319</v>
      </c>
      <c r="B32" s="7">
        <f>'[1]Nov Prod'!I31</f>
        <v>0</v>
      </c>
      <c r="C32" s="8">
        <f t="shared" si="0"/>
        <v>0</v>
      </c>
      <c r="D32" s="10">
        <f t="shared" si="1"/>
        <v>0</v>
      </c>
      <c r="E32" s="7">
        <f>'[1]Nov Prod'!E31</f>
        <v>0</v>
      </c>
      <c r="F32" s="8">
        <f t="shared" si="2"/>
        <v>0</v>
      </c>
      <c r="G32" s="10">
        <f t="shared" si="3"/>
        <v>0</v>
      </c>
      <c r="H32" s="7">
        <f>'[1]Nov Prod'!F31</f>
        <v>0</v>
      </c>
      <c r="I32" s="8">
        <f t="shared" si="4"/>
        <v>0</v>
      </c>
      <c r="J32" s="10">
        <f t="shared" si="5"/>
        <v>0</v>
      </c>
      <c r="K32" s="7">
        <f>'[1]Nov Prod'!$H279*10</f>
        <v>0</v>
      </c>
      <c r="L32" s="8">
        <f t="shared" si="6"/>
        <v>0</v>
      </c>
      <c r="M32" s="10">
        <f t="shared" si="7"/>
        <v>0</v>
      </c>
      <c r="N32" s="21"/>
      <c r="O32" s="7">
        <f>'[1]Nov Prod'!H31</f>
        <v>11738000.000000004</v>
      </c>
      <c r="P32" s="8">
        <f t="shared" si="17"/>
        <v>11.738000000000003</v>
      </c>
      <c r="Q32" s="10">
        <f t="shared" si="9"/>
        <v>36.035660000000007</v>
      </c>
      <c r="R32" s="7">
        <f>'[1]Nov Prod'!C31</f>
        <v>12026000</v>
      </c>
      <c r="S32" s="8">
        <f t="shared" si="18"/>
        <v>12.026</v>
      </c>
      <c r="T32" s="10">
        <f t="shared" si="11"/>
        <v>36.919819999999994</v>
      </c>
      <c r="U32" s="7">
        <f>'[1]Nov Prod'!D31</f>
        <v>0</v>
      </c>
      <c r="V32" s="8">
        <f t="shared" si="12"/>
        <v>0</v>
      </c>
      <c r="W32" s="10">
        <f t="shared" si="13"/>
        <v>0</v>
      </c>
      <c r="X32" s="7">
        <f>'[1]Nov Prod'!$D279</f>
        <v>287999.99999999668</v>
      </c>
      <c r="Y32" s="8">
        <f t="shared" si="14"/>
        <v>0.2879999999999967</v>
      </c>
      <c r="Z32" s="10">
        <f t="shared" si="15"/>
        <v>0.88415999999998984</v>
      </c>
      <c r="AA32" s="15"/>
      <c r="AB32" s="7">
        <f t="shared" si="16"/>
        <v>11738000.000000004</v>
      </c>
      <c r="AC32" s="8">
        <f t="shared" si="16"/>
        <v>11.738000000000003</v>
      </c>
      <c r="AD32" s="8">
        <f t="shared" si="16"/>
        <v>36.035660000000007</v>
      </c>
    </row>
    <row r="33" spans="1:30" x14ac:dyDescent="0.15">
      <c r="A33" s="1">
        <v>38320</v>
      </c>
      <c r="B33" s="7">
        <f>'[1]Nov Prod'!I32</f>
        <v>0</v>
      </c>
      <c r="C33" s="8">
        <f t="shared" si="0"/>
        <v>0</v>
      </c>
      <c r="D33" s="10">
        <f t="shared" si="1"/>
        <v>0</v>
      </c>
      <c r="E33" s="7">
        <f>'[1]Nov Prod'!E32</f>
        <v>0</v>
      </c>
      <c r="F33" s="8">
        <f t="shared" si="2"/>
        <v>0</v>
      </c>
      <c r="G33" s="10">
        <f t="shared" si="3"/>
        <v>0</v>
      </c>
      <c r="H33" s="7">
        <f>'[1]Nov Prod'!F32</f>
        <v>0</v>
      </c>
      <c r="I33" s="8">
        <f t="shared" si="4"/>
        <v>0</v>
      </c>
      <c r="J33" s="10">
        <f t="shared" si="5"/>
        <v>0</v>
      </c>
      <c r="K33" s="7">
        <f>'[1]Nov Prod'!$H280*10</f>
        <v>0</v>
      </c>
      <c r="L33" s="8">
        <f t="shared" si="6"/>
        <v>0</v>
      </c>
      <c r="M33" s="10">
        <f t="shared" si="7"/>
        <v>0</v>
      </c>
      <c r="N33" s="21"/>
      <c r="O33" s="7">
        <f>'[1]Nov Prod'!H32</f>
        <v>12904999.999999998</v>
      </c>
      <c r="P33" s="8">
        <f t="shared" si="17"/>
        <v>12.904999999999998</v>
      </c>
      <c r="Q33" s="10">
        <f t="shared" si="9"/>
        <v>39.618349999999992</v>
      </c>
      <c r="R33" s="7">
        <f>'[1]Nov Prod'!C32</f>
        <v>13191000</v>
      </c>
      <c r="S33" s="8">
        <f t="shared" si="18"/>
        <v>13.191000000000001</v>
      </c>
      <c r="T33" s="10">
        <f t="shared" si="11"/>
        <v>40.496369999999999</v>
      </c>
      <c r="U33" s="7">
        <f>'[1]Nov Prod'!D32</f>
        <v>0</v>
      </c>
      <c r="V33" s="8">
        <f t="shared" si="12"/>
        <v>0</v>
      </c>
      <c r="W33" s="10">
        <f t="shared" si="13"/>
        <v>0</v>
      </c>
      <c r="X33" s="7">
        <f>'[1]Nov Prod'!$D280</f>
        <v>286000.00000000134</v>
      </c>
      <c r="Y33" s="8">
        <f t="shared" si="14"/>
        <v>0.28600000000000136</v>
      </c>
      <c r="Z33" s="10">
        <f t="shared" si="15"/>
        <v>0.87802000000000413</v>
      </c>
      <c r="AA33" s="15"/>
      <c r="AB33" s="7">
        <f t="shared" si="16"/>
        <v>12904999.999999998</v>
      </c>
      <c r="AC33" s="8">
        <f t="shared" si="16"/>
        <v>12.904999999999998</v>
      </c>
      <c r="AD33" s="8">
        <f t="shared" si="16"/>
        <v>39.618349999999992</v>
      </c>
    </row>
    <row r="34" spans="1:30" ht="14" thickBot="1" x14ac:dyDescent="0.2">
      <c r="A34" s="1">
        <v>38321</v>
      </c>
      <c r="B34" s="7">
        <f>'[1]Nov Prod'!I33</f>
        <v>0</v>
      </c>
      <c r="C34" s="8">
        <f t="shared" si="0"/>
        <v>0</v>
      </c>
      <c r="D34" s="10">
        <f t="shared" si="1"/>
        <v>0</v>
      </c>
      <c r="E34" s="7">
        <f>'[1]Nov Prod'!E33</f>
        <v>0</v>
      </c>
      <c r="F34" s="8">
        <f t="shared" si="2"/>
        <v>0</v>
      </c>
      <c r="G34" s="10">
        <f t="shared" si="3"/>
        <v>0</v>
      </c>
      <c r="H34" s="7">
        <f>'[1]Nov Prod'!F33</f>
        <v>0</v>
      </c>
      <c r="I34" s="8">
        <f t="shared" si="4"/>
        <v>0</v>
      </c>
      <c r="J34" s="10">
        <f t="shared" si="5"/>
        <v>0</v>
      </c>
      <c r="K34" s="7">
        <f>'[1]Nov Prod'!$H281*10</f>
        <v>0</v>
      </c>
      <c r="L34" s="8">
        <f t="shared" si="6"/>
        <v>0</v>
      </c>
      <c r="M34" s="10">
        <f t="shared" si="7"/>
        <v>0</v>
      </c>
      <c r="N34" s="21"/>
      <c r="O34" s="7">
        <f>'[1]Nov Prod'!H33</f>
        <v>11333000.000000004</v>
      </c>
      <c r="P34" s="8">
        <f t="shared" si="17"/>
        <v>11.333000000000004</v>
      </c>
      <c r="Q34" s="10">
        <f t="shared" si="9"/>
        <v>34.792310000000008</v>
      </c>
      <c r="R34" s="7">
        <f>'[1]Nov Prod'!C33</f>
        <v>11618000</v>
      </c>
      <c r="S34" s="8">
        <f t="shared" si="18"/>
        <v>11.618</v>
      </c>
      <c r="T34" s="10">
        <f t="shared" si="11"/>
        <v>35.667259999999999</v>
      </c>
      <c r="U34" s="7">
        <f>'[1]Nov Prod'!D33</f>
        <v>0</v>
      </c>
      <c r="V34" s="8">
        <f t="shared" si="12"/>
        <v>0</v>
      </c>
      <c r="W34" s="10">
        <f t="shared" si="13"/>
        <v>0</v>
      </c>
      <c r="X34" s="7">
        <f>'[1]Nov Prod'!$D281</f>
        <v>284999.99999999657</v>
      </c>
      <c r="Y34" s="8">
        <f t="shared" si="14"/>
        <v>0.28499999999999659</v>
      </c>
      <c r="Z34" s="10">
        <f t="shared" si="15"/>
        <v>0.87494999999998946</v>
      </c>
      <c r="AA34" s="15"/>
      <c r="AB34" s="7">
        <f t="shared" si="16"/>
        <v>11333000.000000004</v>
      </c>
      <c r="AC34" s="8">
        <f t="shared" si="16"/>
        <v>11.333000000000004</v>
      </c>
      <c r="AD34" s="8">
        <f t="shared" si="16"/>
        <v>34.792310000000008</v>
      </c>
    </row>
    <row r="35" spans="1:30" ht="14" thickBot="1" x14ac:dyDescent="0.2">
      <c r="A35" s="20"/>
      <c r="B35" s="39"/>
      <c r="C35" s="40">
        <f>SUM(C5:C34)</f>
        <v>0</v>
      </c>
      <c r="D35" s="40">
        <f>SUM(D5:D34)</f>
        <v>0</v>
      </c>
      <c r="E35" s="39"/>
      <c r="F35" s="40">
        <f>SUM(F5:F34)</f>
        <v>0</v>
      </c>
      <c r="G35" s="40">
        <f>SUM(G5:G34)</f>
        <v>0</v>
      </c>
      <c r="H35" s="39"/>
      <c r="I35" s="40">
        <f>SUM(I5:I34)</f>
        <v>0</v>
      </c>
      <c r="J35" s="40">
        <f>SUM(J5:J34)</f>
        <v>0</v>
      </c>
      <c r="K35" s="39"/>
      <c r="L35" s="40">
        <f>SUM(L5:L34)</f>
        <v>2.0629400000000002</v>
      </c>
      <c r="M35" s="40">
        <f>SUM(M5:M34)</f>
        <v>6.3332258000000001</v>
      </c>
      <c r="N35" s="14"/>
      <c r="O35" s="39"/>
      <c r="P35" s="40">
        <f>SUM(P5:P34)</f>
        <v>360.804283</v>
      </c>
      <c r="Q35" s="40">
        <f>SUM(Q5:Q34)</f>
        <v>1107.66914881</v>
      </c>
      <c r="R35" s="39"/>
      <c r="S35" s="40">
        <f>SUM(S5:S34)</f>
        <v>368.86500000000001</v>
      </c>
      <c r="T35" s="40">
        <f>SUM(T5:T34)</f>
        <v>1132.4155499999999</v>
      </c>
      <c r="U35" s="39"/>
      <c r="V35" s="40">
        <f>SUM(V5:V34)</f>
        <v>2.3E-2</v>
      </c>
      <c r="W35" s="40">
        <f>SUM(W5:W34)</f>
        <v>7.0609999999999992E-2</v>
      </c>
      <c r="X35" s="39"/>
      <c r="Y35" s="40">
        <f>SUM(Y5:Y34)</f>
        <v>8.0840000000000032</v>
      </c>
      <c r="Z35" s="40">
        <f>SUM(Z5:Z34)</f>
        <v>24.817880000000009</v>
      </c>
      <c r="AA35" s="14"/>
      <c r="AB35" s="39">
        <f t="shared" si="16"/>
        <v>0</v>
      </c>
      <c r="AC35" s="40">
        <f t="shared" si="16"/>
        <v>360.804283</v>
      </c>
      <c r="AD35" s="40">
        <f t="shared" si="16"/>
        <v>1107.66914881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1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37"/>
  <sheetViews>
    <sheetView workbookViewId="0">
      <pane xSplit="1" ySplit="4" topLeftCell="H10" activePane="bottomRight" state="frozen"/>
      <selection pane="topRight" activeCell="B1" sqref="B1"/>
      <selection pane="bottomLeft" activeCell="A5" sqref="A5"/>
      <selection pane="bottomRight" activeCell="AD36" sqref="AD36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1.6640625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41"/>
      <c r="C1" s="26"/>
      <c r="D1" s="26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15">
      <c r="A5" s="1">
        <v>38322</v>
      </c>
      <c r="B5" s="7">
        <f>'[2]Dec Prod'!I4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'[2]Dec Prod'!E4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'[2]Dec Prod'!F4</f>
        <v>0</v>
      </c>
      <c r="I5" s="8">
        <f t="shared" ref="I5:I35" si="4">H5/1000000</f>
        <v>0</v>
      </c>
      <c r="J5" s="10">
        <f t="shared" ref="J5:J35" si="5">I5*3.07</f>
        <v>0</v>
      </c>
      <c r="K5" s="7">
        <f>'[2]Dec Prod'!H259</f>
        <v>0</v>
      </c>
      <c r="L5" s="8">
        <f t="shared" ref="L5:L35" si="6">K5/1000000</f>
        <v>0</v>
      </c>
      <c r="M5" s="10">
        <f t="shared" ref="M5:M35" si="7">L5*3.07</f>
        <v>0</v>
      </c>
      <c r="N5" s="21"/>
      <c r="O5" s="7">
        <f>'[2]Dec Prod'!H4</f>
        <v>10642000.000000004</v>
      </c>
      <c r="P5" s="8">
        <f t="shared" ref="P5:P35" si="8">O5/1000000</f>
        <v>10.642000000000003</v>
      </c>
      <c r="Q5" s="10">
        <f t="shared" ref="Q5:Q35" si="9">P5*3.07</f>
        <v>32.670940000000009</v>
      </c>
      <c r="R5" s="7">
        <f>'[2]Dec Prod'!C4</f>
        <v>10814000</v>
      </c>
      <c r="S5" s="8">
        <f t="shared" ref="S5:S35" si="10">R5/1000000</f>
        <v>10.814</v>
      </c>
      <c r="T5" s="10">
        <f t="shared" ref="T5:T35" si="11">S5*3.07</f>
        <v>33.198979999999999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171999.99999999703</v>
      </c>
      <c r="Y5" s="8">
        <f t="shared" ref="Y5:Y35" si="14">X5/1000000</f>
        <v>0.17199999999999704</v>
      </c>
      <c r="Z5" s="10">
        <f t="shared" ref="Z5:Z35" si="15">Y5*3.07</f>
        <v>0.52803999999999085</v>
      </c>
      <c r="AA5" s="15"/>
      <c r="AB5" s="7">
        <f>B5+O5</f>
        <v>10642000.000000004</v>
      </c>
      <c r="AC5" s="8">
        <f>C5+P5</f>
        <v>10.642000000000003</v>
      </c>
      <c r="AD5" s="8">
        <f>D5+Q5</f>
        <v>32.670940000000009</v>
      </c>
    </row>
    <row r="6" spans="1:30" x14ac:dyDescent="0.15">
      <c r="A6" s="1">
        <v>38323</v>
      </c>
      <c r="B6" s="7">
        <f>'[2]Dec Prod'!I5</f>
        <v>0</v>
      </c>
      <c r="C6" s="8">
        <f t="shared" si="0"/>
        <v>0</v>
      </c>
      <c r="D6" s="10">
        <f t="shared" si="1"/>
        <v>0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0</v>
      </c>
      <c r="L6" s="8">
        <f t="shared" si="6"/>
        <v>0</v>
      </c>
      <c r="M6" s="10">
        <f t="shared" si="7"/>
        <v>0</v>
      </c>
      <c r="N6" s="21"/>
      <c r="O6" s="7">
        <f>'[2]Dec Prod'!H5</f>
        <v>10724000.000000002</v>
      </c>
      <c r="P6" s="8">
        <f t="shared" si="8"/>
        <v>10.724000000000002</v>
      </c>
      <c r="Q6" s="10">
        <f t="shared" si="9"/>
        <v>32.922680000000007</v>
      </c>
      <c r="R6" s="7">
        <f>'[2]Dec Prod'!C5</f>
        <v>11051000</v>
      </c>
      <c r="S6" s="8">
        <f t="shared" si="10"/>
        <v>11.051</v>
      </c>
      <c r="T6" s="10">
        <f t="shared" si="11"/>
        <v>33.926569999999998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326999.9999999982</v>
      </c>
      <c r="Y6" s="8">
        <f t="shared" si="14"/>
        <v>0.32699999999999818</v>
      </c>
      <c r="Z6" s="10">
        <f t="shared" si="15"/>
        <v>1.0038899999999944</v>
      </c>
      <c r="AA6" s="15"/>
      <c r="AB6" s="7">
        <f t="shared" ref="AB6:AD35" si="16">B6+O6</f>
        <v>10724000.000000002</v>
      </c>
      <c r="AC6" s="8">
        <f t="shared" si="16"/>
        <v>10.724000000000002</v>
      </c>
      <c r="AD6" s="8">
        <f t="shared" si="16"/>
        <v>32.922680000000007</v>
      </c>
    </row>
    <row r="7" spans="1:30" x14ac:dyDescent="0.15">
      <c r="A7" s="1">
        <v>38324</v>
      </c>
      <c r="B7" s="7">
        <f>'[2]Dec Prod'!I6</f>
        <v>0</v>
      </c>
      <c r="C7" s="8">
        <f t="shared" si="0"/>
        <v>0</v>
      </c>
      <c r="D7" s="10">
        <f t="shared" si="1"/>
        <v>0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0</v>
      </c>
      <c r="L7" s="8">
        <f t="shared" si="6"/>
        <v>0</v>
      </c>
      <c r="M7" s="10">
        <f t="shared" si="7"/>
        <v>0</v>
      </c>
      <c r="N7" s="21"/>
      <c r="O7" s="7">
        <f>'[2]Dec Prod'!H6</f>
        <v>12143000.000000002</v>
      </c>
      <c r="P7" s="8">
        <f t="shared" si="8"/>
        <v>12.143000000000002</v>
      </c>
      <c r="Q7" s="10">
        <f t="shared" si="9"/>
        <v>37.279010000000007</v>
      </c>
      <c r="R7" s="7">
        <f>'[2]Dec Prod'!C6</f>
        <v>12485000</v>
      </c>
      <c r="S7" s="8">
        <f t="shared" si="10"/>
        <v>12.484999999999999</v>
      </c>
      <c r="T7" s="10">
        <f t="shared" si="11"/>
        <v>38.328949999999999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341999.99999999878</v>
      </c>
      <c r="Y7" s="8">
        <f t="shared" si="14"/>
        <v>0.3419999999999988</v>
      </c>
      <c r="Z7" s="10">
        <f t="shared" si="15"/>
        <v>1.0499399999999963</v>
      </c>
      <c r="AA7" s="15"/>
      <c r="AB7" s="7">
        <f t="shared" si="16"/>
        <v>12143000.000000002</v>
      </c>
      <c r="AC7" s="8">
        <f t="shared" si="16"/>
        <v>12.143000000000002</v>
      </c>
      <c r="AD7" s="8">
        <f t="shared" si="16"/>
        <v>37.279010000000007</v>
      </c>
    </row>
    <row r="8" spans="1:30" x14ac:dyDescent="0.15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1"/>
      <c r="O8" s="7">
        <f>'[2]Dec Prod'!H7</f>
        <v>12372999.999999993</v>
      </c>
      <c r="P8" s="8">
        <f t="shared" si="8"/>
        <v>12.372999999999992</v>
      </c>
      <c r="Q8" s="10">
        <f t="shared" si="9"/>
        <v>37.985109999999978</v>
      </c>
      <c r="R8" s="7">
        <f>'[2]Dec Prod'!C7</f>
        <v>12544000</v>
      </c>
      <c r="S8" s="8">
        <f t="shared" si="10"/>
        <v>12.544</v>
      </c>
      <c r="T8" s="10">
        <f t="shared" si="11"/>
        <v>38.510080000000002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171000.00000000649</v>
      </c>
      <c r="Y8" s="8">
        <f t="shared" si="14"/>
        <v>0.17100000000000648</v>
      </c>
      <c r="Z8" s="10">
        <f t="shared" si="15"/>
        <v>0.52497000000001992</v>
      </c>
      <c r="AA8" s="15"/>
      <c r="AB8" s="7">
        <f t="shared" si="16"/>
        <v>12372999.999999993</v>
      </c>
      <c r="AC8" s="8">
        <f t="shared" si="16"/>
        <v>12.372999999999992</v>
      </c>
      <c r="AD8" s="8">
        <f>D8+Q8</f>
        <v>37.985109999999978</v>
      </c>
    </row>
    <row r="9" spans="1:30" x14ac:dyDescent="0.15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0</v>
      </c>
      <c r="L9" s="8">
        <f t="shared" si="6"/>
        <v>0</v>
      </c>
      <c r="M9" s="10">
        <f t="shared" si="7"/>
        <v>0</v>
      </c>
      <c r="N9" s="21"/>
      <c r="O9" s="7">
        <f>'[2]Dec Prod'!H8</f>
        <v>12218999.999999994</v>
      </c>
      <c r="P9" s="8">
        <f t="shared" si="8"/>
        <v>12.218999999999994</v>
      </c>
      <c r="Q9" s="10">
        <f t="shared" si="9"/>
        <v>37.512329999999977</v>
      </c>
      <c r="R9" s="7">
        <f>'[2]Dec Prod'!C8</f>
        <v>12506000</v>
      </c>
      <c r="S9" s="8">
        <f t="shared" si="10"/>
        <v>12.506</v>
      </c>
      <c r="T9" s="10">
        <f t="shared" si="11"/>
        <v>38.393419999999999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287000.00000000611</v>
      </c>
      <c r="Y9" s="8">
        <f t="shared" si="14"/>
        <v>0.28700000000000614</v>
      </c>
      <c r="Z9" s="10">
        <f t="shared" si="15"/>
        <v>0.8810900000000188</v>
      </c>
      <c r="AA9" s="15"/>
      <c r="AB9" s="7">
        <f t="shared" si="16"/>
        <v>12218999.999999994</v>
      </c>
      <c r="AC9" s="8">
        <f t="shared" si="16"/>
        <v>12.218999999999994</v>
      </c>
      <c r="AD9" s="8">
        <f t="shared" si="16"/>
        <v>37.512329999999977</v>
      </c>
    </row>
    <row r="10" spans="1:30" x14ac:dyDescent="0.15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0</v>
      </c>
      <c r="L10" s="8">
        <f t="shared" si="6"/>
        <v>0</v>
      </c>
      <c r="M10" s="10">
        <f t="shared" si="7"/>
        <v>0</v>
      </c>
      <c r="N10" s="21"/>
      <c r="O10" s="7">
        <f>'[2]Dec Prod'!H9</f>
        <v>12194000.000000004</v>
      </c>
      <c r="P10" s="8">
        <f t="shared" si="8"/>
        <v>12.194000000000004</v>
      </c>
      <c r="Q10" s="10">
        <f t="shared" si="9"/>
        <v>37.435580000000009</v>
      </c>
      <c r="R10" s="7">
        <f>'[2]Dec Prod'!C9</f>
        <v>12479000</v>
      </c>
      <c r="S10" s="8">
        <f t="shared" si="10"/>
        <v>12.478999999999999</v>
      </c>
      <c r="T10" s="10">
        <f t="shared" si="11"/>
        <v>38.310529999999993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284999.99999999657</v>
      </c>
      <c r="Y10" s="8">
        <f t="shared" si="14"/>
        <v>0.28499999999999659</v>
      </c>
      <c r="Z10" s="10">
        <f t="shared" si="15"/>
        <v>0.87494999999998946</v>
      </c>
      <c r="AA10" s="15"/>
      <c r="AB10" s="7">
        <f t="shared" si="16"/>
        <v>12194000.000000004</v>
      </c>
      <c r="AC10" s="8">
        <f t="shared" si="16"/>
        <v>12.194000000000004</v>
      </c>
      <c r="AD10" s="8">
        <f t="shared" si="16"/>
        <v>37.435580000000009</v>
      </c>
    </row>
    <row r="11" spans="1:30" x14ac:dyDescent="0.15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0</v>
      </c>
      <c r="L11" s="8">
        <f t="shared" si="6"/>
        <v>0</v>
      </c>
      <c r="M11" s="10">
        <f t="shared" si="7"/>
        <v>0</v>
      </c>
      <c r="N11" s="21"/>
      <c r="O11" s="7">
        <f>'[2]Dec Prod'!H10</f>
        <v>11732000.000000009</v>
      </c>
      <c r="P11" s="8">
        <f t="shared" si="8"/>
        <v>11.73200000000001</v>
      </c>
      <c r="Q11" s="10">
        <f t="shared" si="9"/>
        <v>36.017240000000029</v>
      </c>
      <c r="R11" s="7">
        <f>'[2]Dec Prod'!C10</f>
        <v>12013000</v>
      </c>
      <c r="S11" s="8">
        <f t="shared" si="10"/>
        <v>12.013</v>
      </c>
      <c r="T11" s="10">
        <f t="shared" si="11"/>
        <v>36.879909999999995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280999.99999999168</v>
      </c>
      <c r="Y11" s="8">
        <f t="shared" si="14"/>
        <v>0.2809999999999917</v>
      </c>
      <c r="Z11" s="10">
        <f t="shared" si="15"/>
        <v>0.86266999999997451</v>
      </c>
      <c r="AA11" s="15"/>
      <c r="AB11" s="7">
        <f t="shared" si="16"/>
        <v>11732000.000000009</v>
      </c>
      <c r="AC11" s="8">
        <f t="shared" si="16"/>
        <v>11.73200000000001</v>
      </c>
      <c r="AD11" s="8">
        <f t="shared" si="16"/>
        <v>36.017240000000029</v>
      </c>
    </row>
    <row r="12" spans="1:30" x14ac:dyDescent="0.15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0</v>
      </c>
      <c r="L12" s="8">
        <f t="shared" si="6"/>
        <v>0</v>
      </c>
      <c r="M12" s="10">
        <f t="shared" si="7"/>
        <v>0</v>
      </c>
      <c r="N12" s="21"/>
      <c r="O12" s="7">
        <f>'[2]Dec Prod'!H11</f>
        <v>10653000.000000002</v>
      </c>
      <c r="P12" s="8">
        <f t="shared" si="8"/>
        <v>10.653000000000002</v>
      </c>
      <c r="Q12" s="10">
        <f t="shared" si="9"/>
        <v>32.704710000000006</v>
      </c>
      <c r="R12" s="7">
        <f>'[2]Dec Prod'!C11</f>
        <v>10873000</v>
      </c>
      <c r="S12" s="8">
        <f t="shared" si="10"/>
        <v>10.872999999999999</v>
      </c>
      <c r="T12" s="10">
        <f t="shared" si="11"/>
        <v>33.380109999999995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219999.99999999886</v>
      </c>
      <c r="Y12" s="8">
        <f t="shared" si="14"/>
        <v>0.21999999999999886</v>
      </c>
      <c r="Z12" s="10">
        <f t="shared" si="15"/>
        <v>0.67539999999999645</v>
      </c>
      <c r="AA12" s="15"/>
      <c r="AB12" s="7">
        <f t="shared" si="16"/>
        <v>10653000.000000002</v>
      </c>
      <c r="AC12" s="8">
        <f t="shared" si="16"/>
        <v>10.653000000000002</v>
      </c>
      <c r="AD12" s="8">
        <f t="shared" si="16"/>
        <v>32.704710000000006</v>
      </c>
    </row>
    <row r="13" spans="1:30" x14ac:dyDescent="0.15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0</v>
      </c>
      <c r="L13" s="8">
        <f t="shared" si="6"/>
        <v>0</v>
      </c>
      <c r="M13" s="10">
        <f t="shared" si="7"/>
        <v>0</v>
      </c>
      <c r="N13" s="21"/>
      <c r="O13" s="7">
        <f>'[2]Dec Prod'!H12</f>
        <v>10295999.999999994</v>
      </c>
      <c r="P13" s="8">
        <f t="shared" si="8"/>
        <v>10.295999999999994</v>
      </c>
      <c r="Q13" s="10">
        <f t="shared" si="9"/>
        <v>31.60871999999998</v>
      </c>
      <c r="R13" s="7">
        <f>'[2]Dec Prod'!C12</f>
        <v>10571000</v>
      </c>
      <c r="S13" s="8">
        <f t="shared" si="10"/>
        <v>10.571</v>
      </c>
      <c r="T13" s="10">
        <f t="shared" si="11"/>
        <v>32.452970000000001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275000.0000000057</v>
      </c>
      <c r="Y13" s="8">
        <f t="shared" si="14"/>
        <v>0.27500000000000568</v>
      </c>
      <c r="Z13" s="10">
        <f t="shared" si="15"/>
        <v>0.84425000000001738</v>
      </c>
      <c r="AA13" s="15"/>
      <c r="AB13" s="7">
        <f t="shared" si="16"/>
        <v>10295999.999999994</v>
      </c>
      <c r="AC13" s="8">
        <f t="shared" si="16"/>
        <v>10.295999999999994</v>
      </c>
      <c r="AD13" s="8">
        <f t="shared" si="16"/>
        <v>31.60871999999998</v>
      </c>
    </row>
    <row r="14" spans="1:30" x14ac:dyDescent="0.15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0</v>
      </c>
      <c r="L14" s="8">
        <f t="shared" si="6"/>
        <v>0</v>
      </c>
      <c r="M14" s="10">
        <f t="shared" si="7"/>
        <v>0</v>
      </c>
      <c r="N14" s="21"/>
      <c r="O14" s="7">
        <f>'[2]Dec Prod'!H13</f>
        <v>10258000</v>
      </c>
      <c r="P14" s="8">
        <f t="shared" si="8"/>
        <v>10.257999999999999</v>
      </c>
      <c r="Q14" s="10">
        <f t="shared" si="9"/>
        <v>31.492059999999995</v>
      </c>
      <c r="R14" s="7">
        <f>'[2]Dec Prod'!C13</f>
        <v>10532000</v>
      </c>
      <c r="S14" s="8">
        <f t="shared" si="10"/>
        <v>10.532</v>
      </c>
      <c r="T14" s="10">
        <f t="shared" si="11"/>
        <v>32.333239999999996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274000.00000000093</v>
      </c>
      <c r="Y14" s="8">
        <f t="shared" si="14"/>
        <v>0.27400000000000091</v>
      </c>
      <c r="Z14" s="10">
        <f t="shared" si="15"/>
        <v>0.8411800000000027</v>
      </c>
      <c r="AA14" s="15"/>
      <c r="AB14" s="7">
        <f t="shared" si="16"/>
        <v>10258000</v>
      </c>
      <c r="AC14" s="8">
        <f t="shared" si="16"/>
        <v>10.257999999999999</v>
      </c>
      <c r="AD14" s="8">
        <f t="shared" si="16"/>
        <v>31.492059999999995</v>
      </c>
    </row>
    <row r="15" spans="1:30" x14ac:dyDescent="0.15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0</v>
      </c>
      <c r="L15" s="8">
        <f t="shared" si="6"/>
        <v>0</v>
      </c>
      <c r="M15" s="10">
        <f t="shared" si="7"/>
        <v>0</v>
      </c>
      <c r="N15" s="21"/>
      <c r="O15" s="7">
        <f>'[2]Dec Prod'!H14</f>
        <v>11969999.999999996</v>
      </c>
      <c r="P15" s="8">
        <f t="shared" si="8"/>
        <v>11.969999999999997</v>
      </c>
      <c r="Q15" s="10">
        <f t="shared" si="9"/>
        <v>36.747899999999987</v>
      </c>
      <c r="R15" s="7">
        <f>'[2]Dec Prod'!C14</f>
        <v>12188000</v>
      </c>
      <c r="S15" s="8">
        <f t="shared" si="10"/>
        <v>12.188000000000001</v>
      </c>
      <c r="T15" s="10">
        <f t="shared" si="11"/>
        <v>37.417160000000003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218000.00000000352</v>
      </c>
      <c r="Y15" s="8">
        <f t="shared" si="14"/>
        <v>0.21800000000000352</v>
      </c>
      <c r="Z15" s="10">
        <f t="shared" si="15"/>
        <v>0.66926000000001074</v>
      </c>
      <c r="AA15" s="15"/>
      <c r="AB15" s="7">
        <f t="shared" si="16"/>
        <v>11969999.999999996</v>
      </c>
      <c r="AC15" s="8">
        <f t="shared" si="16"/>
        <v>11.969999999999997</v>
      </c>
      <c r="AD15" s="8">
        <f t="shared" si="16"/>
        <v>36.747899999999987</v>
      </c>
    </row>
    <row r="16" spans="1:30" x14ac:dyDescent="0.15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0</v>
      </c>
      <c r="L16" s="8">
        <f t="shared" si="6"/>
        <v>0</v>
      </c>
      <c r="M16" s="10">
        <f t="shared" si="7"/>
        <v>0</v>
      </c>
      <c r="N16" s="21"/>
      <c r="O16" s="7">
        <f>'[2]Dec Prod'!H15</f>
        <v>11889000.000000009</v>
      </c>
      <c r="P16" s="8">
        <f t="shared" si="8"/>
        <v>11.88900000000001</v>
      </c>
      <c r="Q16" s="10">
        <f t="shared" si="9"/>
        <v>36.499230000000026</v>
      </c>
      <c r="R16" s="7">
        <f>'[2]Dec Prod'!C15</f>
        <v>12164000</v>
      </c>
      <c r="S16" s="8">
        <f t="shared" si="10"/>
        <v>12.164</v>
      </c>
      <c r="T16" s="10">
        <f t="shared" si="11"/>
        <v>37.34348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274999.9999999915</v>
      </c>
      <c r="Y16" s="8">
        <f t="shared" si="14"/>
        <v>0.27499999999999153</v>
      </c>
      <c r="Z16" s="10">
        <f t="shared" si="15"/>
        <v>0.84424999999997397</v>
      </c>
      <c r="AA16" s="15"/>
      <c r="AB16" s="7">
        <f t="shared" si="16"/>
        <v>11889000.000000009</v>
      </c>
      <c r="AC16" s="8">
        <f t="shared" si="16"/>
        <v>11.88900000000001</v>
      </c>
      <c r="AD16" s="8">
        <f t="shared" si="16"/>
        <v>36.499230000000026</v>
      </c>
    </row>
    <row r="17" spans="1:30" x14ac:dyDescent="0.15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0</v>
      </c>
      <c r="L17" s="8">
        <f t="shared" si="6"/>
        <v>0</v>
      </c>
      <c r="M17" s="10">
        <f t="shared" si="7"/>
        <v>0</v>
      </c>
      <c r="N17" s="21"/>
      <c r="O17" s="7">
        <f>'[2]Dec Prod'!H16</f>
        <v>12110999.999999989</v>
      </c>
      <c r="P17" s="8">
        <f t="shared" si="8"/>
        <v>12.110999999999988</v>
      </c>
      <c r="Q17" s="10">
        <f t="shared" si="9"/>
        <v>37.18076999999996</v>
      </c>
      <c r="R17" s="7">
        <f>'[2]Dec Prod'!C16</f>
        <v>12387000</v>
      </c>
      <c r="S17" s="8">
        <f t="shared" si="10"/>
        <v>12.387</v>
      </c>
      <c r="T17" s="10">
        <f t="shared" si="11"/>
        <v>38.028089999999999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276000.00000001048</v>
      </c>
      <c r="Y17" s="8">
        <f t="shared" si="14"/>
        <v>0.27600000000001046</v>
      </c>
      <c r="Z17" s="10">
        <f t="shared" si="15"/>
        <v>0.84732000000003205</v>
      </c>
      <c r="AA17" s="15"/>
      <c r="AB17" s="7">
        <f t="shared" si="16"/>
        <v>12110999.999999989</v>
      </c>
      <c r="AC17" s="8">
        <f t="shared" si="16"/>
        <v>12.110999999999988</v>
      </c>
      <c r="AD17" s="8">
        <f t="shared" si="16"/>
        <v>37.18076999999996</v>
      </c>
    </row>
    <row r="18" spans="1:30" x14ac:dyDescent="0.15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0</v>
      </c>
      <c r="L18" s="8">
        <f t="shared" si="6"/>
        <v>0</v>
      </c>
      <c r="M18" s="10">
        <f t="shared" si="7"/>
        <v>0</v>
      </c>
      <c r="N18" s="21"/>
      <c r="O18" s="7">
        <f>'[2]Dec Prod'!H17</f>
        <v>11334000.000000006</v>
      </c>
      <c r="P18" s="8">
        <f t="shared" si="8"/>
        <v>11.334000000000005</v>
      </c>
      <c r="Q18" s="10">
        <f t="shared" si="9"/>
        <v>34.795380000000016</v>
      </c>
      <c r="R18" s="7">
        <f>'[2]Dec Prod'!C17</f>
        <v>11553000</v>
      </c>
      <c r="S18" s="8">
        <f t="shared" si="10"/>
        <v>11.553000000000001</v>
      </c>
      <c r="T18" s="10">
        <f t="shared" si="11"/>
        <v>35.467710000000004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218999.99999999409</v>
      </c>
      <c r="Y18" s="8">
        <f t="shared" si="14"/>
        <v>0.21899999999999409</v>
      </c>
      <c r="Z18" s="10">
        <f t="shared" si="15"/>
        <v>0.67232999999998178</v>
      </c>
      <c r="AA18" s="15"/>
      <c r="AB18" s="7">
        <f t="shared" si="16"/>
        <v>11334000.000000006</v>
      </c>
      <c r="AC18" s="8">
        <f t="shared" si="16"/>
        <v>11.334000000000005</v>
      </c>
      <c r="AD18" s="8">
        <f t="shared" si="16"/>
        <v>34.795380000000016</v>
      </c>
    </row>
    <row r="19" spans="1:30" x14ac:dyDescent="0.15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0</v>
      </c>
      <c r="L19" s="8">
        <f t="shared" si="6"/>
        <v>0</v>
      </c>
      <c r="M19" s="10">
        <f t="shared" si="7"/>
        <v>0</v>
      </c>
      <c r="N19" s="21"/>
      <c r="O19" s="7">
        <f>'[2]Dec Prod'!H18</f>
        <v>10892000</v>
      </c>
      <c r="P19" s="8">
        <f t="shared" si="8"/>
        <v>10.891999999999999</v>
      </c>
      <c r="Q19" s="10">
        <f t="shared" si="9"/>
        <v>33.43844</v>
      </c>
      <c r="R19" s="7">
        <f>'[2]Dec Prod'!C18</f>
        <v>11166000</v>
      </c>
      <c r="S19" s="8">
        <f t="shared" si="10"/>
        <v>11.166</v>
      </c>
      <c r="T19" s="10">
        <f t="shared" si="11"/>
        <v>34.279620000000001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274000.00000000093</v>
      </c>
      <c r="Y19" s="8">
        <f t="shared" si="14"/>
        <v>0.27400000000000091</v>
      </c>
      <c r="Z19" s="10">
        <f t="shared" si="15"/>
        <v>0.8411800000000027</v>
      </c>
      <c r="AA19" s="15"/>
      <c r="AB19" s="7">
        <f t="shared" si="16"/>
        <v>10892000</v>
      </c>
      <c r="AC19" s="8">
        <f t="shared" si="16"/>
        <v>10.891999999999999</v>
      </c>
      <c r="AD19" s="8">
        <f>D19+Q19</f>
        <v>33.43844</v>
      </c>
    </row>
    <row r="20" spans="1:30" x14ac:dyDescent="0.15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0</v>
      </c>
      <c r="L20" s="8">
        <f t="shared" si="6"/>
        <v>0</v>
      </c>
      <c r="M20" s="10">
        <f t="shared" si="7"/>
        <v>0</v>
      </c>
      <c r="N20" s="21"/>
      <c r="O20" s="7">
        <f>'[2]Dec Prod'!H19</f>
        <v>11243999.999999994</v>
      </c>
      <c r="P20" s="8">
        <f t="shared" si="8"/>
        <v>11.243999999999994</v>
      </c>
      <c r="Q20" s="10">
        <f t="shared" si="9"/>
        <v>34.519079999999981</v>
      </c>
      <c r="R20" s="7">
        <f>'[2]Dec Prod'!C19</f>
        <v>11519000</v>
      </c>
      <c r="S20" s="8">
        <f t="shared" si="10"/>
        <v>11.519</v>
      </c>
      <c r="T20" s="10">
        <f t="shared" si="11"/>
        <v>35.363329999999998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275000.0000000057</v>
      </c>
      <c r="Y20" s="8">
        <f t="shared" si="14"/>
        <v>0.27500000000000568</v>
      </c>
      <c r="Z20" s="10">
        <f t="shared" si="15"/>
        <v>0.84425000000001738</v>
      </c>
      <c r="AA20" s="15"/>
      <c r="AB20" s="7">
        <f t="shared" si="16"/>
        <v>11243999.999999994</v>
      </c>
      <c r="AC20" s="8">
        <f t="shared" si="16"/>
        <v>11.243999999999994</v>
      </c>
      <c r="AD20" s="8">
        <f t="shared" si="16"/>
        <v>34.519079999999981</v>
      </c>
    </row>
    <row r="21" spans="1:30" x14ac:dyDescent="0.15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0</v>
      </c>
      <c r="L21" s="8">
        <f t="shared" si="6"/>
        <v>0</v>
      </c>
      <c r="M21" s="10">
        <f t="shared" si="7"/>
        <v>0</v>
      </c>
      <c r="N21" s="21"/>
      <c r="O21" s="7">
        <f>'[2]Dec Prod'!H20</f>
        <v>11193000.000000002</v>
      </c>
      <c r="P21" s="8">
        <f t="shared" si="8"/>
        <v>11.193000000000001</v>
      </c>
      <c r="Q21" s="10">
        <f t="shared" si="9"/>
        <v>34.36251</v>
      </c>
      <c r="R21" s="7">
        <f>'[2]Dec Prod'!C20</f>
        <v>11416000</v>
      </c>
      <c r="S21" s="8">
        <f t="shared" si="10"/>
        <v>11.416</v>
      </c>
      <c r="T21" s="10">
        <f t="shared" si="11"/>
        <v>35.04712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222999.99999999898</v>
      </c>
      <c r="Y21" s="8">
        <f t="shared" si="14"/>
        <v>0.22299999999999898</v>
      </c>
      <c r="Z21" s="10">
        <f t="shared" si="15"/>
        <v>0.68460999999999683</v>
      </c>
      <c r="AA21" s="15"/>
      <c r="AB21" s="7">
        <f t="shared" si="16"/>
        <v>11193000.000000002</v>
      </c>
      <c r="AC21" s="8">
        <f t="shared" si="16"/>
        <v>11.193000000000001</v>
      </c>
      <c r="AD21" s="8">
        <f t="shared" si="16"/>
        <v>34.36251</v>
      </c>
    </row>
    <row r="22" spans="1:30" x14ac:dyDescent="0.15">
      <c r="A22" s="1">
        <v>38339</v>
      </c>
      <c r="B22" s="7">
        <f>'[2]Dec Prod'!I21</f>
        <v>0</v>
      </c>
      <c r="C22" s="8">
        <f t="shared" si="0"/>
        <v>0</v>
      </c>
      <c r="D22" s="10">
        <f t="shared" si="1"/>
        <v>0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0</v>
      </c>
      <c r="L22" s="8">
        <f t="shared" si="6"/>
        <v>0</v>
      </c>
      <c r="M22" s="10">
        <f t="shared" si="7"/>
        <v>0</v>
      </c>
      <c r="N22" s="21"/>
      <c r="O22" s="7">
        <f>'[2]Dec Prod'!H21</f>
        <v>10924000.000000004</v>
      </c>
      <c r="P22" s="8">
        <f t="shared" si="8"/>
        <v>10.924000000000003</v>
      </c>
      <c r="Q22" s="10">
        <f t="shared" si="9"/>
        <v>33.536680000000004</v>
      </c>
      <c r="R22" s="7">
        <f>'[2]Dec Prod'!C21</f>
        <v>11191000</v>
      </c>
      <c r="S22" s="8">
        <f t="shared" si="10"/>
        <v>11.191000000000001</v>
      </c>
      <c r="T22" s="10">
        <f t="shared" si="11"/>
        <v>34.356369999999998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266999.99999999593</v>
      </c>
      <c r="Y22" s="8">
        <f t="shared" si="14"/>
        <v>0.26699999999999591</v>
      </c>
      <c r="Z22" s="10">
        <f t="shared" si="15"/>
        <v>0.81968999999998737</v>
      </c>
      <c r="AA22" s="15"/>
      <c r="AB22" s="7">
        <f t="shared" si="16"/>
        <v>10924000.000000004</v>
      </c>
      <c r="AC22" s="8">
        <f t="shared" si="16"/>
        <v>10.924000000000003</v>
      </c>
      <c r="AD22" s="8">
        <f t="shared" si="16"/>
        <v>33.536680000000004</v>
      </c>
    </row>
    <row r="23" spans="1:30" x14ac:dyDescent="0.15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0</v>
      </c>
      <c r="L23" s="8">
        <f t="shared" si="6"/>
        <v>0</v>
      </c>
      <c r="M23" s="10">
        <f t="shared" si="7"/>
        <v>0</v>
      </c>
      <c r="N23" s="21"/>
      <c r="O23" s="7">
        <f>'[2]Dec Prod'!H22</f>
        <v>12179000.000000006</v>
      </c>
      <c r="P23" s="8">
        <f t="shared" si="8"/>
        <v>12.179000000000006</v>
      </c>
      <c r="Q23" s="10">
        <f t="shared" si="9"/>
        <v>37.389530000000015</v>
      </c>
      <c r="R23" s="7">
        <f>'[2]Dec Prod'!C22</f>
        <v>12404000</v>
      </c>
      <c r="S23" s="8">
        <f t="shared" si="10"/>
        <v>12.404</v>
      </c>
      <c r="T23" s="10">
        <f t="shared" si="11"/>
        <v>38.080279999999995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224999.99999999432</v>
      </c>
      <c r="Y23" s="8">
        <f t="shared" si="14"/>
        <v>0.22499999999999432</v>
      </c>
      <c r="Z23" s="10">
        <f t="shared" si="15"/>
        <v>0.69074999999998254</v>
      </c>
      <c r="AA23" s="15"/>
      <c r="AB23" s="7">
        <f t="shared" si="16"/>
        <v>12179000.000000006</v>
      </c>
      <c r="AC23" s="8">
        <f t="shared" si="16"/>
        <v>12.179000000000006</v>
      </c>
      <c r="AD23" s="8">
        <f t="shared" si="16"/>
        <v>37.389530000000015</v>
      </c>
    </row>
    <row r="24" spans="1:30" x14ac:dyDescent="0.15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0</v>
      </c>
      <c r="L24" s="8">
        <f t="shared" si="6"/>
        <v>0</v>
      </c>
      <c r="M24" s="10">
        <f t="shared" si="7"/>
        <v>0</v>
      </c>
      <c r="N24" s="21"/>
      <c r="O24" s="7">
        <f>'[2]Dec Prod'!H23</f>
        <v>11770999.999999991</v>
      </c>
      <c r="P24" s="8">
        <f t="shared" si="8"/>
        <v>11.77099999999999</v>
      </c>
      <c r="Q24" s="10">
        <f t="shared" si="9"/>
        <v>36.13696999999997</v>
      </c>
      <c r="R24" s="7">
        <f>'[2]Dec Prod'!C23</f>
        <v>11993000</v>
      </c>
      <c r="S24" s="8">
        <f t="shared" si="10"/>
        <v>11.993</v>
      </c>
      <c r="T24" s="10">
        <f t="shared" si="11"/>
        <v>36.818509999999996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222000.00000000841</v>
      </c>
      <c r="Y24" s="8">
        <f t="shared" si="14"/>
        <v>0.22200000000000841</v>
      </c>
      <c r="Z24" s="10">
        <f t="shared" si="15"/>
        <v>0.68154000000002579</v>
      </c>
      <c r="AA24" s="15"/>
      <c r="AB24" s="7">
        <f t="shared" si="16"/>
        <v>11770999.999999991</v>
      </c>
      <c r="AC24" s="8">
        <f t="shared" si="16"/>
        <v>11.77099999999999</v>
      </c>
      <c r="AD24" s="8">
        <f>D24+Q24</f>
        <v>36.13696999999997</v>
      </c>
    </row>
    <row r="25" spans="1:30" x14ac:dyDescent="0.15">
      <c r="A25" s="1">
        <v>38342</v>
      </c>
      <c r="B25" s="7">
        <f>'[2]Dec Prod'!I24</f>
        <v>99999.999998544808</v>
      </c>
      <c r="C25" s="8">
        <f t="shared" si="0"/>
        <v>9.9999999998544808E-2</v>
      </c>
      <c r="D25" s="10">
        <f t="shared" si="1"/>
        <v>0.30699999999553257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0</v>
      </c>
      <c r="L25" s="8">
        <f t="shared" si="6"/>
        <v>0</v>
      </c>
      <c r="M25" s="10">
        <f t="shared" si="7"/>
        <v>0</v>
      </c>
      <c r="N25" s="21"/>
      <c r="O25" s="7">
        <f>'[2]Dec Prod'!H24</f>
        <v>11236000.000000011</v>
      </c>
      <c r="P25" s="8">
        <f t="shared" si="8"/>
        <v>11.236000000000011</v>
      </c>
      <c r="Q25" s="10">
        <f t="shared" si="9"/>
        <v>34.49452000000003</v>
      </c>
      <c r="R25" s="7">
        <f>'[2]Dec Prod'!C24</f>
        <v>11564000</v>
      </c>
      <c r="S25" s="8">
        <f t="shared" si="10"/>
        <v>11.564</v>
      </c>
      <c r="T25" s="10">
        <f t="shared" si="11"/>
        <v>35.501480000000001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327999.99999998877</v>
      </c>
      <c r="Y25" s="8">
        <f t="shared" si="14"/>
        <v>0.32799999999998875</v>
      </c>
      <c r="Z25" s="10">
        <f t="shared" si="15"/>
        <v>1.0069599999999654</v>
      </c>
      <c r="AA25" s="15"/>
      <c r="AB25" s="7">
        <f t="shared" si="16"/>
        <v>11335999.999998556</v>
      </c>
      <c r="AC25" s="8">
        <f t="shared" si="16"/>
        <v>11.335999999998556</v>
      </c>
      <c r="AD25" s="8">
        <f t="shared" si="16"/>
        <v>34.801519999995563</v>
      </c>
    </row>
    <row r="26" spans="1:30" x14ac:dyDescent="0.15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0</v>
      </c>
      <c r="L26" s="8">
        <f t="shared" si="6"/>
        <v>0</v>
      </c>
      <c r="M26" s="10">
        <f t="shared" si="7"/>
        <v>0</v>
      </c>
      <c r="N26" s="21"/>
      <c r="O26" s="7">
        <f>'[2]Dec Prod'!H25</f>
        <v>12202999.999999994</v>
      </c>
      <c r="P26" s="8">
        <f t="shared" si="8"/>
        <v>12.202999999999994</v>
      </c>
      <c r="Q26" s="10">
        <f t="shared" si="9"/>
        <v>37.463209999999982</v>
      </c>
      <c r="R26" s="7">
        <f>'[2]Dec Prod'!C25</f>
        <v>12487000</v>
      </c>
      <c r="S26" s="8">
        <f t="shared" si="10"/>
        <v>12.487</v>
      </c>
      <c r="T26" s="10">
        <f t="shared" si="11"/>
        <v>38.335090000000001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284000.00000000605</v>
      </c>
      <c r="Y26" s="8">
        <f t="shared" si="14"/>
        <v>0.28400000000000608</v>
      </c>
      <c r="Z26" s="10">
        <f t="shared" si="15"/>
        <v>0.87188000000001864</v>
      </c>
      <c r="AA26" s="15"/>
      <c r="AB26" s="7">
        <f t="shared" si="16"/>
        <v>12202999.999999994</v>
      </c>
      <c r="AC26" s="8">
        <f t="shared" si="16"/>
        <v>12.202999999999994</v>
      </c>
      <c r="AD26" s="8">
        <f t="shared" si="16"/>
        <v>37.463209999999982</v>
      </c>
    </row>
    <row r="27" spans="1:30" x14ac:dyDescent="0.15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0</v>
      </c>
      <c r="L27" s="8">
        <f t="shared" si="6"/>
        <v>0</v>
      </c>
      <c r="M27" s="10">
        <f t="shared" si="7"/>
        <v>0</v>
      </c>
      <c r="N27" s="21"/>
      <c r="O27" s="7">
        <f>'[2]Dec Prod'!H26</f>
        <v>11836000.000000006</v>
      </c>
      <c r="P27" s="8">
        <f t="shared" si="8"/>
        <v>11.836000000000006</v>
      </c>
      <c r="Q27" s="10">
        <f t="shared" si="9"/>
        <v>36.336520000000014</v>
      </c>
      <c r="R27" s="7">
        <f>'[2]Dec Prod'!C26</f>
        <v>12064000</v>
      </c>
      <c r="S27" s="8">
        <f t="shared" si="10"/>
        <v>12.064</v>
      </c>
      <c r="T27" s="10">
        <f t="shared" si="11"/>
        <v>37.036479999999997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227999.99999999444</v>
      </c>
      <c r="Y27" s="8">
        <f t="shared" si="14"/>
        <v>0.22799999999999443</v>
      </c>
      <c r="Z27" s="10">
        <f t="shared" si="15"/>
        <v>0.69995999999998282</v>
      </c>
      <c r="AA27" s="15"/>
      <c r="AB27" s="7">
        <f t="shared" si="16"/>
        <v>11836000.000000006</v>
      </c>
      <c r="AC27" s="8">
        <f t="shared" si="16"/>
        <v>11.836000000000006</v>
      </c>
      <c r="AD27" s="8">
        <f t="shared" si="16"/>
        <v>36.336520000000014</v>
      </c>
    </row>
    <row r="28" spans="1:30" x14ac:dyDescent="0.15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0</v>
      </c>
      <c r="L28" s="8">
        <f t="shared" si="6"/>
        <v>0</v>
      </c>
      <c r="M28" s="10">
        <f t="shared" si="7"/>
        <v>0</v>
      </c>
      <c r="N28" s="21"/>
      <c r="O28" s="7">
        <f>'[2]Dec Prod'!H27</f>
        <v>11187999.999999991</v>
      </c>
      <c r="P28" s="8">
        <f t="shared" si="8"/>
        <v>11.18799999999999</v>
      </c>
      <c r="Q28" s="10">
        <f t="shared" si="9"/>
        <v>34.347159999999967</v>
      </c>
      <c r="R28" s="7">
        <f>'[2]Dec Prod'!C27</f>
        <v>11416000</v>
      </c>
      <c r="S28" s="8">
        <f t="shared" si="10"/>
        <v>11.416</v>
      </c>
      <c r="T28" s="10">
        <f t="shared" si="11"/>
        <v>35.04712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228000.00000000864</v>
      </c>
      <c r="Y28" s="8">
        <f t="shared" si="14"/>
        <v>0.22800000000000864</v>
      </c>
      <c r="Z28" s="10">
        <f t="shared" si="15"/>
        <v>0.69996000000002645</v>
      </c>
      <c r="AA28" s="15"/>
      <c r="AB28" s="7">
        <f t="shared" si="16"/>
        <v>11187999.999999991</v>
      </c>
      <c r="AC28" s="8">
        <f t="shared" si="16"/>
        <v>11.18799999999999</v>
      </c>
      <c r="AD28" s="8">
        <f t="shared" si="16"/>
        <v>34.347159999999967</v>
      </c>
    </row>
    <row r="29" spans="1:30" x14ac:dyDescent="0.15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1"/>
      <c r="O29" s="7">
        <f>'[2]Dec Prod'!H28</f>
        <v>12652000.000000007</v>
      </c>
      <c r="P29" s="8">
        <f t="shared" si="8"/>
        <v>12.652000000000008</v>
      </c>
      <c r="Q29" s="10">
        <f t="shared" si="9"/>
        <v>38.841640000000019</v>
      </c>
      <c r="R29" s="7">
        <f>'[2]Dec Prod'!C28</f>
        <v>12939000</v>
      </c>
      <c r="S29" s="8">
        <f t="shared" si="10"/>
        <v>12.939</v>
      </c>
      <c r="T29" s="10">
        <f t="shared" si="11"/>
        <v>39.722729999999999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286999.99999999191</v>
      </c>
      <c r="Y29" s="8">
        <f t="shared" si="14"/>
        <v>0.28699999999999193</v>
      </c>
      <c r="Z29" s="10">
        <f t="shared" si="15"/>
        <v>0.88108999999997517</v>
      </c>
      <c r="AA29" s="15"/>
      <c r="AB29" s="7">
        <f t="shared" si="16"/>
        <v>12652000.000000007</v>
      </c>
      <c r="AC29" s="8">
        <f t="shared" si="16"/>
        <v>12.652000000000008</v>
      </c>
      <c r="AD29" s="8">
        <f t="shared" si="16"/>
        <v>38.841640000000019</v>
      </c>
    </row>
    <row r="30" spans="1:30" x14ac:dyDescent="0.15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 t="shared" si="4"/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1"/>
      <c r="O30" s="7">
        <f>'[2]Dec Prod'!H29</f>
        <v>10221999.999999989</v>
      </c>
      <c r="P30" s="8">
        <f t="shared" si="8"/>
        <v>10.221999999999989</v>
      </c>
      <c r="Q30" s="10">
        <f t="shared" si="9"/>
        <v>31.381539999999966</v>
      </c>
      <c r="R30" s="7">
        <f>'[2]Dec Prod'!C29</f>
        <v>10510000</v>
      </c>
      <c r="S30" s="8">
        <f t="shared" si="10"/>
        <v>10.51</v>
      </c>
      <c r="T30" s="10">
        <f t="shared" si="11"/>
        <v>32.265699999999995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288000.00000001094</v>
      </c>
      <c r="Y30" s="8">
        <f t="shared" si="14"/>
        <v>0.28800000000001097</v>
      </c>
      <c r="Z30" s="10">
        <f t="shared" si="15"/>
        <v>0.88416000000003359</v>
      </c>
      <c r="AA30" s="15"/>
      <c r="AB30" s="7">
        <f t="shared" si="16"/>
        <v>10221999.999999989</v>
      </c>
      <c r="AC30" s="8">
        <f t="shared" si="16"/>
        <v>10.221999999999989</v>
      </c>
      <c r="AD30" s="8">
        <f>D30+Q30</f>
        <v>31.381539999999966</v>
      </c>
    </row>
    <row r="31" spans="1:30" x14ac:dyDescent="0.15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0</v>
      </c>
      <c r="F31" s="8">
        <f t="shared" si="2"/>
        <v>0</v>
      </c>
      <c r="G31" s="10">
        <f t="shared" si="3"/>
        <v>0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0</v>
      </c>
      <c r="L31" s="8">
        <f t="shared" si="6"/>
        <v>0</v>
      </c>
      <c r="M31" s="10">
        <f t="shared" si="7"/>
        <v>0</v>
      </c>
      <c r="N31" s="21"/>
      <c r="O31" s="7">
        <f>'[2]Dec Prod'!H30</f>
        <v>12542000.000000011</v>
      </c>
      <c r="P31" s="8">
        <f t="shared" si="8"/>
        <v>12.54200000000001</v>
      </c>
      <c r="Q31" s="10">
        <f t="shared" si="9"/>
        <v>38.503940000000028</v>
      </c>
      <c r="R31" s="7">
        <f>'[2]Dec Prod'!C30</f>
        <v>12885000</v>
      </c>
      <c r="S31" s="8">
        <f t="shared" si="10"/>
        <v>12.885</v>
      </c>
      <c r="T31" s="10">
        <f t="shared" si="11"/>
        <v>39.556950000000001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342999.99999998929</v>
      </c>
      <c r="Y31" s="8">
        <f t="shared" si="14"/>
        <v>0.34299999999998931</v>
      </c>
      <c r="Z31" s="10">
        <f t="shared" si="15"/>
        <v>1.0530099999999671</v>
      </c>
      <c r="AA31" s="15"/>
      <c r="AB31" s="7">
        <f t="shared" si="16"/>
        <v>12542000.000000011</v>
      </c>
      <c r="AC31" s="8">
        <f t="shared" si="16"/>
        <v>12.54200000000001</v>
      </c>
      <c r="AD31" s="8">
        <f t="shared" si="16"/>
        <v>38.503940000000028</v>
      </c>
    </row>
    <row r="32" spans="1:30" x14ac:dyDescent="0.15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0</v>
      </c>
      <c r="F32" s="8">
        <f t="shared" si="2"/>
        <v>0</v>
      </c>
      <c r="G32" s="10">
        <f t="shared" si="3"/>
        <v>0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1"/>
      <c r="O32" s="7">
        <f>'[2]Dec Prod'!H31</f>
        <v>11838999.999999998</v>
      </c>
      <c r="P32" s="8">
        <f t="shared" si="8"/>
        <v>11.838999999999999</v>
      </c>
      <c r="Q32" s="10">
        <f t="shared" si="9"/>
        <v>36.345729999999996</v>
      </c>
      <c r="R32" s="7">
        <f>'[2]Dec Prod'!C31</f>
        <v>12012000</v>
      </c>
      <c r="S32" s="8">
        <f t="shared" si="10"/>
        <v>12.012</v>
      </c>
      <c r="T32" s="10">
        <f t="shared" si="11"/>
        <v>36.876840000000001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173000.0000000018</v>
      </c>
      <c r="Y32" s="8">
        <f t="shared" si="14"/>
        <v>0.17300000000000179</v>
      </c>
      <c r="Z32" s="10">
        <f t="shared" si="15"/>
        <v>0.53111000000000552</v>
      </c>
      <c r="AA32" s="15"/>
      <c r="AB32" s="7">
        <f t="shared" si="16"/>
        <v>11838999.999999998</v>
      </c>
      <c r="AC32" s="8">
        <f t="shared" si="16"/>
        <v>11.838999999999999</v>
      </c>
      <c r="AD32" s="8">
        <f t="shared" si="16"/>
        <v>36.345729999999996</v>
      </c>
    </row>
    <row r="33" spans="1:30" x14ac:dyDescent="0.15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0</v>
      </c>
      <c r="F33" s="8">
        <f t="shared" si="2"/>
        <v>0</v>
      </c>
      <c r="G33" s="10">
        <f t="shared" si="3"/>
        <v>0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1"/>
      <c r="O33" s="7">
        <f>'[2]Dec Prod'!H32</f>
        <v>11810999.999999991</v>
      </c>
      <c r="P33" s="8">
        <f t="shared" si="8"/>
        <v>11.810999999999991</v>
      </c>
      <c r="Q33" s="10">
        <f t="shared" si="9"/>
        <v>36.259769999999968</v>
      </c>
      <c r="R33" s="7">
        <f>'[2]Dec Prod'!C32</f>
        <v>12042000</v>
      </c>
      <c r="S33" s="8">
        <f t="shared" si="10"/>
        <v>12.042</v>
      </c>
      <c r="T33" s="10">
        <f t="shared" si="11"/>
        <v>36.968939999999996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231000.00000000876</v>
      </c>
      <c r="Y33" s="8">
        <f t="shared" si="14"/>
        <v>0.23100000000000875</v>
      </c>
      <c r="Z33" s="10">
        <f t="shared" si="15"/>
        <v>0.70917000000002683</v>
      </c>
      <c r="AA33" s="15"/>
      <c r="AB33" s="7">
        <f t="shared" si="16"/>
        <v>11810999.999999991</v>
      </c>
      <c r="AC33" s="8">
        <f t="shared" si="16"/>
        <v>11.810999999999991</v>
      </c>
      <c r="AD33" s="8">
        <f t="shared" si="16"/>
        <v>36.259769999999968</v>
      </c>
    </row>
    <row r="34" spans="1:30" x14ac:dyDescent="0.15">
      <c r="A34" s="1">
        <v>38351</v>
      </c>
      <c r="B34" s="7">
        <f>'[2]Dec Prod'!I33</f>
        <v>200000.0000007276</v>
      </c>
      <c r="C34" s="8">
        <f t="shared" si="0"/>
        <v>0.2000000000007276</v>
      </c>
      <c r="D34" s="10">
        <f t="shared" si="1"/>
        <v>0.61400000000223365</v>
      </c>
      <c r="E34" s="7">
        <f>'[2]Dec Prod'!E33</f>
        <v>0</v>
      </c>
      <c r="F34" s="8">
        <f t="shared" si="2"/>
        <v>0</v>
      </c>
      <c r="G34" s="10">
        <f t="shared" si="3"/>
        <v>0</v>
      </c>
      <c r="H34" s="7">
        <f>'[2]Dec Prod'!F33</f>
        <v>0</v>
      </c>
      <c r="I34" s="8">
        <f t="shared" si="4"/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1"/>
      <c r="O34" s="7">
        <f>'[2]Dec Prod'!H33</f>
        <v>12627000.000000002</v>
      </c>
      <c r="P34" s="8">
        <f t="shared" si="8"/>
        <v>12.627000000000002</v>
      </c>
      <c r="Q34" s="10">
        <f t="shared" si="9"/>
        <v>38.764890000000008</v>
      </c>
      <c r="R34" s="7">
        <f>'[2]Dec Prod'!C33</f>
        <v>12972000</v>
      </c>
      <c r="S34" s="8">
        <f t="shared" si="10"/>
        <v>12.972</v>
      </c>
      <c r="T34" s="10">
        <f t="shared" si="11"/>
        <v>39.824039999999997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344999.99999999884</v>
      </c>
      <c r="Y34" s="8">
        <f t="shared" si="14"/>
        <v>0.34499999999999886</v>
      </c>
      <c r="Z34" s="10">
        <f t="shared" si="15"/>
        <v>1.0591499999999965</v>
      </c>
      <c r="AA34" s="15"/>
      <c r="AB34" s="7">
        <f t="shared" si="16"/>
        <v>12827000.00000073</v>
      </c>
      <c r="AC34" s="8">
        <f t="shared" si="16"/>
        <v>12.82700000000073</v>
      </c>
      <c r="AD34" s="8">
        <f t="shared" si="16"/>
        <v>39.378890000002244</v>
      </c>
    </row>
    <row r="35" spans="1:30" ht="14" thickBot="1" x14ac:dyDescent="0.2">
      <c r="A35" s="1">
        <v>38352</v>
      </c>
      <c r="B35" s="30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0</v>
      </c>
      <c r="F35" s="9">
        <f t="shared" si="2"/>
        <v>0</v>
      </c>
      <c r="G35" s="11">
        <f t="shared" si="3"/>
        <v>0</v>
      </c>
      <c r="H35" s="7">
        <f>'[2]Dec Prod'!F34</f>
        <v>0</v>
      </c>
      <c r="I35" s="9">
        <f t="shared" si="4"/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1"/>
      <c r="O35" s="7">
        <f>'[2]Dec Prod'!H34</f>
        <v>10740000.000000004</v>
      </c>
      <c r="P35" s="9">
        <f t="shared" si="8"/>
        <v>10.740000000000004</v>
      </c>
      <c r="Q35" s="11">
        <f t="shared" si="9"/>
        <v>32.971800000000009</v>
      </c>
      <c r="R35" s="7">
        <f>'[2]Dec Prod'!C34</f>
        <v>11031000</v>
      </c>
      <c r="S35" s="9">
        <f t="shared" si="10"/>
        <v>11.031000000000001</v>
      </c>
      <c r="T35" s="11">
        <f t="shared" si="11"/>
        <v>33.865169999999999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290999.9999999968</v>
      </c>
      <c r="Y35" s="9">
        <f t="shared" si="14"/>
        <v>0.29099999999999682</v>
      </c>
      <c r="Z35" s="11">
        <f t="shared" si="15"/>
        <v>0.89336999999999023</v>
      </c>
      <c r="AA35" s="15"/>
      <c r="AB35" s="7">
        <f t="shared" si="16"/>
        <v>10740000.000000004</v>
      </c>
      <c r="AC35" s="8">
        <f t="shared" si="16"/>
        <v>10.740000000000004</v>
      </c>
      <c r="AD35" s="8">
        <f t="shared" si="16"/>
        <v>32.971800000000009</v>
      </c>
    </row>
    <row r="36" spans="1:30" ht="14" thickBot="1" x14ac:dyDescent="0.2">
      <c r="A36" s="20"/>
      <c r="B36" s="39"/>
      <c r="C36" s="40">
        <f>SUM(C5:C35)</f>
        <v>0.2999999999992724</v>
      </c>
      <c r="D36" s="40">
        <f>SUM(D5:D35)</f>
        <v>0.92099999999776627</v>
      </c>
      <c r="E36" s="39"/>
      <c r="F36" s="40">
        <f>SUM(F5:F35)</f>
        <v>0</v>
      </c>
      <c r="G36" s="40">
        <f>SUM(G5:G35)</f>
        <v>0</v>
      </c>
      <c r="H36" s="39"/>
      <c r="I36" s="40">
        <f>SUM(I5:I35)</f>
        <v>0</v>
      </c>
      <c r="J36" s="40">
        <f>SUM(J5:J35)</f>
        <v>0</v>
      </c>
      <c r="K36" s="39"/>
      <c r="L36" s="40">
        <f>SUM(L5:L35)</f>
        <v>0</v>
      </c>
      <c r="M36" s="40">
        <f>SUM(M5:M35)</f>
        <v>0</v>
      </c>
      <c r="N36" s="14"/>
      <c r="O36" s="39"/>
      <c r="P36" s="40">
        <f>SUM(P5:P35)</f>
        <v>357.637</v>
      </c>
      <c r="Q36" s="40">
        <f>SUM(Q5:Q35)</f>
        <v>1097.94559</v>
      </c>
      <c r="R36" s="39"/>
      <c r="S36" s="40">
        <f>SUM(S5:S35)</f>
        <v>365.77099999999996</v>
      </c>
      <c r="T36" s="40">
        <f>SUM(T5:T35)</f>
        <v>1122.91697</v>
      </c>
      <c r="U36" s="39"/>
      <c r="V36" s="40">
        <f>SUM(V5:V35)</f>
        <v>0</v>
      </c>
      <c r="W36" s="40">
        <f>SUM(W5:W35)</f>
        <v>0</v>
      </c>
      <c r="X36" s="39"/>
      <c r="Y36" s="40">
        <f>SUM(Y5:Y35)</f>
        <v>8.1340000000000003</v>
      </c>
      <c r="Z36" s="40">
        <f>SUM(Z5:Z35)</f>
        <v>24.971379999999996</v>
      </c>
      <c r="AA36" s="14"/>
      <c r="AB36" s="39"/>
      <c r="AC36" s="40">
        <f>SUM(AC5:AC35)</f>
        <v>357.93699999999927</v>
      </c>
      <c r="AD36" s="40">
        <f>SUM(AD5:AD35)</f>
        <v>1098.8665899999978</v>
      </c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D36"/>
  <sheetViews>
    <sheetView workbookViewId="0">
      <pane xSplit="1" ySplit="4" topLeftCell="H17" activePane="bottomRight" state="frozen"/>
      <selection pane="topRight" activeCell="B1" sqref="B1"/>
      <selection pane="bottomLeft" activeCell="A5" sqref="A5"/>
      <selection pane="bottomRight" activeCell="AD36" sqref="AD36"/>
    </sheetView>
  </sheetViews>
  <sheetFormatPr baseColWidth="10" defaultColWidth="8.83203125" defaultRowHeight="13" x14ac:dyDescent="0.15"/>
  <cols>
    <col min="2" max="2" width="10.83203125" customWidth="1"/>
    <col min="3" max="3" width="7.6640625" style="18" customWidth="1"/>
    <col min="5" max="5" width="13.5" style="3" bestFit="1" customWidth="1"/>
    <col min="6" max="6" width="8.33203125" style="3" customWidth="1"/>
    <col min="7" max="7" width="9.1640625" style="3"/>
    <col min="8" max="8" width="11.6640625" style="3" customWidth="1"/>
    <col min="9" max="10" width="9.1640625" style="3"/>
    <col min="11" max="11" width="11.83203125" style="14" customWidth="1"/>
    <col min="12" max="12" width="11" style="3" customWidth="1"/>
    <col min="13" max="13" width="11.1640625" style="3" bestFit="1" customWidth="1"/>
    <col min="14" max="14" width="9.1640625" style="3"/>
    <col min="15" max="15" width="13.5" style="3" bestFit="1" customWidth="1"/>
    <col min="16" max="17" width="9.1640625" style="3"/>
    <col min="18" max="18" width="11.6640625" style="3" bestFit="1" customWidth="1"/>
    <col min="19" max="21" width="9.1640625" style="3"/>
    <col min="22" max="22" width="11.6640625" bestFit="1" customWidth="1"/>
    <col min="28" max="28" width="12.6640625" customWidth="1"/>
  </cols>
  <sheetData>
    <row r="1" spans="1:30" ht="13.5" customHeight="1" x14ac:dyDescent="0.15">
      <c r="A1" s="25"/>
      <c r="B1" s="41"/>
      <c r="C1" s="26"/>
      <c r="D1" s="26"/>
      <c r="E1" s="26"/>
      <c r="F1" s="26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</row>
    <row r="4" spans="1:30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15">
      <c r="A5" s="28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0</v>
      </c>
      <c r="F5" s="8">
        <f>E5/1000000</f>
        <v>0</v>
      </c>
      <c r="G5" s="10">
        <f>F5*3.07</f>
        <v>0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1"/>
      <c r="O5" s="7">
        <f>'[3]Jan Prod'!H4</f>
        <v>11850999.999999994</v>
      </c>
      <c r="P5" s="8">
        <f>O5/1000000</f>
        <v>11.850999999999994</v>
      </c>
      <c r="Q5" s="10">
        <f>P5*3.07</f>
        <v>36.38256999999998</v>
      </c>
      <c r="R5" s="7">
        <f>'[3]Jan Prod'!C4</f>
        <v>12141000</v>
      </c>
      <c r="S5" s="8">
        <f>R5/1000000</f>
        <v>12.141</v>
      </c>
      <c r="T5" s="10">
        <f>S5*3.07</f>
        <v>37.272869999999998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290000.00000000623</v>
      </c>
      <c r="Y5" s="8">
        <f>X5/1000000</f>
        <v>0.29000000000000625</v>
      </c>
      <c r="Z5" s="10">
        <f>Y5*3.07</f>
        <v>0.89030000000001919</v>
      </c>
      <c r="AA5" s="15"/>
      <c r="AB5" s="7">
        <f>B5+O5</f>
        <v>11850999.999999994</v>
      </c>
      <c r="AC5" s="8">
        <f>C5+P5</f>
        <v>11.850999999999994</v>
      </c>
      <c r="AD5" s="8">
        <f>D5+Q5</f>
        <v>36.38256999999998</v>
      </c>
    </row>
    <row r="6" spans="1:30" x14ac:dyDescent="0.15">
      <c r="A6" s="28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'[3]Jan Prod'!H5</f>
        <v>11815000.000000004</v>
      </c>
      <c r="P6" s="8">
        <f t="shared" ref="P6:P35" si="8">O6/1000000</f>
        <v>11.815000000000003</v>
      </c>
      <c r="Q6" s="10">
        <f t="shared" ref="Q6:Q35" si="9">P6*3.07</f>
        <v>36.272050000000007</v>
      </c>
      <c r="R6" s="7">
        <f>'[3]Jan Prod'!C5</f>
        <v>11990000</v>
      </c>
      <c r="S6" s="8">
        <f t="shared" ref="S6:S35" si="10">R6/1000000</f>
        <v>11.99</v>
      </c>
      <c r="T6" s="10">
        <f t="shared" ref="T6:T35" si="11">S6*3.07</f>
        <v>36.8093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174999.99999999715</v>
      </c>
      <c r="Y6" s="8">
        <f t="shared" ref="Y6:Y35" si="14">X6/1000000</f>
        <v>0.17499999999999716</v>
      </c>
      <c r="Z6" s="10">
        <f t="shared" ref="Z6:Z35" si="15">Y6*3.07</f>
        <v>0.53724999999999123</v>
      </c>
      <c r="AA6" s="15"/>
      <c r="AB6" s="7">
        <f t="shared" ref="AB6:AD35" si="16">B6+O6</f>
        <v>11815000.000000004</v>
      </c>
      <c r="AC6" s="8">
        <f t="shared" si="16"/>
        <v>11.815000000000003</v>
      </c>
      <c r="AD6" s="8">
        <f t="shared" si="16"/>
        <v>36.272050000000007</v>
      </c>
    </row>
    <row r="7" spans="1:30" x14ac:dyDescent="0.15">
      <c r="A7" s="28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0</v>
      </c>
      <c r="L7" s="8">
        <f t="shared" si="6"/>
        <v>0</v>
      </c>
      <c r="M7" s="10">
        <f t="shared" si="7"/>
        <v>0</v>
      </c>
      <c r="N7" s="21"/>
      <c r="O7" s="7">
        <f>'[3]Jan Prod'!H6</f>
        <v>12078000.000000011</v>
      </c>
      <c r="P7" s="8">
        <f t="shared" si="8"/>
        <v>12.078000000000012</v>
      </c>
      <c r="Q7" s="10">
        <f t="shared" si="9"/>
        <v>37.079460000000033</v>
      </c>
      <c r="R7" s="7">
        <f>'[3]Jan Prod'!C6</f>
        <v>12305000</v>
      </c>
      <c r="S7" s="8">
        <f t="shared" si="10"/>
        <v>12.305</v>
      </c>
      <c r="T7" s="10">
        <f t="shared" si="11"/>
        <v>37.776349999999994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226999.99999998967</v>
      </c>
      <c r="Y7" s="8">
        <f t="shared" si="14"/>
        <v>0.22699999999998965</v>
      </c>
      <c r="Z7" s="10">
        <f t="shared" si="15"/>
        <v>0.69688999999996826</v>
      </c>
      <c r="AA7" s="15"/>
      <c r="AB7" s="7">
        <f t="shared" si="16"/>
        <v>12078000.000000011</v>
      </c>
      <c r="AC7" s="8">
        <f t="shared" si="16"/>
        <v>12.078000000000012</v>
      </c>
      <c r="AD7" s="8">
        <f t="shared" si="16"/>
        <v>37.079460000000033</v>
      </c>
    </row>
    <row r="8" spans="1:30" x14ac:dyDescent="0.15">
      <c r="A8" s="28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1"/>
      <c r="O8" s="7">
        <f>'[3]Jan Prod'!H7</f>
        <v>11892999.999999991</v>
      </c>
      <c r="P8" s="8">
        <f t="shared" si="8"/>
        <v>11.89299999999999</v>
      </c>
      <c r="Q8" s="10">
        <f t="shared" si="9"/>
        <v>36.511509999999966</v>
      </c>
      <c r="R8" s="7">
        <f>'[3]Jan Prod'!C7</f>
        <v>12261000</v>
      </c>
      <c r="S8" s="8">
        <f t="shared" si="10"/>
        <v>12.260999999999999</v>
      </c>
      <c r="T8" s="10">
        <f t="shared" si="11"/>
        <v>37.641269999999999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368000.0000000092</v>
      </c>
      <c r="Y8" s="8">
        <f t="shared" si="14"/>
        <v>0.36800000000000921</v>
      </c>
      <c r="Z8" s="10">
        <f t="shared" si="15"/>
        <v>1.1297600000000283</v>
      </c>
      <c r="AA8" s="15"/>
      <c r="AB8" s="7">
        <f t="shared" si="16"/>
        <v>11892999.999999991</v>
      </c>
      <c r="AC8" s="8">
        <f t="shared" si="16"/>
        <v>11.89299999999999</v>
      </c>
      <c r="AD8" s="8">
        <f>D8+Q8</f>
        <v>36.511509999999966</v>
      </c>
    </row>
    <row r="9" spans="1:30" x14ac:dyDescent="0.15">
      <c r="A9" s="28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1000000</v>
      </c>
      <c r="I9" s="8">
        <f t="shared" si="4"/>
        <v>1</v>
      </c>
      <c r="J9" s="10">
        <f t="shared" si="5"/>
        <v>3.07</v>
      </c>
      <c r="K9" s="7">
        <f>'[3]Jan Prod'!H263</f>
        <v>0</v>
      </c>
      <c r="L9" s="8">
        <f t="shared" si="6"/>
        <v>0</v>
      </c>
      <c r="M9" s="10">
        <f t="shared" si="7"/>
        <v>0</v>
      </c>
      <c r="N9" s="21"/>
      <c r="O9" s="7">
        <f>'[3]Jan Prod'!H8</f>
        <v>11593000.000000006</v>
      </c>
      <c r="P9" s="8">
        <f t="shared" si="8"/>
        <v>11.593000000000005</v>
      </c>
      <c r="Q9" s="10">
        <f t="shared" si="9"/>
        <v>35.590510000000016</v>
      </c>
      <c r="R9" s="7">
        <f>'[3]Jan Prod'!C8</f>
        <v>11952000</v>
      </c>
      <c r="S9" s="8">
        <f t="shared" si="10"/>
        <v>11.952</v>
      </c>
      <c r="T9" s="10">
        <f t="shared" si="11"/>
        <v>36.692639999999997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358999.99999999464</v>
      </c>
      <c r="Y9" s="8">
        <f t="shared" si="14"/>
        <v>0.35899999999999466</v>
      </c>
      <c r="Z9" s="10">
        <f t="shared" si="15"/>
        <v>1.1021299999999836</v>
      </c>
      <c r="AA9" s="15"/>
      <c r="AB9" s="7">
        <f t="shared" si="16"/>
        <v>11593000.000000006</v>
      </c>
      <c r="AC9" s="8">
        <f t="shared" si="16"/>
        <v>11.593000000000005</v>
      </c>
      <c r="AD9" s="8">
        <f t="shared" si="16"/>
        <v>35.590510000000016</v>
      </c>
    </row>
    <row r="10" spans="1:30" x14ac:dyDescent="0.15">
      <c r="A10" s="28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1"/>
      <c r="O10" s="7">
        <f>'[3]Jan Prod'!H9</f>
        <v>11483000.000000004</v>
      </c>
      <c r="P10" s="8">
        <f t="shared" si="8"/>
        <v>11.483000000000004</v>
      </c>
      <c r="Q10" s="10">
        <f t="shared" si="9"/>
        <v>35.252810000000011</v>
      </c>
      <c r="R10" s="7">
        <f>'[3]Jan Prod'!C9</f>
        <v>11783000</v>
      </c>
      <c r="S10" s="8">
        <f t="shared" si="10"/>
        <v>11.782999999999999</v>
      </c>
      <c r="T10" s="10">
        <f t="shared" si="11"/>
        <v>36.173809999999996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299999.99999999715</v>
      </c>
      <c r="Y10" s="8">
        <f t="shared" si="14"/>
        <v>0.29999999999999716</v>
      </c>
      <c r="Z10" s="10">
        <f t="shared" si="15"/>
        <v>0.92099999999999127</v>
      </c>
      <c r="AA10" s="15"/>
      <c r="AB10" s="7">
        <f t="shared" si="16"/>
        <v>11483000.000000004</v>
      </c>
      <c r="AC10" s="8">
        <f t="shared" si="16"/>
        <v>11.483000000000004</v>
      </c>
      <c r="AD10" s="8">
        <f t="shared" si="16"/>
        <v>35.252810000000011</v>
      </c>
    </row>
    <row r="11" spans="1:30" x14ac:dyDescent="0.15">
      <c r="A11" s="28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1"/>
      <c r="O11" s="7">
        <f>'[3]Jan Prod'!H10</f>
        <v>11428000</v>
      </c>
      <c r="P11" s="8">
        <f t="shared" si="8"/>
        <v>11.428000000000001</v>
      </c>
      <c r="Q11" s="10">
        <f t="shared" si="9"/>
        <v>35.083959999999998</v>
      </c>
      <c r="R11" s="7">
        <f>'[3]Jan Prod'!C10</f>
        <v>11785000</v>
      </c>
      <c r="S11" s="8">
        <f t="shared" si="10"/>
        <v>11.785</v>
      </c>
      <c r="T11" s="10">
        <f t="shared" si="11"/>
        <v>36.179949999999998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356999.9999999993</v>
      </c>
      <c r="Y11" s="8">
        <f t="shared" si="14"/>
        <v>0.35699999999999932</v>
      </c>
      <c r="Z11" s="10">
        <f t="shared" si="15"/>
        <v>1.0959899999999978</v>
      </c>
      <c r="AA11" s="15"/>
      <c r="AB11" s="7">
        <f t="shared" si="16"/>
        <v>11428000</v>
      </c>
      <c r="AC11" s="8">
        <f t="shared" si="16"/>
        <v>11.428000000000001</v>
      </c>
      <c r="AD11" s="8">
        <f t="shared" si="16"/>
        <v>35.083959999999998</v>
      </c>
    </row>
    <row r="12" spans="1:30" x14ac:dyDescent="0.15">
      <c r="A12" s="28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1"/>
      <c r="O12" s="7">
        <f>'[3]Jan Prod'!H11</f>
        <v>11390999.999999991</v>
      </c>
      <c r="P12" s="8">
        <f t="shared" si="8"/>
        <v>11.390999999999991</v>
      </c>
      <c r="Q12" s="10">
        <f t="shared" si="9"/>
        <v>34.970369999999974</v>
      </c>
      <c r="R12" s="7">
        <f>'[3]Jan Prod'!C11</f>
        <v>11750000</v>
      </c>
      <c r="S12" s="8">
        <f t="shared" si="10"/>
        <v>11.75</v>
      </c>
      <c r="T12" s="10">
        <f t="shared" si="11"/>
        <v>36.072499999999998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359000.00000000885</v>
      </c>
      <c r="Y12" s="8">
        <f t="shared" si="14"/>
        <v>0.35900000000000887</v>
      </c>
      <c r="Z12" s="10">
        <f t="shared" si="15"/>
        <v>1.1021300000000271</v>
      </c>
      <c r="AA12" s="15"/>
      <c r="AB12" s="7">
        <f t="shared" si="16"/>
        <v>11390999.999999991</v>
      </c>
      <c r="AC12" s="8">
        <f t="shared" si="16"/>
        <v>11.390999999999991</v>
      </c>
      <c r="AD12" s="8">
        <f t="shared" si="16"/>
        <v>34.970369999999974</v>
      </c>
    </row>
    <row r="13" spans="1:30" x14ac:dyDescent="0.15">
      <c r="A13" s="28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0</v>
      </c>
      <c r="I13" s="8">
        <f t="shared" si="4"/>
        <v>0</v>
      </c>
      <c r="J13" s="10">
        <f t="shared" si="5"/>
        <v>0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1"/>
      <c r="O13" s="7">
        <f>'[3]Jan Prod'!H12</f>
        <v>12013000</v>
      </c>
      <c r="P13" s="8">
        <f t="shared" si="8"/>
        <v>12.013</v>
      </c>
      <c r="Q13" s="10">
        <f t="shared" si="9"/>
        <v>36.879909999999995</v>
      </c>
      <c r="R13" s="7">
        <f>'[3]Jan Prod'!C12</f>
        <v>12373000</v>
      </c>
      <c r="S13" s="8">
        <f t="shared" si="10"/>
        <v>12.372999999999999</v>
      </c>
      <c r="T13" s="10">
        <f t="shared" si="11"/>
        <v>37.985109999999999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359999.99999999942</v>
      </c>
      <c r="Y13" s="8">
        <f t="shared" si="14"/>
        <v>0.35999999999999943</v>
      </c>
      <c r="Z13" s="10">
        <f t="shared" si="15"/>
        <v>1.1051999999999982</v>
      </c>
      <c r="AA13" s="15"/>
      <c r="AB13" s="7">
        <f t="shared" si="16"/>
        <v>12013000</v>
      </c>
      <c r="AC13" s="8">
        <f t="shared" si="16"/>
        <v>12.013</v>
      </c>
      <c r="AD13" s="8">
        <f t="shared" si="16"/>
        <v>36.879909999999995</v>
      </c>
    </row>
    <row r="14" spans="1:30" x14ac:dyDescent="0.15">
      <c r="A14" s="28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7">
        <f>'[3]Jan Prod'!F13</f>
        <v>1000000</v>
      </c>
      <c r="I14" s="8">
        <f t="shared" si="4"/>
        <v>1</v>
      </c>
      <c r="J14" s="10">
        <f t="shared" si="5"/>
        <v>3.07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1"/>
      <c r="O14" s="7">
        <f>'[3]Jan Prod'!H13</f>
        <v>12507000.000000006</v>
      </c>
      <c r="P14" s="8">
        <f t="shared" si="8"/>
        <v>12.507000000000005</v>
      </c>
      <c r="Q14" s="10">
        <f t="shared" si="9"/>
        <v>38.396490000000014</v>
      </c>
      <c r="R14" s="7">
        <f>'[3]Jan Prod'!C13</f>
        <v>12863000</v>
      </c>
      <c r="S14" s="8">
        <f t="shared" si="10"/>
        <v>12.863</v>
      </c>
      <c r="T14" s="10">
        <f t="shared" si="11"/>
        <v>39.489409999999999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355999.99999999453</v>
      </c>
      <c r="Y14" s="8">
        <f t="shared" si="14"/>
        <v>0.35599999999999454</v>
      </c>
      <c r="Z14" s="10">
        <f t="shared" si="15"/>
        <v>1.0929199999999832</v>
      </c>
      <c r="AA14" s="15"/>
      <c r="AB14" s="7">
        <f t="shared" si="16"/>
        <v>12507000.000000006</v>
      </c>
      <c r="AC14" s="8">
        <f t="shared" si="16"/>
        <v>12.507000000000005</v>
      </c>
      <c r="AD14" s="8">
        <f t="shared" si="16"/>
        <v>38.396490000000014</v>
      </c>
    </row>
    <row r="15" spans="1:30" x14ac:dyDescent="0.15">
      <c r="A15" s="28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7">
        <f>'[3]Jan Prod'!F14</f>
        <v>0</v>
      </c>
      <c r="I15" s="8">
        <f t="shared" si="4"/>
        <v>0</v>
      </c>
      <c r="J15" s="10">
        <f t="shared" si="5"/>
        <v>0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1"/>
      <c r="O15" s="7">
        <f>'[3]Jan Prod'!H14</f>
        <v>10981000.000000004</v>
      </c>
      <c r="P15" s="8">
        <f t="shared" si="8"/>
        <v>10.981000000000003</v>
      </c>
      <c r="Q15" s="10">
        <f t="shared" si="9"/>
        <v>33.711670000000012</v>
      </c>
      <c r="R15" s="7">
        <f>'[3]Jan Prod'!C14</f>
        <v>11281000</v>
      </c>
      <c r="S15" s="8">
        <f t="shared" si="10"/>
        <v>11.281000000000001</v>
      </c>
      <c r="T15" s="10">
        <f t="shared" si="11"/>
        <v>34.632669999999997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299999.99999999715</v>
      </c>
      <c r="Y15" s="8">
        <f t="shared" si="14"/>
        <v>0.29999999999999716</v>
      </c>
      <c r="Z15" s="10">
        <f t="shared" si="15"/>
        <v>0.92099999999999127</v>
      </c>
      <c r="AA15" s="15"/>
      <c r="AB15" s="7">
        <f t="shared" si="16"/>
        <v>10981000.000000004</v>
      </c>
      <c r="AC15" s="8">
        <f t="shared" si="16"/>
        <v>10.981000000000003</v>
      </c>
      <c r="AD15" s="8">
        <f t="shared" si="16"/>
        <v>33.711670000000012</v>
      </c>
    </row>
    <row r="16" spans="1:30" x14ac:dyDescent="0.15">
      <c r="A16" s="28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7">
        <f>'[3]Jan Prod'!F15</f>
        <v>0</v>
      </c>
      <c r="I16" s="8">
        <f t="shared" si="4"/>
        <v>0</v>
      </c>
      <c r="J16" s="10">
        <f t="shared" si="5"/>
        <v>0</v>
      </c>
      <c r="K16" s="7">
        <f>'[3]Jan Prod'!H270</f>
        <v>0</v>
      </c>
      <c r="L16" s="8">
        <f t="shared" si="6"/>
        <v>0</v>
      </c>
      <c r="M16" s="10">
        <f t="shared" si="7"/>
        <v>0</v>
      </c>
      <c r="N16" s="21"/>
      <c r="O16" s="7">
        <f>'[3]Jan Prod'!H15</f>
        <v>11644999.999999991</v>
      </c>
      <c r="P16" s="8">
        <f t="shared" si="8"/>
        <v>11.644999999999991</v>
      </c>
      <c r="Q16" s="10">
        <f t="shared" si="9"/>
        <v>35.750149999999969</v>
      </c>
      <c r="R16" s="7">
        <f>'[3]Jan Prod'!C15</f>
        <v>12004000</v>
      </c>
      <c r="S16" s="8">
        <f t="shared" si="10"/>
        <v>12.004</v>
      </c>
      <c r="T16" s="10">
        <f t="shared" si="11"/>
        <v>36.852279999999993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359000.00000000885</v>
      </c>
      <c r="Y16" s="8">
        <f t="shared" si="14"/>
        <v>0.35900000000000887</v>
      </c>
      <c r="Z16" s="10">
        <f t="shared" si="15"/>
        <v>1.1021300000000271</v>
      </c>
      <c r="AA16" s="15"/>
      <c r="AB16" s="7">
        <f t="shared" si="16"/>
        <v>11644999.999999991</v>
      </c>
      <c r="AC16" s="8">
        <f t="shared" si="16"/>
        <v>11.644999999999991</v>
      </c>
      <c r="AD16" s="8">
        <f t="shared" si="16"/>
        <v>35.750149999999969</v>
      </c>
    </row>
    <row r="17" spans="1:30" x14ac:dyDescent="0.15">
      <c r="A17" s="28">
        <v>38365</v>
      </c>
      <c r="B17" s="7">
        <f>'[3]Jan Prod'!I16</f>
        <v>0</v>
      </c>
      <c r="C17" s="8">
        <f t="shared" si="0"/>
        <v>0</v>
      </c>
      <c r="D17" s="10">
        <f t="shared" si="1"/>
        <v>0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7">
        <f>'[3]Jan Prod'!F16</f>
        <v>0</v>
      </c>
      <c r="I17" s="8">
        <f t="shared" si="4"/>
        <v>0</v>
      </c>
      <c r="J17" s="10">
        <f t="shared" si="5"/>
        <v>0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1"/>
      <c r="O17" s="7">
        <f>'[3]Jan Prod'!H16</f>
        <v>11120000.000000007</v>
      </c>
      <c r="P17" s="8">
        <f t="shared" si="8"/>
        <v>11.120000000000008</v>
      </c>
      <c r="Q17" s="10">
        <f t="shared" si="9"/>
        <v>34.138400000000026</v>
      </c>
      <c r="R17" s="7">
        <f>'[3]Jan Prod'!C16</f>
        <v>11419000</v>
      </c>
      <c r="S17" s="8">
        <f t="shared" si="10"/>
        <v>11.419</v>
      </c>
      <c r="T17" s="10">
        <f t="shared" si="11"/>
        <v>35.056330000000003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298999.99999999237</v>
      </c>
      <c r="Y17" s="8">
        <f t="shared" si="14"/>
        <v>0.29899999999999238</v>
      </c>
      <c r="Z17" s="10">
        <f t="shared" si="15"/>
        <v>0.9179299999999766</v>
      </c>
      <c r="AA17" s="15"/>
      <c r="AB17" s="7">
        <f t="shared" si="16"/>
        <v>11120000.000000007</v>
      </c>
      <c r="AC17" s="8">
        <f t="shared" si="16"/>
        <v>11.120000000000008</v>
      </c>
      <c r="AD17" s="8">
        <f t="shared" si="16"/>
        <v>34.138400000000026</v>
      </c>
    </row>
    <row r="18" spans="1:30" x14ac:dyDescent="0.15">
      <c r="A18" s="28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7">
        <f>'[3]Jan Prod'!F17</f>
        <v>0</v>
      </c>
      <c r="I18" s="8">
        <f t="shared" si="4"/>
        <v>0</v>
      </c>
      <c r="J18" s="10">
        <f t="shared" si="5"/>
        <v>0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1"/>
      <c r="O18" s="7">
        <f>'[3]Jan Prod'!H17</f>
        <v>11766999.999999996</v>
      </c>
      <c r="P18" s="8">
        <f t="shared" si="8"/>
        <v>11.766999999999996</v>
      </c>
      <c r="Q18" s="10">
        <f t="shared" si="9"/>
        <v>36.124689999999987</v>
      </c>
      <c r="R18" s="7">
        <f>'[3]Jan Prod'!C17</f>
        <v>12128000</v>
      </c>
      <c r="S18" s="8">
        <f t="shared" si="10"/>
        <v>12.128</v>
      </c>
      <c r="T18" s="10">
        <f t="shared" si="11"/>
        <v>37.232959999999999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361000.00000000419</v>
      </c>
      <c r="Y18" s="8">
        <f t="shared" si="14"/>
        <v>0.36100000000000421</v>
      </c>
      <c r="Z18" s="10">
        <f t="shared" si="15"/>
        <v>1.108270000000013</v>
      </c>
      <c r="AA18" s="15"/>
      <c r="AB18" s="7">
        <f t="shared" si="16"/>
        <v>11766999.999999996</v>
      </c>
      <c r="AC18" s="8">
        <f t="shared" si="16"/>
        <v>11.766999999999996</v>
      </c>
      <c r="AD18" s="8">
        <f t="shared" si="16"/>
        <v>36.124689999999987</v>
      </c>
    </row>
    <row r="19" spans="1:30" x14ac:dyDescent="0.15">
      <c r="A19" s="28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7">
        <f>'[3]Jan Prod'!F18</f>
        <v>0</v>
      </c>
      <c r="I19" s="8">
        <f t="shared" si="4"/>
        <v>0</v>
      </c>
      <c r="J19" s="10">
        <f t="shared" si="5"/>
        <v>0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1"/>
      <c r="O19" s="7">
        <f>'[3]Jan Prod'!H18</f>
        <v>11603999.999999996</v>
      </c>
      <c r="P19" s="8">
        <f t="shared" si="8"/>
        <v>11.603999999999996</v>
      </c>
      <c r="Q19" s="10">
        <f t="shared" si="9"/>
        <v>35.624279999999985</v>
      </c>
      <c r="R19" s="7">
        <f>'[3]Jan Prod'!C18</f>
        <v>11962000</v>
      </c>
      <c r="S19" s="8">
        <f t="shared" si="10"/>
        <v>11.962</v>
      </c>
      <c r="T19" s="10">
        <f t="shared" si="11"/>
        <v>36.72334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358000.00000000407</v>
      </c>
      <c r="Y19" s="8">
        <f t="shared" si="14"/>
        <v>0.35800000000000409</v>
      </c>
      <c r="Z19" s="10">
        <f t="shared" si="15"/>
        <v>1.0990600000000126</v>
      </c>
      <c r="AA19" s="15"/>
      <c r="AB19" s="7">
        <f t="shared" si="16"/>
        <v>11603999.999999996</v>
      </c>
      <c r="AC19" s="8">
        <f t="shared" si="16"/>
        <v>11.603999999999996</v>
      </c>
      <c r="AD19" s="8">
        <f>D19+Q19</f>
        <v>35.624279999999985</v>
      </c>
    </row>
    <row r="20" spans="1:30" x14ac:dyDescent="0.15">
      <c r="A20" s="28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7">
        <f>'[3]Jan Prod'!F19</f>
        <v>1000000</v>
      </c>
      <c r="I20" s="8">
        <f t="shared" si="4"/>
        <v>1</v>
      </c>
      <c r="J20" s="10">
        <f t="shared" si="5"/>
        <v>3.07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1"/>
      <c r="O20" s="7">
        <f>'[3]Jan Prod'!H19</f>
        <v>11628000.000000007</v>
      </c>
      <c r="P20" s="8">
        <f t="shared" si="8"/>
        <v>11.628000000000007</v>
      </c>
      <c r="Q20" s="10">
        <f t="shared" si="9"/>
        <v>35.697960000000023</v>
      </c>
      <c r="R20" s="7">
        <f>'[3]Jan Prod'!C19</f>
        <v>11939000</v>
      </c>
      <c r="S20" s="8">
        <f t="shared" si="10"/>
        <v>11.939</v>
      </c>
      <c r="T20" s="10">
        <f t="shared" si="11"/>
        <v>36.652729999999998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310999.99999999284</v>
      </c>
      <c r="Y20" s="8">
        <f t="shared" si="14"/>
        <v>0.31099999999999284</v>
      </c>
      <c r="Z20" s="10">
        <f t="shared" si="15"/>
        <v>0.95476999999997791</v>
      </c>
      <c r="AA20" s="15"/>
      <c r="AB20" s="7">
        <f t="shared" si="16"/>
        <v>11628000.000000007</v>
      </c>
      <c r="AC20" s="8">
        <f t="shared" si="16"/>
        <v>11.628000000000007</v>
      </c>
      <c r="AD20" s="8">
        <f t="shared" si="16"/>
        <v>35.697960000000023</v>
      </c>
    </row>
    <row r="21" spans="1:30" x14ac:dyDescent="0.15">
      <c r="A21" s="28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7">
        <f>'[3]Jan Prod'!F20</f>
        <v>0</v>
      </c>
      <c r="I21" s="8">
        <f t="shared" si="4"/>
        <v>0</v>
      </c>
      <c r="J21" s="10">
        <f t="shared" si="5"/>
        <v>0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11649999.999999991</v>
      </c>
      <c r="P21" s="8">
        <f t="shared" si="8"/>
        <v>11.649999999999991</v>
      </c>
      <c r="Q21" s="10">
        <f t="shared" si="9"/>
        <v>35.765499999999975</v>
      </c>
      <c r="R21" s="7">
        <f>'[3]Jan Prod'!C20</f>
        <v>12000000</v>
      </c>
      <c r="S21" s="8">
        <f t="shared" si="10"/>
        <v>12</v>
      </c>
      <c r="T21" s="10">
        <f t="shared" si="11"/>
        <v>36.839999999999996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350000.0000000085</v>
      </c>
      <c r="Y21" s="8">
        <f t="shared" si="14"/>
        <v>0.35000000000000847</v>
      </c>
      <c r="Z21" s="10">
        <f t="shared" si="15"/>
        <v>1.074500000000026</v>
      </c>
      <c r="AA21" s="15"/>
      <c r="AB21" s="7">
        <f t="shared" si="16"/>
        <v>11649999.999999991</v>
      </c>
      <c r="AC21" s="8">
        <f t="shared" si="16"/>
        <v>11.649999999999991</v>
      </c>
      <c r="AD21" s="8">
        <f t="shared" si="16"/>
        <v>35.765499999999975</v>
      </c>
    </row>
    <row r="22" spans="1:30" x14ac:dyDescent="0.15">
      <c r="A22" s="28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7">
        <f>'[3]Jan Prod'!F21</f>
        <v>0</v>
      </c>
      <c r="I22" s="8">
        <f t="shared" si="4"/>
        <v>0</v>
      </c>
      <c r="J22" s="10">
        <f t="shared" si="5"/>
        <v>0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1"/>
      <c r="O22" s="7">
        <f>'[3]Jan Prod'!H21</f>
        <v>11713000</v>
      </c>
      <c r="P22" s="8">
        <f t="shared" si="8"/>
        <v>11.712999999999999</v>
      </c>
      <c r="Q22" s="10">
        <f t="shared" si="9"/>
        <v>35.958909999999996</v>
      </c>
      <c r="R22" s="7">
        <f>'[3]Jan Prod'!C21</f>
        <v>12106000</v>
      </c>
      <c r="S22" s="8">
        <f t="shared" si="10"/>
        <v>12.106</v>
      </c>
      <c r="T22" s="10">
        <f t="shared" si="11"/>
        <v>37.165419999999997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393000.0000000007</v>
      </c>
      <c r="Y22" s="8">
        <f t="shared" si="14"/>
        <v>0.39300000000000068</v>
      </c>
      <c r="Z22" s="10">
        <f t="shared" si="15"/>
        <v>1.206510000000002</v>
      </c>
      <c r="AA22" s="15"/>
      <c r="AB22" s="7">
        <f t="shared" si="16"/>
        <v>11713000</v>
      </c>
      <c r="AC22" s="8">
        <f t="shared" si="16"/>
        <v>11.712999999999999</v>
      </c>
      <c r="AD22" s="8">
        <f t="shared" si="16"/>
        <v>35.958909999999996</v>
      </c>
    </row>
    <row r="23" spans="1:30" x14ac:dyDescent="0.15">
      <c r="A23" s="28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7">
        <f>'[3]Jan Prod'!F22</f>
        <v>1000000</v>
      </c>
      <c r="I23" s="8">
        <f t="shared" si="4"/>
        <v>1</v>
      </c>
      <c r="J23" s="10">
        <f t="shared" si="5"/>
        <v>3.07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1"/>
      <c r="O23" s="7">
        <f>'[3]Jan Prod'!H22</f>
        <v>11879000.000000004</v>
      </c>
      <c r="P23" s="8">
        <f t="shared" si="8"/>
        <v>11.879000000000003</v>
      </c>
      <c r="Q23" s="10">
        <f t="shared" si="9"/>
        <v>36.468530000000008</v>
      </c>
      <c r="R23" s="7">
        <f>'[3]Jan Prod'!C22</f>
        <v>12137000</v>
      </c>
      <c r="S23" s="8">
        <f t="shared" si="10"/>
        <v>12.137</v>
      </c>
      <c r="T23" s="10">
        <f t="shared" si="11"/>
        <v>37.260590000000001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257999.99999999558</v>
      </c>
      <c r="Y23" s="8">
        <f t="shared" si="14"/>
        <v>0.25799999999999557</v>
      </c>
      <c r="Z23" s="10">
        <f t="shared" si="15"/>
        <v>0.79205999999998633</v>
      </c>
      <c r="AA23" s="15"/>
      <c r="AB23" s="7">
        <f t="shared" si="16"/>
        <v>11879000.000000004</v>
      </c>
      <c r="AC23" s="8">
        <f t="shared" si="16"/>
        <v>11.879000000000003</v>
      </c>
      <c r="AD23" s="8">
        <f t="shared" si="16"/>
        <v>36.468530000000008</v>
      </c>
    </row>
    <row r="24" spans="1:30" x14ac:dyDescent="0.15">
      <c r="A24" s="28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7">
        <f>'[3]Jan Prod'!F23</f>
        <v>0</v>
      </c>
      <c r="I24" s="8">
        <f t="shared" si="4"/>
        <v>0</v>
      </c>
      <c r="J24" s="10">
        <f t="shared" si="5"/>
        <v>0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1"/>
      <c r="O24" s="7">
        <f>'[3]Jan Prod'!H23</f>
        <v>11022000.000000007</v>
      </c>
      <c r="P24" s="8">
        <f t="shared" si="8"/>
        <v>11.022000000000007</v>
      </c>
      <c r="Q24" s="10">
        <f t="shared" si="9"/>
        <v>33.837540000000018</v>
      </c>
      <c r="R24" s="7">
        <f>'[3]Jan Prod'!C23</f>
        <v>11306000</v>
      </c>
      <c r="S24" s="8">
        <f t="shared" si="10"/>
        <v>11.305999999999999</v>
      </c>
      <c r="T24" s="10">
        <f t="shared" si="11"/>
        <v>34.709419999999994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283999.99999999179</v>
      </c>
      <c r="Y24" s="8">
        <f t="shared" si="14"/>
        <v>0.28399999999999181</v>
      </c>
      <c r="Z24" s="10">
        <f t="shared" si="15"/>
        <v>0.87187999999997479</v>
      </c>
      <c r="AA24" s="15"/>
      <c r="AB24" s="7">
        <f t="shared" si="16"/>
        <v>11022000.000000007</v>
      </c>
      <c r="AC24" s="8">
        <f t="shared" si="16"/>
        <v>11.022000000000007</v>
      </c>
      <c r="AD24" s="8">
        <f>D24+Q24</f>
        <v>33.837540000000018</v>
      </c>
    </row>
    <row r="25" spans="1:30" x14ac:dyDescent="0.15">
      <c r="A25" s="28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7">
        <f>'[3]Jan Prod'!F24</f>
        <v>0</v>
      </c>
      <c r="I25" s="8">
        <f t="shared" si="4"/>
        <v>0</v>
      </c>
      <c r="J25" s="10">
        <f t="shared" si="5"/>
        <v>0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1"/>
      <c r="O25" s="7">
        <f>'[3]Jan Prod'!H24</f>
        <v>11609999.999999996</v>
      </c>
      <c r="P25" s="8">
        <f t="shared" si="8"/>
        <v>11.609999999999996</v>
      </c>
      <c r="Q25" s="10">
        <f t="shared" si="9"/>
        <v>35.642699999999984</v>
      </c>
      <c r="R25" s="7">
        <f>'[3]Jan Prod'!C24</f>
        <v>11941000</v>
      </c>
      <c r="S25" s="8">
        <f t="shared" si="10"/>
        <v>11.941000000000001</v>
      </c>
      <c r="T25" s="10">
        <f t="shared" si="11"/>
        <v>36.65887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331000.00000000309</v>
      </c>
      <c r="Y25" s="8">
        <f t="shared" si="14"/>
        <v>0.33100000000000307</v>
      </c>
      <c r="Z25" s="10">
        <f t="shared" si="15"/>
        <v>1.0161700000000093</v>
      </c>
      <c r="AA25" s="15"/>
      <c r="AB25" s="7">
        <f t="shared" si="16"/>
        <v>11609999.999999996</v>
      </c>
      <c r="AC25" s="8">
        <f t="shared" si="16"/>
        <v>11.609999999999996</v>
      </c>
      <c r="AD25" s="8">
        <f t="shared" si="16"/>
        <v>35.642699999999984</v>
      </c>
    </row>
    <row r="26" spans="1:30" x14ac:dyDescent="0.15">
      <c r="A26" s="28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7">
        <f>'[3]Jan Prod'!F25</f>
        <v>0</v>
      </c>
      <c r="I26" s="8">
        <f t="shared" si="4"/>
        <v>0</v>
      </c>
      <c r="J26" s="10">
        <f t="shared" si="5"/>
        <v>0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1"/>
      <c r="O26" s="7">
        <f>'[3]Jan Prod'!H25</f>
        <v>11614999.999999991</v>
      </c>
      <c r="P26" s="8">
        <f t="shared" si="8"/>
        <v>11.614999999999991</v>
      </c>
      <c r="Q26" s="10">
        <f t="shared" si="9"/>
        <v>35.658049999999974</v>
      </c>
      <c r="R26" s="7">
        <f>'[3]Jan Prod'!C25</f>
        <v>11962000</v>
      </c>
      <c r="S26" s="8">
        <f t="shared" si="10"/>
        <v>11.962</v>
      </c>
      <c r="T26" s="10">
        <f t="shared" si="11"/>
        <v>36.72334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347000.00000000844</v>
      </c>
      <c r="Y26" s="8">
        <f t="shared" si="14"/>
        <v>0.34700000000000841</v>
      </c>
      <c r="Z26" s="10">
        <f t="shared" si="15"/>
        <v>1.0652900000000258</v>
      </c>
      <c r="AA26" s="15"/>
      <c r="AB26" s="7">
        <f t="shared" si="16"/>
        <v>11614999.999999991</v>
      </c>
      <c r="AC26" s="8">
        <f t="shared" si="16"/>
        <v>11.614999999999991</v>
      </c>
      <c r="AD26" s="8">
        <f t="shared" si="16"/>
        <v>35.658049999999974</v>
      </c>
    </row>
    <row r="27" spans="1:30" x14ac:dyDescent="0.15">
      <c r="A27" s="28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7">
        <f>'[3]Jan Prod'!F26</f>
        <v>1000000</v>
      </c>
      <c r="I27" s="8">
        <f t="shared" si="4"/>
        <v>1</v>
      </c>
      <c r="J27" s="10">
        <f t="shared" si="5"/>
        <v>3.07</v>
      </c>
      <c r="K27" s="7">
        <f>'[3]Jan Prod'!H281</f>
        <v>0</v>
      </c>
      <c r="L27" s="8">
        <f t="shared" si="6"/>
        <v>0</v>
      </c>
      <c r="M27" s="10">
        <f t="shared" si="7"/>
        <v>0</v>
      </c>
      <c r="N27" s="21"/>
      <c r="O27" s="7">
        <f>'[3]Jan Prod'!H26</f>
        <v>12228000.000000006</v>
      </c>
      <c r="P27" s="8">
        <f t="shared" si="8"/>
        <v>12.228000000000005</v>
      </c>
      <c r="Q27" s="10">
        <f t="shared" si="9"/>
        <v>37.539960000000015</v>
      </c>
      <c r="R27" s="7">
        <f>'[3]Jan Prod'!C26</f>
        <v>12578000</v>
      </c>
      <c r="S27" s="8">
        <f t="shared" si="10"/>
        <v>12.577999999999999</v>
      </c>
      <c r="T27" s="10">
        <f t="shared" si="11"/>
        <v>38.614459999999994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349999.9999999943</v>
      </c>
      <c r="Y27" s="8">
        <f t="shared" si="14"/>
        <v>0.34999999999999432</v>
      </c>
      <c r="Z27" s="10">
        <f t="shared" si="15"/>
        <v>1.0744999999999825</v>
      </c>
      <c r="AA27" s="15"/>
      <c r="AB27" s="7">
        <f t="shared" si="16"/>
        <v>12228000.000000006</v>
      </c>
      <c r="AC27" s="8">
        <f t="shared" si="16"/>
        <v>12.228000000000005</v>
      </c>
      <c r="AD27" s="8">
        <f t="shared" si="16"/>
        <v>37.539960000000015</v>
      </c>
    </row>
    <row r="28" spans="1:30" x14ac:dyDescent="0.15">
      <c r="A28" s="28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7">
        <f>'[3]Jan Prod'!F27</f>
        <v>0</v>
      </c>
      <c r="I28" s="8">
        <f t="shared" si="4"/>
        <v>0</v>
      </c>
      <c r="J28" s="10">
        <f t="shared" si="5"/>
        <v>0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1"/>
      <c r="O28" s="7">
        <f>'[3]Jan Prod'!H27</f>
        <v>12237000.000000002</v>
      </c>
      <c r="P28" s="8">
        <f t="shared" si="8"/>
        <v>12.237000000000002</v>
      </c>
      <c r="Q28" s="10">
        <f t="shared" si="9"/>
        <v>37.567590000000003</v>
      </c>
      <c r="R28" s="7">
        <f>'[3]Jan Prod'!C27</f>
        <v>12585000</v>
      </c>
      <c r="S28" s="8">
        <f t="shared" si="10"/>
        <v>12.585000000000001</v>
      </c>
      <c r="T28" s="10">
        <f t="shared" si="11"/>
        <v>38.635950000000001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347999.99999999895</v>
      </c>
      <c r="Y28" s="8">
        <f t="shared" si="14"/>
        <v>0.34799999999999898</v>
      </c>
      <c r="Z28" s="10">
        <f t="shared" si="15"/>
        <v>1.0683599999999969</v>
      </c>
      <c r="AA28" s="15"/>
      <c r="AB28" s="7">
        <f t="shared" si="16"/>
        <v>12237000.000000002</v>
      </c>
      <c r="AC28" s="8">
        <f t="shared" si="16"/>
        <v>12.237000000000002</v>
      </c>
      <c r="AD28" s="8">
        <f t="shared" si="16"/>
        <v>37.567590000000003</v>
      </c>
    </row>
    <row r="29" spans="1:30" x14ac:dyDescent="0.15">
      <c r="A29" s="28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7">
        <f>'[3]Jan Prod'!F28</f>
        <v>0</v>
      </c>
      <c r="I29" s="8">
        <f t="shared" si="4"/>
        <v>0</v>
      </c>
      <c r="J29" s="10">
        <f t="shared" si="5"/>
        <v>0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1"/>
      <c r="O29" s="7">
        <f>'[3]Jan Prod'!H28</f>
        <v>11954999.999999996</v>
      </c>
      <c r="P29" s="8">
        <f t="shared" si="8"/>
        <v>11.954999999999997</v>
      </c>
      <c r="Q29" s="10">
        <f t="shared" si="9"/>
        <v>36.701849999999986</v>
      </c>
      <c r="R29" s="7">
        <f>'[3]Jan Prod'!C28</f>
        <v>12304000</v>
      </c>
      <c r="S29" s="8">
        <f t="shared" si="10"/>
        <v>12.304</v>
      </c>
      <c r="T29" s="10">
        <f t="shared" si="11"/>
        <v>37.77328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349000.00000000373</v>
      </c>
      <c r="Y29" s="8">
        <f t="shared" si="14"/>
        <v>0.34900000000000375</v>
      </c>
      <c r="Z29" s="10">
        <f t="shared" si="15"/>
        <v>1.0714300000000114</v>
      </c>
      <c r="AA29" s="15"/>
      <c r="AB29" s="7">
        <f t="shared" si="16"/>
        <v>11954999.999999996</v>
      </c>
      <c r="AC29" s="8">
        <f t="shared" si="16"/>
        <v>11.954999999999997</v>
      </c>
      <c r="AD29" s="8">
        <f t="shared" si="16"/>
        <v>36.701849999999986</v>
      </c>
    </row>
    <row r="30" spans="1:30" x14ac:dyDescent="0.15">
      <c r="A30" s="28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7">
        <f>'[3]Jan Prod'!F29</f>
        <v>35000000</v>
      </c>
      <c r="I30" s="8">
        <f t="shared" si="4"/>
        <v>35</v>
      </c>
      <c r="J30" s="10">
        <f t="shared" si="5"/>
        <v>107.44999999999999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1"/>
      <c r="O30" s="7">
        <f>'[3]Jan Prod'!H29</f>
        <v>12228999.999999996</v>
      </c>
      <c r="P30" s="8">
        <f t="shared" si="8"/>
        <v>12.228999999999996</v>
      </c>
      <c r="Q30" s="10">
        <f t="shared" si="9"/>
        <v>37.543029999999987</v>
      </c>
      <c r="R30" s="7">
        <f>'[3]Jan Prod'!C29</f>
        <v>12575000</v>
      </c>
      <c r="S30" s="8">
        <f t="shared" si="10"/>
        <v>12.574999999999999</v>
      </c>
      <c r="T30" s="10">
        <f t="shared" si="11"/>
        <v>38.605249999999998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346000.00000000361</v>
      </c>
      <c r="Y30" s="8">
        <f t="shared" si="14"/>
        <v>0.34600000000000358</v>
      </c>
      <c r="Z30" s="10">
        <f t="shared" si="15"/>
        <v>1.062220000000011</v>
      </c>
      <c r="AA30" s="15"/>
      <c r="AB30" s="7">
        <f t="shared" si="16"/>
        <v>12228999.999999996</v>
      </c>
      <c r="AC30" s="8">
        <f t="shared" si="16"/>
        <v>12.228999999999996</v>
      </c>
      <c r="AD30" s="8">
        <f>D30+Q30</f>
        <v>37.543029999999987</v>
      </c>
    </row>
    <row r="31" spans="1:30" x14ac:dyDescent="0.15">
      <c r="A31" s="28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7">
        <f>'[3]Jan Prod'!F30</f>
        <v>0</v>
      </c>
      <c r="I31" s="8">
        <f t="shared" si="4"/>
        <v>0</v>
      </c>
      <c r="J31" s="10">
        <f t="shared" si="5"/>
        <v>0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1"/>
      <c r="O31" s="7">
        <f>'[3]Jan Prod'!H30</f>
        <v>11754000.000000002</v>
      </c>
      <c r="P31" s="8">
        <f t="shared" si="8"/>
        <v>11.754000000000001</v>
      </c>
      <c r="Q31" s="10">
        <f t="shared" si="9"/>
        <v>36.084780000000002</v>
      </c>
      <c r="R31" s="7">
        <f>'[3]Jan Prod'!C30</f>
        <v>12096000</v>
      </c>
      <c r="S31" s="8">
        <f t="shared" si="10"/>
        <v>12.096</v>
      </c>
      <c r="T31" s="10">
        <f t="shared" si="11"/>
        <v>37.134720000000002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341999.99999999878</v>
      </c>
      <c r="Y31" s="8">
        <f t="shared" si="14"/>
        <v>0.3419999999999988</v>
      </c>
      <c r="Z31" s="10">
        <f t="shared" si="15"/>
        <v>1.0499399999999963</v>
      </c>
      <c r="AA31" s="15"/>
      <c r="AB31" s="7">
        <f t="shared" si="16"/>
        <v>11754000.000000002</v>
      </c>
      <c r="AC31" s="8">
        <f t="shared" si="16"/>
        <v>11.754000000000001</v>
      </c>
      <c r="AD31" s="8">
        <f t="shared" si="16"/>
        <v>36.084780000000002</v>
      </c>
    </row>
    <row r="32" spans="1:30" x14ac:dyDescent="0.15">
      <c r="A32" s="28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155767</v>
      </c>
      <c r="L32" s="8">
        <f t="shared" si="6"/>
        <v>0.15576699999999999</v>
      </c>
      <c r="M32" s="10">
        <f t="shared" si="7"/>
        <v>0.47820468999999993</v>
      </c>
      <c r="N32" s="21"/>
      <c r="O32" s="7">
        <f>'[3]Jan Prod'!H31</f>
        <v>11702000.000000007</v>
      </c>
      <c r="P32" s="8">
        <f t="shared" si="8"/>
        <v>11.702000000000007</v>
      </c>
      <c r="Q32" s="10">
        <f t="shared" si="9"/>
        <v>35.92514000000002</v>
      </c>
      <c r="R32" s="7">
        <f>'[3]Jan Prod'!C31</f>
        <v>11992000</v>
      </c>
      <c r="S32" s="8">
        <f t="shared" si="10"/>
        <v>11.992000000000001</v>
      </c>
      <c r="T32" s="10">
        <f t="shared" si="11"/>
        <v>36.815440000000002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289999.99999999203</v>
      </c>
      <c r="Y32" s="8">
        <f t="shared" si="14"/>
        <v>0.28999999999999204</v>
      </c>
      <c r="Z32" s="10">
        <f t="shared" si="15"/>
        <v>0.89029999999997556</v>
      </c>
      <c r="AA32" s="15"/>
      <c r="AB32" s="7">
        <f t="shared" si="16"/>
        <v>11702000.000000007</v>
      </c>
      <c r="AC32" s="8">
        <f t="shared" si="16"/>
        <v>11.702000000000007</v>
      </c>
      <c r="AD32" s="8">
        <f t="shared" si="16"/>
        <v>35.92514000000002</v>
      </c>
    </row>
    <row r="33" spans="1:30" x14ac:dyDescent="0.15">
      <c r="A33" s="28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-155767</v>
      </c>
      <c r="L33" s="8">
        <f t="shared" si="6"/>
        <v>-0.15576699999999999</v>
      </c>
      <c r="M33" s="10">
        <f t="shared" si="7"/>
        <v>-0.47820468999999993</v>
      </c>
      <c r="N33" s="21"/>
      <c r="O33" s="7">
        <f>'[3]Jan Prod'!H32</f>
        <v>11679999.999999996</v>
      </c>
      <c r="P33" s="8">
        <f t="shared" si="8"/>
        <v>11.679999999999996</v>
      </c>
      <c r="Q33" s="10">
        <f t="shared" si="9"/>
        <v>35.857599999999984</v>
      </c>
      <c r="R33" s="7">
        <f>'[3]Jan Prod'!C32</f>
        <v>12026000</v>
      </c>
      <c r="S33" s="8">
        <f t="shared" si="10"/>
        <v>12.026</v>
      </c>
      <c r="T33" s="10">
        <f t="shared" si="11"/>
        <v>36.919819999999994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346000.00000000361</v>
      </c>
      <c r="Y33" s="8">
        <f t="shared" si="14"/>
        <v>0.34600000000000358</v>
      </c>
      <c r="Z33" s="10">
        <f t="shared" si="15"/>
        <v>1.062220000000011</v>
      </c>
      <c r="AA33" s="15"/>
      <c r="AB33" s="7">
        <f t="shared" si="16"/>
        <v>11679999.999999996</v>
      </c>
      <c r="AC33" s="8">
        <f t="shared" si="16"/>
        <v>11.679999999999996</v>
      </c>
      <c r="AD33" s="8">
        <f t="shared" si="16"/>
        <v>35.857599999999984</v>
      </c>
    </row>
    <row r="34" spans="1:30" x14ac:dyDescent="0.15">
      <c r="A34" s="28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7">
        <f>'[3]Jan Prod'!E33</f>
        <v>0</v>
      </c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1"/>
      <c r="O34" s="7">
        <f>'[3]Jan Prod'!H33</f>
        <v>11750999.999999993</v>
      </c>
      <c r="P34" s="8">
        <f t="shared" si="8"/>
        <v>11.750999999999992</v>
      </c>
      <c r="Q34" s="10">
        <f t="shared" si="9"/>
        <v>36.075569999999978</v>
      </c>
      <c r="R34" s="7">
        <f>'[3]Jan Prod'!C33</f>
        <v>12044000</v>
      </c>
      <c r="S34" s="8">
        <f t="shared" si="10"/>
        <v>12.044</v>
      </c>
      <c r="T34" s="10">
        <f t="shared" si="11"/>
        <v>36.975079999999998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293000.00000000634</v>
      </c>
      <c r="Y34" s="8">
        <f t="shared" si="14"/>
        <v>0.29300000000000637</v>
      </c>
      <c r="Z34" s="10">
        <f t="shared" si="15"/>
        <v>0.89951000000001946</v>
      </c>
      <c r="AA34" s="15"/>
      <c r="AB34" s="7">
        <f t="shared" si="16"/>
        <v>11750999.999999993</v>
      </c>
      <c r="AC34" s="8">
        <f t="shared" si="16"/>
        <v>11.750999999999992</v>
      </c>
      <c r="AD34" s="8">
        <f t="shared" si="16"/>
        <v>36.075569999999978</v>
      </c>
    </row>
    <row r="35" spans="1:30" ht="14" thickBot="1" x14ac:dyDescent="0.2">
      <c r="A35" s="28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0</v>
      </c>
      <c r="F35" s="8">
        <f t="shared" si="2"/>
        <v>0</v>
      </c>
      <c r="G35" s="10">
        <f t="shared" si="3"/>
        <v>0</v>
      </c>
      <c r="H35" s="7">
        <f>'[3]Jan Prod'!F34</f>
        <v>19000000</v>
      </c>
      <c r="I35" s="8">
        <f t="shared" si="4"/>
        <v>19</v>
      </c>
      <c r="J35" s="10">
        <f t="shared" si="5"/>
        <v>58.33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1"/>
      <c r="O35" s="7">
        <f>'[3]Jan Prod'!H34</f>
        <v>11657000.000000011</v>
      </c>
      <c r="P35" s="8">
        <f t="shared" si="8"/>
        <v>11.657000000000011</v>
      </c>
      <c r="Q35" s="10">
        <f t="shared" si="9"/>
        <v>35.786990000000031</v>
      </c>
      <c r="R35" s="7">
        <f>'[3]Jan Prod'!C34</f>
        <v>12000000</v>
      </c>
      <c r="S35" s="8">
        <f t="shared" si="10"/>
        <v>12</v>
      </c>
      <c r="T35" s="10">
        <f t="shared" si="11"/>
        <v>36.839999999999996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342999.99999998929</v>
      </c>
      <c r="Y35" s="8">
        <f t="shared" si="14"/>
        <v>0.34299999999998931</v>
      </c>
      <c r="Z35" s="10">
        <f t="shared" si="15"/>
        <v>1.0530099999999671</v>
      </c>
      <c r="AA35" s="15"/>
      <c r="AB35" s="7">
        <f t="shared" si="16"/>
        <v>11657000.000000011</v>
      </c>
      <c r="AC35" s="8">
        <f t="shared" si="16"/>
        <v>11.657000000000011</v>
      </c>
      <c r="AD35" s="8">
        <f t="shared" si="16"/>
        <v>35.786990000000031</v>
      </c>
    </row>
    <row r="36" spans="1:30" s="18" customFormat="1" ht="14" thickBot="1" x14ac:dyDescent="0.2">
      <c r="A36" s="15"/>
      <c r="B36" s="39"/>
      <c r="C36" s="40">
        <f t="shared" ref="C36:W36" si="17">SUM(C5:C35)</f>
        <v>0</v>
      </c>
      <c r="D36" s="40">
        <f t="shared" si="17"/>
        <v>0</v>
      </c>
      <c r="E36" s="39"/>
      <c r="F36" s="40">
        <f t="shared" si="17"/>
        <v>0</v>
      </c>
      <c r="G36" s="40">
        <f t="shared" si="17"/>
        <v>0</v>
      </c>
      <c r="H36" s="39"/>
      <c r="I36" s="40">
        <f t="shared" si="17"/>
        <v>59</v>
      </c>
      <c r="J36" s="40">
        <f t="shared" si="17"/>
        <v>181.13</v>
      </c>
      <c r="K36" s="39"/>
      <c r="L36" s="40">
        <f>SUM(L5:L35)</f>
        <v>0</v>
      </c>
      <c r="M36" s="40">
        <f>SUM(M5:M35)</f>
        <v>0</v>
      </c>
      <c r="N36" s="14"/>
      <c r="O36" s="39"/>
      <c r="P36" s="40">
        <f t="shared" si="17"/>
        <v>363.47900000000004</v>
      </c>
      <c r="Q36" s="40">
        <f t="shared" si="17"/>
        <v>1115.8805299999999</v>
      </c>
      <c r="R36" s="39"/>
      <c r="S36" s="40">
        <f t="shared" si="17"/>
        <v>373.58799999999997</v>
      </c>
      <c r="T36" s="40">
        <f t="shared" si="17"/>
        <v>1146.91516</v>
      </c>
      <c r="U36" s="39"/>
      <c r="V36" s="40">
        <f t="shared" si="17"/>
        <v>0</v>
      </c>
      <c r="W36" s="40">
        <f t="shared" si="17"/>
        <v>0</v>
      </c>
      <c r="X36" s="39"/>
      <c r="Y36" s="40">
        <f>SUM(Y5:Y35)</f>
        <v>10.108999999999995</v>
      </c>
      <c r="Z36" s="40">
        <f>SUM(Z5:Z35)</f>
        <v>31.034629999999986</v>
      </c>
      <c r="AA36" s="14"/>
      <c r="AB36" s="39"/>
      <c r="AC36" s="40">
        <f>SUM(AC5:AC35)</f>
        <v>363.47900000000004</v>
      </c>
      <c r="AD36" s="40">
        <f>AC36*3.07</f>
        <v>1115.8805300000001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D37"/>
  <sheetViews>
    <sheetView tabSelected="1" workbookViewId="0">
      <pane xSplit="1" ySplit="4" topLeftCell="S5" activePane="bottomRight" state="frozen"/>
      <selection pane="topRight" activeCell="B1" sqref="B1"/>
      <selection pane="bottomLeft" activeCell="A5" sqref="A5"/>
      <selection pane="bottomRight" activeCell="AD34" sqref="AD34"/>
    </sheetView>
  </sheetViews>
  <sheetFormatPr baseColWidth="10" defaultColWidth="8.83203125" defaultRowHeight="13" x14ac:dyDescent="0.15"/>
  <cols>
    <col min="2" max="2" width="11.6640625" customWidth="1"/>
    <col min="5" max="5" width="11.5" customWidth="1"/>
    <col min="8" max="8" width="11.6640625" customWidth="1"/>
    <col min="11" max="11" width="14.83203125" bestFit="1" customWidth="1"/>
    <col min="12" max="12" width="11.5" customWidth="1"/>
    <col min="15" max="15" width="11.5" customWidth="1"/>
    <col min="18" max="18" width="11.5" customWidth="1"/>
    <col min="22" max="22" width="11" customWidth="1"/>
    <col min="24" max="24" width="13.6640625" customWidth="1"/>
    <col min="28" max="28" width="12.33203125" customWidth="1"/>
  </cols>
  <sheetData>
    <row r="1" spans="1:30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</row>
    <row r="4" spans="1:30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15">
      <c r="A5" s="28">
        <v>39479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1"/>
      <c r="O5" s="7">
        <f>'[4]Feb Prod'!H4</f>
        <v>11706999.999999996</v>
      </c>
      <c r="P5" s="8">
        <f>O5/1000000</f>
        <v>11.706999999999995</v>
      </c>
      <c r="Q5" s="10">
        <f>P5*3.07</f>
        <v>35.940489999999983</v>
      </c>
      <c r="R5" s="7">
        <f>'[4]Feb Prod'!C4</f>
        <v>12053000</v>
      </c>
      <c r="S5" s="8">
        <f>R5/1000000</f>
        <v>12.053000000000001</v>
      </c>
      <c r="T5" s="10">
        <f>S5*3.07</f>
        <v>37.00271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346000.00000000361</v>
      </c>
      <c r="Y5" s="8">
        <f>X5/1000000</f>
        <v>0.34600000000000358</v>
      </c>
      <c r="Z5" s="10">
        <f>Y5*3.07</f>
        <v>1.062220000000011</v>
      </c>
      <c r="AA5" s="15"/>
      <c r="AB5" s="7">
        <f>B5+O5</f>
        <v>11706999.999999996</v>
      </c>
      <c r="AC5" s="8">
        <f>C5+P5</f>
        <v>11.706999999999995</v>
      </c>
      <c r="AD5" s="8">
        <f>D5+Q5</f>
        <v>35.940489999999983</v>
      </c>
    </row>
    <row r="6" spans="1:30" x14ac:dyDescent="0.15">
      <c r="A6" s="28">
        <v>39480</v>
      </c>
      <c r="B6" s="7">
        <f>'[4]Feb Prod'!I5</f>
        <v>0</v>
      </c>
      <c r="C6" s="8">
        <f t="shared" ref="C6:C33" si="0">B6/1000000</f>
        <v>0</v>
      </c>
      <c r="D6" s="10">
        <f t="shared" ref="D6:D33" si="1">C6*3.07</f>
        <v>0</v>
      </c>
      <c r="E6" s="7">
        <f>'[4]Feb Prod'!E5</f>
        <v>0</v>
      </c>
      <c r="F6" s="8">
        <f t="shared" ref="F6:F33" si="2">E6/1000000</f>
        <v>0</v>
      </c>
      <c r="G6" s="10">
        <f t="shared" ref="G6:G33" si="3">F6*3.07</f>
        <v>0</v>
      </c>
      <c r="H6" s="7">
        <f>'[4]Feb Prod'!F5</f>
        <v>0</v>
      </c>
      <c r="I6" s="8">
        <f t="shared" ref="I6:I33" si="4">H6/1000000</f>
        <v>0</v>
      </c>
      <c r="J6" s="10">
        <f t="shared" ref="J6:J33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3" si="7">L6*3.07</f>
        <v>0</v>
      </c>
      <c r="N6" s="21"/>
      <c r="O6" s="7">
        <f>'[4]Feb Prod'!H5</f>
        <v>11585000.000000004</v>
      </c>
      <c r="P6" s="8">
        <f t="shared" ref="P6:P33" si="8">O6/1000000</f>
        <v>11.585000000000004</v>
      </c>
      <c r="Q6" s="10">
        <f t="shared" ref="Q6:Q33" si="9">P6*3.07</f>
        <v>35.565950000000015</v>
      </c>
      <c r="R6" s="7">
        <f>'[4]Feb Prod'!C5</f>
        <v>11870000</v>
      </c>
      <c r="S6" s="8">
        <f t="shared" ref="S6:S33" si="10">R6/1000000</f>
        <v>11.87</v>
      </c>
      <c r="T6" s="10">
        <f t="shared" ref="T6:T33" si="11">S6*3.07</f>
        <v>36.440899999999999</v>
      </c>
      <c r="U6" s="7">
        <f>'[4]Feb Prod'!D5</f>
        <v>0</v>
      </c>
      <c r="V6" s="8">
        <f t="shared" ref="V6:V33" si="12">U6/1000000</f>
        <v>0</v>
      </c>
      <c r="W6" s="10">
        <f t="shared" ref="W6:W33" si="13">V6*3.07</f>
        <v>0</v>
      </c>
      <c r="X6" s="7">
        <f>'[4]Feb Prod'!D246</f>
        <v>284999.99999999657</v>
      </c>
      <c r="Y6" s="8">
        <f t="shared" ref="Y6:Y33" si="14">X6/1000000</f>
        <v>0.28499999999999659</v>
      </c>
      <c r="Z6" s="10">
        <f t="shared" ref="Z6:Z33" si="15">Y6*3.07</f>
        <v>0.87494999999998946</v>
      </c>
      <c r="AA6" s="15"/>
      <c r="AB6" s="7">
        <f t="shared" ref="AB6:AD34" si="16">B6+O6</f>
        <v>11585000.000000004</v>
      </c>
      <c r="AC6" s="8">
        <f t="shared" si="16"/>
        <v>11.585000000000004</v>
      </c>
      <c r="AD6" s="8">
        <f t="shared" si="16"/>
        <v>35.565950000000015</v>
      </c>
    </row>
    <row r="7" spans="1:30" x14ac:dyDescent="0.15">
      <c r="A7" s="28">
        <v>39481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0</v>
      </c>
      <c r="L7" s="8">
        <f t="shared" si="6"/>
        <v>0</v>
      </c>
      <c r="M7" s="10">
        <f t="shared" si="7"/>
        <v>0</v>
      </c>
      <c r="N7" s="21"/>
      <c r="O7" s="7">
        <f>'[4]Feb Prod'!H6</f>
        <v>12062999.999999993</v>
      </c>
      <c r="P7" s="8">
        <f t="shared" si="8"/>
        <v>12.062999999999992</v>
      </c>
      <c r="Q7" s="10">
        <f t="shared" si="9"/>
        <v>37.033409999999975</v>
      </c>
      <c r="R7" s="7">
        <f>'[4]Feb Prod'!C6</f>
        <v>12401000</v>
      </c>
      <c r="S7" s="8">
        <f t="shared" si="10"/>
        <v>12.401</v>
      </c>
      <c r="T7" s="10">
        <f t="shared" si="11"/>
        <v>38.071069999999999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338000.00000000809</v>
      </c>
      <c r="Y7" s="8">
        <f t="shared" si="14"/>
        <v>0.33800000000000807</v>
      </c>
      <c r="Z7" s="10">
        <f t="shared" si="15"/>
        <v>1.0376600000000247</v>
      </c>
      <c r="AA7" s="15"/>
      <c r="AB7" s="7">
        <f t="shared" si="16"/>
        <v>12062999.999999993</v>
      </c>
      <c r="AC7" s="8">
        <f t="shared" si="16"/>
        <v>12.062999999999992</v>
      </c>
      <c r="AD7" s="8">
        <f t="shared" si="16"/>
        <v>37.033409999999975</v>
      </c>
    </row>
    <row r="8" spans="1:30" x14ac:dyDescent="0.15">
      <c r="A8" s="28">
        <v>39482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1"/>
      <c r="O8" s="7">
        <f>'[4]Feb Prod'!H7</f>
        <v>12183999.999999996</v>
      </c>
      <c r="P8" s="8">
        <f t="shared" si="8"/>
        <v>12.183999999999996</v>
      </c>
      <c r="Q8" s="10">
        <f t="shared" si="9"/>
        <v>37.404879999999984</v>
      </c>
      <c r="R8" s="7">
        <f>'[4]Feb Prod'!C7</f>
        <v>12515000</v>
      </c>
      <c r="S8" s="8">
        <f t="shared" si="10"/>
        <v>12.515000000000001</v>
      </c>
      <c r="T8" s="10">
        <f t="shared" si="11"/>
        <v>38.421050000000001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331000.00000000309</v>
      </c>
      <c r="Y8" s="8">
        <f t="shared" si="14"/>
        <v>0.33100000000000307</v>
      </c>
      <c r="Z8" s="10">
        <f t="shared" si="15"/>
        <v>1.0161700000000093</v>
      </c>
      <c r="AA8" s="15"/>
      <c r="AB8" s="7">
        <f t="shared" si="16"/>
        <v>12183999.999999996</v>
      </c>
      <c r="AC8" s="8">
        <f t="shared" si="16"/>
        <v>12.183999999999996</v>
      </c>
      <c r="AD8" s="8">
        <f>D8+Q8</f>
        <v>37.404879999999984</v>
      </c>
    </row>
    <row r="9" spans="1:30" x14ac:dyDescent="0.15">
      <c r="A9" s="28">
        <v>39483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1"/>
      <c r="O9" s="7">
        <f>'[4]Feb Prod'!H8</f>
        <v>12218000.000000007</v>
      </c>
      <c r="P9" s="8">
        <f t="shared" si="8"/>
        <v>12.218000000000007</v>
      </c>
      <c r="Q9" s="10">
        <f t="shared" si="9"/>
        <v>37.509260000000019</v>
      </c>
      <c r="R9" s="7">
        <f>'[4]Feb Prod'!C8</f>
        <v>12508000</v>
      </c>
      <c r="S9" s="8">
        <f t="shared" si="10"/>
        <v>12.507999999999999</v>
      </c>
      <c r="T9" s="10">
        <f t="shared" si="11"/>
        <v>38.399559999999994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289999.99999999203</v>
      </c>
      <c r="Y9" s="8">
        <f t="shared" si="14"/>
        <v>0.28999999999999204</v>
      </c>
      <c r="Z9" s="10">
        <f t="shared" si="15"/>
        <v>0.89029999999997556</v>
      </c>
      <c r="AA9" s="15"/>
      <c r="AB9" s="7">
        <f t="shared" si="16"/>
        <v>12218000.000000007</v>
      </c>
      <c r="AC9" s="8">
        <f t="shared" si="16"/>
        <v>12.218000000000007</v>
      </c>
      <c r="AD9" s="8">
        <f t="shared" si="16"/>
        <v>37.509260000000019</v>
      </c>
    </row>
    <row r="10" spans="1:30" x14ac:dyDescent="0.15">
      <c r="A10" s="28">
        <v>39484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0</v>
      </c>
      <c r="L10" s="8">
        <f t="shared" si="6"/>
        <v>0</v>
      </c>
      <c r="M10" s="10">
        <f t="shared" si="7"/>
        <v>0</v>
      </c>
      <c r="N10" s="21"/>
      <c r="O10" s="7">
        <f>'[4]Feb Prod'!H9</f>
        <v>11780999.999999996</v>
      </c>
      <c r="P10" s="8">
        <f t="shared" si="8"/>
        <v>11.780999999999997</v>
      </c>
      <c r="Q10" s="10">
        <f t="shared" si="9"/>
        <v>36.167669999999987</v>
      </c>
      <c r="R10" s="7">
        <f>'[4]Feb Prod'!C9</f>
        <v>12124000</v>
      </c>
      <c r="S10" s="8">
        <f t="shared" si="10"/>
        <v>12.124000000000001</v>
      </c>
      <c r="T10" s="10">
        <f t="shared" si="11"/>
        <v>37.220680000000002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343000.00000000355</v>
      </c>
      <c r="Y10" s="8">
        <f t="shared" si="14"/>
        <v>0.34300000000000352</v>
      </c>
      <c r="Z10" s="10">
        <f t="shared" si="15"/>
        <v>1.0530100000000107</v>
      </c>
      <c r="AA10" s="15"/>
      <c r="AB10" s="7">
        <f t="shared" si="16"/>
        <v>11780999.999999996</v>
      </c>
      <c r="AC10" s="8">
        <f t="shared" si="16"/>
        <v>11.780999999999997</v>
      </c>
      <c r="AD10" s="8">
        <f t="shared" si="16"/>
        <v>36.167669999999987</v>
      </c>
    </row>
    <row r="11" spans="1:30" x14ac:dyDescent="0.15">
      <c r="A11" s="28">
        <v>39485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1"/>
      <c r="O11" s="7">
        <f>'[4]Feb Prod'!H10</f>
        <v>11971000.000000009</v>
      </c>
      <c r="P11" s="8">
        <f t="shared" si="8"/>
        <v>11.971000000000009</v>
      </c>
      <c r="Q11" s="10">
        <f t="shared" si="9"/>
        <v>36.750970000000024</v>
      </c>
      <c r="R11" s="7">
        <f>'[4]Feb Prod'!C10</f>
        <v>12252000</v>
      </c>
      <c r="S11" s="8">
        <f t="shared" si="10"/>
        <v>12.252000000000001</v>
      </c>
      <c r="T11" s="10">
        <f t="shared" si="11"/>
        <v>37.613639999999997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280999.99999999168</v>
      </c>
      <c r="Y11" s="8">
        <f t="shared" si="14"/>
        <v>0.2809999999999917</v>
      </c>
      <c r="Z11" s="10">
        <f t="shared" si="15"/>
        <v>0.86266999999997451</v>
      </c>
      <c r="AA11" s="15"/>
      <c r="AB11" s="7">
        <f t="shared" si="16"/>
        <v>11971000.000000009</v>
      </c>
      <c r="AC11" s="8">
        <f t="shared" si="16"/>
        <v>11.971000000000009</v>
      </c>
      <c r="AD11" s="8">
        <f t="shared" si="16"/>
        <v>36.750970000000024</v>
      </c>
    </row>
    <row r="12" spans="1:30" x14ac:dyDescent="0.15">
      <c r="A12" s="28">
        <v>39486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1"/>
      <c r="O12" s="7">
        <f>'[4]Feb Prod'!H11</f>
        <v>11521999.999999998</v>
      </c>
      <c r="P12" s="8">
        <f t="shared" si="8"/>
        <v>11.521999999999998</v>
      </c>
      <c r="Q12" s="10">
        <f t="shared" si="9"/>
        <v>35.372539999999994</v>
      </c>
      <c r="R12" s="7">
        <f>'[4]Feb Prod'!C11</f>
        <v>11805000</v>
      </c>
      <c r="S12" s="8">
        <f t="shared" si="10"/>
        <v>11.805</v>
      </c>
      <c r="T12" s="10">
        <f t="shared" si="11"/>
        <v>36.241349999999997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283000.00000000122</v>
      </c>
      <c r="Y12" s="8">
        <f t="shared" si="14"/>
        <v>0.2830000000000012</v>
      </c>
      <c r="Z12" s="10">
        <f t="shared" si="15"/>
        <v>0.86881000000000363</v>
      </c>
      <c r="AA12" s="15"/>
      <c r="AB12" s="7">
        <f t="shared" si="16"/>
        <v>11521999.999999998</v>
      </c>
      <c r="AC12" s="8">
        <f t="shared" si="16"/>
        <v>11.521999999999998</v>
      </c>
      <c r="AD12" s="8">
        <f t="shared" si="16"/>
        <v>35.372539999999994</v>
      </c>
    </row>
    <row r="13" spans="1:30" x14ac:dyDescent="0.15">
      <c r="A13" s="28">
        <v>39487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0</v>
      </c>
      <c r="F13" s="8">
        <f t="shared" si="2"/>
        <v>0</v>
      </c>
      <c r="G13" s="10">
        <f t="shared" si="3"/>
        <v>0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1"/>
      <c r="O13" s="7">
        <f>'[4]Feb Prod'!H12</f>
        <v>11828000.000000002</v>
      </c>
      <c r="P13" s="8">
        <f t="shared" si="8"/>
        <v>11.828000000000001</v>
      </c>
      <c r="Q13" s="10">
        <f t="shared" si="9"/>
        <v>36.311959999999999</v>
      </c>
      <c r="R13" s="7">
        <f>'[4]Feb Prod'!C12</f>
        <v>12167000</v>
      </c>
      <c r="S13" s="8">
        <f t="shared" si="10"/>
        <v>12.167</v>
      </c>
      <c r="T13" s="10">
        <f t="shared" si="11"/>
        <v>37.352689999999996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338999.99999999866</v>
      </c>
      <c r="Y13" s="8">
        <f t="shared" si="14"/>
        <v>0.33899999999999864</v>
      </c>
      <c r="Z13" s="10">
        <f t="shared" si="15"/>
        <v>1.0407299999999957</v>
      </c>
      <c r="AA13" s="15"/>
      <c r="AB13" s="7">
        <f t="shared" si="16"/>
        <v>11828000.000000002</v>
      </c>
      <c r="AC13" s="8">
        <f t="shared" si="16"/>
        <v>11.828000000000001</v>
      </c>
      <c r="AD13" s="8">
        <f t="shared" si="16"/>
        <v>36.311959999999999</v>
      </c>
    </row>
    <row r="14" spans="1:30" x14ac:dyDescent="0.15">
      <c r="A14" s="28">
        <v>39488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0</v>
      </c>
      <c r="F14" s="8">
        <f t="shared" si="2"/>
        <v>0</v>
      </c>
      <c r="G14" s="10">
        <f t="shared" si="3"/>
        <v>0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1"/>
      <c r="O14" s="7">
        <f>'[4]Feb Prod'!H13</f>
        <v>11572999.999999994</v>
      </c>
      <c r="P14" s="8">
        <f t="shared" si="8"/>
        <v>11.572999999999995</v>
      </c>
      <c r="Q14" s="10">
        <f t="shared" si="9"/>
        <v>35.529109999999982</v>
      </c>
      <c r="R14" s="7">
        <f>'[4]Feb Prod'!C13</f>
        <v>11860000</v>
      </c>
      <c r="S14" s="8">
        <f t="shared" si="10"/>
        <v>11.86</v>
      </c>
      <c r="T14" s="10">
        <f t="shared" si="11"/>
        <v>36.410199999999996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287000.00000000611</v>
      </c>
      <c r="Y14" s="8">
        <f t="shared" si="14"/>
        <v>0.28700000000000614</v>
      </c>
      <c r="Z14" s="10">
        <f t="shared" si="15"/>
        <v>0.8810900000000188</v>
      </c>
      <c r="AA14" s="15"/>
      <c r="AB14" s="7">
        <f t="shared" si="16"/>
        <v>11572999.999999994</v>
      </c>
      <c r="AC14" s="8">
        <f t="shared" si="16"/>
        <v>11.572999999999995</v>
      </c>
      <c r="AD14" s="8">
        <f t="shared" si="16"/>
        <v>35.529109999999982</v>
      </c>
    </row>
    <row r="15" spans="1:30" x14ac:dyDescent="0.15">
      <c r="A15" s="28">
        <v>39489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0</v>
      </c>
      <c r="F15" s="8">
        <f t="shared" si="2"/>
        <v>0</v>
      </c>
      <c r="G15" s="10">
        <f t="shared" si="3"/>
        <v>0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0</v>
      </c>
      <c r="L15" s="8">
        <f t="shared" si="6"/>
        <v>0</v>
      </c>
      <c r="M15" s="10">
        <f t="shared" si="7"/>
        <v>0</v>
      </c>
      <c r="N15" s="21"/>
      <c r="O15" s="7">
        <f>'[4]Feb Prod'!H14</f>
        <v>11392999.999999996</v>
      </c>
      <c r="P15" s="8">
        <f t="shared" si="8"/>
        <v>11.392999999999997</v>
      </c>
      <c r="Q15" s="10">
        <f t="shared" si="9"/>
        <v>34.97650999999999</v>
      </c>
      <c r="R15" s="7">
        <f>'[4]Feb Prod'!C14</f>
        <v>11733000</v>
      </c>
      <c r="S15" s="8">
        <f t="shared" si="10"/>
        <v>11.733000000000001</v>
      </c>
      <c r="T15" s="10">
        <f t="shared" si="11"/>
        <v>36.020310000000002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340000.00000000343</v>
      </c>
      <c r="Y15" s="8">
        <f t="shared" si="14"/>
        <v>0.34000000000000341</v>
      </c>
      <c r="Z15" s="10">
        <f t="shared" si="15"/>
        <v>1.0438000000000105</v>
      </c>
      <c r="AA15" s="15"/>
      <c r="AB15" s="7">
        <f t="shared" si="16"/>
        <v>11392999.999999996</v>
      </c>
      <c r="AC15" s="8">
        <f t="shared" si="16"/>
        <v>11.392999999999997</v>
      </c>
      <c r="AD15" s="8">
        <f t="shared" si="16"/>
        <v>34.97650999999999</v>
      </c>
    </row>
    <row r="16" spans="1:30" x14ac:dyDescent="0.15">
      <c r="A16" s="28">
        <v>39490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0</v>
      </c>
      <c r="F16" s="8">
        <f t="shared" si="2"/>
        <v>0</v>
      </c>
      <c r="G16" s="10">
        <f t="shared" si="3"/>
        <v>0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1"/>
      <c r="O16" s="7">
        <f>'[4]Feb Prod'!H15</f>
        <v>11637000.000000006</v>
      </c>
      <c r="P16" s="8">
        <f t="shared" si="8"/>
        <v>11.637000000000006</v>
      </c>
      <c r="Q16" s="10">
        <f t="shared" si="9"/>
        <v>35.725590000000018</v>
      </c>
      <c r="R16" s="7">
        <f>'[4]Feb Prod'!C15</f>
        <v>12005000</v>
      </c>
      <c r="S16" s="8">
        <f t="shared" si="10"/>
        <v>12.005000000000001</v>
      </c>
      <c r="T16" s="10">
        <f t="shared" si="11"/>
        <v>36.855350000000001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367999.99999999499</v>
      </c>
      <c r="Y16" s="8">
        <f t="shared" si="14"/>
        <v>0.367999999999995</v>
      </c>
      <c r="Z16" s="10">
        <f t="shared" si="15"/>
        <v>1.1297599999999846</v>
      </c>
      <c r="AA16" s="15"/>
      <c r="AB16" s="7">
        <f t="shared" si="16"/>
        <v>11637000.000000006</v>
      </c>
      <c r="AC16" s="8">
        <f t="shared" si="16"/>
        <v>11.637000000000006</v>
      </c>
      <c r="AD16" s="8">
        <f t="shared" si="16"/>
        <v>35.725590000000018</v>
      </c>
    </row>
    <row r="17" spans="1:30" x14ac:dyDescent="0.15">
      <c r="A17" s="28">
        <v>39491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0</v>
      </c>
      <c r="F17" s="8">
        <f t="shared" si="2"/>
        <v>0</v>
      </c>
      <c r="G17" s="10">
        <f t="shared" si="3"/>
        <v>0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1"/>
      <c r="O17" s="7">
        <f>'[4]Feb Prod'!H16</f>
        <v>11790999.999999991</v>
      </c>
      <c r="P17" s="8">
        <f t="shared" si="8"/>
        <v>11.790999999999991</v>
      </c>
      <c r="Q17" s="10">
        <f t="shared" si="9"/>
        <v>36.198369999999969</v>
      </c>
      <c r="R17" s="7">
        <f>'[4]Feb Prod'!C16</f>
        <v>12138000</v>
      </c>
      <c r="S17" s="8">
        <f t="shared" si="10"/>
        <v>12.138</v>
      </c>
      <c r="T17" s="10">
        <f t="shared" si="11"/>
        <v>37.263659999999994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347000.00000000844</v>
      </c>
      <c r="Y17" s="8">
        <f t="shared" si="14"/>
        <v>0.34700000000000841</v>
      </c>
      <c r="Z17" s="10">
        <f t="shared" si="15"/>
        <v>1.0652900000000258</v>
      </c>
      <c r="AA17" s="15"/>
      <c r="AB17" s="7">
        <f t="shared" si="16"/>
        <v>11790999.999999991</v>
      </c>
      <c r="AC17" s="8">
        <f t="shared" si="16"/>
        <v>11.790999999999991</v>
      </c>
      <c r="AD17" s="8">
        <f t="shared" si="16"/>
        <v>36.198369999999969</v>
      </c>
    </row>
    <row r="18" spans="1:30" x14ac:dyDescent="0.15">
      <c r="A18" s="28">
        <v>39492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0</v>
      </c>
      <c r="F18" s="8">
        <f t="shared" si="2"/>
        <v>0</v>
      </c>
      <c r="G18" s="10">
        <f t="shared" si="3"/>
        <v>0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0</v>
      </c>
      <c r="L18" s="8">
        <f t="shared" si="6"/>
        <v>0</v>
      </c>
      <c r="M18" s="10">
        <f t="shared" si="7"/>
        <v>0</v>
      </c>
      <c r="N18" s="21"/>
      <c r="O18" s="7">
        <f>'[4]Feb Prod'!H17</f>
        <v>10609000</v>
      </c>
      <c r="P18" s="8">
        <f t="shared" si="8"/>
        <v>10.609</v>
      </c>
      <c r="Q18" s="10">
        <f t="shared" si="9"/>
        <v>32.569629999999997</v>
      </c>
      <c r="R18" s="7">
        <f>'[4]Feb Prod'!C17</f>
        <v>10960000</v>
      </c>
      <c r="S18" s="8">
        <f t="shared" si="10"/>
        <v>10.96</v>
      </c>
      <c r="T18" s="10">
        <f t="shared" si="11"/>
        <v>33.647199999999998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350999.99999999907</v>
      </c>
      <c r="Y18" s="8">
        <f t="shared" si="14"/>
        <v>0.35099999999999909</v>
      </c>
      <c r="Z18" s="10">
        <f t="shared" si="15"/>
        <v>1.0775699999999973</v>
      </c>
      <c r="AA18" s="15"/>
      <c r="AB18" s="7">
        <f t="shared" si="16"/>
        <v>10609000</v>
      </c>
      <c r="AC18" s="8">
        <f t="shared" si="16"/>
        <v>10.609</v>
      </c>
      <c r="AD18" s="8">
        <f t="shared" si="16"/>
        <v>32.569629999999997</v>
      </c>
    </row>
    <row r="19" spans="1:30" x14ac:dyDescent="0.15">
      <c r="A19" s="28">
        <v>39493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0</v>
      </c>
      <c r="F19" s="8">
        <f t="shared" si="2"/>
        <v>0</v>
      </c>
      <c r="G19" s="10">
        <f t="shared" si="3"/>
        <v>0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0</v>
      </c>
      <c r="L19" s="8">
        <f t="shared" si="6"/>
        <v>0</v>
      </c>
      <c r="M19" s="10">
        <f t="shared" si="7"/>
        <v>0</v>
      </c>
      <c r="N19" s="21"/>
      <c r="O19" s="7">
        <f>'[4]Feb Prod'!H18</f>
        <v>13191000.000000006</v>
      </c>
      <c r="P19" s="8">
        <f t="shared" si="8"/>
        <v>13.191000000000006</v>
      </c>
      <c r="Q19" s="10">
        <f t="shared" si="9"/>
        <v>40.496370000000013</v>
      </c>
      <c r="R19" s="7">
        <f>'[4]Feb Prod'!C18</f>
        <v>13535000</v>
      </c>
      <c r="S19" s="8">
        <f t="shared" si="10"/>
        <v>13.535</v>
      </c>
      <c r="T19" s="10">
        <f t="shared" si="11"/>
        <v>41.55245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343999.99999999406</v>
      </c>
      <c r="Y19" s="8">
        <f t="shared" si="14"/>
        <v>0.34399999999999409</v>
      </c>
      <c r="Z19" s="10">
        <f t="shared" si="15"/>
        <v>1.0560799999999817</v>
      </c>
      <c r="AA19" s="15"/>
      <c r="AB19" s="7">
        <f t="shared" si="16"/>
        <v>13191000.000000006</v>
      </c>
      <c r="AC19" s="8">
        <f t="shared" si="16"/>
        <v>13.191000000000006</v>
      </c>
      <c r="AD19" s="8">
        <f>D19+Q19</f>
        <v>40.496370000000013</v>
      </c>
    </row>
    <row r="20" spans="1:30" x14ac:dyDescent="0.15">
      <c r="A20" s="28">
        <v>39494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0</v>
      </c>
      <c r="F20" s="8">
        <f t="shared" si="2"/>
        <v>0</v>
      </c>
      <c r="G20" s="10">
        <f t="shared" si="3"/>
        <v>0</v>
      </c>
      <c r="H20" s="7">
        <f>'[4]Feb Prod'!F19</f>
        <v>68000000</v>
      </c>
      <c r="I20" s="8">
        <f t="shared" si="4"/>
        <v>68</v>
      </c>
      <c r="J20" s="10">
        <f t="shared" si="5"/>
        <v>208.76</v>
      </c>
      <c r="K20" s="7">
        <f>'[4]Feb Prod'!H260</f>
        <v>0</v>
      </c>
      <c r="L20" s="8">
        <f t="shared" si="6"/>
        <v>0</v>
      </c>
      <c r="M20" s="10">
        <f t="shared" si="7"/>
        <v>0</v>
      </c>
      <c r="N20" s="21"/>
      <c r="O20" s="7">
        <f>'[4]Feb Prod'!H19</f>
        <v>11464999.999999993</v>
      </c>
      <c r="P20" s="8">
        <f t="shared" si="8"/>
        <v>11.464999999999993</v>
      </c>
      <c r="Q20" s="10">
        <f t="shared" si="9"/>
        <v>35.197549999999978</v>
      </c>
      <c r="R20" s="7">
        <f>'[4]Feb Prod'!C19</f>
        <v>11767000</v>
      </c>
      <c r="S20" s="8">
        <f t="shared" si="10"/>
        <v>11.766999999999999</v>
      </c>
      <c r="T20" s="10">
        <f t="shared" si="11"/>
        <v>36.124689999999994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302000.00000000669</v>
      </c>
      <c r="Y20" s="8">
        <f t="shared" si="14"/>
        <v>0.30200000000000671</v>
      </c>
      <c r="Z20" s="10">
        <f t="shared" si="15"/>
        <v>0.9271400000000205</v>
      </c>
      <c r="AA20" s="15"/>
      <c r="AB20" s="7">
        <f t="shared" si="16"/>
        <v>11464999.999999993</v>
      </c>
      <c r="AC20" s="8">
        <f t="shared" si="16"/>
        <v>11.464999999999993</v>
      </c>
      <c r="AD20" s="8">
        <f t="shared" si="16"/>
        <v>35.197549999999978</v>
      </c>
    </row>
    <row r="21" spans="1:30" x14ac:dyDescent="0.15">
      <c r="A21" s="28">
        <v>39495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0</v>
      </c>
      <c r="F21" s="8">
        <f t="shared" si="2"/>
        <v>0</v>
      </c>
      <c r="G21" s="10">
        <f t="shared" si="3"/>
        <v>0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0</v>
      </c>
      <c r="L21" s="8">
        <f t="shared" si="6"/>
        <v>0</v>
      </c>
      <c r="M21" s="10">
        <f t="shared" si="7"/>
        <v>0</v>
      </c>
      <c r="N21" s="21"/>
      <c r="O21" s="7">
        <f>'[4]Feb Prod'!H20</f>
        <v>11501000.000000006</v>
      </c>
      <c r="P21" s="8">
        <f t="shared" si="8"/>
        <v>11.501000000000005</v>
      </c>
      <c r="Q21" s="10">
        <f t="shared" si="9"/>
        <v>35.308070000000015</v>
      </c>
      <c r="R21" s="7">
        <f>'[4]Feb Prod'!C20</f>
        <v>11857000</v>
      </c>
      <c r="S21" s="8">
        <f t="shared" si="10"/>
        <v>11.856999999999999</v>
      </c>
      <c r="T21" s="10">
        <f t="shared" si="11"/>
        <v>36.400989999999993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355999.99999999453</v>
      </c>
      <c r="Y21" s="8">
        <f t="shared" si="14"/>
        <v>0.35599999999999454</v>
      </c>
      <c r="Z21" s="10">
        <f t="shared" si="15"/>
        <v>1.0929199999999832</v>
      </c>
      <c r="AA21" s="15"/>
      <c r="AB21" s="7">
        <f t="shared" si="16"/>
        <v>11501000.000000006</v>
      </c>
      <c r="AC21" s="8">
        <f t="shared" si="16"/>
        <v>11.501000000000005</v>
      </c>
      <c r="AD21" s="8">
        <f t="shared" si="16"/>
        <v>35.308070000000015</v>
      </c>
    </row>
    <row r="22" spans="1:30" x14ac:dyDescent="0.15">
      <c r="A22" s="28">
        <v>39496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0</v>
      </c>
      <c r="F22" s="8">
        <f t="shared" si="2"/>
        <v>0</v>
      </c>
      <c r="G22" s="10">
        <f t="shared" si="3"/>
        <v>0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0</v>
      </c>
      <c r="L22" s="8">
        <f t="shared" si="6"/>
        <v>0</v>
      </c>
      <c r="M22" s="10">
        <f t="shared" si="7"/>
        <v>0</v>
      </c>
      <c r="N22" s="21"/>
      <c r="O22" s="7">
        <f>'[4]Feb Prod'!H21</f>
        <v>11282999.999999996</v>
      </c>
      <c r="P22" s="8">
        <f t="shared" si="8"/>
        <v>11.282999999999996</v>
      </c>
      <c r="Q22" s="10">
        <f t="shared" si="9"/>
        <v>34.638809999999985</v>
      </c>
      <c r="R22" s="7">
        <f>'[4]Feb Prod'!C21</f>
        <v>11644000</v>
      </c>
      <c r="S22" s="8">
        <f t="shared" si="10"/>
        <v>11.644</v>
      </c>
      <c r="T22" s="10">
        <f t="shared" si="11"/>
        <v>35.747079999999997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361000.00000000419</v>
      </c>
      <c r="Y22" s="8">
        <f t="shared" si="14"/>
        <v>0.36100000000000421</v>
      </c>
      <c r="Z22" s="10">
        <f t="shared" si="15"/>
        <v>1.108270000000013</v>
      </c>
      <c r="AA22" s="15"/>
      <c r="AB22" s="7">
        <f t="shared" si="16"/>
        <v>11282999.999999996</v>
      </c>
      <c r="AC22" s="8">
        <f t="shared" si="16"/>
        <v>11.282999999999996</v>
      </c>
      <c r="AD22" s="8">
        <f t="shared" si="16"/>
        <v>34.638809999999985</v>
      </c>
    </row>
    <row r="23" spans="1:30" x14ac:dyDescent="0.15">
      <c r="A23" s="28">
        <v>39497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0</v>
      </c>
      <c r="F23" s="8">
        <f t="shared" si="2"/>
        <v>0</v>
      </c>
      <c r="G23" s="10">
        <f t="shared" si="3"/>
        <v>0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1"/>
      <c r="O23" s="7">
        <f>'[4]Feb Prod'!H22</f>
        <v>11464000</v>
      </c>
      <c r="P23" s="8">
        <f t="shared" si="8"/>
        <v>11.464</v>
      </c>
      <c r="Q23" s="10">
        <f t="shared" si="9"/>
        <v>35.194479999999999</v>
      </c>
      <c r="R23" s="7">
        <f>'[4]Feb Prod'!C22</f>
        <v>11818000</v>
      </c>
      <c r="S23" s="8">
        <f t="shared" si="10"/>
        <v>11.818</v>
      </c>
      <c r="T23" s="10">
        <f t="shared" si="11"/>
        <v>36.281259999999996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353999.99999999919</v>
      </c>
      <c r="Y23" s="8">
        <f t="shared" si="14"/>
        <v>0.3539999999999992</v>
      </c>
      <c r="Z23" s="10">
        <f t="shared" si="15"/>
        <v>1.0867799999999974</v>
      </c>
      <c r="AA23" s="15"/>
      <c r="AB23" s="7">
        <f t="shared" si="16"/>
        <v>11464000</v>
      </c>
      <c r="AC23" s="8">
        <f t="shared" si="16"/>
        <v>11.464</v>
      </c>
      <c r="AD23" s="8">
        <f t="shared" si="16"/>
        <v>35.194479999999999</v>
      </c>
    </row>
    <row r="24" spans="1:30" x14ac:dyDescent="0.15">
      <c r="A24" s="28">
        <v>39498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0</v>
      </c>
      <c r="F24" s="8">
        <f t="shared" si="2"/>
        <v>0</v>
      </c>
      <c r="G24" s="10">
        <f t="shared" si="3"/>
        <v>0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0</v>
      </c>
      <c r="L24" s="8">
        <f t="shared" ref="L24:L33" si="17">K24/1000000</f>
        <v>0</v>
      </c>
      <c r="M24" s="10">
        <f t="shared" si="7"/>
        <v>0</v>
      </c>
      <c r="N24" s="21"/>
      <c r="O24" s="7">
        <f>'[4]Feb Prod'!H23</f>
        <v>12175000.000000011</v>
      </c>
      <c r="P24" s="8">
        <f t="shared" si="8"/>
        <v>12.175000000000011</v>
      </c>
      <c r="Q24" s="10">
        <f t="shared" si="9"/>
        <v>37.377250000000032</v>
      </c>
      <c r="R24" s="7">
        <f>'[4]Feb Prod'!C23</f>
        <v>12536000</v>
      </c>
      <c r="S24" s="8">
        <f t="shared" si="10"/>
        <v>12.536</v>
      </c>
      <c r="T24" s="10">
        <f t="shared" si="11"/>
        <v>38.485519999999994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360999.99999998999</v>
      </c>
      <c r="Y24" s="8">
        <f t="shared" si="14"/>
        <v>0.36099999999999</v>
      </c>
      <c r="Z24" s="10">
        <f t="shared" si="15"/>
        <v>1.1082699999999692</v>
      </c>
      <c r="AA24" s="15"/>
      <c r="AB24" s="7">
        <f t="shared" si="16"/>
        <v>12175000.000000011</v>
      </c>
      <c r="AC24" s="8">
        <f t="shared" si="16"/>
        <v>12.175000000000011</v>
      </c>
      <c r="AD24" s="8">
        <f>D24+Q24</f>
        <v>37.377250000000032</v>
      </c>
    </row>
    <row r="25" spans="1:30" x14ac:dyDescent="0.15">
      <c r="A25" s="28">
        <v>39499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17"/>
        <v>0</v>
      </c>
      <c r="M25" s="10">
        <f t="shared" si="7"/>
        <v>0</v>
      </c>
      <c r="N25" s="21"/>
      <c r="O25" s="7">
        <f>'[4]Feb Prod'!H24</f>
        <v>11547999.999999989</v>
      </c>
      <c r="P25" s="8">
        <f t="shared" si="8"/>
        <v>11.547999999999989</v>
      </c>
      <c r="Q25" s="10">
        <f t="shared" si="9"/>
        <v>35.452359999999963</v>
      </c>
      <c r="R25" s="7">
        <f>'[4]Feb Prod'!C24</f>
        <v>11845000</v>
      </c>
      <c r="S25" s="8">
        <f t="shared" si="10"/>
        <v>11.845000000000001</v>
      </c>
      <c r="T25" s="10">
        <f t="shared" si="11"/>
        <v>36.364150000000002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297000.00000001123</v>
      </c>
      <c r="Y25" s="8">
        <f t="shared" si="14"/>
        <v>0.29700000000001125</v>
      </c>
      <c r="Z25" s="10">
        <f t="shared" si="15"/>
        <v>0.91179000000003452</v>
      </c>
      <c r="AA25" s="15"/>
      <c r="AB25" s="7">
        <f t="shared" si="16"/>
        <v>11547999.999999989</v>
      </c>
      <c r="AC25" s="8">
        <f t="shared" si="16"/>
        <v>11.547999999999989</v>
      </c>
      <c r="AD25" s="8">
        <f t="shared" si="16"/>
        <v>35.452359999999963</v>
      </c>
    </row>
    <row r="26" spans="1:30" x14ac:dyDescent="0.15">
      <c r="A26" s="28">
        <v>39500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0</v>
      </c>
      <c r="L26" s="8">
        <f t="shared" si="17"/>
        <v>0</v>
      </c>
      <c r="M26" s="10">
        <f t="shared" si="7"/>
        <v>0</v>
      </c>
      <c r="N26" s="21"/>
      <c r="O26" s="7">
        <f>'[4]Feb Prod'!H25</f>
        <v>11426000.000000009</v>
      </c>
      <c r="P26" s="8">
        <f t="shared" si="8"/>
        <v>11.426000000000009</v>
      </c>
      <c r="Q26" s="10">
        <f t="shared" si="9"/>
        <v>35.077820000000024</v>
      </c>
      <c r="R26" s="7">
        <f>'[4]Feb Prod'!C25</f>
        <v>11790000</v>
      </c>
      <c r="S26" s="8">
        <f t="shared" si="10"/>
        <v>11.79</v>
      </c>
      <c r="T26" s="10">
        <f t="shared" si="11"/>
        <v>36.195299999999996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363999.9999999901</v>
      </c>
      <c r="Y26" s="8">
        <f t="shared" si="14"/>
        <v>0.36399999999999011</v>
      </c>
      <c r="Z26" s="10">
        <f t="shared" si="15"/>
        <v>1.1174799999999696</v>
      </c>
      <c r="AA26" s="15"/>
      <c r="AB26" s="7">
        <f t="shared" si="16"/>
        <v>11426000.000000009</v>
      </c>
      <c r="AC26" s="8">
        <f t="shared" si="16"/>
        <v>11.426000000000009</v>
      </c>
      <c r="AD26" s="8">
        <f t="shared" si="16"/>
        <v>35.077820000000024</v>
      </c>
    </row>
    <row r="27" spans="1:30" x14ac:dyDescent="0.15">
      <c r="A27" s="28">
        <v>39501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17"/>
        <v>0</v>
      </c>
      <c r="M27" s="10">
        <f t="shared" si="7"/>
        <v>0</v>
      </c>
      <c r="N27" s="21"/>
      <c r="O27" s="7">
        <f>'[4]Feb Prod'!H26</f>
        <v>10184999.999999996</v>
      </c>
      <c r="P27" s="8">
        <f t="shared" si="8"/>
        <v>10.184999999999997</v>
      </c>
      <c r="Q27" s="10">
        <f t="shared" si="9"/>
        <v>31.267949999999988</v>
      </c>
      <c r="R27" s="7">
        <f>'[4]Feb Prod'!C26</f>
        <v>10534000</v>
      </c>
      <c r="S27" s="8">
        <f t="shared" si="10"/>
        <v>10.534000000000001</v>
      </c>
      <c r="T27" s="10">
        <f t="shared" si="11"/>
        <v>32.339379999999998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349000.00000000373</v>
      </c>
      <c r="Y27" s="8">
        <f t="shared" si="14"/>
        <v>0.34900000000000375</v>
      </c>
      <c r="Z27" s="10">
        <f t="shared" si="15"/>
        <v>1.0714300000000114</v>
      </c>
      <c r="AA27" s="15"/>
      <c r="AB27" s="7">
        <f t="shared" si="16"/>
        <v>10184999.999999996</v>
      </c>
      <c r="AC27" s="8">
        <f t="shared" si="16"/>
        <v>10.184999999999997</v>
      </c>
      <c r="AD27" s="8">
        <f t="shared" si="16"/>
        <v>31.267949999999988</v>
      </c>
    </row>
    <row r="28" spans="1:30" x14ac:dyDescent="0.15">
      <c r="A28" s="28">
        <v>39502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0</v>
      </c>
      <c r="I28" s="8">
        <f t="shared" si="4"/>
        <v>0</v>
      </c>
      <c r="J28" s="10">
        <f t="shared" si="5"/>
        <v>0</v>
      </c>
      <c r="K28" s="7">
        <f>'[4]Feb Prod'!H268</f>
        <v>0</v>
      </c>
      <c r="L28" s="8">
        <f t="shared" si="17"/>
        <v>0</v>
      </c>
      <c r="M28" s="10">
        <f t="shared" si="7"/>
        <v>0</v>
      </c>
      <c r="N28" s="21"/>
      <c r="O28" s="7">
        <f>'[4]Feb Prod'!H27</f>
        <v>10445000.000000002</v>
      </c>
      <c r="P28" s="8">
        <f t="shared" si="8"/>
        <v>10.445000000000002</v>
      </c>
      <c r="Q28" s="10">
        <f t="shared" si="9"/>
        <v>32.066150000000007</v>
      </c>
      <c r="R28" s="7">
        <f>'[4]Feb Prod'!C27</f>
        <v>10790000</v>
      </c>
      <c r="S28" s="8">
        <f t="shared" si="10"/>
        <v>10.79</v>
      </c>
      <c r="T28" s="10">
        <f t="shared" si="11"/>
        <v>33.125299999999996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344999.99999999884</v>
      </c>
      <c r="Y28" s="8">
        <f t="shared" si="14"/>
        <v>0.34499999999999886</v>
      </c>
      <c r="Z28" s="10">
        <f t="shared" si="15"/>
        <v>1.0591499999999965</v>
      </c>
      <c r="AA28" s="15"/>
      <c r="AB28" s="7">
        <f t="shared" si="16"/>
        <v>10445000.000000002</v>
      </c>
      <c r="AC28" s="8">
        <f t="shared" si="16"/>
        <v>10.445000000000002</v>
      </c>
      <c r="AD28" s="8">
        <f t="shared" si="16"/>
        <v>32.066150000000007</v>
      </c>
    </row>
    <row r="29" spans="1:30" x14ac:dyDescent="0.15">
      <c r="A29" s="28">
        <v>39503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0</v>
      </c>
      <c r="I29" s="8">
        <f t="shared" si="4"/>
        <v>0</v>
      </c>
      <c r="J29" s="10">
        <f t="shared" si="5"/>
        <v>0</v>
      </c>
      <c r="K29" s="7">
        <f>'[4]Feb Prod'!H269</f>
        <v>0</v>
      </c>
      <c r="L29" s="8">
        <f t="shared" si="17"/>
        <v>0</v>
      </c>
      <c r="M29" s="10">
        <f t="shared" si="7"/>
        <v>0</v>
      </c>
      <c r="N29" s="21"/>
      <c r="O29" s="7">
        <f>'[4]Feb Prod'!H28</f>
        <v>11659000.000000002</v>
      </c>
      <c r="P29" s="8">
        <f t="shared" si="8"/>
        <v>11.659000000000002</v>
      </c>
      <c r="Q29" s="10">
        <f t="shared" si="9"/>
        <v>35.793130000000005</v>
      </c>
      <c r="R29" s="7">
        <f>'[4]Feb Prod'!C28</f>
        <v>12007000</v>
      </c>
      <c r="S29" s="8">
        <f t="shared" si="10"/>
        <v>12.007</v>
      </c>
      <c r="T29" s="10">
        <f t="shared" si="11"/>
        <v>36.861489999999996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347999.99999999895</v>
      </c>
      <c r="Y29" s="8">
        <f t="shared" si="14"/>
        <v>0.34799999999999898</v>
      </c>
      <c r="Z29" s="10">
        <f t="shared" si="15"/>
        <v>1.0683599999999969</v>
      </c>
      <c r="AA29" s="15"/>
      <c r="AB29" s="7">
        <f t="shared" si="16"/>
        <v>11659000.000000002</v>
      </c>
      <c r="AC29" s="8">
        <f t="shared" si="16"/>
        <v>11.659000000000002</v>
      </c>
      <c r="AD29" s="8">
        <f t="shared" si="16"/>
        <v>35.793130000000005</v>
      </c>
    </row>
    <row r="30" spans="1:30" x14ac:dyDescent="0.15">
      <c r="A30" s="28">
        <v>39504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0</v>
      </c>
      <c r="I30" s="8">
        <f t="shared" si="4"/>
        <v>0</v>
      </c>
      <c r="J30" s="10">
        <f t="shared" si="5"/>
        <v>0</v>
      </c>
      <c r="K30" s="7">
        <f>'[4]Feb Prod'!H270</f>
        <v>0</v>
      </c>
      <c r="L30" s="8">
        <f t="shared" si="17"/>
        <v>0</v>
      </c>
      <c r="M30" s="10">
        <f t="shared" si="7"/>
        <v>0</v>
      </c>
      <c r="N30" s="21"/>
      <c r="O30" s="7">
        <f>'[4]Feb Prod'!H29</f>
        <v>11758999.999999994</v>
      </c>
      <c r="P30" s="8">
        <f t="shared" si="8"/>
        <v>11.758999999999995</v>
      </c>
      <c r="Q30" s="10">
        <f t="shared" si="9"/>
        <v>36.100129999999986</v>
      </c>
      <c r="R30" s="7">
        <f>'[4]Feb Prod'!C29</f>
        <v>12046000</v>
      </c>
      <c r="S30" s="8">
        <f t="shared" si="10"/>
        <v>12.045999999999999</v>
      </c>
      <c r="T30" s="10">
        <f t="shared" si="11"/>
        <v>36.981219999999993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287000.00000000611</v>
      </c>
      <c r="Y30" s="8">
        <f t="shared" si="14"/>
        <v>0.28700000000000614</v>
      </c>
      <c r="Z30" s="10">
        <f t="shared" si="15"/>
        <v>0.8810900000000188</v>
      </c>
      <c r="AA30" s="15"/>
      <c r="AB30" s="7">
        <f t="shared" si="16"/>
        <v>11758999.999999994</v>
      </c>
      <c r="AC30" s="8">
        <f t="shared" si="16"/>
        <v>11.758999999999995</v>
      </c>
      <c r="AD30" s="8">
        <f>D30+Q30</f>
        <v>36.100129999999986</v>
      </c>
    </row>
    <row r="31" spans="1:30" x14ac:dyDescent="0.15">
      <c r="A31" s="28">
        <v>39505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0</v>
      </c>
      <c r="I31" s="8">
        <f t="shared" si="4"/>
        <v>0</v>
      </c>
      <c r="J31" s="10">
        <f t="shared" si="5"/>
        <v>0</v>
      </c>
      <c r="K31" s="7">
        <f>'[4]Feb Prod'!H271</f>
        <v>0</v>
      </c>
      <c r="L31" s="8">
        <f t="shared" si="17"/>
        <v>0</v>
      </c>
      <c r="M31" s="10">
        <f t="shared" si="7"/>
        <v>0</v>
      </c>
      <c r="N31" s="21"/>
      <c r="O31" s="7">
        <f>'[4]Feb Prod'!H30</f>
        <v>11817000.000000006</v>
      </c>
      <c r="P31" s="8">
        <f t="shared" si="8"/>
        <v>11.817000000000005</v>
      </c>
      <c r="Q31" s="10">
        <f t="shared" si="9"/>
        <v>36.278190000000016</v>
      </c>
      <c r="R31" s="7">
        <f>'[4]Feb Prod'!C30</f>
        <v>12164000</v>
      </c>
      <c r="S31" s="8">
        <f t="shared" si="10"/>
        <v>12.164</v>
      </c>
      <c r="T31" s="10">
        <f t="shared" si="11"/>
        <v>37.34348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346999.99999999418</v>
      </c>
      <c r="Y31" s="8">
        <f t="shared" si="14"/>
        <v>0.3469999999999942</v>
      </c>
      <c r="Z31" s="10">
        <f t="shared" si="15"/>
        <v>1.0652899999999821</v>
      </c>
      <c r="AA31" s="15"/>
      <c r="AB31" s="7">
        <f t="shared" si="16"/>
        <v>11817000.000000006</v>
      </c>
      <c r="AC31" s="8">
        <f t="shared" si="16"/>
        <v>11.817000000000005</v>
      </c>
      <c r="AD31" s="8">
        <f t="shared" si="16"/>
        <v>36.278190000000016</v>
      </c>
    </row>
    <row r="32" spans="1:30" x14ac:dyDescent="0.15">
      <c r="A32" s="28">
        <v>39506</v>
      </c>
      <c r="B32" s="7">
        <f>'[4]Feb Prod'!I31</f>
        <v>0</v>
      </c>
      <c r="C32" s="8">
        <f t="shared" si="0"/>
        <v>0</v>
      </c>
      <c r="D32" s="10">
        <f t="shared" si="1"/>
        <v>0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0</v>
      </c>
      <c r="I32" s="8">
        <f t="shared" si="4"/>
        <v>0</v>
      </c>
      <c r="J32" s="10">
        <f t="shared" si="5"/>
        <v>0</v>
      </c>
      <c r="K32" s="7">
        <f>'[4]Feb Prod'!H272</f>
        <v>0</v>
      </c>
      <c r="L32" s="8">
        <f t="shared" si="17"/>
        <v>0</v>
      </c>
      <c r="M32" s="10">
        <f t="shared" si="7"/>
        <v>0</v>
      </c>
      <c r="N32" s="21"/>
      <c r="O32" s="7">
        <f>'[4]Feb Prod'!H31</f>
        <v>12164000.000000002</v>
      </c>
      <c r="P32" s="8">
        <f t="shared" si="8"/>
        <v>12.164000000000001</v>
      </c>
      <c r="Q32" s="10">
        <f t="shared" si="9"/>
        <v>37.34348</v>
      </c>
      <c r="R32" s="7">
        <f>'[4]Feb Prod'!C31</f>
        <v>12503000</v>
      </c>
      <c r="S32" s="8">
        <f t="shared" si="10"/>
        <v>12.503</v>
      </c>
      <c r="T32" s="10">
        <f t="shared" si="11"/>
        <v>38.384209999999996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338999.99999999866</v>
      </c>
      <c r="Y32" s="8">
        <f t="shared" si="14"/>
        <v>0.33899999999999864</v>
      </c>
      <c r="Z32" s="10">
        <f t="shared" si="15"/>
        <v>1.0407299999999957</v>
      </c>
      <c r="AA32" s="15"/>
      <c r="AB32" s="7">
        <f t="shared" si="16"/>
        <v>12164000.000000002</v>
      </c>
      <c r="AC32" s="8">
        <f t="shared" si="16"/>
        <v>12.164000000000001</v>
      </c>
      <c r="AD32" s="8">
        <f t="shared" si="16"/>
        <v>37.34348</v>
      </c>
    </row>
    <row r="33" spans="1:30" ht="14" thickBot="1" x14ac:dyDescent="0.2">
      <c r="A33" s="28">
        <v>39507</v>
      </c>
      <c r="B33" s="7"/>
      <c r="C33" s="8">
        <f t="shared" si="0"/>
        <v>0</v>
      </c>
      <c r="D33" s="10">
        <f t="shared" si="1"/>
        <v>0</v>
      </c>
      <c r="E33" s="7"/>
      <c r="F33" s="8">
        <f t="shared" si="2"/>
        <v>0</v>
      </c>
      <c r="G33" s="10">
        <f t="shared" si="3"/>
        <v>0</v>
      </c>
      <c r="H33" s="7"/>
      <c r="I33" s="8">
        <f t="shared" si="4"/>
        <v>0</v>
      </c>
      <c r="J33" s="10">
        <f t="shared" si="5"/>
        <v>0</v>
      </c>
      <c r="K33" s="7"/>
      <c r="L33" s="8">
        <f t="shared" si="17"/>
        <v>0</v>
      </c>
      <c r="M33" s="10">
        <f t="shared" si="7"/>
        <v>0</v>
      </c>
      <c r="N33" s="21"/>
      <c r="O33" s="7"/>
      <c r="P33" s="8">
        <f t="shared" si="8"/>
        <v>0</v>
      </c>
      <c r="Q33" s="10">
        <f t="shared" si="9"/>
        <v>0</v>
      </c>
      <c r="R33" s="7"/>
      <c r="S33" s="8">
        <f t="shared" si="10"/>
        <v>0</v>
      </c>
      <c r="T33" s="10">
        <f t="shared" si="11"/>
        <v>0</v>
      </c>
      <c r="U33" s="7"/>
      <c r="V33" s="8">
        <f t="shared" si="12"/>
        <v>0</v>
      </c>
      <c r="W33" s="10">
        <f t="shared" si="13"/>
        <v>0</v>
      </c>
      <c r="X33" s="7"/>
      <c r="Y33" s="8">
        <f t="shared" si="14"/>
        <v>0</v>
      </c>
      <c r="Z33" s="10">
        <f t="shared" si="15"/>
        <v>0</v>
      </c>
      <c r="AA33" s="15"/>
      <c r="AB33" s="7">
        <f t="shared" si="16"/>
        <v>0</v>
      </c>
      <c r="AC33" s="8">
        <f t="shared" si="16"/>
        <v>0</v>
      </c>
      <c r="AD33" s="8"/>
    </row>
    <row r="34" spans="1:30" ht="14" thickBot="1" x14ac:dyDescent="0.2">
      <c r="A34" s="29"/>
      <c r="B34" s="39"/>
      <c r="C34" s="40">
        <f>SUM(C5:C33)</f>
        <v>0</v>
      </c>
      <c r="D34" s="40">
        <f t="shared" ref="D34:J34" si="18">SUM(D5:D33)</f>
        <v>0</v>
      </c>
      <c r="E34" s="39"/>
      <c r="F34" s="40">
        <f t="shared" si="18"/>
        <v>0</v>
      </c>
      <c r="G34" s="40">
        <f t="shared" si="18"/>
        <v>0</v>
      </c>
      <c r="H34" s="39"/>
      <c r="I34" s="40">
        <f t="shared" si="18"/>
        <v>68</v>
      </c>
      <c r="J34" s="40">
        <f t="shared" si="18"/>
        <v>208.76</v>
      </c>
      <c r="K34" s="39"/>
      <c r="L34" s="40">
        <f>SUM(L5:L33)</f>
        <v>0</v>
      </c>
      <c r="M34" s="40">
        <f>SUM(M5:M33)</f>
        <v>0</v>
      </c>
      <c r="N34" s="14"/>
      <c r="O34" s="39"/>
      <c r="P34" s="40">
        <f>SUM(P5:P33)</f>
        <v>325.94399999999996</v>
      </c>
      <c r="Q34" s="40">
        <f>SUM(Q5:Q33)</f>
        <v>1000.64808</v>
      </c>
      <c r="R34" s="39"/>
      <c r="S34" s="40">
        <f>SUM(S5:S33)</f>
        <v>335.22699999999998</v>
      </c>
      <c r="T34" s="40">
        <f>SUM(T5:T33)</f>
        <v>1029.14689</v>
      </c>
      <c r="U34" s="39"/>
      <c r="V34" s="40">
        <f>SUM(V5:V33)</f>
        <v>0</v>
      </c>
      <c r="W34" s="40">
        <f>SUM(W5:W33)</f>
        <v>0</v>
      </c>
      <c r="X34" s="39"/>
      <c r="Y34" s="40">
        <f>SUM(Y5:Y33)</f>
        <v>9.2830000000000013</v>
      </c>
      <c r="Z34" s="40">
        <f>SUM(Z5:Z33)</f>
        <v>28.498810000000002</v>
      </c>
      <c r="AA34" s="14"/>
      <c r="AB34" s="39">
        <f t="shared" si="16"/>
        <v>0</v>
      </c>
      <c r="AC34" s="40">
        <f t="shared" si="16"/>
        <v>325.94399999999996</v>
      </c>
      <c r="AD34" s="40">
        <f t="shared" si="16"/>
        <v>1000.64808</v>
      </c>
    </row>
    <row r="35" spans="1:30" x14ac:dyDescent="0.1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1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39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37"/>
  <sheetViews>
    <sheetView workbookViewId="0">
      <pane xSplit="1" ySplit="4" topLeftCell="J17" activePane="bottomRight" state="frozen"/>
      <selection pane="topRight" activeCell="B1" sqref="B1"/>
      <selection pane="bottomLeft" activeCell="A5" sqref="A5"/>
      <selection pane="bottomRight" activeCell="AD36" sqref="AD36"/>
    </sheetView>
  </sheetViews>
  <sheetFormatPr baseColWidth="10" defaultColWidth="8.83203125" defaultRowHeight="13" x14ac:dyDescent="0.15"/>
  <cols>
    <col min="2" max="2" width="12.6640625" customWidth="1"/>
    <col min="5" max="5" width="11.33203125" customWidth="1"/>
    <col min="8" max="8" width="11.6640625" customWidth="1"/>
    <col min="10" max="10" width="10.6640625" customWidth="1"/>
    <col min="11" max="11" width="12.5" customWidth="1"/>
    <col min="12" max="12" width="10.5" customWidth="1"/>
    <col min="15" max="15" width="10.5" customWidth="1"/>
    <col min="18" max="18" width="10.83203125" customWidth="1"/>
    <col min="22" max="22" width="11.83203125" customWidth="1"/>
    <col min="28" max="28" width="13.5" bestFit="1" customWidth="1"/>
  </cols>
  <sheetData>
    <row r="1" spans="1:32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  <c r="AF3" s="35" t="s">
        <v>9</v>
      </c>
    </row>
    <row r="4" spans="1:32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15">
      <c r="A5" s="28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1"/>
      <c r="O5" s="7">
        <f>'[5]Mar Prod'!H4</f>
        <v>11745999.999999991</v>
      </c>
      <c r="P5" s="8">
        <f>O5/1000000</f>
        <v>11.745999999999992</v>
      </c>
      <c r="Q5" s="10">
        <f>P5*3.07</f>
        <v>36.060219999999973</v>
      </c>
      <c r="R5" s="7">
        <f>'[5]Mar Prod'!C4</f>
        <v>12096000</v>
      </c>
      <c r="S5" s="8">
        <f>R5/1000000</f>
        <v>12.096</v>
      </c>
      <c r="T5" s="10">
        <f>S5*3.07</f>
        <v>37.134720000000002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350000.0000000085</v>
      </c>
      <c r="Y5" s="8">
        <f>X5/1000000</f>
        <v>0.35000000000000847</v>
      </c>
      <c r="Z5" s="10">
        <f>Y5*3.07</f>
        <v>1.074500000000026</v>
      </c>
      <c r="AA5" s="15"/>
      <c r="AB5" s="7">
        <f>B5+O5</f>
        <v>11745999.999999991</v>
      </c>
      <c r="AC5" s="8">
        <f>C5+P5</f>
        <v>11.745999999999992</v>
      </c>
      <c r="AD5" s="8">
        <f>D5+Q5</f>
        <v>36.060219999999973</v>
      </c>
      <c r="AF5" s="8">
        <f>T5-Q5-Z5</f>
        <v>2.886579864025407E-15</v>
      </c>
    </row>
    <row r="6" spans="1:32" x14ac:dyDescent="0.15">
      <c r="A6" s="28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1000000</v>
      </c>
      <c r="F6" s="8">
        <f t="shared" ref="F6:F35" si="2">E6/1000000</f>
        <v>1</v>
      </c>
      <c r="G6" s="10">
        <f t="shared" ref="G6:G35" si="3">F6*3.07</f>
        <v>3.07</v>
      </c>
      <c r="H6" s="7">
        <f>'[5]Mar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'[5]Mar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'[5]Mar Prod'!H5</f>
        <v>11510000.000000006</v>
      </c>
      <c r="P6" s="8">
        <f t="shared" ref="P6:P35" si="8">O6/1000000</f>
        <v>11.510000000000005</v>
      </c>
      <c r="Q6" s="10">
        <f t="shared" ref="Q6:Q35" si="9">P6*3.07</f>
        <v>35.335700000000017</v>
      </c>
      <c r="R6" s="7">
        <f>'[5]Mar Prod'!C5</f>
        <v>11860000</v>
      </c>
      <c r="S6" s="8">
        <f t="shared" ref="S6:S35" si="10">R6/1000000</f>
        <v>11.86</v>
      </c>
      <c r="T6" s="10">
        <f t="shared" ref="T6:T35" si="11">S6*3.07</f>
        <v>36.410199999999996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349999.9999999943</v>
      </c>
      <c r="Y6" s="8">
        <f t="shared" ref="Y6:Y35" si="14">X6/1000000</f>
        <v>0.34999999999999432</v>
      </c>
      <c r="Z6" s="10">
        <f t="shared" ref="Z6:Z35" si="15">Y6*3.07</f>
        <v>1.0744999999999825</v>
      </c>
      <c r="AA6" s="15"/>
      <c r="AB6" s="7">
        <f t="shared" ref="AB6:AD35" si="16">B6+O6</f>
        <v>11510000.000000006</v>
      </c>
      <c r="AC6" s="8">
        <f t="shared" si="16"/>
        <v>11.510000000000005</v>
      </c>
      <c r="AD6" s="8">
        <f t="shared" si="16"/>
        <v>35.335700000000017</v>
      </c>
      <c r="AF6" s="8">
        <f>T6-Q6-Z6</f>
        <v>-3.3306690738754696E-15</v>
      </c>
    </row>
    <row r="7" spans="1:32" x14ac:dyDescent="0.15">
      <c r="A7" s="28">
        <v>38414</v>
      </c>
      <c r="B7" s="7">
        <f>'[5]Mar Prod'!I6</f>
        <v>0</v>
      </c>
      <c r="C7" s="8">
        <f t="shared" si="1"/>
        <v>0</v>
      </c>
      <c r="D7" s="10">
        <f t="shared" si="0"/>
        <v>0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0</v>
      </c>
      <c r="I7" s="8">
        <f t="shared" si="4"/>
        <v>0</v>
      </c>
      <c r="J7" s="10">
        <f t="shared" si="5"/>
        <v>0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1"/>
      <c r="O7" s="7">
        <f>'[5]Mar Prod'!H6</f>
        <v>11604000.000000006</v>
      </c>
      <c r="P7" s="8">
        <f t="shared" si="8"/>
        <v>11.604000000000006</v>
      </c>
      <c r="Q7" s="10">
        <f t="shared" si="9"/>
        <v>35.62428000000002</v>
      </c>
      <c r="R7" s="7">
        <f>'[5]Mar Prod'!C6</f>
        <v>11954000</v>
      </c>
      <c r="S7" s="8">
        <f t="shared" si="10"/>
        <v>11.954000000000001</v>
      </c>
      <c r="T7" s="10">
        <f t="shared" si="11"/>
        <v>36.698779999999999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349999.9999999943</v>
      </c>
      <c r="Y7" s="8">
        <f t="shared" si="14"/>
        <v>0.34999999999999432</v>
      </c>
      <c r="Z7" s="10">
        <f t="shared" si="15"/>
        <v>1.0744999999999825</v>
      </c>
      <c r="AA7" s="15"/>
      <c r="AB7" s="7">
        <f t="shared" si="16"/>
        <v>11604000.000000006</v>
      </c>
      <c r="AC7" s="8">
        <f t="shared" si="16"/>
        <v>11.604000000000006</v>
      </c>
      <c r="AD7" s="8">
        <f t="shared" si="16"/>
        <v>35.62428000000002</v>
      </c>
      <c r="AF7" s="8">
        <f t="shared" ref="AF7:AF14" si="17">T7-Q7-Z7</f>
        <v>-3.3306690738754696E-15</v>
      </c>
    </row>
    <row r="8" spans="1:32" x14ac:dyDescent="0.15">
      <c r="A8" s="28">
        <v>38415</v>
      </c>
      <c r="B8" s="7">
        <f>'[5]Mar Prod'!I7</f>
        <v>0</v>
      </c>
      <c r="C8" s="8">
        <f t="shared" si="1"/>
        <v>0</v>
      </c>
      <c r="D8" s="10">
        <f t="shared" si="0"/>
        <v>0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0</v>
      </c>
      <c r="I8" s="8">
        <f t="shared" si="4"/>
        <v>0</v>
      </c>
      <c r="J8" s="10">
        <f t="shared" si="5"/>
        <v>0</v>
      </c>
      <c r="K8" s="7">
        <f>'[5]Mar Prod'!H262</f>
        <v>0</v>
      </c>
      <c r="L8" s="8">
        <f t="shared" si="6"/>
        <v>0</v>
      </c>
      <c r="M8" s="10">
        <f t="shared" si="7"/>
        <v>0</v>
      </c>
      <c r="N8" s="21"/>
      <c r="O8" s="7">
        <f>'[5]Mar Prod'!H7</f>
        <v>10700999.999999991</v>
      </c>
      <c r="P8" s="8">
        <f t="shared" si="8"/>
        <v>10.70099999999999</v>
      </c>
      <c r="Q8" s="10">
        <f t="shared" si="9"/>
        <v>32.852069999999969</v>
      </c>
      <c r="R8" s="7">
        <f>'[5]Mar Prod'!C7</f>
        <v>11050000</v>
      </c>
      <c r="S8" s="8">
        <f t="shared" si="10"/>
        <v>11.05</v>
      </c>
      <c r="T8" s="10">
        <f t="shared" si="11"/>
        <v>33.923499999999997</v>
      </c>
      <c r="U8" s="7">
        <f>'[5]Mar Prod'!D7</f>
        <v>1000</v>
      </c>
      <c r="V8" s="8">
        <f t="shared" si="12"/>
        <v>1E-3</v>
      </c>
      <c r="W8" s="10">
        <f t="shared" si="13"/>
        <v>3.0699999999999998E-3</v>
      </c>
      <c r="X8" s="7">
        <f>'[5]Mar Prod'!D262</f>
        <v>350000.0000000085</v>
      </c>
      <c r="Y8" s="8">
        <f t="shared" si="14"/>
        <v>0.35000000000000847</v>
      </c>
      <c r="Z8" s="10">
        <f t="shared" si="15"/>
        <v>1.074500000000026</v>
      </c>
      <c r="AA8" s="15"/>
      <c r="AB8" s="7">
        <f t="shared" si="16"/>
        <v>10700999.999999991</v>
      </c>
      <c r="AC8" s="8">
        <f t="shared" si="16"/>
        <v>10.70099999999999</v>
      </c>
      <c r="AD8" s="8">
        <f>D8+Q8</f>
        <v>32.852069999999969</v>
      </c>
      <c r="AF8" s="8">
        <f t="shared" si="17"/>
        <v>-3.0699999999981298E-3</v>
      </c>
    </row>
    <row r="9" spans="1:32" x14ac:dyDescent="0.15">
      <c r="A9" s="28">
        <v>38416</v>
      </c>
      <c r="B9" s="7">
        <f>'[5]Mar Prod'!I8</f>
        <v>0</v>
      </c>
      <c r="C9" s="8">
        <f t="shared" si="1"/>
        <v>0</v>
      </c>
      <c r="D9" s="10">
        <f t="shared" si="0"/>
        <v>0</v>
      </c>
      <c r="E9" s="7">
        <f>'[5]Mar Prod'!E8</f>
        <v>0</v>
      </c>
      <c r="F9" s="8">
        <f t="shared" si="2"/>
        <v>0</v>
      </c>
      <c r="G9" s="10">
        <f t="shared" si="3"/>
        <v>0</v>
      </c>
      <c r="H9" s="7">
        <f>'[5]Mar Prod'!F8</f>
        <v>0</v>
      </c>
      <c r="I9" s="8">
        <f t="shared" si="4"/>
        <v>0</v>
      </c>
      <c r="J9" s="10">
        <f t="shared" si="5"/>
        <v>0</v>
      </c>
      <c r="K9" s="7">
        <f>'[5]Mar Prod'!H263</f>
        <v>0</v>
      </c>
      <c r="L9" s="8">
        <f t="shared" si="6"/>
        <v>0</v>
      </c>
      <c r="M9" s="10">
        <f t="shared" si="7"/>
        <v>0</v>
      </c>
      <c r="N9" s="21"/>
      <c r="O9" s="7">
        <f>'[5]Mar Prod'!H8</f>
        <v>10982000.000000006</v>
      </c>
      <c r="P9" s="8">
        <f t="shared" si="8"/>
        <v>10.982000000000006</v>
      </c>
      <c r="Q9" s="10">
        <f t="shared" si="9"/>
        <v>33.71474000000002</v>
      </c>
      <c r="R9" s="7">
        <f>'[5]Mar Prod'!C8</f>
        <v>11329000</v>
      </c>
      <c r="S9" s="8">
        <f t="shared" si="10"/>
        <v>11.329000000000001</v>
      </c>
      <c r="T9" s="10">
        <f t="shared" si="11"/>
        <v>34.780030000000004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346999.99999999418</v>
      </c>
      <c r="Y9" s="8">
        <f t="shared" si="14"/>
        <v>0.3469999999999942</v>
      </c>
      <c r="Z9" s="10">
        <f t="shared" si="15"/>
        <v>1.0652899999999821</v>
      </c>
      <c r="AA9" s="15"/>
      <c r="AB9" s="7">
        <f t="shared" si="16"/>
        <v>10982000.000000006</v>
      </c>
      <c r="AC9" s="8">
        <f t="shared" si="16"/>
        <v>10.982000000000006</v>
      </c>
      <c r="AD9" s="8">
        <f t="shared" si="16"/>
        <v>33.71474000000002</v>
      </c>
      <c r="AF9" s="8">
        <f t="shared" si="17"/>
        <v>0</v>
      </c>
    </row>
    <row r="10" spans="1:32" x14ac:dyDescent="0.15">
      <c r="A10" s="28">
        <v>38417</v>
      </c>
      <c r="B10" s="7">
        <f>'[5]Mar Prod'!I9</f>
        <v>0</v>
      </c>
      <c r="C10" s="8">
        <f t="shared" si="1"/>
        <v>0</v>
      </c>
      <c r="D10" s="10">
        <f t="shared" si="0"/>
        <v>0</v>
      </c>
      <c r="E10" s="7">
        <f>'[5]Mar Prod'!E9</f>
        <v>0</v>
      </c>
      <c r="F10" s="8">
        <f t="shared" si="2"/>
        <v>0</v>
      </c>
      <c r="G10" s="10">
        <f t="shared" si="3"/>
        <v>0</v>
      </c>
      <c r="H10" s="7">
        <f>'[5]Mar Prod'!F9</f>
        <v>0</v>
      </c>
      <c r="I10" s="8">
        <f t="shared" si="4"/>
        <v>0</v>
      </c>
      <c r="J10" s="10">
        <f t="shared" si="5"/>
        <v>0</v>
      </c>
      <c r="K10" s="7">
        <f>'[5]Mar Prod'!H264</f>
        <v>0</v>
      </c>
      <c r="L10" s="8">
        <f t="shared" si="6"/>
        <v>0</v>
      </c>
      <c r="M10" s="10">
        <f t="shared" si="7"/>
        <v>0</v>
      </c>
      <c r="N10" s="21"/>
      <c r="O10" s="7">
        <f>'[5]Mar Prod'!H9</f>
        <v>11730999.999999998</v>
      </c>
      <c r="P10" s="8">
        <f t="shared" si="8"/>
        <v>11.730999999999998</v>
      </c>
      <c r="Q10" s="10">
        <f t="shared" si="9"/>
        <v>36.014169999999993</v>
      </c>
      <c r="R10" s="7">
        <f>'[5]Mar Prod'!C9</f>
        <v>12026000</v>
      </c>
      <c r="S10" s="8">
        <f t="shared" si="10"/>
        <v>12.026</v>
      </c>
      <c r="T10" s="10">
        <f t="shared" si="11"/>
        <v>36.919819999999994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295000.00000000169</v>
      </c>
      <c r="Y10" s="8">
        <f t="shared" si="14"/>
        <v>0.29500000000000171</v>
      </c>
      <c r="Z10" s="10">
        <f t="shared" si="15"/>
        <v>0.90565000000000517</v>
      </c>
      <c r="AA10" s="15"/>
      <c r="AB10" s="7">
        <f t="shared" si="16"/>
        <v>11730999.999999998</v>
      </c>
      <c r="AC10" s="8">
        <f t="shared" si="16"/>
        <v>11.730999999999998</v>
      </c>
      <c r="AD10" s="8">
        <f t="shared" si="16"/>
        <v>36.014169999999993</v>
      </c>
      <c r="AF10" s="8">
        <f t="shared" si="17"/>
        <v>-3.7747582837255322E-15</v>
      </c>
    </row>
    <row r="11" spans="1:32" x14ac:dyDescent="0.15">
      <c r="A11" s="28">
        <v>38418</v>
      </c>
      <c r="B11" s="7">
        <f>'[5]Mar Prod'!I10</f>
        <v>100000.0000003638</v>
      </c>
      <c r="C11" s="8">
        <f t="shared" si="1"/>
        <v>0.1000000000003638</v>
      </c>
      <c r="D11" s="10">
        <f t="shared" si="0"/>
        <v>0.30700000000111682</v>
      </c>
      <c r="E11" s="7">
        <f>'[5]Mar Prod'!E10</f>
        <v>0</v>
      </c>
      <c r="F11" s="8">
        <f t="shared" si="2"/>
        <v>0</v>
      </c>
      <c r="G11" s="10">
        <f t="shared" si="3"/>
        <v>0</v>
      </c>
      <c r="H11" s="7">
        <f>'[5]Mar Prod'!F10</f>
        <v>0</v>
      </c>
      <c r="I11" s="8">
        <f t="shared" si="4"/>
        <v>0</v>
      </c>
      <c r="J11" s="10">
        <f t="shared" si="5"/>
        <v>0</v>
      </c>
      <c r="K11" s="7">
        <f>'[5]Mar Prod'!H265</f>
        <v>0</v>
      </c>
      <c r="L11" s="8">
        <f t="shared" si="6"/>
        <v>0</v>
      </c>
      <c r="M11" s="10">
        <f t="shared" si="7"/>
        <v>0</v>
      </c>
      <c r="N11" s="21"/>
      <c r="O11" s="7">
        <f>'[5]Mar Prod'!H10</f>
        <v>11852000</v>
      </c>
      <c r="P11" s="8">
        <f t="shared" si="8"/>
        <v>11.852</v>
      </c>
      <c r="Q11" s="10">
        <f t="shared" si="9"/>
        <v>36.385640000000002</v>
      </c>
      <c r="R11" s="7">
        <f>'[5]Mar Prod'!C10</f>
        <v>12203000</v>
      </c>
      <c r="S11" s="8">
        <f t="shared" si="10"/>
        <v>12.202999999999999</v>
      </c>
      <c r="T11" s="10">
        <f t="shared" si="11"/>
        <v>37.463209999999997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350999.99999999907</v>
      </c>
      <c r="Y11" s="8">
        <f t="shared" si="14"/>
        <v>0.35099999999999909</v>
      </c>
      <c r="Z11" s="10">
        <f t="shared" si="15"/>
        <v>1.0775699999999973</v>
      </c>
      <c r="AA11" s="15"/>
      <c r="AB11" s="7">
        <f t="shared" si="16"/>
        <v>11952000.000000363</v>
      </c>
      <c r="AC11" s="8">
        <f t="shared" si="16"/>
        <v>11.952000000000364</v>
      </c>
      <c r="AD11" s="8">
        <f t="shared" si="16"/>
        <v>36.69264000000112</v>
      </c>
      <c r="AF11" s="8">
        <f t="shared" si="17"/>
        <v>-2.886579864025407E-15</v>
      </c>
    </row>
    <row r="12" spans="1:32" x14ac:dyDescent="0.15">
      <c r="A12" s="28">
        <v>38419</v>
      </c>
      <c r="B12" s="7">
        <f>'[5]Mar Prod'!I11</f>
        <v>0</v>
      </c>
      <c r="C12" s="8">
        <f t="shared" si="1"/>
        <v>0</v>
      </c>
      <c r="D12" s="10">
        <f t="shared" si="0"/>
        <v>0</v>
      </c>
      <c r="E12" s="7">
        <f>'[5]Mar Prod'!E11</f>
        <v>0</v>
      </c>
      <c r="F12" s="8">
        <f t="shared" si="2"/>
        <v>0</v>
      </c>
      <c r="G12" s="10">
        <f t="shared" si="3"/>
        <v>0</v>
      </c>
      <c r="H12" s="7">
        <f>'[5]Mar Prod'!F11</f>
        <v>0</v>
      </c>
      <c r="I12" s="8">
        <f t="shared" si="4"/>
        <v>0</v>
      </c>
      <c r="J12" s="10">
        <f t="shared" si="5"/>
        <v>0</v>
      </c>
      <c r="K12" s="7">
        <f>'[5]Mar Prod'!H266</f>
        <v>0</v>
      </c>
      <c r="L12" s="8">
        <f t="shared" si="6"/>
        <v>0</v>
      </c>
      <c r="M12" s="10">
        <f t="shared" si="7"/>
        <v>0</v>
      </c>
      <c r="N12" s="21"/>
      <c r="O12" s="7">
        <f>'[5]Mar Prod'!H11</f>
        <v>11459000</v>
      </c>
      <c r="P12" s="8">
        <f t="shared" si="8"/>
        <v>11.459</v>
      </c>
      <c r="Q12" s="10">
        <f t="shared" si="9"/>
        <v>35.179129999999994</v>
      </c>
      <c r="R12" s="7">
        <f>'[5]Mar Prod'!C11</f>
        <v>11813000</v>
      </c>
      <c r="S12" s="8">
        <f t="shared" si="10"/>
        <v>11.813000000000001</v>
      </c>
      <c r="T12" s="10">
        <f t="shared" si="11"/>
        <v>36.265909999999998</v>
      </c>
      <c r="U12" s="7">
        <f>'[5]Mar Prod'!D11</f>
        <v>0</v>
      </c>
      <c r="V12" s="8">
        <f t="shared" si="12"/>
        <v>0</v>
      </c>
      <c r="W12" s="10">
        <f t="shared" si="13"/>
        <v>0</v>
      </c>
      <c r="X12" s="7">
        <f>'[5]Mar Prod'!D266</f>
        <v>353999.99999999919</v>
      </c>
      <c r="Y12" s="8">
        <f t="shared" si="14"/>
        <v>0.3539999999999992</v>
      </c>
      <c r="Z12" s="10">
        <f t="shared" si="15"/>
        <v>1.0867799999999974</v>
      </c>
      <c r="AA12" s="15"/>
      <c r="AB12" s="7">
        <f t="shared" si="16"/>
        <v>11459000</v>
      </c>
      <c r="AC12" s="8">
        <f t="shared" si="16"/>
        <v>11.459</v>
      </c>
      <c r="AD12" s="8">
        <f t="shared" si="16"/>
        <v>35.179129999999994</v>
      </c>
      <c r="AF12" s="8">
        <f t="shared" si="17"/>
        <v>7.1054273576010019E-15</v>
      </c>
    </row>
    <row r="13" spans="1:32" x14ac:dyDescent="0.15">
      <c r="A13" s="28">
        <v>38420</v>
      </c>
      <c r="B13" s="7">
        <f>'[5]Mar Prod'!I12</f>
        <v>0</v>
      </c>
      <c r="C13" s="8">
        <f t="shared" si="1"/>
        <v>0</v>
      </c>
      <c r="D13" s="10">
        <f t="shared" si="0"/>
        <v>0</v>
      </c>
      <c r="E13" s="7">
        <f>'[5]Mar Prod'!E12</f>
        <v>0</v>
      </c>
      <c r="F13" s="8">
        <f t="shared" si="2"/>
        <v>0</v>
      </c>
      <c r="G13" s="10">
        <f t="shared" si="3"/>
        <v>0</v>
      </c>
      <c r="H13" s="7">
        <f>'[5]Mar Prod'!F12</f>
        <v>0</v>
      </c>
      <c r="I13" s="8">
        <f t="shared" si="4"/>
        <v>0</v>
      </c>
      <c r="J13" s="10">
        <f t="shared" si="5"/>
        <v>0</v>
      </c>
      <c r="K13" s="7">
        <f>'[5]Mar Prod'!H267</f>
        <v>0</v>
      </c>
      <c r="L13" s="8">
        <f t="shared" si="6"/>
        <v>0</v>
      </c>
      <c r="M13" s="10">
        <f t="shared" si="7"/>
        <v>0</v>
      </c>
      <c r="N13" s="21"/>
      <c r="O13" s="7">
        <f>'[5]Mar Prod'!H12</f>
        <v>11718000.000000004</v>
      </c>
      <c r="P13" s="8">
        <f t="shared" si="8"/>
        <v>11.718000000000004</v>
      </c>
      <c r="Q13" s="10">
        <f t="shared" si="9"/>
        <v>35.974260000000008</v>
      </c>
      <c r="R13" s="7">
        <f>'[5]Mar Prod'!C12</f>
        <v>12006000</v>
      </c>
      <c r="S13" s="8">
        <f t="shared" si="10"/>
        <v>12.006</v>
      </c>
      <c r="T13" s="10">
        <f t="shared" si="11"/>
        <v>36.858419999999995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287999.99999999668</v>
      </c>
      <c r="Y13" s="8">
        <f t="shared" si="14"/>
        <v>0.2879999999999967</v>
      </c>
      <c r="Z13" s="10">
        <f t="shared" si="15"/>
        <v>0.88415999999998984</v>
      </c>
      <c r="AA13" s="15"/>
      <c r="AB13" s="7">
        <f t="shared" si="16"/>
        <v>11718000.000000004</v>
      </c>
      <c r="AC13" s="8">
        <f t="shared" si="16"/>
        <v>11.718000000000004</v>
      </c>
      <c r="AD13" s="8">
        <f>D13+Q13</f>
        <v>35.974260000000008</v>
      </c>
      <c r="AF13" s="8">
        <f t="shared" si="17"/>
        <v>-2.6645352591003757E-15</v>
      </c>
    </row>
    <row r="14" spans="1:32" x14ac:dyDescent="0.15">
      <c r="A14" s="28">
        <v>38421</v>
      </c>
      <c r="B14" s="7">
        <f>'[5]Mar Prod'!I13</f>
        <v>0</v>
      </c>
      <c r="C14" s="8">
        <f t="shared" si="1"/>
        <v>0</v>
      </c>
      <c r="D14" s="10">
        <f t="shared" si="0"/>
        <v>0</v>
      </c>
      <c r="E14" s="7">
        <f>'[5]Mar Prod'!E13</f>
        <v>8000000</v>
      </c>
      <c r="F14" s="8">
        <f t="shared" si="2"/>
        <v>8</v>
      </c>
      <c r="G14" s="10">
        <f t="shared" si="3"/>
        <v>24.56</v>
      </c>
      <c r="H14" s="7">
        <f>'[5]Mar Prod'!F13</f>
        <v>0</v>
      </c>
      <c r="I14" s="8">
        <f t="shared" si="4"/>
        <v>0</v>
      </c>
      <c r="J14" s="10">
        <f t="shared" si="5"/>
        <v>0</v>
      </c>
      <c r="K14" s="7">
        <f>'[5]Mar Prod'!H268</f>
        <v>0</v>
      </c>
      <c r="L14" s="8">
        <f t="shared" si="6"/>
        <v>0</v>
      </c>
      <c r="M14" s="10">
        <f t="shared" si="7"/>
        <v>0</v>
      </c>
      <c r="N14" s="21"/>
      <c r="O14" s="7">
        <f>'[5]Mar Prod'!H13</f>
        <v>11686999.999999991</v>
      </c>
      <c r="P14" s="8">
        <f t="shared" si="8"/>
        <v>11.686999999999991</v>
      </c>
      <c r="Q14" s="10">
        <f t="shared" si="9"/>
        <v>35.87908999999997</v>
      </c>
      <c r="R14" s="7">
        <f>'[5]Mar Prod'!C13</f>
        <v>12037000</v>
      </c>
      <c r="S14" s="8">
        <f t="shared" si="10"/>
        <v>12.037000000000001</v>
      </c>
      <c r="T14" s="10">
        <f t="shared" si="11"/>
        <v>36.953589999999998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350000.0000000085</v>
      </c>
      <c r="Y14" s="8">
        <f t="shared" si="14"/>
        <v>0.35000000000000847</v>
      </c>
      <c r="Z14" s="10">
        <f t="shared" si="15"/>
        <v>1.074500000000026</v>
      </c>
      <c r="AA14" s="15"/>
      <c r="AB14" s="7">
        <f t="shared" si="16"/>
        <v>11686999.999999991</v>
      </c>
      <c r="AC14" s="8">
        <f t="shared" si="16"/>
        <v>11.686999999999991</v>
      </c>
      <c r="AD14" s="8">
        <f t="shared" si="16"/>
        <v>35.87908999999997</v>
      </c>
      <c r="AF14" s="8">
        <f t="shared" si="17"/>
        <v>2.886579864025407E-15</v>
      </c>
    </row>
    <row r="15" spans="1:32" x14ac:dyDescent="0.15">
      <c r="A15" s="28">
        <v>38422</v>
      </c>
      <c r="B15" s="7">
        <f>'[5]Mar Prod'!I14</f>
        <v>0</v>
      </c>
      <c r="C15" s="8">
        <f t="shared" si="1"/>
        <v>0</v>
      </c>
      <c r="D15" s="10">
        <f t="shared" si="0"/>
        <v>0</v>
      </c>
      <c r="E15" s="7">
        <f>'[5]Mar Prod'!E14</f>
        <v>1000000</v>
      </c>
      <c r="F15" s="8">
        <f t="shared" si="2"/>
        <v>1</v>
      </c>
      <c r="G15" s="10">
        <f t="shared" si="3"/>
        <v>3.07</v>
      </c>
      <c r="H15" s="7">
        <f>'[5]Mar Prod'!F14</f>
        <v>0</v>
      </c>
      <c r="I15" s="8">
        <f t="shared" si="4"/>
        <v>0</v>
      </c>
      <c r="J15" s="10">
        <f t="shared" si="5"/>
        <v>0</v>
      </c>
      <c r="K15" s="7">
        <f>'[5]Mar Prod'!H269</f>
        <v>41958</v>
      </c>
      <c r="L15" s="8">
        <f t="shared" si="6"/>
        <v>4.1958000000000002E-2</v>
      </c>
      <c r="M15" s="10">
        <f t="shared" si="7"/>
        <v>0.12881106</v>
      </c>
      <c r="N15" s="21"/>
      <c r="O15" s="7">
        <f>'[5]Mar Prod'!H14</f>
        <v>11723999.999999998</v>
      </c>
      <c r="P15" s="8">
        <f t="shared" si="8"/>
        <v>11.723999999999998</v>
      </c>
      <c r="Q15" s="10">
        <f t="shared" si="9"/>
        <v>35.992679999999993</v>
      </c>
      <c r="R15" s="7">
        <f>'[5]Mar Prod'!C14</f>
        <v>12016000</v>
      </c>
      <c r="S15" s="8">
        <f t="shared" si="10"/>
        <v>12.016</v>
      </c>
      <c r="T15" s="10">
        <f t="shared" si="11"/>
        <v>36.889119999999998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292000.00000000157</v>
      </c>
      <c r="Y15" s="8">
        <f t="shared" si="14"/>
        <v>0.29200000000000159</v>
      </c>
      <c r="Z15" s="10">
        <f t="shared" si="15"/>
        <v>0.89644000000000479</v>
      </c>
      <c r="AA15" s="15"/>
      <c r="AB15" s="7">
        <f t="shared" si="16"/>
        <v>11723999.999999998</v>
      </c>
      <c r="AC15" s="8">
        <f t="shared" si="16"/>
        <v>11.723999999999998</v>
      </c>
      <c r="AD15" s="8">
        <f t="shared" si="16"/>
        <v>35.992679999999993</v>
      </c>
      <c r="AF15" s="8">
        <f>T15-Q15-Z15</f>
        <v>0</v>
      </c>
    </row>
    <row r="16" spans="1:32" x14ac:dyDescent="0.15">
      <c r="A16" s="28">
        <v>38423</v>
      </c>
      <c r="B16" s="7">
        <f>'[5]Mar Prod'!I15</f>
        <v>0</v>
      </c>
      <c r="C16" s="8">
        <f t="shared" si="1"/>
        <v>0</v>
      </c>
      <c r="D16" s="10">
        <f t="shared" si="0"/>
        <v>0</v>
      </c>
      <c r="E16" s="7">
        <f>'[5]Mar Prod'!E15</f>
        <v>0</v>
      </c>
      <c r="F16" s="8">
        <f t="shared" si="2"/>
        <v>0</v>
      </c>
      <c r="G16" s="10">
        <f t="shared" si="3"/>
        <v>0</v>
      </c>
      <c r="H16" s="7">
        <f>'[5]Mar Prod'!F15</f>
        <v>0</v>
      </c>
      <c r="I16" s="8">
        <f t="shared" si="4"/>
        <v>0</v>
      </c>
      <c r="J16" s="10">
        <f t="shared" si="5"/>
        <v>0</v>
      </c>
      <c r="K16" s="7">
        <f>'[5]Mar Prod'!H270</f>
        <v>0</v>
      </c>
      <c r="L16" s="8">
        <f t="shared" si="6"/>
        <v>0</v>
      </c>
      <c r="M16" s="10">
        <f t="shared" si="7"/>
        <v>0</v>
      </c>
      <c r="N16" s="21"/>
      <c r="O16" s="7">
        <f>'[5]Mar Prod'!H15</f>
        <v>12211000.000000006</v>
      </c>
      <c r="P16" s="8">
        <f t="shared" si="8"/>
        <v>12.211000000000006</v>
      </c>
      <c r="Q16" s="10">
        <f t="shared" si="9"/>
        <v>37.487770000000012</v>
      </c>
      <c r="R16" s="7">
        <f>'[5]Mar Prod'!C15</f>
        <v>12564000</v>
      </c>
      <c r="S16" s="8">
        <f t="shared" si="10"/>
        <v>12.564</v>
      </c>
      <c r="T16" s="10">
        <f t="shared" si="11"/>
        <v>38.571480000000001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352999.99999999441</v>
      </c>
      <c r="Y16" s="8">
        <f t="shared" si="14"/>
        <v>0.35299999999999443</v>
      </c>
      <c r="Z16" s="10">
        <f t="shared" si="15"/>
        <v>1.0837099999999829</v>
      </c>
      <c r="AA16" s="15"/>
      <c r="AB16" s="7">
        <f t="shared" si="16"/>
        <v>12211000.000000006</v>
      </c>
      <c r="AC16" s="8">
        <f t="shared" si="16"/>
        <v>12.211000000000006</v>
      </c>
      <c r="AD16" s="8">
        <f t="shared" si="16"/>
        <v>37.487770000000012</v>
      </c>
      <c r="AF16" s="8">
        <f>T16-Q16-Z16</f>
        <v>6.4392935428259079E-15</v>
      </c>
    </row>
    <row r="17" spans="1:32" x14ac:dyDescent="0.15">
      <c r="A17" s="28">
        <v>38424</v>
      </c>
      <c r="B17" s="7">
        <f>'[5]Mar Prod'!I16</f>
        <v>0</v>
      </c>
      <c r="C17" s="8">
        <f t="shared" si="1"/>
        <v>0</v>
      </c>
      <c r="D17" s="10">
        <f t="shared" si="0"/>
        <v>0</v>
      </c>
      <c r="E17" s="7">
        <f>'[5]Mar Prod'!E16</f>
        <v>0</v>
      </c>
      <c r="F17" s="8">
        <f t="shared" si="2"/>
        <v>0</v>
      </c>
      <c r="G17" s="10">
        <f t="shared" si="3"/>
        <v>0</v>
      </c>
      <c r="H17" s="7">
        <f>'[5]Mar Prod'!F16</f>
        <v>0</v>
      </c>
      <c r="I17" s="8">
        <f t="shared" si="4"/>
        <v>0</v>
      </c>
      <c r="J17" s="10">
        <f t="shared" si="5"/>
        <v>0</v>
      </c>
      <c r="K17" s="7">
        <f>'[5]Mar Prod'!H271</f>
        <v>-41958</v>
      </c>
      <c r="L17" s="8">
        <f t="shared" si="6"/>
        <v>-4.1958000000000002E-2</v>
      </c>
      <c r="M17" s="10">
        <f t="shared" si="7"/>
        <v>-0.12881106</v>
      </c>
      <c r="N17" s="21"/>
      <c r="O17" s="7">
        <f>'[5]Mar Prod'!H16</f>
        <v>12074999.999999991</v>
      </c>
      <c r="P17" s="8">
        <f t="shared" si="8"/>
        <v>12.07499999999999</v>
      </c>
      <c r="Q17" s="10">
        <f t="shared" si="9"/>
        <v>37.070249999999966</v>
      </c>
      <c r="R17" s="7">
        <f>'[5]Mar Prod'!C16</f>
        <v>12425000</v>
      </c>
      <c r="S17" s="8">
        <f t="shared" si="10"/>
        <v>12.425000000000001</v>
      </c>
      <c r="T17" s="10">
        <f t="shared" si="11"/>
        <v>38.144750000000002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350000.0000000085</v>
      </c>
      <c r="Y17" s="8">
        <f t="shared" si="14"/>
        <v>0.35000000000000847</v>
      </c>
      <c r="Z17" s="10">
        <f t="shared" si="15"/>
        <v>1.074500000000026</v>
      </c>
      <c r="AA17" s="15"/>
      <c r="AB17" s="7">
        <f t="shared" si="16"/>
        <v>12074999.999999991</v>
      </c>
      <c r="AC17" s="8">
        <f t="shared" si="16"/>
        <v>12.07499999999999</v>
      </c>
      <c r="AD17" s="8">
        <f t="shared" si="16"/>
        <v>37.070249999999966</v>
      </c>
      <c r="AF17" s="8">
        <f>T17-Q17-Z17</f>
        <v>9.9920072216264089E-15</v>
      </c>
    </row>
    <row r="18" spans="1:32" x14ac:dyDescent="0.15">
      <c r="A18" s="28">
        <v>38425</v>
      </c>
      <c r="B18" s="7">
        <f>'[5]Mar Prod'!I17</f>
        <v>3437500</v>
      </c>
      <c r="C18" s="8">
        <f t="shared" si="1"/>
        <v>3.4375</v>
      </c>
      <c r="D18" s="10">
        <f t="shared" si="0"/>
        <v>10.553125</v>
      </c>
      <c r="E18" s="7">
        <f>'[5]Mar Prod'!E17</f>
        <v>4000000</v>
      </c>
      <c r="F18" s="8">
        <f t="shared" si="2"/>
        <v>4</v>
      </c>
      <c r="G18" s="10">
        <f t="shared" si="3"/>
        <v>12.28</v>
      </c>
      <c r="H18" s="7">
        <f>'[5]Mar Prod'!F17</f>
        <v>0</v>
      </c>
      <c r="I18" s="8">
        <f t="shared" si="4"/>
        <v>0</v>
      </c>
      <c r="J18" s="10">
        <f t="shared" si="5"/>
        <v>0</v>
      </c>
      <c r="K18" s="7">
        <f>'[5]Mar Prod'!H272</f>
        <v>0</v>
      </c>
      <c r="L18" s="8">
        <f t="shared" si="6"/>
        <v>0</v>
      </c>
      <c r="M18" s="10">
        <f t="shared" si="7"/>
        <v>0</v>
      </c>
      <c r="N18" s="21"/>
      <c r="O18" s="7">
        <f>'[5]Mar Prod'!H17</f>
        <v>9359000.0000000037</v>
      </c>
      <c r="P18" s="8">
        <f t="shared" si="8"/>
        <v>9.3590000000000035</v>
      </c>
      <c r="Q18" s="10">
        <f t="shared" si="9"/>
        <v>28.732130000000009</v>
      </c>
      <c r="R18" s="7">
        <f>'[5]Mar Prod'!C17</f>
        <v>9653000</v>
      </c>
      <c r="S18" s="8">
        <f t="shared" si="10"/>
        <v>9.6530000000000005</v>
      </c>
      <c r="T18" s="10">
        <f t="shared" si="11"/>
        <v>29.634709999999998</v>
      </c>
      <c r="U18" s="7">
        <f>'[5]Mar Prod'!D17</f>
        <v>0</v>
      </c>
      <c r="V18" s="8">
        <f t="shared" si="12"/>
        <v>0</v>
      </c>
      <c r="W18" s="10">
        <f t="shared" si="13"/>
        <v>0</v>
      </c>
      <c r="X18" s="7">
        <f>'[5]Mar Prod'!D272</f>
        <v>293999.99999999691</v>
      </c>
      <c r="Y18" s="8">
        <f t="shared" si="14"/>
        <v>0.29399999999999693</v>
      </c>
      <c r="Z18" s="10">
        <f t="shared" si="15"/>
        <v>0.9025799999999905</v>
      </c>
      <c r="AA18" s="15"/>
      <c r="AB18" s="7">
        <f t="shared" si="16"/>
        <v>12796500.000000004</v>
      </c>
      <c r="AC18" s="8">
        <f t="shared" si="16"/>
        <v>12.796500000000004</v>
      </c>
      <c r="AD18" s="8">
        <f t="shared" si="16"/>
        <v>39.285255000000006</v>
      </c>
      <c r="AF18" s="8">
        <f>T18-Q18-Z18</f>
        <v>0</v>
      </c>
    </row>
    <row r="19" spans="1:32" x14ac:dyDescent="0.15">
      <c r="A19" s="28">
        <v>38426</v>
      </c>
      <c r="B19" s="7">
        <f>'[5]Mar Prod'!I18</f>
        <v>7000000</v>
      </c>
      <c r="C19" s="8">
        <f t="shared" si="1"/>
        <v>7</v>
      </c>
      <c r="D19" s="10">
        <f t="shared" si="0"/>
        <v>21.49</v>
      </c>
      <c r="E19" s="7">
        <f>'[5]Mar Prod'!E18</f>
        <v>7000000</v>
      </c>
      <c r="F19" s="8">
        <f t="shared" si="2"/>
        <v>7</v>
      </c>
      <c r="G19" s="10">
        <f t="shared" si="3"/>
        <v>21.49</v>
      </c>
      <c r="H19" s="7">
        <f>'[5]Mar Prod'!F18</f>
        <v>0</v>
      </c>
      <c r="I19" s="8">
        <f t="shared" si="4"/>
        <v>0</v>
      </c>
      <c r="J19" s="10">
        <f t="shared" si="5"/>
        <v>0</v>
      </c>
      <c r="K19" s="7">
        <f>'[5]Mar Prod'!H273</f>
        <v>0</v>
      </c>
      <c r="L19" s="8">
        <f t="shared" si="6"/>
        <v>0</v>
      </c>
      <c r="M19" s="10">
        <f t="shared" si="7"/>
        <v>0</v>
      </c>
      <c r="N19" s="21"/>
      <c r="O19" s="7">
        <f>'[5]Mar Prod'!H18</f>
        <v>4650000.0000000075</v>
      </c>
      <c r="P19" s="8">
        <f t="shared" si="8"/>
        <v>4.6500000000000075</v>
      </c>
      <c r="Q19" s="10">
        <f t="shared" si="9"/>
        <v>14.275500000000022</v>
      </c>
      <c r="R19" s="7">
        <f>'[5]Mar Prod'!C18</f>
        <v>4946000</v>
      </c>
      <c r="S19" s="8">
        <f t="shared" si="10"/>
        <v>4.9459999999999997</v>
      </c>
      <c r="T19" s="10">
        <f t="shared" si="11"/>
        <v>15.184219999999998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295999.99999999226</v>
      </c>
      <c r="Y19" s="8">
        <f t="shared" si="14"/>
        <v>0.29599999999999227</v>
      </c>
      <c r="Z19" s="10">
        <f t="shared" si="15"/>
        <v>0.90871999999997621</v>
      </c>
      <c r="AA19" s="15"/>
      <c r="AB19" s="7">
        <f t="shared" si="16"/>
        <v>11650000.000000007</v>
      </c>
      <c r="AC19" s="8">
        <f t="shared" si="16"/>
        <v>11.650000000000007</v>
      </c>
      <c r="AD19" s="8">
        <f>D19+Q19</f>
        <v>35.765500000000017</v>
      </c>
      <c r="AF19" s="8">
        <f>T19-Q19-Z19</f>
        <v>0</v>
      </c>
    </row>
    <row r="20" spans="1:32" x14ac:dyDescent="0.15">
      <c r="A20" s="28">
        <v>38427</v>
      </c>
      <c r="B20" s="7">
        <f>'[5]Mar Prod'!I19</f>
        <v>6800000</v>
      </c>
      <c r="C20" s="8">
        <f t="shared" si="1"/>
        <v>6.8</v>
      </c>
      <c r="D20" s="10">
        <f t="shared" si="0"/>
        <v>20.875999999999998</v>
      </c>
      <c r="E20" s="7">
        <f>'[5]Mar Prod'!E19</f>
        <v>7000000</v>
      </c>
      <c r="F20" s="8">
        <f t="shared" si="2"/>
        <v>7</v>
      </c>
      <c r="G20" s="10">
        <f t="shared" si="3"/>
        <v>21.49</v>
      </c>
      <c r="H20" s="7">
        <f>'[5]Mar Prod'!F19</f>
        <v>0</v>
      </c>
      <c r="I20" s="8">
        <f t="shared" si="4"/>
        <v>0</v>
      </c>
      <c r="J20" s="10">
        <f t="shared" si="5"/>
        <v>0</v>
      </c>
      <c r="K20" s="7">
        <f>'[5]Mar Prod'!H274</f>
        <v>368455</v>
      </c>
      <c r="L20" s="8">
        <f t="shared" si="6"/>
        <v>0.36845499999999998</v>
      </c>
      <c r="M20" s="10">
        <f t="shared" si="7"/>
        <v>1.1311568499999998</v>
      </c>
      <c r="N20" s="21"/>
      <c r="O20" s="7">
        <f>'[5]Mar Prod'!H19</f>
        <v>4778999.9999999953</v>
      </c>
      <c r="P20" s="8">
        <f t="shared" si="8"/>
        <v>4.7789999999999955</v>
      </c>
      <c r="Q20" s="10">
        <f t="shared" si="9"/>
        <v>14.671529999999985</v>
      </c>
      <c r="R20" s="7">
        <f>'[5]Mar Prod'!C19</f>
        <v>5015000</v>
      </c>
      <c r="S20" s="8">
        <f t="shared" si="10"/>
        <v>5.0149999999999997</v>
      </c>
      <c r="T20" s="10">
        <f t="shared" si="11"/>
        <v>15.396049999999999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236000.00000000422</v>
      </c>
      <c r="Y20" s="8">
        <f t="shared" si="14"/>
        <v>0.23600000000000421</v>
      </c>
      <c r="Z20" s="10">
        <f t="shared" si="15"/>
        <v>0.72452000000001293</v>
      </c>
      <c r="AA20" s="15"/>
      <c r="AB20" s="7">
        <f t="shared" si="16"/>
        <v>11578999.999999996</v>
      </c>
      <c r="AC20" s="8">
        <f t="shared" si="16"/>
        <v>11.578999999999995</v>
      </c>
      <c r="AD20" s="8">
        <f t="shared" si="16"/>
        <v>35.547529999999981</v>
      </c>
      <c r="AF20" s="8">
        <f t="shared" ref="AF20:AF35" si="18">T20-Q20-Z20</f>
        <v>1.3322676295501878E-15</v>
      </c>
    </row>
    <row r="21" spans="1:32" x14ac:dyDescent="0.15">
      <c r="A21" s="28">
        <v>38428</v>
      </c>
      <c r="B21" s="7">
        <f>'[5]Mar Prod'!I20</f>
        <v>7399999.9999996359</v>
      </c>
      <c r="C21" s="8">
        <f t="shared" si="1"/>
        <v>7.3999999999996362</v>
      </c>
      <c r="D21" s="10">
        <f t="shared" si="0"/>
        <v>22.717999999998881</v>
      </c>
      <c r="E21" s="7">
        <f>'[5]Mar Prod'!E20</f>
        <v>8000000</v>
      </c>
      <c r="F21" s="8">
        <f t="shared" si="2"/>
        <v>8</v>
      </c>
      <c r="G21" s="10">
        <f t="shared" si="3"/>
        <v>24.56</v>
      </c>
      <c r="H21" s="7">
        <f>'[5]Mar Prod'!F20</f>
        <v>0</v>
      </c>
      <c r="I21" s="8">
        <f t="shared" si="4"/>
        <v>0</v>
      </c>
      <c r="J21" s="10">
        <f t="shared" si="5"/>
        <v>0</v>
      </c>
      <c r="K21" s="7">
        <f>'[5]Mar Prod'!H275</f>
        <v>39352</v>
      </c>
      <c r="L21" s="8">
        <f t="shared" si="6"/>
        <v>3.9351999999999998E-2</v>
      </c>
      <c r="M21" s="10">
        <f t="shared" si="7"/>
        <v>0.12081063999999998</v>
      </c>
      <c r="N21" s="21"/>
      <c r="O21" s="7">
        <f>'[5]Mar Prod'!H20</f>
        <v>4764000.0000000056</v>
      </c>
      <c r="P21" s="8">
        <f t="shared" si="8"/>
        <v>4.7640000000000056</v>
      </c>
      <c r="Q21" s="10">
        <f t="shared" si="9"/>
        <v>14.625480000000016</v>
      </c>
      <c r="R21" s="7">
        <f>'[5]Mar Prod'!C20</f>
        <v>4998000</v>
      </c>
      <c r="S21" s="8">
        <f t="shared" si="10"/>
        <v>4.9980000000000002</v>
      </c>
      <c r="T21" s="10">
        <f t="shared" si="11"/>
        <v>15.343859999999999</v>
      </c>
      <c r="U21" s="7">
        <f>'[5]Mar Prod'!D20</f>
        <v>0</v>
      </c>
      <c r="V21" s="8">
        <f t="shared" si="12"/>
        <v>0</v>
      </c>
      <c r="W21" s="10">
        <f t="shared" si="13"/>
        <v>0</v>
      </c>
      <c r="X21" s="7">
        <f>'[5]Mar Prod'!D275</f>
        <v>233999.99999999464</v>
      </c>
      <c r="Y21" s="8">
        <f t="shared" si="14"/>
        <v>0.23399999999999466</v>
      </c>
      <c r="Z21" s="10">
        <f t="shared" si="15"/>
        <v>0.71837999999998359</v>
      </c>
      <c r="AA21" s="15"/>
      <c r="AB21" s="7">
        <f t="shared" si="16"/>
        <v>12163999.999999642</v>
      </c>
      <c r="AC21" s="8">
        <f t="shared" si="16"/>
        <v>12.163999999999643</v>
      </c>
      <c r="AD21" s="8">
        <f t="shared" si="16"/>
        <v>37.343479999998898</v>
      </c>
      <c r="AF21" s="8">
        <f t="shared" si="18"/>
        <v>0</v>
      </c>
    </row>
    <row r="22" spans="1:32" x14ac:dyDescent="0.15">
      <c r="A22" s="28">
        <v>38429</v>
      </c>
      <c r="B22" s="7">
        <f>'[5]Mar Prod'!I21</f>
        <v>7600000.0000003641</v>
      </c>
      <c r="C22" s="8">
        <f t="shared" si="1"/>
        <v>7.6000000000003638</v>
      </c>
      <c r="D22" s="10">
        <f t="shared" si="0"/>
        <v>23.332000000001116</v>
      </c>
      <c r="E22" s="7">
        <f>'[5]Mar Prod'!E21</f>
        <v>8000000</v>
      </c>
      <c r="F22" s="8">
        <f t="shared" si="2"/>
        <v>8</v>
      </c>
      <c r="G22" s="10">
        <f t="shared" si="3"/>
        <v>24.56</v>
      </c>
      <c r="H22" s="7">
        <f>'[5]Mar Prod'!F21</f>
        <v>0</v>
      </c>
      <c r="I22" s="8">
        <f t="shared" si="4"/>
        <v>0</v>
      </c>
      <c r="J22" s="10">
        <f t="shared" si="5"/>
        <v>0</v>
      </c>
      <c r="K22" s="7">
        <f>'[5]Mar Prod'!H276</f>
        <v>0</v>
      </c>
      <c r="L22" s="8">
        <f t="shared" si="6"/>
        <v>0</v>
      </c>
      <c r="M22" s="10">
        <f t="shared" si="7"/>
        <v>0</v>
      </c>
      <c r="N22" s="21"/>
      <c r="O22" s="7">
        <f>'[5]Mar Prod'!H21</f>
        <v>4858999.9999999981</v>
      </c>
      <c r="P22" s="8">
        <f t="shared" si="8"/>
        <v>4.8589999999999982</v>
      </c>
      <c r="Q22" s="10">
        <f t="shared" si="9"/>
        <v>14.917129999999993</v>
      </c>
      <c r="R22" s="7">
        <f>'[5]Mar Prod'!C21</f>
        <v>5035000</v>
      </c>
      <c r="S22" s="8">
        <f t="shared" si="10"/>
        <v>5.0350000000000001</v>
      </c>
      <c r="T22" s="10">
        <f t="shared" si="11"/>
        <v>15.45745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176000.00000000192</v>
      </c>
      <c r="Y22" s="8">
        <f t="shared" si="14"/>
        <v>0.17600000000000193</v>
      </c>
      <c r="Z22" s="10">
        <f t="shared" si="15"/>
        <v>0.54032000000000591</v>
      </c>
      <c r="AA22" s="15"/>
      <c r="AB22" s="7">
        <f t="shared" si="16"/>
        <v>12459000.000000361</v>
      </c>
      <c r="AC22" s="8">
        <f t="shared" si="16"/>
        <v>12.459000000000362</v>
      </c>
      <c r="AD22" s="8">
        <f t="shared" si="16"/>
        <v>38.249130000001109</v>
      </c>
      <c r="AF22" s="8">
        <f t="shared" si="18"/>
        <v>0</v>
      </c>
    </row>
    <row r="23" spans="1:32" x14ac:dyDescent="0.15">
      <c r="A23" s="28">
        <v>38430</v>
      </c>
      <c r="B23" s="7">
        <f>'[5]Mar Prod'!I22</f>
        <v>7600000.0000003641</v>
      </c>
      <c r="C23" s="8">
        <f t="shared" si="1"/>
        <v>7.6000000000003638</v>
      </c>
      <c r="D23" s="10">
        <f t="shared" si="0"/>
        <v>23.332000000001116</v>
      </c>
      <c r="E23" s="7">
        <f>'[5]Mar Prod'!E22</f>
        <v>8000000</v>
      </c>
      <c r="F23" s="8">
        <f t="shared" si="2"/>
        <v>8</v>
      </c>
      <c r="G23" s="10">
        <f t="shared" si="3"/>
        <v>24.56</v>
      </c>
      <c r="H23" s="7">
        <f>'[5]Mar Prod'!F22</f>
        <v>0</v>
      </c>
      <c r="I23" s="8">
        <f t="shared" si="4"/>
        <v>0</v>
      </c>
      <c r="J23" s="10">
        <f t="shared" si="5"/>
        <v>0</v>
      </c>
      <c r="K23" s="7">
        <f>'[5]Mar Prod'!H277</f>
        <v>0</v>
      </c>
      <c r="L23" s="8">
        <f t="shared" si="6"/>
        <v>0</v>
      </c>
      <c r="M23" s="10">
        <f t="shared" si="7"/>
        <v>0</v>
      </c>
      <c r="N23" s="21"/>
      <c r="O23" s="7">
        <f>'[5]Mar Prod'!H22</f>
        <v>4823999.9999999935</v>
      </c>
      <c r="P23" s="8">
        <f t="shared" si="8"/>
        <v>4.8239999999999936</v>
      </c>
      <c r="Q23" s="10">
        <f t="shared" si="9"/>
        <v>14.809679999999979</v>
      </c>
      <c r="R23" s="7">
        <f>'[5]Mar Prod'!C22</f>
        <v>4998000</v>
      </c>
      <c r="S23" s="8">
        <f t="shared" si="10"/>
        <v>4.9980000000000002</v>
      </c>
      <c r="T23" s="10">
        <f t="shared" si="11"/>
        <v>15.343859999999999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174000.00000000661</v>
      </c>
      <c r="Y23" s="8">
        <f t="shared" si="14"/>
        <v>0.17400000000000659</v>
      </c>
      <c r="Z23" s="10">
        <f t="shared" si="15"/>
        <v>0.53418000000002019</v>
      </c>
      <c r="AA23" s="15"/>
      <c r="AB23" s="7">
        <f t="shared" si="16"/>
        <v>12424000.000000358</v>
      </c>
      <c r="AC23" s="8">
        <f t="shared" si="16"/>
        <v>12.424000000000358</v>
      </c>
      <c r="AD23" s="8">
        <f t="shared" si="16"/>
        <v>38.141680000001095</v>
      </c>
      <c r="AF23" s="8">
        <f t="shared" si="18"/>
        <v>0</v>
      </c>
    </row>
    <row r="24" spans="1:32" x14ac:dyDescent="0.15">
      <c r="A24" s="28">
        <v>38431</v>
      </c>
      <c r="B24" s="7">
        <f>'[5]Mar Prod'!I23</f>
        <v>7599999.9999985453</v>
      </c>
      <c r="C24" s="8">
        <f t="shared" si="1"/>
        <v>7.5999999999985457</v>
      </c>
      <c r="D24" s="10">
        <f t="shared" si="0"/>
        <v>23.331999999995535</v>
      </c>
      <c r="E24" s="7">
        <f>'[5]Mar Prod'!E23</f>
        <v>7000000</v>
      </c>
      <c r="F24" s="8">
        <f t="shared" si="2"/>
        <v>7</v>
      </c>
      <c r="G24" s="10">
        <f t="shared" si="3"/>
        <v>21.49</v>
      </c>
      <c r="H24" s="7">
        <f>'[5]Mar Prod'!F23</f>
        <v>0</v>
      </c>
      <c r="I24" s="8">
        <f t="shared" si="4"/>
        <v>0</v>
      </c>
      <c r="J24" s="10">
        <f t="shared" si="5"/>
        <v>0</v>
      </c>
      <c r="K24" s="7">
        <f>'[5]Mar Prod'!H278</f>
        <v>0</v>
      </c>
      <c r="L24" s="8">
        <f t="shared" si="6"/>
        <v>0</v>
      </c>
      <c r="M24" s="10">
        <f t="shared" si="7"/>
        <v>0</v>
      </c>
      <c r="N24" s="21"/>
      <c r="O24" s="7">
        <f>'[5]Mar Prod'!H23</f>
        <v>5115000.0000000028</v>
      </c>
      <c r="P24" s="8">
        <f t="shared" si="8"/>
        <v>5.1150000000000029</v>
      </c>
      <c r="Q24" s="10">
        <f t="shared" si="9"/>
        <v>15.703050000000008</v>
      </c>
      <c r="R24" s="7">
        <f>'[5]Mar Prod'!C23</f>
        <v>5296000</v>
      </c>
      <c r="S24" s="8">
        <f t="shared" si="10"/>
        <v>5.2960000000000003</v>
      </c>
      <c r="T24" s="10">
        <f t="shared" si="11"/>
        <v>16.25872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180999.99999999738</v>
      </c>
      <c r="Y24" s="8">
        <f t="shared" si="14"/>
        <v>0.18099999999999739</v>
      </c>
      <c r="Z24" s="10">
        <f t="shared" si="15"/>
        <v>0.55566999999999189</v>
      </c>
      <c r="AA24" s="15"/>
      <c r="AB24" s="7">
        <f t="shared" si="16"/>
        <v>12714999.999998547</v>
      </c>
      <c r="AC24" s="8">
        <f t="shared" si="16"/>
        <v>12.714999999998549</v>
      </c>
      <c r="AD24" s="8">
        <f>D24+Q24</f>
        <v>39.035049999995543</v>
      </c>
      <c r="AF24" s="8">
        <f t="shared" si="18"/>
        <v>0</v>
      </c>
    </row>
    <row r="25" spans="1:32" x14ac:dyDescent="0.15">
      <c r="A25" s="28">
        <v>38432</v>
      </c>
      <c r="B25" s="7">
        <f>'[5]Mar Prod'!I24</f>
        <v>9100000.0000003632</v>
      </c>
      <c r="C25" s="8">
        <f t="shared" si="1"/>
        <v>9.1000000000003638</v>
      </c>
      <c r="D25" s="10">
        <f t="shared" si="0"/>
        <v>27.937000000001117</v>
      </c>
      <c r="E25" s="7">
        <f>'[5]Mar Prod'!E24</f>
        <v>10000000</v>
      </c>
      <c r="F25" s="8">
        <f t="shared" si="2"/>
        <v>10</v>
      </c>
      <c r="G25" s="10">
        <f t="shared" si="3"/>
        <v>30.7</v>
      </c>
      <c r="H25" s="7">
        <f>'[5]Mar Prod'!F24</f>
        <v>0</v>
      </c>
      <c r="I25" s="8">
        <f t="shared" si="4"/>
        <v>0</v>
      </c>
      <c r="J25" s="10">
        <f t="shared" si="5"/>
        <v>0</v>
      </c>
      <c r="K25" s="7">
        <f>'[5]Mar Prod'!H279</f>
        <v>164063</v>
      </c>
      <c r="L25" s="8">
        <f t="shared" si="6"/>
        <v>0.16406299999999999</v>
      </c>
      <c r="M25" s="10">
        <f t="shared" si="7"/>
        <v>0.50367340999999999</v>
      </c>
      <c r="N25" s="21"/>
      <c r="O25" s="7">
        <f>'[5]Mar Prod'!H24</f>
        <v>2792999.9999999953</v>
      </c>
      <c r="P25" s="8">
        <f t="shared" si="8"/>
        <v>2.7929999999999953</v>
      </c>
      <c r="Q25" s="10">
        <f t="shared" si="9"/>
        <v>8.5745099999999859</v>
      </c>
      <c r="R25" s="7">
        <f>'[5]Mar Prod'!C24</f>
        <v>2907000</v>
      </c>
      <c r="S25" s="8">
        <f t="shared" si="10"/>
        <v>2.907</v>
      </c>
      <c r="T25" s="10">
        <f t="shared" si="11"/>
        <v>8.9244900000000005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114000.00000000432</v>
      </c>
      <c r="Y25" s="8">
        <f t="shared" si="14"/>
        <v>0.11400000000000432</v>
      </c>
      <c r="Z25" s="10">
        <f t="shared" si="15"/>
        <v>0.34998000000001322</v>
      </c>
      <c r="AA25" s="15"/>
      <c r="AB25" s="7">
        <f t="shared" si="16"/>
        <v>11893000.000000358</v>
      </c>
      <c r="AC25" s="8">
        <f t="shared" si="16"/>
        <v>11.89300000000036</v>
      </c>
      <c r="AD25" s="8">
        <f t="shared" si="16"/>
        <v>36.511510000001103</v>
      </c>
      <c r="AF25" s="8">
        <f t="shared" si="18"/>
        <v>1.3877787807814457E-15</v>
      </c>
    </row>
    <row r="26" spans="1:32" x14ac:dyDescent="0.15">
      <c r="A26" s="28">
        <v>38433</v>
      </c>
      <c r="B26" s="7">
        <f>'[5]Mar Prod'!I25</f>
        <v>13300000.000001092</v>
      </c>
      <c r="C26" s="8">
        <f t="shared" si="1"/>
        <v>13.300000000001091</v>
      </c>
      <c r="D26" s="10">
        <f t="shared" si="0"/>
        <v>40.83100000000335</v>
      </c>
      <c r="E26" s="7">
        <f>'[5]Mar Prod'!E25</f>
        <v>14000000</v>
      </c>
      <c r="F26" s="8">
        <f t="shared" si="2"/>
        <v>14</v>
      </c>
      <c r="G26" s="10">
        <f t="shared" si="3"/>
        <v>42.98</v>
      </c>
      <c r="H26" s="7">
        <f>'[5]Mar Prod'!F25</f>
        <v>0</v>
      </c>
      <c r="I26" s="8">
        <f t="shared" si="4"/>
        <v>0</v>
      </c>
      <c r="J26" s="10">
        <f t="shared" si="5"/>
        <v>0</v>
      </c>
      <c r="K26" s="7">
        <f>'[5]Mar Prod'!H280</f>
        <v>253270</v>
      </c>
      <c r="L26" s="8">
        <f t="shared" si="6"/>
        <v>0.25327</v>
      </c>
      <c r="M26" s="10">
        <f t="shared" si="7"/>
        <v>0.77753889999999992</v>
      </c>
      <c r="N26" s="21"/>
      <c r="O26" s="7">
        <f>'[5]Mar Prod'!H25</f>
        <v>0</v>
      </c>
      <c r="P26" s="8">
        <f t="shared" si="8"/>
        <v>0</v>
      </c>
      <c r="Q26" s="10">
        <f t="shared" si="9"/>
        <v>0</v>
      </c>
      <c r="R26" s="7">
        <f>'[5]Mar Prod'!C25</f>
        <v>0</v>
      </c>
      <c r="S26" s="8">
        <f t="shared" si="10"/>
        <v>0</v>
      </c>
      <c r="T26" s="10">
        <f t="shared" si="11"/>
        <v>0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13300000.000001092</v>
      </c>
      <c r="AC26" s="8">
        <f t="shared" si="16"/>
        <v>13.300000000001091</v>
      </c>
      <c r="AD26" s="8">
        <f t="shared" si="16"/>
        <v>40.83100000000335</v>
      </c>
      <c r="AF26" s="8">
        <f t="shared" si="18"/>
        <v>0</v>
      </c>
    </row>
    <row r="27" spans="1:32" x14ac:dyDescent="0.15">
      <c r="A27" s="28">
        <v>38434</v>
      </c>
      <c r="B27" s="7">
        <f>'[5]Mar Prod'!I26</f>
        <v>12399999.999999637</v>
      </c>
      <c r="C27" s="8">
        <f t="shared" si="1"/>
        <v>12.399999999999636</v>
      </c>
      <c r="D27" s="10">
        <f t="shared" si="0"/>
        <v>38.067999999998882</v>
      </c>
      <c r="E27" s="7">
        <f>'[5]Mar Prod'!E26</f>
        <v>14000000</v>
      </c>
      <c r="F27" s="8">
        <f t="shared" si="2"/>
        <v>14</v>
      </c>
      <c r="G27" s="10">
        <f t="shared" si="3"/>
        <v>42.98</v>
      </c>
      <c r="H27" s="7">
        <f>'[5]Mar Prod'!F26</f>
        <v>0</v>
      </c>
      <c r="I27" s="8">
        <f t="shared" si="4"/>
        <v>0</v>
      </c>
      <c r="J27" s="10">
        <f t="shared" si="5"/>
        <v>0</v>
      </c>
      <c r="K27" s="7">
        <f>'[5]Mar Prod'!H281</f>
        <v>792744</v>
      </c>
      <c r="L27" s="8">
        <f t="shared" si="6"/>
        <v>0.792744</v>
      </c>
      <c r="M27" s="10">
        <f t="shared" si="7"/>
        <v>2.4337240799999997</v>
      </c>
      <c r="N27" s="21"/>
      <c r="O27" s="7">
        <f>'[5]Mar Prod'!H26</f>
        <v>0</v>
      </c>
      <c r="P27" s="8">
        <f t="shared" si="8"/>
        <v>0</v>
      </c>
      <c r="Q27" s="10">
        <f t="shared" si="9"/>
        <v>0</v>
      </c>
      <c r="R27" s="7">
        <f>'[5]Mar Prod'!C26</f>
        <v>0</v>
      </c>
      <c r="S27" s="8">
        <f t="shared" si="10"/>
        <v>0</v>
      </c>
      <c r="T27" s="10">
        <f t="shared" si="11"/>
        <v>0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12399999.999999637</v>
      </c>
      <c r="AC27" s="8">
        <f t="shared" si="16"/>
        <v>12.399999999999636</v>
      </c>
      <c r="AD27" s="8">
        <f t="shared" si="16"/>
        <v>38.067999999998882</v>
      </c>
      <c r="AF27" s="8">
        <f t="shared" si="18"/>
        <v>0</v>
      </c>
    </row>
    <row r="28" spans="1:32" x14ac:dyDescent="0.15">
      <c r="A28" s="28">
        <v>38435</v>
      </c>
      <c r="B28" s="7">
        <f>'[5]Mar Prod'!I27</f>
        <v>11500000</v>
      </c>
      <c r="C28" s="8">
        <f t="shared" si="1"/>
        <v>11.5</v>
      </c>
      <c r="D28" s="10">
        <f t="shared" si="0"/>
        <v>35.305</v>
      </c>
      <c r="E28" s="7">
        <f>'[5]Mar Prod'!E27</f>
        <v>6000000</v>
      </c>
      <c r="F28" s="8">
        <f t="shared" si="2"/>
        <v>6</v>
      </c>
      <c r="G28" s="10">
        <f t="shared" si="3"/>
        <v>18.419999999999998</v>
      </c>
      <c r="H28" s="7">
        <f>'[5]Mar Prod'!F27</f>
        <v>6000000</v>
      </c>
      <c r="I28" s="8">
        <f t="shared" si="4"/>
        <v>6</v>
      </c>
      <c r="J28" s="10">
        <f t="shared" si="5"/>
        <v>18.419999999999998</v>
      </c>
      <c r="K28" s="7">
        <f>'[5]Mar Prod'!H282</f>
        <v>587009</v>
      </c>
      <c r="L28" s="8">
        <f t="shared" si="6"/>
        <v>0.587009</v>
      </c>
      <c r="M28" s="10">
        <f t="shared" si="7"/>
        <v>1.8021176299999999</v>
      </c>
      <c r="N28" s="21"/>
      <c r="O28" s="7">
        <f>'[5]Mar Prod'!H27</f>
        <v>0</v>
      </c>
      <c r="P28" s="8">
        <f t="shared" si="8"/>
        <v>0</v>
      </c>
      <c r="Q28" s="10">
        <f t="shared" si="9"/>
        <v>0</v>
      </c>
      <c r="R28" s="7">
        <f>'[5]Mar Prod'!C27</f>
        <v>0</v>
      </c>
      <c r="S28" s="8">
        <f t="shared" si="10"/>
        <v>0</v>
      </c>
      <c r="T28" s="10">
        <f t="shared" si="11"/>
        <v>0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11500000</v>
      </c>
      <c r="AC28" s="8">
        <f t="shared" si="16"/>
        <v>11.5</v>
      </c>
      <c r="AD28" s="8">
        <f t="shared" si="16"/>
        <v>35.305</v>
      </c>
      <c r="AF28" s="8">
        <f t="shared" si="18"/>
        <v>0</v>
      </c>
    </row>
    <row r="29" spans="1:32" x14ac:dyDescent="0.15">
      <c r="A29" s="28">
        <v>38436</v>
      </c>
      <c r="B29" s="7">
        <f>'[5]Mar Prod'!I28</f>
        <v>12100000.000000363</v>
      </c>
      <c r="C29" s="8">
        <f t="shared" si="1"/>
        <v>12.100000000000364</v>
      </c>
      <c r="D29" s="10">
        <f t="shared" si="0"/>
        <v>37.147000000001114</v>
      </c>
      <c r="E29" s="7">
        <f>'[5]Mar Prod'!E28</f>
        <v>8000000</v>
      </c>
      <c r="F29" s="8">
        <f t="shared" si="2"/>
        <v>8</v>
      </c>
      <c r="G29" s="10">
        <f t="shared" si="3"/>
        <v>24.56</v>
      </c>
      <c r="H29" s="7">
        <f>'[5]Mar Prod'!F28</f>
        <v>5000000</v>
      </c>
      <c r="I29" s="8">
        <f t="shared" si="4"/>
        <v>5</v>
      </c>
      <c r="J29" s="10">
        <f t="shared" si="5"/>
        <v>15.35</v>
      </c>
      <c r="K29" s="7">
        <f>'[5]Mar Prod'!H283</f>
        <v>-1506543</v>
      </c>
      <c r="L29" s="8">
        <f t="shared" si="6"/>
        <v>-1.506543</v>
      </c>
      <c r="M29" s="10">
        <f t="shared" si="7"/>
        <v>-4.6250870099999997</v>
      </c>
      <c r="N29" s="21"/>
      <c r="O29" s="7">
        <f>'[5]Mar Prod'!H28</f>
        <v>0</v>
      </c>
      <c r="P29" s="8">
        <f t="shared" si="8"/>
        <v>0</v>
      </c>
      <c r="Q29" s="10">
        <f t="shared" si="9"/>
        <v>0</v>
      </c>
      <c r="R29" s="7">
        <f>'[5]Mar Prod'!C28</f>
        <v>0</v>
      </c>
      <c r="S29" s="8">
        <f t="shared" si="10"/>
        <v>0</v>
      </c>
      <c r="T29" s="10">
        <f t="shared" si="11"/>
        <v>0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12100000.000000363</v>
      </c>
      <c r="AC29" s="8">
        <f t="shared" si="16"/>
        <v>12.100000000000364</v>
      </c>
      <c r="AD29" s="8">
        <f t="shared" si="16"/>
        <v>37.147000000001114</v>
      </c>
      <c r="AF29" s="8">
        <f t="shared" si="18"/>
        <v>0</v>
      </c>
    </row>
    <row r="30" spans="1:32" x14ac:dyDescent="0.15">
      <c r="A30" s="28">
        <v>38437</v>
      </c>
      <c r="B30" s="7">
        <f>'[5]Mar Prod'!I29</f>
        <v>12299999.999999272</v>
      </c>
      <c r="C30" s="8">
        <f t="shared" si="1"/>
        <v>12.299999999999272</v>
      </c>
      <c r="D30" s="10">
        <f t="shared" si="0"/>
        <v>37.760999999997765</v>
      </c>
      <c r="E30" s="7">
        <f>'[5]Mar Prod'!E29</f>
        <v>13000000</v>
      </c>
      <c r="F30" s="8">
        <f t="shared" si="2"/>
        <v>13</v>
      </c>
      <c r="G30" s="10">
        <f t="shared" si="3"/>
        <v>39.909999999999997</v>
      </c>
      <c r="H30" s="7">
        <f>'[5]Mar Prod'!F29</f>
        <v>0</v>
      </c>
      <c r="I30" s="8">
        <f t="shared" si="4"/>
        <v>0</v>
      </c>
      <c r="J30" s="10">
        <f t="shared" si="5"/>
        <v>0</v>
      </c>
      <c r="K30" s="7">
        <f>'[5]Mar Prod'!H284</f>
        <v>-2316</v>
      </c>
      <c r="L30" s="8">
        <f t="shared" si="6"/>
        <v>-2.3159999999999999E-3</v>
      </c>
      <c r="M30" s="10">
        <f t="shared" si="7"/>
        <v>-7.1101199999999993E-3</v>
      </c>
      <c r="N30" s="21"/>
      <c r="O30" s="7">
        <f>'[5]Mar Prod'!H29</f>
        <v>0</v>
      </c>
      <c r="P30" s="8">
        <f t="shared" si="8"/>
        <v>0</v>
      </c>
      <c r="Q30" s="10">
        <f t="shared" si="9"/>
        <v>0</v>
      </c>
      <c r="R30" s="7">
        <f>'[5]Mar Prod'!C29</f>
        <v>0</v>
      </c>
      <c r="S30" s="8">
        <f t="shared" si="10"/>
        <v>0</v>
      </c>
      <c r="T30" s="10">
        <f t="shared" si="11"/>
        <v>0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12299999.999999272</v>
      </c>
      <c r="AC30" s="8">
        <f t="shared" si="16"/>
        <v>12.299999999999272</v>
      </c>
      <c r="AD30" s="8">
        <f>D30+Q30</f>
        <v>37.760999999997765</v>
      </c>
      <c r="AF30" s="8">
        <f t="shared" si="18"/>
        <v>0</v>
      </c>
    </row>
    <row r="31" spans="1:32" x14ac:dyDescent="0.15">
      <c r="A31" s="28">
        <v>38438</v>
      </c>
      <c r="B31" s="7">
        <f>'[5]Mar Prod'!I30</f>
        <v>14899999.999999637</v>
      </c>
      <c r="C31" s="8">
        <f t="shared" si="1"/>
        <v>14.899999999999636</v>
      </c>
      <c r="D31" s="10">
        <f t="shared" si="0"/>
        <v>45.742999999998879</v>
      </c>
      <c r="E31" s="7">
        <f>'[5]Mar Prod'!E30</f>
        <v>15000000</v>
      </c>
      <c r="F31" s="8">
        <f t="shared" si="2"/>
        <v>15</v>
      </c>
      <c r="G31" s="10">
        <f t="shared" si="3"/>
        <v>46.05</v>
      </c>
      <c r="H31" s="7">
        <f>'[5]Mar Prod'!F30</f>
        <v>0</v>
      </c>
      <c r="I31" s="8">
        <f t="shared" si="4"/>
        <v>0</v>
      </c>
      <c r="J31" s="10">
        <f t="shared" si="5"/>
        <v>0</v>
      </c>
      <c r="K31" s="7">
        <f>'[5]Mar Prod'!H285</f>
        <v>86155</v>
      </c>
      <c r="L31" s="8">
        <f t="shared" si="6"/>
        <v>8.6154999999999995E-2</v>
      </c>
      <c r="M31" s="10">
        <f t="shared" si="7"/>
        <v>0.26449584999999998</v>
      </c>
      <c r="N31" s="21"/>
      <c r="O31" s="7">
        <f>'[5]Mar Prod'!H30</f>
        <v>0</v>
      </c>
      <c r="P31" s="8">
        <f t="shared" si="8"/>
        <v>0</v>
      </c>
      <c r="Q31" s="10">
        <f t="shared" si="9"/>
        <v>0</v>
      </c>
      <c r="R31" s="7">
        <f>'[5]Mar Prod'!C30</f>
        <v>0</v>
      </c>
      <c r="S31" s="8">
        <f t="shared" si="10"/>
        <v>0</v>
      </c>
      <c r="T31" s="10">
        <f t="shared" si="11"/>
        <v>0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14899999.999999637</v>
      </c>
      <c r="AC31" s="8">
        <f t="shared" si="16"/>
        <v>14.899999999999636</v>
      </c>
      <c r="AD31" s="8">
        <f t="shared" si="16"/>
        <v>45.742999999998879</v>
      </c>
      <c r="AF31" s="8">
        <f>T31-Q31-Z31</f>
        <v>0</v>
      </c>
    </row>
    <row r="32" spans="1:32" x14ac:dyDescent="0.15">
      <c r="A32" s="28">
        <v>38439</v>
      </c>
      <c r="B32" s="7">
        <f>'[5]Mar Prod'!I31</f>
        <v>14300000.000001092</v>
      </c>
      <c r="C32" s="8">
        <f t="shared" si="1"/>
        <v>14.300000000001091</v>
      </c>
      <c r="D32" s="10">
        <f t="shared" si="0"/>
        <v>43.90100000000335</v>
      </c>
      <c r="E32" s="7">
        <f>'[5]Mar Prod'!E31</f>
        <v>16000000</v>
      </c>
      <c r="F32" s="8">
        <f t="shared" si="2"/>
        <v>16</v>
      </c>
      <c r="G32" s="10">
        <f t="shared" si="3"/>
        <v>49.12</v>
      </c>
      <c r="H32" s="7">
        <f>'[5]Mar Prod'!F31</f>
        <v>0</v>
      </c>
      <c r="I32" s="8">
        <f t="shared" si="4"/>
        <v>0</v>
      </c>
      <c r="J32" s="10">
        <f t="shared" si="5"/>
        <v>0</v>
      </c>
      <c r="K32" s="7">
        <f>'[5]Mar Prod'!H286</f>
        <v>751936</v>
      </c>
      <c r="L32" s="8">
        <f t="shared" si="6"/>
        <v>0.75193600000000005</v>
      </c>
      <c r="M32" s="10">
        <f t="shared" si="7"/>
        <v>2.30844352</v>
      </c>
      <c r="N32" s="21"/>
      <c r="O32" s="7">
        <f>'[5]Mar Prod'!H31</f>
        <v>0</v>
      </c>
      <c r="P32" s="8">
        <f t="shared" si="8"/>
        <v>0</v>
      </c>
      <c r="Q32" s="10">
        <f t="shared" si="9"/>
        <v>0</v>
      </c>
      <c r="R32" s="7">
        <f>'[5]Mar Prod'!C31</f>
        <v>0</v>
      </c>
      <c r="S32" s="8">
        <f t="shared" si="10"/>
        <v>0</v>
      </c>
      <c r="T32" s="10">
        <f t="shared" si="11"/>
        <v>0</v>
      </c>
      <c r="U32" s="7">
        <f>'[5]Mar Prod'!D31</f>
        <v>0</v>
      </c>
      <c r="V32" s="8">
        <f t="shared" si="12"/>
        <v>0</v>
      </c>
      <c r="W32" s="10">
        <f t="shared" si="13"/>
        <v>0</v>
      </c>
      <c r="X32" s="7">
        <f>'[5]Mar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14300000.000001092</v>
      </c>
      <c r="AC32" s="8">
        <f t="shared" si="16"/>
        <v>14.300000000001091</v>
      </c>
      <c r="AD32" s="8">
        <f t="shared" si="16"/>
        <v>43.90100000000335</v>
      </c>
      <c r="AF32" s="8">
        <f t="shared" si="18"/>
        <v>0</v>
      </c>
    </row>
    <row r="33" spans="1:32" x14ac:dyDescent="0.15">
      <c r="A33" s="28">
        <v>38440</v>
      </c>
      <c r="B33" s="7">
        <f>'[5]Mar Prod'!I32</f>
        <v>12299999.999999272</v>
      </c>
      <c r="C33" s="8">
        <f t="shared" si="1"/>
        <v>12.299999999999272</v>
      </c>
      <c r="D33" s="10">
        <f t="shared" si="0"/>
        <v>37.760999999997765</v>
      </c>
      <c r="E33" s="7">
        <f>'[5]Mar Prod'!E32</f>
        <v>13000000</v>
      </c>
      <c r="F33" s="8">
        <f t="shared" si="2"/>
        <v>13</v>
      </c>
      <c r="G33" s="10">
        <f t="shared" si="3"/>
        <v>39.909999999999997</v>
      </c>
      <c r="H33" s="7">
        <f>'[5]Mar Prod'!F32</f>
        <v>0</v>
      </c>
      <c r="I33" s="8">
        <f t="shared" si="4"/>
        <v>0</v>
      </c>
      <c r="J33" s="10">
        <f t="shared" si="5"/>
        <v>0</v>
      </c>
      <c r="K33" s="7">
        <f>'[5]Mar Prod'!H287</f>
        <v>862991</v>
      </c>
      <c r="L33" s="8">
        <f t="shared" si="6"/>
        <v>0.86299099999999995</v>
      </c>
      <c r="M33" s="10">
        <f t="shared" si="7"/>
        <v>2.6493823699999997</v>
      </c>
      <c r="N33" s="21"/>
      <c r="O33" s="7">
        <f>'[5]Mar Prod'!H32</f>
        <v>0</v>
      </c>
      <c r="P33" s="8">
        <f t="shared" si="8"/>
        <v>0</v>
      </c>
      <c r="Q33" s="10">
        <f t="shared" si="9"/>
        <v>0</v>
      </c>
      <c r="R33" s="7">
        <f>'[5]Mar Prod'!C32</f>
        <v>0</v>
      </c>
      <c r="S33" s="8">
        <f t="shared" si="10"/>
        <v>0</v>
      </c>
      <c r="T33" s="10">
        <f t="shared" si="11"/>
        <v>0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12299999.999999272</v>
      </c>
      <c r="AC33" s="8">
        <f t="shared" si="16"/>
        <v>12.299999999999272</v>
      </c>
      <c r="AD33" s="8">
        <f t="shared" si="16"/>
        <v>37.760999999997765</v>
      </c>
      <c r="AF33" s="8">
        <f t="shared" si="18"/>
        <v>0</v>
      </c>
    </row>
    <row r="34" spans="1:32" x14ac:dyDescent="0.15">
      <c r="A34" s="28">
        <v>38441</v>
      </c>
      <c r="B34" s="7">
        <f>'[5]Mar Prod'!I33</f>
        <v>10600000.000000363</v>
      </c>
      <c r="C34" s="8">
        <f t="shared" si="1"/>
        <v>10.600000000000364</v>
      </c>
      <c r="D34" s="10">
        <f t="shared" si="0"/>
        <v>32.542000000001117</v>
      </c>
      <c r="E34" s="7">
        <f>'[5]Mar Prod'!E33</f>
        <v>11000000</v>
      </c>
      <c r="F34" s="8">
        <f t="shared" si="2"/>
        <v>11</v>
      </c>
      <c r="G34" s="10">
        <f t="shared" si="3"/>
        <v>33.769999999999996</v>
      </c>
      <c r="H34" s="7">
        <f>'[5]Mar Prod'!F33</f>
        <v>0</v>
      </c>
      <c r="I34" s="8">
        <f t="shared" si="4"/>
        <v>0</v>
      </c>
      <c r="J34" s="10">
        <f t="shared" si="5"/>
        <v>0</v>
      </c>
      <c r="K34" s="7">
        <f>'[5]Mar Prod'!H288</f>
        <v>580000</v>
      </c>
      <c r="L34" s="8">
        <f t="shared" si="6"/>
        <v>0.57999999999999996</v>
      </c>
      <c r="M34" s="10">
        <f t="shared" si="7"/>
        <v>1.7805999999999997</v>
      </c>
      <c r="N34" s="21"/>
      <c r="O34" s="7">
        <f>'[5]Mar Prod'!H33</f>
        <v>0</v>
      </c>
      <c r="P34" s="8">
        <f t="shared" si="8"/>
        <v>0</v>
      </c>
      <c r="Q34" s="10">
        <f t="shared" si="9"/>
        <v>0</v>
      </c>
      <c r="R34" s="7">
        <f>'[5]Mar Prod'!C33</f>
        <v>0</v>
      </c>
      <c r="S34" s="8">
        <f t="shared" si="10"/>
        <v>0</v>
      </c>
      <c r="T34" s="10">
        <f t="shared" si="11"/>
        <v>0</v>
      </c>
      <c r="U34" s="7">
        <f>'[5]Mar Prod'!D33</f>
        <v>0</v>
      </c>
      <c r="V34" s="8">
        <f t="shared" si="12"/>
        <v>0</v>
      </c>
      <c r="W34" s="10">
        <f t="shared" si="13"/>
        <v>0</v>
      </c>
      <c r="X34" s="7">
        <f>'[5]Mar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10600000.000000363</v>
      </c>
      <c r="AC34" s="8">
        <f t="shared" si="16"/>
        <v>10.600000000000364</v>
      </c>
      <c r="AD34" s="8">
        <f t="shared" si="16"/>
        <v>32.542000000001117</v>
      </c>
      <c r="AF34" s="8">
        <f t="shared" si="18"/>
        <v>0</v>
      </c>
    </row>
    <row r="35" spans="1:32" ht="14" thickBot="1" x14ac:dyDescent="0.2">
      <c r="A35" s="28">
        <v>38442</v>
      </c>
      <c r="B35" s="7">
        <f>'[5]Mar Prod'!I34</f>
        <v>12500000</v>
      </c>
      <c r="C35" s="8">
        <f t="shared" si="1"/>
        <v>12.5</v>
      </c>
      <c r="D35" s="10">
        <f t="shared" si="0"/>
        <v>38.375</v>
      </c>
      <c r="E35" s="7">
        <f>'[5]Mar Prod'!E34</f>
        <v>14000000</v>
      </c>
      <c r="F35" s="8">
        <f t="shared" si="2"/>
        <v>14</v>
      </c>
      <c r="G35" s="10">
        <f t="shared" si="3"/>
        <v>42.98</v>
      </c>
      <c r="H35" s="7">
        <f>'[5]Mar Prod'!F34</f>
        <v>0</v>
      </c>
      <c r="I35" s="8">
        <f t="shared" si="4"/>
        <v>0</v>
      </c>
      <c r="J35" s="10">
        <f t="shared" si="5"/>
        <v>0</v>
      </c>
      <c r="K35" s="7">
        <f>'[5]Mar Prod'!H289</f>
        <v>696917</v>
      </c>
      <c r="L35" s="8">
        <f t="shared" si="6"/>
        <v>0.69691700000000001</v>
      </c>
      <c r="M35" s="10">
        <f t="shared" si="7"/>
        <v>2.1395351899999997</v>
      </c>
      <c r="N35" s="21"/>
      <c r="O35" s="7">
        <f>'[5]Mar Prod'!H34</f>
        <v>0</v>
      </c>
      <c r="P35" s="8">
        <f t="shared" si="8"/>
        <v>0</v>
      </c>
      <c r="Q35" s="10">
        <f t="shared" si="9"/>
        <v>0</v>
      </c>
      <c r="R35" s="7">
        <f>'[5]Mar Prod'!C34</f>
        <v>0</v>
      </c>
      <c r="S35" s="8">
        <f t="shared" si="10"/>
        <v>0</v>
      </c>
      <c r="T35" s="10">
        <f t="shared" si="11"/>
        <v>0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12500000</v>
      </c>
      <c r="AC35" s="8">
        <f t="shared" si="16"/>
        <v>12.5</v>
      </c>
      <c r="AD35" s="8">
        <f t="shared" si="16"/>
        <v>38.375</v>
      </c>
      <c r="AF35" s="8">
        <f t="shared" si="18"/>
        <v>0</v>
      </c>
    </row>
    <row r="36" spans="1:32" ht="14" thickBot="1" x14ac:dyDescent="0.2">
      <c r="A36" s="14"/>
      <c r="B36" s="39"/>
      <c r="C36" s="40">
        <f>SUM(C5:C35)</f>
        <v>182.83750000000038</v>
      </c>
      <c r="D36" s="40">
        <f t="shared" ref="D36:J36" si="19">SUM(D5:D35)</f>
        <v>561.31112500000108</v>
      </c>
      <c r="E36" s="39"/>
      <c r="F36" s="40">
        <f t="shared" si="19"/>
        <v>193</v>
      </c>
      <c r="G36" s="40">
        <f t="shared" si="19"/>
        <v>592.51</v>
      </c>
      <c r="H36" s="39"/>
      <c r="I36" s="40">
        <f t="shared" si="19"/>
        <v>11</v>
      </c>
      <c r="J36" s="40">
        <f t="shared" si="19"/>
        <v>33.769999999999996</v>
      </c>
      <c r="K36" s="39"/>
      <c r="L36" s="40">
        <f>SUM(L5:L35)</f>
        <v>3.6740330000000005</v>
      </c>
      <c r="M36" s="40">
        <f>SUM(M5:M35)</f>
        <v>11.279281309999998</v>
      </c>
      <c r="N36" s="14"/>
      <c r="O36" s="39"/>
      <c r="P36" s="40">
        <f>SUM(P5:P35)</f>
        <v>192.14300000000003</v>
      </c>
      <c r="Q36" s="40">
        <f>SUM(Q5:Q35)</f>
        <v>589.87900999999999</v>
      </c>
      <c r="R36" s="39"/>
      <c r="S36" s="40">
        <f>SUM(S5:S35)</f>
        <v>198.22699999999998</v>
      </c>
      <c r="T36" s="40">
        <f>SUM(T5:T35)</f>
        <v>608.55688999999984</v>
      </c>
      <c r="U36" s="39"/>
      <c r="V36" s="40">
        <f>SUM(V5:V35)</f>
        <v>1E-3</v>
      </c>
      <c r="W36" s="40">
        <f>SUM(W5:W35)</f>
        <v>3.0699999999999998E-3</v>
      </c>
      <c r="X36" s="39"/>
      <c r="Y36" s="40">
        <f>SUM(Y5:Y35)</f>
        <v>6.085000000000008</v>
      </c>
      <c r="Z36" s="40">
        <f>SUM(Z5:Z35)</f>
        <v>18.680950000000021</v>
      </c>
      <c r="AA36" s="14"/>
      <c r="AB36" s="39"/>
      <c r="AC36" s="40">
        <f>SUM(AC5:AC35)</f>
        <v>374.9805000000004</v>
      </c>
      <c r="AD36" s="40">
        <f>AC36*3.07</f>
        <v>1151.1901350000012</v>
      </c>
      <c r="AF36" s="40">
        <f>SUM(AF5:AF35)</f>
        <v>-3.0699999999820871E-3</v>
      </c>
    </row>
    <row r="37" spans="1:32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F36"/>
  <sheetViews>
    <sheetView workbookViewId="0">
      <pane xSplit="1" ySplit="4" topLeftCell="J15" activePane="bottomRight" state="frozen"/>
      <selection pane="topRight" activeCell="B1" sqref="B1"/>
      <selection pane="bottomLeft" activeCell="A5" sqref="A5"/>
      <selection pane="bottomRight" activeCell="AD35" sqref="AD35"/>
    </sheetView>
  </sheetViews>
  <sheetFormatPr baseColWidth="10" defaultColWidth="8.83203125" defaultRowHeight="13" x14ac:dyDescent="0.15"/>
  <cols>
    <col min="2" max="2" width="13.33203125" customWidth="1"/>
    <col min="5" max="5" width="13.1640625" customWidth="1"/>
    <col min="8" max="8" width="12" customWidth="1"/>
    <col min="11" max="11" width="10.33203125" customWidth="1"/>
    <col min="12" max="12" width="11.6640625" bestFit="1" customWidth="1"/>
    <col min="15" max="15" width="10.6640625" customWidth="1"/>
    <col min="18" max="18" width="10.6640625" customWidth="1"/>
    <col min="21" max="21" width="10.5" customWidth="1"/>
    <col min="22" max="22" width="10.83203125" customWidth="1"/>
    <col min="24" max="24" width="12.1640625" customWidth="1"/>
    <col min="28" max="28" width="13.1640625" customWidth="1"/>
  </cols>
  <sheetData>
    <row r="1" spans="1:30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</row>
    <row r="4" spans="1:30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15">
      <c r="A5" s="28">
        <v>38443</v>
      </c>
      <c r="B5" s="7">
        <f>'[6]Apr Prod'!I4</f>
        <v>14000000</v>
      </c>
      <c r="C5" s="8">
        <f>B5/1000000</f>
        <v>14</v>
      </c>
      <c r="D5" s="10">
        <f>C5*3.07</f>
        <v>42.98</v>
      </c>
      <c r="E5" s="7">
        <f>'[6]Apr Prod'!E4</f>
        <v>14000000</v>
      </c>
      <c r="F5" s="8">
        <f>E5/1000000</f>
        <v>14</v>
      </c>
      <c r="G5" s="10">
        <f>F5*3.07</f>
        <v>42.98</v>
      </c>
      <c r="H5" s="7">
        <f>'[6]Apr Prod'!F4</f>
        <v>0</v>
      </c>
      <c r="I5" s="8">
        <f>H5/1000000</f>
        <v>0</v>
      </c>
      <c r="J5" s="10">
        <f>I5*3.07</f>
        <v>0</v>
      </c>
      <c r="K5" s="7">
        <f>'[6]Apr Prod'!H252</f>
        <v>686614</v>
      </c>
      <c r="L5" s="8">
        <f>K5/1000000</f>
        <v>0.68661399999999995</v>
      </c>
      <c r="M5" s="10">
        <f>L5*3.07</f>
        <v>2.1079049799999998</v>
      </c>
      <c r="N5" s="21"/>
      <c r="O5" s="7">
        <f>'[6]Apr Prod'!H4</f>
        <v>0</v>
      </c>
      <c r="P5" s="8">
        <f>O5/1000000</f>
        <v>0</v>
      </c>
      <c r="Q5" s="10">
        <f>P5*3.07</f>
        <v>0</v>
      </c>
      <c r="R5" s="7">
        <f>'[6]Apr Prod'!C4</f>
        <v>0</v>
      </c>
      <c r="S5" s="8">
        <f>R5/1000000</f>
        <v>0</v>
      </c>
      <c r="T5" s="10">
        <f>S5*3.07</f>
        <v>0</v>
      </c>
      <c r="U5" s="7">
        <f>'[6]Apr Prod'!D4</f>
        <v>0</v>
      </c>
      <c r="V5" s="8">
        <f>U5/1000000</f>
        <v>0</v>
      </c>
      <c r="W5" s="10">
        <f>V5*3.07</f>
        <v>0</v>
      </c>
      <c r="X5" s="7">
        <f>'[6]Apr Prod'!D252</f>
        <v>0</v>
      </c>
      <c r="Y5" s="8">
        <f>X5/1000000</f>
        <v>0</v>
      </c>
      <c r="Z5" s="10">
        <f>Y5*3.07</f>
        <v>0</v>
      </c>
      <c r="AA5" s="15"/>
      <c r="AB5" s="7">
        <f>B5+O5</f>
        <v>14000000</v>
      </c>
      <c r="AC5" s="8">
        <f>C5+P5</f>
        <v>14</v>
      </c>
      <c r="AD5" s="8">
        <f>D5+Q5</f>
        <v>42.98</v>
      </c>
    </row>
    <row r="6" spans="1:30" x14ac:dyDescent="0.15">
      <c r="A6" s="28">
        <v>38444</v>
      </c>
      <c r="B6" s="7">
        <f>'[6]Apr Prod'!I5</f>
        <v>17199999.999998908</v>
      </c>
      <c r="C6" s="8">
        <f t="shared" ref="C6:C34" si="0">B6/1000000</f>
        <v>17.199999999998909</v>
      </c>
      <c r="D6" s="10">
        <f t="shared" ref="D6:D34" si="1">C6*3.07</f>
        <v>52.803999999996648</v>
      </c>
      <c r="E6" s="7">
        <f>'[6]Apr Prod'!E5</f>
        <v>18000000</v>
      </c>
      <c r="F6" s="8">
        <f t="shared" ref="F6:F34" si="2">E6/1000000</f>
        <v>18</v>
      </c>
      <c r="G6" s="10">
        <f t="shared" ref="G6:G34" si="3">F6*3.07</f>
        <v>55.26</v>
      </c>
      <c r="H6" s="7">
        <f>'[6]Apr Prod'!F5</f>
        <v>0</v>
      </c>
      <c r="I6" s="8">
        <f t="shared" ref="I6:I34" si="4">H6/1000000</f>
        <v>0</v>
      </c>
      <c r="J6" s="10">
        <f t="shared" ref="J6:J34" si="5">I6*3.07</f>
        <v>0</v>
      </c>
      <c r="K6" s="7">
        <f>'[6]Apr Prod'!H253</f>
        <v>0</v>
      </c>
      <c r="L6" s="8">
        <f t="shared" ref="L6:L34" si="6">K6/1000000</f>
        <v>0</v>
      </c>
      <c r="M6" s="10">
        <f t="shared" ref="M6:M34" si="7">L6*3.07</f>
        <v>0</v>
      </c>
      <c r="N6" s="21"/>
      <c r="O6" s="7">
        <f>'[6]Apr Prod'!H5</f>
        <v>0</v>
      </c>
      <c r="P6" s="8">
        <f t="shared" ref="P6:P34" si="8">O6/1000000</f>
        <v>0</v>
      </c>
      <c r="Q6" s="10">
        <f t="shared" ref="Q6:Q34" si="9">P6*3.07</f>
        <v>0</v>
      </c>
      <c r="R6" s="7">
        <f>'[6]Apr Prod'!C5</f>
        <v>0</v>
      </c>
      <c r="S6" s="8">
        <f t="shared" ref="S6:S34" si="10">R6/1000000</f>
        <v>0</v>
      </c>
      <c r="T6" s="10">
        <f t="shared" ref="T6:T34" si="11">S6*3.07</f>
        <v>0</v>
      </c>
      <c r="U6" s="7">
        <f>'[6]Apr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 Prod'!D253</f>
        <v>0</v>
      </c>
      <c r="Y6" s="8">
        <f t="shared" ref="Y6:Y34" si="14">X6/1000000</f>
        <v>0</v>
      </c>
      <c r="Z6" s="10">
        <f t="shared" ref="Z6:Z34" si="15">Y6*3.07</f>
        <v>0</v>
      </c>
      <c r="AA6" s="15"/>
      <c r="AB6" s="7">
        <f t="shared" ref="AB6:AD35" si="16">B6+O6</f>
        <v>17199999.999998908</v>
      </c>
      <c r="AC6" s="8">
        <f t="shared" si="16"/>
        <v>17.199999999998909</v>
      </c>
      <c r="AD6" s="8">
        <f t="shared" si="16"/>
        <v>52.803999999996648</v>
      </c>
    </row>
    <row r="7" spans="1:30" x14ac:dyDescent="0.15">
      <c r="A7" s="28">
        <v>38445</v>
      </c>
      <c r="B7" s="7">
        <f>'[6]Apr Prod'!I6</f>
        <v>16200000.000000728</v>
      </c>
      <c r="C7" s="8">
        <f t="shared" si="0"/>
        <v>16.200000000000728</v>
      </c>
      <c r="D7" s="10">
        <f t="shared" si="1"/>
        <v>49.734000000002233</v>
      </c>
      <c r="E7" s="7">
        <f>'[6]Apr Prod'!E6</f>
        <v>18000000</v>
      </c>
      <c r="F7" s="8">
        <f t="shared" si="2"/>
        <v>18</v>
      </c>
      <c r="G7" s="10">
        <f t="shared" si="3"/>
        <v>55.26</v>
      </c>
      <c r="H7" s="7">
        <f>'[6]Apr Prod'!F6</f>
        <v>0</v>
      </c>
      <c r="I7" s="8">
        <f t="shared" si="4"/>
        <v>0</v>
      </c>
      <c r="J7" s="10">
        <f t="shared" si="5"/>
        <v>0</v>
      </c>
      <c r="K7" s="7">
        <f>'[6]Apr Prod'!H254</f>
        <v>991805</v>
      </c>
      <c r="L7" s="8">
        <f t="shared" si="6"/>
        <v>0.99180500000000005</v>
      </c>
      <c r="M7" s="10">
        <f t="shared" si="7"/>
        <v>3.04484135</v>
      </c>
      <c r="N7" s="21"/>
      <c r="O7" s="7">
        <f>'[6]Apr Prod'!H6</f>
        <v>-90999.999999999971</v>
      </c>
      <c r="P7" s="8">
        <f t="shared" si="8"/>
        <v>-9.099999999999997E-2</v>
      </c>
      <c r="Q7" s="10">
        <f t="shared" si="9"/>
        <v>-0.2793699999999999</v>
      </c>
      <c r="R7" s="7">
        <f>'[6]Apr Prod'!C6</f>
        <v>0</v>
      </c>
      <c r="S7" s="8">
        <f t="shared" si="10"/>
        <v>0</v>
      </c>
      <c r="T7" s="10">
        <f t="shared" si="11"/>
        <v>0</v>
      </c>
      <c r="U7" s="7">
        <f>'[6]Apr Prod'!D6</f>
        <v>0</v>
      </c>
      <c r="V7" s="8">
        <f t="shared" si="12"/>
        <v>0</v>
      </c>
      <c r="W7" s="10">
        <f t="shared" si="13"/>
        <v>0</v>
      </c>
      <c r="X7" s="7">
        <f>'[6]Apr Prod'!D254</f>
        <v>90999.999999999971</v>
      </c>
      <c r="Y7" s="8">
        <f t="shared" si="14"/>
        <v>9.099999999999997E-2</v>
      </c>
      <c r="Z7" s="10">
        <f t="shared" si="15"/>
        <v>0.2793699999999999</v>
      </c>
      <c r="AA7" s="15"/>
      <c r="AB7" s="7">
        <f t="shared" si="16"/>
        <v>16109000.000000728</v>
      </c>
      <c r="AC7" s="8">
        <f t="shared" si="16"/>
        <v>16.109000000000727</v>
      </c>
      <c r="AD7" s="8">
        <f t="shared" si="16"/>
        <v>49.454630000002233</v>
      </c>
    </row>
    <row r="8" spans="1:30" x14ac:dyDescent="0.15">
      <c r="A8" s="28">
        <v>38446</v>
      </c>
      <c r="B8" s="7">
        <f>'[6]Apr Prod'!I7</f>
        <v>11799999.999999272</v>
      </c>
      <c r="C8" s="8">
        <f t="shared" si="0"/>
        <v>11.799999999999272</v>
      </c>
      <c r="D8" s="10">
        <f t="shared" si="1"/>
        <v>36.225999999997761</v>
      </c>
      <c r="E8" s="7">
        <f>'[6]Apr Prod'!E7</f>
        <v>13000000</v>
      </c>
      <c r="F8" s="8">
        <f t="shared" si="2"/>
        <v>13</v>
      </c>
      <c r="G8" s="10">
        <f t="shared" si="3"/>
        <v>39.909999999999997</v>
      </c>
      <c r="H8" s="7">
        <f>'[6]Apr Prod'!F7</f>
        <v>0</v>
      </c>
      <c r="I8" s="8">
        <f t="shared" si="4"/>
        <v>0</v>
      </c>
      <c r="J8" s="10">
        <f t="shared" si="5"/>
        <v>0</v>
      </c>
      <c r="K8" s="7">
        <f>'[6]Apr Prod'!H255</f>
        <v>661647</v>
      </c>
      <c r="L8" s="8">
        <f t="shared" si="6"/>
        <v>0.66164699999999999</v>
      </c>
      <c r="M8" s="10">
        <f t="shared" si="7"/>
        <v>2.03125629</v>
      </c>
      <c r="N8" s="21"/>
      <c r="O8" s="7">
        <f>'[6]Apr Prod'!H7</f>
        <v>-340000.00000000006</v>
      </c>
      <c r="P8" s="8">
        <f t="shared" si="8"/>
        <v>-0.34000000000000008</v>
      </c>
      <c r="Q8" s="10">
        <f t="shared" si="9"/>
        <v>-1.0438000000000003</v>
      </c>
      <c r="R8" s="7">
        <f>'[6]Apr Prod'!C7</f>
        <v>0</v>
      </c>
      <c r="S8" s="8">
        <f t="shared" si="10"/>
        <v>0</v>
      </c>
      <c r="T8" s="10">
        <f t="shared" si="11"/>
        <v>0</v>
      </c>
      <c r="U8" s="7">
        <f>'[6]Apr Prod'!D7</f>
        <v>0</v>
      </c>
      <c r="V8" s="8">
        <f t="shared" si="12"/>
        <v>0</v>
      </c>
      <c r="W8" s="10">
        <f t="shared" si="13"/>
        <v>0</v>
      </c>
      <c r="X8" s="7">
        <f>'[6]Apr Prod'!D255</f>
        <v>340000.00000000006</v>
      </c>
      <c r="Y8" s="8">
        <f t="shared" si="14"/>
        <v>0.34000000000000008</v>
      </c>
      <c r="Z8" s="10">
        <f t="shared" si="15"/>
        <v>1.0438000000000003</v>
      </c>
      <c r="AA8" s="15"/>
      <c r="AB8" s="7">
        <f t="shared" si="16"/>
        <v>11459999.999999272</v>
      </c>
      <c r="AC8" s="8">
        <f t="shared" si="16"/>
        <v>11.459999999999273</v>
      </c>
      <c r="AD8" s="8">
        <f>D8+Q8</f>
        <v>35.182199999997763</v>
      </c>
    </row>
    <row r="9" spans="1:30" x14ac:dyDescent="0.15">
      <c r="A9" s="28">
        <v>38447</v>
      </c>
      <c r="B9" s="7">
        <f>'[6]Apr Prod'!I8</f>
        <v>11600000.000000363</v>
      </c>
      <c r="C9" s="8">
        <f t="shared" si="0"/>
        <v>11.600000000000364</v>
      </c>
      <c r="D9" s="10">
        <f t="shared" si="1"/>
        <v>35.612000000001117</v>
      </c>
      <c r="E9" s="7">
        <f>'[6]Apr Prod'!E8</f>
        <v>12000000</v>
      </c>
      <c r="F9" s="8">
        <f t="shared" si="2"/>
        <v>12</v>
      </c>
      <c r="G9" s="10">
        <f t="shared" si="3"/>
        <v>36.839999999999996</v>
      </c>
      <c r="H9" s="7">
        <f>'[6]Apr Prod'!F8</f>
        <v>0</v>
      </c>
      <c r="I9" s="8">
        <f t="shared" si="4"/>
        <v>0</v>
      </c>
      <c r="J9" s="10">
        <f t="shared" si="5"/>
        <v>0</v>
      </c>
      <c r="K9" s="7">
        <f>'[6]Apr Prod'!H256</f>
        <v>620173</v>
      </c>
      <c r="L9" s="8">
        <f t="shared" si="6"/>
        <v>0.62017299999999997</v>
      </c>
      <c r="M9" s="10">
        <f t="shared" si="7"/>
        <v>1.9039311099999998</v>
      </c>
      <c r="N9" s="21"/>
      <c r="O9" s="7">
        <f>'[6]Apr Prod'!H8</f>
        <v>0</v>
      </c>
      <c r="P9" s="8">
        <f t="shared" si="8"/>
        <v>0</v>
      </c>
      <c r="Q9" s="10">
        <f t="shared" si="9"/>
        <v>0</v>
      </c>
      <c r="R9" s="7">
        <f>'[6]Apr Prod'!C8</f>
        <v>0</v>
      </c>
      <c r="S9" s="8">
        <f t="shared" si="10"/>
        <v>0</v>
      </c>
      <c r="T9" s="10">
        <f t="shared" si="11"/>
        <v>0</v>
      </c>
      <c r="U9" s="7">
        <f>'[6]Apr Prod'!D8</f>
        <v>0</v>
      </c>
      <c r="V9" s="8">
        <f t="shared" si="12"/>
        <v>0</v>
      </c>
      <c r="W9" s="10">
        <f t="shared" si="13"/>
        <v>0</v>
      </c>
      <c r="X9" s="7">
        <f>'[6]Apr Prod'!D256</f>
        <v>13999.999999999791</v>
      </c>
      <c r="Y9" s="8">
        <f t="shared" si="14"/>
        <v>1.399999999999979E-2</v>
      </c>
      <c r="Z9" s="10">
        <f t="shared" si="15"/>
        <v>4.2979999999999352E-2</v>
      </c>
      <c r="AA9" s="15"/>
      <c r="AB9" s="7">
        <f t="shared" si="16"/>
        <v>11600000.000000363</v>
      </c>
      <c r="AC9" s="8">
        <f t="shared" si="16"/>
        <v>11.600000000000364</v>
      </c>
      <c r="AD9" s="8">
        <f t="shared" si="16"/>
        <v>35.612000000001117</v>
      </c>
    </row>
    <row r="10" spans="1:30" x14ac:dyDescent="0.15">
      <c r="A10" s="28">
        <v>38448</v>
      </c>
      <c r="B10" s="7">
        <f>'[6]Apr Prod'!I9</f>
        <v>12399999.999999637</v>
      </c>
      <c r="C10" s="8">
        <f t="shared" si="0"/>
        <v>12.399999999999636</v>
      </c>
      <c r="D10" s="10">
        <f t="shared" si="1"/>
        <v>38.067999999998882</v>
      </c>
      <c r="E10" s="7">
        <f>'[6]Apr Prod'!E9</f>
        <v>13000000</v>
      </c>
      <c r="F10" s="8">
        <f t="shared" si="2"/>
        <v>13</v>
      </c>
      <c r="G10" s="10">
        <f t="shared" si="3"/>
        <v>39.909999999999997</v>
      </c>
      <c r="H10" s="7">
        <f>'[6]Apr Prod'!F9</f>
        <v>0</v>
      </c>
      <c r="I10" s="8">
        <f t="shared" si="4"/>
        <v>0</v>
      </c>
      <c r="J10" s="10">
        <f t="shared" si="5"/>
        <v>0</v>
      </c>
      <c r="K10" s="7">
        <f>'[6]Apr Prod'!H257</f>
        <v>698270</v>
      </c>
      <c r="L10" s="8">
        <f t="shared" si="6"/>
        <v>0.69826999999999995</v>
      </c>
      <c r="M10" s="10">
        <f t="shared" si="7"/>
        <v>2.1436888999999999</v>
      </c>
      <c r="N10" s="21"/>
      <c r="O10" s="7">
        <f>'[6]Apr Prod'!H9</f>
        <v>0</v>
      </c>
      <c r="P10" s="8">
        <f t="shared" si="8"/>
        <v>0</v>
      </c>
      <c r="Q10" s="10">
        <f t="shared" si="9"/>
        <v>0</v>
      </c>
      <c r="R10" s="7">
        <f>'[6]Apr Prod'!C9</f>
        <v>0</v>
      </c>
      <c r="S10" s="8">
        <f t="shared" si="10"/>
        <v>0</v>
      </c>
      <c r="T10" s="10">
        <f t="shared" si="11"/>
        <v>0</v>
      </c>
      <c r="U10" s="7">
        <f>'[6]Apr Prod'!D9</f>
        <v>0</v>
      </c>
      <c r="V10" s="8">
        <f t="shared" si="12"/>
        <v>0</v>
      </c>
      <c r="W10" s="10">
        <f t="shared" si="13"/>
        <v>0</v>
      </c>
      <c r="X10" s="7">
        <f>'[6]Apr Prod'!D257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12399999.999999637</v>
      </c>
      <c r="AC10" s="8">
        <f t="shared" si="16"/>
        <v>12.399999999999636</v>
      </c>
      <c r="AD10" s="8">
        <f t="shared" si="16"/>
        <v>38.067999999998882</v>
      </c>
    </row>
    <row r="11" spans="1:30" x14ac:dyDescent="0.15">
      <c r="A11" s="28">
        <v>38449</v>
      </c>
      <c r="B11" s="7">
        <f>'[6]Apr Prod'!I10</f>
        <v>12300000.000001092</v>
      </c>
      <c r="C11" s="8">
        <f t="shared" si="0"/>
        <v>12.300000000001091</v>
      </c>
      <c r="D11" s="10">
        <f t="shared" si="1"/>
        <v>37.761000000003349</v>
      </c>
      <c r="E11" s="7">
        <f>'[6]Apr Prod'!E10</f>
        <v>13000000</v>
      </c>
      <c r="F11" s="8">
        <f t="shared" si="2"/>
        <v>13</v>
      </c>
      <c r="G11" s="10">
        <f t="shared" si="3"/>
        <v>39.909999999999997</v>
      </c>
      <c r="H11" s="7">
        <f>'[6]Apr Prod'!F10</f>
        <v>0</v>
      </c>
      <c r="I11" s="8">
        <f t="shared" si="4"/>
        <v>0</v>
      </c>
      <c r="J11" s="10">
        <f t="shared" si="5"/>
        <v>0</v>
      </c>
      <c r="K11" s="7">
        <f>'[6]Apr Prod'!H258</f>
        <v>762798</v>
      </c>
      <c r="L11" s="8">
        <f t="shared" si="6"/>
        <v>0.76279799999999998</v>
      </c>
      <c r="M11" s="10">
        <f t="shared" si="7"/>
        <v>2.34178986</v>
      </c>
      <c r="N11" s="21"/>
      <c r="O11" s="7">
        <f>'[6]Apr Prod'!H10</f>
        <v>0</v>
      </c>
      <c r="P11" s="8">
        <f t="shared" si="8"/>
        <v>0</v>
      </c>
      <c r="Q11" s="10">
        <f t="shared" si="9"/>
        <v>0</v>
      </c>
      <c r="R11" s="7">
        <f>'[6]Apr Prod'!C10</f>
        <v>0</v>
      </c>
      <c r="S11" s="8">
        <f t="shared" si="10"/>
        <v>0</v>
      </c>
      <c r="T11" s="10">
        <f t="shared" si="11"/>
        <v>0</v>
      </c>
      <c r="U11" s="7">
        <f>'[6]Apr Prod'!D10</f>
        <v>0</v>
      </c>
      <c r="V11" s="8">
        <f t="shared" si="12"/>
        <v>0</v>
      </c>
      <c r="W11" s="10">
        <f t="shared" si="13"/>
        <v>0</v>
      </c>
      <c r="X11" s="7">
        <f>'[6]Apr Prod'!D258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12300000.000001092</v>
      </c>
      <c r="AC11" s="8">
        <f t="shared" si="16"/>
        <v>12.300000000001091</v>
      </c>
      <c r="AD11" s="8">
        <f t="shared" si="16"/>
        <v>37.761000000003349</v>
      </c>
    </row>
    <row r="12" spans="1:30" x14ac:dyDescent="0.15">
      <c r="A12" s="28">
        <v>38450</v>
      </c>
      <c r="B12" s="7">
        <f>'[6]Apr Prod'!I11</f>
        <v>13600000.000000363</v>
      </c>
      <c r="C12" s="8">
        <f t="shared" si="0"/>
        <v>13.600000000000364</v>
      </c>
      <c r="D12" s="10">
        <f t="shared" si="1"/>
        <v>41.752000000001118</v>
      </c>
      <c r="E12" s="7">
        <f>'[6]Apr Prod'!E11</f>
        <v>14000000</v>
      </c>
      <c r="F12" s="8">
        <f t="shared" si="2"/>
        <v>14</v>
      </c>
      <c r="G12" s="10">
        <f t="shared" si="3"/>
        <v>42.98</v>
      </c>
      <c r="H12" s="7">
        <f>'[6]Apr Prod'!F11</f>
        <v>0</v>
      </c>
      <c r="I12" s="8">
        <f t="shared" si="4"/>
        <v>0</v>
      </c>
      <c r="J12" s="10">
        <f t="shared" si="5"/>
        <v>0</v>
      </c>
      <c r="K12" s="7">
        <f>'[6]Apr Prod'!H259</f>
        <v>668906</v>
      </c>
      <c r="L12" s="8">
        <f t="shared" si="6"/>
        <v>0.668906</v>
      </c>
      <c r="M12" s="10">
        <f t="shared" si="7"/>
        <v>2.0535414199999997</v>
      </c>
      <c r="N12" s="21"/>
      <c r="O12" s="7">
        <f>'[6]Apr Prod'!H11</f>
        <v>6000</v>
      </c>
      <c r="P12" s="8">
        <f t="shared" si="8"/>
        <v>6.0000000000000001E-3</v>
      </c>
      <c r="Q12" s="10">
        <f t="shared" si="9"/>
        <v>1.8419999999999999E-2</v>
      </c>
      <c r="R12" s="7">
        <f>'[6]Apr Prod'!C11</f>
        <v>6000</v>
      </c>
      <c r="S12" s="8">
        <f t="shared" si="10"/>
        <v>6.0000000000000001E-3</v>
      </c>
      <c r="T12" s="10">
        <f t="shared" si="11"/>
        <v>1.8419999999999999E-2</v>
      </c>
      <c r="U12" s="7">
        <f>'[6]Apr Prod'!D11</f>
        <v>0</v>
      </c>
      <c r="V12" s="8">
        <f t="shared" si="12"/>
        <v>0</v>
      </c>
      <c r="W12" s="10">
        <f t="shared" si="13"/>
        <v>0</v>
      </c>
      <c r="X12" s="7">
        <f>'[6]Apr Prod'!D259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13606000.000000363</v>
      </c>
      <c r="AC12" s="8">
        <f t="shared" si="16"/>
        <v>13.606000000000364</v>
      </c>
      <c r="AD12" s="8">
        <f t="shared" si="16"/>
        <v>41.770420000001117</v>
      </c>
    </row>
    <row r="13" spans="1:30" x14ac:dyDescent="0.15">
      <c r="A13" s="28">
        <v>38451</v>
      </c>
      <c r="B13" s="7">
        <f>'[6]Apr Prod'!I12</f>
        <v>15599999.999998545</v>
      </c>
      <c r="C13" s="8">
        <f t="shared" si="0"/>
        <v>15.599999999998545</v>
      </c>
      <c r="D13" s="10">
        <f t="shared" si="1"/>
        <v>47.891999999995527</v>
      </c>
      <c r="E13" s="7">
        <f>'[6]Apr Prod'!E12</f>
        <v>16000000</v>
      </c>
      <c r="F13" s="8">
        <f t="shared" si="2"/>
        <v>16</v>
      </c>
      <c r="G13" s="10">
        <f t="shared" si="3"/>
        <v>49.12</v>
      </c>
      <c r="H13" s="7">
        <f>'[6]Apr Prod'!F12</f>
        <v>0</v>
      </c>
      <c r="I13" s="8">
        <f t="shared" si="4"/>
        <v>0</v>
      </c>
      <c r="J13" s="10">
        <f t="shared" si="5"/>
        <v>0</v>
      </c>
      <c r="K13" s="7">
        <f>'[6]Apr Prod'!H260</f>
        <v>825523</v>
      </c>
      <c r="L13" s="8">
        <f t="shared" si="6"/>
        <v>0.82552300000000001</v>
      </c>
      <c r="M13" s="10">
        <f t="shared" si="7"/>
        <v>2.53435561</v>
      </c>
      <c r="N13" s="21"/>
      <c r="O13" s="7">
        <f>'[6]Apr Prod'!H12</f>
        <v>0</v>
      </c>
      <c r="P13" s="8">
        <f t="shared" si="8"/>
        <v>0</v>
      </c>
      <c r="Q13" s="10">
        <f t="shared" si="9"/>
        <v>0</v>
      </c>
      <c r="R13" s="7">
        <f>'[6]Apr Prod'!C12</f>
        <v>0</v>
      </c>
      <c r="S13" s="8">
        <f t="shared" si="10"/>
        <v>0</v>
      </c>
      <c r="T13" s="10">
        <f t="shared" si="11"/>
        <v>0</v>
      </c>
      <c r="U13" s="7">
        <f>'[6]Apr Prod'!D12</f>
        <v>0</v>
      </c>
      <c r="V13" s="8">
        <f t="shared" si="12"/>
        <v>0</v>
      </c>
      <c r="W13" s="10">
        <f t="shared" si="13"/>
        <v>0</v>
      </c>
      <c r="X13" s="7">
        <f>'[6]Apr Prod'!D260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15599999.999998545</v>
      </c>
      <c r="AC13" s="8">
        <f t="shared" si="16"/>
        <v>15.599999999998545</v>
      </c>
      <c r="AD13" s="8">
        <f t="shared" si="16"/>
        <v>47.891999999995527</v>
      </c>
    </row>
    <row r="14" spans="1:30" x14ac:dyDescent="0.15">
      <c r="A14" s="28">
        <v>38452</v>
      </c>
      <c r="B14" s="7">
        <f>'[6]Apr Prod'!I13</f>
        <v>12600000.000000363</v>
      </c>
      <c r="C14" s="8">
        <f t="shared" si="0"/>
        <v>12.600000000000364</v>
      </c>
      <c r="D14" s="10">
        <f t="shared" si="1"/>
        <v>38.682000000001118</v>
      </c>
      <c r="E14" s="7">
        <f>'[6]Apr Prod'!E13</f>
        <v>14000000</v>
      </c>
      <c r="F14" s="8">
        <f t="shared" si="2"/>
        <v>14</v>
      </c>
      <c r="G14" s="10">
        <f t="shared" si="3"/>
        <v>42.98</v>
      </c>
      <c r="H14" s="7">
        <f>'[6]Apr Prod'!F13</f>
        <v>0</v>
      </c>
      <c r="I14" s="8">
        <f t="shared" si="4"/>
        <v>0</v>
      </c>
      <c r="J14" s="10">
        <f t="shared" si="5"/>
        <v>0</v>
      </c>
      <c r="K14" s="7">
        <f>'[6]Apr Prod'!H261</f>
        <v>659051</v>
      </c>
      <c r="L14" s="8">
        <f t="shared" si="6"/>
        <v>0.65905100000000005</v>
      </c>
      <c r="M14" s="10">
        <f t="shared" si="7"/>
        <v>2.0232865700000002</v>
      </c>
      <c r="N14" s="21"/>
      <c r="O14" s="7">
        <f>'[6]Apr Prod'!H13</f>
        <v>0</v>
      </c>
      <c r="P14" s="8">
        <f t="shared" si="8"/>
        <v>0</v>
      </c>
      <c r="Q14" s="10">
        <f t="shared" si="9"/>
        <v>0</v>
      </c>
      <c r="R14" s="7">
        <f>'[6]Apr Prod'!C13</f>
        <v>0</v>
      </c>
      <c r="S14" s="8">
        <f t="shared" si="10"/>
        <v>0</v>
      </c>
      <c r="T14" s="10">
        <f t="shared" si="11"/>
        <v>0</v>
      </c>
      <c r="U14" s="7">
        <f>'[6]Apr Prod'!D13</f>
        <v>0</v>
      </c>
      <c r="V14" s="8">
        <f t="shared" si="12"/>
        <v>0</v>
      </c>
      <c r="W14" s="10">
        <f t="shared" si="13"/>
        <v>0</v>
      </c>
      <c r="X14" s="7">
        <f>'[6]Apr Prod'!D261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12600000.000000363</v>
      </c>
      <c r="AC14" s="8">
        <f t="shared" si="16"/>
        <v>12.600000000000364</v>
      </c>
      <c r="AD14" s="8">
        <f t="shared" si="16"/>
        <v>38.682000000001118</v>
      </c>
    </row>
    <row r="15" spans="1:30" x14ac:dyDescent="0.15">
      <c r="A15" s="28">
        <v>38453</v>
      </c>
      <c r="B15" s="7">
        <f>'[6]Apr Prod'!I14</f>
        <v>19100000.000000365</v>
      </c>
      <c r="C15" s="8">
        <f t="shared" si="0"/>
        <v>19.100000000000364</v>
      </c>
      <c r="D15" s="10">
        <f t="shared" si="1"/>
        <v>58.637000000001116</v>
      </c>
      <c r="E15" s="7">
        <f>'[6]Apr Prod'!E14</f>
        <v>20000000</v>
      </c>
      <c r="F15" s="8">
        <f t="shared" si="2"/>
        <v>20</v>
      </c>
      <c r="G15" s="10">
        <f t="shared" si="3"/>
        <v>61.4</v>
      </c>
      <c r="H15" s="7">
        <f>'[6]Apr Prod'!F14</f>
        <v>0</v>
      </c>
      <c r="I15" s="8">
        <f t="shared" si="4"/>
        <v>0</v>
      </c>
      <c r="J15" s="10">
        <f t="shared" si="5"/>
        <v>0</v>
      </c>
      <c r="K15" s="7">
        <f>'[6]Apr Prod'!H262</f>
        <v>1142538</v>
      </c>
      <c r="L15" s="8">
        <f t="shared" si="6"/>
        <v>1.1425380000000001</v>
      </c>
      <c r="M15" s="10">
        <f t="shared" si="7"/>
        <v>3.5075916600000001</v>
      </c>
      <c r="N15" s="21"/>
      <c r="O15" s="7">
        <f>'[6]Apr Prod'!H14</f>
        <v>0</v>
      </c>
      <c r="P15" s="8">
        <f t="shared" si="8"/>
        <v>0</v>
      </c>
      <c r="Q15" s="10">
        <f t="shared" si="9"/>
        <v>0</v>
      </c>
      <c r="R15" s="7">
        <f>'[6]Apr Prod'!C14</f>
        <v>0</v>
      </c>
      <c r="S15" s="8">
        <f t="shared" si="10"/>
        <v>0</v>
      </c>
      <c r="T15" s="10">
        <f t="shared" si="11"/>
        <v>0</v>
      </c>
      <c r="U15" s="7">
        <f>'[6]Apr Prod'!D14</f>
        <v>0</v>
      </c>
      <c r="V15" s="8">
        <f t="shared" si="12"/>
        <v>0</v>
      </c>
      <c r="W15" s="10">
        <f t="shared" si="13"/>
        <v>0</v>
      </c>
      <c r="X15" s="7">
        <f>'[6]Apr Prod'!D262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19100000.000000365</v>
      </c>
      <c r="AC15" s="8">
        <f t="shared" si="16"/>
        <v>19.100000000000364</v>
      </c>
      <c r="AD15" s="8">
        <f t="shared" si="16"/>
        <v>58.637000000001116</v>
      </c>
    </row>
    <row r="16" spans="1:30" x14ac:dyDescent="0.15">
      <c r="A16" s="28">
        <v>38454</v>
      </c>
      <c r="B16" s="7">
        <f>'[6]Apr Prod'!I15</f>
        <v>18700000.000000726</v>
      </c>
      <c r="C16" s="8">
        <f t="shared" si="0"/>
        <v>18.700000000000728</v>
      </c>
      <c r="D16" s="10">
        <f t="shared" si="1"/>
        <v>57.40900000000223</v>
      </c>
      <c r="E16" s="7">
        <f>'[6]Apr Prod'!E15</f>
        <v>19000000</v>
      </c>
      <c r="F16" s="8">
        <f t="shared" si="2"/>
        <v>19</v>
      </c>
      <c r="G16" s="10">
        <f t="shared" si="3"/>
        <v>58.33</v>
      </c>
      <c r="H16" s="7">
        <f>'[6]Apr Prod'!F15</f>
        <v>0</v>
      </c>
      <c r="I16" s="8">
        <f t="shared" si="4"/>
        <v>0</v>
      </c>
      <c r="J16" s="10">
        <f t="shared" si="5"/>
        <v>0</v>
      </c>
      <c r="K16" s="7">
        <f>'[6]Apr Prod'!H263</f>
        <v>1082785</v>
      </c>
      <c r="L16" s="8">
        <f t="shared" si="6"/>
        <v>1.0827850000000001</v>
      </c>
      <c r="M16" s="10">
        <f t="shared" si="7"/>
        <v>3.3241499500000002</v>
      </c>
      <c r="N16" s="21"/>
      <c r="O16" s="7">
        <f>'[6]Apr Prod'!H15</f>
        <v>0</v>
      </c>
      <c r="P16" s="8">
        <f t="shared" si="8"/>
        <v>0</v>
      </c>
      <c r="Q16" s="10">
        <f t="shared" si="9"/>
        <v>0</v>
      </c>
      <c r="R16" s="7">
        <f>'[6]Apr Prod'!C15</f>
        <v>0</v>
      </c>
      <c r="S16" s="8">
        <f t="shared" si="10"/>
        <v>0</v>
      </c>
      <c r="T16" s="10">
        <f t="shared" si="11"/>
        <v>0</v>
      </c>
      <c r="U16" s="7">
        <f>'[6]Apr Prod'!D15</f>
        <v>0</v>
      </c>
      <c r="V16" s="8">
        <f t="shared" si="12"/>
        <v>0</v>
      </c>
      <c r="W16" s="10">
        <f t="shared" si="13"/>
        <v>0</v>
      </c>
      <c r="X16" s="7">
        <f>'[6]Apr Prod'!D263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18700000.000000726</v>
      </c>
      <c r="AC16" s="8">
        <f t="shared" si="16"/>
        <v>18.700000000000728</v>
      </c>
      <c r="AD16" s="8">
        <f t="shared" si="16"/>
        <v>57.40900000000223</v>
      </c>
    </row>
    <row r="17" spans="1:30" x14ac:dyDescent="0.15">
      <c r="A17" s="28">
        <v>38455</v>
      </c>
      <c r="B17" s="7">
        <f>'[6]Apr Prod'!I16</f>
        <v>13399999.999999637</v>
      </c>
      <c r="C17" s="8">
        <f t="shared" si="0"/>
        <v>13.399999999999636</v>
      </c>
      <c r="D17" s="10">
        <f t="shared" si="1"/>
        <v>41.137999999998883</v>
      </c>
      <c r="E17" s="7">
        <f>'[6]Apr Prod'!E16</f>
        <v>14000000</v>
      </c>
      <c r="F17" s="8">
        <f t="shared" si="2"/>
        <v>14</v>
      </c>
      <c r="G17" s="10">
        <f t="shared" si="3"/>
        <v>42.98</v>
      </c>
      <c r="H17" s="7">
        <f>'[6]Apr Prod'!F16</f>
        <v>0</v>
      </c>
      <c r="I17" s="8">
        <f t="shared" si="4"/>
        <v>0</v>
      </c>
      <c r="J17" s="10">
        <f t="shared" si="5"/>
        <v>0</v>
      </c>
      <c r="K17" s="7">
        <f>'[6]Apr Prod'!H264</f>
        <v>796092</v>
      </c>
      <c r="L17" s="8">
        <f t="shared" si="6"/>
        <v>0.79609200000000002</v>
      </c>
      <c r="M17" s="10">
        <f t="shared" si="7"/>
        <v>2.4440024399999998</v>
      </c>
      <c r="N17" s="21"/>
      <c r="O17" s="7">
        <f>'[6]Apr Prod'!H16</f>
        <v>0</v>
      </c>
      <c r="P17" s="8">
        <f t="shared" si="8"/>
        <v>0</v>
      </c>
      <c r="Q17" s="10">
        <f t="shared" si="9"/>
        <v>0</v>
      </c>
      <c r="R17" s="7">
        <f>'[6]Apr Prod'!C16</f>
        <v>0</v>
      </c>
      <c r="S17" s="8">
        <f t="shared" si="10"/>
        <v>0</v>
      </c>
      <c r="T17" s="10">
        <f t="shared" si="11"/>
        <v>0</v>
      </c>
      <c r="U17" s="7">
        <f>'[6]Apr Prod'!D16</f>
        <v>0</v>
      </c>
      <c r="V17" s="8">
        <f t="shared" si="12"/>
        <v>0</v>
      </c>
      <c r="W17" s="10">
        <f t="shared" si="13"/>
        <v>0</v>
      </c>
      <c r="X17" s="7">
        <f>'[6]Apr Prod'!D264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13399999.999999637</v>
      </c>
      <c r="AC17" s="8">
        <f t="shared" si="16"/>
        <v>13.399999999999636</v>
      </c>
      <c r="AD17" s="8">
        <f t="shared" si="16"/>
        <v>41.137999999998883</v>
      </c>
    </row>
    <row r="18" spans="1:30" x14ac:dyDescent="0.15">
      <c r="A18" s="28">
        <v>38456</v>
      </c>
      <c r="B18" s="7">
        <f>'[6]Apr Prod'!I17</f>
        <v>12899999.999999637</v>
      </c>
      <c r="C18" s="8">
        <f t="shared" si="0"/>
        <v>12.899999999999636</v>
      </c>
      <c r="D18" s="10">
        <f t="shared" si="1"/>
        <v>39.602999999998879</v>
      </c>
      <c r="E18" s="7">
        <f>'[6]Apr Prod'!E17</f>
        <v>14000000</v>
      </c>
      <c r="F18" s="8">
        <f t="shared" si="2"/>
        <v>14</v>
      </c>
      <c r="G18" s="10">
        <f t="shared" si="3"/>
        <v>42.98</v>
      </c>
      <c r="H18" s="7">
        <f>'[6]Apr Prod'!F17</f>
        <v>0</v>
      </c>
      <c r="I18" s="8">
        <f t="shared" si="4"/>
        <v>0</v>
      </c>
      <c r="J18" s="10">
        <f t="shared" si="5"/>
        <v>0</v>
      </c>
      <c r="K18" s="7">
        <f>'[6]Apr Prod'!H265</f>
        <v>619058</v>
      </c>
      <c r="L18" s="8">
        <f t="shared" si="6"/>
        <v>0.619058</v>
      </c>
      <c r="M18" s="10">
        <f t="shared" si="7"/>
        <v>1.9005080599999999</v>
      </c>
      <c r="N18" s="21"/>
      <c r="O18" s="7">
        <f>'[6]Apr Prod'!H17</f>
        <v>0</v>
      </c>
      <c r="P18" s="8">
        <f t="shared" si="8"/>
        <v>0</v>
      </c>
      <c r="Q18" s="10">
        <f t="shared" si="9"/>
        <v>0</v>
      </c>
      <c r="R18" s="7">
        <f>'[6]Apr Prod'!C17</f>
        <v>0</v>
      </c>
      <c r="S18" s="8">
        <f t="shared" si="10"/>
        <v>0</v>
      </c>
      <c r="T18" s="10">
        <f t="shared" si="11"/>
        <v>0</v>
      </c>
      <c r="U18" s="7">
        <f>'[6]Apr Prod'!D17</f>
        <v>0</v>
      </c>
      <c r="V18" s="8">
        <f t="shared" si="12"/>
        <v>0</v>
      </c>
      <c r="W18" s="10">
        <f t="shared" si="13"/>
        <v>0</v>
      </c>
      <c r="X18" s="7">
        <f>'[6]Apr Prod'!D265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12899999.999999637</v>
      </c>
      <c r="AC18" s="8">
        <f t="shared" si="16"/>
        <v>12.899999999999636</v>
      </c>
      <c r="AD18" s="8">
        <f t="shared" si="16"/>
        <v>39.602999999998879</v>
      </c>
    </row>
    <row r="19" spans="1:30" x14ac:dyDescent="0.15">
      <c r="A19" s="28">
        <v>38457</v>
      </c>
      <c r="B19" s="7">
        <f>'[6]Apr Prod'!I18</f>
        <v>14500000</v>
      </c>
      <c r="C19" s="8">
        <f t="shared" si="0"/>
        <v>14.5</v>
      </c>
      <c r="D19" s="10">
        <f t="shared" si="1"/>
        <v>44.515000000000001</v>
      </c>
      <c r="E19" s="7">
        <f>'[6]Apr Prod'!E18</f>
        <v>15000000</v>
      </c>
      <c r="F19" s="8">
        <f t="shared" si="2"/>
        <v>15</v>
      </c>
      <c r="G19" s="10">
        <f t="shared" si="3"/>
        <v>46.05</v>
      </c>
      <c r="H19" s="7">
        <f>'[6]Apr Prod'!F18</f>
        <v>0</v>
      </c>
      <c r="I19" s="8">
        <f t="shared" si="4"/>
        <v>0</v>
      </c>
      <c r="J19" s="10">
        <f t="shared" si="5"/>
        <v>0</v>
      </c>
      <c r="K19" s="7">
        <f>'[6]Apr Prod'!H266</f>
        <v>861427</v>
      </c>
      <c r="L19" s="8">
        <f t="shared" si="6"/>
        <v>0.86142700000000005</v>
      </c>
      <c r="M19" s="10">
        <f t="shared" si="7"/>
        <v>2.6445808899999999</v>
      </c>
      <c r="N19" s="21"/>
      <c r="O19" s="7">
        <f>'[6]Apr Prod'!H18</f>
        <v>0</v>
      </c>
      <c r="P19" s="8">
        <f t="shared" si="8"/>
        <v>0</v>
      </c>
      <c r="Q19" s="10">
        <f t="shared" si="9"/>
        <v>0</v>
      </c>
      <c r="R19" s="7">
        <f>'[6]Apr Prod'!C18</f>
        <v>0</v>
      </c>
      <c r="S19" s="8">
        <f t="shared" si="10"/>
        <v>0</v>
      </c>
      <c r="T19" s="10">
        <f t="shared" si="11"/>
        <v>0</v>
      </c>
      <c r="U19" s="7">
        <f>'[6]Apr Prod'!D18</f>
        <v>0</v>
      </c>
      <c r="V19" s="8">
        <f t="shared" si="12"/>
        <v>0</v>
      </c>
      <c r="W19" s="10">
        <f t="shared" si="13"/>
        <v>0</v>
      </c>
      <c r="X19" s="7">
        <f>'[6]Apr Prod'!D266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14500000</v>
      </c>
      <c r="AC19" s="8">
        <f t="shared" si="16"/>
        <v>14.5</v>
      </c>
      <c r="AD19" s="8">
        <f>D19+Q19</f>
        <v>44.515000000000001</v>
      </c>
    </row>
    <row r="20" spans="1:30" x14ac:dyDescent="0.15">
      <c r="A20" s="28">
        <v>38458</v>
      </c>
      <c r="B20" s="7">
        <f>'[6]Apr Prod'!I19</f>
        <v>15399999.999999637</v>
      </c>
      <c r="C20" s="8">
        <f t="shared" si="0"/>
        <v>15.399999999999636</v>
      </c>
      <c r="D20" s="10">
        <f t="shared" si="1"/>
        <v>47.277999999998883</v>
      </c>
      <c r="E20" s="7">
        <f>'[6]Apr Prod'!E19</f>
        <v>16000000</v>
      </c>
      <c r="F20" s="8">
        <f t="shared" si="2"/>
        <v>16</v>
      </c>
      <c r="G20" s="10">
        <f t="shared" si="3"/>
        <v>49.12</v>
      </c>
      <c r="H20" s="7">
        <f>'[6]Apr Prod'!F19</f>
        <v>0</v>
      </c>
      <c r="I20" s="8">
        <f t="shared" si="4"/>
        <v>0</v>
      </c>
      <c r="J20" s="10">
        <f t="shared" si="5"/>
        <v>0</v>
      </c>
      <c r="K20" s="7">
        <f>'[6]Apr Prod'!H267</f>
        <v>856097</v>
      </c>
      <c r="L20" s="8">
        <f t="shared" si="6"/>
        <v>0.856097</v>
      </c>
      <c r="M20" s="10">
        <f t="shared" si="7"/>
        <v>2.6282177899999999</v>
      </c>
      <c r="N20" s="21"/>
      <c r="O20" s="7">
        <f>'[6]Apr Prod'!H19</f>
        <v>0</v>
      </c>
      <c r="P20" s="8">
        <f t="shared" si="8"/>
        <v>0</v>
      </c>
      <c r="Q20" s="10">
        <f t="shared" si="9"/>
        <v>0</v>
      </c>
      <c r="R20" s="7">
        <f>'[6]Apr Prod'!C19</f>
        <v>0</v>
      </c>
      <c r="S20" s="8">
        <f t="shared" si="10"/>
        <v>0</v>
      </c>
      <c r="T20" s="10">
        <f t="shared" si="11"/>
        <v>0</v>
      </c>
      <c r="U20" s="7">
        <f>'[6]Apr Prod'!D19</f>
        <v>0</v>
      </c>
      <c r="V20" s="8">
        <f t="shared" si="12"/>
        <v>0</v>
      </c>
      <c r="W20" s="10">
        <f t="shared" si="13"/>
        <v>0</v>
      </c>
      <c r="X20" s="7">
        <f>'[6]Apr Prod'!D267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15399999.999999637</v>
      </c>
      <c r="AC20" s="8">
        <f t="shared" si="16"/>
        <v>15.399999999999636</v>
      </c>
      <c r="AD20" s="8">
        <f t="shared" si="16"/>
        <v>47.277999999998883</v>
      </c>
    </row>
    <row r="21" spans="1:30" x14ac:dyDescent="0.15">
      <c r="A21" s="28">
        <v>38459</v>
      </c>
      <c r="B21" s="7">
        <f>'[6]Apr Prod'!I20</f>
        <v>16600000.000000363</v>
      </c>
      <c r="C21" s="8">
        <f t="shared" si="0"/>
        <v>16.600000000000364</v>
      </c>
      <c r="D21" s="10">
        <f t="shared" si="1"/>
        <v>50.962000000001112</v>
      </c>
      <c r="E21" s="7">
        <f>'[6]Apr Prod'!E20</f>
        <v>18000000</v>
      </c>
      <c r="F21" s="8">
        <f t="shared" si="2"/>
        <v>18</v>
      </c>
      <c r="G21" s="10">
        <f t="shared" si="3"/>
        <v>55.26</v>
      </c>
      <c r="H21" s="7">
        <f>'[6]Apr Prod'!F20</f>
        <v>0</v>
      </c>
      <c r="I21" s="8">
        <f t="shared" si="4"/>
        <v>0</v>
      </c>
      <c r="J21" s="10">
        <f t="shared" si="5"/>
        <v>0</v>
      </c>
      <c r="K21" s="7">
        <f>'[6]Apr Prod'!H268</f>
        <v>740587</v>
      </c>
      <c r="L21" s="8">
        <f t="shared" si="6"/>
        <v>0.740587</v>
      </c>
      <c r="M21" s="10">
        <f t="shared" si="7"/>
        <v>2.2736020899999998</v>
      </c>
      <c r="N21" s="21"/>
      <c r="O21" s="7">
        <f>'[6]Apr Prod'!H20</f>
        <v>0</v>
      </c>
      <c r="P21" s="8">
        <f t="shared" si="8"/>
        <v>0</v>
      </c>
      <c r="Q21" s="10">
        <f t="shared" si="9"/>
        <v>0</v>
      </c>
      <c r="R21" s="7">
        <f>'[6]Apr Prod'!C20</f>
        <v>0</v>
      </c>
      <c r="S21" s="8">
        <f t="shared" si="10"/>
        <v>0</v>
      </c>
      <c r="T21" s="10">
        <f t="shared" si="11"/>
        <v>0</v>
      </c>
      <c r="U21" s="7">
        <f>'[6]Apr Prod'!D20</f>
        <v>0</v>
      </c>
      <c r="V21" s="8">
        <f t="shared" si="12"/>
        <v>0</v>
      </c>
      <c r="W21" s="10">
        <f t="shared" si="13"/>
        <v>0</v>
      </c>
      <c r="X21" s="7">
        <f>'[6]Apr Prod'!D268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16600000.000000363</v>
      </c>
      <c r="AC21" s="8">
        <f t="shared" si="16"/>
        <v>16.600000000000364</v>
      </c>
      <c r="AD21" s="8">
        <f t="shared" si="16"/>
        <v>50.962000000001112</v>
      </c>
    </row>
    <row r="22" spans="1:30" x14ac:dyDescent="0.15">
      <c r="A22" s="28">
        <v>38460</v>
      </c>
      <c r="B22" s="7">
        <f>'[6]Apr Prod'!I21</f>
        <v>13700000.000000728</v>
      </c>
      <c r="C22" s="8">
        <f t="shared" si="0"/>
        <v>13.700000000000728</v>
      </c>
      <c r="D22" s="10">
        <f t="shared" si="1"/>
        <v>42.059000000002229</v>
      </c>
      <c r="E22" s="7">
        <f>'[6]Apr Prod'!E21</f>
        <v>15000000</v>
      </c>
      <c r="F22" s="8">
        <f t="shared" si="2"/>
        <v>15</v>
      </c>
      <c r="G22" s="10">
        <f t="shared" si="3"/>
        <v>46.05</v>
      </c>
      <c r="H22" s="7">
        <f>'[6]Apr Prod'!F21</f>
        <v>0</v>
      </c>
      <c r="I22" s="8">
        <f t="shared" si="4"/>
        <v>0</v>
      </c>
      <c r="J22" s="10">
        <f t="shared" si="5"/>
        <v>0</v>
      </c>
      <c r="K22" s="7">
        <f>'[6]Apr Prod'!H269</f>
        <v>740515</v>
      </c>
      <c r="L22" s="8">
        <f t="shared" si="6"/>
        <v>0.74051500000000003</v>
      </c>
      <c r="M22" s="10">
        <f t="shared" si="7"/>
        <v>2.2733810499999998</v>
      </c>
      <c r="N22" s="21"/>
      <c r="O22" s="7">
        <f>'[6]Apr Prod'!H21</f>
        <v>2489000</v>
      </c>
      <c r="P22" s="8">
        <f t="shared" si="8"/>
        <v>2.4889999999999999</v>
      </c>
      <c r="Q22" s="10">
        <f t="shared" si="9"/>
        <v>7.6412299999999993</v>
      </c>
      <c r="R22" s="7">
        <f>'[6]Apr Prod'!C21</f>
        <v>2489000</v>
      </c>
      <c r="S22" s="8">
        <f t="shared" si="10"/>
        <v>2.4889999999999999</v>
      </c>
      <c r="T22" s="10">
        <f t="shared" si="11"/>
        <v>7.6412299999999993</v>
      </c>
      <c r="U22" s="7">
        <f>'[6]Apr Prod'!D21</f>
        <v>0</v>
      </c>
      <c r="V22" s="8">
        <f t="shared" si="12"/>
        <v>0</v>
      </c>
      <c r="W22" s="10">
        <f t="shared" si="13"/>
        <v>0</v>
      </c>
      <c r="X22" s="7">
        <f>'[6]Apr Prod'!D269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16189000.000000728</v>
      </c>
      <c r="AC22" s="8">
        <f t="shared" si="16"/>
        <v>16.189000000000728</v>
      </c>
      <c r="AD22" s="8">
        <f t="shared" si="16"/>
        <v>49.700230000002229</v>
      </c>
    </row>
    <row r="23" spans="1:30" x14ac:dyDescent="0.15">
      <c r="A23" s="28">
        <v>38461</v>
      </c>
      <c r="B23" s="7">
        <f>'[6]Apr Prod'!I22</f>
        <v>9599999.9999985453</v>
      </c>
      <c r="C23" s="8">
        <f t="shared" si="0"/>
        <v>9.5999999999985448</v>
      </c>
      <c r="D23" s="10">
        <f t="shared" si="1"/>
        <v>29.471999999995532</v>
      </c>
      <c r="E23" s="7">
        <f>'[6]Apr Prod'!E22</f>
        <v>10000000</v>
      </c>
      <c r="F23" s="8">
        <f t="shared" si="2"/>
        <v>10</v>
      </c>
      <c r="G23" s="10">
        <f t="shared" si="3"/>
        <v>30.7</v>
      </c>
      <c r="H23" s="7">
        <f>'[6]Apr Prod'!F22</f>
        <v>0</v>
      </c>
      <c r="I23" s="8">
        <f t="shared" si="4"/>
        <v>0</v>
      </c>
      <c r="J23" s="10">
        <f t="shared" si="5"/>
        <v>0</v>
      </c>
      <c r="K23" s="7">
        <f>'[6]Apr Prod'!H270</f>
        <v>411824</v>
      </c>
      <c r="L23" s="8">
        <f t="shared" si="6"/>
        <v>0.41182400000000002</v>
      </c>
      <c r="M23" s="10">
        <f t="shared" si="7"/>
        <v>1.2642996799999999</v>
      </c>
      <c r="N23" s="21"/>
      <c r="O23" s="7">
        <f>'[6]Apr Prod'!H22</f>
        <v>4689000</v>
      </c>
      <c r="P23" s="8">
        <f t="shared" si="8"/>
        <v>4.6890000000000001</v>
      </c>
      <c r="Q23" s="10">
        <f t="shared" si="9"/>
        <v>14.39523</v>
      </c>
      <c r="R23" s="7">
        <f>'[6]Apr Prod'!C22</f>
        <v>4978000</v>
      </c>
      <c r="S23" s="8">
        <f t="shared" si="10"/>
        <v>4.9779999999999998</v>
      </c>
      <c r="T23" s="10">
        <f t="shared" si="11"/>
        <v>15.282459999999999</v>
      </c>
      <c r="U23" s="7">
        <f>'[6]Apr Prod'!D22</f>
        <v>0</v>
      </c>
      <c r="V23" s="8">
        <f t="shared" si="12"/>
        <v>0</v>
      </c>
      <c r="W23" s="10">
        <f t="shared" si="13"/>
        <v>0</v>
      </c>
      <c r="X23" s="7">
        <f>'[6]Apr Prod'!D270</f>
        <v>289000.00000000017</v>
      </c>
      <c r="Y23" s="8">
        <f t="shared" si="14"/>
        <v>0.2890000000000002</v>
      </c>
      <c r="Z23" s="10">
        <f t="shared" si="15"/>
        <v>0.88723000000000052</v>
      </c>
      <c r="AA23" s="15"/>
      <c r="AB23" s="7">
        <f t="shared" si="16"/>
        <v>14288999.999998545</v>
      </c>
      <c r="AC23" s="8">
        <f t="shared" si="16"/>
        <v>14.288999999998545</v>
      </c>
      <c r="AD23" s="8">
        <f t="shared" si="16"/>
        <v>43.86722999999553</v>
      </c>
    </row>
    <row r="24" spans="1:30" x14ac:dyDescent="0.15">
      <c r="A24" s="28">
        <v>38462</v>
      </c>
      <c r="B24" s="7">
        <f>'[6]Apr Prod'!I23</f>
        <v>9400000.0000014547</v>
      </c>
      <c r="C24" s="8">
        <f t="shared" si="0"/>
        <v>9.4000000000014552</v>
      </c>
      <c r="D24" s="10">
        <f t="shared" si="1"/>
        <v>28.858000000004466</v>
      </c>
      <c r="E24" s="7">
        <f>'[6]Apr Prod'!E23</f>
        <v>10000000</v>
      </c>
      <c r="F24" s="8">
        <f t="shared" si="2"/>
        <v>10</v>
      </c>
      <c r="G24" s="10">
        <f t="shared" si="3"/>
        <v>30.7</v>
      </c>
      <c r="H24" s="7">
        <f>'[6]Apr Prod'!F23</f>
        <v>0</v>
      </c>
      <c r="I24" s="8">
        <f t="shared" si="4"/>
        <v>0</v>
      </c>
      <c r="J24" s="10">
        <f t="shared" si="5"/>
        <v>0</v>
      </c>
      <c r="K24" s="7">
        <f>'[6]Apr Prod'!H271</f>
        <v>574054</v>
      </c>
      <c r="L24" s="8">
        <f t="shared" si="6"/>
        <v>0.57405399999999995</v>
      </c>
      <c r="M24" s="10">
        <f t="shared" si="7"/>
        <v>1.7623457799999998</v>
      </c>
      <c r="N24" s="21"/>
      <c r="O24" s="7">
        <f>'[6]Apr Prod'!H23</f>
        <v>4606000</v>
      </c>
      <c r="P24" s="8">
        <f t="shared" si="8"/>
        <v>4.6059999999999999</v>
      </c>
      <c r="Q24" s="10">
        <f t="shared" si="9"/>
        <v>14.140419999999999</v>
      </c>
      <c r="R24" s="7">
        <f>'[6]Apr Prod'!C23</f>
        <v>5116000</v>
      </c>
      <c r="S24" s="8">
        <f t="shared" si="10"/>
        <v>5.1159999999999997</v>
      </c>
      <c r="T24" s="10">
        <f t="shared" si="11"/>
        <v>15.706119999999999</v>
      </c>
      <c r="U24" s="7">
        <f>'[6]Apr Prod'!D23</f>
        <v>0</v>
      </c>
      <c r="V24" s="8">
        <f t="shared" si="12"/>
        <v>0</v>
      </c>
      <c r="W24" s="10">
        <f t="shared" si="13"/>
        <v>0</v>
      </c>
      <c r="X24" s="7">
        <f>'[6]Apr Prod'!D271</f>
        <v>510000</v>
      </c>
      <c r="Y24" s="8">
        <f t="shared" si="14"/>
        <v>0.51</v>
      </c>
      <c r="Z24" s="10">
        <f t="shared" si="15"/>
        <v>1.5656999999999999</v>
      </c>
      <c r="AA24" s="15"/>
      <c r="AB24" s="7">
        <f t="shared" si="16"/>
        <v>14006000.000001455</v>
      </c>
      <c r="AC24" s="8">
        <f t="shared" si="16"/>
        <v>14.006000000001455</v>
      </c>
      <c r="AD24" s="8">
        <f>D24+Q24</f>
        <v>42.998420000004465</v>
      </c>
    </row>
    <row r="25" spans="1:30" x14ac:dyDescent="0.15">
      <c r="A25" s="28">
        <v>38463</v>
      </c>
      <c r="B25" s="7">
        <f>'[6]Apr Prod'!I24</f>
        <v>11599999.999998545</v>
      </c>
      <c r="C25" s="8">
        <f t="shared" si="0"/>
        <v>11.599999999998545</v>
      </c>
      <c r="D25" s="10">
        <f t="shared" si="1"/>
        <v>35.611999999995533</v>
      </c>
      <c r="E25" s="7">
        <f>'[6]Apr Prod'!E24</f>
        <v>12000000</v>
      </c>
      <c r="F25" s="8">
        <f t="shared" si="2"/>
        <v>12</v>
      </c>
      <c r="G25" s="10">
        <f t="shared" si="3"/>
        <v>36.839999999999996</v>
      </c>
      <c r="H25" s="7">
        <f>'[6]Apr Prod'!F24</f>
        <v>0</v>
      </c>
      <c r="I25" s="8">
        <f t="shared" si="4"/>
        <v>0</v>
      </c>
      <c r="J25" s="10">
        <f t="shared" si="5"/>
        <v>0</v>
      </c>
      <c r="K25" s="7">
        <f>'[6]Apr Prod'!H272</f>
        <v>536957</v>
      </c>
      <c r="L25" s="8">
        <f t="shared" si="6"/>
        <v>0.53695700000000002</v>
      </c>
      <c r="M25" s="10">
        <f t="shared" si="7"/>
        <v>1.64845799</v>
      </c>
      <c r="N25" s="21"/>
      <c r="O25" s="7">
        <f>'[6]Apr Prod'!H24</f>
        <v>4200000</v>
      </c>
      <c r="P25" s="8">
        <f t="shared" si="8"/>
        <v>4.2</v>
      </c>
      <c r="Q25" s="10">
        <f t="shared" si="9"/>
        <v>12.894</v>
      </c>
      <c r="R25" s="7">
        <f>'[6]Apr Prod'!C24</f>
        <v>4664000</v>
      </c>
      <c r="S25" s="8">
        <f t="shared" si="10"/>
        <v>4.6639999999999997</v>
      </c>
      <c r="T25" s="10">
        <f t="shared" si="11"/>
        <v>14.318479999999999</v>
      </c>
      <c r="U25" s="7">
        <f>'[6]Apr Prod'!D24</f>
        <v>0</v>
      </c>
      <c r="V25" s="8">
        <f t="shared" si="12"/>
        <v>0</v>
      </c>
      <c r="W25" s="10">
        <f t="shared" si="13"/>
        <v>0</v>
      </c>
      <c r="X25" s="7">
        <f>'[6]Apr Prod'!D272</f>
        <v>463999.99999999994</v>
      </c>
      <c r="Y25" s="8">
        <f t="shared" si="14"/>
        <v>0.46399999999999997</v>
      </c>
      <c r="Z25" s="10">
        <f t="shared" si="15"/>
        <v>1.4244799999999997</v>
      </c>
      <c r="AA25" s="15"/>
      <c r="AB25" s="7">
        <f t="shared" si="16"/>
        <v>15799999.999998545</v>
      </c>
      <c r="AC25" s="8">
        <f t="shared" si="16"/>
        <v>15.799999999998544</v>
      </c>
      <c r="AD25" s="8">
        <f t="shared" si="16"/>
        <v>48.505999999995531</v>
      </c>
    </row>
    <row r="26" spans="1:30" x14ac:dyDescent="0.15">
      <c r="A26" s="28">
        <v>38464</v>
      </c>
      <c r="B26" s="7">
        <f>'[6]Apr Prod'!I25</f>
        <v>9500000</v>
      </c>
      <c r="C26" s="8">
        <f t="shared" si="0"/>
        <v>9.5</v>
      </c>
      <c r="D26" s="10">
        <f t="shared" si="1"/>
        <v>29.164999999999999</v>
      </c>
      <c r="E26" s="7">
        <f>'[6]Apr Prod'!E25</f>
        <v>10000000</v>
      </c>
      <c r="F26" s="8">
        <f t="shared" si="2"/>
        <v>10</v>
      </c>
      <c r="G26" s="10">
        <f t="shared" si="3"/>
        <v>30.7</v>
      </c>
      <c r="H26" s="7">
        <f>'[6]Apr Prod'!F25</f>
        <v>0</v>
      </c>
      <c r="I26" s="8">
        <f t="shared" si="4"/>
        <v>0</v>
      </c>
      <c r="J26" s="10">
        <f t="shared" si="5"/>
        <v>0</v>
      </c>
      <c r="K26" s="7">
        <f>'[6]Apr Prod'!H273</f>
        <v>426995</v>
      </c>
      <c r="L26" s="8">
        <f t="shared" si="6"/>
        <v>0.42699500000000001</v>
      </c>
      <c r="M26" s="10">
        <f t="shared" si="7"/>
        <v>1.3108746499999999</v>
      </c>
      <c r="N26" s="21"/>
      <c r="O26" s="7">
        <f>'[6]Apr Prod'!H25</f>
        <v>4451000</v>
      </c>
      <c r="P26" s="8">
        <f t="shared" si="8"/>
        <v>4.4509999999999996</v>
      </c>
      <c r="Q26" s="10">
        <f t="shared" si="9"/>
        <v>13.664569999999998</v>
      </c>
      <c r="R26" s="7">
        <f>'[6]Apr Prod'!C25</f>
        <v>4934000</v>
      </c>
      <c r="S26" s="8">
        <f t="shared" si="10"/>
        <v>4.9340000000000002</v>
      </c>
      <c r="T26" s="10">
        <f t="shared" si="11"/>
        <v>15.14738</v>
      </c>
      <c r="U26" s="7">
        <f>'[6]Apr Prod'!D25</f>
        <v>0</v>
      </c>
      <c r="V26" s="8">
        <f t="shared" si="12"/>
        <v>0</v>
      </c>
      <c r="W26" s="10">
        <f t="shared" si="13"/>
        <v>0</v>
      </c>
      <c r="X26" s="7">
        <f>'[6]Apr Prod'!D273</f>
        <v>483000.00000000012</v>
      </c>
      <c r="Y26" s="8">
        <f t="shared" si="14"/>
        <v>0.4830000000000001</v>
      </c>
      <c r="Z26" s="10">
        <f t="shared" si="15"/>
        <v>1.4828100000000002</v>
      </c>
      <c r="AA26" s="15"/>
      <c r="AB26" s="7">
        <f t="shared" si="16"/>
        <v>13951000</v>
      </c>
      <c r="AC26" s="8">
        <f t="shared" si="16"/>
        <v>13.951000000000001</v>
      </c>
      <c r="AD26" s="8">
        <f t="shared" si="16"/>
        <v>42.829569999999997</v>
      </c>
    </row>
    <row r="27" spans="1:30" x14ac:dyDescent="0.15">
      <c r="A27" s="28">
        <v>38465</v>
      </c>
      <c r="B27" s="7">
        <f>'[6]Apr Prod'!I26</f>
        <v>10200000.000000728</v>
      </c>
      <c r="C27" s="8">
        <f t="shared" si="0"/>
        <v>10.200000000000728</v>
      </c>
      <c r="D27" s="10">
        <f t="shared" si="1"/>
        <v>31.314000000002231</v>
      </c>
      <c r="E27" s="7">
        <f>'[6]Apr Prod'!E26</f>
        <v>12000000</v>
      </c>
      <c r="F27" s="8">
        <f t="shared" si="2"/>
        <v>12</v>
      </c>
      <c r="G27" s="10">
        <f t="shared" si="3"/>
        <v>36.839999999999996</v>
      </c>
      <c r="H27" s="7">
        <f>'[6]Apr Prod'!F26</f>
        <v>0</v>
      </c>
      <c r="I27" s="8">
        <f t="shared" si="4"/>
        <v>0</v>
      </c>
      <c r="J27" s="10">
        <f t="shared" si="5"/>
        <v>0</v>
      </c>
      <c r="K27" s="7">
        <f>'[6]Apr Prod'!H274</f>
        <v>656481</v>
      </c>
      <c r="L27" s="8">
        <f t="shared" si="6"/>
        <v>0.65648099999999998</v>
      </c>
      <c r="M27" s="10">
        <f t="shared" si="7"/>
        <v>2.0153966699999999</v>
      </c>
      <c r="N27" s="21"/>
      <c r="O27" s="7">
        <f>'[6]Apr Prod'!H26</f>
        <v>4501000</v>
      </c>
      <c r="P27" s="8">
        <f t="shared" si="8"/>
        <v>4.5010000000000003</v>
      </c>
      <c r="Q27" s="10">
        <f t="shared" si="9"/>
        <v>13.818070000000001</v>
      </c>
      <c r="R27" s="7">
        <f>'[6]Apr Prod'!C26</f>
        <v>4888000</v>
      </c>
      <c r="S27" s="8">
        <f t="shared" si="10"/>
        <v>4.8879999999999999</v>
      </c>
      <c r="T27" s="10">
        <f t="shared" si="11"/>
        <v>15.006159999999999</v>
      </c>
      <c r="U27" s="7">
        <f>'[6]Apr Prod'!D26</f>
        <v>0</v>
      </c>
      <c r="V27" s="8">
        <f t="shared" si="12"/>
        <v>0</v>
      </c>
      <c r="W27" s="10">
        <f t="shared" si="13"/>
        <v>0</v>
      </c>
      <c r="X27" s="7">
        <f>'[6]Apr Prod'!D274</f>
        <v>387000</v>
      </c>
      <c r="Y27" s="8">
        <f t="shared" si="14"/>
        <v>0.38700000000000001</v>
      </c>
      <c r="Z27" s="10">
        <f t="shared" si="15"/>
        <v>1.1880899999999999</v>
      </c>
      <c r="AA27" s="15"/>
      <c r="AB27" s="7">
        <f t="shared" si="16"/>
        <v>14701000.000000728</v>
      </c>
      <c r="AC27" s="8">
        <f t="shared" si="16"/>
        <v>14.701000000000729</v>
      </c>
      <c r="AD27" s="8">
        <f t="shared" si="16"/>
        <v>45.13207000000223</v>
      </c>
    </row>
    <row r="28" spans="1:30" x14ac:dyDescent="0.15">
      <c r="A28" s="28">
        <v>38466</v>
      </c>
      <c r="B28" s="7">
        <f>'[6]Apr Prod'!I27</f>
        <v>12500000</v>
      </c>
      <c r="C28" s="8">
        <f t="shared" si="0"/>
        <v>12.5</v>
      </c>
      <c r="D28" s="10">
        <f t="shared" si="1"/>
        <v>38.375</v>
      </c>
      <c r="E28" s="7">
        <f>'[6]Apr Prod'!E27</f>
        <v>13000000</v>
      </c>
      <c r="F28" s="8">
        <f t="shared" si="2"/>
        <v>13</v>
      </c>
      <c r="G28" s="10">
        <f t="shared" si="3"/>
        <v>39.909999999999997</v>
      </c>
      <c r="H28" s="7">
        <f>'[6]Apr Prod'!F27</f>
        <v>0</v>
      </c>
      <c r="I28" s="8">
        <f t="shared" si="4"/>
        <v>0</v>
      </c>
      <c r="J28" s="10">
        <f t="shared" si="5"/>
        <v>0</v>
      </c>
      <c r="K28" s="7">
        <f>'[6]Apr Prod'!H275</f>
        <v>616460</v>
      </c>
      <c r="L28" s="8">
        <f t="shared" si="6"/>
        <v>0.61646000000000001</v>
      </c>
      <c r="M28" s="10">
        <f t="shared" si="7"/>
        <v>1.8925322</v>
      </c>
      <c r="N28" s="21"/>
      <c r="O28" s="7">
        <f>'[6]Apr Prod'!H27</f>
        <v>4741000</v>
      </c>
      <c r="P28" s="8">
        <f t="shared" si="8"/>
        <v>4.7409999999999997</v>
      </c>
      <c r="Q28" s="10">
        <f t="shared" si="9"/>
        <v>14.554869999999998</v>
      </c>
      <c r="R28" s="7">
        <f>'[6]Apr Prod'!C27</f>
        <v>5125000</v>
      </c>
      <c r="S28" s="8">
        <f t="shared" si="10"/>
        <v>5.125</v>
      </c>
      <c r="T28" s="10">
        <f t="shared" si="11"/>
        <v>15.733749999999999</v>
      </c>
      <c r="U28" s="7">
        <f>'[6]Apr Prod'!D27</f>
        <v>0</v>
      </c>
      <c r="V28" s="8">
        <f t="shared" si="12"/>
        <v>0</v>
      </c>
      <c r="W28" s="10">
        <f t="shared" si="13"/>
        <v>0</v>
      </c>
      <c r="X28" s="7">
        <f>'[6]Apr Prod'!D275</f>
        <v>383999.99999999988</v>
      </c>
      <c r="Y28" s="8">
        <f t="shared" si="14"/>
        <v>0.3839999999999999</v>
      </c>
      <c r="Z28" s="10">
        <f t="shared" si="15"/>
        <v>1.1788799999999997</v>
      </c>
      <c r="AA28" s="15"/>
      <c r="AB28" s="7">
        <f t="shared" si="16"/>
        <v>17241000</v>
      </c>
      <c r="AC28" s="8">
        <f t="shared" si="16"/>
        <v>17.241</v>
      </c>
      <c r="AD28" s="8">
        <f t="shared" si="16"/>
        <v>52.929869999999994</v>
      </c>
    </row>
    <row r="29" spans="1:30" x14ac:dyDescent="0.15">
      <c r="A29" s="28">
        <v>38467</v>
      </c>
      <c r="B29" s="7">
        <f>'[6]Apr Prod'!I28</f>
        <v>10000000</v>
      </c>
      <c r="C29" s="8">
        <f t="shared" si="0"/>
        <v>10</v>
      </c>
      <c r="D29" s="10">
        <f t="shared" si="1"/>
        <v>30.7</v>
      </c>
      <c r="E29" s="7">
        <f>'[6]Apr Prod'!E28</f>
        <v>10000000</v>
      </c>
      <c r="F29" s="8">
        <f t="shared" si="2"/>
        <v>10</v>
      </c>
      <c r="G29" s="10">
        <f t="shared" si="3"/>
        <v>30.7</v>
      </c>
      <c r="H29" s="7">
        <f>'[6]Apr Prod'!F28</f>
        <v>0</v>
      </c>
      <c r="I29" s="8">
        <f t="shared" si="4"/>
        <v>0</v>
      </c>
      <c r="J29" s="10">
        <f t="shared" si="5"/>
        <v>0</v>
      </c>
      <c r="K29" s="7">
        <f>'[6]Apr Prod'!H276</f>
        <v>494009</v>
      </c>
      <c r="L29" s="8">
        <f t="shared" si="6"/>
        <v>0.49400899999999998</v>
      </c>
      <c r="M29" s="10">
        <f t="shared" si="7"/>
        <v>1.5166076299999998</v>
      </c>
      <c r="N29" s="21"/>
      <c r="O29" s="7">
        <f>'[6]Apr Prod'!H28</f>
        <v>4535000</v>
      </c>
      <c r="P29" s="8">
        <f t="shared" si="8"/>
        <v>4.5350000000000001</v>
      </c>
      <c r="Q29" s="10">
        <f t="shared" si="9"/>
        <v>13.92245</v>
      </c>
      <c r="R29" s="7">
        <f>'[6]Apr Prod'!C28</f>
        <v>5015000</v>
      </c>
      <c r="S29" s="8">
        <f t="shared" si="10"/>
        <v>5.0149999999999997</v>
      </c>
      <c r="T29" s="10">
        <f t="shared" si="11"/>
        <v>15.396049999999999</v>
      </c>
      <c r="U29" s="7">
        <f>'[6]Apr Prod'!D28</f>
        <v>0</v>
      </c>
      <c r="V29" s="8">
        <f t="shared" si="12"/>
        <v>0</v>
      </c>
      <c r="W29" s="10">
        <f t="shared" si="13"/>
        <v>0</v>
      </c>
      <c r="X29" s="7">
        <f>'[6]Apr Prod'!D276</f>
        <v>479999.99999999953</v>
      </c>
      <c r="Y29" s="8">
        <f t="shared" si="14"/>
        <v>0.47999999999999954</v>
      </c>
      <c r="Z29" s="10">
        <f t="shared" si="15"/>
        <v>1.4735999999999985</v>
      </c>
      <c r="AA29" s="15"/>
      <c r="AB29" s="7">
        <f t="shared" si="16"/>
        <v>14535000</v>
      </c>
      <c r="AC29" s="8">
        <f t="shared" si="16"/>
        <v>14.535</v>
      </c>
      <c r="AD29" s="8">
        <f t="shared" si="16"/>
        <v>44.622450000000001</v>
      </c>
    </row>
    <row r="30" spans="1:30" x14ac:dyDescent="0.15">
      <c r="A30" s="28">
        <v>38468</v>
      </c>
      <c r="B30" s="7">
        <f>'[6]Apr Prod'!I29</f>
        <v>9299999.9999992717</v>
      </c>
      <c r="C30" s="8">
        <f t="shared" si="0"/>
        <v>9.2999999999992724</v>
      </c>
      <c r="D30" s="10">
        <f t="shared" si="1"/>
        <v>28.550999999997764</v>
      </c>
      <c r="E30" s="7">
        <f>'[6]Apr Prod'!E29</f>
        <v>11000000</v>
      </c>
      <c r="F30" s="8">
        <f t="shared" si="2"/>
        <v>11</v>
      </c>
      <c r="G30" s="10">
        <f t="shared" si="3"/>
        <v>33.769999999999996</v>
      </c>
      <c r="H30" s="7">
        <f>'[6]Apr Prod'!F29</f>
        <v>0</v>
      </c>
      <c r="I30" s="8">
        <f t="shared" si="4"/>
        <v>0</v>
      </c>
      <c r="J30" s="10">
        <f t="shared" si="5"/>
        <v>0</v>
      </c>
      <c r="K30" s="7">
        <f>'[6]Apr Prod'!H277</f>
        <v>673574</v>
      </c>
      <c r="L30" s="8">
        <f t="shared" si="6"/>
        <v>0.67357400000000001</v>
      </c>
      <c r="M30" s="10">
        <f t="shared" si="7"/>
        <v>2.0678721799999997</v>
      </c>
      <c r="N30" s="21"/>
      <c r="O30" s="7">
        <f>'[6]Apr Prod'!H29</f>
        <v>4564000</v>
      </c>
      <c r="P30" s="8">
        <f t="shared" si="8"/>
        <v>4.5640000000000001</v>
      </c>
      <c r="Q30" s="10">
        <f t="shared" si="9"/>
        <v>14.011479999999999</v>
      </c>
      <c r="R30" s="7">
        <f>'[6]Apr Prod'!C29</f>
        <v>5036000</v>
      </c>
      <c r="S30" s="8">
        <f t="shared" si="10"/>
        <v>5.0359999999999996</v>
      </c>
      <c r="T30" s="10">
        <f t="shared" si="11"/>
        <v>15.460519999999997</v>
      </c>
      <c r="U30" s="7">
        <f>'[6]Apr Prod'!D29</f>
        <v>0</v>
      </c>
      <c r="V30" s="8">
        <f t="shared" si="12"/>
        <v>0</v>
      </c>
      <c r="W30" s="10">
        <f t="shared" si="13"/>
        <v>0</v>
      </c>
      <c r="X30" s="7">
        <f>'[6]Apr Prod'!D277</f>
        <v>472000.00000000041</v>
      </c>
      <c r="Y30" s="8">
        <f t="shared" si="14"/>
        <v>0.47200000000000042</v>
      </c>
      <c r="Z30" s="10">
        <f t="shared" si="15"/>
        <v>1.4490400000000012</v>
      </c>
      <c r="AA30" s="15"/>
      <c r="AB30" s="7">
        <f t="shared" si="16"/>
        <v>13863999.999999272</v>
      </c>
      <c r="AC30" s="8">
        <f t="shared" si="16"/>
        <v>13.863999999999272</v>
      </c>
      <c r="AD30" s="8">
        <f>D30+Q30</f>
        <v>42.562479999997763</v>
      </c>
    </row>
    <row r="31" spans="1:30" x14ac:dyDescent="0.15">
      <c r="A31" s="28">
        <v>38469</v>
      </c>
      <c r="B31" s="7">
        <f>'[6]Apr Prod'!I30</f>
        <v>9600000.0000003632</v>
      </c>
      <c r="C31" s="8">
        <f t="shared" si="0"/>
        <v>9.6000000000003638</v>
      </c>
      <c r="D31" s="10">
        <f t="shared" si="1"/>
        <v>29.472000000001117</v>
      </c>
      <c r="E31" s="7">
        <f>'[6]Apr Prod'!E30</f>
        <v>11000000</v>
      </c>
      <c r="F31" s="8">
        <f t="shared" si="2"/>
        <v>11</v>
      </c>
      <c r="G31" s="10">
        <f t="shared" si="3"/>
        <v>33.769999999999996</v>
      </c>
      <c r="H31" s="7">
        <f>'[6]Apr Prod'!F30</f>
        <v>0</v>
      </c>
      <c r="I31" s="8">
        <f t="shared" si="4"/>
        <v>0</v>
      </c>
      <c r="J31" s="10">
        <f t="shared" si="5"/>
        <v>0</v>
      </c>
      <c r="K31" s="7">
        <f>'[6]Apr Prod'!H278</f>
        <v>601108</v>
      </c>
      <c r="L31" s="8">
        <f t="shared" si="6"/>
        <v>0.60110799999999998</v>
      </c>
      <c r="M31" s="10">
        <f t="shared" si="7"/>
        <v>1.8454015599999998</v>
      </c>
      <c r="N31" s="21"/>
      <c r="O31" s="7">
        <f>'[6]Apr Prod'!H30</f>
        <v>4448000</v>
      </c>
      <c r="P31" s="8">
        <f t="shared" si="8"/>
        <v>4.4480000000000004</v>
      </c>
      <c r="Q31" s="10">
        <f t="shared" si="9"/>
        <v>13.65536</v>
      </c>
      <c r="R31" s="7">
        <f>'[6]Apr Prod'!C30</f>
        <v>4938000</v>
      </c>
      <c r="S31" s="8">
        <f t="shared" si="10"/>
        <v>4.9379999999999997</v>
      </c>
      <c r="T31" s="10">
        <f t="shared" si="11"/>
        <v>15.159659999999999</v>
      </c>
      <c r="U31" s="7">
        <f>'[6]Apr Prod'!D30</f>
        <v>0</v>
      </c>
      <c r="V31" s="8">
        <f t="shared" si="12"/>
        <v>0</v>
      </c>
      <c r="W31" s="10">
        <f t="shared" si="13"/>
        <v>0</v>
      </c>
      <c r="X31" s="7">
        <f>'[6]Apr Prod'!D278</f>
        <v>490000.00000000023</v>
      </c>
      <c r="Y31" s="8">
        <f t="shared" si="14"/>
        <v>0.49000000000000021</v>
      </c>
      <c r="Z31" s="10">
        <f t="shared" si="15"/>
        <v>1.5043000000000006</v>
      </c>
      <c r="AA31" s="15"/>
      <c r="AB31" s="7">
        <f t="shared" si="16"/>
        <v>14048000.000000363</v>
      </c>
      <c r="AC31" s="8">
        <f t="shared" si="16"/>
        <v>14.048000000000364</v>
      </c>
      <c r="AD31" s="8">
        <f t="shared" si="16"/>
        <v>43.127360000001119</v>
      </c>
    </row>
    <row r="32" spans="1:30" x14ac:dyDescent="0.15">
      <c r="A32" s="28">
        <v>38470</v>
      </c>
      <c r="B32" s="7">
        <f>'[6]Apr Prod'!I31</f>
        <v>13399999.999999637</v>
      </c>
      <c r="C32" s="8">
        <f t="shared" si="0"/>
        <v>13.399999999999636</v>
      </c>
      <c r="D32" s="10">
        <f t="shared" si="1"/>
        <v>41.137999999998883</v>
      </c>
      <c r="E32" s="7">
        <f>'[6]Apr Prod'!E31</f>
        <v>13000000</v>
      </c>
      <c r="F32" s="8">
        <f t="shared" si="2"/>
        <v>13</v>
      </c>
      <c r="G32" s="10">
        <f t="shared" si="3"/>
        <v>39.909999999999997</v>
      </c>
      <c r="H32" s="7">
        <f>'[6]Apr Prod'!F31</f>
        <v>0</v>
      </c>
      <c r="I32" s="8">
        <f t="shared" si="4"/>
        <v>0</v>
      </c>
      <c r="J32" s="10">
        <f t="shared" si="5"/>
        <v>0</v>
      </c>
      <c r="K32" s="7">
        <f>'[6]Apr Prod'!H279</f>
        <v>786550</v>
      </c>
      <c r="L32" s="8">
        <f t="shared" si="6"/>
        <v>0.78654999999999997</v>
      </c>
      <c r="M32" s="10">
        <f t="shared" si="7"/>
        <v>2.4147084999999997</v>
      </c>
      <c r="N32" s="21"/>
      <c r="O32" s="7">
        <f>'[6]Apr Prod'!H31</f>
        <v>4576000</v>
      </c>
      <c r="P32" s="8">
        <f t="shared" si="8"/>
        <v>4.5759999999999996</v>
      </c>
      <c r="Q32" s="10">
        <f t="shared" si="9"/>
        <v>14.048319999999999</v>
      </c>
      <c r="R32" s="7">
        <f>'[6]Apr Prod'!C31</f>
        <v>4931000</v>
      </c>
      <c r="S32" s="8">
        <f t="shared" si="10"/>
        <v>4.931</v>
      </c>
      <c r="T32" s="10">
        <f t="shared" si="11"/>
        <v>15.138169999999999</v>
      </c>
      <c r="U32" s="7">
        <f>'[6]Apr Prod'!D31</f>
        <v>0</v>
      </c>
      <c r="V32" s="8">
        <f t="shared" si="12"/>
        <v>0</v>
      </c>
      <c r="W32" s="10">
        <f t="shared" si="13"/>
        <v>0</v>
      </c>
      <c r="X32" s="7">
        <f>'[6]Apr Prod'!D279</f>
        <v>354999.99999999953</v>
      </c>
      <c r="Y32" s="8">
        <f t="shared" si="14"/>
        <v>0.35499999999999954</v>
      </c>
      <c r="Z32" s="10">
        <f t="shared" si="15"/>
        <v>1.0898499999999984</v>
      </c>
      <c r="AA32" s="15"/>
      <c r="AB32" s="7">
        <f t="shared" si="16"/>
        <v>17975999.999999635</v>
      </c>
      <c r="AC32" s="8">
        <f t="shared" si="16"/>
        <v>17.975999999999637</v>
      </c>
      <c r="AD32" s="8">
        <f t="shared" si="16"/>
        <v>55.186319999998879</v>
      </c>
    </row>
    <row r="33" spans="1:32" x14ac:dyDescent="0.15">
      <c r="A33" s="28">
        <v>38471</v>
      </c>
      <c r="B33" s="7">
        <f>'[6]Apr Prod'!I32</f>
        <v>14900000.000001455</v>
      </c>
      <c r="C33" s="8">
        <f t="shared" si="0"/>
        <v>14.900000000001455</v>
      </c>
      <c r="D33" s="10">
        <f t="shared" si="1"/>
        <v>45.743000000004464</v>
      </c>
      <c r="E33" s="7">
        <f>'[6]Apr Prod'!E32</f>
        <v>16000000</v>
      </c>
      <c r="F33" s="8">
        <f t="shared" si="2"/>
        <v>16</v>
      </c>
      <c r="G33" s="10">
        <f t="shared" si="3"/>
        <v>49.12</v>
      </c>
      <c r="H33" s="7">
        <f>'[6]Apr Prod'!F32</f>
        <v>0</v>
      </c>
      <c r="I33" s="8">
        <f t="shared" si="4"/>
        <v>0</v>
      </c>
      <c r="J33" s="10">
        <f t="shared" si="5"/>
        <v>0</v>
      </c>
      <c r="K33" s="7">
        <f>'[6]Apr Prod'!H280</f>
        <v>826727</v>
      </c>
      <c r="L33" s="8">
        <f t="shared" si="6"/>
        <v>0.82672699999999999</v>
      </c>
      <c r="M33" s="10">
        <f t="shared" si="7"/>
        <v>2.5380518899999998</v>
      </c>
      <c r="N33" s="21"/>
      <c r="O33" s="7">
        <f>'[6]Apr Prod'!H32</f>
        <v>4764000</v>
      </c>
      <c r="P33" s="8">
        <f t="shared" si="8"/>
        <v>4.7640000000000002</v>
      </c>
      <c r="Q33" s="10">
        <f t="shared" si="9"/>
        <v>14.62548</v>
      </c>
      <c r="R33" s="7">
        <f>'[6]Apr Prod'!C32</f>
        <v>5134000</v>
      </c>
      <c r="S33" s="8">
        <f t="shared" si="10"/>
        <v>5.1340000000000003</v>
      </c>
      <c r="T33" s="10">
        <f t="shared" si="11"/>
        <v>15.761380000000001</v>
      </c>
      <c r="U33" s="7">
        <f>'[6]Apr Prod'!D32</f>
        <v>0</v>
      </c>
      <c r="V33" s="8">
        <f t="shared" si="12"/>
        <v>0</v>
      </c>
      <c r="W33" s="10">
        <f t="shared" si="13"/>
        <v>0</v>
      </c>
      <c r="X33" s="7">
        <f>'[6]Apr Prod'!D280</f>
        <v>370000.00000000012</v>
      </c>
      <c r="Y33" s="8">
        <f t="shared" si="14"/>
        <v>0.37000000000000011</v>
      </c>
      <c r="Z33" s="10">
        <f t="shared" si="15"/>
        <v>1.1359000000000004</v>
      </c>
      <c r="AA33" s="15"/>
      <c r="AB33" s="7">
        <f t="shared" si="16"/>
        <v>19664000.000001453</v>
      </c>
      <c r="AC33" s="8">
        <f t="shared" si="16"/>
        <v>19.664000000001455</v>
      </c>
      <c r="AD33" s="8">
        <f t="shared" si="16"/>
        <v>60.368480000004467</v>
      </c>
    </row>
    <row r="34" spans="1:32" ht="14" thickBot="1" x14ac:dyDescent="0.2">
      <c r="A34" s="28">
        <v>38472</v>
      </c>
      <c r="B34" s="7">
        <f>'[6]Apr Prod'!I33</f>
        <v>12299999.999999272</v>
      </c>
      <c r="C34" s="8">
        <f t="shared" si="0"/>
        <v>12.299999999999272</v>
      </c>
      <c r="D34" s="10">
        <f t="shared" si="1"/>
        <v>37.760999999997765</v>
      </c>
      <c r="E34" s="7">
        <f>'[6]Apr Prod'!E33</f>
        <v>14000000</v>
      </c>
      <c r="F34" s="8">
        <f t="shared" si="2"/>
        <v>14</v>
      </c>
      <c r="G34" s="10">
        <f t="shared" si="3"/>
        <v>42.98</v>
      </c>
      <c r="H34" s="7">
        <f>'[6]Apr Prod'!F33</f>
        <v>0</v>
      </c>
      <c r="I34" s="8">
        <f t="shared" si="4"/>
        <v>0</v>
      </c>
      <c r="J34" s="10">
        <f t="shared" si="5"/>
        <v>0</v>
      </c>
      <c r="K34" s="7">
        <f>'[6]Apr Prod'!H281</f>
        <v>716641</v>
      </c>
      <c r="L34" s="8">
        <f t="shared" si="6"/>
        <v>0.71664099999999997</v>
      </c>
      <c r="M34" s="10">
        <f t="shared" si="7"/>
        <v>2.2000878699999999</v>
      </c>
      <c r="N34" s="21"/>
      <c r="O34" s="7">
        <f>'[6]Apr Prod'!H33</f>
        <v>4618000</v>
      </c>
      <c r="P34" s="8">
        <f t="shared" si="8"/>
        <v>4.6180000000000003</v>
      </c>
      <c r="Q34" s="10">
        <f t="shared" si="9"/>
        <v>14.17726</v>
      </c>
      <c r="R34" s="7">
        <f>'[6]Apr Prod'!C33</f>
        <v>4989000</v>
      </c>
      <c r="S34" s="8">
        <f t="shared" si="10"/>
        <v>4.9889999999999999</v>
      </c>
      <c r="T34" s="10">
        <f t="shared" si="11"/>
        <v>15.316229999999999</v>
      </c>
      <c r="U34" s="7">
        <f>'[6]Apr Prod'!D33</f>
        <v>0</v>
      </c>
      <c r="V34" s="8">
        <f t="shared" si="12"/>
        <v>0</v>
      </c>
      <c r="W34" s="10">
        <f t="shared" si="13"/>
        <v>0</v>
      </c>
      <c r="X34" s="7">
        <f>'[6]Apr Prod'!D281</f>
        <v>371000.00000000047</v>
      </c>
      <c r="Y34" s="8">
        <f t="shared" si="14"/>
        <v>0.37100000000000044</v>
      </c>
      <c r="Z34" s="10">
        <f t="shared" si="15"/>
        <v>1.1389700000000014</v>
      </c>
      <c r="AA34" s="15"/>
      <c r="AB34" s="7">
        <f t="shared" si="16"/>
        <v>16917999.99999927</v>
      </c>
      <c r="AC34" s="8">
        <f t="shared" si="16"/>
        <v>16.917999999999275</v>
      </c>
      <c r="AD34" s="8">
        <f t="shared" si="16"/>
        <v>51.938259999997769</v>
      </c>
    </row>
    <row r="35" spans="1:32" ht="14" thickBot="1" x14ac:dyDescent="0.2">
      <c r="A35" s="3"/>
      <c r="B35" s="39"/>
      <c r="C35" s="40">
        <f>SUM(C5:C34)</f>
        <v>393.89999999999964</v>
      </c>
      <c r="D35" s="40">
        <f>SUM(D5:D34)</f>
        <v>1209.2729999999985</v>
      </c>
      <c r="E35" s="39"/>
      <c r="F35" s="40">
        <f>SUM(F5:F34)</f>
        <v>418</v>
      </c>
      <c r="G35" s="40">
        <f>SUM(G5:G34)</f>
        <v>1283.2600000000002</v>
      </c>
      <c r="H35" s="39"/>
      <c r="I35" s="40">
        <f>SUM(I5:I34)</f>
        <v>0</v>
      </c>
      <c r="J35" s="40">
        <f>SUM(J5:J34)</f>
        <v>0</v>
      </c>
      <c r="K35" s="39"/>
      <c r="L35" s="40">
        <f>SUM(L5:L34)</f>
        <v>20.735265999999992</v>
      </c>
      <c r="M35" s="40">
        <f>SUM(M5:M34)</f>
        <v>63.657266619999987</v>
      </c>
      <c r="N35" s="14"/>
      <c r="O35" s="39"/>
      <c r="P35" s="40">
        <f>SUM(P5:P34)</f>
        <v>56.757000000000012</v>
      </c>
      <c r="Q35" s="40">
        <f>SUM(Q5:Q34)</f>
        <v>174.24398999999997</v>
      </c>
      <c r="R35" s="39"/>
      <c r="S35" s="40">
        <f>SUM(S5:S34)</f>
        <v>62.243000000000002</v>
      </c>
      <c r="T35" s="40">
        <f>SUM(T5:T34)</f>
        <v>191.08600999999999</v>
      </c>
      <c r="U35" s="39"/>
      <c r="V35" s="40">
        <f>SUM(V5:V34)</f>
        <v>0</v>
      </c>
      <c r="W35" s="40">
        <f>SUM(W5:W34)</f>
        <v>0</v>
      </c>
      <c r="X35" s="39"/>
      <c r="Y35" s="40">
        <f>SUM(Y5:Y34)</f>
        <v>5.5</v>
      </c>
      <c r="Z35" s="40">
        <f>SUM(Z5:Z34)</f>
        <v>16.885000000000002</v>
      </c>
      <c r="AA35" s="14"/>
      <c r="AB35" s="39">
        <f t="shared" si="16"/>
        <v>0</v>
      </c>
      <c r="AC35" s="40">
        <f t="shared" si="16"/>
        <v>450.65699999999964</v>
      </c>
      <c r="AD35" s="40">
        <f t="shared" si="16"/>
        <v>1383.5169899999985</v>
      </c>
      <c r="AF35" s="18"/>
    </row>
    <row r="36" spans="1:32" x14ac:dyDescent="0.1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1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D37"/>
  <sheetViews>
    <sheetView workbookViewId="0">
      <pane xSplit="1" ySplit="4" topLeftCell="H16" activePane="bottomRight" state="frozen"/>
      <selection pane="topRight" activeCell="B1" sqref="B1"/>
      <selection pane="bottomLeft" activeCell="A5" sqref="A5"/>
      <selection pane="bottomRight" activeCell="AD36" sqref="AD36"/>
    </sheetView>
  </sheetViews>
  <sheetFormatPr baseColWidth="10" defaultColWidth="8.83203125" defaultRowHeight="13" x14ac:dyDescent="0.15"/>
  <cols>
    <col min="2" max="2" width="11.5" customWidth="1"/>
    <col min="5" max="5" width="11.1640625" customWidth="1"/>
    <col min="8" max="8" width="11.6640625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5" customWidth="1"/>
    <col min="24" max="24" width="11.6640625" bestFit="1" customWidth="1"/>
    <col min="28" max="28" width="13.33203125" customWidth="1"/>
  </cols>
  <sheetData>
    <row r="1" spans="1:30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</row>
    <row r="4" spans="1:30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8">
        <v>38473</v>
      </c>
      <c r="B5" s="7">
        <f>'[7]May Prod'!I4</f>
        <v>11600000.000000363</v>
      </c>
      <c r="C5" s="8">
        <f>B5/1000000</f>
        <v>11.600000000000364</v>
      </c>
      <c r="D5" s="10">
        <f>C5*3.07</f>
        <v>35.612000000001117</v>
      </c>
      <c r="E5" s="7">
        <f>'[7]May Prod'!E4</f>
        <v>12000000</v>
      </c>
      <c r="F5" s="8">
        <f>E5/1000000</f>
        <v>12</v>
      </c>
      <c r="G5" s="10">
        <f>F5*3.07</f>
        <v>36.839999999999996</v>
      </c>
      <c r="H5" s="7">
        <f>'[7]May Prod'!F4</f>
        <v>0</v>
      </c>
      <c r="I5" s="8">
        <f>H5/1000000</f>
        <v>0</v>
      </c>
      <c r="J5" s="10">
        <f>I5*3.07</f>
        <v>0</v>
      </c>
      <c r="K5" s="7">
        <f>'[7]May Prod'!H259</f>
        <v>734986</v>
      </c>
      <c r="L5" s="8">
        <f>K5/1000000</f>
        <v>0.73498600000000003</v>
      </c>
      <c r="M5" s="10">
        <f>L5*3.07</f>
        <v>2.2564070200000002</v>
      </c>
      <c r="N5" s="21"/>
      <c r="O5" s="7">
        <f>'[7]May Prod'!H4</f>
        <v>4665000</v>
      </c>
      <c r="P5" s="8">
        <f>O5/1000000</f>
        <v>4.665</v>
      </c>
      <c r="Q5" s="10">
        <f t="shared" ref="Q5:Q36" si="0">P5*3.07</f>
        <v>14.32155</v>
      </c>
      <c r="R5" s="7">
        <f>'[7]May Prod'!C4</f>
        <v>5026000</v>
      </c>
      <c r="S5" s="8">
        <f>R5/1000000</f>
        <v>5.0259999999999998</v>
      </c>
      <c r="T5" s="10">
        <f t="shared" ref="T5:T36" si="1">S5*3.07</f>
        <v>15.429819999999999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360999.99999999977</v>
      </c>
      <c r="Y5" s="8">
        <f>X5/1000000</f>
        <v>0.36099999999999977</v>
      </c>
      <c r="Z5" s="10">
        <f t="shared" ref="Z5:Z35" si="3">Y5*3.07</f>
        <v>1.1082699999999992</v>
      </c>
      <c r="AA5" s="15"/>
      <c r="AB5" s="7">
        <f>B5+O5</f>
        <v>16265000.000000363</v>
      </c>
      <c r="AC5" s="8">
        <f>C5+P5</f>
        <v>16.265000000000363</v>
      </c>
      <c r="AD5" s="8">
        <f>D5+Q5</f>
        <v>49.933550000001119</v>
      </c>
    </row>
    <row r="6" spans="1:30" x14ac:dyDescent="0.15">
      <c r="A6" s="28">
        <v>38474</v>
      </c>
      <c r="B6" s="7">
        <f>'[7]May Prod'!I5</f>
        <v>14399999.999999637</v>
      </c>
      <c r="C6" s="8">
        <f t="shared" ref="C6:C35" si="4">B6/1000000</f>
        <v>14.399999999999636</v>
      </c>
      <c r="D6" s="10">
        <f t="shared" ref="D6:D36" si="5">C6*3.07</f>
        <v>44.207999999998883</v>
      </c>
      <c r="E6" s="7">
        <f>'[7]May Prod'!E5</f>
        <v>15000000</v>
      </c>
      <c r="F6" s="8">
        <f t="shared" ref="F6:F35" si="6">E6/1000000</f>
        <v>15</v>
      </c>
      <c r="G6" s="10">
        <f t="shared" ref="G6:G36" si="7">F6*3.07</f>
        <v>46.05</v>
      </c>
      <c r="H6" s="7">
        <f>'[7]May Prod'!F5</f>
        <v>0</v>
      </c>
      <c r="I6" s="8">
        <f t="shared" ref="I6:I35" si="8">H6/1000000</f>
        <v>0</v>
      </c>
      <c r="J6" s="10">
        <f t="shared" ref="J6:J36" si="9">I6*3.07</f>
        <v>0</v>
      </c>
      <c r="K6" s="7">
        <f>'[7]May Prod'!H260</f>
        <v>756796</v>
      </c>
      <c r="L6" s="8">
        <f t="shared" ref="L6:L35" si="10">K6/1000000</f>
        <v>0.75679600000000002</v>
      </c>
      <c r="M6" s="10">
        <f t="shared" ref="M6:M35" si="11">L6*3.07</f>
        <v>2.3233637200000001</v>
      </c>
      <c r="N6" s="21"/>
      <c r="O6" s="7">
        <f>'[7]May Prod'!H5</f>
        <v>4556000</v>
      </c>
      <c r="P6" s="8">
        <f t="shared" ref="P6:P35" si="12">O6/1000000</f>
        <v>4.556</v>
      </c>
      <c r="Q6" s="10">
        <f t="shared" si="0"/>
        <v>13.98692</v>
      </c>
      <c r="R6" s="7">
        <f>'[7]May Prod'!C5</f>
        <v>4929000</v>
      </c>
      <c r="S6" s="8">
        <f t="shared" ref="S6:S35" si="13">R6/1000000</f>
        <v>4.9290000000000003</v>
      </c>
      <c r="T6" s="10">
        <f t="shared" si="1"/>
        <v>15.13203</v>
      </c>
      <c r="U6" s="7">
        <f>'[7]May Prod'!D5</f>
        <v>0</v>
      </c>
      <c r="V6" s="8">
        <f t="shared" ref="V6:V35" si="14">U6/1000000</f>
        <v>0</v>
      </c>
      <c r="W6" s="10">
        <f t="shared" si="2"/>
        <v>0</v>
      </c>
      <c r="X6" s="7">
        <f>'[7]May Prod'!D260</f>
        <v>373000.00000000023</v>
      </c>
      <c r="Y6" s="8">
        <f t="shared" ref="Y6:Y35" si="15">X6/1000000</f>
        <v>0.37300000000000022</v>
      </c>
      <c r="Z6" s="10">
        <f t="shared" si="3"/>
        <v>1.1451100000000005</v>
      </c>
      <c r="AA6" s="15"/>
      <c r="AB6" s="7">
        <f t="shared" ref="AB6:AD35" si="16">B6+O6</f>
        <v>18955999.999999635</v>
      </c>
      <c r="AC6" s="8">
        <f t="shared" si="16"/>
        <v>18.955999999999637</v>
      </c>
      <c r="AD6" s="8">
        <f t="shared" si="16"/>
        <v>58.194919999998881</v>
      </c>
    </row>
    <row r="7" spans="1:30" x14ac:dyDescent="0.15">
      <c r="A7" s="28">
        <v>38475</v>
      </c>
      <c r="B7" s="7">
        <f>'[7]May Prod'!I6</f>
        <v>16899999.999999635</v>
      </c>
      <c r="C7" s="8">
        <f t="shared" si="4"/>
        <v>16.899999999999636</v>
      </c>
      <c r="D7" s="10">
        <f t="shared" si="5"/>
        <v>51.88299999999888</v>
      </c>
      <c r="E7" s="7">
        <f>'[7]May Prod'!E6</f>
        <v>19000000</v>
      </c>
      <c r="F7" s="8">
        <f t="shared" si="6"/>
        <v>19</v>
      </c>
      <c r="G7" s="10">
        <f t="shared" si="7"/>
        <v>58.33</v>
      </c>
      <c r="H7" s="7">
        <f>'[7]May Prod'!F6</f>
        <v>0</v>
      </c>
      <c r="I7" s="8">
        <f t="shared" si="8"/>
        <v>0</v>
      </c>
      <c r="J7" s="10">
        <f t="shared" si="9"/>
        <v>0</v>
      </c>
      <c r="K7" s="7">
        <f>'[7]May Prod'!H261</f>
        <v>973100</v>
      </c>
      <c r="L7" s="8">
        <f t="shared" si="10"/>
        <v>0.97309999999999997</v>
      </c>
      <c r="M7" s="10">
        <f t="shared" si="11"/>
        <v>2.9874169999999998</v>
      </c>
      <c r="N7" s="21"/>
      <c r="O7" s="7">
        <f>'[7]May Prod'!H6</f>
        <v>4684000</v>
      </c>
      <c r="P7" s="8">
        <f t="shared" si="12"/>
        <v>4.6840000000000002</v>
      </c>
      <c r="Q7" s="10">
        <f t="shared" si="0"/>
        <v>14.37988</v>
      </c>
      <c r="R7" s="7">
        <f>'[7]May Prod'!C6</f>
        <v>5064000</v>
      </c>
      <c r="S7" s="8">
        <f t="shared" si="13"/>
        <v>5.0640000000000001</v>
      </c>
      <c r="T7" s="10">
        <f t="shared" si="1"/>
        <v>15.546479999999999</v>
      </c>
      <c r="U7" s="7">
        <f>'[7]May Prod'!D6</f>
        <v>0</v>
      </c>
      <c r="V7" s="8">
        <f t="shared" si="14"/>
        <v>0</v>
      </c>
      <c r="W7" s="10">
        <f t="shared" si="2"/>
        <v>0</v>
      </c>
      <c r="X7" s="7">
        <f>'[7]May Prod'!D261</f>
        <v>379999.99999999988</v>
      </c>
      <c r="Y7" s="8">
        <f t="shared" si="15"/>
        <v>0.37999999999999989</v>
      </c>
      <c r="Z7" s="10">
        <f t="shared" si="3"/>
        <v>1.1665999999999996</v>
      </c>
      <c r="AA7" s="15"/>
      <c r="AB7" s="7">
        <f t="shared" si="16"/>
        <v>21583999.999999635</v>
      </c>
      <c r="AC7" s="8">
        <f t="shared" si="16"/>
        <v>21.583999999999637</v>
      </c>
      <c r="AD7" s="8">
        <f t="shared" si="16"/>
        <v>66.262879999998887</v>
      </c>
    </row>
    <row r="8" spans="1:30" x14ac:dyDescent="0.15">
      <c r="A8" s="28">
        <v>38476</v>
      </c>
      <c r="B8" s="7">
        <f>'[7]May Prod'!I7</f>
        <v>16600000.000000363</v>
      </c>
      <c r="C8" s="8">
        <f t="shared" si="4"/>
        <v>16.600000000000364</v>
      </c>
      <c r="D8" s="10">
        <f t="shared" si="5"/>
        <v>50.962000000001112</v>
      </c>
      <c r="E8" s="7">
        <f>'[7]May Prod'!E7</f>
        <v>17000000</v>
      </c>
      <c r="F8" s="8">
        <f t="shared" si="6"/>
        <v>17</v>
      </c>
      <c r="G8" s="10">
        <f t="shared" si="7"/>
        <v>52.19</v>
      </c>
      <c r="H8" s="7">
        <f>'[7]May Prod'!F7</f>
        <v>0</v>
      </c>
      <c r="I8" s="8">
        <f t="shared" si="8"/>
        <v>0</v>
      </c>
      <c r="J8" s="10">
        <f t="shared" si="9"/>
        <v>0</v>
      </c>
      <c r="K8" s="7">
        <f>'[7]May Prod'!H262</f>
        <v>950941</v>
      </c>
      <c r="L8" s="8">
        <f t="shared" si="10"/>
        <v>0.95094100000000004</v>
      </c>
      <c r="M8" s="10">
        <f t="shared" si="11"/>
        <v>2.9193888700000001</v>
      </c>
      <c r="N8" s="21"/>
      <c r="O8" s="7">
        <f>'[7]May Prod'!H7</f>
        <v>4645000.0000000009</v>
      </c>
      <c r="P8" s="8">
        <f t="shared" si="12"/>
        <v>4.6450000000000014</v>
      </c>
      <c r="Q8" s="10">
        <f t="shared" si="0"/>
        <v>14.260150000000003</v>
      </c>
      <c r="R8" s="7">
        <f>'[7]May Prod'!C7</f>
        <v>5002000</v>
      </c>
      <c r="S8" s="8">
        <f t="shared" si="13"/>
        <v>5.0019999999999998</v>
      </c>
      <c r="T8" s="10">
        <f t="shared" si="1"/>
        <v>15.356139999999998</v>
      </c>
      <c r="U8" s="7">
        <f>'[7]May Prod'!D7</f>
        <v>0</v>
      </c>
      <c r="V8" s="8">
        <f t="shared" si="14"/>
        <v>0</v>
      </c>
      <c r="W8" s="10">
        <f t="shared" si="2"/>
        <v>0</v>
      </c>
      <c r="X8" s="7">
        <f>'[7]May Prod'!D262</f>
        <v>356999.9999999993</v>
      </c>
      <c r="Y8" s="8">
        <f t="shared" si="15"/>
        <v>0.35699999999999932</v>
      </c>
      <c r="Z8" s="10">
        <f t="shared" si="3"/>
        <v>1.0959899999999978</v>
      </c>
      <c r="AA8" s="15"/>
      <c r="AB8" s="7">
        <f t="shared" si="16"/>
        <v>21245000.000000365</v>
      </c>
      <c r="AC8" s="8">
        <f t="shared" si="16"/>
        <v>21.245000000000367</v>
      </c>
      <c r="AD8" s="8">
        <f t="shared" si="16"/>
        <v>65.222150000001108</v>
      </c>
    </row>
    <row r="9" spans="1:30" x14ac:dyDescent="0.15">
      <c r="A9" s="28">
        <v>38477</v>
      </c>
      <c r="B9" s="7">
        <f>'[7]May Prod'!I8</f>
        <v>19200000.000000726</v>
      </c>
      <c r="C9" s="8">
        <f t="shared" si="4"/>
        <v>19.200000000000728</v>
      </c>
      <c r="D9" s="10">
        <f t="shared" si="5"/>
        <v>58.944000000002234</v>
      </c>
      <c r="E9" s="7">
        <f>'[7]May Prod'!E8</f>
        <v>21000000</v>
      </c>
      <c r="F9" s="8">
        <f t="shared" si="6"/>
        <v>21</v>
      </c>
      <c r="G9" s="10">
        <f t="shared" si="7"/>
        <v>64.47</v>
      </c>
      <c r="H9" s="7">
        <f>'[7]May Prod'!F8</f>
        <v>0</v>
      </c>
      <c r="I9" s="8">
        <f t="shared" si="8"/>
        <v>0</v>
      </c>
      <c r="J9" s="10">
        <f t="shared" si="9"/>
        <v>0</v>
      </c>
      <c r="K9" s="7">
        <f>'[7]May Prod'!H263</f>
        <v>1056274</v>
      </c>
      <c r="L9" s="8">
        <f t="shared" si="10"/>
        <v>1.0562739999999999</v>
      </c>
      <c r="M9" s="10">
        <f t="shared" si="11"/>
        <v>3.2427611799999996</v>
      </c>
      <c r="N9" s="21"/>
      <c r="O9" s="7">
        <f>'[7]May Prod'!H8</f>
        <v>4787000</v>
      </c>
      <c r="P9" s="8">
        <f t="shared" si="12"/>
        <v>4.7869999999999999</v>
      </c>
      <c r="Q9" s="10">
        <f t="shared" si="0"/>
        <v>14.69609</v>
      </c>
      <c r="R9" s="7">
        <f>'[7]May Prod'!C8</f>
        <v>5236000</v>
      </c>
      <c r="S9" s="8">
        <f t="shared" si="13"/>
        <v>5.2359999999999998</v>
      </c>
      <c r="T9" s="10">
        <f t="shared" si="1"/>
        <v>16.07452</v>
      </c>
      <c r="U9" s="7">
        <f>'[7]May Prod'!D8</f>
        <v>0</v>
      </c>
      <c r="V9" s="8">
        <f t="shared" si="14"/>
        <v>0</v>
      </c>
      <c r="W9" s="10">
        <f t="shared" si="2"/>
        <v>0</v>
      </c>
      <c r="X9" s="7">
        <f>'[7]May Prod'!D263</f>
        <v>448999.99999999983</v>
      </c>
      <c r="Y9" s="8">
        <f t="shared" si="15"/>
        <v>0.44899999999999984</v>
      </c>
      <c r="Z9" s="10">
        <f t="shared" si="3"/>
        <v>1.3784299999999994</v>
      </c>
      <c r="AA9" s="15"/>
      <c r="AB9" s="7">
        <f t="shared" si="16"/>
        <v>23987000.000000726</v>
      </c>
      <c r="AC9" s="8">
        <f t="shared" si="16"/>
        <v>23.987000000000727</v>
      </c>
      <c r="AD9" s="8">
        <f t="shared" si="16"/>
        <v>73.640090000002232</v>
      </c>
    </row>
    <row r="10" spans="1:30" x14ac:dyDescent="0.15">
      <c r="A10" s="28">
        <v>38478</v>
      </c>
      <c r="B10" s="7">
        <f>'[7]May Prod'!I9</f>
        <v>20500000</v>
      </c>
      <c r="C10" s="8">
        <f t="shared" si="4"/>
        <v>20.5</v>
      </c>
      <c r="D10" s="10">
        <f t="shared" si="5"/>
        <v>62.934999999999995</v>
      </c>
      <c r="E10" s="7">
        <f>'[7]May Prod'!E9</f>
        <v>21000000</v>
      </c>
      <c r="F10" s="8">
        <f t="shared" si="6"/>
        <v>21</v>
      </c>
      <c r="G10" s="10">
        <f t="shared" si="7"/>
        <v>64.47</v>
      </c>
      <c r="H10" s="7">
        <f>'[7]May Prod'!F9</f>
        <v>0</v>
      </c>
      <c r="I10" s="8">
        <f t="shared" si="8"/>
        <v>0</v>
      </c>
      <c r="J10" s="10">
        <f t="shared" si="9"/>
        <v>0</v>
      </c>
      <c r="K10" s="7">
        <f>'[7]May Prod'!H264</f>
        <v>1140258</v>
      </c>
      <c r="L10" s="8">
        <f t="shared" si="10"/>
        <v>1.140258</v>
      </c>
      <c r="M10" s="10">
        <f t="shared" si="11"/>
        <v>3.5005920599999998</v>
      </c>
      <c r="N10" s="21"/>
      <c r="O10" s="7">
        <f>'[7]May Prod'!H9</f>
        <v>8576000</v>
      </c>
      <c r="P10" s="8">
        <f t="shared" si="12"/>
        <v>8.5760000000000005</v>
      </c>
      <c r="Q10" s="10">
        <f t="shared" si="0"/>
        <v>26.328320000000001</v>
      </c>
      <c r="R10" s="7">
        <f>'[7]May Prod'!C9</f>
        <v>9169000</v>
      </c>
      <c r="S10" s="8">
        <f t="shared" si="13"/>
        <v>9.1690000000000005</v>
      </c>
      <c r="T10" s="10">
        <f t="shared" si="1"/>
        <v>28.14883</v>
      </c>
      <c r="U10" s="7">
        <f>'[7]May Prod'!D9</f>
        <v>0</v>
      </c>
      <c r="V10" s="8">
        <f t="shared" si="14"/>
        <v>0</v>
      </c>
      <c r="W10" s="10">
        <f t="shared" si="2"/>
        <v>0</v>
      </c>
      <c r="X10" s="7">
        <f>'[7]May Prod'!D264</f>
        <v>593000</v>
      </c>
      <c r="Y10" s="8">
        <f t="shared" si="15"/>
        <v>0.59299999999999997</v>
      </c>
      <c r="Z10" s="10">
        <f t="shared" si="3"/>
        <v>1.8205099999999999</v>
      </c>
      <c r="AA10" s="15"/>
      <c r="AB10" s="7">
        <f t="shared" si="16"/>
        <v>29076000</v>
      </c>
      <c r="AC10" s="8">
        <f t="shared" si="16"/>
        <v>29.076000000000001</v>
      </c>
      <c r="AD10" s="8">
        <f t="shared" si="16"/>
        <v>89.263319999999993</v>
      </c>
    </row>
    <row r="11" spans="1:30" x14ac:dyDescent="0.15">
      <c r="A11" s="28">
        <v>38479</v>
      </c>
      <c r="B11" s="7">
        <f>'[7]May Prod'!I10</f>
        <v>18399999.999999635</v>
      </c>
      <c r="C11" s="8">
        <f t="shared" si="4"/>
        <v>18.399999999999636</v>
      </c>
      <c r="D11" s="10">
        <f t="shared" si="5"/>
        <v>56.487999999998877</v>
      </c>
      <c r="E11" s="7">
        <f>'[7]May Prod'!E10</f>
        <v>20000000</v>
      </c>
      <c r="F11" s="8">
        <f t="shared" si="6"/>
        <v>20</v>
      </c>
      <c r="G11" s="10">
        <f t="shared" si="7"/>
        <v>61.4</v>
      </c>
      <c r="H11" s="7">
        <f>'[7]May Prod'!F10</f>
        <v>0</v>
      </c>
      <c r="I11" s="8">
        <f t="shared" si="8"/>
        <v>0</v>
      </c>
      <c r="J11" s="10">
        <f t="shared" si="9"/>
        <v>0</v>
      </c>
      <c r="K11" s="7">
        <f>'[7]May Prod'!H265</f>
        <v>954525</v>
      </c>
      <c r="L11" s="8">
        <f t="shared" si="10"/>
        <v>0.95452499999999996</v>
      </c>
      <c r="M11" s="10">
        <f t="shared" si="11"/>
        <v>2.9303917499999996</v>
      </c>
      <c r="N11" s="21"/>
      <c r="O11" s="7">
        <f>'[7]May Prod'!H10</f>
        <v>9295999.9999999981</v>
      </c>
      <c r="P11" s="8">
        <f t="shared" si="12"/>
        <v>9.2959999999999976</v>
      </c>
      <c r="Q11" s="10">
        <f t="shared" si="0"/>
        <v>28.538719999999991</v>
      </c>
      <c r="R11" s="7">
        <f>'[7]May Prod'!C10</f>
        <v>10018000</v>
      </c>
      <c r="S11" s="8">
        <f t="shared" si="13"/>
        <v>10.018000000000001</v>
      </c>
      <c r="T11" s="10">
        <f t="shared" si="1"/>
        <v>30.75526</v>
      </c>
      <c r="U11" s="7">
        <f>'[7]May Prod'!D10</f>
        <v>0</v>
      </c>
      <c r="V11" s="8">
        <f t="shared" si="14"/>
        <v>0</v>
      </c>
      <c r="W11" s="10">
        <f t="shared" si="2"/>
        <v>0</v>
      </c>
      <c r="X11" s="7">
        <f>'[7]May Prod'!D265</f>
        <v>722000.00000000128</v>
      </c>
      <c r="Y11" s="8">
        <f t="shared" si="15"/>
        <v>0.72200000000000131</v>
      </c>
      <c r="Z11" s="10">
        <f t="shared" si="3"/>
        <v>2.2165400000000037</v>
      </c>
      <c r="AA11" s="15"/>
      <c r="AB11" s="7">
        <f t="shared" si="16"/>
        <v>27695999.999999635</v>
      </c>
      <c r="AC11" s="8">
        <f t="shared" si="16"/>
        <v>27.695999999999636</v>
      </c>
      <c r="AD11" s="8">
        <f t="shared" si="16"/>
        <v>85.026719999998875</v>
      </c>
    </row>
    <row r="12" spans="1:30" x14ac:dyDescent="0.15">
      <c r="A12" s="28">
        <v>38480</v>
      </c>
      <c r="B12" s="7">
        <f>'[7]May Prod'!I11</f>
        <v>20699999.999998908</v>
      </c>
      <c r="C12" s="8">
        <f t="shared" si="4"/>
        <v>20.699999999998909</v>
      </c>
      <c r="D12" s="10">
        <f t="shared" si="5"/>
        <v>63.548999999996646</v>
      </c>
      <c r="E12" s="7">
        <f>'[7]May Prod'!E11</f>
        <v>22000000</v>
      </c>
      <c r="F12" s="8">
        <f t="shared" si="6"/>
        <v>22</v>
      </c>
      <c r="G12" s="10">
        <f t="shared" si="7"/>
        <v>67.539999999999992</v>
      </c>
      <c r="H12" s="7">
        <f>'[7]May Prod'!F11</f>
        <v>0</v>
      </c>
      <c r="I12" s="8">
        <f t="shared" si="8"/>
        <v>0</v>
      </c>
      <c r="J12" s="10">
        <f t="shared" si="9"/>
        <v>0</v>
      </c>
      <c r="K12" s="7">
        <f>'[7]May Prod'!H266</f>
        <v>1168948</v>
      </c>
      <c r="L12" s="8">
        <f t="shared" si="10"/>
        <v>1.1689480000000001</v>
      </c>
      <c r="M12" s="10">
        <f t="shared" si="11"/>
        <v>3.5886703600000001</v>
      </c>
      <c r="N12" s="21"/>
      <c r="O12" s="7">
        <f>'[7]May Prod'!H11</f>
        <v>9426000.0000000019</v>
      </c>
      <c r="P12" s="8">
        <f t="shared" si="12"/>
        <v>9.4260000000000019</v>
      </c>
      <c r="Q12" s="10">
        <f t="shared" si="0"/>
        <v>28.937820000000006</v>
      </c>
      <c r="R12" s="7">
        <f>'[7]May Prod'!C11</f>
        <v>10034000</v>
      </c>
      <c r="S12" s="8">
        <f t="shared" si="13"/>
        <v>10.034000000000001</v>
      </c>
      <c r="T12" s="10">
        <f t="shared" si="1"/>
        <v>30.804380000000002</v>
      </c>
      <c r="U12" s="7">
        <f>'[7]May Prod'!D11</f>
        <v>0</v>
      </c>
      <c r="V12" s="8">
        <f t="shared" si="14"/>
        <v>0</v>
      </c>
      <c r="W12" s="10">
        <f t="shared" si="2"/>
        <v>0</v>
      </c>
      <c r="X12" s="7">
        <f>'[7]May Prod'!D266</f>
        <v>607999.99999999872</v>
      </c>
      <c r="Y12" s="8">
        <f t="shared" si="15"/>
        <v>0.60799999999999876</v>
      </c>
      <c r="Z12" s="10">
        <f t="shared" si="3"/>
        <v>1.866559999999996</v>
      </c>
      <c r="AA12" s="15"/>
      <c r="AB12" s="7">
        <f t="shared" si="16"/>
        <v>30125999.999998912</v>
      </c>
      <c r="AC12" s="8">
        <f t="shared" si="16"/>
        <v>30.125999999998911</v>
      </c>
      <c r="AD12" s="8">
        <f t="shared" si="16"/>
        <v>92.486819999996655</v>
      </c>
    </row>
    <row r="13" spans="1:30" x14ac:dyDescent="0.15">
      <c r="A13" s="28">
        <v>38481</v>
      </c>
      <c r="B13" s="7">
        <f>'[7]May Prod'!I12</f>
        <v>21000000</v>
      </c>
      <c r="C13" s="8">
        <f t="shared" si="4"/>
        <v>21</v>
      </c>
      <c r="D13" s="10">
        <f t="shared" si="5"/>
        <v>64.47</v>
      </c>
      <c r="E13" s="7">
        <f>'[7]May Prod'!E12</f>
        <v>22000000</v>
      </c>
      <c r="F13" s="8">
        <f t="shared" si="6"/>
        <v>22</v>
      </c>
      <c r="G13" s="10">
        <f t="shared" si="7"/>
        <v>67.539999999999992</v>
      </c>
      <c r="H13" s="7">
        <f>'[7]May Prod'!F12</f>
        <v>0</v>
      </c>
      <c r="I13" s="8">
        <f t="shared" si="8"/>
        <v>0</v>
      </c>
      <c r="J13" s="10">
        <f t="shared" si="9"/>
        <v>0</v>
      </c>
      <c r="K13" s="7">
        <f>'[7]May Prod'!H267</f>
        <v>1077253</v>
      </c>
      <c r="L13" s="8">
        <f t="shared" si="10"/>
        <v>1.077253</v>
      </c>
      <c r="M13" s="10">
        <f t="shared" si="11"/>
        <v>3.3071667099999997</v>
      </c>
      <c r="N13" s="21"/>
      <c r="O13" s="7">
        <f>'[7]May Prod'!H12</f>
        <v>9131000</v>
      </c>
      <c r="P13" s="8">
        <f t="shared" si="12"/>
        <v>9.1310000000000002</v>
      </c>
      <c r="Q13" s="10">
        <f t="shared" si="0"/>
        <v>28.032170000000001</v>
      </c>
      <c r="R13" s="7">
        <f>'[7]May Prod'!C12</f>
        <v>10008000</v>
      </c>
      <c r="S13" s="8">
        <f t="shared" si="13"/>
        <v>10.007999999999999</v>
      </c>
      <c r="T13" s="10">
        <f t="shared" si="1"/>
        <v>30.724559999999997</v>
      </c>
      <c r="U13" s="7">
        <f>'[7]May Prod'!D12</f>
        <v>0</v>
      </c>
      <c r="V13" s="8">
        <f t="shared" si="14"/>
        <v>0</v>
      </c>
      <c r="W13" s="10">
        <f t="shared" si="2"/>
        <v>0</v>
      </c>
      <c r="X13" s="7">
        <f>'[7]May Prod'!D267</f>
        <v>877000.0000000007</v>
      </c>
      <c r="Y13" s="8">
        <f t="shared" si="15"/>
        <v>0.87700000000000067</v>
      </c>
      <c r="Z13" s="10">
        <f t="shared" si="3"/>
        <v>2.6923900000000018</v>
      </c>
      <c r="AA13" s="15"/>
      <c r="AB13" s="7">
        <f t="shared" si="16"/>
        <v>30131000</v>
      </c>
      <c r="AC13" s="8">
        <f t="shared" si="16"/>
        <v>30.131</v>
      </c>
      <c r="AD13" s="8">
        <f t="shared" si="16"/>
        <v>92.502170000000007</v>
      </c>
    </row>
    <row r="14" spans="1:30" x14ac:dyDescent="0.15">
      <c r="A14" s="28">
        <v>38482</v>
      </c>
      <c r="B14" s="7">
        <f>'[7]May Prod'!I13</f>
        <v>20900000.000001457</v>
      </c>
      <c r="C14" s="8">
        <f t="shared" si="4"/>
        <v>20.900000000001455</v>
      </c>
      <c r="D14" s="10">
        <f t="shared" si="5"/>
        <v>64.163000000004459</v>
      </c>
      <c r="E14" s="7">
        <f>'[7]May Prod'!E13</f>
        <v>22000000</v>
      </c>
      <c r="F14" s="8">
        <f t="shared" si="6"/>
        <v>22</v>
      </c>
      <c r="G14" s="10">
        <f t="shared" si="7"/>
        <v>67.539999999999992</v>
      </c>
      <c r="H14" s="7">
        <f>'[7]May Prod'!F13</f>
        <v>0</v>
      </c>
      <c r="I14" s="8">
        <f t="shared" si="8"/>
        <v>0</v>
      </c>
      <c r="J14" s="10">
        <f t="shared" si="9"/>
        <v>0</v>
      </c>
      <c r="K14" s="7">
        <f>'[7]May Prod'!H268</f>
        <v>1148815</v>
      </c>
      <c r="L14" s="8">
        <f t="shared" si="10"/>
        <v>1.1488149999999999</v>
      </c>
      <c r="M14" s="10">
        <f t="shared" si="11"/>
        <v>3.5268620499999996</v>
      </c>
      <c r="N14" s="21"/>
      <c r="O14" s="7">
        <f>'[7]May Prod'!H13</f>
        <v>9409000</v>
      </c>
      <c r="P14" s="8">
        <f t="shared" si="12"/>
        <v>9.4090000000000007</v>
      </c>
      <c r="Q14" s="10">
        <f t="shared" si="0"/>
        <v>28.885629999999999</v>
      </c>
      <c r="R14" s="7">
        <f>'[7]May Prod'!C13</f>
        <v>9984000</v>
      </c>
      <c r="S14" s="8">
        <f t="shared" si="13"/>
        <v>9.984</v>
      </c>
      <c r="T14" s="10">
        <f t="shared" si="1"/>
        <v>30.650879999999997</v>
      </c>
      <c r="U14" s="7">
        <f>'[7]May Prod'!D13</f>
        <v>0</v>
      </c>
      <c r="V14" s="8">
        <f t="shared" si="14"/>
        <v>0</v>
      </c>
      <c r="W14" s="10">
        <f t="shared" si="2"/>
        <v>0</v>
      </c>
      <c r="X14" s="7">
        <f>'[7]May Prod'!D268</f>
        <v>574999.9999999993</v>
      </c>
      <c r="Y14" s="8">
        <f t="shared" si="15"/>
        <v>0.57499999999999929</v>
      </c>
      <c r="Z14" s="10">
        <f t="shared" si="3"/>
        <v>1.7652499999999978</v>
      </c>
      <c r="AA14" s="15"/>
      <c r="AB14" s="7">
        <f t="shared" si="16"/>
        <v>30309000.000001457</v>
      </c>
      <c r="AC14" s="8">
        <f t="shared" si="16"/>
        <v>30.309000000001454</v>
      </c>
      <c r="AD14" s="8">
        <f t="shared" si="16"/>
        <v>93.048630000004465</v>
      </c>
    </row>
    <row r="15" spans="1:30" x14ac:dyDescent="0.15">
      <c r="A15" s="28">
        <v>38483</v>
      </c>
      <c r="B15" s="7">
        <f>'[7]May Prod'!I14</f>
        <v>14799999.999999272</v>
      </c>
      <c r="C15" s="8">
        <f t="shared" si="4"/>
        <v>14.799999999999272</v>
      </c>
      <c r="D15" s="10">
        <f t="shared" si="5"/>
        <v>45.435999999997762</v>
      </c>
      <c r="E15" s="7">
        <f>'[7]May Prod'!E14</f>
        <v>16000000</v>
      </c>
      <c r="F15" s="8">
        <f t="shared" si="6"/>
        <v>16</v>
      </c>
      <c r="G15" s="10">
        <f t="shared" si="7"/>
        <v>49.12</v>
      </c>
      <c r="H15" s="7">
        <f>'[7]May Prod'!F14</f>
        <v>0</v>
      </c>
      <c r="I15" s="8">
        <f t="shared" si="8"/>
        <v>0</v>
      </c>
      <c r="J15" s="10">
        <f t="shared" si="9"/>
        <v>0</v>
      </c>
      <c r="K15" s="7">
        <f>'[7]May Prod'!H269</f>
        <v>778702</v>
      </c>
      <c r="L15" s="8">
        <f t="shared" si="10"/>
        <v>0.77870200000000001</v>
      </c>
      <c r="M15" s="10">
        <f t="shared" si="11"/>
        <v>2.39061514</v>
      </c>
      <c r="N15" s="21"/>
      <c r="O15" s="7">
        <f>'[7]May Prod'!H14</f>
        <v>4839999.9999999991</v>
      </c>
      <c r="P15" s="8">
        <f t="shared" si="12"/>
        <v>4.839999999999999</v>
      </c>
      <c r="Q15" s="10">
        <f t="shared" si="0"/>
        <v>14.858799999999997</v>
      </c>
      <c r="R15" s="7">
        <f>'[7]May Prod'!C14</f>
        <v>5444000</v>
      </c>
      <c r="S15" s="8">
        <f t="shared" si="13"/>
        <v>5.444</v>
      </c>
      <c r="T15" s="10">
        <f t="shared" si="1"/>
        <v>16.713079999999998</v>
      </c>
      <c r="U15" s="7">
        <f>'[7]May Prod'!D14</f>
        <v>0</v>
      </c>
      <c r="V15" s="8">
        <f t="shared" si="14"/>
        <v>0</v>
      </c>
      <c r="W15" s="10">
        <f t="shared" si="2"/>
        <v>0</v>
      </c>
      <c r="X15" s="7">
        <f>'[7]May Prod'!D269</f>
        <v>604000.00000000093</v>
      </c>
      <c r="Y15" s="8">
        <f t="shared" si="15"/>
        <v>0.60400000000000098</v>
      </c>
      <c r="Z15" s="10">
        <f t="shared" si="3"/>
        <v>1.8542800000000028</v>
      </c>
      <c r="AA15" s="15"/>
      <c r="AB15" s="7">
        <f t="shared" si="16"/>
        <v>19639999.99999927</v>
      </c>
      <c r="AC15" s="8">
        <f t="shared" si="16"/>
        <v>19.639999999999272</v>
      </c>
      <c r="AD15" s="8">
        <f t="shared" si="16"/>
        <v>60.294799999997757</v>
      </c>
    </row>
    <row r="16" spans="1:30" x14ac:dyDescent="0.15">
      <c r="A16" s="28">
        <v>38484</v>
      </c>
      <c r="B16" s="7">
        <f>'[7]May Prod'!I15</f>
        <v>11799999.999999272</v>
      </c>
      <c r="C16" s="8">
        <f t="shared" si="4"/>
        <v>11.799999999999272</v>
      </c>
      <c r="D16" s="10">
        <f t="shared" si="5"/>
        <v>36.225999999997761</v>
      </c>
      <c r="E16" s="7">
        <f>'[7]May Prod'!E15</f>
        <v>13000000</v>
      </c>
      <c r="F16" s="8">
        <f t="shared" si="6"/>
        <v>13</v>
      </c>
      <c r="G16" s="10">
        <f t="shared" si="7"/>
        <v>39.909999999999997</v>
      </c>
      <c r="H16" s="7">
        <f>'[7]May Prod'!F15</f>
        <v>0</v>
      </c>
      <c r="I16" s="8">
        <f t="shared" si="8"/>
        <v>0</v>
      </c>
      <c r="J16" s="10">
        <f t="shared" si="9"/>
        <v>0</v>
      </c>
      <c r="K16" s="7">
        <f>'[7]May Prod'!H270</f>
        <v>736572</v>
      </c>
      <c r="L16" s="8">
        <f t="shared" si="10"/>
        <v>0.736572</v>
      </c>
      <c r="M16" s="10">
        <f t="shared" si="11"/>
        <v>2.2612760399999998</v>
      </c>
      <c r="N16" s="21"/>
      <c r="O16" s="7">
        <f>'[7]May Prod'!H15</f>
        <v>4740000</v>
      </c>
      <c r="P16" s="8">
        <f t="shared" si="12"/>
        <v>4.74</v>
      </c>
      <c r="Q16" s="10">
        <f t="shared" si="0"/>
        <v>14.5518</v>
      </c>
      <c r="R16" s="7">
        <f>'[7]May Prod'!C15</f>
        <v>5252000</v>
      </c>
      <c r="S16" s="8">
        <f t="shared" si="13"/>
        <v>5.2519999999999998</v>
      </c>
      <c r="T16" s="10">
        <f t="shared" si="1"/>
        <v>16.123639999999998</v>
      </c>
      <c r="U16" s="7">
        <f>'[7]May Prod'!D15</f>
        <v>0</v>
      </c>
      <c r="V16" s="8">
        <f t="shared" si="14"/>
        <v>0</v>
      </c>
      <c r="W16" s="10">
        <f t="shared" si="2"/>
        <v>0</v>
      </c>
      <c r="X16" s="7">
        <f>'[7]May Prod'!D270</f>
        <v>512000.00000000047</v>
      </c>
      <c r="Y16" s="8">
        <f t="shared" si="15"/>
        <v>0.51200000000000045</v>
      </c>
      <c r="Z16" s="10">
        <f t="shared" si="3"/>
        <v>1.5718400000000012</v>
      </c>
      <c r="AA16" s="15"/>
      <c r="AB16" s="7">
        <f t="shared" si="16"/>
        <v>16539999.999999272</v>
      </c>
      <c r="AC16" s="8">
        <f t="shared" si="16"/>
        <v>16.539999999999274</v>
      </c>
      <c r="AD16" s="8">
        <f t="shared" si="16"/>
        <v>50.777799999997761</v>
      </c>
    </row>
    <row r="17" spans="1:30" x14ac:dyDescent="0.15">
      <c r="A17" s="28">
        <v>38485</v>
      </c>
      <c r="B17" s="7">
        <f>'[7]May Prod'!I16</f>
        <v>10600000.000000363</v>
      </c>
      <c r="C17" s="8">
        <f t="shared" si="4"/>
        <v>10.600000000000364</v>
      </c>
      <c r="D17" s="10">
        <f t="shared" si="5"/>
        <v>32.542000000001117</v>
      </c>
      <c r="E17" s="7">
        <f>'[7]May Prod'!E16</f>
        <v>11000000</v>
      </c>
      <c r="F17" s="8">
        <f t="shared" si="6"/>
        <v>11</v>
      </c>
      <c r="G17" s="10">
        <f t="shared" si="7"/>
        <v>33.769999999999996</v>
      </c>
      <c r="H17" s="7">
        <f>'[7]May Prod'!F16</f>
        <v>0</v>
      </c>
      <c r="I17" s="8">
        <f t="shared" si="8"/>
        <v>0</v>
      </c>
      <c r="J17" s="10">
        <f t="shared" si="9"/>
        <v>0</v>
      </c>
      <c r="K17" s="7">
        <f>'[7]May Prod'!H271</f>
        <v>592030</v>
      </c>
      <c r="L17" s="8">
        <f t="shared" si="10"/>
        <v>0.59202999999999995</v>
      </c>
      <c r="M17" s="10">
        <f t="shared" si="11"/>
        <v>1.8175320999999998</v>
      </c>
      <c r="N17" s="21"/>
      <c r="O17" s="7">
        <f>'[7]May Prod'!H16</f>
        <v>4929000.0000000019</v>
      </c>
      <c r="P17" s="8">
        <f t="shared" si="12"/>
        <v>4.929000000000002</v>
      </c>
      <c r="Q17" s="10">
        <f t="shared" si="0"/>
        <v>15.132030000000006</v>
      </c>
      <c r="R17" s="7">
        <f>'[7]May Prod'!C16</f>
        <v>5403000</v>
      </c>
      <c r="S17" s="8">
        <f t="shared" si="13"/>
        <v>5.4029999999999996</v>
      </c>
      <c r="T17" s="10">
        <f t="shared" si="1"/>
        <v>16.587209999999999</v>
      </c>
      <c r="U17" s="7">
        <f>'[7]May Prod'!D16</f>
        <v>0</v>
      </c>
      <c r="V17" s="8">
        <f t="shared" si="14"/>
        <v>0</v>
      </c>
      <c r="W17" s="10">
        <f t="shared" si="2"/>
        <v>0</v>
      </c>
      <c r="X17" s="7">
        <f>'[7]May Prod'!D271</f>
        <v>473999.99999999843</v>
      </c>
      <c r="Y17" s="8">
        <f t="shared" si="15"/>
        <v>0.47399999999999842</v>
      </c>
      <c r="Z17" s="10">
        <f t="shared" si="3"/>
        <v>1.455179999999995</v>
      </c>
      <c r="AA17" s="15"/>
      <c r="AB17" s="7">
        <f t="shared" si="16"/>
        <v>15529000.000000365</v>
      </c>
      <c r="AC17" s="8">
        <f t="shared" si="16"/>
        <v>15.529000000000366</v>
      </c>
      <c r="AD17" s="8">
        <f t="shared" si="16"/>
        <v>47.674030000001125</v>
      </c>
    </row>
    <row r="18" spans="1:30" x14ac:dyDescent="0.15">
      <c r="A18" s="28">
        <v>38486</v>
      </c>
      <c r="B18" s="7">
        <f>'[7]May Prod'!I17</f>
        <v>11800000.000001092</v>
      </c>
      <c r="C18" s="8">
        <f t="shared" si="4"/>
        <v>11.800000000001091</v>
      </c>
      <c r="D18" s="10">
        <f t="shared" si="5"/>
        <v>36.226000000003346</v>
      </c>
      <c r="E18" s="7">
        <f>'[7]May Prod'!E17</f>
        <v>13000000</v>
      </c>
      <c r="F18" s="8">
        <f t="shared" si="6"/>
        <v>13</v>
      </c>
      <c r="G18" s="10">
        <f t="shared" si="7"/>
        <v>39.909999999999997</v>
      </c>
      <c r="H18" s="7">
        <f>'[7]May Prod'!F17</f>
        <v>0</v>
      </c>
      <c r="I18" s="8">
        <f t="shared" si="8"/>
        <v>0</v>
      </c>
      <c r="J18" s="10">
        <f t="shared" si="9"/>
        <v>0</v>
      </c>
      <c r="K18" s="7">
        <f>'[7]May Prod'!H272</f>
        <v>734000</v>
      </c>
      <c r="L18" s="8">
        <f t="shared" si="10"/>
        <v>0.73399999999999999</v>
      </c>
      <c r="M18" s="10">
        <f t="shared" si="11"/>
        <v>2.2533799999999999</v>
      </c>
      <c r="N18" s="21"/>
      <c r="O18" s="7">
        <f>'[7]May Prod'!H17</f>
        <v>5106000</v>
      </c>
      <c r="P18" s="8">
        <f t="shared" si="12"/>
        <v>5.1059999999999999</v>
      </c>
      <c r="Q18" s="10">
        <f t="shared" si="0"/>
        <v>15.675419999999999</v>
      </c>
      <c r="R18" s="7">
        <f>'[7]May Prod'!C17</f>
        <v>5407000</v>
      </c>
      <c r="S18" s="8">
        <f t="shared" si="13"/>
        <v>5.407</v>
      </c>
      <c r="T18" s="10">
        <f t="shared" si="1"/>
        <v>16.599489999999999</v>
      </c>
      <c r="U18" s="7">
        <f>'[7]May Prod'!D17</f>
        <v>0</v>
      </c>
      <c r="V18" s="8">
        <f t="shared" si="14"/>
        <v>0</v>
      </c>
      <c r="W18" s="10">
        <f t="shared" si="2"/>
        <v>0</v>
      </c>
      <c r="X18" s="7">
        <f>'[7]May Prod'!D272</f>
        <v>301000.00000000017</v>
      </c>
      <c r="Y18" s="8">
        <f t="shared" si="15"/>
        <v>0.30100000000000016</v>
      </c>
      <c r="Z18" s="10">
        <f t="shared" si="3"/>
        <v>0.92407000000000039</v>
      </c>
      <c r="AA18" s="15"/>
      <c r="AB18" s="7">
        <f t="shared" si="16"/>
        <v>16906000.000001092</v>
      </c>
      <c r="AC18" s="8">
        <f t="shared" si="16"/>
        <v>16.906000000001093</v>
      </c>
      <c r="AD18" s="8">
        <f t="shared" si="16"/>
        <v>51.901420000003341</v>
      </c>
    </row>
    <row r="19" spans="1:30" x14ac:dyDescent="0.15">
      <c r="A19" s="28">
        <v>38487</v>
      </c>
      <c r="B19" s="7">
        <f>'[7]May Prod'!I18</f>
        <v>11899999.999999637</v>
      </c>
      <c r="C19" s="8">
        <f t="shared" si="4"/>
        <v>11.899999999999636</v>
      </c>
      <c r="D19" s="10">
        <f t="shared" si="5"/>
        <v>36.532999999998879</v>
      </c>
      <c r="E19" s="7">
        <f>'[7]May Prod'!E18</f>
        <v>12000000</v>
      </c>
      <c r="F19" s="8">
        <f t="shared" si="6"/>
        <v>12</v>
      </c>
      <c r="G19" s="10">
        <f t="shared" si="7"/>
        <v>36.839999999999996</v>
      </c>
      <c r="H19" s="7">
        <f>'[7]May Prod'!F18</f>
        <v>0</v>
      </c>
      <c r="I19" s="8">
        <f t="shared" si="8"/>
        <v>0</v>
      </c>
      <c r="J19" s="10">
        <f t="shared" si="9"/>
        <v>0</v>
      </c>
      <c r="K19" s="7">
        <f>'[7]May Prod'!H273</f>
        <v>618108</v>
      </c>
      <c r="L19" s="8">
        <f t="shared" si="10"/>
        <v>0.61810799999999999</v>
      </c>
      <c r="M19" s="10">
        <f t="shared" si="11"/>
        <v>1.89759156</v>
      </c>
      <c r="N19" s="21"/>
      <c r="O19" s="7">
        <f>'[7]May Prod'!H18</f>
        <v>5105999.9999999991</v>
      </c>
      <c r="P19" s="8">
        <f t="shared" si="12"/>
        <v>5.105999999999999</v>
      </c>
      <c r="Q19" s="10">
        <f t="shared" si="0"/>
        <v>15.675419999999995</v>
      </c>
      <c r="R19" s="7">
        <f>'[7]May Prod'!C18</f>
        <v>5287000</v>
      </c>
      <c r="S19" s="8">
        <f t="shared" si="13"/>
        <v>5.2869999999999999</v>
      </c>
      <c r="T19" s="10">
        <f t="shared" si="1"/>
        <v>16.231089999999998</v>
      </c>
      <c r="U19" s="7">
        <f>'[7]May Prod'!D18</f>
        <v>0</v>
      </c>
      <c r="V19" s="8">
        <f t="shared" si="14"/>
        <v>0</v>
      </c>
      <c r="W19" s="10">
        <f t="shared" si="2"/>
        <v>0</v>
      </c>
      <c r="X19" s="7">
        <f>'[7]May Prod'!D273</f>
        <v>181000.00000000093</v>
      </c>
      <c r="Y19" s="8">
        <f t="shared" si="15"/>
        <v>0.18100000000000094</v>
      </c>
      <c r="Z19" s="10">
        <f t="shared" si="3"/>
        <v>0.55567000000000288</v>
      </c>
      <c r="AA19" s="15"/>
      <c r="AB19" s="7">
        <f t="shared" si="16"/>
        <v>17005999.999999635</v>
      </c>
      <c r="AC19" s="8">
        <f t="shared" si="16"/>
        <v>17.005999999999634</v>
      </c>
      <c r="AD19" s="8">
        <f t="shared" si="16"/>
        <v>52.208419999998874</v>
      </c>
    </row>
    <row r="20" spans="1:30" x14ac:dyDescent="0.15">
      <c r="A20" s="28">
        <v>38488</v>
      </c>
      <c r="B20" s="7">
        <f>'[7]May Prod'!I19</f>
        <v>11799999.999999272</v>
      </c>
      <c r="C20" s="8">
        <f t="shared" si="4"/>
        <v>11.799999999999272</v>
      </c>
      <c r="D20" s="10">
        <f t="shared" si="5"/>
        <v>36.225999999997761</v>
      </c>
      <c r="E20" s="7">
        <f>'[7]May Prod'!E19</f>
        <v>13000000</v>
      </c>
      <c r="F20" s="8">
        <f t="shared" si="6"/>
        <v>13</v>
      </c>
      <c r="G20" s="10">
        <f t="shared" si="7"/>
        <v>39.909999999999997</v>
      </c>
      <c r="H20" s="7">
        <f>'[7]May Prod'!F19</f>
        <v>0</v>
      </c>
      <c r="I20" s="8">
        <f t="shared" si="8"/>
        <v>0</v>
      </c>
      <c r="J20" s="10">
        <f t="shared" si="9"/>
        <v>0</v>
      </c>
      <c r="K20" s="7">
        <f>'[7]May Prod'!H274</f>
        <v>694609</v>
      </c>
      <c r="L20" s="8">
        <f t="shared" si="10"/>
        <v>0.69460900000000003</v>
      </c>
      <c r="M20" s="10">
        <f t="shared" si="11"/>
        <v>2.13244963</v>
      </c>
      <c r="N20" s="21"/>
      <c r="O20" s="7">
        <f>'[7]May Prod'!H19</f>
        <v>7127000.0000000009</v>
      </c>
      <c r="P20" s="8">
        <f t="shared" si="12"/>
        <v>7.1270000000000007</v>
      </c>
      <c r="Q20" s="10">
        <f t="shared" si="0"/>
        <v>21.87989</v>
      </c>
      <c r="R20" s="7">
        <f>'[7]May Prod'!C19</f>
        <v>7500000</v>
      </c>
      <c r="S20" s="8">
        <f t="shared" si="13"/>
        <v>7.5</v>
      </c>
      <c r="T20" s="10">
        <f t="shared" si="1"/>
        <v>23.024999999999999</v>
      </c>
      <c r="U20" s="7">
        <f>'[7]May Prod'!D19</f>
        <v>0</v>
      </c>
      <c r="V20" s="8">
        <f t="shared" si="14"/>
        <v>0</v>
      </c>
      <c r="W20" s="10">
        <f t="shared" si="2"/>
        <v>0</v>
      </c>
      <c r="X20" s="7">
        <f>'[7]May Prod'!D274</f>
        <v>372999.99999999936</v>
      </c>
      <c r="Y20" s="8">
        <f t="shared" si="15"/>
        <v>0.37299999999999933</v>
      </c>
      <c r="Z20" s="10">
        <f t="shared" si="3"/>
        <v>1.1451099999999979</v>
      </c>
      <c r="AA20" s="15"/>
      <c r="AB20" s="7">
        <f t="shared" si="16"/>
        <v>18926999.999999274</v>
      </c>
      <c r="AC20" s="8">
        <f t="shared" si="16"/>
        <v>18.926999999999275</v>
      </c>
      <c r="AD20" s="8">
        <f t="shared" si="16"/>
        <v>58.105889999997757</v>
      </c>
    </row>
    <row r="21" spans="1:30" x14ac:dyDescent="0.15">
      <c r="A21" s="28">
        <v>38489</v>
      </c>
      <c r="B21" s="7">
        <f>'[7]May Prod'!I20</f>
        <v>11200000.000000728</v>
      </c>
      <c r="C21" s="8">
        <f t="shared" si="4"/>
        <v>11.200000000000728</v>
      </c>
      <c r="D21" s="10">
        <f t="shared" si="5"/>
        <v>34.384000000002231</v>
      </c>
      <c r="E21" s="7">
        <f>'[7]May Prod'!E20</f>
        <v>12000000</v>
      </c>
      <c r="F21" s="8">
        <f t="shared" si="6"/>
        <v>12</v>
      </c>
      <c r="G21" s="10">
        <f t="shared" si="7"/>
        <v>36.839999999999996</v>
      </c>
      <c r="H21" s="7">
        <f>'[7]May Prod'!F20</f>
        <v>0</v>
      </c>
      <c r="I21" s="8">
        <f t="shared" si="8"/>
        <v>0</v>
      </c>
      <c r="J21" s="10">
        <f t="shared" si="9"/>
        <v>0</v>
      </c>
      <c r="K21" s="7">
        <f>'[7]May Prod'!H275</f>
        <v>659522</v>
      </c>
      <c r="L21" s="8">
        <f t="shared" si="10"/>
        <v>0.65952200000000005</v>
      </c>
      <c r="M21" s="10">
        <f t="shared" si="11"/>
        <v>2.02473254</v>
      </c>
      <c r="N21" s="21"/>
      <c r="O21" s="7">
        <f>'[7]May Prod'!H20</f>
        <v>6574000</v>
      </c>
      <c r="P21" s="8">
        <f t="shared" si="12"/>
        <v>6.5739999999999998</v>
      </c>
      <c r="Q21" s="10">
        <f t="shared" si="0"/>
        <v>20.182179999999999</v>
      </c>
      <c r="R21" s="7">
        <f>'[7]May Prod'!C20</f>
        <v>7224000</v>
      </c>
      <c r="S21" s="8">
        <f t="shared" si="13"/>
        <v>7.2240000000000002</v>
      </c>
      <c r="T21" s="10">
        <f t="shared" si="1"/>
        <v>22.177679999999999</v>
      </c>
      <c r="U21" s="7">
        <f>'[7]May Prod'!D20</f>
        <v>0</v>
      </c>
      <c r="V21" s="8">
        <f t="shared" si="14"/>
        <v>0</v>
      </c>
      <c r="W21" s="10">
        <f t="shared" si="2"/>
        <v>0</v>
      </c>
      <c r="X21" s="7">
        <f>'[7]May Prod'!D275</f>
        <v>650000.00000000035</v>
      </c>
      <c r="Y21" s="8">
        <f t="shared" si="15"/>
        <v>0.65000000000000036</v>
      </c>
      <c r="Z21" s="10">
        <f t="shared" si="3"/>
        <v>1.9955000000000009</v>
      </c>
      <c r="AA21" s="15"/>
      <c r="AB21" s="7">
        <f t="shared" si="16"/>
        <v>17774000.00000073</v>
      </c>
      <c r="AC21" s="8">
        <f t="shared" si="16"/>
        <v>17.774000000000726</v>
      </c>
      <c r="AD21" s="8">
        <f t="shared" si="16"/>
        <v>54.566180000002234</v>
      </c>
    </row>
    <row r="22" spans="1:30" x14ac:dyDescent="0.15">
      <c r="A22" s="28">
        <v>38490</v>
      </c>
      <c r="B22" s="7">
        <f>'[7]May Prod'!I21</f>
        <v>10799999.999999272</v>
      </c>
      <c r="C22" s="8">
        <f t="shared" si="4"/>
        <v>10.799999999999272</v>
      </c>
      <c r="D22" s="10">
        <f t="shared" si="5"/>
        <v>33.155999999997768</v>
      </c>
      <c r="E22" s="7">
        <f>'[7]May Prod'!E21</f>
        <v>11000000</v>
      </c>
      <c r="F22" s="8">
        <f t="shared" si="6"/>
        <v>11</v>
      </c>
      <c r="G22" s="10">
        <f t="shared" si="7"/>
        <v>33.769999999999996</v>
      </c>
      <c r="H22" s="7">
        <f>'[7]May Prod'!F21</f>
        <v>0</v>
      </c>
      <c r="I22" s="8">
        <f t="shared" si="8"/>
        <v>0</v>
      </c>
      <c r="J22" s="10">
        <f t="shared" si="9"/>
        <v>0</v>
      </c>
      <c r="K22" s="7">
        <f>'[7]May Prod'!H276</f>
        <v>508860</v>
      </c>
      <c r="L22" s="8">
        <f t="shared" si="10"/>
        <v>0.50885999999999998</v>
      </c>
      <c r="M22" s="10">
        <f t="shared" si="11"/>
        <v>1.5622001999999999</v>
      </c>
      <c r="N22" s="21"/>
      <c r="O22" s="7">
        <f>'[7]May Prod'!H21</f>
        <v>5902000.0000000009</v>
      </c>
      <c r="P22" s="8">
        <f t="shared" si="12"/>
        <v>5.902000000000001</v>
      </c>
      <c r="Q22" s="10">
        <f t="shared" si="0"/>
        <v>18.119140000000002</v>
      </c>
      <c r="R22" s="7">
        <f>'[7]May Prod'!C21</f>
        <v>6477000</v>
      </c>
      <c r="S22" s="8">
        <f t="shared" si="13"/>
        <v>6.4770000000000003</v>
      </c>
      <c r="T22" s="10">
        <f t="shared" si="1"/>
        <v>19.88439</v>
      </c>
      <c r="U22" s="7">
        <f>'[7]May Prod'!D21</f>
        <v>0</v>
      </c>
      <c r="V22" s="8">
        <f t="shared" si="14"/>
        <v>0</v>
      </c>
      <c r="W22" s="10">
        <f t="shared" si="2"/>
        <v>0</v>
      </c>
      <c r="X22" s="7">
        <f>'[7]May Prod'!D276</f>
        <v>574999.9999999993</v>
      </c>
      <c r="Y22" s="8">
        <f t="shared" si="15"/>
        <v>0.57499999999999929</v>
      </c>
      <c r="Z22" s="10">
        <f t="shared" si="3"/>
        <v>1.7652499999999978</v>
      </c>
      <c r="AA22" s="15"/>
      <c r="AB22" s="7">
        <f t="shared" si="16"/>
        <v>16701999.999999274</v>
      </c>
      <c r="AC22" s="8">
        <f t="shared" si="16"/>
        <v>16.701999999999273</v>
      </c>
      <c r="AD22" s="8">
        <f t="shared" si="16"/>
        <v>51.275139999997769</v>
      </c>
    </row>
    <row r="23" spans="1:30" x14ac:dyDescent="0.15">
      <c r="A23" s="28">
        <v>38491</v>
      </c>
      <c r="B23" s="7">
        <f>'[7]May Prod'!I22</f>
        <v>9300000.0000010915</v>
      </c>
      <c r="C23" s="8">
        <f t="shared" si="4"/>
        <v>9.3000000000010914</v>
      </c>
      <c r="D23" s="10">
        <f t="shared" si="5"/>
        <v>28.551000000003349</v>
      </c>
      <c r="E23" s="7">
        <f>'[7]May Prod'!E22</f>
        <v>10000000</v>
      </c>
      <c r="F23" s="8">
        <f t="shared" si="6"/>
        <v>10</v>
      </c>
      <c r="G23" s="10">
        <f t="shared" si="7"/>
        <v>30.7</v>
      </c>
      <c r="H23" s="7">
        <f>'[7]May Prod'!F22</f>
        <v>0</v>
      </c>
      <c r="I23" s="8">
        <f t="shared" si="8"/>
        <v>0</v>
      </c>
      <c r="J23" s="10">
        <f t="shared" si="9"/>
        <v>0</v>
      </c>
      <c r="K23" s="7">
        <f>'[7]May Prod'!H277</f>
        <v>438028</v>
      </c>
      <c r="L23" s="8">
        <f t="shared" si="10"/>
        <v>0.43802799999999997</v>
      </c>
      <c r="M23" s="10">
        <f t="shared" si="11"/>
        <v>1.3447459599999998</v>
      </c>
      <c r="N23" s="21"/>
      <c r="O23" s="7">
        <f>'[7]May Prod'!H22</f>
        <v>5540999.9999999991</v>
      </c>
      <c r="P23" s="8">
        <f t="shared" si="12"/>
        <v>5.5409999999999995</v>
      </c>
      <c r="Q23" s="10">
        <f t="shared" si="0"/>
        <v>17.010869999999997</v>
      </c>
      <c r="R23" s="7">
        <f>'[7]May Prod'!C22</f>
        <v>6116000</v>
      </c>
      <c r="S23" s="8">
        <f t="shared" si="13"/>
        <v>6.1159999999999997</v>
      </c>
      <c r="T23" s="10">
        <f t="shared" si="1"/>
        <v>18.776119999999999</v>
      </c>
      <c r="U23" s="7">
        <f>'[7]May Prod'!D22</f>
        <v>0</v>
      </c>
      <c r="V23" s="8">
        <f t="shared" si="14"/>
        <v>0</v>
      </c>
      <c r="W23" s="10">
        <f t="shared" si="2"/>
        <v>0</v>
      </c>
      <c r="X23" s="7">
        <f>'[7]May Prod'!D277</f>
        <v>575000.00000000105</v>
      </c>
      <c r="Y23" s="8">
        <f t="shared" si="15"/>
        <v>0.57500000000000107</v>
      </c>
      <c r="Z23" s="10">
        <f t="shared" si="3"/>
        <v>1.7652500000000031</v>
      </c>
      <c r="AA23" s="15"/>
      <c r="AB23" s="7">
        <f t="shared" si="16"/>
        <v>14841000.000001092</v>
      </c>
      <c r="AC23" s="8">
        <f t="shared" si="16"/>
        <v>14.841000000001092</v>
      </c>
      <c r="AD23" s="8">
        <f t="shared" si="16"/>
        <v>45.561870000003346</v>
      </c>
    </row>
    <row r="24" spans="1:30" x14ac:dyDescent="0.15">
      <c r="A24" s="28">
        <v>38492</v>
      </c>
      <c r="B24" s="7">
        <f>'[7]May Prod'!I23</f>
        <v>9199999.9999989085</v>
      </c>
      <c r="C24" s="8">
        <f t="shared" si="4"/>
        <v>9.1999999999989086</v>
      </c>
      <c r="D24" s="10">
        <f t="shared" si="5"/>
        <v>28.24399999999665</v>
      </c>
      <c r="E24" s="7">
        <f>'[7]May Prod'!E23</f>
        <v>10000000</v>
      </c>
      <c r="F24" s="8">
        <f t="shared" si="6"/>
        <v>10</v>
      </c>
      <c r="G24" s="10">
        <f t="shared" si="7"/>
        <v>30.7</v>
      </c>
      <c r="H24" s="7">
        <f>'[7]May Prod'!F23</f>
        <v>0</v>
      </c>
      <c r="I24" s="8">
        <f t="shared" si="8"/>
        <v>0</v>
      </c>
      <c r="J24" s="10">
        <f t="shared" si="9"/>
        <v>0</v>
      </c>
      <c r="K24" s="7">
        <f>'[7]May Prod'!H278</f>
        <v>566893</v>
      </c>
      <c r="L24" s="8">
        <f t="shared" si="10"/>
        <v>0.56689299999999998</v>
      </c>
      <c r="M24" s="10">
        <f t="shared" si="11"/>
        <v>1.7403615099999998</v>
      </c>
      <c r="N24" s="21"/>
      <c r="O24" s="7">
        <f>'[7]May Prod'!H23</f>
        <v>5819000</v>
      </c>
      <c r="P24" s="8">
        <f t="shared" si="12"/>
        <v>5.819</v>
      </c>
      <c r="Q24" s="10">
        <f t="shared" si="0"/>
        <v>17.864329999999999</v>
      </c>
      <c r="R24" s="7">
        <f>'[7]May Prod'!C23</f>
        <v>6310000</v>
      </c>
      <c r="S24" s="8">
        <f t="shared" si="13"/>
        <v>6.31</v>
      </c>
      <c r="T24" s="10">
        <f t="shared" si="1"/>
        <v>19.371699999999997</v>
      </c>
      <c r="U24" s="7">
        <f>'[7]May Prod'!D23</f>
        <v>0</v>
      </c>
      <c r="V24" s="8">
        <f t="shared" si="14"/>
        <v>0</v>
      </c>
      <c r="W24" s="10">
        <f t="shared" si="2"/>
        <v>0</v>
      </c>
      <c r="X24" s="7">
        <f>'[7]May Prod'!D278</f>
        <v>490999.99999999965</v>
      </c>
      <c r="Y24" s="8">
        <f t="shared" si="15"/>
        <v>0.49099999999999966</v>
      </c>
      <c r="Z24" s="10">
        <f t="shared" si="3"/>
        <v>1.5073699999999988</v>
      </c>
      <c r="AA24" s="15"/>
      <c r="AB24" s="7">
        <f t="shared" si="16"/>
        <v>15018999.999998908</v>
      </c>
      <c r="AC24" s="8">
        <f t="shared" si="16"/>
        <v>15.018999999998908</v>
      </c>
      <c r="AD24" s="8">
        <f t="shared" si="16"/>
        <v>46.108329999996648</v>
      </c>
    </row>
    <row r="25" spans="1:30" x14ac:dyDescent="0.15">
      <c r="A25" s="28">
        <v>38493</v>
      </c>
      <c r="B25" s="7">
        <f>'[7]May Prod'!I24</f>
        <v>9399999.9999996368</v>
      </c>
      <c r="C25" s="8">
        <f t="shared" si="4"/>
        <v>9.3999999999996362</v>
      </c>
      <c r="D25" s="10">
        <f t="shared" si="5"/>
        <v>28.857999999998881</v>
      </c>
      <c r="E25" s="7">
        <f>'[7]May Prod'!E24</f>
        <v>10000000</v>
      </c>
      <c r="F25" s="8">
        <f t="shared" si="6"/>
        <v>10</v>
      </c>
      <c r="G25" s="10">
        <f t="shared" si="7"/>
        <v>30.7</v>
      </c>
      <c r="H25" s="7">
        <f>'[7]May Prod'!F24</f>
        <v>0</v>
      </c>
      <c r="I25" s="8">
        <f t="shared" si="8"/>
        <v>0</v>
      </c>
      <c r="J25" s="10">
        <f t="shared" si="9"/>
        <v>0</v>
      </c>
      <c r="K25" s="7">
        <f>'[7]May Prod'!H279</f>
        <v>491199</v>
      </c>
      <c r="L25" s="8">
        <f t="shared" si="10"/>
        <v>0.491199</v>
      </c>
      <c r="M25" s="10">
        <f t="shared" si="11"/>
        <v>1.50798093</v>
      </c>
      <c r="N25" s="21"/>
      <c r="O25" s="7">
        <f>'[7]May Prod'!H24</f>
        <v>5716999.9999999991</v>
      </c>
      <c r="P25" s="8">
        <f t="shared" si="12"/>
        <v>5.7169999999999987</v>
      </c>
      <c r="Q25" s="10">
        <f t="shared" si="0"/>
        <v>17.551189999999995</v>
      </c>
      <c r="R25" s="7">
        <f>'[7]May Prod'!C24</f>
        <v>6206000</v>
      </c>
      <c r="S25" s="8">
        <f t="shared" si="13"/>
        <v>6.2060000000000004</v>
      </c>
      <c r="T25" s="10">
        <f t="shared" si="1"/>
        <v>19.052420000000001</v>
      </c>
      <c r="U25" s="7">
        <f>'[7]May Prod'!D24</f>
        <v>0</v>
      </c>
      <c r="V25" s="8">
        <f t="shared" si="14"/>
        <v>0</v>
      </c>
      <c r="W25" s="10">
        <f t="shared" si="2"/>
        <v>0</v>
      </c>
      <c r="X25" s="7">
        <f>'[7]May Prod'!D279</f>
        <v>489000.00000000076</v>
      </c>
      <c r="Y25" s="8">
        <f t="shared" si="15"/>
        <v>0.48900000000000077</v>
      </c>
      <c r="Z25" s="10">
        <f t="shared" si="3"/>
        <v>1.5012300000000023</v>
      </c>
      <c r="AA25" s="15"/>
      <c r="AB25" s="7">
        <f t="shared" si="16"/>
        <v>15116999.999999635</v>
      </c>
      <c r="AC25" s="8">
        <f t="shared" si="16"/>
        <v>15.116999999999635</v>
      </c>
      <c r="AD25" s="8">
        <f t="shared" si="16"/>
        <v>46.409189999998873</v>
      </c>
    </row>
    <row r="26" spans="1:30" x14ac:dyDescent="0.15">
      <c r="A26" s="28">
        <v>38494</v>
      </c>
      <c r="B26" s="7">
        <f>'[7]May Prod'!I25</f>
        <v>11000000</v>
      </c>
      <c r="C26" s="8">
        <f t="shared" si="4"/>
        <v>11</v>
      </c>
      <c r="D26" s="10">
        <f t="shared" si="5"/>
        <v>33.769999999999996</v>
      </c>
      <c r="E26" s="7">
        <f>'[7]May Prod'!E25</f>
        <v>12000000</v>
      </c>
      <c r="F26" s="8">
        <f t="shared" si="6"/>
        <v>12</v>
      </c>
      <c r="G26" s="10">
        <f t="shared" si="7"/>
        <v>36.839999999999996</v>
      </c>
      <c r="H26" s="7">
        <f>'[7]May Prod'!F25</f>
        <v>0</v>
      </c>
      <c r="I26" s="8">
        <f t="shared" si="8"/>
        <v>0</v>
      </c>
      <c r="J26" s="10">
        <f t="shared" si="9"/>
        <v>0</v>
      </c>
      <c r="K26" s="7">
        <f>'[7]May Prod'!H280</f>
        <v>585422</v>
      </c>
      <c r="L26" s="8">
        <f t="shared" si="10"/>
        <v>0.585422</v>
      </c>
      <c r="M26" s="10">
        <f t="shared" si="11"/>
        <v>1.7972455399999998</v>
      </c>
      <c r="N26" s="21"/>
      <c r="O26" s="7">
        <f>'[7]May Prod'!H25</f>
        <v>6548000.0000000009</v>
      </c>
      <c r="P26" s="8">
        <f t="shared" si="12"/>
        <v>6.5480000000000009</v>
      </c>
      <c r="Q26" s="10">
        <f t="shared" si="0"/>
        <v>20.102360000000001</v>
      </c>
      <c r="R26" s="7">
        <f>'[7]May Prod'!C25</f>
        <v>7027000</v>
      </c>
      <c r="S26" s="8">
        <f t="shared" si="13"/>
        <v>7.0270000000000001</v>
      </c>
      <c r="T26" s="10">
        <f t="shared" si="1"/>
        <v>21.572890000000001</v>
      </c>
      <c r="U26" s="7">
        <f>'[7]May Prod'!D25</f>
        <v>0</v>
      </c>
      <c r="V26" s="8">
        <f t="shared" si="14"/>
        <v>0</v>
      </c>
      <c r="W26" s="10">
        <f t="shared" si="2"/>
        <v>0</v>
      </c>
      <c r="X26" s="7">
        <f>'[7]May Prod'!D280</f>
        <v>478999.99999999919</v>
      </c>
      <c r="Y26" s="8">
        <f t="shared" si="15"/>
        <v>0.4789999999999992</v>
      </c>
      <c r="Z26" s="10">
        <f t="shared" si="3"/>
        <v>1.4705299999999975</v>
      </c>
      <c r="AA26" s="15"/>
      <c r="AB26" s="7">
        <f t="shared" si="16"/>
        <v>17548000</v>
      </c>
      <c r="AC26" s="8">
        <f t="shared" si="16"/>
        <v>17.548000000000002</v>
      </c>
      <c r="AD26" s="8">
        <f t="shared" si="16"/>
        <v>53.87236</v>
      </c>
    </row>
    <row r="27" spans="1:30" x14ac:dyDescent="0.15">
      <c r="A27" s="28">
        <v>38495</v>
      </c>
      <c r="B27" s="7">
        <f>'[7]May Prod'!I26</f>
        <v>11100000.000000363</v>
      </c>
      <c r="C27" s="8">
        <f t="shared" si="4"/>
        <v>11.100000000000364</v>
      </c>
      <c r="D27" s="10">
        <f t="shared" si="5"/>
        <v>34.077000000001114</v>
      </c>
      <c r="E27" s="7">
        <f>'[7]May Prod'!E26</f>
        <v>12000000</v>
      </c>
      <c r="F27" s="8">
        <f t="shared" si="6"/>
        <v>12</v>
      </c>
      <c r="G27" s="10">
        <f t="shared" si="7"/>
        <v>36.839999999999996</v>
      </c>
      <c r="H27" s="7">
        <f>'[7]May Prod'!F26</f>
        <v>0</v>
      </c>
      <c r="I27" s="8">
        <f t="shared" si="8"/>
        <v>0</v>
      </c>
      <c r="J27" s="10">
        <f t="shared" si="9"/>
        <v>0</v>
      </c>
      <c r="K27" s="7">
        <f>'[7]May Prod'!H281</f>
        <v>633101</v>
      </c>
      <c r="L27" s="8">
        <f t="shared" si="10"/>
        <v>0.63310100000000002</v>
      </c>
      <c r="M27" s="10">
        <f t="shared" si="11"/>
        <v>1.9436200699999999</v>
      </c>
      <c r="N27" s="21"/>
      <c r="O27" s="7">
        <f>'[7]May Prod'!H26</f>
        <v>6432000.0000000019</v>
      </c>
      <c r="P27" s="8">
        <f t="shared" si="12"/>
        <v>6.4320000000000022</v>
      </c>
      <c r="Q27" s="10">
        <f t="shared" si="0"/>
        <v>19.746240000000007</v>
      </c>
      <c r="R27" s="7">
        <f>'[7]May Prod'!C26</f>
        <v>7018000</v>
      </c>
      <c r="S27" s="8">
        <f t="shared" si="13"/>
        <v>7.0179999999999998</v>
      </c>
      <c r="T27" s="10">
        <f t="shared" si="1"/>
        <v>21.545259999999999</v>
      </c>
      <c r="U27" s="7">
        <f>'[7]May Prod'!D26</f>
        <v>0</v>
      </c>
      <c r="V27" s="8">
        <f t="shared" si="14"/>
        <v>0</v>
      </c>
      <c r="W27" s="10">
        <f t="shared" si="2"/>
        <v>0</v>
      </c>
      <c r="X27" s="7">
        <f>'[7]May Prod'!D281</f>
        <v>585999.99999999849</v>
      </c>
      <c r="Y27" s="8">
        <f t="shared" si="15"/>
        <v>0.58599999999999852</v>
      </c>
      <c r="Z27" s="10">
        <f t="shared" si="3"/>
        <v>1.7990199999999954</v>
      </c>
      <c r="AA27" s="15"/>
      <c r="AB27" s="7">
        <f t="shared" si="16"/>
        <v>17532000.000000365</v>
      </c>
      <c r="AC27" s="8">
        <f t="shared" si="16"/>
        <v>17.532000000000366</v>
      </c>
      <c r="AD27" s="8">
        <f t="shared" si="16"/>
        <v>53.823240000001121</v>
      </c>
    </row>
    <row r="28" spans="1:30" x14ac:dyDescent="0.15">
      <c r="A28" s="28">
        <v>38496</v>
      </c>
      <c r="B28" s="7">
        <f>'[7]May Prod'!I27</f>
        <v>11200000.000000728</v>
      </c>
      <c r="C28" s="8">
        <f t="shared" si="4"/>
        <v>11.200000000000728</v>
      </c>
      <c r="D28" s="10">
        <f t="shared" si="5"/>
        <v>34.384000000002231</v>
      </c>
      <c r="E28" s="7">
        <f>'[7]May Prod'!E27</f>
        <v>12000000</v>
      </c>
      <c r="F28" s="8">
        <f t="shared" si="6"/>
        <v>12</v>
      </c>
      <c r="G28" s="10">
        <f t="shared" si="7"/>
        <v>36.839999999999996</v>
      </c>
      <c r="H28" s="7">
        <f>'[7]May Prod'!F27</f>
        <v>0</v>
      </c>
      <c r="I28" s="8">
        <f t="shared" si="8"/>
        <v>0</v>
      </c>
      <c r="J28" s="10">
        <f t="shared" si="9"/>
        <v>0</v>
      </c>
      <c r="K28" s="7">
        <f>'[7]May Prod'!H282</f>
        <v>368068</v>
      </c>
      <c r="L28" s="8">
        <f t="shared" si="10"/>
        <v>0.36806800000000001</v>
      </c>
      <c r="M28" s="10">
        <f t="shared" si="11"/>
        <v>1.1299687599999999</v>
      </c>
      <c r="N28" s="21"/>
      <c r="O28" s="7">
        <f>'[7]May Prod'!H27</f>
        <v>6000999.9999999991</v>
      </c>
      <c r="P28" s="8">
        <f t="shared" si="12"/>
        <v>6.0009999999999994</v>
      </c>
      <c r="Q28" s="10">
        <f t="shared" si="0"/>
        <v>18.423069999999996</v>
      </c>
      <c r="R28" s="7">
        <f>'[7]May Prod'!C27</f>
        <v>6589000</v>
      </c>
      <c r="S28" s="8">
        <f t="shared" si="13"/>
        <v>6.5890000000000004</v>
      </c>
      <c r="T28" s="10">
        <f t="shared" si="1"/>
        <v>20.22823</v>
      </c>
      <c r="U28" s="7">
        <f>'[7]May Prod'!D27</f>
        <v>0</v>
      </c>
      <c r="V28" s="8">
        <f t="shared" si="14"/>
        <v>0</v>
      </c>
      <c r="W28" s="10">
        <f t="shared" si="2"/>
        <v>0</v>
      </c>
      <c r="X28" s="7">
        <f>'[7]May Prod'!D282</f>
        <v>588000.00000000093</v>
      </c>
      <c r="Y28" s="8">
        <f t="shared" si="15"/>
        <v>0.58800000000000097</v>
      </c>
      <c r="Z28" s="10">
        <f t="shared" si="3"/>
        <v>1.8051600000000028</v>
      </c>
      <c r="AA28" s="15"/>
      <c r="AB28" s="7">
        <f t="shared" si="16"/>
        <v>17201000.000000726</v>
      </c>
      <c r="AC28" s="8">
        <f t="shared" si="16"/>
        <v>17.201000000000725</v>
      </c>
      <c r="AD28" s="8">
        <f t="shared" si="16"/>
        <v>52.807070000002227</v>
      </c>
    </row>
    <row r="29" spans="1:30" x14ac:dyDescent="0.15">
      <c r="A29" s="28">
        <v>38497</v>
      </c>
      <c r="B29" s="7">
        <f>'[7]May Prod'!I28</f>
        <v>11199999.999998908</v>
      </c>
      <c r="C29" s="8">
        <f t="shared" si="4"/>
        <v>11.199999999998909</v>
      </c>
      <c r="D29" s="10">
        <f t="shared" si="5"/>
        <v>34.383999999996647</v>
      </c>
      <c r="E29" s="7">
        <f>'[7]May Prod'!E28</f>
        <v>12000000</v>
      </c>
      <c r="F29" s="8">
        <f t="shared" si="6"/>
        <v>12</v>
      </c>
      <c r="G29" s="10">
        <f t="shared" si="7"/>
        <v>36.839999999999996</v>
      </c>
      <c r="H29" s="7">
        <f>'[7]May Prod'!F28</f>
        <v>0</v>
      </c>
      <c r="I29" s="8">
        <f t="shared" si="8"/>
        <v>0</v>
      </c>
      <c r="J29" s="10">
        <f t="shared" si="9"/>
        <v>0</v>
      </c>
      <c r="K29" s="7">
        <f>'[7]May Prod'!H283</f>
        <v>669319</v>
      </c>
      <c r="L29" s="8">
        <f t="shared" si="10"/>
        <v>0.669319</v>
      </c>
      <c r="M29" s="10">
        <f t="shared" si="11"/>
        <v>2.0548093299999999</v>
      </c>
      <c r="N29" s="21"/>
      <c r="O29" s="7">
        <f>'[7]May Prod'!H28</f>
        <v>5488999.9999999991</v>
      </c>
      <c r="P29" s="8">
        <f t="shared" si="12"/>
        <v>5.488999999999999</v>
      </c>
      <c r="Q29" s="10">
        <f t="shared" si="0"/>
        <v>16.851229999999997</v>
      </c>
      <c r="R29" s="7">
        <f>'[7]May Prod'!C28</f>
        <v>5981000</v>
      </c>
      <c r="S29" s="8">
        <f t="shared" si="13"/>
        <v>5.9809999999999999</v>
      </c>
      <c r="T29" s="10">
        <f t="shared" si="1"/>
        <v>18.36167</v>
      </c>
      <c r="U29" s="7">
        <f>'[7]May Prod'!D28</f>
        <v>0</v>
      </c>
      <c r="V29" s="8">
        <f t="shared" si="14"/>
        <v>0</v>
      </c>
      <c r="W29" s="10">
        <f t="shared" si="2"/>
        <v>0</v>
      </c>
      <c r="X29" s="7">
        <f>'[7]May Prod'!D283</f>
        <v>492000.00000000087</v>
      </c>
      <c r="Y29" s="8">
        <f t="shared" si="15"/>
        <v>0.49200000000000088</v>
      </c>
      <c r="Z29" s="10">
        <f t="shared" si="3"/>
        <v>1.5104400000000027</v>
      </c>
      <c r="AA29" s="15"/>
      <c r="AB29" s="7">
        <f t="shared" si="16"/>
        <v>16688999.999998908</v>
      </c>
      <c r="AC29" s="8">
        <f t="shared" si="16"/>
        <v>16.688999999998906</v>
      </c>
      <c r="AD29" s="8">
        <f t="shared" si="16"/>
        <v>51.235229999996648</v>
      </c>
    </row>
    <row r="30" spans="1:30" x14ac:dyDescent="0.15">
      <c r="A30" s="28">
        <v>38498</v>
      </c>
      <c r="B30" s="7">
        <f>'[7]May Prod'!I29</f>
        <v>11200000.000000728</v>
      </c>
      <c r="C30" s="8">
        <f t="shared" si="4"/>
        <v>11.200000000000728</v>
      </c>
      <c r="D30" s="10">
        <f t="shared" si="5"/>
        <v>34.384000000002231</v>
      </c>
      <c r="E30" s="7">
        <f>'[7]May Prod'!E29</f>
        <v>12000000</v>
      </c>
      <c r="F30" s="8">
        <f t="shared" si="6"/>
        <v>12</v>
      </c>
      <c r="G30" s="10">
        <f t="shared" si="7"/>
        <v>36.839999999999996</v>
      </c>
      <c r="H30" s="7">
        <f>'[7]May Prod'!F29</f>
        <v>0</v>
      </c>
      <c r="I30" s="8">
        <f t="shared" si="8"/>
        <v>0</v>
      </c>
      <c r="J30" s="10">
        <f t="shared" si="9"/>
        <v>0</v>
      </c>
      <c r="K30" s="7">
        <f>'[7]May Prod'!H284</f>
        <v>617311</v>
      </c>
      <c r="L30" s="8">
        <f t="shared" si="10"/>
        <v>0.61731100000000005</v>
      </c>
      <c r="M30" s="10">
        <f t="shared" si="11"/>
        <v>1.8951447700000001</v>
      </c>
      <c r="N30" s="21"/>
      <c r="O30" s="7">
        <f>'[7]May Prod'!H29</f>
        <v>5649000.0000000019</v>
      </c>
      <c r="P30" s="8">
        <f t="shared" si="12"/>
        <v>5.6490000000000018</v>
      </c>
      <c r="Q30" s="10">
        <f t="shared" si="0"/>
        <v>17.342430000000004</v>
      </c>
      <c r="R30" s="7">
        <f>'[7]May Prod'!C29</f>
        <v>6139000</v>
      </c>
      <c r="S30" s="8">
        <f t="shared" si="13"/>
        <v>6.1390000000000002</v>
      </c>
      <c r="T30" s="10">
        <f t="shared" si="1"/>
        <v>18.846730000000001</v>
      </c>
      <c r="U30" s="7">
        <f>'[7]May Prod'!D29</f>
        <v>0</v>
      </c>
      <c r="V30" s="8">
        <f t="shared" si="14"/>
        <v>0</v>
      </c>
      <c r="W30" s="10">
        <f t="shared" si="2"/>
        <v>0</v>
      </c>
      <c r="X30" s="7">
        <f>'[7]May Prod'!D284</f>
        <v>489999.99999999843</v>
      </c>
      <c r="Y30" s="8">
        <f t="shared" si="15"/>
        <v>0.48999999999999844</v>
      </c>
      <c r="Z30" s="10">
        <f t="shared" si="3"/>
        <v>1.5042999999999951</v>
      </c>
      <c r="AA30" s="15"/>
      <c r="AB30" s="7">
        <f t="shared" si="16"/>
        <v>16849000.00000073</v>
      </c>
      <c r="AC30" s="8">
        <f t="shared" si="16"/>
        <v>16.849000000000729</v>
      </c>
      <c r="AD30" s="8">
        <f t="shared" si="16"/>
        <v>51.726430000002239</v>
      </c>
    </row>
    <row r="31" spans="1:30" x14ac:dyDescent="0.15">
      <c r="A31" s="28">
        <v>38499</v>
      </c>
      <c r="B31" s="7">
        <f>'[7]May Prod'!I30</f>
        <v>12899999.999999637</v>
      </c>
      <c r="C31" s="8">
        <f t="shared" si="4"/>
        <v>12.899999999999636</v>
      </c>
      <c r="D31" s="10">
        <f t="shared" si="5"/>
        <v>39.602999999998879</v>
      </c>
      <c r="E31" s="7">
        <f>'[7]May Prod'!E30</f>
        <v>14000000</v>
      </c>
      <c r="F31" s="8">
        <f t="shared" si="6"/>
        <v>14</v>
      </c>
      <c r="G31" s="10">
        <f t="shared" si="7"/>
        <v>42.98</v>
      </c>
      <c r="H31" s="7">
        <f>'[7]May Prod'!F30</f>
        <v>0</v>
      </c>
      <c r="I31" s="8">
        <f t="shared" si="8"/>
        <v>0</v>
      </c>
      <c r="J31" s="10">
        <f t="shared" si="9"/>
        <v>0</v>
      </c>
      <c r="K31" s="7">
        <f>'[7]May Prod'!H285</f>
        <v>0</v>
      </c>
      <c r="L31" s="8">
        <f t="shared" si="10"/>
        <v>0</v>
      </c>
      <c r="M31" s="10">
        <f t="shared" si="11"/>
        <v>0</v>
      </c>
      <c r="N31" s="21"/>
      <c r="O31" s="7">
        <f>'[7]May Prod'!H30</f>
        <v>7400999.9999999981</v>
      </c>
      <c r="P31" s="8">
        <f t="shared" si="12"/>
        <v>7.400999999999998</v>
      </c>
      <c r="Q31" s="10">
        <f t="shared" si="0"/>
        <v>22.721069999999994</v>
      </c>
      <c r="R31" s="7">
        <f>'[7]May Prod'!C30</f>
        <v>7891000</v>
      </c>
      <c r="S31" s="8">
        <f t="shared" si="13"/>
        <v>7.891</v>
      </c>
      <c r="T31" s="10">
        <f t="shared" si="1"/>
        <v>24.225369999999998</v>
      </c>
      <c r="U31" s="7">
        <f>'[7]May Prod'!D30</f>
        <v>0</v>
      </c>
      <c r="V31" s="8">
        <f t="shared" si="14"/>
        <v>0</v>
      </c>
      <c r="W31" s="10">
        <f t="shared" si="2"/>
        <v>0</v>
      </c>
      <c r="X31" s="7">
        <f>'[7]May Prod'!D285</f>
        <v>490000.00000000198</v>
      </c>
      <c r="Y31" s="8">
        <f t="shared" si="15"/>
        <v>0.49000000000000199</v>
      </c>
      <c r="Z31" s="10">
        <f t="shared" si="3"/>
        <v>1.504300000000006</v>
      </c>
      <c r="AA31" s="15"/>
      <c r="AB31" s="7">
        <f t="shared" si="16"/>
        <v>20300999.999999635</v>
      </c>
      <c r="AC31" s="8">
        <f t="shared" si="16"/>
        <v>20.300999999999632</v>
      </c>
      <c r="AD31" s="8">
        <f t="shared" si="16"/>
        <v>62.324069999998869</v>
      </c>
    </row>
    <row r="32" spans="1:30" x14ac:dyDescent="0.15">
      <c r="A32" s="28">
        <v>38500</v>
      </c>
      <c r="B32" s="7">
        <f>'[7]May Prod'!I31</f>
        <v>14700000.000000728</v>
      </c>
      <c r="C32" s="8">
        <f t="shared" si="4"/>
        <v>14.700000000000728</v>
      </c>
      <c r="D32" s="10">
        <f t="shared" si="5"/>
        <v>45.129000000002229</v>
      </c>
      <c r="E32" s="7">
        <f>'[7]May Prod'!E31</f>
        <v>15000000</v>
      </c>
      <c r="F32" s="8">
        <f t="shared" si="6"/>
        <v>15</v>
      </c>
      <c r="G32" s="10">
        <f t="shared" si="7"/>
        <v>46.05</v>
      </c>
      <c r="H32" s="7">
        <f>'[7]May Prod'!F31</f>
        <v>0</v>
      </c>
      <c r="I32" s="8">
        <f t="shared" si="8"/>
        <v>0</v>
      </c>
      <c r="J32" s="10">
        <f t="shared" si="9"/>
        <v>0</v>
      </c>
      <c r="K32" s="7">
        <f>'[7]May Prod'!H286</f>
        <v>815012</v>
      </c>
      <c r="L32" s="8">
        <f t="shared" si="10"/>
        <v>0.81501199999999996</v>
      </c>
      <c r="M32" s="10">
        <f t="shared" si="11"/>
        <v>2.5020868399999996</v>
      </c>
      <c r="N32" s="21"/>
      <c r="O32" s="7">
        <f>'[7]May Prod'!H31</f>
        <v>8579000</v>
      </c>
      <c r="P32" s="8">
        <f t="shared" si="12"/>
        <v>8.5790000000000006</v>
      </c>
      <c r="Q32" s="10">
        <f t="shared" si="0"/>
        <v>26.337530000000001</v>
      </c>
      <c r="R32" s="7">
        <f>'[7]May Prod'!C31</f>
        <v>8980000</v>
      </c>
      <c r="S32" s="8">
        <f t="shared" si="13"/>
        <v>8.98</v>
      </c>
      <c r="T32" s="10">
        <f t="shared" si="1"/>
        <v>27.5686</v>
      </c>
      <c r="U32" s="7">
        <f>'[7]May Prod'!D31</f>
        <v>0</v>
      </c>
      <c r="V32" s="8">
        <f t="shared" si="14"/>
        <v>0</v>
      </c>
      <c r="W32" s="10">
        <f t="shared" si="2"/>
        <v>0</v>
      </c>
      <c r="X32" s="7">
        <f>'[7]May Prod'!D286</f>
        <v>400999.99999999983</v>
      </c>
      <c r="Y32" s="8">
        <f t="shared" si="15"/>
        <v>0.4009999999999998</v>
      </c>
      <c r="Z32" s="10">
        <f t="shared" si="3"/>
        <v>1.2310699999999992</v>
      </c>
      <c r="AA32" s="15"/>
      <c r="AB32" s="7">
        <f t="shared" si="16"/>
        <v>23279000.00000073</v>
      </c>
      <c r="AC32" s="8">
        <f t="shared" si="16"/>
        <v>23.279000000000728</v>
      </c>
      <c r="AD32" s="8">
        <f t="shared" si="16"/>
        <v>71.466530000002223</v>
      </c>
    </row>
    <row r="33" spans="1:30" x14ac:dyDescent="0.15">
      <c r="A33" s="28">
        <v>38501</v>
      </c>
      <c r="B33" s="7">
        <f>'[7]May Prod'!I32</f>
        <v>13600000.000000363</v>
      </c>
      <c r="C33" s="8">
        <f t="shared" si="4"/>
        <v>13.600000000000364</v>
      </c>
      <c r="D33" s="10">
        <f t="shared" si="5"/>
        <v>41.752000000001118</v>
      </c>
      <c r="E33" s="7">
        <f>'[7]May Prod'!E32</f>
        <v>15000000</v>
      </c>
      <c r="F33" s="8">
        <f t="shared" si="6"/>
        <v>15</v>
      </c>
      <c r="G33" s="10">
        <f t="shared" si="7"/>
        <v>46.05</v>
      </c>
      <c r="H33" s="7">
        <f>'[7]May Prod'!F32</f>
        <v>0</v>
      </c>
      <c r="I33" s="8">
        <f t="shared" si="8"/>
        <v>0</v>
      </c>
      <c r="J33" s="10">
        <f t="shared" si="9"/>
        <v>0</v>
      </c>
      <c r="K33" s="7">
        <f>'[7]May Prod'!H287</f>
        <v>656423</v>
      </c>
      <c r="L33" s="8">
        <f t="shared" si="10"/>
        <v>0.65642299999999998</v>
      </c>
      <c r="M33" s="10">
        <f t="shared" si="11"/>
        <v>2.0152186099999998</v>
      </c>
      <c r="N33" s="21"/>
      <c r="O33" s="7">
        <f>'[7]May Prod'!H32</f>
        <v>7336000.0000000019</v>
      </c>
      <c r="P33" s="8">
        <f t="shared" si="12"/>
        <v>7.3360000000000021</v>
      </c>
      <c r="Q33" s="10">
        <f t="shared" si="0"/>
        <v>22.521520000000006</v>
      </c>
      <c r="R33" s="7">
        <f>'[7]May Prod'!C32</f>
        <v>8032000</v>
      </c>
      <c r="S33" s="8">
        <f t="shared" si="13"/>
        <v>8.032</v>
      </c>
      <c r="T33" s="10">
        <f t="shared" si="1"/>
        <v>24.658239999999999</v>
      </c>
      <c r="U33" s="7">
        <f>'[7]May Prod'!D32</f>
        <v>0</v>
      </c>
      <c r="V33" s="8">
        <f t="shared" si="14"/>
        <v>0</v>
      </c>
      <c r="W33" s="10">
        <f t="shared" si="2"/>
        <v>0</v>
      </c>
      <c r="X33" s="7">
        <f>'[7]May Prod'!D287</f>
        <v>695999.9999999979</v>
      </c>
      <c r="Y33" s="8">
        <f t="shared" si="15"/>
        <v>0.69599999999999795</v>
      </c>
      <c r="Z33" s="10">
        <f t="shared" si="3"/>
        <v>2.1367199999999937</v>
      </c>
      <c r="AA33" s="15"/>
      <c r="AB33" s="7">
        <f t="shared" si="16"/>
        <v>20936000.000000365</v>
      </c>
      <c r="AC33" s="8">
        <f t="shared" si="16"/>
        <v>20.936000000000366</v>
      </c>
      <c r="AD33" s="8">
        <f t="shared" si="16"/>
        <v>64.273520000001128</v>
      </c>
    </row>
    <row r="34" spans="1:30" x14ac:dyDescent="0.15">
      <c r="A34" s="28">
        <v>38502</v>
      </c>
      <c r="B34" s="7">
        <f>'[7]May Prod'!I33</f>
        <v>14399999.999999637</v>
      </c>
      <c r="C34" s="8">
        <f t="shared" si="4"/>
        <v>14.399999999999636</v>
      </c>
      <c r="D34" s="10">
        <f t="shared" si="5"/>
        <v>44.207999999998883</v>
      </c>
      <c r="E34" s="7">
        <f>'[7]May Prod'!E33</f>
        <v>16000000</v>
      </c>
      <c r="F34" s="8">
        <f t="shared" si="6"/>
        <v>16</v>
      </c>
      <c r="G34" s="10">
        <f t="shared" si="7"/>
        <v>49.12</v>
      </c>
      <c r="H34" s="7">
        <f>'[7]May Prod'!F33</f>
        <v>0</v>
      </c>
      <c r="I34" s="8">
        <f t="shared" si="8"/>
        <v>0</v>
      </c>
      <c r="J34" s="10">
        <f t="shared" si="9"/>
        <v>0</v>
      </c>
      <c r="K34" s="7">
        <f>'[7]May Prod'!H288</f>
        <v>782007</v>
      </c>
      <c r="L34" s="8">
        <f t="shared" si="10"/>
        <v>0.78200700000000001</v>
      </c>
      <c r="M34" s="10">
        <f t="shared" si="11"/>
        <v>2.4007614899999998</v>
      </c>
      <c r="N34" s="21"/>
      <c r="O34" s="7">
        <f>'[7]May Prod'!H33</f>
        <v>7380999.9999999981</v>
      </c>
      <c r="P34" s="8">
        <f t="shared" si="12"/>
        <v>7.3809999999999985</v>
      </c>
      <c r="Q34" s="10">
        <f t="shared" si="0"/>
        <v>22.659669999999995</v>
      </c>
      <c r="R34" s="7">
        <f>'[7]May Prod'!C33</f>
        <v>7978000</v>
      </c>
      <c r="S34" s="8">
        <f t="shared" si="13"/>
        <v>7.9779999999999998</v>
      </c>
      <c r="T34" s="10">
        <f t="shared" si="1"/>
        <v>24.492459999999998</v>
      </c>
      <c r="U34" s="7">
        <f>'[7]May Prod'!D33</f>
        <v>0</v>
      </c>
      <c r="V34" s="8">
        <f t="shared" si="14"/>
        <v>0</v>
      </c>
      <c r="W34" s="10">
        <f t="shared" si="2"/>
        <v>0</v>
      </c>
      <c r="X34" s="7">
        <f>'[7]May Prod'!D288</f>
        <v>597000.00000000128</v>
      </c>
      <c r="Y34" s="8">
        <f t="shared" si="15"/>
        <v>0.59700000000000131</v>
      </c>
      <c r="Z34" s="10">
        <f t="shared" si="3"/>
        <v>1.8327900000000039</v>
      </c>
      <c r="AA34" s="15"/>
      <c r="AB34" s="7">
        <f t="shared" si="16"/>
        <v>21780999.999999635</v>
      </c>
      <c r="AC34" s="8">
        <f t="shared" si="16"/>
        <v>21.780999999999636</v>
      </c>
      <c r="AD34" s="8">
        <f t="shared" si="16"/>
        <v>66.867669999998881</v>
      </c>
    </row>
    <row r="35" spans="1:30" ht="14" thickBot="1" x14ac:dyDescent="0.2">
      <c r="A35" s="28">
        <v>38503</v>
      </c>
      <c r="B35" s="30">
        <f>'[7]May Prod'!I34</f>
        <v>19000000</v>
      </c>
      <c r="C35" s="9">
        <f t="shared" si="4"/>
        <v>19</v>
      </c>
      <c r="D35" s="11">
        <f t="shared" si="5"/>
        <v>58.33</v>
      </c>
      <c r="E35" s="30">
        <f>'[7]May Prod'!E34</f>
        <v>19000000</v>
      </c>
      <c r="F35" s="9">
        <f t="shared" si="6"/>
        <v>19</v>
      </c>
      <c r="G35" s="11">
        <f t="shared" si="7"/>
        <v>58.33</v>
      </c>
      <c r="H35" s="30">
        <f>'[7]May Prod'!F34</f>
        <v>0</v>
      </c>
      <c r="I35" s="9">
        <f t="shared" si="8"/>
        <v>0</v>
      </c>
      <c r="J35" s="11">
        <f t="shared" si="9"/>
        <v>0</v>
      </c>
      <c r="K35" s="7">
        <f>'[7]May Prod'!H289</f>
        <v>1066333</v>
      </c>
      <c r="L35" s="9">
        <f t="shared" si="10"/>
        <v>1.066333</v>
      </c>
      <c r="M35" s="11">
        <f t="shared" si="11"/>
        <v>3.2736423099999996</v>
      </c>
      <c r="N35" s="21"/>
      <c r="O35" s="30">
        <f>'[7]May Prod'!H34</f>
        <v>8485000</v>
      </c>
      <c r="P35" s="9">
        <f t="shared" si="12"/>
        <v>8.4849999999999994</v>
      </c>
      <c r="Q35" s="11">
        <f t="shared" si="0"/>
        <v>26.048949999999998</v>
      </c>
      <c r="R35" s="30">
        <f>'[7]May Prod'!C34</f>
        <v>9072000</v>
      </c>
      <c r="S35" s="9">
        <f t="shared" si="13"/>
        <v>9.0719999999999992</v>
      </c>
      <c r="T35" s="11">
        <f t="shared" si="1"/>
        <v>27.851039999999998</v>
      </c>
      <c r="U35" s="7">
        <f>'[7]May Prod'!D34</f>
        <v>0</v>
      </c>
      <c r="V35" s="9">
        <f t="shared" si="14"/>
        <v>0</v>
      </c>
      <c r="W35" s="11">
        <f t="shared" si="2"/>
        <v>0</v>
      </c>
      <c r="X35" s="7">
        <f>'[7]May Prod'!D289</f>
        <v>586999.99999999977</v>
      </c>
      <c r="Y35" s="8">
        <f t="shared" si="15"/>
        <v>0.58699999999999974</v>
      </c>
      <c r="Z35" s="10">
        <f t="shared" si="3"/>
        <v>1.8020899999999991</v>
      </c>
      <c r="AA35" s="15"/>
      <c r="AB35" s="7">
        <f t="shared" si="16"/>
        <v>27485000</v>
      </c>
      <c r="AC35" s="8">
        <f t="shared" si="16"/>
        <v>27.484999999999999</v>
      </c>
      <c r="AD35" s="8">
        <f t="shared" si="16"/>
        <v>84.378950000000003</v>
      </c>
    </row>
    <row r="36" spans="1:30" s="18" customFormat="1" ht="14" thickBot="1" x14ac:dyDescent="0.2">
      <c r="A36" s="15"/>
      <c r="B36" s="39"/>
      <c r="C36" s="40">
        <f>SUM(C5:C35)</f>
        <v>433.10000000000036</v>
      </c>
      <c r="D36" s="40">
        <f t="shared" si="5"/>
        <v>1329.6170000000011</v>
      </c>
      <c r="E36" s="39"/>
      <c r="F36" s="40">
        <f>SUM(F5:F35)</f>
        <v>461</v>
      </c>
      <c r="G36" s="40">
        <f t="shared" si="7"/>
        <v>1415.27</v>
      </c>
      <c r="H36" s="39"/>
      <c r="I36" s="40">
        <f>SUM(I5:I35)</f>
        <v>0</v>
      </c>
      <c r="J36" s="40">
        <f t="shared" si="9"/>
        <v>0</v>
      </c>
      <c r="K36" s="39"/>
      <c r="L36" s="40">
        <f>SUM(L5:L35)</f>
        <v>22.973415000000006</v>
      </c>
      <c r="M36" s="40">
        <f>L36*3.07</f>
        <v>70.528384050000014</v>
      </c>
      <c r="N36" s="14"/>
      <c r="O36" s="39"/>
      <c r="P36" s="40">
        <f>SUM(P5:P35)</f>
        <v>199.87700000000001</v>
      </c>
      <c r="Q36" s="40">
        <f t="shared" si="0"/>
        <v>613.62239</v>
      </c>
      <c r="R36" s="39"/>
      <c r="S36" s="40">
        <f>SUM(S5:S35)</f>
        <v>215.803</v>
      </c>
      <c r="T36" s="40">
        <f t="shared" si="1"/>
        <v>662.51520999999991</v>
      </c>
      <c r="U36" s="39"/>
      <c r="V36" s="40">
        <f>SUM(V5:V35)</f>
        <v>0</v>
      </c>
      <c r="W36" s="40">
        <f>V36*3.07</f>
        <v>0</v>
      </c>
      <c r="X36" s="39"/>
      <c r="Y36" s="40">
        <f>SUM(Y5:Y35)</f>
        <v>15.926</v>
      </c>
      <c r="Z36" s="40">
        <f>Y36*3.07</f>
        <v>48.89282</v>
      </c>
      <c r="AA36" s="14"/>
      <c r="AB36" s="39"/>
      <c r="AC36" s="40">
        <f>SUM(AC5:AC35)</f>
        <v>632.9770000000002</v>
      </c>
      <c r="AD36" s="40">
        <f>AC36*3.07</f>
        <v>1943.2393900000004</v>
      </c>
    </row>
    <row r="37" spans="1:30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1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4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F43"/>
  <sheetViews>
    <sheetView workbookViewId="0">
      <pane xSplit="1" ySplit="4" topLeftCell="I14" activePane="bottomRight" state="frozen"/>
      <selection pane="topRight" activeCell="B1" sqref="B1"/>
      <selection pane="bottomLeft" activeCell="A5" sqref="A5"/>
      <selection pane="bottomRight" activeCell="P5" sqref="P5"/>
    </sheetView>
  </sheetViews>
  <sheetFormatPr baseColWidth="10" defaultColWidth="8.83203125" defaultRowHeight="13" x14ac:dyDescent="0.15"/>
  <cols>
    <col min="2" max="2" width="11.1640625" customWidth="1"/>
    <col min="5" max="5" width="11.5" customWidth="1"/>
    <col min="8" max="8" width="11.33203125" customWidth="1"/>
    <col min="11" max="11" width="10.6640625" bestFit="1" customWidth="1"/>
    <col min="12" max="12" width="11" customWidth="1"/>
    <col min="15" max="15" width="10.1640625" customWidth="1"/>
    <col min="18" max="18" width="10.1640625" customWidth="1"/>
    <col min="19" max="21" width="9.1640625" customWidth="1"/>
    <col min="22" max="22" width="11.1640625" customWidth="1"/>
    <col min="23" max="23" width="9.1640625" customWidth="1"/>
    <col min="28" max="28" width="12.1640625" customWidth="1"/>
  </cols>
  <sheetData>
    <row r="1" spans="1:32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  <c r="AF3" s="35" t="s">
        <v>9</v>
      </c>
    </row>
    <row r="4" spans="1:32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5" t="s">
        <v>2</v>
      </c>
    </row>
    <row r="5" spans="1:32" x14ac:dyDescent="0.15">
      <c r="A5" s="28">
        <v>38504</v>
      </c>
      <c r="B5" s="7">
        <f>'[8]Jun Prod'!I4</f>
        <v>18299999.999999274</v>
      </c>
      <c r="C5" s="8">
        <f>B5/1000000</f>
        <v>18.299999999999272</v>
      </c>
      <c r="D5" s="10">
        <f>C5*3.07</f>
        <v>56.180999999997766</v>
      </c>
      <c r="E5" s="7">
        <f>'[8]Jun Prod'!E4</f>
        <v>21000000</v>
      </c>
      <c r="F5" s="8">
        <f>E5/1000000</f>
        <v>21</v>
      </c>
      <c r="G5" s="10">
        <f>F5*3.07</f>
        <v>64.47</v>
      </c>
      <c r="H5" s="7">
        <f>'[8]Jun Prod'!F4</f>
        <v>0</v>
      </c>
      <c r="I5" s="8">
        <f>H5/1000000</f>
        <v>0</v>
      </c>
      <c r="J5" s="10">
        <f>I5*3.07</f>
        <v>0</v>
      </c>
      <c r="K5" s="7">
        <f>'[8]Jun Prod'!H252</f>
        <v>1031583</v>
      </c>
      <c r="L5" s="8">
        <f>K5/1000000</f>
        <v>1.0315829999999999</v>
      </c>
      <c r="M5" s="10">
        <f>L5*3.07</f>
        <v>3.1669598099999994</v>
      </c>
      <c r="N5" s="21"/>
      <c r="O5" s="7">
        <f>'[8]Jun Prod'!H4</f>
        <v>8443000</v>
      </c>
      <c r="P5" s="8">
        <f>O5/1000000</f>
        <v>8.4429999999999996</v>
      </c>
      <c r="Q5" s="10">
        <f>P5*3.07</f>
        <v>25.920009999999998</v>
      </c>
      <c r="R5" s="7">
        <f>'[8]Jun Prod'!C4</f>
        <v>9030000</v>
      </c>
      <c r="S5" s="8">
        <f>R5/1000000</f>
        <v>9.0299999999999994</v>
      </c>
      <c r="T5" s="10">
        <f>S5*3.07</f>
        <v>27.722099999999998</v>
      </c>
      <c r="U5" s="7">
        <f>'[8]Jun Prod'!D4</f>
        <v>0</v>
      </c>
      <c r="V5" s="8">
        <f>U5/1000000</f>
        <v>0</v>
      </c>
      <c r="W5" s="10">
        <f>V5*3.07</f>
        <v>0</v>
      </c>
      <c r="X5" s="7">
        <f>'[8]Jun Prod'!D252</f>
        <v>586999.99999999977</v>
      </c>
      <c r="Y5" s="8">
        <f>X5/1000000</f>
        <v>0.58699999999999974</v>
      </c>
      <c r="Z5" s="10">
        <f>Y5*3.07</f>
        <v>1.8020899999999991</v>
      </c>
      <c r="AA5" s="15"/>
      <c r="AB5" s="7">
        <f>B5+O5</f>
        <v>26742999.999999274</v>
      </c>
      <c r="AC5" s="8">
        <f>C5+P5</f>
        <v>26.74299999999927</v>
      </c>
      <c r="AD5" s="8">
        <f>D5+Q5</f>
        <v>82.101009999997757</v>
      </c>
      <c r="AF5" s="8">
        <f t="shared" ref="AF5:AF14" si="0">T5-Q5-Z5</f>
        <v>0</v>
      </c>
    </row>
    <row r="6" spans="1:32" x14ac:dyDescent="0.15">
      <c r="A6" s="28">
        <v>38505</v>
      </c>
      <c r="B6" s="7">
        <f>'[8]Jun Prod'!I5</f>
        <v>21200000.000000726</v>
      </c>
      <c r="C6" s="8">
        <f t="shared" ref="C6:C34" si="1">B6/1000000</f>
        <v>21.200000000000728</v>
      </c>
      <c r="D6" s="10">
        <f t="shared" ref="D6:D35" si="2">C6*3.07</f>
        <v>65.084000000002234</v>
      </c>
      <c r="E6" s="7">
        <f>'[8]Jun Prod'!E5</f>
        <v>21000000</v>
      </c>
      <c r="F6" s="8">
        <f t="shared" ref="F6:F34" si="3">E6/1000000</f>
        <v>21</v>
      </c>
      <c r="G6" s="10">
        <f t="shared" ref="G6:G35" si="4">F6*3.07</f>
        <v>64.47</v>
      </c>
      <c r="H6" s="7">
        <f>'[8]Jun Prod'!F5</f>
        <v>0</v>
      </c>
      <c r="I6" s="8">
        <f t="shared" ref="I6:I34" si="5">H6/1000000</f>
        <v>0</v>
      </c>
      <c r="J6" s="10">
        <f t="shared" ref="J6:J35" si="6">I6*3.07</f>
        <v>0</v>
      </c>
      <c r="K6" s="7">
        <f>'[8]Jun Prod'!H253</f>
        <v>1228957</v>
      </c>
      <c r="L6" s="8">
        <f>K6/1000000</f>
        <v>1.2289570000000001</v>
      </c>
      <c r="M6" s="10">
        <f t="shared" ref="M6:M35" si="7">L6*3.07</f>
        <v>3.7728979900000001</v>
      </c>
      <c r="N6" s="21"/>
      <c r="O6" s="7">
        <f>'[8]Jun Prod'!H5</f>
        <v>8587000</v>
      </c>
      <c r="P6" s="8">
        <f t="shared" ref="P6:P34" si="8">O6/1000000</f>
        <v>8.5869999999999997</v>
      </c>
      <c r="Q6" s="10">
        <f t="shared" ref="Q6:Q35" si="9">P6*3.07</f>
        <v>26.362089999999998</v>
      </c>
      <c r="R6" s="7">
        <f>'[8]Jun Prod'!C5</f>
        <v>9299000</v>
      </c>
      <c r="S6" s="8">
        <f t="shared" ref="S6:S34" si="10">R6/1000000</f>
        <v>9.2989999999999995</v>
      </c>
      <c r="T6" s="10">
        <f t="shared" ref="T6:T35" si="11">S6*3.07</f>
        <v>28.547929999999997</v>
      </c>
      <c r="U6" s="7">
        <f>'[8]Jun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 Prod'!D253</f>
        <v>711999.99999999977</v>
      </c>
      <c r="Y6" s="8">
        <f t="shared" ref="Y6:Y34" si="14">X6/1000000</f>
        <v>0.71199999999999974</v>
      </c>
      <c r="Z6" s="10">
        <f t="shared" ref="Z6:Z35" si="15">Y6*3.07</f>
        <v>2.1858399999999989</v>
      </c>
      <c r="AA6" s="15"/>
      <c r="AB6" s="7">
        <f t="shared" ref="AB6:AD34" si="16">B6+O6</f>
        <v>29787000.000000726</v>
      </c>
      <c r="AC6" s="8">
        <f t="shared" si="16"/>
        <v>29.787000000000727</v>
      </c>
      <c r="AD6" s="8">
        <f t="shared" si="16"/>
        <v>91.446090000002229</v>
      </c>
      <c r="AF6" s="8">
        <f t="shared" si="0"/>
        <v>0</v>
      </c>
    </row>
    <row r="7" spans="1:32" x14ac:dyDescent="0.15">
      <c r="A7" s="28">
        <v>38506</v>
      </c>
      <c r="B7" s="7">
        <f>'[8]Jun Prod'!I6</f>
        <v>19600000.000000365</v>
      </c>
      <c r="C7" s="8">
        <f t="shared" si="1"/>
        <v>19.600000000000364</v>
      </c>
      <c r="D7" s="10">
        <f t="shared" si="2"/>
        <v>60.172000000001113</v>
      </c>
      <c r="E7" s="7">
        <f>'[8]Jun Prod'!E6</f>
        <v>20000000</v>
      </c>
      <c r="F7" s="8">
        <f t="shared" si="3"/>
        <v>20</v>
      </c>
      <c r="G7" s="10">
        <f t="shared" si="4"/>
        <v>61.4</v>
      </c>
      <c r="H7" s="7">
        <f>'[8]Jun Prod'!F6</f>
        <v>0</v>
      </c>
      <c r="I7" s="8">
        <f t="shared" si="5"/>
        <v>0</v>
      </c>
      <c r="J7" s="10">
        <f t="shared" si="6"/>
        <v>0</v>
      </c>
      <c r="K7" s="7">
        <f>'[8]Jun Prod'!H254</f>
        <v>936560</v>
      </c>
      <c r="L7" s="8">
        <f t="shared" ref="L7:L34" si="17">K7/1000000</f>
        <v>0.93655999999999995</v>
      </c>
      <c r="M7" s="10">
        <f t="shared" si="7"/>
        <v>2.8752391999999998</v>
      </c>
      <c r="N7" s="21"/>
      <c r="O7" s="7">
        <f>'[8]Jun Prod'!H6</f>
        <v>9307999.9999999981</v>
      </c>
      <c r="P7" s="8">
        <f t="shared" si="8"/>
        <v>9.3079999999999981</v>
      </c>
      <c r="Q7" s="10">
        <f t="shared" si="9"/>
        <v>28.575559999999992</v>
      </c>
      <c r="R7" s="7">
        <f>'[8]Jun Prod'!C6</f>
        <v>9885000</v>
      </c>
      <c r="S7" s="8">
        <f t="shared" si="10"/>
        <v>9.8849999999999998</v>
      </c>
      <c r="T7" s="10">
        <f t="shared" si="11"/>
        <v>30.346949999999996</v>
      </c>
      <c r="U7" s="7">
        <f>'[8]Jun Prod'!D6</f>
        <v>0</v>
      </c>
      <c r="V7" s="8">
        <f t="shared" si="12"/>
        <v>0</v>
      </c>
      <c r="W7" s="10">
        <f t="shared" si="13"/>
        <v>0</v>
      </c>
      <c r="X7" s="7">
        <f>'[8]Jun Prod'!D254</f>
        <v>577000.00000000175</v>
      </c>
      <c r="Y7" s="8">
        <f t="shared" si="14"/>
        <v>0.57700000000000173</v>
      </c>
      <c r="Z7" s="10">
        <f t="shared" si="15"/>
        <v>1.7713900000000051</v>
      </c>
      <c r="AA7" s="15"/>
      <c r="AB7" s="7">
        <f t="shared" si="16"/>
        <v>28908000.000000365</v>
      </c>
      <c r="AC7" s="8">
        <f t="shared" si="16"/>
        <v>28.908000000000364</v>
      </c>
      <c r="AD7" s="8">
        <f t="shared" si="16"/>
        <v>88.747560000001101</v>
      </c>
      <c r="AF7" s="8">
        <f t="shared" si="0"/>
        <v>0</v>
      </c>
    </row>
    <row r="8" spans="1:32" x14ac:dyDescent="0.15">
      <c r="A8" s="28">
        <v>38507</v>
      </c>
      <c r="B8" s="7">
        <f>'[8]Jun Prod'!I7</f>
        <v>20299999.999999274</v>
      </c>
      <c r="C8" s="8">
        <f t="shared" si="1"/>
        <v>20.299999999999272</v>
      </c>
      <c r="D8" s="10">
        <f t="shared" si="2"/>
        <v>62.32099999999776</v>
      </c>
      <c r="E8" s="7">
        <f>'[8]Jun Prod'!E7</f>
        <v>22000000</v>
      </c>
      <c r="F8" s="8">
        <f t="shared" si="3"/>
        <v>22</v>
      </c>
      <c r="G8" s="10">
        <f t="shared" si="4"/>
        <v>67.539999999999992</v>
      </c>
      <c r="H8" s="7">
        <f>'[8]Jun Prod'!F7</f>
        <v>0</v>
      </c>
      <c r="I8" s="8">
        <f t="shared" si="5"/>
        <v>0</v>
      </c>
      <c r="J8" s="10">
        <f t="shared" si="6"/>
        <v>0</v>
      </c>
      <c r="K8" s="7">
        <f>'[8]Jun Prod'!H255</f>
        <v>911410</v>
      </c>
      <c r="L8" s="8">
        <f t="shared" si="17"/>
        <v>0.91141000000000005</v>
      </c>
      <c r="M8" s="10">
        <f t="shared" si="7"/>
        <v>2.7980287000000001</v>
      </c>
      <c r="N8" s="21"/>
      <c r="O8" s="7">
        <f>'[8]Jun Prod'!H7</f>
        <v>10827000.000000002</v>
      </c>
      <c r="P8" s="8">
        <f t="shared" si="8"/>
        <v>10.827000000000002</v>
      </c>
      <c r="Q8" s="10">
        <f t="shared" si="9"/>
        <v>33.238890000000005</v>
      </c>
      <c r="R8" s="7">
        <f>'[8]Jun Prod'!C7</f>
        <v>11610000</v>
      </c>
      <c r="S8" s="8">
        <f t="shared" si="10"/>
        <v>11.61</v>
      </c>
      <c r="T8" s="10">
        <f t="shared" si="11"/>
        <v>35.642699999999998</v>
      </c>
      <c r="U8" s="7">
        <f>'[8]Jun Prod'!D7</f>
        <v>0</v>
      </c>
      <c r="V8" s="8">
        <f t="shared" si="12"/>
        <v>0</v>
      </c>
      <c r="W8" s="10">
        <f t="shared" si="13"/>
        <v>0</v>
      </c>
      <c r="X8" s="7">
        <f>'[8]Jun Prod'!D255</f>
        <v>782999.99999999767</v>
      </c>
      <c r="Y8" s="8">
        <f t="shared" si="14"/>
        <v>0.7829999999999977</v>
      </c>
      <c r="Z8" s="10">
        <f t="shared" si="15"/>
        <v>2.4038099999999929</v>
      </c>
      <c r="AA8" s="15"/>
      <c r="AB8" s="7">
        <f t="shared" si="16"/>
        <v>31126999.999999277</v>
      </c>
      <c r="AC8" s="8">
        <f t="shared" si="16"/>
        <v>31.126999999999274</v>
      </c>
      <c r="AD8" s="8">
        <f t="shared" si="16"/>
        <v>95.559889999997765</v>
      </c>
      <c r="AF8" s="8">
        <f t="shared" si="0"/>
        <v>0</v>
      </c>
    </row>
    <row r="9" spans="1:32" x14ac:dyDescent="0.15">
      <c r="A9" s="28">
        <v>38508</v>
      </c>
      <c r="B9" s="7">
        <f>'[8]Jun Prod'!I8</f>
        <v>21399999.999999635</v>
      </c>
      <c r="C9" s="8">
        <f t="shared" si="1"/>
        <v>21.399999999999636</v>
      </c>
      <c r="D9" s="10">
        <f t="shared" si="2"/>
        <v>65.697999999998885</v>
      </c>
      <c r="E9" s="7">
        <f>'[8]Jun Prod'!E8</f>
        <v>22000000</v>
      </c>
      <c r="F9" s="8">
        <f t="shared" si="3"/>
        <v>22</v>
      </c>
      <c r="G9" s="10">
        <f t="shared" si="4"/>
        <v>67.539999999999992</v>
      </c>
      <c r="H9" s="7">
        <f>'[8]Jun Prod'!F8</f>
        <v>0</v>
      </c>
      <c r="I9" s="8">
        <f t="shared" si="5"/>
        <v>0</v>
      </c>
      <c r="J9" s="10">
        <f t="shared" si="6"/>
        <v>0</v>
      </c>
      <c r="K9" s="7">
        <f>'[8]Jun Prod'!H256</f>
        <v>1100000</v>
      </c>
      <c r="L9" s="8">
        <f t="shared" si="17"/>
        <v>1.1000000000000001</v>
      </c>
      <c r="M9" s="10">
        <f t="shared" si="7"/>
        <v>3.3770000000000002</v>
      </c>
      <c r="N9" s="21"/>
      <c r="O9" s="7">
        <f>'[8]Jun Prod'!H8</f>
        <v>9451000</v>
      </c>
      <c r="P9" s="8">
        <f t="shared" si="8"/>
        <v>9.4510000000000005</v>
      </c>
      <c r="Q9" s="10">
        <f t="shared" si="9"/>
        <v>29.014569999999999</v>
      </c>
      <c r="R9" s="7">
        <f>'[8]Jun Prod'!C8</f>
        <v>10230000</v>
      </c>
      <c r="S9" s="8">
        <f t="shared" si="10"/>
        <v>10.23</v>
      </c>
      <c r="T9" s="10">
        <f t="shared" si="11"/>
        <v>31.406099999999999</v>
      </c>
      <c r="U9" s="7">
        <f>'[8]Jun Prod'!D8</f>
        <v>0</v>
      </c>
      <c r="V9" s="8">
        <f t="shared" si="12"/>
        <v>0</v>
      </c>
      <c r="W9" s="10">
        <f t="shared" si="13"/>
        <v>0</v>
      </c>
      <c r="X9" s="7">
        <f>'[8]Jun Prod'!D256</f>
        <v>778999.99999999988</v>
      </c>
      <c r="Y9" s="8">
        <f t="shared" si="14"/>
        <v>0.77899999999999991</v>
      </c>
      <c r="Z9" s="10">
        <f t="shared" si="15"/>
        <v>2.3915299999999995</v>
      </c>
      <c r="AA9" s="15"/>
      <c r="AB9" s="7">
        <f t="shared" si="16"/>
        <v>30850999.999999635</v>
      </c>
      <c r="AC9" s="8">
        <f t="shared" si="16"/>
        <v>30.850999999999637</v>
      </c>
      <c r="AD9" s="8">
        <f t="shared" si="16"/>
        <v>94.712569999998891</v>
      </c>
      <c r="AF9" s="8">
        <f t="shared" si="0"/>
        <v>0</v>
      </c>
    </row>
    <row r="10" spans="1:32" x14ac:dyDescent="0.15">
      <c r="A10" s="28">
        <v>38509</v>
      </c>
      <c r="B10" s="7">
        <f>'[8]Jun Prod'!I9</f>
        <v>21399999.999999635</v>
      </c>
      <c r="C10" s="8">
        <f t="shared" si="1"/>
        <v>21.399999999999636</v>
      </c>
      <c r="D10" s="10">
        <f t="shared" si="2"/>
        <v>65.697999999998885</v>
      </c>
      <c r="E10" s="7">
        <f>'[8]Jun Prod'!E9</f>
        <v>23000000</v>
      </c>
      <c r="F10" s="8">
        <f t="shared" si="3"/>
        <v>23</v>
      </c>
      <c r="G10" s="10">
        <f t="shared" si="4"/>
        <v>70.61</v>
      </c>
      <c r="H10" s="7">
        <f>'[8]Jun Prod'!F9</f>
        <v>0</v>
      </c>
      <c r="I10" s="8">
        <f t="shared" si="5"/>
        <v>0</v>
      </c>
      <c r="J10" s="10">
        <f t="shared" si="6"/>
        <v>0</v>
      </c>
      <c r="K10" s="7">
        <f>'[8]Jun Prod'!H257</f>
        <v>1039765</v>
      </c>
      <c r="L10" s="8">
        <f t="shared" si="17"/>
        <v>1.0397650000000001</v>
      </c>
      <c r="M10" s="10">
        <f t="shared" si="7"/>
        <v>3.1920785500000002</v>
      </c>
      <c r="N10" s="21"/>
      <c r="O10" s="7">
        <f>'[8]Jun Prod'!H9</f>
        <v>10496000</v>
      </c>
      <c r="P10" s="8">
        <f t="shared" si="8"/>
        <v>10.496</v>
      </c>
      <c r="Q10" s="10">
        <f t="shared" si="9"/>
        <v>32.222720000000002</v>
      </c>
      <c r="R10" s="7">
        <f>'[8]Jun Prod'!C9</f>
        <v>11328000</v>
      </c>
      <c r="S10" s="8">
        <f t="shared" si="10"/>
        <v>11.327999999999999</v>
      </c>
      <c r="T10" s="10">
        <f t="shared" si="11"/>
        <v>34.776959999999995</v>
      </c>
      <c r="U10" s="7">
        <f>'[8]Jun Prod'!D9</f>
        <v>0</v>
      </c>
      <c r="V10" s="8">
        <f t="shared" si="12"/>
        <v>0</v>
      </c>
      <c r="W10" s="10">
        <f t="shared" si="13"/>
        <v>0</v>
      </c>
      <c r="X10" s="7">
        <f>'[8]Jun Prod'!D257</f>
        <v>832000.0000000007</v>
      </c>
      <c r="Y10" s="8">
        <f t="shared" si="14"/>
        <v>0.83200000000000074</v>
      </c>
      <c r="Z10" s="10">
        <f t="shared" si="15"/>
        <v>2.5542400000000023</v>
      </c>
      <c r="AA10" s="15"/>
      <c r="AB10" s="7">
        <f t="shared" si="16"/>
        <v>31895999.999999635</v>
      </c>
      <c r="AC10" s="8">
        <f t="shared" si="16"/>
        <v>31.895999999999638</v>
      </c>
      <c r="AD10" s="8">
        <f t="shared" si="16"/>
        <v>97.92071999999888</v>
      </c>
      <c r="AF10" s="8">
        <f t="shared" si="0"/>
        <v>-9.3258734068513149E-15</v>
      </c>
    </row>
    <row r="11" spans="1:32" x14ac:dyDescent="0.15">
      <c r="A11" s="28">
        <v>38510</v>
      </c>
      <c r="B11" s="7">
        <f>'[8]Jun Prod'!I10</f>
        <v>22700000.000000726</v>
      </c>
      <c r="C11" s="8">
        <f t="shared" si="1"/>
        <v>22.700000000000728</v>
      </c>
      <c r="D11" s="10">
        <f t="shared" si="2"/>
        <v>69.689000000002224</v>
      </c>
      <c r="E11" s="7">
        <f>'[8]Jun Prod'!E10</f>
        <v>23000000</v>
      </c>
      <c r="F11" s="8">
        <f t="shared" si="3"/>
        <v>23</v>
      </c>
      <c r="G11" s="10">
        <f t="shared" si="4"/>
        <v>70.61</v>
      </c>
      <c r="H11" s="7">
        <f>'[8]Jun Prod'!F10</f>
        <v>0</v>
      </c>
      <c r="I11" s="8">
        <f t="shared" si="5"/>
        <v>0</v>
      </c>
      <c r="J11" s="10">
        <f t="shared" si="6"/>
        <v>0</v>
      </c>
      <c r="K11" s="7">
        <f>'[8]Jun Prod'!H258</f>
        <v>1195999</v>
      </c>
      <c r="L11" s="8">
        <f t="shared" si="17"/>
        <v>1.195999</v>
      </c>
      <c r="M11" s="10">
        <f t="shared" si="7"/>
        <v>3.6717169300000001</v>
      </c>
      <c r="N11" s="21"/>
      <c r="O11" s="7">
        <f>'[8]Jun Prod'!H10</f>
        <v>9179000</v>
      </c>
      <c r="P11" s="8">
        <f t="shared" si="8"/>
        <v>9.1790000000000003</v>
      </c>
      <c r="Q11" s="10">
        <f t="shared" si="9"/>
        <v>28.17953</v>
      </c>
      <c r="R11" s="7">
        <f>'[8]Jun Prod'!C10</f>
        <v>10022000</v>
      </c>
      <c r="S11" s="8">
        <f t="shared" si="10"/>
        <v>10.022</v>
      </c>
      <c r="T11" s="10">
        <f t="shared" si="11"/>
        <v>30.76754</v>
      </c>
      <c r="U11" s="7">
        <f>'[8]Jun Prod'!D10</f>
        <v>0</v>
      </c>
      <c r="V11" s="8">
        <f t="shared" si="12"/>
        <v>0</v>
      </c>
      <c r="W11" s="10">
        <f t="shared" si="13"/>
        <v>0</v>
      </c>
      <c r="X11" s="7">
        <f>'[8]Jun Prod'!D258</f>
        <v>843000</v>
      </c>
      <c r="Y11" s="8">
        <f t="shared" si="14"/>
        <v>0.84299999999999997</v>
      </c>
      <c r="Z11" s="10">
        <f t="shared" si="15"/>
        <v>2.5880099999999997</v>
      </c>
      <c r="AA11" s="15"/>
      <c r="AB11" s="7">
        <f t="shared" si="16"/>
        <v>31879000.000000726</v>
      </c>
      <c r="AC11" s="8">
        <f t="shared" si="16"/>
        <v>31.87900000000073</v>
      </c>
      <c r="AD11" s="8">
        <f t="shared" si="16"/>
        <v>97.868530000002224</v>
      </c>
      <c r="AF11" s="8">
        <f t="shared" si="0"/>
        <v>0</v>
      </c>
    </row>
    <row r="12" spans="1:32" x14ac:dyDescent="0.15">
      <c r="A12" s="28">
        <v>38511</v>
      </c>
      <c r="B12" s="7">
        <f>'[8]Jun Prod'!I11</f>
        <v>21000000</v>
      </c>
      <c r="C12" s="8">
        <f t="shared" si="1"/>
        <v>21</v>
      </c>
      <c r="D12" s="10">
        <f t="shared" si="2"/>
        <v>64.47</v>
      </c>
      <c r="E12" s="7">
        <f>'[8]Jun Prod'!E11</f>
        <v>22000000</v>
      </c>
      <c r="F12" s="8">
        <f t="shared" si="3"/>
        <v>22</v>
      </c>
      <c r="G12" s="10">
        <f t="shared" si="4"/>
        <v>67.539999999999992</v>
      </c>
      <c r="H12" s="7">
        <f>'[8]Jun Prod'!F11</f>
        <v>0</v>
      </c>
      <c r="I12" s="8">
        <f t="shared" si="5"/>
        <v>0</v>
      </c>
      <c r="J12" s="10">
        <f t="shared" si="6"/>
        <v>0</v>
      </c>
      <c r="K12" s="7">
        <f>'[8]Jun Prod'!H259</f>
        <v>326280</v>
      </c>
      <c r="L12" s="8">
        <f t="shared" si="17"/>
        <v>0.32628000000000001</v>
      </c>
      <c r="M12" s="10">
        <f t="shared" si="7"/>
        <v>1.0016795999999999</v>
      </c>
      <c r="N12" s="21"/>
      <c r="O12" s="7">
        <f>'[8]Jun Prod'!H11</f>
        <v>10306999.999999998</v>
      </c>
      <c r="P12" s="8">
        <f t="shared" si="8"/>
        <v>10.306999999999999</v>
      </c>
      <c r="Q12" s="10">
        <f t="shared" si="9"/>
        <v>31.642489999999995</v>
      </c>
      <c r="R12" s="7">
        <f>'[8]Jun Prod'!C11</f>
        <v>11084000</v>
      </c>
      <c r="S12" s="8">
        <f t="shared" si="10"/>
        <v>11.084</v>
      </c>
      <c r="T12" s="10">
        <f t="shared" si="11"/>
        <v>34.027879999999996</v>
      </c>
      <c r="U12" s="7">
        <f>'[8]Jun Prod'!D11</f>
        <v>0</v>
      </c>
      <c r="V12" s="8">
        <f t="shared" si="12"/>
        <v>0</v>
      </c>
      <c r="W12" s="10">
        <f t="shared" si="13"/>
        <v>0</v>
      </c>
      <c r="X12" s="7">
        <f>'[8]Jun Prod'!D259</f>
        <v>777000.00000000105</v>
      </c>
      <c r="Y12" s="8">
        <f t="shared" si="14"/>
        <v>0.77700000000000102</v>
      </c>
      <c r="Z12" s="10">
        <f t="shared" si="15"/>
        <v>2.3853900000000032</v>
      </c>
      <c r="AA12" s="15"/>
      <c r="AB12" s="7">
        <f t="shared" si="16"/>
        <v>31307000</v>
      </c>
      <c r="AC12" s="8">
        <f t="shared" si="16"/>
        <v>31.306999999999999</v>
      </c>
      <c r="AD12" s="8">
        <f t="shared" si="16"/>
        <v>96.112489999999994</v>
      </c>
      <c r="AF12" s="8">
        <f t="shared" si="0"/>
        <v>0</v>
      </c>
    </row>
    <row r="13" spans="1:32" x14ac:dyDescent="0.15">
      <c r="A13" s="28">
        <v>38512</v>
      </c>
      <c r="B13" s="7">
        <f>'[8]Jun Prod'!I12</f>
        <v>19799999.999999274</v>
      </c>
      <c r="C13" s="8">
        <f t="shared" si="1"/>
        <v>19.799999999999272</v>
      </c>
      <c r="D13" s="10">
        <f t="shared" si="2"/>
        <v>60.785999999997763</v>
      </c>
      <c r="E13" s="7">
        <f>'[8]Jun Prod'!E12</f>
        <v>21000000</v>
      </c>
      <c r="F13" s="8">
        <f t="shared" si="3"/>
        <v>21</v>
      </c>
      <c r="G13" s="10">
        <f t="shared" si="4"/>
        <v>64.47</v>
      </c>
      <c r="H13" s="7">
        <f>'[8]Jun Prod'!F12</f>
        <v>0</v>
      </c>
      <c r="I13" s="8">
        <f t="shared" si="5"/>
        <v>0</v>
      </c>
      <c r="J13" s="10">
        <f t="shared" si="6"/>
        <v>0</v>
      </c>
      <c r="K13" s="7">
        <f>'[8]Jun Prod'!H260</f>
        <v>1046747</v>
      </c>
      <c r="L13" s="8">
        <f t="shared" si="17"/>
        <v>1.0467470000000001</v>
      </c>
      <c r="M13" s="10">
        <f t="shared" si="7"/>
        <v>3.2135132900000003</v>
      </c>
      <c r="N13" s="21"/>
      <c r="O13" s="7">
        <f>'[8]Jun Prod'!H12</f>
        <v>6322999.9999999991</v>
      </c>
      <c r="P13" s="8">
        <f t="shared" si="8"/>
        <v>6.3229999999999995</v>
      </c>
      <c r="Q13" s="10">
        <f t="shared" si="9"/>
        <v>19.411609999999996</v>
      </c>
      <c r="R13" s="7">
        <f>'[8]Jun Prod'!C12</f>
        <v>7132000</v>
      </c>
      <c r="S13" s="8">
        <f t="shared" si="10"/>
        <v>7.1319999999999997</v>
      </c>
      <c r="T13" s="10">
        <f t="shared" si="11"/>
        <v>21.895239999999998</v>
      </c>
      <c r="U13" s="7">
        <f>'[8]Jun Prod'!D12</f>
        <v>0</v>
      </c>
      <c r="V13" s="8">
        <f t="shared" si="12"/>
        <v>0</v>
      </c>
      <c r="W13" s="10">
        <f t="shared" si="13"/>
        <v>0</v>
      </c>
      <c r="X13" s="7">
        <f>'[8]Jun Prod'!D260</f>
        <v>809000.00000000105</v>
      </c>
      <c r="Y13" s="8">
        <f t="shared" si="14"/>
        <v>0.80900000000000105</v>
      </c>
      <c r="Z13" s="10">
        <f t="shared" si="15"/>
        <v>2.4836300000000029</v>
      </c>
      <c r="AA13" s="15"/>
      <c r="AB13" s="7">
        <f t="shared" si="16"/>
        <v>26122999.999999274</v>
      </c>
      <c r="AC13" s="8">
        <f t="shared" si="16"/>
        <v>26.122999999999273</v>
      </c>
      <c r="AD13" s="8">
        <f t="shared" si="16"/>
        <v>80.197609999997752</v>
      </c>
      <c r="AF13" s="8">
        <f t="shared" si="0"/>
        <v>0</v>
      </c>
    </row>
    <row r="14" spans="1:32" x14ac:dyDescent="0.15">
      <c r="A14" s="28">
        <v>38513</v>
      </c>
      <c r="B14" s="7">
        <f>'[8]Jun Prod'!I13</f>
        <v>20200000.000000726</v>
      </c>
      <c r="C14" s="8">
        <f t="shared" si="1"/>
        <v>20.200000000000728</v>
      </c>
      <c r="D14" s="10">
        <f t="shared" si="2"/>
        <v>62.014000000002234</v>
      </c>
      <c r="E14" s="7">
        <f>'[8]Jun Prod'!E13</f>
        <v>22000000</v>
      </c>
      <c r="F14" s="8">
        <f t="shared" si="3"/>
        <v>22</v>
      </c>
      <c r="G14" s="10">
        <f t="shared" si="4"/>
        <v>67.539999999999992</v>
      </c>
      <c r="H14" s="7">
        <f>'[8]Jun Prod'!F13</f>
        <v>0</v>
      </c>
      <c r="I14" s="8">
        <f t="shared" si="5"/>
        <v>0</v>
      </c>
      <c r="J14" s="10">
        <f t="shared" si="6"/>
        <v>0</v>
      </c>
      <c r="K14" s="7">
        <f>'[8]Jun Prod'!H261</f>
        <v>1054212</v>
      </c>
      <c r="L14" s="8">
        <f t="shared" si="17"/>
        <v>1.0542119999999999</v>
      </c>
      <c r="M14" s="10">
        <f t="shared" si="7"/>
        <v>3.2364308399999997</v>
      </c>
      <c r="N14" s="21"/>
      <c r="O14" s="7">
        <f>'[8]Jun Prod'!H13</f>
        <v>11492000.000000002</v>
      </c>
      <c r="P14" s="8">
        <f t="shared" si="8"/>
        <v>11.492000000000003</v>
      </c>
      <c r="Q14" s="10">
        <f t="shared" si="9"/>
        <v>35.280440000000006</v>
      </c>
      <c r="R14" s="7">
        <f>'[8]Jun Prod'!C13</f>
        <v>12142000</v>
      </c>
      <c r="S14" s="8">
        <f t="shared" si="10"/>
        <v>12.141999999999999</v>
      </c>
      <c r="T14" s="10">
        <f t="shared" si="11"/>
        <v>37.275939999999999</v>
      </c>
      <c r="U14" s="7">
        <f>'[8]Jun Prod'!D13</f>
        <v>0</v>
      </c>
      <c r="V14" s="8">
        <f t="shared" si="12"/>
        <v>0</v>
      </c>
      <c r="W14" s="10">
        <f t="shared" si="13"/>
        <v>0</v>
      </c>
      <c r="X14" s="7">
        <f>'[8]Jun Prod'!D261</f>
        <v>649999.9999999986</v>
      </c>
      <c r="Y14" s="8">
        <f t="shared" si="14"/>
        <v>0.64999999999999858</v>
      </c>
      <c r="Z14" s="10">
        <f t="shared" si="15"/>
        <v>1.9954999999999956</v>
      </c>
      <c r="AA14" s="15"/>
      <c r="AB14" s="7">
        <f t="shared" si="16"/>
        <v>31692000.00000073</v>
      </c>
      <c r="AC14" s="8">
        <f t="shared" si="16"/>
        <v>31.692000000000732</v>
      </c>
      <c r="AD14" s="8">
        <f t="shared" si="16"/>
        <v>97.29444000000224</v>
      </c>
      <c r="AF14" s="8">
        <f t="shared" si="0"/>
        <v>-2.886579864025407E-15</v>
      </c>
    </row>
    <row r="15" spans="1:32" x14ac:dyDescent="0.15">
      <c r="A15" s="28">
        <v>38514</v>
      </c>
      <c r="B15" s="7">
        <f>'[8]Jun Prod'!I14</f>
        <v>21700000.000000726</v>
      </c>
      <c r="C15" s="8">
        <f t="shared" si="1"/>
        <v>21.700000000000728</v>
      </c>
      <c r="D15" s="10">
        <f t="shared" si="2"/>
        <v>66.619000000002231</v>
      </c>
      <c r="E15" s="7">
        <f>'[8]Jun Prod'!E14</f>
        <v>23000000</v>
      </c>
      <c r="F15" s="8">
        <f t="shared" si="3"/>
        <v>23</v>
      </c>
      <c r="G15" s="10">
        <f t="shared" si="4"/>
        <v>70.61</v>
      </c>
      <c r="H15" s="7">
        <f>'[8]Jun Prod'!F14</f>
        <v>0</v>
      </c>
      <c r="I15" s="8">
        <f t="shared" si="5"/>
        <v>0</v>
      </c>
      <c r="J15" s="10">
        <f t="shared" si="6"/>
        <v>0</v>
      </c>
      <c r="K15" s="7">
        <f>'[8]Jun Prod'!H262</f>
        <v>1137800</v>
      </c>
      <c r="L15" s="8">
        <f t="shared" si="17"/>
        <v>1.1377999999999999</v>
      </c>
      <c r="M15" s="10">
        <f t="shared" si="7"/>
        <v>3.4930459999999997</v>
      </c>
      <c r="N15" s="21"/>
      <c r="O15" s="7">
        <f>'[8]Jun Prod'!H14</f>
        <v>10521000</v>
      </c>
      <c r="P15" s="8">
        <f t="shared" si="8"/>
        <v>10.521000000000001</v>
      </c>
      <c r="Q15" s="10">
        <f t="shared" si="9"/>
        <v>32.299469999999999</v>
      </c>
      <c r="R15" s="7">
        <f>'[8]Jun Prod'!C14</f>
        <v>11349000</v>
      </c>
      <c r="S15" s="8">
        <f t="shared" si="10"/>
        <v>11.349</v>
      </c>
      <c r="T15" s="10">
        <f t="shared" si="11"/>
        <v>34.841429999999995</v>
      </c>
      <c r="U15" s="7">
        <f>'[8]Jun Prod'!D14</f>
        <v>0</v>
      </c>
      <c r="V15" s="8">
        <f t="shared" si="12"/>
        <v>0</v>
      </c>
      <c r="W15" s="10">
        <f t="shared" si="13"/>
        <v>0</v>
      </c>
      <c r="X15" s="7">
        <f>'[8]Jun Prod'!D262</f>
        <v>827999.99999999942</v>
      </c>
      <c r="Y15" s="8">
        <f t="shared" si="14"/>
        <v>0.8279999999999994</v>
      </c>
      <c r="Z15" s="10">
        <f t="shared" si="15"/>
        <v>2.5419599999999982</v>
      </c>
      <c r="AA15" s="15"/>
      <c r="AB15" s="7">
        <f t="shared" si="16"/>
        <v>32221000.000000726</v>
      </c>
      <c r="AC15" s="8">
        <f t="shared" si="16"/>
        <v>32.221000000000728</v>
      </c>
      <c r="AD15" s="8">
        <f t="shared" si="16"/>
        <v>98.91847000000223</v>
      </c>
      <c r="AF15" s="8">
        <f>T15-Q15-Z15</f>
        <v>0</v>
      </c>
    </row>
    <row r="16" spans="1:32" x14ac:dyDescent="0.15">
      <c r="A16" s="28">
        <v>38515</v>
      </c>
      <c r="B16" s="7">
        <f>'[8]Jun Prod'!I15</f>
        <v>21399999.999999635</v>
      </c>
      <c r="C16" s="8">
        <f t="shared" si="1"/>
        <v>21.399999999999636</v>
      </c>
      <c r="D16" s="10">
        <f t="shared" si="2"/>
        <v>65.697999999998885</v>
      </c>
      <c r="E16" s="7">
        <f>'[8]Jun Prod'!E15</f>
        <v>22000000</v>
      </c>
      <c r="F16" s="8">
        <f t="shared" si="3"/>
        <v>22</v>
      </c>
      <c r="G16" s="10">
        <f t="shared" si="4"/>
        <v>67.539999999999992</v>
      </c>
      <c r="H16" s="7">
        <f>'[8]Jun Prod'!F15</f>
        <v>0</v>
      </c>
      <c r="I16" s="8">
        <f t="shared" si="5"/>
        <v>0</v>
      </c>
      <c r="J16" s="10">
        <f t="shared" si="6"/>
        <v>0</v>
      </c>
      <c r="K16" s="7">
        <f>'[8]Jun Prod'!H263</f>
        <v>604954</v>
      </c>
      <c r="L16" s="8">
        <f t="shared" si="17"/>
        <v>0.60495399999999999</v>
      </c>
      <c r="M16" s="10">
        <f t="shared" si="7"/>
        <v>1.8572087799999999</v>
      </c>
      <c r="N16" s="21"/>
      <c r="O16" s="7">
        <f>'[8]Jun Prod'!H15</f>
        <v>10438999.999999998</v>
      </c>
      <c r="P16" s="8">
        <f t="shared" si="8"/>
        <v>10.438999999999998</v>
      </c>
      <c r="Q16" s="10">
        <f t="shared" si="9"/>
        <v>32.047729999999994</v>
      </c>
      <c r="R16" s="7">
        <f>'[8]Jun Prod'!C15</f>
        <v>11217000</v>
      </c>
      <c r="S16" s="8">
        <f t="shared" si="10"/>
        <v>11.217000000000001</v>
      </c>
      <c r="T16" s="10">
        <f t="shared" si="11"/>
        <v>34.436189999999996</v>
      </c>
      <c r="U16" s="7">
        <f>'[8]Jun Prod'!D15</f>
        <v>0</v>
      </c>
      <c r="V16" s="8">
        <f t="shared" si="12"/>
        <v>0</v>
      </c>
      <c r="W16" s="10">
        <f t="shared" si="13"/>
        <v>0</v>
      </c>
      <c r="X16" s="7">
        <f>'[8]Jun Prod'!D263</f>
        <v>778000.00000000221</v>
      </c>
      <c r="Y16" s="8">
        <f t="shared" si="14"/>
        <v>0.77800000000000225</v>
      </c>
      <c r="Z16" s="10">
        <f t="shared" si="15"/>
        <v>2.3884600000000069</v>
      </c>
      <c r="AA16" s="15"/>
      <c r="AB16" s="7">
        <f t="shared" si="16"/>
        <v>31838999.999999635</v>
      </c>
      <c r="AC16" s="8">
        <f t="shared" si="16"/>
        <v>31.838999999999636</v>
      </c>
      <c r="AD16" s="8">
        <f t="shared" si="16"/>
        <v>97.745729999998872</v>
      </c>
      <c r="AF16" s="8">
        <f>T16-Q16-Z16</f>
        <v>-4.8849813083506888E-15</v>
      </c>
    </row>
    <row r="17" spans="1:32" x14ac:dyDescent="0.15">
      <c r="A17" s="28">
        <v>38516</v>
      </c>
      <c r="B17" s="7">
        <f>'[8]Jun Prod'!I16</f>
        <v>22799999.999999274</v>
      </c>
      <c r="C17" s="8">
        <f t="shared" si="1"/>
        <v>22.799999999999272</v>
      </c>
      <c r="D17" s="10">
        <f t="shared" si="2"/>
        <v>69.995999999997764</v>
      </c>
      <c r="E17" s="7">
        <f>'[8]Jun Prod'!E16</f>
        <v>22000000</v>
      </c>
      <c r="F17" s="8">
        <f t="shared" si="3"/>
        <v>22</v>
      </c>
      <c r="G17" s="10">
        <f t="shared" si="4"/>
        <v>67.539999999999992</v>
      </c>
      <c r="H17" s="7">
        <f>'[8]Jun Prod'!F16</f>
        <v>2000000</v>
      </c>
      <c r="I17" s="8">
        <f t="shared" si="5"/>
        <v>2</v>
      </c>
      <c r="J17" s="10">
        <f t="shared" si="6"/>
        <v>6.14</v>
      </c>
      <c r="K17" s="7">
        <f>'[8]Jun Prod'!H264</f>
        <v>1241475</v>
      </c>
      <c r="L17" s="8">
        <f t="shared" si="17"/>
        <v>1.2414750000000001</v>
      </c>
      <c r="M17" s="10">
        <f t="shared" si="7"/>
        <v>3.8113282500000003</v>
      </c>
      <c r="N17" s="21"/>
      <c r="O17" s="7">
        <f>'[8]Jun Prod'!H16</f>
        <v>10729000.000000004</v>
      </c>
      <c r="P17" s="8">
        <f t="shared" si="8"/>
        <v>10.729000000000005</v>
      </c>
      <c r="Q17" s="10">
        <f t="shared" si="9"/>
        <v>32.938030000000012</v>
      </c>
      <c r="R17" s="7">
        <f>'[8]Jun Prod'!C16</f>
        <v>11433000</v>
      </c>
      <c r="S17" s="8">
        <f t="shared" si="10"/>
        <v>11.433</v>
      </c>
      <c r="T17" s="10">
        <f t="shared" si="11"/>
        <v>35.099309999999996</v>
      </c>
      <c r="U17" s="7">
        <f>'[8]Jun Prod'!D16</f>
        <v>0</v>
      </c>
      <c r="V17" s="8">
        <f t="shared" si="12"/>
        <v>0</v>
      </c>
      <c r="W17" s="10">
        <f t="shared" si="13"/>
        <v>0</v>
      </c>
      <c r="X17" s="7">
        <f>'[8]Jun Prod'!D264</f>
        <v>703999.99999999709</v>
      </c>
      <c r="Y17" s="8">
        <f t="shared" si="14"/>
        <v>0.70399999999999707</v>
      </c>
      <c r="Z17" s="10">
        <f t="shared" si="15"/>
        <v>2.1612799999999908</v>
      </c>
      <c r="AA17" s="15"/>
      <c r="AB17" s="7">
        <f t="shared" si="16"/>
        <v>33528999.999999277</v>
      </c>
      <c r="AC17" s="8">
        <f t="shared" si="16"/>
        <v>33.528999999999279</v>
      </c>
      <c r="AD17" s="8">
        <f t="shared" si="16"/>
        <v>102.93402999999778</v>
      </c>
      <c r="AF17" s="8">
        <f>T17-Q17-Z17</f>
        <v>-7.1054273576010019E-15</v>
      </c>
    </row>
    <row r="18" spans="1:32" x14ac:dyDescent="0.15">
      <c r="A18" s="28">
        <v>38517</v>
      </c>
      <c r="B18" s="7">
        <f>'[8]Jun Prod'!I17</f>
        <v>21600000.000000365</v>
      </c>
      <c r="C18" s="8">
        <f t="shared" si="1"/>
        <v>21.600000000000364</v>
      </c>
      <c r="D18" s="10">
        <f t="shared" si="2"/>
        <v>66.31200000000112</v>
      </c>
      <c r="E18" s="7">
        <f>'[8]Jun Prod'!E17</f>
        <v>18000000</v>
      </c>
      <c r="F18" s="8">
        <f t="shared" si="3"/>
        <v>18</v>
      </c>
      <c r="G18" s="10">
        <f t="shared" si="4"/>
        <v>55.26</v>
      </c>
      <c r="H18" s="7">
        <f>'[8]Jun Prod'!F17</f>
        <v>5000000</v>
      </c>
      <c r="I18" s="8">
        <f t="shared" si="5"/>
        <v>5</v>
      </c>
      <c r="J18" s="10">
        <f t="shared" si="6"/>
        <v>15.35</v>
      </c>
      <c r="K18" s="7">
        <f>'[8]Jun Prod'!H265</f>
        <v>1118591</v>
      </c>
      <c r="L18" s="8">
        <f t="shared" si="17"/>
        <v>1.1185909999999999</v>
      </c>
      <c r="M18" s="10">
        <f t="shared" si="7"/>
        <v>3.4340743699999994</v>
      </c>
      <c r="N18" s="21"/>
      <c r="O18" s="7">
        <f>'[8]Jun Prod'!H17</f>
        <v>8900000</v>
      </c>
      <c r="P18" s="8">
        <f t="shared" si="8"/>
        <v>8.9</v>
      </c>
      <c r="Q18" s="10">
        <f t="shared" si="9"/>
        <v>27.323</v>
      </c>
      <c r="R18" s="7">
        <f>'[8]Jun Prod'!C17</f>
        <v>9656000</v>
      </c>
      <c r="S18" s="8">
        <f t="shared" si="10"/>
        <v>9.6560000000000006</v>
      </c>
      <c r="T18" s="10">
        <f t="shared" si="11"/>
        <v>29.643920000000001</v>
      </c>
      <c r="U18" s="7">
        <f>'[8]Jun Prod'!D17</f>
        <v>0</v>
      </c>
      <c r="V18" s="8">
        <f t="shared" si="12"/>
        <v>0</v>
      </c>
      <c r="W18" s="10">
        <f t="shared" si="13"/>
        <v>0</v>
      </c>
      <c r="X18" s="7">
        <f>'[8]Jun Prod'!D265</f>
        <v>756000.00000000023</v>
      </c>
      <c r="Y18" s="8">
        <f t="shared" si="14"/>
        <v>0.75600000000000023</v>
      </c>
      <c r="Z18" s="10">
        <f t="shared" si="15"/>
        <v>2.3209200000000005</v>
      </c>
      <c r="AA18" s="15"/>
      <c r="AB18" s="7">
        <f t="shared" si="16"/>
        <v>30500000.000000365</v>
      </c>
      <c r="AC18" s="8">
        <f t="shared" si="16"/>
        <v>30.500000000000362</v>
      </c>
      <c r="AD18" s="8">
        <f t="shared" si="16"/>
        <v>93.635000000001128</v>
      </c>
      <c r="AF18" s="8">
        <f>T18-Q18-Z18</f>
        <v>0</v>
      </c>
    </row>
    <row r="19" spans="1:32" x14ac:dyDescent="0.15">
      <c r="A19" s="28">
        <v>38518</v>
      </c>
      <c r="B19" s="7">
        <f>'[8]Jun Prod'!I18</f>
        <v>25299999.999999274</v>
      </c>
      <c r="C19" s="8">
        <f t="shared" si="1"/>
        <v>25.299999999999272</v>
      </c>
      <c r="D19" s="10">
        <f t="shared" si="2"/>
        <v>77.670999999997761</v>
      </c>
      <c r="E19" s="7">
        <f>'[8]Jun Prod'!E18</f>
        <v>22000000</v>
      </c>
      <c r="F19" s="8">
        <f t="shared" si="3"/>
        <v>22</v>
      </c>
      <c r="G19" s="10">
        <f t="shared" si="4"/>
        <v>67.539999999999992</v>
      </c>
      <c r="H19" s="7">
        <f>'[8]Jun Prod'!F18</f>
        <v>5000000</v>
      </c>
      <c r="I19" s="8">
        <f t="shared" si="5"/>
        <v>5</v>
      </c>
      <c r="J19" s="10">
        <f t="shared" si="6"/>
        <v>15.35</v>
      </c>
      <c r="K19" s="7">
        <f>'[8]Jun Prod'!H266</f>
        <v>1293715</v>
      </c>
      <c r="L19" s="8">
        <f t="shared" si="17"/>
        <v>1.2937149999999999</v>
      </c>
      <c r="M19" s="10">
        <f t="shared" si="7"/>
        <v>3.9717050499999997</v>
      </c>
      <c r="N19" s="21"/>
      <c r="O19" s="7">
        <f>'[8]Jun Prod'!H18</f>
        <v>10773999.999999998</v>
      </c>
      <c r="P19" s="8">
        <f t="shared" si="8"/>
        <v>10.773999999999997</v>
      </c>
      <c r="Q19" s="10">
        <f t="shared" si="9"/>
        <v>33.076179999999994</v>
      </c>
      <c r="R19" s="7">
        <f>'[8]Jun Prod'!C18</f>
        <v>11392000</v>
      </c>
      <c r="S19" s="8">
        <f t="shared" si="10"/>
        <v>11.391999999999999</v>
      </c>
      <c r="T19" s="10">
        <f t="shared" si="11"/>
        <v>34.973439999999997</v>
      </c>
      <c r="U19" s="7">
        <f>'[8]Jun Prod'!D18</f>
        <v>0</v>
      </c>
      <c r="V19" s="8">
        <f t="shared" si="12"/>
        <v>0</v>
      </c>
      <c r="W19" s="10">
        <f t="shared" si="13"/>
        <v>0</v>
      </c>
      <c r="X19" s="7">
        <f>'[8]Jun Prod'!D266</f>
        <v>618000.0000000021</v>
      </c>
      <c r="Y19" s="8">
        <f t="shared" si="14"/>
        <v>0.6180000000000021</v>
      </c>
      <c r="Z19" s="10">
        <f t="shared" si="15"/>
        <v>1.8972600000000064</v>
      </c>
      <c r="AA19" s="15"/>
      <c r="AB19" s="7">
        <f t="shared" si="16"/>
        <v>36073999.99999927</v>
      </c>
      <c r="AC19" s="8">
        <f t="shared" si="16"/>
        <v>36.073999999999273</v>
      </c>
      <c r="AD19" s="8">
        <f t="shared" si="16"/>
        <v>110.74717999999775</v>
      </c>
      <c r="AF19" s="8">
        <f>T19-Q19-Z19</f>
        <v>-3.5527136788005009E-15</v>
      </c>
    </row>
    <row r="20" spans="1:32" x14ac:dyDescent="0.15">
      <c r="A20" s="28">
        <v>38519</v>
      </c>
      <c r="B20" s="7">
        <f>'[8]Jun Prod'!I19</f>
        <v>24100000.000000365</v>
      </c>
      <c r="C20" s="8">
        <f t="shared" si="1"/>
        <v>24.100000000000364</v>
      </c>
      <c r="D20" s="10">
        <f t="shared" si="2"/>
        <v>73.987000000001117</v>
      </c>
      <c r="E20" s="7">
        <f>'[8]Jun Prod'!E19</f>
        <v>20000000</v>
      </c>
      <c r="F20" s="8">
        <f t="shared" si="3"/>
        <v>20</v>
      </c>
      <c r="G20" s="10">
        <f t="shared" si="4"/>
        <v>61.4</v>
      </c>
      <c r="H20" s="7">
        <f>'[8]Jun Prod'!F19</f>
        <v>5000000</v>
      </c>
      <c r="I20" s="8">
        <f t="shared" si="5"/>
        <v>5</v>
      </c>
      <c r="J20" s="10">
        <f t="shared" si="6"/>
        <v>15.35</v>
      </c>
      <c r="K20" s="7">
        <f>'[8]Jun Prod'!H267</f>
        <v>1524070</v>
      </c>
      <c r="L20" s="8">
        <f t="shared" si="17"/>
        <v>1.52407</v>
      </c>
      <c r="M20" s="10">
        <f t="shared" si="7"/>
        <v>4.6788948999999995</v>
      </c>
      <c r="N20" s="21"/>
      <c r="O20" s="7">
        <f>'[8]Jun Prod'!H19</f>
        <v>8996000.0000000037</v>
      </c>
      <c r="P20" s="8">
        <f t="shared" si="8"/>
        <v>8.996000000000004</v>
      </c>
      <c r="Q20" s="10">
        <f t="shared" si="9"/>
        <v>27.617720000000009</v>
      </c>
      <c r="R20" s="7">
        <f>'[8]Jun Prod'!C19</f>
        <v>9656000</v>
      </c>
      <c r="S20" s="8">
        <f t="shared" si="10"/>
        <v>9.6560000000000006</v>
      </c>
      <c r="T20" s="10">
        <f t="shared" si="11"/>
        <v>29.643920000000001</v>
      </c>
      <c r="U20" s="7">
        <f>'[8]Jun Prod'!D19</f>
        <v>0</v>
      </c>
      <c r="V20" s="8">
        <f t="shared" si="12"/>
        <v>0</v>
      </c>
      <c r="W20" s="10">
        <f t="shared" si="13"/>
        <v>0</v>
      </c>
      <c r="X20" s="7">
        <f>'[8]Jun Prod'!D267</f>
        <v>659999.99999999662</v>
      </c>
      <c r="Y20" s="8">
        <f t="shared" si="14"/>
        <v>0.65999999999999659</v>
      </c>
      <c r="Z20" s="10">
        <f t="shared" si="15"/>
        <v>2.0261999999999896</v>
      </c>
      <c r="AA20" s="15"/>
      <c r="AB20" s="7">
        <f t="shared" si="16"/>
        <v>33096000.000000369</v>
      </c>
      <c r="AC20" s="8">
        <f t="shared" si="16"/>
        <v>33.096000000000366</v>
      </c>
      <c r="AD20" s="8">
        <f t="shared" si="16"/>
        <v>101.60472000000112</v>
      </c>
      <c r="AF20" s="8">
        <f t="shared" ref="AF20:AF34" si="18">T20-Q20-Z20</f>
        <v>0</v>
      </c>
    </row>
    <row r="21" spans="1:32" x14ac:dyDescent="0.15">
      <c r="A21" s="28">
        <v>38520</v>
      </c>
      <c r="B21" s="7">
        <f>'[8]Jun Prod'!I20</f>
        <v>22200000.000000726</v>
      </c>
      <c r="C21" s="8">
        <f t="shared" si="1"/>
        <v>22.200000000000728</v>
      </c>
      <c r="D21" s="10">
        <f t="shared" si="2"/>
        <v>68.154000000002227</v>
      </c>
      <c r="E21" s="7">
        <f>'[8]Jun Prod'!E20</f>
        <v>20000000</v>
      </c>
      <c r="F21" s="8">
        <f t="shared" si="3"/>
        <v>20</v>
      </c>
      <c r="G21" s="10">
        <f t="shared" si="4"/>
        <v>61.4</v>
      </c>
      <c r="H21" s="7">
        <f>'[8]Jun Prod'!F20</f>
        <v>5000000</v>
      </c>
      <c r="I21" s="8">
        <f t="shared" si="5"/>
        <v>5</v>
      </c>
      <c r="J21" s="10">
        <f t="shared" si="6"/>
        <v>15.35</v>
      </c>
      <c r="K21" s="7">
        <f>'[8]Jun Prod'!H268</f>
        <v>1363330</v>
      </c>
      <c r="L21" s="8">
        <f t="shared" si="17"/>
        <v>1.3633299999999999</v>
      </c>
      <c r="M21" s="10">
        <f t="shared" si="7"/>
        <v>4.1854230999999995</v>
      </c>
      <c r="N21" s="21"/>
      <c r="O21" s="7">
        <f>'[8]Jun Prod'!H20</f>
        <v>10101999.999999994</v>
      </c>
      <c r="P21" s="8">
        <f t="shared" si="8"/>
        <v>10.101999999999995</v>
      </c>
      <c r="Q21" s="10">
        <f t="shared" si="9"/>
        <v>31.013139999999982</v>
      </c>
      <c r="R21" s="7">
        <f>'[8]Jun Prod'!C20</f>
        <v>10819000</v>
      </c>
      <c r="S21" s="8">
        <f t="shared" si="10"/>
        <v>10.819000000000001</v>
      </c>
      <c r="T21" s="10">
        <f t="shared" si="11"/>
        <v>33.214330000000004</v>
      </c>
      <c r="U21" s="7">
        <f>'[8]Jun Prod'!D20</f>
        <v>0</v>
      </c>
      <c r="V21" s="8">
        <f t="shared" si="12"/>
        <v>0</v>
      </c>
      <c r="W21" s="10">
        <f t="shared" si="13"/>
        <v>0</v>
      </c>
      <c r="X21" s="7">
        <f>'[8]Jun Prod'!D268</f>
        <v>717000.00000000582</v>
      </c>
      <c r="Y21" s="8">
        <f t="shared" si="14"/>
        <v>0.71700000000000585</v>
      </c>
      <c r="Z21" s="10">
        <f t="shared" si="15"/>
        <v>2.2011900000000177</v>
      </c>
      <c r="AA21" s="15"/>
      <c r="AB21" s="7">
        <f t="shared" si="16"/>
        <v>32302000.000000723</v>
      </c>
      <c r="AC21" s="8">
        <f t="shared" si="16"/>
        <v>32.302000000000724</v>
      </c>
      <c r="AD21" s="8">
        <f t="shared" si="16"/>
        <v>99.167140000002206</v>
      </c>
      <c r="AF21" s="8">
        <f t="shared" si="18"/>
        <v>3.9968028886505635E-15</v>
      </c>
    </row>
    <row r="22" spans="1:32" x14ac:dyDescent="0.15">
      <c r="A22" s="28">
        <v>38521</v>
      </c>
      <c r="B22" s="7">
        <f>'[8]Jun Prod'!I21</f>
        <v>23100000.000000365</v>
      </c>
      <c r="C22" s="8">
        <f t="shared" si="1"/>
        <v>23.100000000000364</v>
      </c>
      <c r="D22" s="10">
        <f t="shared" si="2"/>
        <v>70.91700000000111</v>
      </c>
      <c r="E22" s="7">
        <f>'[8]Jun Prod'!E21</f>
        <v>19000000</v>
      </c>
      <c r="F22" s="8">
        <f t="shared" si="3"/>
        <v>19</v>
      </c>
      <c r="G22" s="10">
        <f t="shared" si="4"/>
        <v>58.33</v>
      </c>
      <c r="H22" s="7">
        <f>'[8]Jun Prod'!F21</f>
        <v>5000000</v>
      </c>
      <c r="I22" s="8">
        <f t="shared" si="5"/>
        <v>5</v>
      </c>
      <c r="J22" s="10">
        <f t="shared" si="6"/>
        <v>15.35</v>
      </c>
      <c r="K22" s="7">
        <f>'[8]Jun Prod'!H269</f>
        <v>1417764</v>
      </c>
      <c r="L22" s="8">
        <f t="shared" si="17"/>
        <v>1.417764</v>
      </c>
      <c r="M22" s="10">
        <f t="shared" si="7"/>
        <v>4.3525354800000002</v>
      </c>
      <c r="N22" s="21"/>
      <c r="O22" s="7">
        <f>'[8]Jun Prod'!H21</f>
        <v>9604000.0000000019</v>
      </c>
      <c r="P22" s="8">
        <f t="shared" si="8"/>
        <v>9.604000000000001</v>
      </c>
      <c r="Q22" s="10">
        <f t="shared" si="9"/>
        <v>29.484280000000002</v>
      </c>
      <c r="R22" s="7">
        <f>'[8]Jun Prod'!C21</f>
        <v>10355000</v>
      </c>
      <c r="S22" s="8">
        <f t="shared" si="10"/>
        <v>10.355</v>
      </c>
      <c r="T22" s="10">
        <f t="shared" si="11"/>
        <v>31.789850000000001</v>
      </c>
      <c r="U22" s="7">
        <f>'[8]Jun Prod'!D21</f>
        <v>0</v>
      </c>
      <c r="V22" s="8">
        <f t="shared" si="12"/>
        <v>0</v>
      </c>
      <c r="W22" s="10">
        <f t="shared" si="13"/>
        <v>0</v>
      </c>
      <c r="X22" s="7">
        <f>'[8]Jun Prod'!D269</f>
        <v>750999.99999999767</v>
      </c>
      <c r="Y22" s="8">
        <f t="shared" si="14"/>
        <v>0.75099999999999767</v>
      </c>
      <c r="Z22" s="10">
        <f t="shared" si="15"/>
        <v>2.3055699999999928</v>
      </c>
      <c r="AA22" s="15"/>
      <c r="AB22" s="7">
        <f t="shared" si="16"/>
        <v>32704000.000000365</v>
      </c>
      <c r="AC22" s="8">
        <f t="shared" si="16"/>
        <v>32.704000000000363</v>
      </c>
      <c r="AD22" s="8">
        <f t="shared" si="16"/>
        <v>100.40128000000111</v>
      </c>
      <c r="AF22" s="8">
        <f t="shared" si="18"/>
        <v>6.6613381477509392E-15</v>
      </c>
    </row>
    <row r="23" spans="1:32" x14ac:dyDescent="0.15">
      <c r="A23" s="28">
        <v>38522</v>
      </c>
      <c r="B23" s="7">
        <f>'[8]Jun Prod'!I22</f>
        <v>23599999.999998543</v>
      </c>
      <c r="C23" s="8">
        <f t="shared" si="1"/>
        <v>23.599999999998545</v>
      </c>
      <c r="D23" s="10">
        <f t="shared" si="2"/>
        <v>72.451999999995522</v>
      </c>
      <c r="E23" s="7">
        <f>'[8]Jun Prod'!E22</f>
        <v>19000000</v>
      </c>
      <c r="F23" s="8">
        <f t="shared" si="3"/>
        <v>19</v>
      </c>
      <c r="G23" s="10">
        <f t="shared" si="4"/>
        <v>58.33</v>
      </c>
      <c r="H23" s="7">
        <f>'[8]Jun Prod'!F22</f>
        <v>5000000</v>
      </c>
      <c r="I23" s="8">
        <f t="shared" si="5"/>
        <v>5</v>
      </c>
      <c r="J23" s="10">
        <f t="shared" si="6"/>
        <v>15.35</v>
      </c>
      <c r="K23" s="7">
        <f>'[8]Jun Prod'!H270</f>
        <v>1342615</v>
      </c>
      <c r="L23" s="8">
        <f t="shared" si="17"/>
        <v>1.3426149999999999</v>
      </c>
      <c r="M23" s="10">
        <f t="shared" si="7"/>
        <v>4.1218280499999995</v>
      </c>
      <c r="N23" s="21"/>
      <c r="O23" s="7">
        <f>'[8]Jun Prod'!H22</f>
        <v>9772000.0000000037</v>
      </c>
      <c r="P23" s="8">
        <f t="shared" si="8"/>
        <v>9.7720000000000038</v>
      </c>
      <c r="Q23" s="10">
        <f t="shared" si="9"/>
        <v>30.000040000000009</v>
      </c>
      <c r="R23" s="7">
        <f>'[8]Jun Prod'!C22</f>
        <v>10450000</v>
      </c>
      <c r="S23" s="8">
        <f t="shared" si="10"/>
        <v>10.45</v>
      </c>
      <c r="T23" s="10">
        <f t="shared" si="11"/>
        <v>32.081499999999998</v>
      </c>
      <c r="U23" s="7">
        <f>'[8]Jun Prod'!D22</f>
        <v>0</v>
      </c>
      <c r="V23" s="8">
        <f t="shared" si="12"/>
        <v>0</v>
      </c>
      <c r="W23" s="10">
        <f t="shared" si="13"/>
        <v>0</v>
      </c>
      <c r="X23" s="7">
        <f>'[8]Jun Prod'!D270</f>
        <v>677999.99999999732</v>
      </c>
      <c r="Y23" s="8">
        <f t="shared" si="14"/>
        <v>0.67799999999999727</v>
      </c>
      <c r="Z23" s="10">
        <f t="shared" si="15"/>
        <v>2.0814599999999914</v>
      </c>
      <c r="AA23" s="15"/>
      <c r="AB23" s="7">
        <f t="shared" si="16"/>
        <v>33371999.999998547</v>
      </c>
      <c r="AC23" s="8">
        <f t="shared" si="16"/>
        <v>33.37199999999855</v>
      </c>
      <c r="AD23" s="8">
        <f t="shared" si="16"/>
        <v>102.45203999999553</v>
      </c>
      <c r="AF23" s="8">
        <f t="shared" si="18"/>
        <v>0</v>
      </c>
    </row>
    <row r="24" spans="1:32" x14ac:dyDescent="0.15">
      <c r="A24" s="28">
        <v>38523</v>
      </c>
      <c r="B24" s="7">
        <f>'[8]Jun Prod'!I23</f>
        <v>16700000.000000728</v>
      </c>
      <c r="C24" s="8">
        <f t="shared" si="1"/>
        <v>16.700000000000728</v>
      </c>
      <c r="D24" s="10">
        <f t="shared" si="2"/>
        <v>51.269000000002229</v>
      </c>
      <c r="E24" s="7">
        <f>'[8]Jun Prod'!E23</f>
        <v>14000000</v>
      </c>
      <c r="F24" s="8">
        <f t="shared" si="3"/>
        <v>14</v>
      </c>
      <c r="G24" s="10">
        <f t="shared" si="4"/>
        <v>42.98</v>
      </c>
      <c r="H24" s="7">
        <f>'[8]Jun Prod'!F23</f>
        <v>5000000</v>
      </c>
      <c r="I24" s="8">
        <f t="shared" si="5"/>
        <v>5</v>
      </c>
      <c r="J24" s="10">
        <f t="shared" si="6"/>
        <v>15.35</v>
      </c>
      <c r="K24" s="7">
        <f>'[8]Jun Prod'!H271</f>
        <v>1243257</v>
      </c>
      <c r="L24" s="8">
        <f t="shared" si="17"/>
        <v>1.2432570000000001</v>
      </c>
      <c r="M24" s="10">
        <f t="shared" si="7"/>
        <v>3.8167989900000001</v>
      </c>
      <c r="N24" s="21"/>
      <c r="O24" s="7">
        <f>'[8]Jun Prod'!H23</f>
        <v>7003999.9999999963</v>
      </c>
      <c r="P24" s="8">
        <f t="shared" si="8"/>
        <v>7.003999999999996</v>
      </c>
      <c r="Q24" s="10">
        <f t="shared" si="9"/>
        <v>21.502279999999988</v>
      </c>
      <c r="R24" s="7">
        <f>'[8]Jun Prod'!C23</f>
        <v>7591000</v>
      </c>
      <c r="S24" s="8">
        <f t="shared" si="10"/>
        <v>7.5910000000000002</v>
      </c>
      <c r="T24" s="10">
        <f t="shared" si="11"/>
        <v>23.304369999999999</v>
      </c>
      <c r="U24" s="7">
        <f>'[8]Jun Prod'!D23</f>
        <v>0</v>
      </c>
      <c r="V24" s="8">
        <f t="shared" si="12"/>
        <v>0</v>
      </c>
      <c r="W24" s="10">
        <f t="shared" si="13"/>
        <v>0</v>
      </c>
      <c r="X24" s="7">
        <f>'[8]Jun Prod'!D271</f>
        <v>587000.00000000326</v>
      </c>
      <c r="Y24" s="8">
        <f t="shared" si="14"/>
        <v>0.5870000000000033</v>
      </c>
      <c r="Z24" s="10">
        <f t="shared" si="15"/>
        <v>1.80209000000001</v>
      </c>
      <c r="AA24" s="15"/>
      <c r="AB24" s="7">
        <f t="shared" si="16"/>
        <v>23704000.000000723</v>
      </c>
      <c r="AC24" s="8">
        <f t="shared" si="16"/>
        <v>23.704000000000725</v>
      </c>
      <c r="AD24" s="8">
        <f t="shared" si="16"/>
        <v>72.771280000002221</v>
      </c>
      <c r="AF24" s="8">
        <f t="shared" si="18"/>
        <v>0</v>
      </c>
    </row>
    <row r="25" spans="1:32" x14ac:dyDescent="0.15">
      <c r="A25" s="28">
        <v>38524</v>
      </c>
      <c r="B25" s="7">
        <f>'[8]Jun Prod'!I24</f>
        <v>19500000</v>
      </c>
      <c r="C25" s="8">
        <f t="shared" si="1"/>
        <v>19.5</v>
      </c>
      <c r="D25" s="10">
        <f t="shared" si="2"/>
        <v>59.864999999999995</v>
      </c>
      <c r="E25" s="7">
        <f>'[8]Jun Prod'!E24</f>
        <v>15000000</v>
      </c>
      <c r="F25" s="8">
        <f t="shared" si="3"/>
        <v>15</v>
      </c>
      <c r="G25" s="10">
        <f t="shared" si="4"/>
        <v>46.05</v>
      </c>
      <c r="H25" s="7">
        <f>'[8]Jun Prod'!F24</f>
        <v>5000000</v>
      </c>
      <c r="I25" s="8">
        <f t="shared" si="5"/>
        <v>5</v>
      </c>
      <c r="J25" s="10">
        <f t="shared" si="6"/>
        <v>15.35</v>
      </c>
      <c r="K25" s="7">
        <f>'[8]Jun Prod'!H272</f>
        <v>1204157</v>
      </c>
      <c r="L25" s="8">
        <f t="shared" si="17"/>
        <v>1.2041569999999999</v>
      </c>
      <c r="M25" s="10">
        <f t="shared" si="7"/>
        <v>3.6967619899999997</v>
      </c>
      <c r="N25" s="21"/>
      <c r="O25" s="7">
        <f>'[8]Jun Prod'!H24</f>
        <v>6464000.0000000047</v>
      </c>
      <c r="P25" s="8">
        <f t="shared" si="8"/>
        <v>6.4640000000000049</v>
      </c>
      <c r="Q25" s="10">
        <f t="shared" si="9"/>
        <v>19.844480000000015</v>
      </c>
      <c r="R25" s="7">
        <f>'[8]Jun Prod'!C24</f>
        <v>6905000</v>
      </c>
      <c r="S25" s="8">
        <f t="shared" si="10"/>
        <v>6.9050000000000002</v>
      </c>
      <c r="T25" s="10">
        <f t="shared" si="11"/>
        <v>21.198350000000001</v>
      </c>
      <c r="U25" s="7">
        <f>'[8]Jun Prod'!D24</f>
        <v>0</v>
      </c>
      <c r="V25" s="8">
        <f t="shared" si="12"/>
        <v>0</v>
      </c>
      <c r="W25" s="10">
        <f t="shared" si="13"/>
        <v>0</v>
      </c>
      <c r="X25" s="7">
        <f>'[8]Jun Prod'!D272</f>
        <v>440999.9999999954</v>
      </c>
      <c r="Y25" s="8">
        <f t="shared" si="14"/>
        <v>0.4409999999999954</v>
      </c>
      <c r="Z25" s="10">
        <f t="shared" si="15"/>
        <v>1.3538699999999857</v>
      </c>
      <c r="AA25" s="15"/>
      <c r="AB25" s="7">
        <f t="shared" si="16"/>
        <v>25964000.000000004</v>
      </c>
      <c r="AC25" s="8">
        <f t="shared" si="16"/>
        <v>25.964000000000006</v>
      </c>
      <c r="AD25" s="8">
        <f t="shared" si="16"/>
        <v>79.709480000000013</v>
      </c>
      <c r="AF25" s="8">
        <f t="shared" si="18"/>
        <v>0</v>
      </c>
    </row>
    <row r="26" spans="1:32" x14ac:dyDescent="0.15">
      <c r="A26" s="28">
        <v>38525</v>
      </c>
      <c r="B26" s="7">
        <f>'[8]Jun Prod'!I25</f>
        <v>21299999.999999274</v>
      </c>
      <c r="C26" s="8">
        <f t="shared" si="1"/>
        <v>21.299999999999272</v>
      </c>
      <c r="D26" s="10">
        <f t="shared" si="2"/>
        <v>65.39099999999776</v>
      </c>
      <c r="E26" s="7">
        <f>'[8]Jun Prod'!E25</f>
        <v>19000000</v>
      </c>
      <c r="F26" s="8">
        <f t="shared" si="3"/>
        <v>19</v>
      </c>
      <c r="G26" s="10">
        <f t="shared" si="4"/>
        <v>58.33</v>
      </c>
      <c r="H26" s="7">
        <f>'[8]Jun Prod'!F25</f>
        <v>5000000</v>
      </c>
      <c r="I26" s="8">
        <f t="shared" si="5"/>
        <v>5</v>
      </c>
      <c r="J26" s="10">
        <f t="shared" si="6"/>
        <v>15.35</v>
      </c>
      <c r="K26" s="7">
        <f>'[8]Jun Prod'!H273</f>
        <v>1379050</v>
      </c>
      <c r="L26" s="8">
        <f t="shared" si="17"/>
        <v>1.3790500000000001</v>
      </c>
      <c r="M26" s="10">
        <f t="shared" si="7"/>
        <v>4.2336834999999997</v>
      </c>
      <c r="N26" s="21"/>
      <c r="O26" s="7">
        <f>'[8]Jun Prod'!H25</f>
        <v>9256999.9999999944</v>
      </c>
      <c r="P26" s="8">
        <f t="shared" si="8"/>
        <v>9.2569999999999943</v>
      </c>
      <c r="Q26" s="10">
        <f t="shared" si="9"/>
        <v>28.41898999999998</v>
      </c>
      <c r="R26" s="7">
        <f>'[8]Jun Prod'!C25</f>
        <v>9694000</v>
      </c>
      <c r="S26" s="8">
        <f t="shared" si="10"/>
        <v>9.6940000000000008</v>
      </c>
      <c r="T26" s="10">
        <f t="shared" si="11"/>
        <v>29.760580000000001</v>
      </c>
      <c r="U26" s="7">
        <f>'[8]Jun Prod'!D25</f>
        <v>0</v>
      </c>
      <c r="V26" s="8">
        <f t="shared" si="12"/>
        <v>0</v>
      </c>
      <c r="W26" s="10">
        <f t="shared" si="13"/>
        <v>0</v>
      </c>
      <c r="X26" s="7">
        <f>'[8]Jun Prod'!D273</f>
        <v>437000.00000000471</v>
      </c>
      <c r="Y26" s="8">
        <f t="shared" si="14"/>
        <v>0.43700000000000472</v>
      </c>
      <c r="Z26" s="10">
        <f t="shared" si="15"/>
        <v>1.3415900000000145</v>
      </c>
      <c r="AA26" s="15"/>
      <c r="AB26" s="7">
        <f t="shared" si="16"/>
        <v>30556999.99999927</v>
      </c>
      <c r="AC26" s="8">
        <f t="shared" si="16"/>
        <v>30.556999999999267</v>
      </c>
      <c r="AD26" s="8">
        <f t="shared" si="16"/>
        <v>93.80998999999774</v>
      </c>
      <c r="AF26" s="8">
        <f t="shared" si="18"/>
        <v>6.8833827526759706E-15</v>
      </c>
    </row>
    <row r="27" spans="1:32" x14ac:dyDescent="0.15">
      <c r="A27" s="28">
        <v>38526</v>
      </c>
      <c r="B27" s="7">
        <f>'[8]Jun Prod'!I26</f>
        <v>21700000.000000726</v>
      </c>
      <c r="C27" s="8">
        <f t="shared" si="1"/>
        <v>21.700000000000728</v>
      </c>
      <c r="D27" s="10">
        <f t="shared" si="2"/>
        <v>66.619000000002231</v>
      </c>
      <c r="E27" s="7">
        <f>'[8]Jun Prod'!E26</f>
        <v>18000000</v>
      </c>
      <c r="F27" s="8">
        <f t="shared" si="3"/>
        <v>18</v>
      </c>
      <c r="G27" s="10">
        <f t="shared" si="4"/>
        <v>55.26</v>
      </c>
      <c r="H27" s="7">
        <f>'[8]Jun Prod'!F26</f>
        <v>5000000</v>
      </c>
      <c r="I27" s="8">
        <f t="shared" si="5"/>
        <v>5</v>
      </c>
      <c r="J27" s="10">
        <f t="shared" si="6"/>
        <v>15.35</v>
      </c>
      <c r="K27" s="7">
        <f>'[8]Jun Prod'!H274</f>
        <v>1682150</v>
      </c>
      <c r="L27" s="8">
        <f t="shared" si="17"/>
        <v>1.68215</v>
      </c>
      <c r="M27" s="10">
        <f t="shared" si="7"/>
        <v>5.1642004999999997</v>
      </c>
      <c r="N27" s="21"/>
      <c r="O27" s="7">
        <f>'[8]Jun Prod'!H26</f>
        <v>9354000.0000000037</v>
      </c>
      <c r="P27" s="8">
        <f t="shared" si="8"/>
        <v>9.3540000000000045</v>
      </c>
      <c r="Q27" s="10">
        <f t="shared" si="9"/>
        <v>28.716780000000014</v>
      </c>
      <c r="R27" s="7">
        <f>'[8]Jun Prod'!C26</f>
        <v>9987000</v>
      </c>
      <c r="S27" s="8">
        <f t="shared" si="10"/>
        <v>9.9870000000000001</v>
      </c>
      <c r="T27" s="10">
        <f t="shared" si="11"/>
        <v>30.66009</v>
      </c>
      <c r="U27" s="7">
        <f>'[8]Jun Prod'!D26</f>
        <v>0</v>
      </c>
      <c r="V27" s="8">
        <f t="shared" si="12"/>
        <v>0</v>
      </c>
      <c r="W27" s="10">
        <f t="shared" si="13"/>
        <v>0</v>
      </c>
      <c r="X27" s="7">
        <f>'[8]Jun Prod'!D274</f>
        <v>632999.99999999558</v>
      </c>
      <c r="Y27" s="8">
        <f t="shared" si="14"/>
        <v>0.63299999999999557</v>
      </c>
      <c r="Z27" s="10">
        <f t="shared" si="15"/>
        <v>1.9433099999999863</v>
      </c>
      <c r="AA27" s="15"/>
      <c r="AB27" s="7">
        <f t="shared" si="16"/>
        <v>31054000.00000073</v>
      </c>
      <c r="AC27" s="8">
        <f t="shared" si="16"/>
        <v>31.054000000000734</v>
      </c>
      <c r="AD27" s="8">
        <f t="shared" si="16"/>
        <v>95.335780000002245</v>
      </c>
      <c r="AF27" s="8">
        <f t="shared" si="18"/>
        <v>0</v>
      </c>
    </row>
    <row r="28" spans="1:32" x14ac:dyDescent="0.15">
      <c r="A28" s="28">
        <v>38527</v>
      </c>
      <c r="B28" s="7">
        <f>'[8]Jun Prod'!I27</f>
        <v>24600000.000000365</v>
      </c>
      <c r="C28" s="8">
        <f t="shared" si="1"/>
        <v>24.600000000000364</v>
      </c>
      <c r="D28" s="10">
        <f t="shared" si="2"/>
        <v>75.522000000001114</v>
      </c>
      <c r="E28" s="7">
        <f>'[8]Jun Prod'!E27</f>
        <v>21000000</v>
      </c>
      <c r="F28" s="8">
        <f t="shared" si="3"/>
        <v>21</v>
      </c>
      <c r="G28" s="10">
        <f t="shared" si="4"/>
        <v>64.47</v>
      </c>
      <c r="H28" s="7">
        <f>'[8]Jun Prod'!F27</f>
        <v>5000000</v>
      </c>
      <c r="I28" s="8">
        <f t="shared" si="5"/>
        <v>5</v>
      </c>
      <c r="J28" s="10">
        <f t="shared" si="6"/>
        <v>15.35</v>
      </c>
      <c r="K28" s="7">
        <f>'[8]Jun Prod'!H275</f>
        <v>1638720</v>
      </c>
      <c r="L28" s="8">
        <f t="shared" si="17"/>
        <v>1.63872</v>
      </c>
      <c r="M28" s="10">
        <f t="shared" si="7"/>
        <v>5.0308703999999995</v>
      </c>
      <c r="N28" s="21"/>
      <c r="O28" s="7">
        <f>'[8]Jun Prod'!H27</f>
        <v>10515000</v>
      </c>
      <c r="P28" s="8">
        <f t="shared" si="8"/>
        <v>10.515000000000001</v>
      </c>
      <c r="Q28" s="10">
        <f t="shared" si="9"/>
        <v>32.28105</v>
      </c>
      <c r="R28" s="7">
        <f>'[8]Jun Prod'!C27</f>
        <v>11271000</v>
      </c>
      <c r="S28" s="8">
        <f t="shared" si="10"/>
        <v>11.271000000000001</v>
      </c>
      <c r="T28" s="10">
        <f t="shared" si="11"/>
        <v>34.601970000000001</v>
      </c>
      <c r="U28" s="7">
        <f>'[8]Jun Prod'!D27</f>
        <v>0</v>
      </c>
      <c r="V28" s="8">
        <f t="shared" si="12"/>
        <v>0</v>
      </c>
      <c r="W28" s="10">
        <f t="shared" si="13"/>
        <v>0</v>
      </c>
      <c r="X28" s="7">
        <f>'[8]Jun Prod'!D275</f>
        <v>756000.00000000023</v>
      </c>
      <c r="Y28" s="8">
        <f t="shared" si="14"/>
        <v>0.75600000000000023</v>
      </c>
      <c r="Z28" s="10">
        <f t="shared" si="15"/>
        <v>2.3209200000000005</v>
      </c>
      <c r="AA28" s="15"/>
      <c r="AB28" s="7">
        <f t="shared" si="16"/>
        <v>35115000.000000365</v>
      </c>
      <c r="AC28" s="8">
        <f t="shared" si="16"/>
        <v>35.115000000000364</v>
      </c>
      <c r="AD28" s="8">
        <f t="shared" si="16"/>
        <v>107.80305000000112</v>
      </c>
      <c r="AF28" s="8">
        <f t="shared" si="18"/>
        <v>0</v>
      </c>
    </row>
    <row r="29" spans="1:32" x14ac:dyDescent="0.15">
      <c r="A29" s="28">
        <v>38528</v>
      </c>
      <c r="B29" s="7">
        <f>'[8]Jun Prod'!I28</f>
        <v>22899999.999999635</v>
      </c>
      <c r="C29" s="8">
        <f t="shared" si="1"/>
        <v>22.899999999999636</v>
      </c>
      <c r="D29" s="10">
        <f t="shared" si="2"/>
        <v>70.302999999998875</v>
      </c>
      <c r="E29" s="7">
        <f>'[8]Jun Prod'!E28</f>
        <v>20000000</v>
      </c>
      <c r="F29" s="8">
        <f t="shared" si="3"/>
        <v>20</v>
      </c>
      <c r="G29" s="10">
        <f t="shared" si="4"/>
        <v>61.4</v>
      </c>
      <c r="H29" s="7">
        <f>'[8]Jun Prod'!F28</f>
        <v>5000000</v>
      </c>
      <c r="I29" s="8">
        <f t="shared" si="5"/>
        <v>5</v>
      </c>
      <c r="J29" s="10">
        <f t="shared" si="6"/>
        <v>15.35</v>
      </c>
      <c r="K29" s="7">
        <f>'[8]Jun Prod'!H276</f>
        <v>1552688</v>
      </c>
      <c r="L29" s="8">
        <f>K29/1000000</f>
        <v>1.5526880000000001</v>
      </c>
      <c r="M29" s="10">
        <f t="shared" si="7"/>
        <v>4.7667521600000002</v>
      </c>
      <c r="N29" s="21"/>
      <c r="O29" s="7">
        <f>'[8]Jun Prod'!H28</f>
        <v>10217000</v>
      </c>
      <c r="P29" s="8">
        <f t="shared" si="8"/>
        <v>10.217000000000001</v>
      </c>
      <c r="Q29" s="10">
        <f t="shared" si="9"/>
        <v>31.36619</v>
      </c>
      <c r="R29" s="7">
        <f>'[8]Jun Prod'!C28</f>
        <v>10805000</v>
      </c>
      <c r="S29" s="8">
        <f t="shared" si="10"/>
        <v>10.805</v>
      </c>
      <c r="T29" s="10">
        <f t="shared" si="11"/>
        <v>33.171349999999997</v>
      </c>
      <c r="U29" s="7">
        <f>'[8]Jun Prod'!D28</f>
        <v>0</v>
      </c>
      <c r="V29" s="8">
        <f t="shared" si="12"/>
        <v>0</v>
      </c>
      <c r="W29" s="10">
        <f t="shared" si="13"/>
        <v>0</v>
      </c>
      <c r="X29" s="7">
        <f>'[8]Jun Prod'!D276</f>
        <v>588000.00000000093</v>
      </c>
      <c r="Y29" s="8">
        <f t="shared" si="14"/>
        <v>0.58800000000000097</v>
      </c>
      <c r="Z29" s="10">
        <f t="shared" si="15"/>
        <v>1.8051600000000028</v>
      </c>
      <c r="AA29" s="15"/>
      <c r="AB29" s="7">
        <f t="shared" si="16"/>
        <v>33116999.999999635</v>
      </c>
      <c r="AC29" s="8">
        <f t="shared" si="16"/>
        <v>33.116999999999635</v>
      </c>
      <c r="AD29" s="8">
        <f t="shared" si="16"/>
        <v>101.66918999999888</v>
      </c>
      <c r="AF29" s="8">
        <f t="shared" si="18"/>
        <v>-5.5511151231257827E-15</v>
      </c>
    </row>
    <row r="30" spans="1:32" x14ac:dyDescent="0.15">
      <c r="A30" s="28">
        <v>38529</v>
      </c>
      <c r="B30" s="7">
        <f>'[8]Jun Prod'!I29</f>
        <v>25500000</v>
      </c>
      <c r="C30" s="8">
        <f t="shared" si="1"/>
        <v>25.5</v>
      </c>
      <c r="D30" s="10">
        <f t="shared" si="2"/>
        <v>78.284999999999997</v>
      </c>
      <c r="E30" s="7">
        <f>'[8]Jun Prod'!E29</f>
        <v>23000000</v>
      </c>
      <c r="F30" s="8">
        <f t="shared" si="3"/>
        <v>23</v>
      </c>
      <c r="G30" s="10">
        <f t="shared" si="4"/>
        <v>70.61</v>
      </c>
      <c r="H30" s="7">
        <f>'[8]Jun Prod'!F29</f>
        <v>5000000</v>
      </c>
      <c r="I30" s="8">
        <f t="shared" si="5"/>
        <v>5</v>
      </c>
      <c r="J30" s="10">
        <f t="shared" si="6"/>
        <v>15.35</v>
      </c>
      <c r="K30" s="7">
        <f>'[8]Jun Prod'!H277</f>
        <v>1637254</v>
      </c>
      <c r="L30" s="8">
        <f t="shared" si="17"/>
        <v>1.637254</v>
      </c>
      <c r="M30" s="10">
        <f t="shared" si="7"/>
        <v>5.0263697799999996</v>
      </c>
      <c r="N30" s="21"/>
      <c r="O30" s="7">
        <f>'[8]Jun Prod'!H29</f>
        <v>10663999.999999998</v>
      </c>
      <c r="P30" s="8">
        <f t="shared" si="8"/>
        <v>10.663999999999998</v>
      </c>
      <c r="Q30" s="10">
        <f t="shared" si="9"/>
        <v>32.738479999999988</v>
      </c>
      <c r="R30" s="7">
        <f>'[8]Jun Prod'!C29</f>
        <v>11349000</v>
      </c>
      <c r="S30" s="8">
        <f t="shared" si="10"/>
        <v>11.349</v>
      </c>
      <c r="T30" s="10">
        <f t="shared" si="11"/>
        <v>34.841429999999995</v>
      </c>
      <c r="U30" s="7">
        <f>'[8]Jun Prod'!D29</f>
        <v>0</v>
      </c>
      <c r="V30" s="8">
        <f t="shared" si="12"/>
        <v>0</v>
      </c>
      <c r="W30" s="10">
        <f t="shared" si="13"/>
        <v>0</v>
      </c>
      <c r="X30" s="7">
        <f>'[8]Jun Prod'!D277</f>
        <v>685000.00000000233</v>
      </c>
      <c r="Y30" s="8">
        <f t="shared" si="14"/>
        <v>0.68500000000000227</v>
      </c>
      <c r="Z30" s="10">
        <f t="shared" si="15"/>
        <v>2.102950000000007</v>
      </c>
      <c r="AA30" s="15"/>
      <c r="AB30" s="7">
        <f t="shared" si="16"/>
        <v>36164000</v>
      </c>
      <c r="AC30" s="8">
        <f t="shared" si="16"/>
        <v>36.164000000000001</v>
      </c>
      <c r="AD30" s="8">
        <f t="shared" si="16"/>
        <v>111.02347999999998</v>
      </c>
      <c r="AF30" s="8">
        <f t="shared" si="18"/>
        <v>0</v>
      </c>
    </row>
    <row r="31" spans="1:32" x14ac:dyDescent="0.15">
      <c r="A31" s="28">
        <v>38530</v>
      </c>
      <c r="B31" s="7">
        <f>'[8]Jun Prod'!I30</f>
        <v>25200000.000000726</v>
      </c>
      <c r="C31" s="8">
        <f t="shared" si="1"/>
        <v>25.200000000000728</v>
      </c>
      <c r="D31" s="10">
        <f t="shared" si="2"/>
        <v>77.364000000002235</v>
      </c>
      <c r="E31" s="7">
        <f>'[8]Jun Prod'!E30</f>
        <v>22000000</v>
      </c>
      <c r="F31" s="8">
        <f t="shared" si="3"/>
        <v>22</v>
      </c>
      <c r="G31" s="10">
        <f t="shared" si="4"/>
        <v>67.539999999999992</v>
      </c>
      <c r="H31" s="7">
        <f>'[8]Jun Prod'!F30</f>
        <v>5000000</v>
      </c>
      <c r="I31" s="8">
        <f t="shared" si="5"/>
        <v>5</v>
      </c>
      <c r="J31" s="10">
        <f t="shared" si="6"/>
        <v>15.35</v>
      </c>
      <c r="K31" s="7">
        <f>'[8]Jun Prod'!H278</f>
        <v>12548</v>
      </c>
      <c r="L31" s="8">
        <f t="shared" si="17"/>
        <v>1.2548E-2</v>
      </c>
      <c r="M31" s="10">
        <f t="shared" si="7"/>
        <v>3.8522359999999999E-2</v>
      </c>
      <c r="N31" s="21"/>
      <c r="O31" s="7">
        <f>'[8]Jun Prod'!H30</f>
        <v>10525999.999999998</v>
      </c>
      <c r="P31" s="8">
        <f t="shared" si="8"/>
        <v>10.525999999999998</v>
      </c>
      <c r="Q31" s="10">
        <f t="shared" si="9"/>
        <v>32.31481999999999</v>
      </c>
      <c r="R31" s="7">
        <f>'[8]Jun Prod'!C30</f>
        <v>11161000</v>
      </c>
      <c r="S31" s="8">
        <f t="shared" si="10"/>
        <v>11.161</v>
      </c>
      <c r="T31" s="10">
        <f t="shared" si="11"/>
        <v>34.264269999999996</v>
      </c>
      <c r="U31" s="7">
        <f>'[8]Jun Prod'!D30</f>
        <v>44000</v>
      </c>
      <c r="V31" s="8">
        <f t="shared" si="12"/>
        <v>4.3999999999999997E-2</v>
      </c>
      <c r="W31" s="10">
        <f t="shared" si="13"/>
        <v>0.13507999999999998</v>
      </c>
      <c r="X31" s="7">
        <f>'[8]Jun Prod'!D278</f>
        <v>591000.00000000105</v>
      </c>
      <c r="Y31" s="8">
        <f t="shared" si="14"/>
        <v>0.59100000000000108</v>
      </c>
      <c r="Z31" s="10">
        <f t="shared" si="15"/>
        <v>1.8143700000000031</v>
      </c>
      <c r="AA31" s="15"/>
      <c r="AB31" s="7">
        <f t="shared" si="16"/>
        <v>35726000.000000723</v>
      </c>
      <c r="AC31" s="8">
        <f t="shared" si="16"/>
        <v>35.726000000000724</v>
      </c>
      <c r="AD31" s="8">
        <f t="shared" si="16"/>
        <v>109.67882000000222</v>
      </c>
      <c r="AF31" s="8">
        <f t="shared" si="18"/>
        <v>0.13508000000000275</v>
      </c>
    </row>
    <row r="32" spans="1:32" x14ac:dyDescent="0.15">
      <c r="A32" s="28">
        <v>38531</v>
      </c>
      <c r="B32" s="7">
        <f>'[8]Jun Prod'!I31</f>
        <v>24399999.999999635</v>
      </c>
      <c r="C32" s="8">
        <f t="shared" si="1"/>
        <v>24.399999999999636</v>
      </c>
      <c r="D32" s="10">
        <f t="shared" si="2"/>
        <v>74.907999999998879</v>
      </c>
      <c r="E32" s="7">
        <f>'[8]Jun Prod'!E31</f>
        <v>21000000</v>
      </c>
      <c r="F32" s="8">
        <f t="shared" si="3"/>
        <v>21</v>
      </c>
      <c r="G32" s="10">
        <f t="shared" si="4"/>
        <v>64.47</v>
      </c>
      <c r="H32" s="7">
        <f>'[8]Jun Prod'!F31</f>
        <v>5000000</v>
      </c>
      <c r="I32" s="8">
        <f t="shared" si="5"/>
        <v>5</v>
      </c>
      <c r="J32" s="10">
        <f t="shared" si="6"/>
        <v>15.35</v>
      </c>
      <c r="K32" s="7">
        <f>'[8]Jun Prod'!H279</f>
        <v>1688253</v>
      </c>
      <c r="L32" s="8">
        <f t="shared" si="17"/>
        <v>1.688253</v>
      </c>
      <c r="M32" s="10">
        <f t="shared" si="7"/>
        <v>5.1829367099999999</v>
      </c>
      <c r="N32" s="21"/>
      <c r="O32" s="7">
        <f>'[8]Jun Prod'!H31</f>
        <v>9700000.0000000019</v>
      </c>
      <c r="P32" s="8">
        <f t="shared" si="8"/>
        <v>9.7000000000000011</v>
      </c>
      <c r="Q32" s="10">
        <f t="shared" si="9"/>
        <v>29.779000000000003</v>
      </c>
      <c r="R32" s="7">
        <f>'[8]Jun Prod'!C31</f>
        <v>12097000</v>
      </c>
      <c r="S32" s="8">
        <f t="shared" si="10"/>
        <v>12.097</v>
      </c>
      <c r="T32" s="10">
        <f t="shared" si="11"/>
        <v>37.137789999999995</v>
      </c>
      <c r="U32" s="7">
        <f>'[8]Jun Prod'!D31</f>
        <v>1707000</v>
      </c>
      <c r="V32" s="8">
        <f t="shared" si="12"/>
        <v>1.7070000000000001</v>
      </c>
      <c r="W32" s="10">
        <f t="shared" si="13"/>
        <v>5.2404900000000003</v>
      </c>
      <c r="X32" s="7">
        <f>'[8]Jun Prod'!D279</f>
        <v>689999.99999999767</v>
      </c>
      <c r="Y32" s="8">
        <f t="shared" si="14"/>
        <v>0.68999999999999773</v>
      </c>
      <c r="Z32" s="10">
        <f t="shared" si="15"/>
        <v>2.118299999999993</v>
      </c>
      <c r="AA32" s="15"/>
      <c r="AB32" s="7">
        <f t="shared" si="16"/>
        <v>34099999.999999635</v>
      </c>
      <c r="AC32" s="8">
        <f>C32+P32</f>
        <v>34.099999999999639</v>
      </c>
      <c r="AD32" s="8">
        <f>D32+Q32</f>
        <v>104.68699999999887</v>
      </c>
      <c r="AF32" s="8">
        <f t="shared" si="18"/>
        <v>5.2404899999999994</v>
      </c>
    </row>
    <row r="33" spans="1:32" x14ac:dyDescent="0.15">
      <c r="A33" s="28">
        <v>38532</v>
      </c>
      <c r="B33" s="7">
        <f>'[8]Jun Prod'!I32</f>
        <v>28100000.000000365</v>
      </c>
      <c r="C33" s="8">
        <f t="shared" si="1"/>
        <v>28.100000000000364</v>
      </c>
      <c r="D33" s="10">
        <f t="shared" si="2"/>
        <v>86.267000000001119</v>
      </c>
      <c r="E33" s="7">
        <f>'[8]Jun Prod'!E32</f>
        <v>24000000</v>
      </c>
      <c r="F33" s="8">
        <f t="shared" si="3"/>
        <v>24</v>
      </c>
      <c r="G33" s="10">
        <f t="shared" si="4"/>
        <v>73.679999999999993</v>
      </c>
      <c r="H33" s="7">
        <f>'[8]Jun Prod'!F32</f>
        <v>5000000</v>
      </c>
      <c r="I33" s="8">
        <f t="shared" si="5"/>
        <v>5</v>
      </c>
      <c r="J33" s="10">
        <f t="shared" si="6"/>
        <v>15.35</v>
      </c>
      <c r="K33" s="7">
        <f>'[8]Jun Prod'!H280</f>
        <v>1637924</v>
      </c>
      <c r="L33" s="8">
        <f t="shared" si="17"/>
        <v>1.6379239999999999</v>
      </c>
      <c r="M33" s="10">
        <f t="shared" si="7"/>
        <v>5.0284266799999999</v>
      </c>
      <c r="N33" s="21"/>
      <c r="O33" s="7">
        <f>'[8]Jun Prod'!H32</f>
        <v>11540999.999999998</v>
      </c>
      <c r="P33" s="8">
        <f t="shared" si="8"/>
        <v>11.540999999999999</v>
      </c>
      <c r="Q33" s="10">
        <f t="shared" si="9"/>
        <v>35.430869999999992</v>
      </c>
      <c r="R33" s="7">
        <f>'[8]Jun Prod'!C32</f>
        <v>15304000</v>
      </c>
      <c r="S33" s="8">
        <f t="shared" si="10"/>
        <v>15.304</v>
      </c>
      <c r="T33" s="10">
        <f t="shared" si="11"/>
        <v>46.983280000000001</v>
      </c>
      <c r="U33" s="7">
        <f>'[8]Jun Prod'!D32</f>
        <v>3035000</v>
      </c>
      <c r="V33" s="8">
        <f t="shared" si="12"/>
        <v>3.0350000000000001</v>
      </c>
      <c r="W33" s="10">
        <f t="shared" si="13"/>
        <v>9.3174499999999991</v>
      </c>
      <c r="X33" s="7">
        <f>'[8]Jun Prod'!D280</f>
        <v>728000.00000000151</v>
      </c>
      <c r="Y33" s="8">
        <f t="shared" si="14"/>
        <v>0.72800000000000153</v>
      </c>
      <c r="Z33" s="10">
        <f t="shared" si="15"/>
        <v>2.2349600000000045</v>
      </c>
      <c r="AA33" s="15"/>
      <c r="AB33" s="7">
        <f t="shared" si="16"/>
        <v>39641000.000000365</v>
      </c>
      <c r="AC33" s="8">
        <f t="shared" si="16"/>
        <v>39.641000000000361</v>
      </c>
      <c r="AD33" s="8">
        <f t="shared" si="16"/>
        <v>121.6978700000011</v>
      </c>
      <c r="AF33" s="8">
        <f t="shared" si="18"/>
        <v>9.3174500000000045</v>
      </c>
    </row>
    <row r="34" spans="1:32" ht="14" thickBot="1" x14ac:dyDescent="0.2">
      <c r="A34" s="28">
        <v>38533</v>
      </c>
      <c r="B34" s="7">
        <f>'[8]Jun Prod'!I33</f>
        <v>21500000</v>
      </c>
      <c r="C34" s="8">
        <f t="shared" si="1"/>
        <v>21.5</v>
      </c>
      <c r="D34" s="10">
        <f t="shared" si="2"/>
        <v>66.004999999999995</v>
      </c>
      <c r="E34" s="7">
        <f>'[8]Jun Prod'!E33</f>
        <v>19000000</v>
      </c>
      <c r="F34" s="8">
        <f t="shared" si="3"/>
        <v>19</v>
      </c>
      <c r="G34" s="10">
        <f t="shared" si="4"/>
        <v>58.33</v>
      </c>
      <c r="H34" s="7">
        <f>'[8]Jun Prod'!F33</f>
        <v>5000000</v>
      </c>
      <c r="I34" s="8">
        <f t="shared" si="5"/>
        <v>5</v>
      </c>
      <c r="J34" s="10">
        <f t="shared" si="6"/>
        <v>15.35</v>
      </c>
      <c r="K34" s="7">
        <f>'[8]Jun Prod'!H281</f>
        <v>1352524</v>
      </c>
      <c r="L34" s="8">
        <f t="shared" si="17"/>
        <v>1.3525240000000001</v>
      </c>
      <c r="M34" s="10">
        <f t="shared" si="7"/>
        <v>4.1522486799999996</v>
      </c>
      <c r="N34" s="21"/>
      <c r="O34" s="7">
        <f>'[8]Jun Prod'!H33</f>
        <v>8668999.9999999981</v>
      </c>
      <c r="P34" s="8">
        <f t="shared" si="8"/>
        <v>8.6689999999999987</v>
      </c>
      <c r="Q34" s="10">
        <f t="shared" si="9"/>
        <v>26.613829999999993</v>
      </c>
      <c r="R34" s="7">
        <f>'[8]Jun Prod'!C33</f>
        <v>12359000</v>
      </c>
      <c r="S34" s="8">
        <f t="shared" si="10"/>
        <v>12.359</v>
      </c>
      <c r="T34" s="10">
        <f t="shared" si="11"/>
        <v>37.942129999999999</v>
      </c>
      <c r="U34" s="7">
        <f>'[8]Jun Prod'!D33</f>
        <v>3032000</v>
      </c>
      <c r="V34" s="8">
        <f t="shared" si="12"/>
        <v>3.032</v>
      </c>
      <c r="W34" s="10">
        <f t="shared" si="13"/>
        <v>9.3082399999999996</v>
      </c>
      <c r="X34" s="7">
        <f>'[8]Jun Prod'!D281</f>
        <v>658000.00000000128</v>
      </c>
      <c r="Y34" s="8">
        <f t="shared" si="14"/>
        <v>0.65800000000000125</v>
      </c>
      <c r="Z34" s="10">
        <f t="shared" si="15"/>
        <v>2.0200600000000035</v>
      </c>
      <c r="AA34" s="15"/>
      <c r="AB34" s="7">
        <f t="shared" si="16"/>
        <v>30169000</v>
      </c>
      <c r="AC34" s="8">
        <f t="shared" si="16"/>
        <v>30.168999999999997</v>
      </c>
      <c r="AD34" s="8">
        <f t="shared" si="16"/>
        <v>92.618829999999988</v>
      </c>
      <c r="AF34" s="8">
        <f t="shared" si="18"/>
        <v>9.3082400000000014</v>
      </c>
    </row>
    <row r="35" spans="1:32" ht="14" thickBot="1" x14ac:dyDescent="0.2">
      <c r="A35" s="3"/>
      <c r="B35" s="39"/>
      <c r="C35" s="40">
        <f>SUM(C5:C34)</f>
        <v>663.10000000000036</v>
      </c>
      <c r="D35" s="40">
        <f t="shared" si="2"/>
        <v>2035.717000000001</v>
      </c>
      <c r="E35" s="39"/>
      <c r="F35" s="40">
        <f>SUM(F5:F34)</f>
        <v>618</v>
      </c>
      <c r="G35" s="40">
        <f t="shared" si="4"/>
        <v>1897.26</v>
      </c>
      <c r="H35" s="39"/>
      <c r="I35" s="40">
        <f>SUM(I5:I34)</f>
        <v>87</v>
      </c>
      <c r="J35" s="40">
        <f t="shared" si="6"/>
        <v>267.08999999999997</v>
      </c>
      <c r="K35" s="39"/>
      <c r="L35" s="40">
        <f>SUM(L5:L34)</f>
        <v>35.944352000000002</v>
      </c>
      <c r="M35" s="40">
        <f t="shared" si="7"/>
        <v>110.34916063999999</v>
      </c>
      <c r="N35" s="14"/>
      <c r="O35" s="39"/>
      <c r="P35" s="40">
        <f>SUM(P5:P34)</f>
        <v>288.161</v>
      </c>
      <c r="Q35" s="40">
        <f t="shared" si="9"/>
        <v>884.65427</v>
      </c>
      <c r="R35" s="39"/>
      <c r="S35" s="40">
        <f>SUM(S5:S34)</f>
        <v>316.61199999999991</v>
      </c>
      <c r="T35" s="40">
        <f t="shared" si="11"/>
        <v>971.99883999999963</v>
      </c>
      <c r="U35" s="39"/>
      <c r="V35" s="40">
        <f>SUM(V5:V34)</f>
        <v>7.8180000000000005</v>
      </c>
      <c r="W35" s="40">
        <f t="shared" si="13"/>
        <v>24.001260000000002</v>
      </c>
      <c r="X35" s="39"/>
      <c r="Y35" s="40">
        <f>SUM(Y5:Y34)</f>
        <v>20.633000000000003</v>
      </c>
      <c r="Z35" s="40">
        <f t="shared" si="15"/>
        <v>63.343310000000002</v>
      </c>
      <c r="AA35" s="14"/>
      <c r="AB35" s="39"/>
      <c r="AC35" s="40">
        <f>SUM(AC5:AC34)</f>
        <v>951.26100000000054</v>
      </c>
      <c r="AD35" s="40">
        <f>AC35*3.07</f>
        <v>2920.3712700000015</v>
      </c>
      <c r="AF35" s="40">
        <f>SUM(AF5:AF34)</f>
        <v>24.001259999999991</v>
      </c>
    </row>
    <row r="36" spans="1:32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  <c r="AF36" s="31"/>
    </row>
    <row r="43" spans="1:32" x14ac:dyDescent="0.1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J37"/>
  <sheetViews>
    <sheetView workbookViewId="0">
      <pane xSplit="1" ySplit="4" topLeftCell="J6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Q38" sqref="Q38"/>
    </sheetView>
  </sheetViews>
  <sheetFormatPr baseColWidth="10" defaultColWidth="8.83203125" defaultRowHeight="13" x14ac:dyDescent="0.15"/>
  <cols>
    <col min="2" max="2" width="11.1640625" customWidth="1"/>
    <col min="5" max="5" width="11.33203125" customWidth="1"/>
    <col min="8" max="8" width="11.1640625" customWidth="1"/>
    <col min="11" max="11" width="13.5" bestFit="1" customWidth="1"/>
    <col min="12" max="12" width="11.5" customWidth="1"/>
    <col min="15" max="15" width="11.1640625" customWidth="1"/>
    <col min="17" max="17" width="12.5" bestFit="1" customWidth="1"/>
    <col min="18" max="18" width="11.1640625" customWidth="1"/>
    <col min="22" max="22" width="10.5" customWidth="1"/>
    <col min="28" max="31" width="0" hidden="1" customWidth="1"/>
    <col min="32" max="32" width="12.1640625" customWidth="1"/>
  </cols>
  <sheetData>
    <row r="1" spans="1:36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6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6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5</v>
      </c>
      <c r="AC3" s="47"/>
      <c r="AD3" s="48"/>
      <c r="AF3" s="49" t="s">
        <v>8</v>
      </c>
      <c r="AG3" s="50"/>
      <c r="AH3" s="51"/>
      <c r="AJ3" s="35" t="s">
        <v>9</v>
      </c>
    </row>
    <row r="4" spans="1:36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6" t="s">
        <v>0</v>
      </c>
      <c r="AG4" s="37" t="s">
        <v>1</v>
      </c>
      <c r="AH4" s="38" t="s">
        <v>2</v>
      </c>
      <c r="AJ4" s="5" t="s">
        <v>2</v>
      </c>
    </row>
    <row r="5" spans="1:36" x14ac:dyDescent="0.15">
      <c r="A5" s="28">
        <v>38534</v>
      </c>
      <c r="B5" s="7">
        <f>'[9]Jul Prod'!I4</f>
        <v>23500000</v>
      </c>
      <c r="C5" s="8">
        <f>B5/1000000</f>
        <v>23.5</v>
      </c>
      <c r="D5" s="10">
        <f>C5*3.07</f>
        <v>72.144999999999996</v>
      </c>
      <c r="E5" s="7">
        <f>'[9]Jul Prod'!E4</f>
        <v>21000000</v>
      </c>
      <c r="F5" s="8">
        <f>E5/1000000</f>
        <v>21</v>
      </c>
      <c r="G5" s="10">
        <f>F5*3.07</f>
        <v>64.47</v>
      </c>
      <c r="H5" s="7">
        <f>'[9]Jul Prod'!F4</f>
        <v>5000000</v>
      </c>
      <c r="I5" s="8">
        <f>H5/1000000</f>
        <v>5</v>
      </c>
      <c r="J5" s="10">
        <f>I5*3.07</f>
        <v>15.35</v>
      </c>
      <c r="K5" s="7">
        <f>'[9]Jul Prod'!H259</f>
        <v>1875000</v>
      </c>
      <c r="L5" s="8">
        <f>K5/1000000</f>
        <v>1.875</v>
      </c>
      <c r="M5" s="10">
        <f>L5*3.07</f>
        <v>5.7562499999999996</v>
      </c>
      <c r="N5" s="21"/>
      <c r="O5" s="7">
        <f>'[9]Jul Prod'!H4</f>
        <v>10412000.000000006</v>
      </c>
      <c r="P5" s="8">
        <f>O5/1000000</f>
        <v>10.412000000000006</v>
      </c>
      <c r="Q5" s="10">
        <f>P5*3.07</f>
        <v>31.964840000000017</v>
      </c>
      <c r="R5" s="7">
        <f>'[9]Jul Prod'!C4</f>
        <v>14156000</v>
      </c>
      <c r="S5" s="8">
        <f>R5/1000000</f>
        <v>14.156000000000001</v>
      </c>
      <c r="T5" s="10">
        <f>S5*3.07</f>
        <v>43.458919999999999</v>
      </c>
      <c r="U5" s="7">
        <f>'[9]Jul Prod'!D4</f>
        <v>3007000</v>
      </c>
      <c r="V5" s="8">
        <f>U5/1000000</f>
        <v>3.0070000000000001</v>
      </c>
      <c r="W5" s="10">
        <f>V5*3.07</f>
        <v>9.2314899999999991</v>
      </c>
      <c r="X5" s="7">
        <f>'[9]Jul Prod'!D259</f>
        <v>736999.99999999476</v>
      </c>
      <c r="Y5" s="8">
        <f>X5/1000000</f>
        <v>0.73699999999999477</v>
      </c>
      <c r="Z5" s="10">
        <f>Y5*3.07</f>
        <v>2.2625899999999839</v>
      </c>
      <c r="AA5" s="15"/>
      <c r="AB5" s="7">
        <f>'[9]Jul Prod'!G4</f>
        <v>0</v>
      </c>
      <c r="AC5" s="8">
        <f>AB5/1000000</f>
        <v>0</v>
      </c>
      <c r="AD5" s="10">
        <f>AC5*3.07</f>
        <v>0</v>
      </c>
      <c r="AF5" s="7">
        <f>B5+O5</f>
        <v>33912000.000000007</v>
      </c>
      <c r="AG5" s="8">
        <f>C5+P5</f>
        <v>33.912000000000006</v>
      </c>
      <c r="AH5" s="8">
        <f>D5+Q5</f>
        <v>104.10984000000002</v>
      </c>
      <c r="AJ5" s="8">
        <f t="shared" ref="AJ5:AJ14" si="0">T5-Q5-Z5</f>
        <v>9.2314899999999991</v>
      </c>
    </row>
    <row r="6" spans="1:36" x14ac:dyDescent="0.15">
      <c r="A6" s="28">
        <v>38535</v>
      </c>
      <c r="B6" s="7">
        <f>'[9]Jul Prod'!I5</f>
        <v>26599999.999998543</v>
      </c>
      <c r="C6" s="8">
        <f t="shared" ref="C6:C35" si="1">B6/1000000</f>
        <v>26.599999999998545</v>
      </c>
      <c r="D6" s="10">
        <f t="shared" ref="D6:D36" si="2">C6*3.07</f>
        <v>81.66199999999553</v>
      </c>
      <c r="E6" s="7">
        <f>'[9]Jul Prod'!E5</f>
        <v>23000000</v>
      </c>
      <c r="F6" s="8">
        <f t="shared" ref="F6:F35" si="3">E6/1000000</f>
        <v>23</v>
      </c>
      <c r="G6" s="10">
        <f t="shared" ref="G6:G36" si="4">F6*3.07</f>
        <v>70.61</v>
      </c>
      <c r="H6" s="7">
        <f>'[9]Jul Prod'!F5</f>
        <v>5000000</v>
      </c>
      <c r="I6" s="8">
        <f t="shared" ref="I6:I35" si="5">H6/1000000</f>
        <v>5</v>
      </c>
      <c r="J6" s="10">
        <f t="shared" ref="J6:J36" si="6">I6*3.07</f>
        <v>15.35</v>
      </c>
      <c r="K6" s="7">
        <f>'[9]Jul Prod'!H260</f>
        <v>1738524</v>
      </c>
      <c r="L6" s="8">
        <f t="shared" ref="L6:L35" si="7">K6/1000000</f>
        <v>1.738524</v>
      </c>
      <c r="M6" s="10">
        <f t="shared" ref="M6:M36" si="8">L6*3.07</f>
        <v>5.3372686799999993</v>
      </c>
      <c r="N6" s="21"/>
      <c r="O6" s="7">
        <f>'[9]Jul Prod'!H5</f>
        <v>11375999.999999996</v>
      </c>
      <c r="P6" s="8">
        <f t="shared" ref="P6:P35" si="9">O6/1000000</f>
        <v>11.375999999999996</v>
      </c>
      <c r="Q6" s="10">
        <f t="shared" ref="Q6:Q36" si="10">P6*3.07</f>
        <v>34.924319999999987</v>
      </c>
      <c r="R6" s="7">
        <f>'[9]Jul Prod'!C5</f>
        <v>15133000</v>
      </c>
      <c r="S6" s="8">
        <f t="shared" ref="S6:S35" si="11">R6/1000000</f>
        <v>15.132999999999999</v>
      </c>
      <c r="T6" s="10">
        <f t="shared" ref="T6:T36" si="12">S6*3.07</f>
        <v>46.458309999999997</v>
      </c>
      <c r="U6" s="7">
        <f>'[9]Jul Prod'!D5</f>
        <v>3030000</v>
      </c>
      <c r="V6" s="8">
        <f t="shared" ref="V6:V35" si="13">U6/1000000</f>
        <v>3.03</v>
      </c>
      <c r="W6" s="10">
        <f t="shared" ref="W6:W36" si="14">V6*3.07</f>
        <v>9.3020999999999994</v>
      </c>
      <c r="X6" s="7">
        <f>'[9]Jul Prod'!D260</f>
        <v>727000.00000000384</v>
      </c>
      <c r="Y6" s="8">
        <f t="shared" ref="Y6:Y35" si="15">X6/1000000</f>
        <v>0.72700000000000387</v>
      </c>
      <c r="Z6" s="10">
        <f t="shared" ref="Z6:Z36" si="16">Y6*3.07</f>
        <v>2.2318900000000119</v>
      </c>
      <c r="AA6" s="15"/>
      <c r="AB6" s="7">
        <f>'[9]Jul Prod'!G5</f>
        <v>0</v>
      </c>
      <c r="AC6" s="8">
        <f t="shared" ref="AC6:AC35" si="17">AB6/1000000</f>
        <v>0</v>
      </c>
      <c r="AD6" s="10">
        <f t="shared" ref="AD6:AD36" si="18">AC6*3.07</f>
        <v>0</v>
      </c>
      <c r="AF6" s="7">
        <f t="shared" ref="AF6:AF35" si="19">B6+O6</f>
        <v>37975999.99999854</v>
      </c>
      <c r="AG6" s="8">
        <f t="shared" ref="AG6:AG35" si="20">C6+P6</f>
        <v>37.975999999998542</v>
      </c>
      <c r="AH6" s="8">
        <f t="shared" ref="AH6:AH35" si="21">D6+Q6</f>
        <v>116.58631999999551</v>
      </c>
      <c r="AJ6" s="8">
        <f t="shared" si="0"/>
        <v>9.3020999999999976</v>
      </c>
    </row>
    <row r="7" spans="1:36" x14ac:dyDescent="0.15">
      <c r="A7" s="28">
        <v>38536</v>
      </c>
      <c r="B7" s="7">
        <f>'[9]Jul Prod'!I6</f>
        <v>24800000.000001092</v>
      </c>
      <c r="C7" s="8">
        <f t="shared" si="1"/>
        <v>24.800000000001091</v>
      </c>
      <c r="D7" s="10">
        <f t="shared" si="2"/>
        <v>76.136000000003349</v>
      </c>
      <c r="E7" s="7">
        <f>'[9]Jul Prod'!E6</f>
        <v>21000000</v>
      </c>
      <c r="F7" s="8">
        <f t="shared" si="3"/>
        <v>21</v>
      </c>
      <c r="G7" s="10">
        <f t="shared" si="4"/>
        <v>64.47</v>
      </c>
      <c r="H7" s="7">
        <f>'[9]Jul Prod'!F6</f>
        <v>5000000</v>
      </c>
      <c r="I7" s="8">
        <f t="shared" si="5"/>
        <v>5</v>
      </c>
      <c r="J7" s="10">
        <f t="shared" si="6"/>
        <v>15.35</v>
      </c>
      <c r="K7" s="7">
        <f>'[9]Jul Prod'!H261</f>
        <v>1637237</v>
      </c>
      <c r="L7" s="8">
        <f t="shared" si="7"/>
        <v>1.6372370000000001</v>
      </c>
      <c r="M7" s="10">
        <f t="shared" si="8"/>
        <v>5.0263175899999997</v>
      </c>
      <c r="N7" s="21"/>
      <c r="O7" s="7">
        <f>'[9]Jul Prod'!H6</f>
        <v>9109999.9999999981</v>
      </c>
      <c r="P7" s="8">
        <f t="shared" si="9"/>
        <v>9.1099999999999977</v>
      </c>
      <c r="Q7" s="10">
        <f t="shared" si="10"/>
        <v>27.96769999999999</v>
      </c>
      <c r="R7" s="7">
        <f>'[9]Jul Prod'!C6</f>
        <v>12822000</v>
      </c>
      <c r="S7" s="8">
        <f t="shared" si="11"/>
        <v>12.821999999999999</v>
      </c>
      <c r="T7" s="10">
        <f t="shared" si="12"/>
        <v>39.363539999999993</v>
      </c>
      <c r="U7" s="7">
        <f>'[9]Jul Prod'!D6</f>
        <v>3042000</v>
      </c>
      <c r="V7" s="8">
        <f t="shared" si="13"/>
        <v>3.0419999999999998</v>
      </c>
      <c r="W7" s="10">
        <f t="shared" si="14"/>
        <v>9.3389399999999991</v>
      </c>
      <c r="X7" s="7">
        <f>'[9]Jul Prod'!D261</f>
        <v>670000.00000000175</v>
      </c>
      <c r="Y7" s="8">
        <f t="shared" si="15"/>
        <v>0.67000000000000171</v>
      </c>
      <c r="Z7" s="10">
        <f t="shared" si="16"/>
        <v>2.0569000000000051</v>
      </c>
      <c r="AA7" s="15"/>
      <c r="AB7" s="7">
        <f>'[9]Jul Prod'!G6</f>
        <v>0</v>
      </c>
      <c r="AC7" s="8">
        <f t="shared" si="17"/>
        <v>0</v>
      </c>
      <c r="AD7" s="10">
        <f t="shared" si="18"/>
        <v>0</v>
      </c>
      <c r="AF7" s="7">
        <f t="shared" si="19"/>
        <v>33910000.000001088</v>
      </c>
      <c r="AG7" s="8">
        <f t="shared" si="20"/>
        <v>33.910000000001091</v>
      </c>
      <c r="AH7" s="8">
        <f t="shared" si="21"/>
        <v>104.10370000000334</v>
      </c>
      <c r="AJ7" s="8">
        <f t="shared" si="0"/>
        <v>9.3389399999999974</v>
      </c>
    </row>
    <row r="8" spans="1:36" x14ac:dyDescent="0.15">
      <c r="A8" s="28">
        <v>38537</v>
      </c>
      <c r="B8" s="7">
        <f>'[9]Jul Prod'!I7</f>
        <v>26299999.999999274</v>
      </c>
      <c r="C8" s="8">
        <f t="shared" si="1"/>
        <v>26.299999999999272</v>
      </c>
      <c r="D8" s="10">
        <f t="shared" si="2"/>
        <v>80.740999999997769</v>
      </c>
      <c r="E8" s="7">
        <f>'[9]Jul Prod'!E7</f>
        <v>23000000</v>
      </c>
      <c r="F8" s="8">
        <f t="shared" si="3"/>
        <v>23</v>
      </c>
      <c r="G8" s="10">
        <f t="shared" si="4"/>
        <v>70.61</v>
      </c>
      <c r="H8" s="7">
        <f>'[9]Jul Prod'!F7</f>
        <v>5000000</v>
      </c>
      <c r="I8" s="8">
        <f t="shared" si="5"/>
        <v>5</v>
      </c>
      <c r="J8" s="10">
        <f t="shared" si="6"/>
        <v>15.35</v>
      </c>
      <c r="K8" s="7">
        <f>'[9]Jul Prod'!H262</f>
        <v>1495038</v>
      </c>
      <c r="L8" s="8">
        <f t="shared" si="7"/>
        <v>1.4950380000000001</v>
      </c>
      <c r="M8" s="10">
        <f t="shared" si="8"/>
        <v>4.5897666600000004</v>
      </c>
      <c r="N8" s="21"/>
      <c r="O8" s="7">
        <f>'[9]Jul Prod'!H7</f>
        <v>10928000.000000002</v>
      </c>
      <c r="P8" s="8">
        <f t="shared" si="9"/>
        <v>10.928000000000003</v>
      </c>
      <c r="Q8" s="10">
        <f t="shared" si="10"/>
        <v>33.548960000000008</v>
      </c>
      <c r="R8" s="7">
        <f>'[9]Jul Prod'!C7</f>
        <v>14268000</v>
      </c>
      <c r="S8" s="8">
        <f t="shared" si="11"/>
        <v>14.268000000000001</v>
      </c>
      <c r="T8" s="10">
        <f t="shared" si="12"/>
        <v>43.802759999999999</v>
      </c>
      <c r="U8" s="7">
        <f>'[9]Jul Prod'!D7</f>
        <v>3004000</v>
      </c>
      <c r="V8" s="8">
        <f t="shared" si="13"/>
        <v>3.004</v>
      </c>
      <c r="W8" s="10">
        <f t="shared" si="14"/>
        <v>9.2222799999999996</v>
      </c>
      <c r="X8" s="7">
        <f>'[9]Jul Prod'!D262</f>
        <v>335999.99999999854</v>
      </c>
      <c r="Y8" s="8">
        <f t="shared" si="15"/>
        <v>0.33599999999999852</v>
      </c>
      <c r="Z8" s="10">
        <f t="shared" si="16"/>
        <v>1.0315199999999953</v>
      </c>
      <c r="AA8" s="15"/>
      <c r="AB8" s="7">
        <f>'[9]Jul Prod'!G7</f>
        <v>0</v>
      </c>
      <c r="AC8" s="8">
        <f t="shared" si="17"/>
        <v>0</v>
      </c>
      <c r="AD8" s="10">
        <f t="shared" si="18"/>
        <v>0</v>
      </c>
      <c r="AF8" s="7">
        <f t="shared" si="19"/>
        <v>37227999.999999277</v>
      </c>
      <c r="AG8" s="8">
        <f t="shared" si="20"/>
        <v>37.227999999999277</v>
      </c>
      <c r="AH8" s="8">
        <f t="shared" si="21"/>
        <v>114.28995999999778</v>
      </c>
      <c r="AJ8" s="8">
        <f t="shared" si="0"/>
        <v>9.222279999999996</v>
      </c>
    </row>
    <row r="9" spans="1:36" x14ac:dyDescent="0.15">
      <c r="A9" s="28">
        <v>38538</v>
      </c>
      <c r="B9" s="7">
        <f>'[9]Jul Prod'!I8</f>
        <v>25100000.000000365</v>
      </c>
      <c r="C9" s="8">
        <f t="shared" si="1"/>
        <v>25.100000000000364</v>
      </c>
      <c r="D9" s="10">
        <f t="shared" si="2"/>
        <v>77.057000000001111</v>
      </c>
      <c r="E9" s="7">
        <f>'[9]Jul Prod'!E8</f>
        <v>23000000</v>
      </c>
      <c r="F9" s="8">
        <f t="shared" si="3"/>
        <v>23</v>
      </c>
      <c r="G9" s="10">
        <f t="shared" si="4"/>
        <v>70.61</v>
      </c>
      <c r="H9" s="7">
        <f>'[9]Jul Prod'!F8</f>
        <v>5000000</v>
      </c>
      <c r="I9" s="8">
        <f t="shared" si="5"/>
        <v>5</v>
      </c>
      <c r="J9" s="10">
        <f t="shared" si="6"/>
        <v>15.35</v>
      </c>
      <c r="K9" s="7">
        <f>'[9]Jul Prod'!H263</f>
        <v>1506836</v>
      </c>
      <c r="L9" s="8">
        <f t="shared" si="7"/>
        <v>1.5068360000000001</v>
      </c>
      <c r="M9" s="10">
        <f t="shared" si="8"/>
        <v>4.6259865199999997</v>
      </c>
      <c r="N9" s="21"/>
      <c r="O9" s="7">
        <f>'[9]Jul Prod'!H8</f>
        <v>10922000.000000002</v>
      </c>
      <c r="P9" s="8">
        <f t="shared" si="9"/>
        <v>10.922000000000002</v>
      </c>
      <c r="Q9" s="10">
        <f t="shared" si="10"/>
        <v>33.530540000000002</v>
      </c>
      <c r="R9" s="7">
        <f>'[9]Jul Prod'!C8</f>
        <v>14542000</v>
      </c>
      <c r="S9" s="8">
        <f t="shared" si="11"/>
        <v>14.542</v>
      </c>
      <c r="T9" s="10">
        <f t="shared" si="12"/>
        <v>44.643940000000001</v>
      </c>
      <c r="U9" s="7">
        <f>'[9]Jul Prod'!D8</f>
        <v>3031000</v>
      </c>
      <c r="V9" s="8">
        <f t="shared" si="13"/>
        <v>3.0310000000000001</v>
      </c>
      <c r="W9" s="10">
        <f t="shared" si="14"/>
        <v>9.3051700000000004</v>
      </c>
      <c r="X9" s="7">
        <f>'[9]Jul Prod'!D263</f>
        <v>588999.9999999986</v>
      </c>
      <c r="Y9" s="8">
        <f t="shared" si="15"/>
        <v>0.58899999999999864</v>
      </c>
      <c r="Z9" s="10">
        <f t="shared" si="16"/>
        <v>1.8082299999999958</v>
      </c>
      <c r="AA9" s="15"/>
      <c r="AB9" s="7">
        <f>'[9]Jul Prod'!G8</f>
        <v>0</v>
      </c>
      <c r="AC9" s="8">
        <f t="shared" si="17"/>
        <v>0</v>
      </c>
      <c r="AD9" s="10">
        <f t="shared" si="18"/>
        <v>0</v>
      </c>
      <c r="AF9" s="7">
        <f t="shared" si="19"/>
        <v>36022000.000000365</v>
      </c>
      <c r="AG9" s="8">
        <f t="shared" si="20"/>
        <v>36.022000000000368</v>
      </c>
      <c r="AH9" s="8">
        <f t="shared" si="21"/>
        <v>110.58754000000111</v>
      </c>
      <c r="AJ9" s="8">
        <f>T9-Q9-Z9</f>
        <v>9.3051700000000022</v>
      </c>
    </row>
    <row r="10" spans="1:36" x14ac:dyDescent="0.15">
      <c r="A10" s="28">
        <v>38539</v>
      </c>
      <c r="B10" s="7">
        <f>'[9]Jul Prod'!I9</f>
        <v>21000000</v>
      </c>
      <c r="C10" s="8">
        <f t="shared" si="1"/>
        <v>21</v>
      </c>
      <c r="D10" s="10">
        <f t="shared" si="2"/>
        <v>64.47</v>
      </c>
      <c r="E10" s="7">
        <f>'[9]Jul Prod'!E9</f>
        <v>17000000</v>
      </c>
      <c r="F10" s="8">
        <f t="shared" si="3"/>
        <v>17</v>
      </c>
      <c r="G10" s="10">
        <f t="shared" si="4"/>
        <v>52.19</v>
      </c>
      <c r="H10" s="7">
        <f>'[9]Jul Prod'!F9</f>
        <v>5000000</v>
      </c>
      <c r="I10" s="8">
        <f t="shared" si="5"/>
        <v>5</v>
      </c>
      <c r="J10" s="10">
        <f t="shared" si="6"/>
        <v>15.35</v>
      </c>
      <c r="K10" s="7">
        <f>'[9]Jul Prod'!H264</f>
        <v>1394590</v>
      </c>
      <c r="L10" s="8">
        <f t="shared" si="7"/>
        <v>1.39459</v>
      </c>
      <c r="M10" s="10">
        <f t="shared" si="8"/>
        <v>4.2813913000000001</v>
      </c>
      <c r="N10" s="21"/>
      <c r="O10" s="7">
        <f>'[9]Jul Prod'!H9</f>
        <v>9614999.9999999981</v>
      </c>
      <c r="P10" s="8">
        <f t="shared" si="9"/>
        <v>9.6149999999999984</v>
      </c>
      <c r="Q10" s="10">
        <f t="shared" si="10"/>
        <v>29.518049999999995</v>
      </c>
      <c r="R10" s="7">
        <f>'[9]Jul Prod'!C9</f>
        <v>13388000</v>
      </c>
      <c r="S10" s="8">
        <f t="shared" si="11"/>
        <v>13.388</v>
      </c>
      <c r="T10" s="10">
        <f t="shared" si="12"/>
        <v>41.10116</v>
      </c>
      <c r="U10" s="7">
        <f>'[9]Jul Prod'!D9</f>
        <v>3030000</v>
      </c>
      <c r="V10" s="8">
        <f t="shared" si="13"/>
        <v>3.03</v>
      </c>
      <c r="W10" s="10">
        <f t="shared" si="14"/>
        <v>9.3020999999999994</v>
      </c>
      <c r="X10" s="7">
        <f>'[9]Jul Prod'!D264</f>
        <v>743000.0000000021</v>
      </c>
      <c r="Y10" s="8">
        <f t="shared" si="15"/>
        <v>0.7430000000000021</v>
      </c>
      <c r="Z10" s="10">
        <f t="shared" si="16"/>
        <v>2.2810100000000064</v>
      </c>
      <c r="AA10" s="15"/>
      <c r="AB10" s="7">
        <f>'[9]Jul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30615000</v>
      </c>
      <c r="AG10" s="8">
        <f t="shared" si="20"/>
        <v>30.614999999999998</v>
      </c>
      <c r="AH10" s="8">
        <f t="shared" si="21"/>
        <v>93.988049999999987</v>
      </c>
      <c r="AJ10" s="8">
        <f t="shared" si="0"/>
        <v>9.3020999999999994</v>
      </c>
    </row>
    <row r="11" spans="1:36" x14ac:dyDescent="0.15">
      <c r="A11" s="28">
        <v>38540</v>
      </c>
      <c r="B11" s="7">
        <f>'[9]Jul Prod'!I10</f>
        <v>16799999.999999274</v>
      </c>
      <c r="C11" s="8">
        <f t="shared" si="1"/>
        <v>16.799999999999272</v>
      </c>
      <c r="D11" s="10">
        <f t="shared" si="2"/>
        <v>51.575999999997762</v>
      </c>
      <c r="E11" s="7">
        <f>'[9]Jul Prod'!E10</f>
        <v>16000000</v>
      </c>
      <c r="F11" s="8">
        <f t="shared" si="3"/>
        <v>16</v>
      </c>
      <c r="G11" s="10">
        <f t="shared" si="4"/>
        <v>49.12</v>
      </c>
      <c r="H11" s="7">
        <f>'[9]Jul Prod'!F10</f>
        <v>2000000</v>
      </c>
      <c r="I11" s="8">
        <f t="shared" si="5"/>
        <v>2</v>
      </c>
      <c r="J11" s="10">
        <f t="shared" si="6"/>
        <v>6.14</v>
      </c>
      <c r="K11" s="7">
        <f>'[9]Jul Prod'!H265</f>
        <v>1091898</v>
      </c>
      <c r="L11" s="8">
        <f t="shared" si="7"/>
        <v>1.091898</v>
      </c>
      <c r="M11" s="10">
        <f t="shared" si="8"/>
        <v>3.3521268599999998</v>
      </c>
      <c r="N11" s="21"/>
      <c r="O11" s="7">
        <f>'[9]Jul Prod'!H10</f>
        <v>8797000.0000000019</v>
      </c>
      <c r="P11" s="8">
        <f t="shared" si="9"/>
        <v>8.7970000000000024</v>
      </c>
      <c r="Q11" s="10">
        <f t="shared" si="10"/>
        <v>27.006790000000006</v>
      </c>
      <c r="R11" s="7">
        <f>'[9]Jul Prod'!C10</f>
        <v>12364000</v>
      </c>
      <c r="S11" s="8">
        <f t="shared" si="11"/>
        <v>12.364000000000001</v>
      </c>
      <c r="T11" s="10">
        <f t="shared" si="12"/>
        <v>37.957480000000004</v>
      </c>
      <c r="U11" s="7">
        <f>'[9]Jul Prod'!D10</f>
        <v>3005000</v>
      </c>
      <c r="V11" s="8">
        <f t="shared" si="13"/>
        <v>3.0049999999999999</v>
      </c>
      <c r="W11" s="10">
        <f t="shared" si="14"/>
        <v>9.2253499999999988</v>
      </c>
      <c r="X11" s="7">
        <f>'[9]Jul Prod'!D265</f>
        <v>561999.99999999756</v>
      </c>
      <c r="Y11" s="8">
        <f t="shared" si="15"/>
        <v>0.5619999999999975</v>
      </c>
      <c r="Z11" s="10">
        <f t="shared" si="16"/>
        <v>1.7253399999999923</v>
      </c>
      <c r="AA11" s="15"/>
      <c r="AB11" s="7">
        <f>'[9]Jul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25596999.999999277</v>
      </c>
      <c r="AG11" s="8">
        <f t="shared" si="20"/>
        <v>25.596999999999277</v>
      </c>
      <c r="AH11" s="8">
        <f t="shared" si="21"/>
        <v>78.582789999997772</v>
      </c>
      <c r="AJ11" s="8">
        <f t="shared" si="0"/>
        <v>9.2253500000000059</v>
      </c>
    </row>
    <row r="12" spans="1:36" x14ac:dyDescent="0.15">
      <c r="A12" s="28">
        <v>38541</v>
      </c>
      <c r="B12" s="7">
        <f>'[9]Jul Prod'!I11</f>
        <v>18100000.000000365</v>
      </c>
      <c r="C12" s="8">
        <f t="shared" si="1"/>
        <v>18.100000000000364</v>
      </c>
      <c r="D12" s="10">
        <f t="shared" si="2"/>
        <v>55.567000000001116</v>
      </c>
      <c r="E12" s="7">
        <f>'[9]Jul Prod'!E11</f>
        <v>19000000</v>
      </c>
      <c r="F12" s="8">
        <f t="shared" si="3"/>
        <v>19</v>
      </c>
      <c r="G12" s="10">
        <f t="shared" si="4"/>
        <v>58.33</v>
      </c>
      <c r="H12" s="7">
        <f>'[9]Jul Prod'!F11</f>
        <v>0</v>
      </c>
      <c r="I12" s="8">
        <f t="shared" si="5"/>
        <v>0</v>
      </c>
      <c r="J12" s="10">
        <f t="shared" si="6"/>
        <v>0</v>
      </c>
      <c r="K12" s="7">
        <f>'[9]Jul Prod'!H266</f>
        <v>112358</v>
      </c>
      <c r="L12" s="8">
        <f t="shared" si="7"/>
        <v>0.112358</v>
      </c>
      <c r="M12" s="10">
        <f t="shared" si="8"/>
        <v>0.34493905999999996</v>
      </c>
      <c r="N12" s="21"/>
      <c r="O12" s="7">
        <f>'[9]Jul Prod'!H11</f>
        <v>7517999.9999999963</v>
      </c>
      <c r="P12" s="8">
        <f t="shared" si="9"/>
        <v>7.5179999999999962</v>
      </c>
      <c r="Q12" s="10">
        <f t="shared" si="10"/>
        <v>23.080259999999988</v>
      </c>
      <c r="R12" s="7">
        <f>'[9]Jul Prod'!C11</f>
        <v>11102000</v>
      </c>
      <c r="S12" s="8">
        <f t="shared" si="11"/>
        <v>11.102</v>
      </c>
      <c r="T12" s="10">
        <f t="shared" si="12"/>
        <v>34.08314</v>
      </c>
      <c r="U12" s="7">
        <f>'[9]Jul Prod'!D11</f>
        <v>3049000</v>
      </c>
      <c r="V12" s="8">
        <f t="shared" si="13"/>
        <v>3.0489999999999999</v>
      </c>
      <c r="W12" s="10">
        <f t="shared" si="14"/>
        <v>9.3604299999999991</v>
      </c>
      <c r="X12" s="7">
        <f>'[9]Jul Prod'!D266</f>
        <v>535000.00000000373</v>
      </c>
      <c r="Y12" s="8">
        <f t="shared" si="15"/>
        <v>0.53500000000000369</v>
      </c>
      <c r="Z12" s="10">
        <f t="shared" si="16"/>
        <v>1.6424500000000113</v>
      </c>
      <c r="AA12" s="15"/>
      <c r="AB12" s="7">
        <f>'[9]Jul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25618000.000000361</v>
      </c>
      <c r="AG12" s="8">
        <f t="shared" si="20"/>
        <v>25.618000000000361</v>
      </c>
      <c r="AH12" s="8">
        <f t="shared" si="21"/>
        <v>78.647260000001097</v>
      </c>
      <c r="AJ12" s="8">
        <f t="shared" si="0"/>
        <v>9.3604300000000009</v>
      </c>
    </row>
    <row r="13" spans="1:36" x14ac:dyDescent="0.15">
      <c r="A13" s="28">
        <v>38542</v>
      </c>
      <c r="B13" s="7">
        <f>'[9]Jul Prod'!I12</f>
        <v>15200000.000000728</v>
      </c>
      <c r="C13" s="8">
        <f t="shared" si="1"/>
        <v>15.200000000000728</v>
      </c>
      <c r="D13" s="10">
        <f t="shared" si="2"/>
        <v>46.664000000002233</v>
      </c>
      <c r="E13" s="7">
        <f>'[9]Jul Prod'!E12</f>
        <v>16000000</v>
      </c>
      <c r="F13" s="8">
        <f t="shared" si="3"/>
        <v>16</v>
      </c>
      <c r="G13" s="10">
        <f t="shared" si="4"/>
        <v>49.12</v>
      </c>
      <c r="H13" s="7">
        <f>'[9]Jul Prod'!F12</f>
        <v>0</v>
      </c>
      <c r="I13" s="8">
        <f t="shared" si="5"/>
        <v>0</v>
      </c>
      <c r="J13" s="10">
        <f t="shared" si="6"/>
        <v>0</v>
      </c>
      <c r="K13" s="7">
        <f>'[9]Jul Prod'!H267</f>
        <v>1113465</v>
      </c>
      <c r="L13" s="8">
        <f t="shared" si="7"/>
        <v>1.1134649999999999</v>
      </c>
      <c r="M13" s="10">
        <f t="shared" si="8"/>
        <v>3.4183375499999995</v>
      </c>
      <c r="N13" s="21"/>
      <c r="O13" s="7">
        <f>'[9]Jul Prod'!H12</f>
        <v>5720000</v>
      </c>
      <c r="P13" s="8">
        <f t="shared" si="9"/>
        <v>5.72</v>
      </c>
      <c r="Q13" s="10">
        <f t="shared" si="10"/>
        <v>17.560399999999998</v>
      </c>
      <c r="R13" s="7">
        <f>'[9]Jul Prod'!C12</f>
        <v>9254000</v>
      </c>
      <c r="S13" s="8">
        <f t="shared" si="11"/>
        <v>9.2539999999999996</v>
      </c>
      <c r="T13" s="10">
        <f t="shared" si="12"/>
        <v>28.409779999999998</v>
      </c>
      <c r="U13" s="7">
        <f>'[9]Jul Prod'!D12</f>
        <v>2979000</v>
      </c>
      <c r="V13" s="8">
        <f t="shared" si="13"/>
        <v>2.9790000000000001</v>
      </c>
      <c r="W13" s="10">
        <f t="shared" si="14"/>
        <v>9.145529999999999</v>
      </c>
      <c r="X13" s="7">
        <f>'[9]Jul Prod'!D267</f>
        <v>554999.99999999977</v>
      </c>
      <c r="Y13" s="8">
        <f t="shared" si="15"/>
        <v>0.55499999999999972</v>
      </c>
      <c r="Z13" s="10">
        <f t="shared" si="16"/>
        <v>1.703849999999999</v>
      </c>
      <c r="AA13" s="15"/>
      <c r="AB13" s="7">
        <f>'[9]Jul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20920000.00000073</v>
      </c>
      <c r="AG13" s="8">
        <f t="shared" si="20"/>
        <v>20.920000000000726</v>
      </c>
      <c r="AH13" s="8">
        <f t="shared" si="21"/>
        <v>64.224400000002234</v>
      </c>
      <c r="AJ13" s="8">
        <f t="shared" si="0"/>
        <v>9.1455300000000008</v>
      </c>
    </row>
    <row r="14" spans="1:36" x14ac:dyDescent="0.15">
      <c r="A14" s="28">
        <v>38543</v>
      </c>
      <c r="B14" s="7">
        <f>'[9]Jul Prod'!I13</f>
        <v>14799999.999999272</v>
      </c>
      <c r="C14" s="8">
        <f t="shared" si="1"/>
        <v>14.799999999999272</v>
      </c>
      <c r="D14" s="10">
        <f t="shared" si="2"/>
        <v>45.435999999997762</v>
      </c>
      <c r="E14" s="7">
        <f>'[9]Jul Prod'!E13</f>
        <v>17000000</v>
      </c>
      <c r="F14" s="8">
        <f t="shared" si="3"/>
        <v>17</v>
      </c>
      <c r="G14" s="10">
        <f t="shared" si="4"/>
        <v>52.19</v>
      </c>
      <c r="H14" s="7">
        <f>'[9]Jul Prod'!F13</f>
        <v>0</v>
      </c>
      <c r="I14" s="8">
        <f t="shared" si="5"/>
        <v>0</v>
      </c>
      <c r="J14" s="10">
        <f t="shared" si="6"/>
        <v>0</v>
      </c>
      <c r="K14" s="7">
        <f>'[9]Jul Prod'!H268</f>
        <v>1263842</v>
      </c>
      <c r="L14" s="8">
        <f t="shared" si="7"/>
        <v>1.2638419999999999</v>
      </c>
      <c r="M14" s="10">
        <f t="shared" si="8"/>
        <v>3.8799949399999996</v>
      </c>
      <c r="N14" s="21"/>
      <c r="O14" s="7">
        <f>'[9]Jul Prod'!H13</f>
        <v>7955000.0000000056</v>
      </c>
      <c r="P14" s="8">
        <f t="shared" si="9"/>
        <v>7.9550000000000054</v>
      </c>
      <c r="Q14" s="10">
        <f t="shared" si="10"/>
        <v>24.421850000000017</v>
      </c>
      <c r="R14" s="7">
        <f>'[9]Jul Prod'!C13</f>
        <v>11407000</v>
      </c>
      <c r="S14" s="8">
        <f t="shared" si="11"/>
        <v>11.407</v>
      </c>
      <c r="T14" s="10">
        <f t="shared" si="12"/>
        <v>35.019489999999998</v>
      </c>
      <c r="U14" s="7">
        <f>'[9]Jul Prod'!D13</f>
        <v>3029000</v>
      </c>
      <c r="V14" s="8">
        <f t="shared" si="13"/>
        <v>3.0289999999999999</v>
      </c>
      <c r="W14" s="10">
        <f t="shared" si="14"/>
        <v>9.2990300000000001</v>
      </c>
      <c r="X14" s="7">
        <f>'[9]Jul Prod'!D268</f>
        <v>422999.9999999947</v>
      </c>
      <c r="Y14" s="8">
        <f t="shared" si="15"/>
        <v>0.42299999999999471</v>
      </c>
      <c r="Z14" s="10">
        <f t="shared" si="16"/>
        <v>1.2986099999999836</v>
      </c>
      <c r="AA14" s="15"/>
      <c r="AB14" s="7">
        <f>'[9]Jul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22754999.999999277</v>
      </c>
      <c r="AG14" s="8">
        <f t="shared" si="20"/>
        <v>22.754999999999278</v>
      </c>
      <c r="AH14" s="8">
        <f t="shared" si="21"/>
        <v>69.857849999997782</v>
      </c>
      <c r="AJ14" s="8">
        <f t="shared" si="0"/>
        <v>9.2990299999999966</v>
      </c>
    </row>
    <row r="15" spans="1:36" x14ac:dyDescent="0.15">
      <c r="A15" s="28">
        <v>38544</v>
      </c>
      <c r="B15" s="7">
        <f>'[9]Jul Prod'!I14</f>
        <v>15200000.000000728</v>
      </c>
      <c r="C15" s="8">
        <f t="shared" si="1"/>
        <v>15.200000000000728</v>
      </c>
      <c r="D15" s="10">
        <f t="shared" si="2"/>
        <v>46.664000000002233</v>
      </c>
      <c r="E15" s="7">
        <f>'[9]Jul Prod'!E14</f>
        <v>16000000</v>
      </c>
      <c r="F15" s="8">
        <f t="shared" si="3"/>
        <v>16</v>
      </c>
      <c r="G15" s="10">
        <f t="shared" si="4"/>
        <v>49.12</v>
      </c>
      <c r="H15" s="7">
        <f>'[9]Jul Prod'!F14</f>
        <v>0</v>
      </c>
      <c r="I15" s="8">
        <f t="shared" si="5"/>
        <v>0</v>
      </c>
      <c r="J15" s="10">
        <f t="shared" si="6"/>
        <v>0</v>
      </c>
      <c r="K15" s="7">
        <f>'[9]Jul Prod'!H269</f>
        <v>1177008</v>
      </c>
      <c r="L15" s="8">
        <f t="shared" si="7"/>
        <v>1.1770080000000001</v>
      </c>
      <c r="M15" s="10">
        <f t="shared" si="8"/>
        <v>3.6134145599999998</v>
      </c>
      <c r="N15" s="21"/>
      <c r="O15" s="7">
        <f>'[9]Jul Prod'!H14</f>
        <v>8391999.9999999981</v>
      </c>
      <c r="P15" s="8">
        <f t="shared" si="9"/>
        <v>8.3919999999999977</v>
      </c>
      <c r="Q15" s="10">
        <f t="shared" si="10"/>
        <v>25.763439999999992</v>
      </c>
      <c r="R15" s="7">
        <f>'[9]Jul Prod'!C14</f>
        <v>11855000</v>
      </c>
      <c r="S15" s="8">
        <f t="shared" si="11"/>
        <v>11.855</v>
      </c>
      <c r="T15" s="10">
        <f t="shared" si="12"/>
        <v>36.394849999999998</v>
      </c>
      <c r="U15" s="7">
        <f>'[9]Jul Prod'!D14</f>
        <v>3040000</v>
      </c>
      <c r="V15" s="8">
        <f t="shared" si="13"/>
        <v>3.04</v>
      </c>
      <c r="W15" s="10">
        <f t="shared" si="14"/>
        <v>9.3327999999999989</v>
      </c>
      <c r="X15" s="7">
        <f>'[9]Jul Prod'!D269</f>
        <v>423000.0000000018</v>
      </c>
      <c r="Y15" s="8">
        <f t="shared" si="15"/>
        <v>0.42300000000000182</v>
      </c>
      <c r="Z15" s="10">
        <f t="shared" si="16"/>
        <v>1.2986100000000056</v>
      </c>
      <c r="AA15" s="15"/>
      <c r="AB15" s="7">
        <f>'[9]Jul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23592000.000000726</v>
      </c>
      <c r="AG15" s="8">
        <f t="shared" si="20"/>
        <v>23.592000000000724</v>
      </c>
      <c r="AH15" s="8">
        <f t="shared" si="21"/>
        <v>72.427440000002221</v>
      </c>
      <c r="AJ15" s="8">
        <f>T15-Q15-Z15</f>
        <v>9.3328000000000007</v>
      </c>
    </row>
    <row r="16" spans="1:36" x14ac:dyDescent="0.15">
      <c r="A16" s="28">
        <v>38545</v>
      </c>
      <c r="B16" s="7">
        <f>'[9]Jul Prod'!I15</f>
        <v>12600000.000000363</v>
      </c>
      <c r="C16" s="8">
        <f t="shared" si="1"/>
        <v>12.600000000000364</v>
      </c>
      <c r="D16" s="10">
        <f t="shared" si="2"/>
        <v>38.682000000001118</v>
      </c>
      <c r="E16" s="7">
        <f>'[9]Jul Prod'!E15</f>
        <v>14000000</v>
      </c>
      <c r="F16" s="8">
        <f t="shared" si="3"/>
        <v>14</v>
      </c>
      <c r="G16" s="10">
        <f t="shared" si="4"/>
        <v>42.98</v>
      </c>
      <c r="H16" s="7">
        <f>'[9]Jul Prod'!F15</f>
        <v>0</v>
      </c>
      <c r="I16" s="8">
        <f t="shared" si="5"/>
        <v>0</v>
      </c>
      <c r="J16" s="10">
        <f t="shared" si="6"/>
        <v>0</v>
      </c>
      <c r="K16" s="7">
        <f>'[9]Jul Prod'!H270</f>
        <v>791069</v>
      </c>
      <c r="L16" s="8">
        <f t="shared" si="7"/>
        <v>0.79106900000000002</v>
      </c>
      <c r="M16" s="10">
        <f t="shared" si="8"/>
        <v>2.4285818300000002</v>
      </c>
      <c r="N16" s="21"/>
      <c r="O16" s="7">
        <f>'[9]Jul Prod'!H15</f>
        <v>7560999.9999999981</v>
      </c>
      <c r="P16" s="8">
        <f t="shared" si="9"/>
        <v>7.5609999999999982</v>
      </c>
      <c r="Q16" s="10">
        <f t="shared" si="10"/>
        <v>23.212269999999993</v>
      </c>
      <c r="R16" s="7">
        <f>'[9]Jul Prod'!C15</f>
        <v>11130000</v>
      </c>
      <c r="S16" s="8">
        <f t="shared" si="11"/>
        <v>11.13</v>
      </c>
      <c r="T16" s="10">
        <f t="shared" si="12"/>
        <v>34.1691</v>
      </c>
      <c r="U16" s="7">
        <f>'[9]Jul Prod'!D15</f>
        <v>3030000</v>
      </c>
      <c r="V16" s="8">
        <f t="shared" si="13"/>
        <v>3.03</v>
      </c>
      <c r="W16" s="10">
        <f t="shared" si="14"/>
        <v>9.3020999999999994</v>
      </c>
      <c r="X16" s="7">
        <f>'[9]Jul Prod'!D270</f>
        <v>539000.00000000151</v>
      </c>
      <c r="Y16" s="8">
        <f t="shared" si="15"/>
        <v>0.53900000000000148</v>
      </c>
      <c r="Z16" s="10">
        <f t="shared" si="16"/>
        <v>1.6547300000000045</v>
      </c>
      <c r="AA16" s="15"/>
      <c r="AB16" s="7">
        <f>'[9]Jul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20161000.000000361</v>
      </c>
      <c r="AG16" s="8">
        <f t="shared" si="20"/>
        <v>20.161000000000364</v>
      </c>
      <c r="AH16" s="8">
        <f t="shared" si="21"/>
        <v>61.894270000001114</v>
      </c>
      <c r="AJ16" s="8">
        <f>T16-Q16-Z16</f>
        <v>9.3021000000000029</v>
      </c>
    </row>
    <row r="17" spans="1:36" x14ac:dyDescent="0.15">
      <c r="A17" s="28">
        <v>38546</v>
      </c>
      <c r="B17" s="7">
        <f>'[9]Jul Prod'!I16</f>
        <v>10799999.999999272</v>
      </c>
      <c r="C17" s="8">
        <f t="shared" si="1"/>
        <v>10.799999999999272</v>
      </c>
      <c r="D17" s="10">
        <f t="shared" si="2"/>
        <v>33.155999999997768</v>
      </c>
      <c r="E17" s="7">
        <f>'[9]Jul Prod'!E16</f>
        <v>11000000</v>
      </c>
      <c r="F17" s="8">
        <f t="shared" si="3"/>
        <v>11</v>
      </c>
      <c r="G17" s="10">
        <f t="shared" si="4"/>
        <v>33.769999999999996</v>
      </c>
      <c r="H17" s="7">
        <f>'[9]Jul Prod'!F16</f>
        <v>0</v>
      </c>
      <c r="I17" s="8">
        <f t="shared" si="5"/>
        <v>0</v>
      </c>
      <c r="J17" s="10">
        <f t="shared" si="6"/>
        <v>0</v>
      </c>
      <c r="K17" s="7">
        <f>'[9]Jul Prod'!H271</f>
        <v>825478</v>
      </c>
      <c r="L17" s="8">
        <f t="shared" si="7"/>
        <v>0.82547800000000005</v>
      </c>
      <c r="M17" s="10">
        <f t="shared" si="8"/>
        <v>2.5342174599999998</v>
      </c>
      <c r="N17" s="21"/>
      <c r="O17" s="7">
        <f>'[9]Jul Prod'!H16</f>
        <v>8421000.0000000037</v>
      </c>
      <c r="P17" s="8">
        <f t="shared" si="9"/>
        <v>8.4210000000000029</v>
      </c>
      <c r="Q17" s="10">
        <f t="shared" si="10"/>
        <v>25.852470000000007</v>
      </c>
      <c r="R17" s="7">
        <f>'[9]Jul Prod'!C16</f>
        <v>12068000</v>
      </c>
      <c r="S17" s="8">
        <f t="shared" si="11"/>
        <v>12.068</v>
      </c>
      <c r="T17" s="10">
        <f t="shared" si="12"/>
        <v>37.048759999999994</v>
      </c>
      <c r="U17" s="7">
        <f>'[9]Jul Prod'!D16</f>
        <v>3100000</v>
      </c>
      <c r="V17" s="8">
        <f t="shared" si="13"/>
        <v>3.1</v>
      </c>
      <c r="W17" s="10">
        <f t="shared" si="14"/>
        <v>9.5169999999999995</v>
      </c>
      <c r="X17" s="7">
        <f>'[9]Jul Prod'!D271</f>
        <v>546999.99999999709</v>
      </c>
      <c r="Y17" s="8">
        <f t="shared" si="15"/>
        <v>0.54699999999999704</v>
      </c>
      <c r="Z17" s="10">
        <f t="shared" si="16"/>
        <v>1.6792899999999908</v>
      </c>
      <c r="AA17" s="15"/>
      <c r="AB17" s="7">
        <f>'[9]Jul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19220999.999999277</v>
      </c>
      <c r="AG17" s="8">
        <f t="shared" si="20"/>
        <v>19.220999999999275</v>
      </c>
      <c r="AH17" s="8">
        <f t="shared" si="21"/>
        <v>59.008469999997772</v>
      </c>
      <c r="AJ17" s="8">
        <f>T17-Q17-Z17</f>
        <v>9.5169999999999959</v>
      </c>
    </row>
    <row r="18" spans="1:36" x14ac:dyDescent="0.15">
      <c r="A18" s="28">
        <v>38547</v>
      </c>
      <c r="B18" s="7">
        <f>'[9]Jul Prod'!I17</f>
        <v>10500000</v>
      </c>
      <c r="C18" s="8">
        <f t="shared" si="1"/>
        <v>10.5</v>
      </c>
      <c r="D18" s="10">
        <f t="shared" si="2"/>
        <v>32.234999999999999</v>
      </c>
      <c r="E18" s="7">
        <f>'[9]Jul Prod'!E17</f>
        <v>12000000</v>
      </c>
      <c r="F18" s="8">
        <f t="shared" si="3"/>
        <v>12</v>
      </c>
      <c r="G18" s="10">
        <f t="shared" si="4"/>
        <v>36.839999999999996</v>
      </c>
      <c r="H18" s="7">
        <f>'[9]Jul Prod'!F17</f>
        <v>0</v>
      </c>
      <c r="I18" s="8">
        <f t="shared" si="5"/>
        <v>0</v>
      </c>
      <c r="J18" s="10">
        <f t="shared" si="6"/>
        <v>0</v>
      </c>
      <c r="K18" s="7">
        <f>'[9]Jul Prod'!H272</f>
        <v>1163992</v>
      </c>
      <c r="L18" s="8">
        <f t="shared" si="7"/>
        <v>1.1639919999999999</v>
      </c>
      <c r="M18" s="10">
        <f t="shared" si="8"/>
        <v>3.5734554399999996</v>
      </c>
      <c r="N18" s="21"/>
      <c r="O18" s="7">
        <f>'[9]Jul Prod'!H17</f>
        <v>7886000</v>
      </c>
      <c r="P18" s="8">
        <f t="shared" si="9"/>
        <v>7.8860000000000001</v>
      </c>
      <c r="Q18" s="10">
        <f t="shared" si="10"/>
        <v>24.21002</v>
      </c>
      <c r="R18" s="7">
        <f>'[9]Jul Prod'!C17</f>
        <v>11469000</v>
      </c>
      <c r="S18" s="8">
        <f t="shared" si="11"/>
        <v>11.468999999999999</v>
      </c>
      <c r="T18" s="10">
        <f t="shared" si="12"/>
        <v>35.209829999999997</v>
      </c>
      <c r="U18" s="7">
        <f>'[9]Jul Prod'!D17</f>
        <v>2903000</v>
      </c>
      <c r="V18" s="8">
        <f t="shared" si="13"/>
        <v>2.903</v>
      </c>
      <c r="W18" s="10">
        <f t="shared" si="14"/>
        <v>8.91221</v>
      </c>
      <c r="X18" s="7">
        <f>'[9]Jul Prod'!D272</f>
        <v>679999.99999999977</v>
      </c>
      <c r="Y18" s="8">
        <f t="shared" si="15"/>
        <v>0.67999999999999972</v>
      </c>
      <c r="Z18" s="10">
        <f t="shared" si="16"/>
        <v>2.0875999999999992</v>
      </c>
      <c r="AA18" s="15"/>
      <c r="AB18" s="7">
        <f>'[9]Jul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18386000</v>
      </c>
      <c r="AG18" s="8">
        <f t="shared" si="20"/>
        <v>18.385999999999999</v>
      </c>
      <c r="AH18" s="8">
        <f t="shared" si="21"/>
        <v>56.44502</v>
      </c>
      <c r="AJ18" s="8">
        <f>T18-Q18-Z18</f>
        <v>8.9122099999999982</v>
      </c>
    </row>
    <row r="19" spans="1:36" x14ac:dyDescent="0.15">
      <c r="A19" s="28">
        <v>38548</v>
      </c>
      <c r="B19" s="7">
        <f>'[9]Jul Prod'!I18</f>
        <v>13299999.999999272</v>
      </c>
      <c r="C19" s="8">
        <f t="shared" si="1"/>
        <v>13.299999999999272</v>
      </c>
      <c r="D19" s="10">
        <f t="shared" si="2"/>
        <v>40.830999999997765</v>
      </c>
      <c r="E19" s="7">
        <f>'[9]Jul Prod'!E18</f>
        <v>11000000</v>
      </c>
      <c r="F19" s="8">
        <f t="shared" si="3"/>
        <v>11</v>
      </c>
      <c r="G19" s="10">
        <f t="shared" si="4"/>
        <v>33.769999999999996</v>
      </c>
      <c r="H19" s="7">
        <f>'[9]Jul Prod'!F18</f>
        <v>4000000</v>
      </c>
      <c r="I19" s="8">
        <f t="shared" si="5"/>
        <v>4</v>
      </c>
      <c r="J19" s="10">
        <f t="shared" si="6"/>
        <v>12.28</v>
      </c>
      <c r="K19" s="7">
        <f>'[9]Jul Prod'!H273</f>
        <v>1482528</v>
      </c>
      <c r="L19" s="8">
        <f t="shared" si="7"/>
        <v>1.4825280000000001</v>
      </c>
      <c r="M19" s="10">
        <f t="shared" si="8"/>
        <v>4.5513609600000002</v>
      </c>
      <c r="N19" s="21"/>
      <c r="O19" s="7">
        <f>'[9]Jul Prod'!H18</f>
        <v>6826000</v>
      </c>
      <c r="P19" s="8">
        <f t="shared" si="9"/>
        <v>6.8259999999999996</v>
      </c>
      <c r="Q19" s="10">
        <f t="shared" si="10"/>
        <v>20.955819999999999</v>
      </c>
      <c r="R19" s="7">
        <f>'[9]Jul Prod'!C18</f>
        <v>10292000</v>
      </c>
      <c r="S19" s="8">
        <f t="shared" si="11"/>
        <v>10.292</v>
      </c>
      <c r="T19" s="10">
        <f t="shared" si="12"/>
        <v>31.596439999999998</v>
      </c>
      <c r="U19" s="7">
        <f>'[9]Jul Prod'!D18</f>
        <v>3030000</v>
      </c>
      <c r="V19" s="8">
        <f t="shared" si="13"/>
        <v>3.03</v>
      </c>
      <c r="W19" s="10">
        <f t="shared" si="14"/>
        <v>9.3020999999999994</v>
      </c>
      <c r="X19" s="7">
        <f>'[9]Jul Prod'!D273</f>
        <v>435999.99999999994</v>
      </c>
      <c r="Y19" s="8">
        <f t="shared" si="15"/>
        <v>0.43599999999999994</v>
      </c>
      <c r="Z19" s="10">
        <f t="shared" si="16"/>
        <v>1.3385199999999997</v>
      </c>
      <c r="AA19" s="15"/>
      <c r="AB19" s="7">
        <f>'[9]Jul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20125999.99999927</v>
      </c>
      <c r="AG19" s="8">
        <f t="shared" si="20"/>
        <v>20.125999999999273</v>
      </c>
      <c r="AH19" s="8">
        <f t="shared" si="21"/>
        <v>61.786819999997761</v>
      </c>
      <c r="AJ19" s="8">
        <f>T19-Q19-Z19</f>
        <v>9.3020999999999994</v>
      </c>
    </row>
    <row r="20" spans="1:36" x14ac:dyDescent="0.15">
      <c r="A20" s="28">
        <v>38549</v>
      </c>
      <c r="B20" s="7">
        <f>'[9]Jul Prod'!I19</f>
        <v>11900000.000001455</v>
      </c>
      <c r="C20" s="8">
        <f t="shared" si="1"/>
        <v>11.900000000001455</v>
      </c>
      <c r="D20" s="10">
        <f t="shared" si="2"/>
        <v>36.533000000004463</v>
      </c>
      <c r="E20" s="7">
        <f>'[9]Jul Prod'!E19</f>
        <v>9000000</v>
      </c>
      <c r="F20" s="8">
        <f t="shared" si="3"/>
        <v>9</v>
      </c>
      <c r="G20" s="10">
        <f t="shared" si="4"/>
        <v>27.63</v>
      </c>
      <c r="H20" s="7">
        <f>'[9]Jul Prod'!F19</f>
        <v>5000000</v>
      </c>
      <c r="I20" s="8">
        <f t="shared" si="5"/>
        <v>5</v>
      </c>
      <c r="J20" s="10">
        <f t="shared" si="6"/>
        <v>15.35</v>
      </c>
      <c r="K20" s="7">
        <f>'[9]Jul Prod'!H274</f>
        <v>944080</v>
      </c>
      <c r="L20" s="8">
        <f t="shared" si="7"/>
        <v>0.94408000000000003</v>
      </c>
      <c r="M20" s="10">
        <f t="shared" si="8"/>
        <v>2.8983255999999997</v>
      </c>
      <c r="N20" s="21"/>
      <c r="O20" s="7">
        <f>'[9]Jul Prod'!H19</f>
        <v>7369999.9999999944</v>
      </c>
      <c r="P20" s="8">
        <f t="shared" si="9"/>
        <v>7.3699999999999948</v>
      </c>
      <c r="Q20" s="10">
        <f t="shared" si="10"/>
        <v>22.625899999999984</v>
      </c>
      <c r="R20" s="7">
        <f>'[9]Jul Prod'!C19</f>
        <v>10925000</v>
      </c>
      <c r="S20" s="8">
        <f t="shared" si="11"/>
        <v>10.925000000000001</v>
      </c>
      <c r="T20" s="10">
        <f t="shared" si="12"/>
        <v>33.539749999999998</v>
      </c>
      <c r="U20" s="7">
        <f>'[9]Jul Prod'!D19</f>
        <v>3030000</v>
      </c>
      <c r="V20" s="8">
        <f t="shared" si="13"/>
        <v>3.03</v>
      </c>
      <c r="W20" s="10">
        <f t="shared" si="14"/>
        <v>9.3020999999999994</v>
      </c>
      <c r="X20" s="7">
        <f>'[9]Jul Prod'!D274</f>
        <v>525000.0000000057</v>
      </c>
      <c r="Y20" s="8">
        <f t="shared" si="15"/>
        <v>0.52500000000000568</v>
      </c>
      <c r="Z20" s="10">
        <f t="shared" si="16"/>
        <v>1.6117500000000173</v>
      </c>
      <c r="AA20" s="15"/>
      <c r="AB20" s="7">
        <f>'[9]Jul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19270000.000001449</v>
      </c>
      <c r="AG20" s="8">
        <f t="shared" si="20"/>
        <v>19.270000000001449</v>
      </c>
      <c r="AH20" s="8">
        <f t="shared" si="21"/>
        <v>59.158900000004451</v>
      </c>
      <c r="AJ20" s="8">
        <f t="shared" ref="AJ20:AJ35" si="22">T20-Q20-Z20</f>
        <v>9.3020999999999976</v>
      </c>
    </row>
    <row r="21" spans="1:36" x14ac:dyDescent="0.15">
      <c r="A21" s="28">
        <v>38550</v>
      </c>
      <c r="B21" s="7">
        <f>'[9]Jul Prod'!I20</f>
        <v>14399999.999999637</v>
      </c>
      <c r="C21" s="8">
        <f t="shared" si="1"/>
        <v>14.399999999999636</v>
      </c>
      <c r="D21" s="10">
        <f t="shared" si="2"/>
        <v>44.207999999998883</v>
      </c>
      <c r="E21" s="7">
        <f>'[9]Jul Prod'!E20</f>
        <v>10000000</v>
      </c>
      <c r="F21" s="8">
        <f t="shared" si="3"/>
        <v>10</v>
      </c>
      <c r="G21" s="10">
        <f t="shared" si="4"/>
        <v>30.7</v>
      </c>
      <c r="H21" s="7">
        <f>'[9]Jul Prod'!F20</f>
        <v>5000000</v>
      </c>
      <c r="I21" s="8">
        <f t="shared" si="5"/>
        <v>5</v>
      </c>
      <c r="J21" s="10">
        <f t="shared" si="6"/>
        <v>15.35</v>
      </c>
      <c r="K21" s="7">
        <f>'[9]Jul Prod'!H275</f>
        <v>1079864</v>
      </c>
      <c r="L21" s="8">
        <f t="shared" si="7"/>
        <v>1.0798639999999999</v>
      </c>
      <c r="M21" s="10">
        <f t="shared" si="8"/>
        <v>3.3151824799999998</v>
      </c>
      <c r="N21" s="21"/>
      <c r="O21" s="7">
        <f>'[9]Jul Prod'!H20</f>
        <v>9083000.0000000019</v>
      </c>
      <c r="P21" s="8">
        <f t="shared" si="9"/>
        <v>9.083000000000002</v>
      </c>
      <c r="Q21" s="10">
        <f t="shared" si="10"/>
        <v>27.884810000000005</v>
      </c>
      <c r="R21" s="7">
        <f>'[9]Jul Prod'!C20</f>
        <v>12641000</v>
      </c>
      <c r="S21" s="8">
        <f t="shared" si="11"/>
        <v>12.641</v>
      </c>
      <c r="T21" s="10">
        <f t="shared" si="12"/>
        <v>38.807870000000001</v>
      </c>
      <c r="U21" s="7">
        <f>'[9]Jul Prod'!D20</f>
        <v>3030000</v>
      </c>
      <c r="V21" s="8">
        <f t="shared" si="13"/>
        <v>3.03</v>
      </c>
      <c r="W21" s="10">
        <f t="shared" si="14"/>
        <v>9.3020999999999994</v>
      </c>
      <c r="X21" s="7">
        <f>'[9]Jul Prod'!D275</f>
        <v>527999.99999999872</v>
      </c>
      <c r="Y21" s="8">
        <f t="shared" si="15"/>
        <v>0.52799999999999869</v>
      </c>
      <c r="Z21" s="10">
        <f t="shared" si="16"/>
        <v>1.620959999999996</v>
      </c>
      <c r="AA21" s="15"/>
      <c r="AB21" s="7">
        <f>'[9]Jul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23482999.999999639</v>
      </c>
      <c r="AG21" s="8">
        <f t="shared" si="20"/>
        <v>23.482999999999638</v>
      </c>
      <c r="AH21" s="8">
        <f t="shared" si="21"/>
        <v>72.092809999998892</v>
      </c>
      <c r="AJ21" s="8">
        <f t="shared" si="22"/>
        <v>9.3020999999999994</v>
      </c>
    </row>
    <row r="22" spans="1:36" x14ac:dyDescent="0.15">
      <c r="A22" s="28">
        <v>38551</v>
      </c>
      <c r="B22" s="7">
        <f>'[9]Jul Prod'!I21</f>
        <v>19299999.999999274</v>
      </c>
      <c r="C22" s="8">
        <f t="shared" si="1"/>
        <v>19.299999999999272</v>
      </c>
      <c r="D22" s="10">
        <f t="shared" si="2"/>
        <v>59.250999999997767</v>
      </c>
      <c r="E22" s="7">
        <f>'[9]Jul Prod'!E21</f>
        <v>15000000</v>
      </c>
      <c r="F22" s="8">
        <f t="shared" si="3"/>
        <v>15</v>
      </c>
      <c r="G22" s="10">
        <f t="shared" si="4"/>
        <v>46.05</v>
      </c>
      <c r="H22" s="7">
        <f>'[9]Jul Prod'!F21</f>
        <v>5000000</v>
      </c>
      <c r="I22" s="8">
        <f t="shared" si="5"/>
        <v>5</v>
      </c>
      <c r="J22" s="10">
        <f t="shared" si="6"/>
        <v>15.35</v>
      </c>
      <c r="K22" s="7">
        <f>'[9]Jul Prod'!H276</f>
        <v>1051298</v>
      </c>
      <c r="L22" s="8">
        <f t="shared" si="7"/>
        <v>1.0512980000000001</v>
      </c>
      <c r="M22" s="10">
        <f t="shared" si="8"/>
        <v>3.2274848600000001</v>
      </c>
      <c r="N22" s="21"/>
      <c r="O22" s="7">
        <f>'[9]Jul Prod'!H21</f>
        <v>9506000.0000000037</v>
      </c>
      <c r="P22" s="8">
        <f t="shared" si="9"/>
        <v>9.5060000000000038</v>
      </c>
      <c r="Q22" s="10">
        <f t="shared" si="10"/>
        <v>29.183420000000009</v>
      </c>
      <c r="R22" s="7">
        <f>'[9]Jul Prod'!C21</f>
        <v>13251000</v>
      </c>
      <c r="S22" s="8">
        <f t="shared" si="11"/>
        <v>13.250999999999999</v>
      </c>
      <c r="T22" s="10">
        <f t="shared" si="12"/>
        <v>40.680569999999996</v>
      </c>
      <c r="U22" s="7">
        <f>'[9]Jul Prod'!D21</f>
        <v>3070000</v>
      </c>
      <c r="V22" s="8">
        <f t="shared" si="13"/>
        <v>3.07</v>
      </c>
      <c r="W22" s="10">
        <f t="shared" si="14"/>
        <v>9.4248999999999992</v>
      </c>
      <c r="X22" s="7">
        <f>'[9]Jul Prod'!D276</f>
        <v>674999.99999999721</v>
      </c>
      <c r="Y22" s="8">
        <f t="shared" si="15"/>
        <v>0.67499999999999716</v>
      </c>
      <c r="Z22" s="10">
        <f t="shared" si="16"/>
        <v>2.072249999999991</v>
      </c>
      <c r="AA22" s="15"/>
      <c r="AB22" s="7">
        <f>'[9]Jul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28805999.999999277</v>
      </c>
      <c r="AG22" s="8">
        <f t="shared" si="20"/>
        <v>28.805999999999276</v>
      </c>
      <c r="AH22" s="8">
        <f t="shared" si="21"/>
        <v>88.434419999997772</v>
      </c>
      <c r="AI22" s="18"/>
      <c r="AJ22" s="8">
        <f t="shared" si="22"/>
        <v>9.4248999999999956</v>
      </c>
    </row>
    <row r="23" spans="1:36" x14ac:dyDescent="0.15">
      <c r="A23" s="28">
        <v>38552</v>
      </c>
      <c r="B23" s="7">
        <f>'[9]Jul Prod'!I22</f>
        <v>18300000.000001092</v>
      </c>
      <c r="C23" s="8">
        <f t="shared" si="1"/>
        <v>18.300000000001091</v>
      </c>
      <c r="D23" s="10">
        <f t="shared" si="2"/>
        <v>56.181000000003351</v>
      </c>
      <c r="E23" s="7">
        <f>'[9]Jul Prod'!E22</f>
        <v>16000000</v>
      </c>
      <c r="F23" s="8">
        <f t="shared" si="3"/>
        <v>16</v>
      </c>
      <c r="G23" s="10">
        <f t="shared" si="4"/>
        <v>49.12</v>
      </c>
      <c r="H23" s="7">
        <f>'[9]Jul Prod'!F22</f>
        <v>3000000</v>
      </c>
      <c r="I23" s="8">
        <f t="shared" si="5"/>
        <v>3</v>
      </c>
      <c r="J23" s="10">
        <f t="shared" si="6"/>
        <v>9.2099999999999991</v>
      </c>
      <c r="K23" s="7">
        <f>'[9]Jul Prod'!H277</f>
        <v>1056784</v>
      </c>
      <c r="L23" s="8">
        <f t="shared" si="7"/>
        <v>1.0567839999999999</v>
      </c>
      <c r="M23" s="10">
        <f t="shared" si="8"/>
        <v>3.2443268799999996</v>
      </c>
      <c r="N23" s="21"/>
      <c r="O23" s="7">
        <f>'[9]Jul Prod'!H22</f>
        <v>9764999.9999999963</v>
      </c>
      <c r="P23" s="8">
        <f t="shared" si="9"/>
        <v>9.764999999999997</v>
      </c>
      <c r="Q23" s="10">
        <f t="shared" si="10"/>
        <v>29.978549999999988</v>
      </c>
      <c r="R23" s="7">
        <f>'[9]Jul Prod'!C22</f>
        <v>11634000</v>
      </c>
      <c r="S23" s="8">
        <f t="shared" si="11"/>
        <v>11.634</v>
      </c>
      <c r="T23" s="10">
        <f t="shared" si="12"/>
        <v>35.716380000000001</v>
      </c>
      <c r="U23" s="7">
        <f>'[9]Jul Prod'!D22</f>
        <v>1194000</v>
      </c>
      <c r="V23" s="8">
        <f t="shared" si="13"/>
        <v>1.194</v>
      </c>
      <c r="W23" s="10">
        <f t="shared" si="14"/>
        <v>3.6655799999999998</v>
      </c>
      <c r="X23" s="7">
        <f>'[9]Jul Prod'!D277</f>
        <v>675000.00000000431</v>
      </c>
      <c r="Y23" s="8">
        <f t="shared" si="15"/>
        <v>0.67500000000000426</v>
      </c>
      <c r="Z23" s="10">
        <f t="shared" si="16"/>
        <v>2.0722500000000128</v>
      </c>
      <c r="AA23" s="15"/>
      <c r="AB23" s="7">
        <f>'[9]Jul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28065000.000001088</v>
      </c>
      <c r="AG23" s="8">
        <f t="shared" si="20"/>
        <v>28.065000000001088</v>
      </c>
      <c r="AH23" s="8">
        <f t="shared" si="21"/>
        <v>86.159550000003335</v>
      </c>
      <c r="AJ23" s="8">
        <f t="shared" si="22"/>
        <v>3.6655800000000003</v>
      </c>
    </row>
    <row r="24" spans="1:36" x14ac:dyDescent="0.15">
      <c r="A24" s="28">
        <v>38553</v>
      </c>
      <c r="B24" s="7">
        <f>'[9]Jul Prod'!I23</f>
        <v>17599999.999998543</v>
      </c>
      <c r="C24" s="8">
        <f t="shared" si="1"/>
        <v>17.599999999998545</v>
      </c>
      <c r="D24" s="10">
        <f t="shared" si="2"/>
        <v>54.031999999995527</v>
      </c>
      <c r="E24" s="7">
        <f>'[9]Jul Prod'!E23</f>
        <v>14000000</v>
      </c>
      <c r="F24" s="8">
        <f t="shared" si="3"/>
        <v>14</v>
      </c>
      <c r="G24" s="10">
        <f t="shared" si="4"/>
        <v>42.98</v>
      </c>
      <c r="H24" s="7">
        <f>'[9]Jul Prod'!F23</f>
        <v>5000000</v>
      </c>
      <c r="I24" s="8">
        <f t="shared" si="5"/>
        <v>5</v>
      </c>
      <c r="J24" s="10">
        <f t="shared" si="6"/>
        <v>15.35</v>
      </c>
      <c r="K24" s="7">
        <f>'[9]Jul Prod'!H278</f>
        <v>1058254</v>
      </c>
      <c r="L24" s="8">
        <f t="shared" si="7"/>
        <v>1.058254</v>
      </c>
      <c r="M24" s="10">
        <f t="shared" si="8"/>
        <v>3.24883978</v>
      </c>
      <c r="N24" s="21"/>
      <c r="O24" s="7">
        <f>'[9]Jul Prod'!H23</f>
        <v>7189000.0000000065</v>
      </c>
      <c r="P24" s="8">
        <f t="shared" si="9"/>
        <v>7.1890000000000063</v>
      </c>
      <c r="Q24" s="10">
        <f t="shared" si="10"/>
        <v>22.070230000000016</v>
      </c>
      <c r="R24" s="7">
        <f>'[9]Jul Prod'!C23</f>
        <v>7957000</v>
      </c>
      <c r="S24" s="8">
        <f t="shared" si="11"/>
        <v>7.9569999999999999</v>
      </c>
      <c r="T24" s="10">
        <f t="shared" si="12"/>
        <v>24.427989999999998</v>
      </c>
      <c r="U24" s="7">
        <f>'[9]Jul Prod'!D23</f>
        <v>0</v>
      </c>
      <c r="V24" s="8">
        <f t="shared" si="13"/>
        <v>0</v>
      </c>
      <c r="W24" s="10">
        <f t="shared" si="14"/>
        <v>0</v>
      </c>
      <c r="X24" s="7">
        <f>'[9]Jul Prod'!D278</f>
        <v>767999.9999999936</v>
      </c>
      <c r="Y24" s="8">
        <f t="shared" si="15"/>
        <v>0.76799999999999358</v>
      </c>
      <c r="Z24" s="10">
        <f t="shared" si="16"/>
        <v>2.3577599999999803</v>
      </c>
      <c r="AA24" s="15"/>
      <c r="AB24" s="7">
        <f>'[9]Jul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24788999.999998551</v>
      </c>
      <c r="AG24" s="8">
        <f t="shared" si="20"/>
        <v>24.788999999998552</v>
      </c>
      <c r="AH24" s="8">
        <f t="shared" si="21"/>
        <v>76.102229999995544</v>
      </c>
      <c r="AJ24" s="8">
        <f t="shared" si="22"/>
        <v>0</v>
      </c>
    </row>
    <row r="25" spans="1:36" x14ac:dyDescent="0.15">
      <c r="A25" s="28">
        <v>38554</v>
      </c>
      <c r="B25" s="7">
        <f>'[9]Jul Prod'!I24</f>
        <v>17400000.000001457</v>
      </c>
      <c r="C25" s="8">
        <f t="shared" si="1"/>
        <v>17.400000000001455</v>
      </c>
      <c r="D25" s="10">
        <f t="shared" si="2"/>
        <v>53.418000000004461</v>
      </c>
      <c r="E25" s="7">
        <f>'[9]Jul Prod'!E24</f>
        <v>14000000</v>
      </c>
      <c r="F25" s="8">
        <f t="shared" si="3"/>
        <v>14</v>
      </c>
      <c r="G25" s="10">
        <f t="shared" si="4"/>
        <v>42.98</v>
      </c>
      <c r="H25" s="7">
        <f>'[9]Jul Prod'!F24</f>
        <v>5000000</v>
      </c>
      <c r="I25" s="8">
        <f t="shared" si="5"/>
        <v>5</v>
      </c>
      <c r="J25" s="10">
        <f t="shared" si="6"/>
        <v>15.35</v>
      </c>
      <c r="K25" s="7">
        <f>'[9]Jul Prod'!H279</f>
        <v>1042438</v>
      </c>
      <c r="L25" s="8">
        <f t="shared" si="7"/>
        <v>1.042438</v>
      </c>
      <c r="M25" s="10">
        <f t="shared" si="8"/>
        <v>3.2002846599999999</v>
      </c>
      <c r="N25" s="21"/>
      <c r="O25" s="7">
        <f>'[9]Jul Prod'!H24</f>
        <v>8264999.9999999963</v>
      </c>
      <c r="P25" s="8">
        <f t="shared" si="9"/>
        <v>8.264999999999997</v>
      </c>
      <c r="Q25" s="10">
        <f t="shared" si="10"/>
        <v>25.373549999999991</v>
      </c>
      <c r="R25" s="7">
        <f>'[9]Jul Prod'!C24</f>
        <v>8794000</v>
      </c>
      <c r="S25" s="8">
        <f t="shared" si="11"/>
        <v>8.7940000000000005</v>
      </c>
      <c r="T25" s="10">
        <f t="shared" si="12"/>
        <v>26.997579999999999</v>
      </c>
      <c r="U25" s="7">
        <f>'[9]Jul Prod'!D24</f>
        <v>0</v>
      </c>
      <c r="V25" s="8">
        <f t="shared" si="13"/>
        <v>0</v>
      </c>
      <c r="W25" s="10">
        <f t="shared" si="14"/>
        <v>0</v>
      </c>
      <c r="X25" s="7">
        <f>'[9]Jul Prod'!D279</f>
        <v>529000.00000000349</v>
      </c>
      <c r="Y25" s="8">
        <f t="shared" si="15"/>
        <v>0.52900000000000347</v>
      </c>
      <c r="Z25" s="10">
        <f t="shared" si="16"/>
        <v>1.6240300000000105</v>
      </c>
      <c r="AA25" s="15"/>
      <c r="AB25" s="7">
        <f>'[9]Jul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25665000.000001453</v>
      </c>
      <c r="AG25" s="8">
        <f t="shared" si="20"/>
        <v>25.665000000001452</v>
      </c>
      <c r="AH25" s="8">
        <f t="shared" si="21"/>
        <v>78.791550000004449</v>
      </c>
      <c r="AJ25" s="8">
        <f t="shared" si="22"/>
        <v>-2.2204460492503131E-15</v>
      </c>
    </row>
    <row r="26" spans="1:36" x14ac:dyDescent="0.15">
      <c r="A26" s="28">
        <v>38555</v>
      </c>
      <c r="B26" s="7">
        <f>'[9]Jul Prod'!I25</f>
        <v>21299999.999999274</v>
      </c>
      <c r="C26" s="8">
        <f t="shared" si="1"/>
        <v>21.299999999999272</v>
      </c>
      <c r="D26" s="10">
        <f t="shared" si="2"/>
        <v>65.39099999999776</v>
      </c>
      <c r="E26" s="7">
        <f>'[9]Jul Prod'!E25</f>
        <v>18000000</v>
      </c>
      <c r="F26" s="8">
        <f t="shared" si="3"/>
        <v>18</v>
      </c>
      <c r="G26" s="10">
        <f t="shared" si="4"/>
        <v>55.26</v>
      </c>
      <c r="H26" s="7">
        <f>'[9]Jul Prod'!F25</f>
        <v>5000000</v>
      </c>
      <c r="I26" s="8">
        <f t="shared" si="5"/>
        <v>5</v>
      </c>
      <c r="J26" s="10">
        <f t="shared" si="6"/>
        <v>15.35</v>
      </c>
      <c r="K26" s="7">
        <f>'[9]Jul Prod'!H280</f>
        <v>1200580</v>
      </c>
      <c r="L26" s="8">
        <f t="shared" si="7"/>
        <v>1.20058</v>
      </c>
      <c r="M26" s="10">
        <f t="shared" si="8"/>
        <v>3.6857805999999997</v>
      </c>
      <c r="N26" s="21"/>
      <c r="O26" s="7">
        <f>'[9]Jul Prod'!H25</f>
        <v>12190000</v>
      </c>
      <c r="P26" s="8">
        <f t="shared" si="9"/>
        <v>12.19</v>
      </c>
      <c r="Q26" s="10">
        <f t="shared" si="10"/>
        <v>37.423299999999998</v>
      </c>
      <c r="R26" s="7">
        <f>'[9]Jul Prod'!C25</f>
        <v>12772000</v>
      </c>
      <c r="S26" s="8">
        <f t="shared" si="11"/>
        <v>12.772</v>
      </c>
      <c r="T26" s="10">
        <f t="shared" si="12"/>
        <v>39.210039999999999</v>
      </c>
      <c r="U26" s="7">
        <f>'[9]Jul Prod'!D25</f>
        <v>0</v>
      </c>
      <c r="V26" s="8">
        <f t="shared" si="13"/>
        <v>0</v>
      </c>
      <c r="W26" s="10">
        <f t="shared" si="14"/>
        <v>0</v>
      </c>
      <c r="X26" s="7">
        <f>'[9]Jul Prod'!D280</f>
        <v>582000.0000000007</v>
      </c>
      <c r="Y26" s="8">
        <f t="shared" si="15"/>
        <v>0.58200000000000074</v>
      </c>
      <c r="Z26" s="10">
        <f t="shared" si="16"/>
        <v>1.7867400000000022</v>
      </c>
      <c r="AA26" s="15"/>
      <c r="AB26" s="7">
        <f>'[9]Jul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33489999.999999274</v>
      </c>
      <c r="AG26" s="8">
        <f t="shared" si="20"/>
        <v>33.48999999999927</v>
      </c>
      <c r="AH26" s="8">
        <f t="shared" si="21"/>
        <v>102.81429999999776</v>
      </c>
      <c r="AJ26" s="8">
        <f t="shared" si="22"/>
        <v>0</v>
      </c>
    </row>
    <row r="27" spans="1:36" x14ac:dyDescent="0.15">
      <c r="A27" s="28">
        <v>38556</v>
      </c>
      <c r="B27" s="7">
        <f>'[9]Jul Prod'!I26</f>
        <v>20799999.999999274</v>
      </c>
      <c r="C27" s="8">
        <f t="shared" si="1"/>
        <v>20.799999999999272</v>
      </c>
      <c r="D27" s="10">
        <f t="shared" si="2"/>
        <v>63.855999999997763</v>
      </c>
      <c r="E27" s="7">
        <f>'[9]Jul Prod'!E26</f>
        <v>17000000</v>
      </c>
      <c r="F27" s="8">
        <f t="shared" si="3"/>
        <v>17</v>
      </c>
      <c r="G27" s="10">
        <f t="shared" si="4"/>
        <v>52.19</v>
      </c>
      <c r="H27" s="7">
        <f>'[9]Jul Prod'!F26</f>
        <v>5000000</v>
      </c>
      <c r="I27" s="8">
        <f t="shared" si="5"/>
        <v>5</v>
      </c>
      <c r="J27" s="10">
        <f t="shared" si="6"/>
        <v>15.35</v>
      </c>
      <c r="K27" s="7">
        <f>'[9]Jul Prod'!H281</f>
        <v>1100295</v>
      </c>
      <c r="L27" s="8">
        <f t="shared" si="7"/>
        <v>1.100295</v>
      </c>
      <c r="M27" s="10">
        <f t="shared" si="8"/>
        <v>3.3779056499999998</v>
      </c>
      <c r="N27" s="21"/>
      <c r="O27" s="7">
        <f>'[9]Jul Prod'!H26</f>
        <v>11250000.000000004</v>
      </c>
      <c r="P27" s="8">
        <f t="shared" si="9"/>
        <v>11.250000000000004</v>
      </c>
      <c r="Q27" s="10">
        <f t="shared" si="10"/>
        <v>34.537500000000009</v>
      </c>
      <c r="R27" s="7">
        <f>'[9]Jul Prod'!C26</f>
        <v>11986000</v>
      </c>
      <c r="S27" s="8">
        <f t="shared" si="11"/>
        <v>11.986000000000001</v>
      </c>
      <c r="T27" s="10">
        <f t="shared" si="12"/>
        <v>36.797020000000003</v>
      </c>
      <c r="U27" s="7">
        <f>'[9]Jul Prod'!D26</f>
        <v>0</v>
      </c>
      <c r="V27" s="8">
        <f t="shared" si="13"/>
        <v>0</v>
      </c>
      <c r="W27" s="10">
        <f t="shared" si="14"/>
        <v>0</v>
      </c>
      <c r="X27" s="7">
        <f>'[9]Jul Prod'!D281</f>
        <v>735999.99999999709</v>
      </c>
      <c r="Y27" s="8">
        <f t="shared" si="15"/>
        <v>0.7359999999999971</v>
      </c>
      <c r="Z27" s="10">
        <f t="shared" si="16"/>
        <v>2.2595199999999909</v>
      </c>
      <c r="AA27" s="15"/>
      <c r="AB27" s="7">
        <f>'[9]Jul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32049999.999999277</v>
      </c>
      <c r="AG27" s="8">
        <f t="shared" si="20"/>
        <v>32.049999999999272</v>
      </c>
      <c r="AH27" s="8">
        <f t="shared" si="21"/>
        <v>98.393499999997772</v>
      </c>
      <c r="AJ27" s="8">
        <f t="shared" si="22"/>
        <v>3.9968028886505635E-15</v>
      </c>
    </row>
    <row r="28" spans="1:36" x14ac:dyDescent="0.15">
      <c r="A28" s="28">
        <v>38557</v>
      </c>
      <c r="B28" s="7">
        <f>'[9]Jul Prod'!I27</f>
        <v>24000000</v>
      </c>
      <c r="C28" s="8">
        <f t="shared" si="1"/>
        <v>24</v>
      </c>
      <c r="D28" s="10">
        <f t="shared" si="2"/>
        <v>73.679999999999993</v>
      </c>
      <c r="E28" s="7">
        <f>'[9]Jul Prod'!E27</f>
        <v>20000000</v>
      </c>
      <c r="F28" s="8">
        <f t="shared" si="3"/>
        <v>20</v>
      </c>
      <c r="G28" s="10">
        <f t="shared" si="4"/>
        <v>61.4</v>
      </c>
      <c r="H28" s="7">
        <f>'[9]Jul Prod'!F27</f>
        <v>5000000</v>
      </c>
      <c r="I28" s="8">
        <f t="shared" si="5"/>
        <v>5</v>
      </c>
      <c r="J28" s="10">
        <f t="shared" si="6"/>
        <v>15.35</v>
      </c>
      <c r="K28" s="7">
        <f>'[9]Jul Prod'!H282</f>
        <v>1326662</v>
      </c>
      <c r="L28" s="8">
        <f t="shared" si="7"/>
        <v>1.326662</v>
      </c>
      <c r="M28" s="10">
        <f t="shared" si="8"/>
        <v>4.0728523399999998</v>
      </c>
      <c r="N28" s="21"/>
      <c r="O28" s="7">
        <f>'[9]Jul Prod'!H27</f>
        <v>10609000</v>
      </c>
      <c r="P28" s="8">
        <f t="shared" si="9"/>
        <v>10.609</v>
      </c>
      <c r="Q28" s="10">
        <f t="shared" si="10"/>
        <v>32.569629999999997</v>
      </c>
      <c r="R28" s="7">
        <f>'[9]Jul Prod'!C27</f>
        <v>11286000</v>
      </c>
      <c r="S28" s="8">
        <f t="shared" si="11"/>
        <v>11.286</v>
      </c>
      <c r="T28" s="10">
        <f t="shared" si="12"/>
        <v>34.648019999999995</v>
      </c>
      <c r="U28" s="7">
        <f>'[9]Jul Prod'!D27</f>
        <v>0</v>
      </c>
      <c r="V28" s="8">
        <f t="shared" si="13"/>
        <v>0</v>
      </c>
      <c r="W28" s="10">
        <f t="shared" si="14"/>
        <v>0</v>
      </c>
      <c r="X28" s="7">
        <f>'[9]Jul Prod'!D282</f>
        <v>676999.99999999965</v>
      </c>
      <c r="Y28" s="8">
        <f t="shared" si="15"/>
        <v>0.6769999999999996</v>
      </c>
      <c r="Z28" s="10">
        <f t="shared" si="16"/>
        <v>2.0783899999999988</v>
      </c>
      <c r="AA28" s="15"/>
      <c r="AB28" s="7">
        <f>'[9]Jul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34609000</v>
      </c>
      <c r="AG28" s="8">
        <f t="shared" si="20"/>
        <v>34.609000000000002</v>
      </c>
      <c r="AH28" s="8">
        <f t="shared" si="21"/>
        <v>106.24963</v>
      </c>
      <c r="AJ28" s="8">
        <f t="shared" si="22"/>
        <v>0</v>
      </c>
    </row>
    <row r="29" spans="1:36" x14ac:dyDescent="0.15">
      <c r="A29" s="28">
        <v>38558</v>
      </c>
      <c r="B29" s="7">
        <f>'[9]Jul Prod'!I28</f>
        <v>25100000.000000365</v>
      </c>
      <c r="C29" s="8">
        <f t="shared" si="1"/>
        <v>25.100000000000364</v>
      </c>
      <c r="D29" s="10">
        <f t="shared" si="2"/>
        <v>77.057000000001111</v>
      </c>
      <c r="E29" s="7">
        <f>'[9]Jul Prod'!E28</f>
        <v>22000000</v>
      </c>
      <c r="F29" s="8">
        <f t="shared" si="3"/>
        <v>22</v>
      </c>
      <c r="G29" s="10">
        <f t="shared" si="4"/>
        <v>67.539999999999992</v>
      </c>
      <c r="H29" s="7">
        <f>'[9]Jul Prod'!F28</f>
        <v>5000000</v>
      </c>
      <c r="I29" s="8">
        <f t="shared" si="5"/>
        <v>5</v>
      </c>
      <c r="J29" s="10">
        <f t="shared" si="6"/>
        <v>15.35</v>
      </c>
      <c r="K29" s="7">
        <f>'[9]Jul Prod'!H283</f>
        <v>1506790</v>
      </c>
      <c r="L29" s="8">
        <f t="shared" si="7"/>
        <v>1.5067900000000001</v>
      </c>
      <c r="M29" s="10">
        <f t="shared" si="8"/>
        <v>4.6258452999999999</v>
      </c>
      <c r="N29" s="21"/>
      <c r="O29" s="7">
        <f>'[9]Jul Prod'!H28</f>
        <v>11287999.999999996</v>
      </c>
      <c r="P29" s="8">
        <f t="shared" si="9"/>
        <v>11.287999999999997</v>
      </c>
      <c r="Q29" s="10">
        <f t="shared" si="10"/>
        <v>34.65415999999999</v>
      </c>
      <c r="R29" s="7">
        <f>'[9]Jul Prod'!C28</f>
        <v>11921000</v>
      </c>
      <c r="S29" s="8">
        <f t="shared" si="11"/>
        <v>11.920999999999999</v>
      </c>
      <c r="T29" s="10">
        <f t="shared" si="12"/>
        <v>36.597469999999994</v>
      </c>
      <c r="U29" s="7">
        <f>'[9]Jul Prod'!D28</f>
        <v>0</v>
      </c>
      <c r="V29" s="8">
        <f t="shared" si="13"/>
        <v>0</v>
      </c>
      <c r="W29" s="10">
        <f t="shared" si="14"/>
        <v>0</v>
      </c>
      <c r="X29" s="7">
        <f>'[9]Jul Prod'!D283</f>
        <v>633000.00000000268</v>
      </c>
      <c r="Y29" s="8">
        <f t="shared" si="15"/>
        <v>0.63300000000000267</v>
      </c>
      <c r="Z29" s="10">
        <f t="shared" si="16"/>
        <v>1.9433100000000081</v>
      </c>
      <c r="AA29" s="15"/>
      <c r="AB29" s="7">
        <f>'[9]Jul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36388000.000000358</v>
      </c>
      <c r="AG29" s="8">
        <f t="shared" si="20"/>
        <v>36.388000000000361</v>
      </c>
      <c r="AH29" s="8">
        <f t="shared" si="21"/>
        <v>111.7111600000011</v>
      </c>
      <c r="AJ29" s="8">
        <f t="shared" si="22"/>
        <v>-4.2188474935755949E-15</v>
      </c>
    </row>
    <row r="30" spans="1:36" x14ac:dyDescent="0.15">
      <c r="A30" s="28">
        <v>38559</v>
      </c>
      <c r="B30" s="7">
        <f>'[9]Jul Prod'!I29</f>
        <v>22200000.000000726</v>
      </c>
      <c r="C30" s="8">
        <f t="shared" si="1"/>
        <v>22.200000000000728</v>
      </c>
      <c r="D30" s="10">
        <f t="shared" si="2"/>
        <v>68.154000000002227</v>
      </c>
      <c r="E30" s="7">
        <f>'[9]Jul Prod'!E29</f>
        <v>18000000</v>
      </c>
      <c r="F30" s="8">
        <f t="shared" si="3"/>
        <v>18</v>
      </c>
      <c r="G30" s="10">
        <f t="shared" si="4"/>
        <v>55.26</v>
      </c>
      <c r="H30" s="7">
        <f>'[9]Jul Prod'!F29</f>
        <v>5000000</v>
      </c>
      <c r="I30" s="8">
        <f t="shared" si="5"/>
        <v>5</v>
      </c>
      <c r="J30" s="10">
        <f t="shared" si="6"/>
        <v>15.35</v>
      </c>
      <c r="K30" s="7">
        <f>'[9]Jul Prod'!H284</f>
        <v>1417852</v>
      </c>
      <c r="L30" s="8">
        <f>K30/1000000</f>
        <v>1.4178519999999999</v>
      </c>
      <c r="M30" s="10">
        <f t="shared" si="8"/>
        <v>4.3528056399999997</v>
      </c>
      <c r="N30" s="21"/>
      <c r="O30" s="7">
        <f>'[9]Jul Prod'!H29</f>
        <v>10104000.000000002</v>
      </c>
      <c r="P30" s="8">
        <f t="shared" si="9"/>
        <v>10.104000000000001</v>
      </c>
      <c r="Q30" s="10">
        <f t="shared" si="10"/>
        <v>31.019280000000002</v>
      </c>
      <c r="R30" s="7">
        <f>'[9]Jul Prod'!C29</f>
        <v>10785000</v>
      </c>
      <c r="S30" s="8">
        <f t="shared" si="11"/>
        <v>10.785</v>
      </c>
      <c r="T30" s="10">
        <f t="shared" si="12"/>
        <v>33.109949999999998</v>
      </c>
      <c r="U30" s="7">
        <f>'[9]Jul Prod'!D29</f>
        <v>0</v>
      </c>
      <c r="V30" s="8">
        <f t="shared" si="13"/>
        <v>0</v>
      </c>
      <c r="W30" s="10">
        <f t="shared" si="14"/>
        <v>0</v>
      </c>
      <c r="X30" s="7">
        <f>'[9]Jul Prod'!D284</f>
        <v>680999.99999999744</v>
      </c>
      <c r="Y30" s="8">
        <f t="shared" si="15"/>
        <v>0.68099999999999739</v>
      </c>
      <c r="Z30" s="10">
        <f t="shared" si="16"/>
        <v>2.0906699999999918</v>
      </c>
      <c r="AA30" s="15"/>
      <c r="AB30" s="7">
        <f>'[9]Jul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32304000.00000073</v>
      </c>
      <c r="AG30" s="8">
        <f t="shared" si="20"/>
        <v>32.304000000000727</v>
      </c>
      <c r="AH30" s="8">
        <f t="shared" si="21"/>
        <v>99.173280000002222</v>
      </c>
      <c r="AJ30" s="8">
        <f t="shared" si="22"/>
        <v>3.9968028886505635E-15</v>
      </c>
    </row>
    <row r="31" spans="1:36" x14ac:dyDescent="0.15">
      <c r="A31" s="28">
        <v>38560</v>
      </c>
      <c r="B31" s="7">
        <f>'[9]Jul Prod'!I30</f>
        <v>19199999.999998908</v>
      </c>
      <c r="C31" s="8">
        <f t="shared" si="1"/>
        <v>19.199999999998909</v>
      </c>
      <c r="D31" s="10">
        <f t="shared" si="2"/>
        <v>58.943999999996649</v>
      </c>
      <c r="E31" s="7">
        <f>'[9]Jul Prod'!E30</f>
        <v>16000000</v>
      </c>
      <c r="F31" s="8">
        <f t="shared" si="3"/>
        <v>16</v>
      </c>
      <c r="G31" s="10">
        <f t="shared" si="4"/>
        <v>49.12</v>
      </c>
      <c r="H31" s="7">
        <f>'[9]Jul Prod'!F30</f>
        <v>5000000</v>
      </c>
      <c r="I31" s="8">
        <f t="shared" si="5"/>
        <v>5</v>
      </c>
      <c r="J31" s="10">
        <f t="shared" si="6"/>
        <v>15.35</v>
      </c>
      <c r="K31" s="7">
        <f>'[9]Jul Prod'!H285</f>
        <v>1277200</v>
      </c>
      <c r="L31" s="8">
        <f t="shared" si="7"/>
        <v>1.2771999999999999</v>
      </c>
      <c r="M31" s="10">
        <f t="shared" si="8"/>
        <v>3.9210039999999995</v>
      </c>
      <c r="N31" s="21"/>
      <c r="O31" s="7">
        <f>'[9]Jul Prod'!H30</f>
        <v>9184999.9999999981</v>
      </c>
      <c r="P31" s="8">
        <f t="shared" si="9"/>
        <v>9.1849999999999987</v>
      </c>
      <c r="Q31" s="10">
        <f t="shared" si="10"/>
        <v>28.197949999999995</v>
      </c>
      <c r="R31" s="7">
        <f>'[9]Jul Prod'!C30</f>
        <v>9715000</v>
      </c>
      <c r="S31" s="8">
        <f t="shared" si="11"/>
        <v>9.7149999999999999</v>
      </c>
      <c r="T31" s="10">
        <f t="shared" si="12"/>
        <v>29.825049999999997</v>
      </c>
      <c r="U31" s="7">
        <f>'[9]Jul Prod'!D30</f>
        <v>0</v>
      </c>
      <c r="V31" s="8">
        <f t="shared" si="13"/>
        <v>0</v>
      </c>
      <c r="W31" s="10">
        <f t="shared" si="14"/>
        <v>0</v>
      </c>
      <c r="X31" s="7">
        <f>'[9]Jul Prod'!D285</f>
        <v>530000.00000000116</v>
      </c>
      <c r="Y31" s="8">
        <f t="shared" si="15"/>
        <v>0.53000000000000114</v>
      </c>
      <c r="Z31" s="10">
        <f t="shared" si="16"/>
        <v>1.6271000000000033</v>
      </c>
      <c r="AA31" s="15"/>
      <c r="AB31" s="7">
        <f>'[9]Jul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28384999.999998905</v>
      </c>
      <c r="AG31" s="8">
        <f t="shared" si="20"/>
        <v>28.384999999998907</v>
      </c>
      <c r="AH31" s="8">
        <f t="shared" si="21"/>
        <v>87.14194999999664</v>
      </c>
      <c r="AJ31" s="8">
        <f t="shared" si="22"/>
        <v>0</v>
      </c>
    </row>
    <row r="32" spans="1:36" x14ac:dyDescent="0.15">
      <c r="A32" s="28">
        <v>38561</v>
      </c>
      <c r="B32" s="7">
        <f>'[9]Jul Prod'!I31</f>
        <v>20000000</v>
      </c>
      <c r="C32" s="8">
        <f t="shared" si="1"/>
        <v>20</v>
      </c>
      <c r="D32" s="10">
        <f t="shared" si="2"/>
        <v>61.4</v>
      </c>
      <c r="E32" s="7">
        <f>'[9]Jul Prod'!E31</f>
        <v>16000000</v>
      </c>
      <c r="F32" s="8">
        <f t="shared" si="3"/>
        <v>16</v>
      </c>
      <c r="G32" s="10">
        <f t="shared" si="4"/>
        <v>49.12</v>
      </c>
      <c r="H32" s="7">
        <f>'[9]Jul Prod'!F31</f>
        <v>5000000</v>
      </c>
      <c r="I32" s="8">
        <f t="shared" si="5"/>
        <v>5</v>
      </c>
      <c r="J32" s="10">
        <f t="shared" si="6"/>
        <v>15.35</v>
      </c>
      <c r="K32" s="7">
        <f>'[9]Jul Prod'!H286</f>
        <v>1202696</v>
      </c>
      <c r="L32" s="8">
        <f t="shared" si="7"/>
        <v>1.202696</v>
      </c>
      <c r="M32" s="10">
        <f t="shared" si="8"/>
        <v>3.6922767199999997</v>
      </c>
      <c r="N32" s="21"/>
      <c r="O32" s="7">
        <f>'[9]Jul Prod'!H31</f>
        <v>8588000</v>
      </c>
      <c r="P32" s="8">
        <f t="shared" si="9"/>
        <v>8.5879999999999992</v>
      </c>
      <c r="Q32" s="10">
        <f t="shared" si="10"/>
        <v>26.365159999999996</v>
      </c>
      <c r="R32" s="7">
        <f>'[9]Jul Prod'!C31</f>
        <v>9218000</v>
      </c>
      <c r="S32" s="8">
        <f t="shared" si="11"/>
        <v>9.218</v>
      </c>
      <c r="T32" s="10">
        <f t="shared" si="12"/>
        <v>28.299259999999997</v>
      </c>
      <c r="U32" s="7">
        <f>'[9]Jul Prod'!D31</f>
        <v>1000</v>
      </c>
      <c r="V32" s="8">
        <f t="shared" si="13"/>
        <v>1E-3</v>
      </c>
      <c r="W32" s="10">
        <f t="shared" si="14"/>
        <v>3.0699999999999998E-3</v>
      </c>
      <c r="X32" s="7">
        <f>'[9]Jul Prod'!D286</f>
        <v>631000.00000000023</v>
      </c>
      <c r="Y32" s="8">
        <f t="shared" si="15"/>
        <v>0.63100000000000023</v>
      </c>
      <c r="Z32" s="10">
        <f t="shared" si="16"/>
        <v>1.9371700000000005</v>
      </c>
      <c r="AA32" s="15"/>
      <c r="AB32" s="7">
        <f>'[9]Jul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28588000</v>
      </c>
      <c r="AG32" s="8">
        <f t="shared" si="20"/>
        <v>28.588000000000001</v>
      </c>
      <c r="AH32" s="8">
        <f t="shared" si="21"/>
        <v>87.765159999999995</v>
      </c>
      <c r="AJ32" s="8">
        <f t="shared" si="22"/>
        <v>-3.0699999999996841E-3</v>
      </c>
    </row>
    <row r="33" spans="1:36" x14ac:dyDescent="0.15">
      <c r="A33" s="28">
        <v>38562</v>
      </c>
      <c r="B33" s="7">
        <f>'[9]Jul Prod'!I32</f>
        <v>23600000.000000365</v>
      </c>
      <c r="C33" s="8">
        <f t="shared" si="1"/>
        <v>23.600000000000364</v>
      </c>
      <c r="D33" s="10">
        <f t="shared" si="2"/>
        <v>72.452000000001107</v>
      </c>
      <c r="E33" s="7">
        <f>'[9]Jul Prod'!E32</f>
        <v>20000000</v>
      </c>
      <c r="F33" s="8">
        <f t="shared" si="3"/>
        <v>20</v>
      </c>
      <c r="G33" s="10">
        <f t="shared" si="4"/>
        <v>61.4</v>
      </c>
      <c r="H33" s="7">
        <f>'[9]Jul Prod'!F32</f>
        <v>5000000</v>
      </c>
      <c r="I33" s="8">
        <f t="shared" si="5"/>
        <v>5</v>
      </c>
      <c r="J33" s="10">
        <f t="shared" si="6"/>
        <v>15.35</v>
      </c>
      <c r="K33" s="7">
        <f>'[9]Jul Prod'!H287</f>
        <v>1552968</v>
      </c>
      <c r="L33" s="8">
        <f t="shared" si="7"/>
        <v>1.5529679999999999</v>
      </c>
      <c r="M33" s="10">
        <f t="shared" si="8"/>
        <v>4.7676117599999994</v>
      </c>
      <c r="N33" s="21"/>
      <c r="O33" s="7">
        <f>'[9]Jul Prod'!H32</f>
        <v>10987999.999999996</v>
      </c>
      <c r="P33" s="8">
        <f t="shared" si="9"/>
        <v>10.987999999999996</v>
      </c>
      <c r="Q33" s="10">
        <f t="shared" si="10"/>
        <v>33.733159999999984</v>
      </c>
      <c r="R33" s="7">
        <f>'[9]Jul Prod'!C32</f>
        <v>11517000</v>
      </c>
      <c r="S33" s="8">
        <f t="shared" si="11"/>
        <v>11.516999999999999</v>
      </c>
      <c r="T33" s="10">
        <f t="shared" si="12"/>
        <v>35.357189999999996</v>
      </c>
      <c r="U33" s="7">
        <f>'[9]Jul Prod'!D32</f>
        <v>0</v>
      </c>
      <c r="V33" s="8">
        <f t="shared" si="13"/>
        <v>0</v>
      </c>
      <c r="W33" s="10">
        <f t="shared" si="14"/>
        <v>0</v>
      </c>
      <c r="X33" s="7">
        <f>'[9]Jul Prod'!D287</f>
        <v>529000.00000000349</v>
      </c>
      <c r="Y33" s="8">
        <f t="shared" si="15"/>
        <v>0.52900000000000347</v>
      </c>
      <c r="Z33" s="10">
        <f t="shared" si="16"/>
        <v>1.6240300000000105</v>
      </c>
      <c r="AA33" s="15"/>
      <c r="AB33" s="7">
        <f>'[9]Jul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34588000.000000358</v>
      </c>
      <c r="AG33" s="8">
        <f t="shared" si="20"/>
        <v>34.588000000000363</v>
      </c>
      <c r="AH33" s="8">
        <f t="shared" si="21"/>
        <v>106.18516000000109</v>
      </c>
      <c r="AJ33" s="8">
        <f t="shared" si="22"/>
        <v>0</v>
      </c>
    </row>
    <row r="34" spans="1:36" x14ac:dyDescent="0.15">
      <c r="A34" s="28">
        <v>38563</v>
      </c>
      <c r="B34" s="7">
        <f>'[9]Jul Prod'!I33</f>
        <v>23899999.999999635</v>
      </c>
      <c r="C34" s="8">
        <f t="shared" si="1"/>
        <v>23.899999999999636</v>
      </c>
      <c r="D34" s="10">
        <f t="shared" si="2"/>
        <v>73.372999999998882</v>
      </c>
      <c r="E34" s="7">
        <f>'[9]Jul Prod'!E33</f>
        <v>20000000</v>
      </c>
      <c r="F34" s="8">
        <f t="shared" si="3"/>
        <v>20</v>
      </c>
      <c r="G34" s="10">
        <f t="shared" si="4"/>
        <v>61.4</v>
      </c>
      <c r="H34" s="7">
        <f>'[9]Jul Prod'!F33</f>
        <v>5000000</v>
      </c>
      <c r="I34" s="8">
        <f t="shared" si="5"/>
        <v>5</v>
      </c>
      <c r="J34" s="10">
        <f t="shared" si="6"/>
        <v>15.35</v>
      </c>
      <c r="K34" s="7">
        <f>'[9]Jul Prod'!H288</f>
        <v>1455860</v>
      </c>
      <c r="L34" s="8">
        <f t="shared" si="7"/>
        <v>1.4558599999999999</v>
      </c>
      <c r="M34" s="10">
        <f t="shared" si="8"/>
        <v>4.4694901999999992</v>
      </c>
      <c r="N34" s="21"/>
      <c r="O34" s="7">
        <f>'[9]Jul Prod'!H33</f>
        <v>10917000.000000004</v>
      </c>
      <c r="P34" s="8">
        <f t="shared" si="9"/>
        <v>10.917000000000003</v>
      </c>
      <c r="Q34" s="10">
        <f t="shared" si="10"/>
        <v>33.515190000000011</v>
      </c>
      <c r="R34" s="7">
        <f>'[9]Jul Prod'!C33</f>
        <v>11650000</v>
      </c>
      <c r="S34" s="8">
        <f t="shared" si="11"/>
        <v>11.65</v>
      </c>
      <c r="T34" s="10">
        <f t="shared" si="12"/>
        <v>35.765499999999996</v>
      </c>
      <c r="U34" s="7">
        <f>'[9]Jul Prod'!D33</f>
        <v>0</v>
      </c>
      <c r="V34" s="8">
        <f t="shared" si="13"/>
        <v>0</v>
      </c>
      <c r="W34" s="10">
        <f t="shared" si="14"/>
        <v>0</v>
      </c>
      <c r="X34" s="7">
        <f>'[9]Jul Prod'!D288</f>
        <v>732999.99999999697</v>
      </c>
      <c r="Y34" s="8">
        <f t="shared" si="15"/>
        <v>0.73299999999999699</v>
      </c>
      <c r="Z34" s="10">
        <f t="shared" si="16"/>
        <v>2.2503099999999905</v>
      </c>
      <c r="AA34" s="15"/>
      <c r="AB34" s="7">
        <f>'[9]Jul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34816999.999999642</v>
      </c>
      <c r="AG34" s="8">
        <f t="shared" si="20"/>
        <v>34.816999999999638</v>
      </c>
      <c r="AH34" s="8">
        <f t="shared" si="21"/>
        <v>106.8881899999989</v>
      </c>
      <c r="AJ34" s="8">
        <f t="shared" si="22"/>
        <v>-5.773159728050814E-15</v>
      </c>
    </row>
    <row r="35" spans="1:36" ht="14" thickBot="1" x14ac:dyDescent="0.2">
      <c r="A35" s="28">
        <v>38564</v>
      </c>
      <c r="B35" s="7">
        <f>'[9]Jul Prod'!I34</f>
        <v>24100000.000000365</v>
      </c>
      <c r="C35" s="9">
        <f t="shared" si="1"/>
        <v>24.100000000000364</v>
      </c>
      <c r="D35" s="11">
        <f t="shared" si="2"/>
        <v>73.987000000001117</v>
      </c>
      <c r="E35" s="7">
        <f>'[9]Jul Prod'!E34</f>
        <v>21000000</v>
      </c>
      <c r="F35" s="9">
        <f t="shared" si="3"/>
        <v>21</v>
      </c>
      <c r="G35" s="11">
        <f t="shared" si="4"/>
        <v>64.47</v>
      </c>
      <c r="H35" s="7">
        <f>'[9]Jul Prod'!F34</f>
        <v>5000000</v>
      </c>
      <c r="I35" s="9">
        <f t="shared" si="5"/>
        <v>5</v>
      </c>
      <c r="J35" s="11">
        <f t="shared" si="6"/>
        <v>15.35</v>
      </c>
      <c r="K35" s="7">
        <f>'[9]Jul Prod'!H289</f>
        <v>1507757</v>
      </c>
      <c r="L35" s="9">
        <f t="shared" si="7"/>
        <v>1.507757</v>
      </c>
      <c r="M35" s="11">
        <f t="shared" si="8"/>
        <v>4.6288139899999994</v>
      </c>
      <c r="N35" s="21"/>
      <c r="O35" s="7">
        <f>'[9]Jul Prod'!H34</f>
        <v>11330000.000000002</v>
      </c>
      <c r="P35" s="9">
        <f t="shared" si="9"/>
        <v>11.330000000000002</v>
      </c>
      <c r="Q35" s="11">
        <f t="shared" si="10"/>
        <v>34.783100000000005</v>
      </c>
      <c r="R35" s="7">
        <f>'[9]Jul Prod'!C34</f>
        <v>12014000</v>
      </c>
      <c r="S35" s="9">
        <f t="shared" si="11"/>
        <v>12.013999999999999</v>
      </c>
      <c r="T35" s="11">
        <f t="shared" si="12"/>
        <v>36.882979999999996</v>
      </c>
      <c r="U35" s="7">
        <f>'[9]Jul Prod'!D34</f>
        <v>0</v>
      </c>
      <c r="V35" s="9">
        <f t="shared" si="13"/>
        <v>0</v>
      </c>
      <c r="W35" s="11">
        <f t="shared" si="14"/>
        <v>0</v>
      </c>
      <c r="X35" s="7">
        <f>'[9]Jul Prod'!D289</f>
        <v>683999.99999999756</v>
      </c>
      <c r="Y35" s="9">
        <f t="shared" si="15"/>
        <v>0.68399999999999761</v>
      </c>
      <c r="Z35" s="11">
        <f t="shared" si="16"/>
        <v>2.0998799999999926</v>
      </c>
      <c r="AA35" s="15"/>
      <c r="AB35" s="7">
        <f>'[9]Jul Prod'!G34</f>
        <v>0</v>
      </c>
      <c r="AC35" s="9">
        <f t="shared" si="17"/>
        <v>0</v>
      </c>
      <c r="AD35" s="11">
        <f t="shared" si="18"/>
        <v>0</v>
      </c>
      <c r="AF35" s="7">
        <f t="shared" si="19"/>
        <v>35430000.000000365</v>
      </c>
      <c r="AG35" s="8">
        <f t="shared" si="20"/>
        <v>35.430000000000362</v>
      </c>
      <c r="AH35" s="8">
        <f t="shared" si="21"/>
        <v>108.77010000000112</v>
      </c>
      <c r="AJ35" s="8">
        <f t="shared" si="22"/>
        <v>0</v>
      </c>
    </row>
    <row r="36" spans="1:36" ht="14" thickBot="1" x14ac:dyDescent="0.2">
      <c r="A36" s="14"/>
      <c r="B36" s="39"/>
      <c r="C36" s="40">
        <f>SUM(C5:C35)</f>
        <v>597.69999999999891</v>
      </c>
      <c r="D36" s="40">
        <f t="shared" si="2"/>
        <v>1834.9389999999964</v>
      </c>
      <c r="E36" s="39"/>
      <c r="F36" s="40">
        <f>SUM(F5:F35)</f>
        <v>526</v>
      </c>
      <c r="G36" s="40">
        <f t="shared" si="4"/>
        <v>1614.82</v>
      </c>
      <c r="H36" s="39"/>
      <c r="I36" s="40">
        <f>SUM(I5:I35)</f>
        <v>114</v>
      </c>
      <c r="J36" s="40">
        <f t="shared" si="6"/>
        <v>349.97999999999996</v>
      </c>
      <c r="K36" s="39"/>
      <c r="L36" s="40">
        <f>SUM(L5:L35)</f>
        <v>38.450240999999998</v>
      </c>
      <c r="M36" s="40">
        <f t="shared" si="8"/>
        <v>118.04223986999999</v>
      </c>
      <c r="N36" s="14"/>
      <c r="O36" s="39"/>
      <c r="P36" s="40">
        <f>SUM(P5:P35)</f>
        <v>289.06599999999997</v>
      </c>
      <c r="Q36" s="40">
        <f t="shared" si="10"/>
        <v>887.43261999999993</v>
      </c>
      <c r="R36" s="39"/>
      <c r="S36" s="40">
        <f>SUM(S5:S35)</f>
        <v>363.31600000000003</v>
      </c>
      <c r="T36" s="40">
        <f t="shared" si="12"/>
        <v>1115.38012</v>
      </c>
      <c r="U36" s="39"/>
      <c r="V36" s="40">
        <f>SUM(V5:V35)</f>
        <v>55.634000000000007</v>
      </c>
      <c r="W36" s="40">
        <f t="shared" si="14"/>
        <v>170.79638000000003</v>
      </c>
      <c r="X36" s="39"/>
      <c r="Y36" s="40">
        <f>SUM(Y5:Y35)</f>
        <v>18.617999999999995</v>
      </c>
      <c r="Z36" s="40">
        <f t="shared" si="16"/>
        <v>57.15725999999998</v>
      </c>
      <c r="AA36" s="14"/>
      <c r="AB36" s="39"/>
      <c r="AC36" s="40">
        <f>SUM(AC5:AC35)</f>
        <v>0</v>
      </c>
      <c r="AD36" s="40">
        <f t="shared" si="18"/>
        <v>0</v>
      </c>
      <c r="AF36" s="39"/>
      <c r="AG36" s="40">
        <f>SUM(AG5:AG35)</f>
        <v>886.76599999999894</v>
      </c>
      <c r="AH36" s="40">
        <f>AG36*3.07</f>
        <v>2722.3716199999967</v>
      </c>
      <c r="AJ36" s="40">
        <f>SUM(AJ5:AJ35)</f>
        <v>170.79023999999998</v>
      </c>
    </row>
    <row r="37" spans="1:36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45"/>
      <c r="R37" s="3"/>
      <c r="S37" s="3"/>
      <c r="T37" s="3"/>
      <c r="U37" s="14"/>
    </row>
  </sheetData>
  <mergeCells count="10">
    <mergeCell ref="AF3:AH3"/>
    <mergeCell ref="R3:T3"/>
    <mergeCell ref="U3:W3"/>
    <mergeCell ref="AB3:AD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93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F38"/>
  <sheetViews>
    <sheetView workbookViewId="0">
      <pane xSplit="1" ySplit="4" topLeftCell="I16" activePane="bottomRight" state="frozen"/>
      <selection pane="topRight" activeCell="B1" sqref="B1"/>
      <selection pane="bottomLeft" activeCell="A5" sqref="A5"/>
      <selection pane="bottomRight" activeCell="B3" sqref="B3:M36"/>
    </sheetView>
  </sheetViews>
  <sheetFormatPr baseColWidth="10" defaultColWidth="8.83203125" defaultRowHeight="13" x14ac:dyDescent="0.15"/>
  <cols>
    <col min="2" max="2" width="12.83203125" customWidth="1"/>
    <col min="5" max="5" width="12.83203125" customWidth="1"/>
    <col min="8" max="8" width="11" customWidth="1"/>
    <col min="12" max="12" width="10.83203125" customWidth="1"/>
    <col min="15" max="15" width="11.33203125" customWidth="1"/>
    <col min="18" max="18" width="10.5" customWidth="1"/>
    <col min="22" max="22" width="10.5" customWidth="1"/>
    <col min="28" max="28" width="10.6640625" customWidth="1"/>
  </cols>
  <sheetData>
    <row r="1" spans="1:32" x14ac:dyDescent="0.15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  <c r="AF3" s="35" t="s">
        <v>9</v>
      </c>
    </row>
    <row r="4" spans="1:32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15">
      <c r="A5" s="28">
        <v>38565</v>
      </c>
      <c r="B5" s="7">
        <f>'[10]Aug Prod'!I4</f>
        <v>24000000</v>
      </c>
      <c r="C5" s="8">
        <f>B5/1000000</f>
        <v>24</v>
      </c>
      <c r="D5" s="10">
        <f>C5*3.07</f>
        <v>73.679999999999993</v>
      </c>
      <c r="E5" s="7">
        <f>'[10]Aug Prod'!E4</f>
        <v>20000000</v>
      </c>
      <c r="F5" s="8">
        <f>E5/1000000</f>
        <v>20</v>
      </c>
      <c r="G5" s="10">
        <f>F5*3.07</f>
        <v>61.4</v>
      </c>
      <c r="H5" s="7">
        <f>'[10]Aug Prod'!F4</f>
        <v>10000000</v>
      </c>
      <c r="I5" s="8">
        <f>H5/1000000</f>
        <v>10</v>
      </c>
      <c r="J5" s="10">
        <f>I5*3.07</f>
        <v>30.7</v>
      </c>
      <c r="K5" s="7">
        <f>'[10]Aug Prod'!H259</f>
        <v>1426907</v>
      </c>
      <c r="L5" s="8">
        <f>K5/1000000</f>
        <v>1.4269069999999999</v>
      </c>
      <c r="M5" s="10">
        <f>L5*3.07</f>
        <v>4.3806044899999996</v>
      </c>
      <c r="N5" s="21"/>
      <c r="O5" s="7">
        <f>'[10]Aug Prod'!H4</f>
        <v>12198000</v>
      </c>
      <c r="P5" s="8">
        <f>O5/1000000</f>
        <v>12.198</v>
      </c>
      <c r="Q5" s="10">
        <f>P5*3.07</f>
        <v>37.447859999999999</v>
      </c>
      <c r="R5" s="7">
        <f>'[10]Aug Prod'!C4</f>
        <v>12878000</v>
      </c>
      <c r="S5" s="8">
        <f>R5/1000000</f>
        <v>12.878</v>
      </c>
      <c r="T5" s="10">
        <f>S5*3.07</f>
        <v>39.53546</v>
      </c>
      <c r="U5" s="7">
        <f>'[10]Aug Prod'!D4</f>
        <v>0</v>
      </c>
      <c r="V5" s="8">
        <f>U5/1000000</f>
        <v>0</v>
      </c>
      <c r="W5" s="10">
        <f>V5*3.07</f>
        <v>0</v>
      </c>
      <c r="X5" s="7">
        <f>'[10]Aug Prod'!D259</f>
        <v>679999.99999999977</v>
      </c>
      <c r="Y5" s="8">
        <f>X5/1000000</f>
        <v>0.67999999999999972</v>
      </c>
      <c r="Z5" s="10">
        <f>Y5*3.07</f>
        <v>2.0875999999999992</v>
      </c>
      <c r="AA5" s="15"/>
      <c r="AB5" s="7">
        <f>B5+O5</f>
        <v>36198000</v>
      </c>
      <c r="AC5" s="8">
        <f>C5+P5</f>
        <v>36.198</v>
      </c>
      <c r="AD5" s="8">
        <f>D5+Q5</f>
        <v>111.12786</v>
      </c>
      <c r="AF5" s="8">
        <f t="shared" ref="AF5:AF14" si="0">T5-Q5-Z5</f>
        <v>0</v>
      </c>
    </row>
    <row r="6" spans="1:32" x14ac:dyDescent="0.15">
      <c r="A6" s="28">
        <v>38566</v>
      </c>
      <c r="B6" s="7">
        <f>'[10]Aug Prod'!I5</f>
        <v>25399999.999999635</v>
      </c>
      <c r="C6" s="8">
        <f t="shared" ref="C6:C35" si="1">B6/1000000</f>
        <v>25.399999999999636</v>
      </c>
      <c r="D6" s="10">
        <f t="shared" ref="D6:D36" si="2">C6*3.07</f>
        <v>77.977999999998886</v>
      </c>
      <c r="E6" s="7">
        <f>'[10]Aug Prod'!E5</f>
        <v>22000000</v>
      </c>
      <c r="F6" s="8">
        <f t="shared" ref="F6:F35" si="3">E6/1000000</f>
        <v>22</v>
      </c>
      <c r="G6" s="10">
        <f t="shared" ref="G6:G36" si="4">F6*3.07</f>
        <v>67.539999999999992</v>
      </c>
      <c r="H6" s="7">
        <f>'[10]Aug Prod'!F5</f>
        <v>5000000</v>
      </c>
      <c r="I6" s="8">
        <f t="shared" ref="I6:I35" si="5">H6/1000000</f>
        <v>5</v>
      </c>
      <c r="J6" s="10">
        <f t="shared" ref="J6:J36" si="6">I6*3.07</f>
        <v>15.35</v>
      </c>
      <c r="K6" s="7">
        <f>'[10]Aug Prod'!H260</f>
        <v>1640666</v>
      </c>
      <c r="L6" s="8">
        <f t="shared" ref="L6:L35" si="7">K6/1000000</f>
        <v>1.640666</v>
      </c>
      <c r="M6" s="10">
        <f t="shared" ref="M6:M36" si="8">L6*3.07</f>
        <v>5.0368446199999992</v>
      </c>
      <c r="N6" s="21"/>
      <c r="O6" s="7">
        <f>'[10]Aug Prod'!H5</f>
        <v>11792999.999999993</v>
      </c>
      <c r="P6" s="8">
        <f t="shared" ref="P6:P35" si="9">O6/1000000</f>
        <v>11.792999999999992</v>
      </c>
      <c r="Q6" s="10">
        <f t="shared" ref="Q6:Q36" si="10">P6*3.07</f>
        <v>36.204509999999971</v>
      </c>
      <c r="R6" s="7">
        <f>'[10]Aug Prod'!C5</f>
        <v>12522000</v>
      </c>
      <c r="S6" s="8">
        <f t="shared" ref="S6:S35" si="11">R6/1000000</f>
        <v>12.522</v>
      </c>
      <c r="T6" s="10">
        <f t="shared" ref="T6:T36" si="12">S6*3.07</f>
        <v>38.442540000000001</v>
      </c>
      <c r="U6" s="7">
        <f>'[10]Aug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'[10]Aug Prod'!D260</f>
        <v>729000.00000000629</v>
      </c>
      <c r="Y6" s="8">
        <f t="shared" ref="Y6:Y35" si="15">X6/1000000</f>
        <v>0.72900000000000631</v>
      </c>
      <c r="Z6" s="10">
        <f t="shared" ref="Z6:Z36" si="16">Y6*3.07</f>
        <v>2.2380300000000193</v>
      </c>
      <c r="AA6" s="15"/>
      <c r="AB6" s="7">
        <f t="shared" ref="AB6:AD35" si="17">B6+O6</f>
        <v>37192999.999999627</v>
      </c>
      <c r="AC6" s="8">
        <f t="shared" si="17"/>
        <v>37.192999999999628</v>
      </c>
      <c r="AD6" s="8">
        <f t="shared" si="17"/>
        <v>114.18250999999886</v>
      </c>
      <c r="AF6" s="8">
        <f t="shared" si="0"/>
        <v>1.1102230246251565E-14</v>
      </c>
    </row>
    <row r="7" spans="1:32" x14ac:dyDescent="0.15">
      <c r="A7" s="28">
        <v>38567</v>
      </c>
      <c r="B7" s="7">
        <f>'[10]Aug Prod'!I6</f>
        <v>22800000.000001092</v>
      </c>
      <c r="C7" s="8">
        <f t="shared" si="1"/>
        <v>22.800000000001091</v>
      </c>
      <c r="D7" s="10">
        <f t="shared" si="2"/>
        <v>69.996000000003349</v>
      </c>
      <c r="E7" s="7">
        <f>'[10]Aug Prod'!E6</f>
        <v>19000000</v>
      </c>
      <c r="F7" s="8">
        <f t="shared" si="3"/>
        <v>19</v>
      </c>
      <c r="G7" s="10">
        <f t="shared" si="4"/>
        <v>58.33</v>
      </c>
      <c r="H7" s="7">
        <f>'[10]Aug Prod'!F6</f>
        <v>5000000</v>
      </c>
      <c r="I7" s="8">
        <f t="shared" si="5"/>
        <v>5</v>
      </c>
      <c r="J7" s="10">
        <f t="shared" si="6"/>
        <v>15.35</v>
      </c>
      <c r="K7" s="7">
        <f>'[10]Aug Prod'!H261</f>
        <v>1540824</v>
      </c>
      <c r="L7" s="8">
        <f t="shared" si="7"/>
        <v>1.540824</v>
      </c>
      <c r="M7" s="10">
        <f t="shared" si="8"/>
        <v>4.7303296799999996</v>
      </c>
      <c r="N7" s="21"/>
      <c r="O7" s="7">
        <f>'[10]Aug Prod'!H6</f>
        <v>9112000.0000000037</v>
      </c>
      <c r="P7" s="8">
        <f t="shared" si="9"/>
        <v>9.1120000000000037</v>
      </c>
      <c r="Q7" s="10">
        <f t="shared" si="10"/>
        <v>27.97384000000001</v>
      </c>
      <c r="R7" s="7">
        <f>'[10]Aug Prod'!C6</f>
        <v>9690000</v>
      </c>
      <c r="S7" s="8">
        <f t="shared" si="11"/>
        <v>9.69</v>
      </c>
      <c r="T7" s="10">
        <f t="shared" si="12"/>
        <v>29.748299999999997</v>
      </c>
      <c r="U7" s="7">
        <f>'[10]Aug Prod'!D6</f>
        <v>0</v>
      </c>
      <c r="V7" s="8">
        <f t="shared" si="13"/>
        <v>0</v>
      </c>
      <c r="W7" s="10">
        <f t="shared" si="14"/>
        <v>0</v>
      </c>
      <c r="X7" s="7">
        <f>'[10]Aug Prod'!D261</f>
        <v>577999.99999999581</v>
      </c>
      <c r="Y7" s="8">
        <f t="shared" si="15"/>
        <v>0.57799999999999585</v>
      </c>
      <c r="Z7" s="10">
        <f t="shared" si="16"/>
        <v>1.7744599999999873</v>
      </c>
      <c r="AA7" s="15"/>
      <c r="AB7" s="7">
        <f t="shared" si="17"/>
        <v>31912000.000001095</v>
      </c>
      <c r="AC7" s="8">
        <f t="shared" si="17"/>
        <v>31.912000000001093</v>
      </c>
      <c r="AD7" s="8">
        <f t="shared" si="17"/>
        <v>97.969840000003359</v>
      </c>
      <c r="AF7" s="8">
        <f t="shared" si="0"/>
        <v>0</v>
      </c>
    </row>
    <row r="8" spans="1:32" x14ac:dyDescent="0.15">
      <c r="A8" s="28">
        <v>38568</v>
      </c>
      <c r="B8" s="7">
        <f>'[10]Aug Prod'!I7</f>
        <v>23500000</v>
      </c>
      <c r="C8" s="8">
        <f t="shared" si="1"/>
        <v>23.5</v>
      </c>
      <c r="D8" s="10">
        <f t="shared" si="2"/>
        <v>72.144999999999996</v>
      </c>
      <c r="E8" s="7">
        <f>'[10]Aug Prod'!E7</f>
        <v>21000000</v>
      </c>
      <c r="F8" s="8">
        <f t="shared" si="3"/>
        <v>21</v>
      </c>
      <c r="G8" s="10">
        <f t="shared" si="4"/>
        <v>64.47</v>
      </c>
      <c r="H8" s="7">
        <f>'[10]Aug Prod'!F7</f>
        <v>5000000</v>
      </c>
      <c r="I8" s="8">
        <f t="shared" si="5"/>
        <v>5</v>
      </c>
      <c r="J8" s="10">
        <f t="shared" si="6"/>
        <v>15.35</v>
      </c>
      <c r="K8" s="7">
        <f>'[10]Aug Prod'!H262</f>
        <v>1514070</v>
      </c>
      <c r="L8" s="8">
        <f t="shared" si="7"/>
        <v>1.51407</v>
      </c>
      <c r="M8" s="10">
        <f t="shared" si="8"/>
        <v>4.6481949</v>
      </c>
      <c r="N8" s="21"/>
      <c r="O8" s="7">
        <f>'[10]Aug Prod'!H7</f>
        <v>9747999.9999999944</v>
      </c>
      <c r="P8" s="8">
        <f t="shared" si="9"/>
        <v>9.747999999999994</v>
      </c>
      <c r="Q8" s="10">
        <f t="shared" si="10"/>
        <v>29.926359999999981</v>
      </c>
      <c r="R8" s="7">
        <f>'[10]Aug Prod'!C7</f>
        <v>10151000</v>
      </c>
      <c r="S8" s="8">
        <f t="shared" si="11"/>
        <v>10.151</v>
      </c>
      <c r="T8" s="10">
        <f t="shared" si="12"/>
        <v>31.163569999999996</v>
      </c>
      <c r="U8" s="7">
        <f>'[10]Aug Prod'!D7</f>
        <v>0</v>
      </c>
      <c r="V8" s="8">
        <f t="shared" si="13"/>
        <v>0</v>
      </c>
      <c r="W8" s="10">
        <f t="shared" si="14"/>
        <v>0</v>
      </c>
      <c r="X8" s="7">
        <f>'[10]Aug Prod'!D262</f>
        <v>403000.00000000582</v>
      </c>
      <c r="Y8" s="8">
        <f t="shared" si="15"/>
        <v>0.4030000000000058</v>
      </c>
      <c r="Z8" s="10">
        <f t="shared" si="16"/>
        <v>1.2372100000000177</v>
      </c>
      <c r="AA8" s="15"/>
      <c r="AB8" s="7">
        <f t="shared" si="17"/>
        <v>33247999.999999993</v>
      </c>
      <c r="AC8" s="8">
        <f t="shared" si="17"/>
        <v>33.24799999999999</v>
      </c>
      <c r="AD8" s="8">
        <f>D8+Q8</f>
        <v>102.07135999999997</v>
      </c>
      <c r="AF8" s="8">
        <f t="shared" si="0"/>
        <v>-2.4424906541753444E-15</v>
      </c>
    </row>
    <row r="9" spans="1:32" x14ac:dyDescent="0.15">
      <c r="A9" s="28">
        <v>38569</v>
      </c>
      <c r="B9" s="7">
        <f>'[10]Aug Prod'!I8</f>
        <v>24100000.000000365</v>
      </c>
      <c r="C9" s="8">
        <f t="shared" si="1"/>
        <v>24.100000000000364</v>
      </c>
      <c r="D9" s="10">
        <f t="shared" si="2"/>
        <v>73.987000000001117</v>
      </c>
      <c r="E9" s="7">
        <f>'[10]Aug Prod'!E8</f>
        <v>19000000</v>
      </c>
      <c r="F9" s="8">
        <f t="shared" si="3"/>
        <v>19</v>
      </c>
      <c r="G9" s="10">
        <f t="shared" si="4"/>
        <v>58.33</v>
      </c>
      <c r="H9" s="7">
        <f>'[10]Aug Prod'!F8</f>
        <v>7000000</v>
      </c>
      <c r="I9" s="8">
        <f t="shared" si="5"/>
        <v>7</v>
      </c>
      <c r="J9" s="10">
        <f t="shared" si="6"/>
        <v>21.49</v>
      </c>
      <c r="K9" s="7">
        <f>'[10]Aug Prod'!H263</f>
        <v>1495473</v>
      </c>
      <c r="L9" s="8">
        <f t="shared" si="7"/>
        <v>1.4954730000000001</v>
      </c>
      <c r="M9" s="10">
        <f t="shared" si="8"/>
        <v>4.5911021099999996</v>
      </c>
      <c r="N9" s="21"/>
      <c r="O9" s="7">
        <f>'[10]Aug Prod'!H8</f>
        <v>12143000.000000011</v>
      </c>
      <c r="P9" s="8">
        <f t="shared" si="9"/>
        <v>12.143000000000011</v>
      </c>
      <c r="Q9" s="10">
        <f t="shared" si="10"/>
        <v>37.279010000000035</v>
      </c>
      <c r="R9" s="7">
        <f>'[10]Aug Prod'!C8</f>
        <v>12483000</v>
      </c>
      <c r="S9" s="8">
        <f t="shared" si="11"/>
        <v>12.483000000000001</v>
      </c>
      <c r="T9" s="10">
        <f t="shared" si="12"/>
        <v>38.322809999999997</v>
      </c>
      <c r="U9" s="7">
        <f>'[10]Aug Prod'!D8</f>
        <v>0</v>
      </c>
      <c r="V9" s="8">
        <f t="shared" si="13"/>
        <v>0</v>
      </c>
      <c r="W9" s="10">
        <f t="shared" si="14"/>
        <v>0</v>
      </c>
      <c r="X9" s="7">
        <f>'[10]Aug Prod'!D263</f>
        <v>339999.99999998917</v>
      </c>
      <c r="Y9" s="8">
        <f t="shared" si="15"/>
        <v>0.3399999999999892</v>
      </c>
      <c r="Z9" s="10">
        <f t="shared" si="16"/>
        <v>1.0437999999999668</v>
      </c>
      <c r="AA9" s="15"/>
      <c r="AB9" s="7">
        <f t="shared" si="17"/>
        <v>36243000.000000373</v>
      </c>
      <c r="AC9" s="8">
        <f t="shared" si="17"/>
        <v>36.243000000000379</v>
      </c>
      <c r="AD9" s="8">
        <f t="shared" si="17"/>
        <v>111.26601000000116</v>
      </c>
      <c r="AF9" s="8">
        <f t="shared" si="0"/>
        <v>-4.8849813083506888E-15</v>
      </c>
    </row>
    <row r="10" spans="1:32" x14ac:dyDescent="0.15">
      <c r="A10" s="28">
        <v>38570</v>
      </c>
      <c r="B10" s="7">
        <f>'[10]Aug Prod'!I9</f>
        <v>24299999.999999274</v>
      </c>
      <c r="C10" s="8">
        <f t="shared" si="1"/>
        <v>24.299999999999272</v>
      </c>
      <c r="D10" s="10">
        <f t="shared" si="2"/>
        <v>74.600999999997768</v>
      </c>
      <c r="E10" s="7">
        <f>'[10]Aug Prod'!E9</f>
        <v>18000000</v>
      </c>
      <c r="F10" s="8">
        <f t="shared" si="3"/>
        <v>18</v>
      </c>
      <c r="G10" s="10">
        <f t="shared" si="4"/>
        <v>55.26</v>
      </c>
      <c r="H10" s="7">
        <f>'[10]Aug Prod'!F9</f>
        <v>7000000</v>
      </c>
      <c r="I10" s="8">
        <f t="shared" si="5"/>
        <v>7</v>
      </c>
      <c r="J10" s="10">
        <f t="shared" si="6"/>
        <v>21.49</v>
      </c>
      <c r="K10" s="7">
        <f>'[10]Aug Prod'!H264</f>
        <v>1429427</v>
      </c>
      <c r="L10" s="8">
        <f t="shared" si="7"/>
        <v>1.429427</v>
      </c>
      <c r="M10" s="10">
        <f t="shared" si="8"/>
        <v>4.3883408899999994</v>
      </c>
      <c r="N10" s="21"/>
      <c r="O10" s="7">
        <f>'[10]Aug Prod'!H9</f>
        <v>10363999.999999993</v>
      </c>
      <c r="P10" s="8">
        <f t="shared" si="9"/>
        <v>10.363999999999992</v>
      </c>
      <c r="Q10" s="10">
        <f t="shared" si="10"/>
        <v>31.817479999999975</v>
      </c>
      <c r="R10" s="7">
        <f>'[10]Aug Prod'!C9</f>
        <v>10702000</v>
      </c>
      <c r="S10" s="8">
        <f t="shared" si="11"/>
        <v>10.702</v>
      </c>
      <c r="T10" s="10">
        <f t="shared" si="12"/>
        <v>32.855139999999999</v>
      </c>
      <c r="U10" s="7">
        <f>'[10]Aug Prod'!D9</f>
        <v>0</v>
      </c>
      <c r="V10" s="8">
        <f t="shared" si="13"/>
        <v>0</v>
      </c>
      <c r="W10" s="10">
        <f t="shared" si="14"/>
        <v>0</v>
      </c>
      <c r="X10" s="7">
        <f>'[10]Aug Prod'!D264</f>
        <v>338000.00000000809</v>
      </c>
      <c r="Y10" s="8">
        <f t="shared" si="15"/>
        <v>0.33800000000000807</v>
      </c>
      <c r="Z10" s="10">
        <f t="shared" si="16"/>
        <v>1.0376600000000247</v>
      </c>
      <c r="AA10" s="15"/>
      <c r="AB10" s="7">
        <f t="shared" si="17"/>
        <v>34663999.99999927</v>
      </c>
      <c r="AC10" s="8">
        <f t="shared" si="17"/>
        <v>34.663999999999263</v>
      </c>
      <c r="AD10" s="8">
        <f t="shared" si="17"/>
        <v>106.41847999999774</v>
      </c>
      <c r="AF10" s="8">
        <f t="shared" si="0"/>
        <v>0</v>
      </c>
    </row>
    <row r="11" spans="1:32" x14ac:dyDescent="0.15">
      <c r="A11" s="28">
        <v>38571</v>
      </c>
      <c r="B11" s="7">
        <f>'[10]Aug Prod'!I10</f>
        <v>26500000</v>
      </c>
      <c r="C11" s="8">
        <f t="shared" si="1"/>
        <v>26.5</v>
      </c>
      <c r="D11" s="10">
        <f t="shared" si="2"/>
        <v>81.35499999999999</v>
      </c>
      <c r="E11" s="7">
        <f>'[10]Aug Prod'!E10</f>
        <v>22000000</v>
      </c>
      <c r="F11" s="8">
        <f t="shared" si="3"/>
        <v>22</v>
      </c>
      <c r="G11" s="10">
        <f t="shared" si="4"/>
        <v>67.539999999999992</v>
      </c>
      <c r="H11" s="7">
        <f>'[10]Aug Prod'!F10</f>
        <v>7000000</v>
      </c>
      <c r="I11" s="8">
        <f t="shared" si="5"/>
        <v>7</v>
      </c>
      <c r="J11" s="10">
        <f t="shared" si="6"/>
        <v>21.49</v>
      </c>
      <c r="K11" s="7">
        <f>'[10]Aug Prod'!H265</f>
        <v>1507894</v>
      </c>
      <c r="L11" s="8">
        <f t="shared" si="7"/>
        <v>1.5078940000000001</v>
      </c>
      <c r="M11" s="10">
        <f t="shared" si="8"/>
        <v>4.6292345800000003</v>
      </c>
      <c r="N11" s="21"/>
      <c r="O11" s="7">
        <f>'[10]Aug Prod'!H10</f>
        <v>11136000.000000002</v>
      </c>
      <c r="P11" s="8">
        <f t="shared" si="9"/>
        <v>11.136000000000001</v>
      </c>
      <c r="Q11" s="10">
        <f t="shared" si="10"/>
        <v>34.187519999999999</v>
      </c>
      <c r="R11" s="7">
        <f>'[10]Aug Prod'!C10</f>
        <v>11478000</v>
      </c>
      <c r="S11" s="8">
        <f t="shared" si="11"/>
        <v>11.478</v>
      </c>
      <c r="T11" s="10">
        <f t="shared" si="12"/>
        <v>35.237459999999999</v>
      </c>
      <c r="U11" s="7">
        <f>'[10]Aug Prod'!D10</f>
        <v>0</v>
      </c>
      <c r="V11" s="8">
        <f t="shared" si="13"/>
        <v>0</v>
      </c>
      <c r="W11" s="10">
        <f t="shared" si="14"/>
        <v>0</v>
      </c>
      <c r="X11" s="7">
        <f>'[10]Aug Prod'!D265</f>
        <v>341999.99999999878</v>
      </c>
      <c r="Y11" s="8">
        <f t="shared" si="15"/>
        <v>0.3419999999999988</v>
      </c>
      <c r="Z11" s="10">
        <f t="shared" si="16"/>
        <v>1.0499399999999963</v>
      </c>
      <c r="AA11" s="15"/>
      <c r="AB11" s="7">
        <f t="shared" si="17"/>
        <v>37636000</v>
      </c>
      <c r="AC11" s="8">
        <f t="shared" si="17"/>
        <v>37.636000000000003</v>
      </c>
      <c r="AD11" s="8">
        <f t="shared" si="17"/>
        <v>115.54252</v>
      </c>
      <c r="AF11" s="8">
        <f t="shared" si="0"/>
        <v>3.1086244689504383E-15</v>
      </c>
    </row>
    <row r="12" spans="1:32" x14ac:dyDescent="0.15">
      <c r="A12" s="28">
        <v>38572</v>
      </c>
      <c r="B12" s="7">
        <f>'[10]Aug Prod'!I11</f>
        <v>25299999.999999274</v>
      </c>
      <c r="C12" s="8">
        <f t="shared" si="1"/>
        <v>25.299999999999272</v>
      </c>
      <c r="D12" s="10">
        <f t="shared" si="2"/>
        <v>77.670999999997761</v>
      </c>
      <c r="E12" s="7">
        <f>'[10]Aug Prod'!E11</f>
        <v>20000000</v>
      </c>
      <c r="F12" s="8">
        <f t="shared" si="3"/>
        <v>20</v>
      </c>
      <c r="G12" s="10">
        <f t="shared" si="4"/>
        <v>61.4</v>
      </c>
      <c r="H12" s="7">
        <f>'[10]Aug Prod'!F11</f>
        <v>7000000</v>
      </c>
      <c r="I12" s="8">
        <f t="shared" si="5"/>
        <v>7</v>
      </c>
      <c r="J12" s="10">
        <f t="shared" si="6"/>
        <v>21.49</v>
      </c>
      <c r="K12" s="7">
        <f>'[10]Aug Prod'!H266</f>
        <v>1451750</v>
      </c>
      <c r="L12" s="8">
        <f t="shared" si="7"/>
        <v>1.4517500000000001</v>
      </c>
      <c r="M12" s="10">
        <f t="shared" si="8"/>
        <v>4.4568725000000002</v>
      </c>
      <c r="N12" s="21"/>
      <c r="O12" s="7">
        <f>'[10]Aug Prod'!H11</f>
        <v>11251999.999999996</v>
      </c>
      <c r="P12" s="8">
        <f t="shared" si="9"/>
        <v>11.251999999999997</v>
      </c>
      <c r="Q12" s="10">
        <f t="shared" si="10"/>
        <v>34.543639999999989</v>
      </c>
      <c r="R12" s="7">
        <f>'[10]Aug Prod'!C11</f>
        <v>11592000</v>
      </c>
      <c r="S12" s="8">
        <f t="shared" si="11"/>
        <v>11.592000000000001</v>
      </c>
      <c r="T12" s="10">
        <f t="shared" si="12"/>
        <v>35.587440000000001</v>
      </c>
      <c r="U12" s="7">
        <f>'[10]Aug Prod'!D11</f>
        <v>0</v>
      </c>
      <c r="V12" s="8">
        <f t="shared" si="13"/>
        <v>0</v>
      </c>
      <c r="W12" s="10">
        <f t="shared" si="14"/>
        <v>0</v>
      </c>
      <c r="X12" s="7">
        <f>'[10]Aug Prod'!D266</f>
        <v>340000.00000000343</v>
      </c>
      <c r="Y12" s="8">
        <f t="shared" si="15"/>
        <v>0.34000000000000341</v>
      </c>
      <c r="Z12" s="10">
        <f t="shared" si="16"/>
        <v>1.0438000000000105</v>
      </c>
      <c r="AA12" s="15"/>
      <c r="AB12" s="7">
        <f t="shared" si="17"/>
        <v>36551999.99999927</v>
      </c>
      <c r="AC12" s="8">
        <f t="shared" si="17"/>
        <v>36.551999999999268</v>
      </c>
      <c r="AD12" s="8">
        <f t="shared" si="17"/>
        <v>112.21463999999776</v>
      </c>
      <c r="AF12" s="8">
        <f t="shared" si="0"/>
        <v>0</v>
      </c>
    </row>
    <row r="13" spans="1:32" x14ac:dyDescent="0.15">
      <c r="A13" s="28">
        <v>38573</v>
      </c>
      <c r="B13" s="7">
        <f>'[10]Aug Prod'!I12</f>
        <v>25100000.000000365</v>
      </c>
      <c r="C13" s="8">
        <f t="shared" si="1"/>
        <v>25.100000000000364</v>
      </c>
      <c r="D13" s="10">
        <f t="shared" si="2"/>
        <v>77.057000000001111</v>
      </c>
      <c r="E13" s="7">
        <f>'[10]Aug Prod'!E12</f>
        <v>20000000</v>
      </c>
      <c r="F13" s="8">
        <f t="shared" si="3"/>
        <v>20</v>
      </c>
      <c r="G13" s="10">
        <f t="shared" si="4"/>
        <v>61.4</v>
      </c>
      <c r="H13" s="7">
        <f>'[10]Aug Prod'!F12</f>
        <v>7000000</v>
      </c>
      <c r="I13" s="8">
        <f t="shared" si="5"/>
        <v>7</v>
      </c>
      <c r="J13" s="10">
        <f t="shared" si="6"/>
        <v>21.49</v>
      </c>
      <c r="K13" s="7">
        <f>'[10]Aug Prod'!H267</f>
        <v>1477440</v>
      </c>
      <c r="L13" s="8">
        <f t="shared" si="7"/>
        <v>1.4774400000000001</v>
      </c>
      <c r="M13" s="10">
        <f t="shared" si="8"/>
        <v>4.5357408000000001</v>
      </c>
      <c r="N13" s="21"/>
      <c r="O13" s="7">
        <f>'[10]Aug Prod'!H12</f>
        <v>11332000.000000002</v>
      </c>
      <c r="P13" s="8">
        <f t="shared" si="9"/>
        <v>11.332000000000003</v>
      </c>
      <c r="Q13" s="10">
        <f t="shared" si="10"/>
        <v>34.789240000000007</v>
      </c>
      <c r="R13" s="7">
        <f>'[10]Aug Prod'!C12</f>
        <v>11680000</v>
      </c>
      <c r="S13" s="8">
        <f t="shared" si="11"/>
        <v>11.68</v>
      </c>
      <c r="T13" s="10">
        <f t="shared" si="12"/>
        <v>35.857599999999998</v>
      </c>
      <c r="U13" s="7">
        <f>'[10]Aug Prod'!D12</f>
        <v>0</v>
      </c>
      <c r="V13" s="8">
        <f t="shared" si="13"/>
        <v>0</v>
      </c>
      <c r="W13" s="10">
        <f t="shared" si="14"/>
        <v>0</v>
      </c>
      <c r="X13" s="7">
        <f>'[10]Aug Prod'!D267</f>
        <v>347999.99999999895</v>
      </c>
      <c r="Y13" s="8">
        <f t="shared" si="15"/>
        <v>0.34799999999999898</v>
      </c>
      <c r="Z13" s="10">
        <f t="shared" si="16"/>
        <v>1.0683599999999969</v>
      </c>
      <c r="AA13" s="15"/>
      <c r="AB13" s="7">
        <f t="shared" si="17"/>
        <v>36432000.000000365</v>
      </c>
      <c r="AC13" s="8">
        <f t="shared" si="17"/>
        <v>36.432000000000365</v>
      </c>
      <c r="AD13" s="8">
        <f t="shared" si="17"/>
        <v>111.84624000000112</v>
      </c>
      <c r="AF13" s="8">
        <f t="shared" si="0"/>
        <v>-5.5511151231257827E-15</v>
      </c>
    </row>
    <row r="14" spans="1:32" x14ac:dyDescent="0.15">
      <c r="A14" s="28">
        <v>38574</v>
      </c>
      <c r="B14" s="7">
        <f>'[10]Aug Prod'!I13</f>
        <v>23600000.000000365</v>
      </c>
      <c r="C14" s="8">
        <f t="shared" si="1"/>
        <v>23.600000000000364</v>
      </c>
      <c r="D14" s="10">
        <f t="shared" si="2"/>
        <v>72.452000000001107</v>
      </c>
      <c r="E14" s="7">
        <f>'[10]Aug Prod'!E13</f>
        <v>18000000</v>
      </c>
      <c r="F14" s="8">
        <f t="shared" si="3"/>
        <v>18</v>
      </c>
      <c r="G14" s="10">
        <f t="shared" si="4"/>
        <v>55.26</v>
      </c>
      <c r="H14" s="7">
        <f>'[10]Aug Prod'!F13</f>
        <v>7000000</v>
      </c>
      <c r="I14" s="8">
        <f t="shared" si="5"/>
        <v>7</v>
      </c>
      <c r="J14" s="10">
        <f t="shared" si="6"/>
        <v>21.49</v>
      </c>
      <c r="K14" s="7">
        <f>'[10]Aug Prod'!H268</f>
        <v>1452130</v>
      </c>
      <c r="L14" s="8">
        <f t="shared" si="7"/>
        <v>1.4521299999999999</v>
      </c>
      <c r="M14" s="10">
        <f t="shared" si="8"/>
        <v>4.4580390999999997</v>
      </c>
      <c r="N14" s="21"/>
      <c r="O14" s="7">
        <f>'[10]Aug Prod'!H13</f>
        <v>12316000.000000006</v>
      </c>
      <c r="P14" s="8">
        <f t="shared" si="9"/>
        <v>12.316000000000006</v>
      </c>
      <c r="Q14" s="10">
        <f t="shared" si="10"/>
        <v>37.810120000000019</v>
      </c>
      <c r="R14" s="7">
        <f>'[10]Aug Prod'!C13</f>
        <v>12666000</v>
      </c>
      <c r="S14" s="8">
        <f t="shared" si="11"/>
        <v>12.666</v>
      </c>
      <c r="T14" s="10">
        <f t="shared" si="12"/>
        <v>38.884619999999998</v>
      </c>
      <c r="U14" s="7">
        <f>'[10]Aug Prod'!D13</f>
        <v>0</v>
      </c>
      <c r="V14" s="8">
        <f t="shared" si="13"/>
        <v>0</v>
      </c>
      <c r="W14" s="10">
        <f t="shared" si="14"/>
        <v>0</v>
      </c>
      <c r="X14" s="7">
        <f>'[10]Aug Prod'!D268</f>
        <v>349999.9999999943</v>
      </c>
      <c r="Y14" s="8">
        <f t="shared" si="15"/>
        <v>0.34999999999999432</v>
      </c>
      <c r="Z14" s="10">
        <f t="shared" si="16"/>
        <v>1.0744999999999825</v>
      </c>
      <c r="AA14" s="15"/>
      <c r="AB14" s="7">
        <f t="shared" si="17"/>
        <v>35916000.000000373</v>
      </c>
      <c r="AC14" s="8">
        <f t="shared" si="17"/>
        <v>35.916000000000366</v>
      </c>
      <c r="AD14" s="8">
        <f t="shared" si="17"/>
        <v>110.26212000000112</v>
      </c>
      <c r="AF14" s="8">
        <f t="shared" si="0"/>
        <v>-3.3306690738754696E-15</v>
      </c>
    </row>
    <row r="15" spans="1:32" x14ac:dyDescent="0.15">
      <c r="A15" s="28">
        <v>38575</v>
      </c>
      <c r="B15" s="7">
        <f>'[10]Aug Prod'!I14</f>
        <v>25600000.000000365</v>
      </c>
      <c r="C15" s="8">
        <f t="shared" si="1"/>
        <v>25.600000000000364</v>
      </c>
      <c r="D15" s="10">
        <f t="shared" si="2"/>
        <v>78.592000000001107</v>
      </c>
      <c r="E15" s="7">
        <f>'[10]Aug Prod'!E14</f>
        <v>20000000</v>
      </c>
      <c r="F15" s="8">
        <f t="shared" si="3"/>
        <v>20</v>
      </c>
      <c r="G15" s="10">
        <f t="shared" si="4"/>
        <v>61.4</v>
      </c>
      <c r="H15" s="7">
        <f>'[10]Aug Prod'!F14</f>
        <v>7000000</v>
      </c>
      <c r="I15" s="8">
        <f t="shared" si="5"/>
        <v>7</v>
      </c>
      <c r="J15" s="10">
        <f t="shared" si="6"/>
        <v>21.49</v>
      </c>
      <c r="K15" s="7">
        <f>'[10]Aug Prod'!H269</f>
        <v>1536037</v>
      </c>
      <c r="L15" s="8">
        <f t="shared" si="7"/>
        <v>1.5360370000000001</v>
      </c>
      <c r="M15" s="10">
        <f t="shared" si="8"/>
        <v>4.7156335900000004</v>
      </c>
      <c r="N15" s="21"/>
      <c r="O15" s="7">
        <f>'[10]Aug Prod'!H14</f>
        <v>11371999.999999996</v>
      </c>
      <c r="P15" s="8">
        <f t="shared" si="9"/>
        <v>11.371999999999996</v>
      </c>
      <c r="Q15" s="10">
        <f t="shared" si="10"/>
        <v>34.91203999999999</v>
      </c>
      <c r="R15" s="7">
        <f>'[10]Aug Prod'!C14</f>
        <v>11718000</v>
      </c>
      <c r="S15" s="8">
        <f t="shared" si="11"/>
        <v>11.718</v>
      </c>
      <c r="T15" s="10">
        <f t="shared" si="12"/>
        <v>35.974260000000001</v>
      </c>
      <c r="U15" s="7">
        <f>'[10]Aug Prod'!D14</f>
        <v>0</v>
      </c>
      <c r="V15" s="8">
        <f t="shared" si="13"/>
        <v>0</v>
      </c>
      <c r="W15" s="10">
        <f t="shared" si="14"/>
        <v>0</v>
      </c>
      <c r="X15" s="7">
        <f>'[10]Aug Prod'!D269</f>
        <v>346000.00000000361</v>
      </c>
      <c r="Y15" s="8">
        <f t="shared" si="15"/>
        <v>0.34600000000000358</v>
      </c>
      <c r="Z15" s="10">
        <f t="shared" si="16"/>
        <v>1.062220000000011</v>
      </c>
      <c r="AA15" s="15"/>
      <c r="AB15" s="7">
        <f t="shared" si="17"/>
        <v>36972000.000000358</v>
      </c>
      <c r="AC15" s="8">
        <f t="shared" si="17"/>
        <v>36.972000000000364</v>
      </c>
      <c r="AD15" s="8">
        <f t="shared" si="17"/>
        <v>113.5040400000011</v>
      </c>
      <c r="AF15" s="8">
        <f>T15-Q15-Z15</f>
        <v>0</v>
      </c>
    </row>
    <row r="16" spans="1:32" x14ac:dyDescent="0.15">
      <c r="A16" s="28">
        <v>38576</v>
      </c>
      <c r="B16" s="7">
        <f>'[10]Aug Prod'!I15</f>
        <v>25399999.999999635</v>
      </c>
      <c r="C16" s="8">
        <f t="shared" si="1"/>
        <v>25.399999999999636</v>
      </c>
      <c r="D16" s="10">
        <f t="shared" si="2"/>
        <v>77.977999999998886</v>
      </c>
      <c r="E16" s="7">
        <f>'[10]Aug Prod'!E15</f>
        <v>20000000</v>
      </c>
      <c r="F16" s="8">
        <f t="shared" si="3"/>
        <v>20</v>
      </c>
      <c r="G16" s="10">
        <f t="shared" si="4"/>
        <v>61.4</v>
      </c>
      <c r="H16" s="7">
        <f>'[10]Aug Prod'!F15</f>
        <v>7000000</v>
      </c>
      <c r="I16" s="8">
        <f t="shared" si="5"/>
        <v>7</v>
      </c>
      <c r="J16" s="10">
        <f t="shared" si="6"/>
        <v>21.49</v>
      </c>
      <c r="K16" s="7">
        <f>'[10]Aug Prod'!H270</f>
        <v>1451992</v>
      </c>
      <c r="L16" s="8">
        <f t="shared" si="7"/>
        <v>1.4519919999999999</v>
      </c>
      <c r="M16" s="10">
        <f t="shared" si="8"/>
        <v>4.4576154399999997</v>
      </c>
      <c r="N16" s="21"/>
      <c r="O16" s="7">
        <f>'[10]Aug Prod'!H15</f>
        <v>10715999.999999998</v>
      </c>
      <c r="P16" s="8">
        <f t="shared" si="9"/>
        <v>10.715999999999998</v>
      </c>
      <c r="Q16" s="10">
        <f t="shared" si="10"/>
        <v>32.898119999999992</v>
      </c>
      <c r="R16" s="7">
        <f>'[10]Aug Prod'!C15</f>
        <v>11005000</v>
      </c>
      <c r="S16" s="8">
        <f t="shared" si="11"/>
        <v>11.005000000000001</v>
      </c>
      <c r="T16" s="10">
        <f t="shared" si="12"/>
        <v>33.785350000000001</v>
      </c>
      <c r="U16" s="7">
        <f>'[10]Aug Prod'!D15</f>
        <v>0</v>
      </c>
      <c r="V16" s="8">
        <f t="shared" si="13"/>
        <v>0</v>
      </c>
      <c r="W16" s="10">
        <f t="shared" si="14"/>
        <v>0</v>
      </c>
      <c r="X16" s="7">
        <f>'[10]Aug Prod'!D270</f>
        <v>289000.00000000146</v>
      </c>
      <c r="Y16" s="8">
        <f t="shared" si="15"/>
        <v>0.28900000000000148</v>
      </c>
      <c r="Z16" s="10">
        <f t="shared" si="16"/>
        <v>0.88723000000000452</v>
      </c>
      <c r="AA16" s="15"/>
      <c r="AB16" s="7">
        <f t="shared" si="17"/>
        <v>36115999.999999635</v>
      </c>
      <c r="AC16" s="8">
        <f t="shared" si="17"/>
        <v>36.11599999999963</v>
      </c>
      <c r="AD16" s="8">
        <f t="shared" si="17"/>
        <v>110.87611999999888</v>
      </c>
      <c r="AF16" s="8">
        <f>T16-Q16-Z16</f>
        <v>4.9960036108132044E-15</v>
      </c>
    </row>
    <row r="17" spans="1:32" x14ac:dyDescent="0.15">
      <c r="A17" s="28">
        <v>38577</v>
      </c>
      <c r="B17" s="7">
        <f>'[10]Aug Prod'!I16</f>
        <v>26100000.000000365</v>
      </c>
      <c r="C17" s="8">
        <f t="shared" si="1"/>
        <v>26.100000000000364</v>
      </c>
      <c r="D17" s="10">
        <f t="shared" si="2"/>
        <v>80.127000000001118</v>
      </c>
      <c r="E17" s="7">
        <f>'[10]Aug Prod'!E16</f>
        <v>20000000</v>
      </c>
      <c r="F17" s="8">
        <f t="shared" si="3"/>
        <v>20</v>
      </c>
      <c r="G17" s="10">
        <f t="shared" si="4"/>
        <v>61.4</v>
      </c>
      <c r="H17" s="7">
        <f>'[10]Aug Prod'!F16</f>
        <v>7000000</v>
      </c>
      <c r="I17" s="8">
        <f t="shared" si="5"/>
        <v>7</v>
      </c>
      <c r="J17" s="10">
        <f t="shared" si="6"/>
        <v>21.49</v>
      </c>
      <c r="K17" s="7">
        <f>'[10]Aug Prod'!H271</f>
        <v>1302851</v>
      </c>
      <c r="L17" s="8">
        <f t="shared" si="7"/>
        <v>1.302851</v>
      </c>
      <c r="M17" s="10">
        <f t="shared" si="8"/>
        <v>3.9997525699999996</v>
      </c>
      <c r="N17" s="21"/>
      <c r="O17" s="7">
        <f>'[10]Aug Prod'!H16</f>
        <v>11594000.000000007</v>
      </c>
      <c r="P17" s="8">
        <f t="shared" si="9"/>
        <v>11.594000000000008</v>
      </c>
      <c r="Q17" s="10">
        <f t="shared" si="10"/>
        <v>35.593580000000024</v>
      </c>
      <c r="R17" s="7">
        <f>'[10]Aug Prod'!C16</f>
        <v>11887000</v>
      </c>
      <c r="S17" s="8">
        <f t="shared" si="11"/>
        <v>11.887</v>
      </c>
      <c r="T17" s="10">
        <f t="shared" si="12"/>
        <v>36.493090000000002</v>
      </c>
      <c r="U17" s="7">
        <f>'[10]Aug Prod'!D16</f>
        <v>0</v>
      </c>
      <c r="V17" s="8">
        <f t="shared" si="13"/>
        <v>0</v>
      </c>
      <c r="W17" s="10">
        <f t="shared" si="14"/>
        <v>0</v>
      </c>
      <c r="X17" s="7">
        <f>'[10]Aug Prod'!D271</f>
        <v>292999.99999999214</v>
      </c>
      <c r="Y17" s="8">
        <f t="shared" si="15"/>
        <v>0.29299999999999216</v>
      </c>
      <c r="Z17" s="10">
        <f t="shared" si="16"/>
        <v>0.89950999999997583</v>
      </c>
      <c r="AA17" s="15"/>
      <c r="AB17" s="7">
        <f t="shared" si="17"/>
        <v>37694000.000000373</v>
      </c>
      <c r="AC17" s="8">
        <f t="shared" si="17"/>
        <v>37.694000000000372</v>
      </c>
      <c r="AD17" s="8">
        <f t="shared" si="17"/>
        <v>115.72058000000115</v>
      </c>
      <c r="AF17" s="8">
        <f>T17-Q17-Z17</f>
        <v>2.2204460492503131E-15</v>
      </c>
    </row>
    <row r="18" spans="1:32" x14ac:dyDescent="0.15">
      <c r="A18" s="28">
        <v>38578</v>
      </c>
      <c r="B18" s="7">
        <f>'[10]Aug Prod'!I17</f>
        <v>24500000</v>
      </c>
      <c r="C18" s="8">
        <f t="shared" si="1"/>
        <v>24.5</v>
      </c>
      <c r="D18" s="10">
        <f t="shared" si="2"/>
        <v>75.214999999999989</v>
      </c>
      <c r="E18" s="7">
        <f>'[10]Aug Prod'!E17</f>
        <v>19000000</v>
      </c>
      <c r="F18" s="8">
        <f t="shared" si="3"/>
        <v>19</v>
      </c>
      <c r="G18" s="10">
        <f t="shared" si="4"/>
        <v>58.33</v>
      </c>
      <c r="H18" s="7">
        <f>'[10]Aug Prod'!F17</f>
        <v>7000000</v>
      </c>
      <c r="I18" s="8">
        <f t="shared" si="5"/>
        <v>7</v>
      </c>
      <c r="J18" s="10">
        <f t="shared" si="6"/>
        <v>21.49</v>
      </c>
      <c r="K18" s="7">
        <f>'[10]Aug Prod'!H272</f>
        <v>1381520</v>
      </c>
      <c r="L18" s="8">
        <f t="shared" si="7"/>
        <v>1.3815200000000001</v>
      </c>
      <c r="M18" s="10">
        <f t="shared" si="8"/>
        <v>4.2412663999999998</v>
      </c>
      <c r="N18" s="21"/>
      <c r="O18" s="7">
        <f>'[10]Aug Prod'!H17</f>
        <v>11506999.999999994</v>
      </c>
      <c r="P18" s="8">
        <f t="shared" si="9"/>
        <v>11.506999999999994</v>
      </c>
      <c r="Q18" s="10">
        <f t="shared" si="10"/>
        <v>35.326489999999978</v>
      </c>
      <c r="R18" s="7">
        <f>'[10]Aug Prod'!C17</f>
        <v>11794000</v>
      </c>
      <c r="S18" s="8">
        <f t="shared" si="11"/>
        <v>11.794</v>
      </c>
      <c r="T18" s="10">
        <f t="shared" si="12"/>
        <v>36.20758</v>
      </c>
      <c r="U18" s="7">
        <f>'[10]Aug Prod'!D17</f>
        <v>0</v>
      </c>
      <c r="V18" s="8">
        <f t="shared" si="13"/>
        <v>0</v>
      </c>
      <c r="W18" s="10">
        <f t="shared" si="14"/>
        <v>0</v>
      </c>
      <c r="X18" s="7">
        <f>'[10]Aug Prod'!D272</f>
        <v>287000.00000000611</v>
      </c>
      <c r="Y18" s="8">
        <f t="shared" si="15"/>
        <v>0.28700000000000614</v>
      </c>
      <c r="Z18" s="10">
        <f t="shared" si="16"/>
        <v>0.8810900000000188</v>
      </c>
      <c r="AA18" s="15"/>
      <c r="AB18" s="7">
        <f t="shared" si="17"/>
        <v>36006999.999999993</v>
      </c>
      <c r="AC18" s="8">
        <f t="shared" si="17"/>
        <v>36.006999999999991</v>
      </c>
      <c r="AD18" s="8">
        <f t="shared" si="17"/>
        <v>110.54148999999997</v>
      </c>
      <c r="AF18" s="8">
        <f>T18-Q18-Z18</f>
        <v>2.886579864025407E-15</v>
      </c>
    </row>
    <row r="19" spans="1:32" x14ac:dyDescent="0.15">
      <c r="A19" s="28">
        <v>38579</v>
      </c>
      <c r="B19" s="7">
        <f>'[10]Aug Prod'!I18</f>
        <v>26000000</v>
      </c>
      <c r="C19" s="8">
        <f t="shared" si="1"/>
        <v>26</v>
      </c>
      <c r="D19" s="10">
        <f t="shared" si="2"/>
        <v>79.819999999999993</v>
      </c>
      <c r="E19" s="7">
        <f>'[10]Aug Prod'!E18</f>
        <v>20000000</v>
      </c>
      <c r="F19" s="8">
        <f t="shared" si="3"/>
        <v>20</v>
      </c>
      <c r="G19" s="10">
        <f t="shared" si="4"/>
        <v>61.4</v>
      </c>
      <c r="H19" s="7">
        <f>'[10]Aug Prod'!F18</f>
        <v>7000000</v>
      </c>
      <c r="I19" s="8">
        <f t="shared" si="5"/>
        <v>7</v>
      </c>
      <c r="J19" s="10">
        <f t="shared" si="6"/>
        <v>21.49</v>
      </c>
      <c r="K19" s="7">
        <f>'[10]Aug Prod'!H273</f>
        <v>1403513</v>
      </c>
      <c r="L19" s="8">
        <f t="shared" si="7"/>
        <v>1.403513</v>
      </c>
      <c r="M19" s="10">
        <f t="shared" si="8"/>
        <v>4.30878491</v>
      </c>
      <c r="N19" s="21"/>
      <c r="O19" s="7">
        <f>'[10]Aug Prod'!H18</f>
        <v>13028000.000000002</v>
      </c>
      <c r="P19" s="8">
        <f t="shared" si="9"/>
        <v>13.028000000000002</v>
      </c>
      <c r="Q19" s="10">
        <f t="shared" si="10"/>
        <v>39.995960000000004</v>
      </c>
      <c r="R19" s="7">
        <f>'[10]Aug Prod'!C18</f>
        <v>13364000</v>
      </c>
      <c r="S19" s="8">
        <f t="shared" si="11"/>
        <v>13.364000000000001</v>
      </c>
      <c r="T19" s="10">
        <f t="shared" si="12"/>
        <v>41.027479999999997</v>
      </c>
      <c r="U19" s="7">
        <f>'[10]Aug Prod'!D18</f>
        <v>0</v>
      </c>
      <c r="V19" s="8">
        <f t="shared" si="13"/>
        <v>0</v>
      </c>
      <c r="W19" s="10">
        <f t="shared" si="14"/>
        <v>0</v>
      </c>
      <c r="X19" s="7">
        <f>'[10]Aug Prod'!D273</f>
        <v>335999.99999999854</v>
      </c>
      <c r="Y19" s="8">
        <f t="shared" si="15"/>
        <v>0.33599999999999852</v>
      </c>
      <c r="Z19" s="10">
        <f t="shared" si="16"/>
        <v>1.0315199999999953</v>
      </c>
      <c r="AA19" s="15"/>
      <c r="AB19" s="7">
        <f t="shared" si="17"/>
        <v>39028000</v>
      </c>
      <c r="AC19" s="8">
        <f t="shared" si="17"/>
        <v>39.028000000000006</v>
      </c>
      <c r="AD19" s="8">
        <f>D19+Q19</f>
        <v>119.81595999999999</v>
      </c>
      <c r="AF19" s="8">
        <f>T19-Q19-Z19</f>
        <v>-1.9984014443252818E-15</v>
      </c>
    </row>
    <row r="20" spans="1:32" x14ac:dyDescent="0.15">
      <c r="A20" s="28">
        <v>38580</v>
      </c>
      <c r="B20" s="7">
        <f>'[10]Aug Prod'!I19</f>
        <v>22899999.999999635</v>
      </c>
      <c r="C20" s="8">
        <f t="shared" si="1"/>
        <v>22.899999999999636</v>
      </c>
      <c r="D20" s="10">
        <f t="shared" si="2"/>
        <v>70.302999999998875</v>
      </c>
      <c r="E20" s="7">
        <f>'[10]Aug Prod'!E19</f>
        <v>17000000</v>
      </c>
      <c r="F20" s="8">
        <f t="shared" si="3"/>
        <v>17</v>
      </c>
      <c r="G20" s="10">
        <f t="shared" si="4"/>
        <v>52.19</v>
      </c>
      <c r="H20" s="7">
        <f>'[10]Aug Prod'!F19</f>
        <v>7000000</v>
      </c>
      <c r="I20" s="8">
        <f t="shared" si="5"/>
        <v>7</v>
      </c>
      <c r="J20" s="10">
        <f t="shared" si="6"/>
        <v>21.49</v>
      </c>
      <c r="K20" s="7">
        <f>'[10]Aug Prod'!H274</f>
        <v>1361397</v>
      </c>
      <c r="L20" s="8">
        <f t="shared" si="7"/>
        <v>1.361397</v>
      </c>
      <c r="M20" s="10">
        <f t="shared" si="8"/>
        <v>4.1794887899999997</v>
      </c>
      <c r="N20" s="21"/>
      <c r="O20" s="7">
        <f>'[10]Aug Prod'!H19</f>
        <v>11432000.000000002</v>
      </c>
      <c r="P20" s="8">
        <f t="shared" si="9"/>
        <v>11.432000000000002</v>
      </c>
      <c r="Q20" s="10">
        <f t="shared" si="10"/>
        <v>35.096240000000002</v>
      </c>
      <c r="R20" s="7">
        <f>'[10]Aug Prod'!C19</f>
        <v>11774000</v>
      </c>
      <c r="S20" s="8">
        <f t="shared" si="11"/>
        <v>11.773999999999999</v>
      </c>
      <c r="T20" s="10">
        <f t="shared" si="12"/>
        <v>36.146179999999994</v>
      </c>
      <c r="U20" s="7">
        <f>'[10]Aug Prod'!D19</f>
        <v>0</v>
      </c>
      <c r="V20" s="8">
        <f t="shared" si="13"/>
        <v>0</v>
      </c>
      <c r="W20" s="10">
        <f t="shared" si="14"/>
        <v>0</v>
      </c>
      <c r="X20" s="7">
        <f>'[10]Aug Prod'!D274</f>
        <v>341999.99999999878</v>
      </c>
      <c r="Y20" s="8">
        <f t="shared" si="15"/>
        <v>0.3419999999999988</v>
      </c>
      <c r="Z20" s="10">
        <f t="shared" si="16"/>
        <v>1.0499399999999963</v>
      </c>
      <c r="AA20" s="15"/>
      <c r="AB20" s="7">
        <f t="shared" si="17"/>
        <v>34331999.999999635</v>
      </c>
      <c r="AC20" s="8">
        <f t="shared" si="17"/>
        <v>34.331999999999638</v>
      </c>
      <c r="AD20" s="8">
        <f t="shared" si="17"/>
        <v>105.39923999999888</v>
      </c>
      <c r="AF20" s="8">
        <f t="shared" ref="AF20:AF35" si="18">T20-Q20-Z20</f>
        <v>-3.9968028886505635E-15</v>
      </c>
    </row>
    <row r="21" spans="1:32" x14ac:dyDescent="0.15">
      <c r="A21" s="28">
        <v>38581</v>
      </c>
      <c r="B21" s="7">
        <f>'[10]Aug Prod'!I20</f>
        <v>22399999.999999635</v>
      </c>
      <c r="C21" s="8">
        <f t="shared" si="1"/>
        <v>22.399999999999636</v>
      </c>
      <c r="D21" s="10">
        <f t="shared" si="2"/>
        <v>68.767999999998878</v>
      </c>
      <c r="E21" s="7">
        <f>'[10]Aug Prod'!E20</f>
        <v>17000000</v>
      </c>
      <c r="F21" s="8">
        <f t="shared" si="3"/>
        <v>17</v>
      </c>
      <c r="G21" s="10">
        <f t="shared" si="4"/>
        <v>52.19</v>
      </c>
      <c r="H21" s="7">
        <f>'[10]Aug Prod'!F20</f>
        <v>7000000</v>
      </c>
      <c r="I21" s="8">
        <f t="shared" si="5"/>
        <v>7</v>
      </c>
      <c r="J21" s="10">
        <f t="shared" si="6"/>
        <v>21.49</v>
      </c>
      <c r="K21" s="7">
        <f>'[10]Aug Prod'!H275</f>
        <v>1222872</v>
      </c>
      <c r="L21" s="8">
        <f t="shared" si="7"/>
        <v>1.222872</v>
      </c>
      <c r="M21" s="10">
        <f t="shared" si="8"/>
        <v>3.7542170399999999</v>
      </c>
      <c r="N21" s="21"/>
      <c r="O21" s="7">
        <f>'[10]Aug Prod'!H20</f>
        <v>11439999.999999994</v>
      </c>
      <c r="P21" s="8">
        <f t="shared" si="9"/>
        <v>11.439999999999994</v>
      </c>
      <c r="Q21" s="10">
        <f t="shared" si="10"/>
        <v>35.120799999999981</v>
      </c>
      <c r="R21" s="7">
        <f>'[10]Aug Prod'!C20</f>
        <v>11730000</v>
      </c>
      <c r="S21" s="8">
        <f t="shared" si="11"/>
        <v>11.73</v>
      </c>
      <c r="T21" s="10">
        <f t="shared" si="12"/>
        <v>36.011099999999999</v>
      </c>
      <c r="U21" s="7">
        <f>'[10]Aug Prod'!D20</f>
        <v>0</v>
      </c>
      <c r="V21" s="8">
        <f t="shared" si="13"/>
        <v>0</v>
      </c>
      <c r="W21" s="10">
        <f t="shared" si="14"/>
        <v>0</v>
      </c>
      <c r="X21" s="7">
        <f>'[10]Aug Prod'!D275</f>
        <v>290000.00000000623</v>
      </c>
      <c r="Y21" s="8">
        <f t="shared" si="15"/>
        <v>0.29000000000000625</v>
      </c>
      <c r="Z21" s="10">
        <f t="shared" si="16"/>
        <v>0.89030000000001919</v>
      </c>
      <c r="AA21" s="15"/>
      <c r="AB21" s="7">
        <f t="shared" si="17"/>
        <v>33839999.999999627</v>
      </c>
      <c r="AC21" s="8">
        <f t="shared" si="17"/>
        <v>33.839999999999634</v>
      </c>
      <c r="AD21" s="8">
        <f t="shared" si="17"/>
        <v>103.88879999999887</v>
      </c>
      <c r="AF21" s="8">
        <f t="shared" si="18"/>
        <v>-1.5543122344752192E-15</v>
      </c>
    </row>
    <row r="22" spans="1:32" x14ac:dyDescent="0.15">
      <c r="A22" s="28">
        <v>38582</v>
      </c>
      <c r="B22" s="7">
        <f>'[10]Aug Prod'!I21</f>
        <v>24100000.000000365</v>
      </c>
      <c r="C22" s="8">
        <f t="shared" si="1"/>
        <v>24.100000000000364</v>
      </c>
      <c r="D22" s="10">
        <f t="shared" si="2"/>
        <v>73.987000000001117</v>
      </c>
      <c r="E22" s="7">
        <f>'[10]Aug Prod'!E21</f>
        <v>20000000</v>
      </c>
      <c r="F22" s="8">
        <f t="shared" si="3"/>
        <v>20</v>
      </c>
      <c r="G22" s="10">
        <f t="shared" si="4"/>
        <v>61.4</v>
      </c>
      <c r="H22" s="7">
        <f>'[10]Aug Prod'!F21</f>
        <v>5000000</v>
      </c>
      <c r="I22" s="8">
        <f t="shared" si="5"/>
        <v>5</v>
      </c>
      <c r="J22" s="10">
        <f t="shared" si="6"/>
        <v>15.35</v>
      </c>
      <c r="K22" s="7">
        <f>'[10]Aug Prod'!H276</f>
        <v>1177900</v>
      </c>
      <c r="L22" s="8">
        <f t="shared" si="7"/>
        <v>1.1778999999999999</v>
      </c>
      <c r="M22" s="10">
        <f t="shared" si="8"/>
        <v>3.6161529999999997</v>
      </c>
      <c r="N22" s="21"/>
      <c r="O22" s="7">
        <f>'[10]Aug Prod'!H21</f>
        <v>11058000.000000006</v>
      </c>
      <c r="P22" s="8">
        <f t="shared" si="9"/>
        <v>11.058000000000005</v>
      </c>
      <c r="Q22" s="10">
        <f t="shared" si="10"/>
        <v>33.948060000000012</v>
      </c>
      <c r="R22" s="7">
        <f>'[10]Aug Prod'!C21</f>
        <v>11402000</v>
      </c>
      <c r="S22" s="8">
        <f t="shared" si="11"/>
        <v>11.401999999999999</v>
      </c>
      <c r="T22" s="10">
        <f t="shared" si="12"/>
        <v>35.004139999999992</v>
      </c>
      <c r="U22" s="7">
        <f>'[10]Aug Prod'!D21</f>
        <v>0</v>
      </c>
      <c r="V22" s="8">
        <f t="shared" si="13"/>
        <v>0</v>
      </c>
      <c r="W22" s="10">
        <f t="shared" si="14"/>
        <v>0</v>
      </c>
      <c r="X22" s="7">
        <f>'[10]Aug Prod'!D276</f>
        <v>343999.99999999406</v>
      </c>
      <c r="Y22" s="8">
        <f t="shared" si="15"/>
        <v>0.34399999999999409</v>
      </c>
      <c r="Z22" s="10">
        <f t="shared" si="16"/>
        <v>1.0560799999999817</v>
      </c>
      <c r="AA22" s="15"/>
      <c r="AB22" s="7">
        <f t="shared" si="17"/>
        <v>35158000.000000373</v>
      </c>
      <c r="AC22" s="8">
        <f t="shared" si="17"/>
        <v>35.158000000000371</v>
      </c>
      <c r="AD22" s="8">
        <f t="shared" si="17"/>
        <v>107.93506000000113</v>
      </c>
      <c r="AF22" s="8">
        <f t="shared" si="18"/>
        <v>0</v>
      </c>
    </row>
    <row r="23" spans="1:32" x14ac:dyDescent="0.15">
      <c r="A23" s="28">
        <v>38583</v>
      </c>
      <c r="B23" s="7">
        <f>'[10]Aug Prod'!I22</f>
        <v>21799999.999999274</v>
      </c>
      <c r="C23" s="8">
        <f t="shared" si="1"/>
        <v>21.799999999999272</v>
      </c>
      <c r="D23" s="10">
        <f t="shared" si="2"/>
        <v>66.925999999997757</v>
      </c>
      <c r="E23" s="7">
        <f>'[10]Aug Prod'!E22</f>
        <v>21000000</v>
      </c>
      <c r="F23" s="8">
        <f t="shared" si="3"/>
        <v>21</v>
      </c>
      <c r="G23" s="10">
        <f t="shared" si="4"/>
        <v>64.47</v>
      </c>
      <c r="H23" s="7">
        <f>'[10]Aug Prod'!F22</f>
        <v>5000000</v>
      </c>
      <c r="I23" s="8">
        <f t="shared" si="5"/>
        <v>5</v>
      </c>
      <c r="J23" s="10">
        <f t="shared" si="6"/>
        <v>15.35</v>
      </c>
      <c r="K23" s="7">
        <f>'[10]Aug Prod'!H277</f>
        <v>1240034</v>
      </c>
      <c r="L23" s="8">
        <f t="shared" si="7"/>
        <v>1.2400340000000001</v>
      </c>
      <c r="M23" s="10">
        <f t="shared" si="8"/>
        <v>3.8069043800000002</v>
      </c>
      <c r="N23" s="21"/>
      <c r="O23" s="7">
        <f>'[10]Aug Prod'!H22</f>
        <v>16015999.999999994</v>
      </c>
      <c r="P23" s="8">
        <f t="shared" si="9"/>
        <v>16.015999999999995</v>
      </c>
      <c r="Q23" s="10">
        <f t="shared" si="10"/>
        <v>49.169119999999978</v>
      </c>
      <c r="R23" s="7">
        <f>'[10]Aug Prod'!C22</f>
        <v>16306000</v>
      </c>
      <c r="S23" s="8">
        <f t="shared" si="11"/>
        <v>16.306000000000001</v>
      </c>
      <c r="T23" s="10">
        <f t="shared" si="12"/>
        <v>50.059420000000003</v>
      </c>
      <c r="U23" s="7">
        <f>'[10]Aug Prod'!D22</f>
        <v>0</v>
      </c>
      <c r="V23" s="8">
        <f t="shared" si="13"/>
        <v>0</v>
      </c>
      <c r="W23" s="10">
        <f t="shared" si="14"/>
        <v>0</v>
      </c>
      <c r="X23" s="7">
        <f>'[10]Aug Prod'!D277</f>
        <v>290000.00000000623</v>
      </c>
      <c r="Y23" s="8">
        <f t="shared" si="15"/>
        <v>0.29000000000000625</v>
      </c>
      <c r="Z23" s="10">
        <f t="shared" si="16"/>
        <v>0.89030000000001919</v>
      </c>
      <c r="AA23" s="15"/>
      <c r="AB23" s="7">
        <f t="shared" si="17"/>
        <v>37815999.99999927</v>
      </c>
      <c r="AC23" s="8">
        <f t="shared" si="17"/>
        <v>37.815999999999264</v>
      </c>
      <c r="AD23" s="8">
        <f t="shared" si="17"/>
        <v>116.09511999999773</v>
      </c>
      <c r="AF23" s="8">
        <f t="shared" si="18"/>
        <v>5.5511151231257827E-15</v>
      </c>
    </row>
    <row r="24" spans="1:32" x14ac:dyDescent="0.15">
      <c r="A24" s="28">
        <v>38584</v>
      </c>
      <c r="B24" s="7">
        <f>'[10]Aug Prod'!I23</f>
        <v>19800000.000001092</v>
      </c>
      <c r="C24" s="8">
        <f t="shared" si="1"/>
        <v>19.800000000001091</v>
      </c>
      <c r="D24" s="10">
        <f t="shared" si="2"/>
        <v>60.786000000003348</v>
      </c>
      <c r="E24" s="7">
        <f>'[10]Aug Prod'!E23</f>
        <v>13000000</v>
      </c>
      <c r="F24" s="8">
        <f t="shared" si="3"/>
        <v>13</v>
      </c>
      <c r="G24" s="10">
        <f t="shared" si="4"/>
        <v>39.909999999999997</v>
      </c>
      <c r="H24" s="7">
        <f>'[10]Aug Prod'!F23</f>
        <v>5000000</v>
      </c>
      <c r="I24" s="8">
        <f t="shared" si="5"/>
        <v>5</v>
      </c>
      <c r="J24" s="10">
        <f t="shared" si="6"/>
        <v>15.35</v>
      </c>
      <c r="K24" s="7">
        <f>'[10]Aug Prod'!H278</f>
        <v>1133093</v>
      </c>
      <c r="L24" s="8">
        <f t="shared" si="7"/>
        <v>1.1330929999999999</v>
      </c>
      <c r="M24" s="10">
        <f t="shared" si="8"/>
        <v>3.4785955099999994</v>
      </c>
      <c r="N24" s="21"/>
      <c r="O24" s="7">
        <f>'[10]Aug Prod'!H23</f>
        <v>10972000.000000011</v>
      </c>
      <c r="P24" s="8">
        <f t="shared" si="9"/>
        <v>10.972000000000012</v>
      </c>
      <c r="Q24" s="10">
        <f t="shared" si="10"/>
        <v>33.684040000000032</v>
      </c>
      <c r="R24" s="7">
        <f>'[10]Aug Prod'!C23</f>
        <v>11312000</v>
      </c>
      <c r="S24" s="8">
        <f t="shared" si="11"/>
        <v>11.311999999999999</v>
      </c>
      <c r="T24" s="10">
        <f t="shared" si="12"/>
        <v>34.727839999999993</v>
      </c>
      <c r="U24" s="7">
        <f>'[10]Aug Prod'!D23</f>
        <v>0</v>
      </c>
      <c r="V24" s="8">
        <f t="shared" si="13"/>
        <v>0</v>
      </c>
      <c r="W24" s="10">
        <f t="shared" si="14"/>
        <v>0</v>
      </c>
      <c r="X24" s="7">
        <f>'[10]Aug Prod'!D278</f>
        <v>339999.99999998917</v>
      </c>
      <c r="Y24" s="8">
        <f t="shared" si="15"/>
        <v>0.3399999999999892</v>
      </c>
      <c r="Z24" s="10">
        <f t="shared" si="16"/>
        <v>1.0437999999999668</v>
      </c>
      <c r="AA24" s="15"/>
      <c r="AB24" s="7">
        <f t="shared" si="17"/>
        <v>30772000.000001103</v>
      </c>
      <c r="AC24" s="8">
        <f t="shared" si="17"/>
        <v>30.772000000001103</v>
      </c>
      <c r="AD24" s="8">
        <f>D24+Q24</f>
        <v>94.47004000000338</v>
      </c>
      <c r="AF24" s="8">
        <f t="shared" si="18"/>
        <v>-4.8849813083506888E-15</v>
      </c>
    </row>
    <row r="25" spans="1:32" x14ac:dyDescent="0.15">
      <c r="A25" s="28">
        <v>38585</v>
      </c>
      <c r="B25" s="7">
        <f>'[10]Aug Prod'!I24</f>
        <v>24100000.000000365</v>
      </c>
      <c r="C25" s="8">
        <f t="shared" si="1"/>
        <v>24.100000000000364</v>
      </c>
      <c r="D25" s="10">
        <f t="shared" si="2"/>
        <v>73.987000000001117</v>
      </c>
      <c r="E25" s="7">
        <f>'[10]Aug Prod'!E24</f>
        <v>23000000</v>
      </c>
      <c r="F25" s="8">
        <f t="shared" si="3"/>
        <v>23</v>
      </c>
      <c r="G25" s="10">
        <f t="shared" si="4"/>
        <v>70.61</v>
      </c>
      <c r="H25" s="7">
        <f>'[10]Aug Prod'!F24</f>
        <v>2000000</v>
      </c>
      <c r="I25" s="8">
        <f t="shared" si="5"/>
        <v>2</v>
      </c>
      <c r="J25" s="10">
        <f t="shared" si="6"/>
        <v>6.14</v>
      </c>
      <c r="K25" s="7">
        <f>'[10]Aug Prod'!H279</f>
        <v>1241000</v>
      </c>
      <c r="L25" s="8">
        <f t="shared" si="7"/>
        <v>1.2410000000000001</v>
      </c>
      <c r="M25" s="10">
        <f t="shared" si="8"/>
        <v>3.8098700000000001</v>
      </c>
      <c r="N25" s="21"/>
      <c r="O25" s="7">
        <f>'[10]Aug Prod'!H24</f>
        <v>14475999.999999998</v>
      </c>
      <c r="P25" s="8">
        <f t="shared" si="9"/>
        <v>14.475999999999997</v>
      </c>
      <c r="Q25" s="10">
        <f t="shared" si="10"/>
        <v>44.44131999999999</v>
      </c>
      <c r="R25" s="7">
        <f>'[10]Aug Prod'!C24</f>
        <v>14777000</v>
      </c>
      <c r="S25" s="8">
        <f t="shared" si="11"/>
        <v>14.776999999999999</v>
      </c>
      <c r="T25" s="10">
        <f t="shared" si="12"/>
        <v>45.365389999999998</v>
      </c>
      <c r="U25" s="7">
        <f>'[10]Aug Prod'!D24</f>
        <v>0</v>
      </c>
      <c r="V25" s="8">
        <f t="shared" si="13"/>
        <v>0</v>
      </c>
      <c r="W25" s="10">
        <f t="shared" si="14"/>
        <v>0</v>
      </c>
      <c r="X25" s="7">
        <f>'[10]Aug Prod'!D279</f>
        <v>301000.00000000192</v>
      </c>
      <c r="Y25" s="8">
        <f t="shared" si="15"/>
        <v>0.30100000000000193</v>
      </c>
      <c r="Z25" s="10">
        <f t="shared" si="16"/>
        <v>0.92407000000000583</v>
      </c>
      <c r="AA25" s="15"/>
      <c r="AB25" s="7">
        <f t="shared" si="17"/>
        <v>38576000.000000365</v>
      </c>
      <c r="AC25" s="8">
        <f t="shared" si="17"/>
        <v>38.576000000000363</v>
      </c>
      <c r="AD25" s="8">
        <f t="shared" si="17"/>
        <v>118.42832000000111</v>
      </c>
      <c r="AF25" s="8">
        <f t="shared" si="18"/>
        <v>1.6653345369377348E-15</v>
      </c>
    </row>
    <row r="26" spans="1:32" x14ac:dyDescent="0.15">
      <c r="A26" s="28">
        <v>38586</v>
      </c>
      <c r="B26" s="7">
        <f>'[10]Aug Prod'!I25</f>
        <v>23399999.999999635</v>
      </c>
      <c r="C26" s="8">
        <f t="shared" si="1"/>
        <v>23.399999999999636</v>
      </c>
      <c r="D26" s="10">
        <f t="shared" si="2"/>
        <v>71.837999999998885</v>
      </c>
      <c r="E26" s="7">
        <f>'[10]Aug Prod'!E25</f>
        <v>25000000</v>
      </c>
      <c r="F26" s="8">
        <f t="shared" si="3"/>
        <v>25</v>
      </c>
      <c r="G26" s="10">
        <f t="shared" si="4"/>
        <v>76.75</v>
      </c>
      <c r="H26" s="7">
        <f>'[10]Aug Prod'!F25</f>
        <v>0</v>
      </c>
      <c r="I26" s="8">
        <f t="shared" si="5"/>
        <v>0</v>
      </c>
      <c r="J26" s="10">
        <f t="shared" si="6"/>
        <v>0</v>
      </c>
      <c r="K26" s="7">
        <f>'[10]Aug Prod'!H280</f>
        <v>1402055</v>
      </c>
      <c r="L26" s="8">
        <f t="shared" si="7"/>
        <v>1.4020550000000001</v>
      </c>
      <c r="M26" s="10">
        <f t="shared" si="8"/>
        <v>4.30430885</v>
      </c>
      <c r="N26" s="21"/>
      <c r="O26" s="7">
        <f>'[10]Aug Prod'!H25</f>
        <v>12171999.999999996</v>
      </c>
      <c r="P26" s="8">
        <f t="shared" si="9"/>
        <v>12.171999999999997</v>
      </c>
      <c r="Q26" s="10">
        <f t="shared" si="10"/>
        <v>37.368039999999986</v>
      </c>
      <c r="R26" s="7">
        <f>'[10]Aug Prod'!C25</f>
        <v>12515000</v>
      </c>
      <c r="S26" s="8">
        <f t="shared" si="11"/>
        <v>12.515000000000001</v>
      </c>
      <c r="T26" s="10">
        <f t="shared" si="12"/>
        <v>38.421050000000001</v>
      </c>
      <c r="U26" s="7">
        <f>'[10]Aug Prod'!D25</f>
        <v>0</v>
      </c>
      <c r="V26" s="8">
        <f t="shared" si="13"/>
        <v>0</v>
      </c>
      <c r="W26" s="10">
        <f t="shared" si="14"/>
        <v>0</v>
      </c>
      <c r="X26" s="7">
        <f>'[10]Aug Prod'!D280</f>
        <v>343000.00000000355</v>
      </c>
      <c r="Y26" s="8">
        <f t="shared" si="15"/>
        <v>0.34300000000000352</v>
      </c>
      <c r="Z26" s="10">
        <f t="shared" si="16"/>
        <v>1.0530100000000107</v>
      </c>
      <c r="AA26" s="15"/>
      <c r="AB26" s="7">
        <f t="shared" si="17"/>
        <v>35571999.999999627</v>
      </c>
      <c r="AC26" s="8">
        <f t="shared" si="17"/>
        <v>35.571999999999633</v>
      </c>
      <c r="AD26" s="8">
        <f t="shared" si="17"/>
        <v>109.20603999999886</v>
      </c>
      <c r="AF26" s="8">
        <f t="shared" si="18"/>
        <v>3.9968028886505635E-15</v>
      </c>
    </row>
    <row r="27" spans="1:32" x14ac:dyDescent="0.15">
      <c r="A27" s="28">
        <v>38587</v>
      </c>
      <c r="B27" s="7">
        <f>'[10]Aug Prod'!I26</f>
        <v>22899999.999999635</v>
      </c>
      <c r="C27" s="8">
        <f t="shared" si="1"/>
        <v>22.899999999999636</v>
      </c>
      <c r="D27" s="10">
        <f t="shared" si="2"/>
        <v>70.302999999998875</v>
      </c>
      <c r="E27" s="7">
        <f>'[10]Aug Prod'!E26</f>
        <v>17000000</v>
      </c>
      <c r="F27" s="8">
        <f t="shared" si="3"/>
        <v>17</v>
      </c>
      <c r="G27" s="10">
        <f t="shared" si="4"/>
        <v>52.19</v>
      </c>
      <c r="H27" s="7">
        <f>'[10]Aug Prod'!F26</f>
        <v>7000000</v>
      </c>
      <c r="I27" s="8">
        <f t="shared" si="5"/>
        <v>7</v>
      </c>
      <c r="J27" s="10">
        <f t="shared" si="6"/>
        <v>21.49</v>
      </c>
      <c r="K27" s="7">
        <f>'[10]Aug Prod'!H281</f>
        <v>1295269</v>
      </c>
      <c r="L27" s="8">
        <f t="shared" si="7"/>
        <v>1.295269</v>
      </c>
      <c r="M27" s="10">
        <f t="shared" si="8"/>
        <v>3.9764758299999996</v>
      </c>
      <c r="N27" s="21"/>
      <c r="O27" s="7">
        <f>'[10]Aug Prod'!H26</f>
        <v>11839999.999999994</v>
      </c>
      <c r="P27" s="8">
        <f t="shared" si="9"/>
        <v>11.839999999999995</v>
      </c>
      <c r="Q27" s="10">
        <f t="shared" si="10"/>
        <v>36.348799999999983</v>
      </c>
      <c r="R27" s="7">
        <f>'[10]Aug Prod'!C26</f>
        <v>12124000</v>
      </c>
      <c r="S27" s="8">
        <f t="shared" si="11"/>
        <v>12.124000000000001</v>
      </c>
      <c r="T27" s="10">
        <f t="shared" si="12"/>
        <v>37.220680000000002</v>
      </c>
      <c r="U27" s="7">
        <f>'[10]Aug Prod'!D26</f>
        <v>1494000</v>
      </c>
      <c r="V27" s="8">
        <f t="shared" si="13"/>
        <v>1.494</v>
      </c>
      <c r="W27" s="10">
        <f t="shared" si="14"/>
        <v>4.5865799999999997</v>
      </c>
      <c r="X27" s="7">
        <f>'[10]Aug Prod'!D281</f>
        <v>284000.00000000605</v>
      </c>
      <c r="Y27" s="8">
        <f t="shared" si="15"/>
        <v>0.28400000000000608</v>
      </c>
      <c r="Z27" s="10">
        <f t="shared" si="16"/>
        <v>0.87188000000001864</v>
      </c>
      <c r="AA27" s="15"/>
      <c r="AB27" s="7">
        <f t="shared" si="17"/>
        <v>34739999.999999627</v>
      </c>
      <c r="AC27" s="8">
        <f t="shared" si="17"/>
        <v>34.739999999999633</v>
      </c>
      <c r="AD27" s="8">
        <f t="shared" si="17"/>
        <v>106.65179999999886</v>
      </c>
      <c r="AF27" s="8">
        <f>T27-Q27-Z27</f>
        <v>0</v>
      </c>
    </row>
    <row r="28" spans="1:32" x14ac:dyDescent="0.15">
      <c r="A28" s="28">
        <v>38588</v>
      </c>
      <c r="B28" s="7">
        <f>'[10]Aug Prod'!I27</f>
        <v>23700000.000000726</v>
      </c>
      <c r="C28" s="8">
        <f t="shared" si="1"/>
        <v>23.700000000000728</v>
      </c>
      <c r="D28" s="10">
        <f t="shared" si="2"/>
        <v>72.759000000002231</v>
      </c>
      <c r="E28" s="7">
        <f>'[10]Aug Prod'!E27</f>
        <v>20000000</v>
      </c>
      <c r="F28" s="8">
        <f t="shared" si="3"/>
        <v>20</v>
      </c>
      <c r="G28" s="10">
        <f t="shared" si="4"/>
        <v>61.4</v>
      </c>
      <c r="H28" s="7">
        <f>'[10]Aug Prod'!F27</f>
        <v>6000000</v>
      </c>
      <c r="I28" s="8">
        <f t="shared" si="5"/>
        <v>6</v>
      </c>
      <c r="J28" s="10">
        <f t="shared" si="6"/>
        <v>18.419999999999998</v>
      </c>
      <c r="K28" s="7">
        <f>'[10]Aug Prod'!H282</f>
        <v>1379310</v>
      </c>
      <c r="L28" s="8">
        <f t="shared" si="7"/>
        <v>1.37931</v>
      </c>
      <c r="M28" s="10">
        <f t="shared" si="8"/>
        <v>4.2344816999999999</v>
      </c>
      <c r="N28" s="21"/>
      <c r="O28" s="7">
        <f>'[10]Aug Prod'!H27</f>
        <v>13650000.000000002</v>
      </c>
      <c r="P28" s="8">
        <f t="shared" si="9"/>
        <v>13.650000000000002</v>
      </c>
      <c r="Q28" s="10">
        <f t="shared" si="10"/>
        <v>41.905500000000004</v>
      </c>
      <c r="R28" s="7">
        <f>'[10]Aug Prod'!C27</f>
        <v>13986000</v>
      </c>
      <c r="S28" s="8">
        <f t="shared" si="11"/>
        <v>13.986000000000001</v>
      </c>
      <c r="T28" s="10">
        <f t="shared" si="12"/>
        <v>42.937019999999997</v>
      </c>
      <c r="U28" s="7">
        <f>'[10]Aug Prod'!D27</f>
        <v>2196000</v>
      </c>
      <c r="V28" s="8">
        <f t="shared" si="13"/>
        <v>2.1960000000000002</v>
      </c>
      <c r="W28" s="10">
        <f t="shared" si="14"/>
        <v>6.7417199999999999</v>
      </c>
      <c r="X28" s="7">
        <f>'[10]Aug Prod'!D282</f>
        <v>335999.99999999854</v>
      </c>
      <c r="Y28" s="8">
        <f t="shared" si="15"/>
        <v>0.33599999999999852</v>
      </c>
      <c r="Z28" s="10">
        <f t="shared" si="16"/>
        <v>1.0315199999999953</v>
      </c>
      <c r="AA28" s="15"/>
      <c r="AB28" s="7">
        <f t="shared" si="17"/>
        <v>37350000.00000073</v>
      </c>
      <c r="AC28" s="8">
        <f t="shared" si="17"/>
        <v>37.350000000000733</v>
      </c>
      <c r="AD28" s="8">
        <f t="shared" si="17"/>
        <v>114.66450000000223</v>
      </c>
      <c r="AF28" s="8">
        <f t="shared" si="18"/>
        <v>-1.9984014443252818E-15</v>
      </c>
    </row>
    <row r="29" spans="1:32" x14ac:dyDescent="0.15">
      <c r="A29" s="28">
        <v>38589</v>
      </c>
      <c r="B29" s="7">
        <f>'[10]Aug Prod'!I28</f>
        <v>24599999.999998543</v>
      </c>
      <c r="C29" s="8">
        <f t="shared" si="1"/>
        <v>24.599999999998545</v>
      </c>
      <c r="D29" s="10">
        <f t="shared" si="2"/>
        <v>75.521999999995529</v>
      </c>
      <c r="E29" s="7">
        <f>'[10]Aug Prod'!E28</f>
        <v>26000000</v>
      </c>
      <c r="F29" s="8">
        <f t="shared" si="3"/>
        <v>26</v>
      </c>
      <c r="G29" s="10">
        <f t="shared" si="4"/>
        <v>79.819999999999993</v>
      </c>
      <c r="H29" s="7">
        <f>'[10]Aug Prod'!F28</f>
        <v>0</v>
      </c>
      <c r="I29" s="8">
        <f t="shared" si="5"/>
        <v>0</v>
      </c>
      <c r="J29" s="10">
        <f t="shared" si="6"/>
        <v>0</v>
      </c>
      <c r="K29" s="7">
        <f>'[10]Aug Prod'!H283</f>
        <v>1285975</v>
      </c>
      <c r="L29" s="8">
        <f t="shared" si="7"/>
        <v>1.2859750000000001</v>
      </c>
      <c r="M29" s="10">
        <f t="shared" si="8"/>
        <v>3.9479432500000002</v>
      </c>
      <c r="N29" s="21"/>
      <c r="O29" s="7">
        <f>'[10]Aug Prod'!H28</f>
        <v>12915000.000000011</v>
      </c>
      <c r="P29" s="8">
        <f t="shared" si="9"/>
        <v>12.915000000000012</v>
      </c>
      <c r="Q29" s="10">
        <f t="shared" si="10"/>
        <v>39.649050000000031</v>
      </c>
      <c r="R29" s="7">
        <f>'[10]Aug Prod'!C28</f>
        <v>13258000</v>
      </c>
      <c r="S29" s="8">
        <f t="shared" si="11"/>
        <v>13.257999999999999</v>
      </c>
      <c r="T29" s="10">
        <f t="shared" si="12"/>
        <v>40.702059999999996</v>
      </c>
      <c r="U29" s="7">
        <f>'[10]Aug Prod'!D28</f>
        <v>2997000</v>
      </c>
      <c r="V29" s="8">
        <f t="shared" si="13"/>
        <v>2.9969999999999999</v>
      </c>
      <c r="W29" s="10">
        <f t="shared" si="14"/>
        <v>9.2007899999999996</v>
      </c>
      <c r="X29" s="7">
        <f>'[10]Aug Prod'!D283</f>
        <v>342999.99999998929</v>
      </c>
      <c r="Y29" s="8">
        <f t="shared" si="15"/>
        <v>0.34299999999998931</v>
      </c>
      <c r="Z29" s="10">
        <f t="shared" si="16"/>
        <v>1.0530099999999671</v>
      </c>
      <c r="AA29" s="15"/>
      <c r="AB29" s="7">
        <f t="shared" si="17"/>
        <v>37514999.999998555</v>
      </c>
      <c r="AC29" s="8">
        <f t="shared" si="17"/>
        <v>37.514999999998558</v>
      </c>
      <c r="AD29" s="8">
        <f t="shared" si="17"/>
        <v>115.17104999999556</v>
      </c>
      <c r="AF29" s="8">
        <f t="shared" si="18"/>
        <v>-2.2204460492503131E-15</v>
      </c>
    </row>
    <row r="30" spans="1:32" x14ac:dyDescent="0.15">
      <c r="A30" s="28">
        <v>38590</v>
      </c>
      <c r="B30" s="7">
        <f>'[10]Aug Prod'!I29</f>
        <v>23800000.000001092</v>
      </c>
      <c r="C30" s="8">
        <f t="shared" si="1"/>
        <v>23.800000000001091</v>
      </c>
      <c r="D30" s="10">
        <f t="shared" si="2"/>
        <v>73.066000000003342</v>
      </c>
      <c r="E30" s="7">
        <f>'[10]Aug Prod'!E29</f>
        <v>25000000</v>
      </c>
      <c r="F30" s="8">
        <f t="shared" si="3"/>
        <v>25</v>
      </c>
      <c r="G30" s="10">
        <f t="shared" si="4"/>
        <v>76.75</v>
      </c>
      <c r="H30" s="7">
        <f>'[10]Aug Prod'!F29</f>
        <v>0</v>
      </c>
      <c r="I30" s="8">
        <f t="shared" si="5"/>
        <v>0</v>
      </c>
      <c r="J30" s="10">
        <f t="shared" si="6"/>
        <v>0</v>
      </c>
      <c r="K30" s="7">
        <f>'[10]Aug Prod'!H284</f>
        <v>1291019</v>
      </c>
      <c r="L30" s="8">
        <f t="shared" si="7"/>
        <v>1.2910189999999999</v>
      </c>
      <c r="M30" s="10">
        <f t="shared" si="8"/>
        <v>3.9634283299999997</v>
      </c>
      <c r="N30" s="21"/>
      <c r="O30" s="7">
        <f>'[10]Aug Prod'!H29</f>
        <v>13071999.999999996</v>
      </c>
      <c r="P30" s="8">
        <f t="shared" si="9"/>
        <v>13.071999999999996</v>
      </c>
      <c r="Q30" s="10">
        <f t="shared" si="10"/>
        <v>40.131039999999985</v>
      </c>
      <c r="R30" s="7">
        <f>'[10]Aug Prod'!C29</f>
        <v>13418000</v>
      </c>
      <c r="S30" s="8">
        <f t="shared" si="11"/>
        <v>13.417999999999999</v>
      </c>
      <c r="T30" s="10">
        <f t="shared" si="12"/>
        <v>41.193259999999995</v>
      </c>
      <c r="U30" s="7">
        <f>'[10]Aug Prod'!D29</f>
        <v>3049000</v>
      </c>
      <c r="V30" s="8">
        <f t="shared" si="13"/>
        <v>3.0489999999999999</v>
      </c>
      <c r="W30" s="10">
        <f t="shared" si="14"/>
        <v>9.3604299999999991</v>
      </c>
      <c r="X30" s="7">
        <f>'[10]Aug Prod'!D284</f>
        <v>346000.00000000361</v>
      </c>
      <c r="Y30" s="8">
        <f t="shared" si="15"/>
        <v>0.34600000000000358</v>
      </c>
      <c r="Z30" s="10">
        <f t="shared" si="16"/>
        <v>1.062220000000011</v>
      </c>
      <c r="AA30" s="15"/>
      <c r="AB30" s="7">
        <f t="shared" si="17"/>
        <v>36872000.000001088</v>
      </c>
      <c r="AC30" s="8">
        <f t="shared" si="17"/>
        <v>36.872000000001087</v>
      </c>
      <c r="AD30" s="8">
        <f>D30+Q30</f>
        <v>113.19704000000333</v>
      </c>
      <c r="AF30" s="8">
        <f t="shared" si="18"/>
        <v>0</v>
      </c>
    </row>
    <row r="31" spans="1:32" x14ac:dyDescent="0.15">
      <c r="A31" s="28">
        <v>38591</v>
      </c>
      <c r="B31" s="7">
        <f>'[10]Aug Prod'!I30</f>
        <v>23100000.000000365</v>
      </c>
      <c r="C31" s="8">
        <f t="shared" si="1"/>
        <v>23.100000000000364</v>
      </c>
      <c r="D31" s="10">
        <f t="shared" si="2"/>
        <v>70.91700000000111</v>
      </c>
      <c r="E31" s="7">
        <f>'[10]Aug Prod'!E30</f>
        <v>24000000</v>
      </c>
      <c r="F31" s="8">
        <f t="shared" si="3"/>
        <v>24</v>
      </c>
      <c r="G31" s="10">
        <f t="shared" si="4"/>
        <v>73.679999999999993</v>
      </c>
      <c r="H31" s="7">
        <f>'[10]Aug Prod'!F30</f>
        <v>0</v>
      </c>
      <c r="I31" s="8">
        <f t="shared" si="5"/>
        <v>0</v>
      </c>
      <c r="J31" s="10">
        <f t="shared" si="6"/>
        <v>0</v>
      </c>
      <c r="K31" s="7">
        <f>'[10]Aug Prod'!H285</f>
        <v>1360960</v>
      </c>
      <c r="L31" s="8">
        <f t="shared" si="7"/>
        <v>1.3609599999999999</v>
      </c>
      <c r="M31" s="10">
        <f t="shared" si="8"/>
        <v>4.1781471999999997</v>
      </c>
      <c r="N31" s="21"/>
      <c r="O31" s="7">
        <f>'[10]Aug Prod'!H30</f>
        <v>14549000.000000002</v>
      </c>
      <c r="P31" s="8">
        <f t="shared" si="9"/>
        <v>14.549000000000001</v>
      </c>
      <c r="Q31" s="10">
        <f t="shared" si="10"/>
        <v>44.665430000000001</v>
      </c>
      <c r="R31" s="7">
        <f>'[10]Aug Prod'!C30</f>
        <v>14897000</v>
      </c>
      <c r="S31" s="8">
        <f t="shared" si="11"/>
        <v>14.897</v>
      </c>
      <c r="T31" s="10">
        <f t="shared" si="12"/>
        <v>45.733789999999999</v>
      </c>
      <c r="U31" s="7">
        <f>'[10]Aug Prod'!D30</f>
        <v>3002000</v>
      </c>
      <c r="V31" s="8">
        <f t="shared" si="13"/>
        <v>3.0019999999999998</v>
      </c>
      <c r="W31" s="10">
        <f t="shared" si="14"/>
        <v>9.2161399999999993</v>
      </c>
      <c r="X31" s="7">
        <f>'[10]Aug Prod'!D285</f>
        <v>347999.99999999895</v>
      </c>
      <c r="Y31" s="8">
        <f t="shared" si="15"/>
        <v>0.34799999999999898</v>
      </c>
      <c r="Z31" s="10">
        <f t="shared" si="16"/>
        <v>1.0683599999999969</v>
      </c>
      <c r="AA31" s="15"/>
      <c r="AB31" s="7">
        <f t="shared" si="17"/>
        <v>37649000.000000365</v>
      </c>
      <c r="AC31" s="8">
        <f t="shared" si="17"/>
        <v>37.649000000000363</v>
      </c>
      <c r="AD31" s="8">
        <f t="shared" si="17"/>
        <v>115.58243000000111</v>
      </c>
      <c r="AF31" s="8">
        <f t="shared" si="18"/>
        <v>0</v>
      </c>
    </row>
    <row r="32" spans="1:32" x14ac:dyDescent="0.15">
      <c r="A32" s="28">
        <v>38592</v>
      </c>
      <c r="B32" s="7">
        <f>'[10]Aug Prod'!I31</f>
        <v>22699999.999998908</v>
      </c>
      <c r="C32" s="8">
        <f t="shared" si="1"/>
        <v>22.699999999998909</v>
      </c>
      <c r="D32" s="10">
        <f t="shared" si="2"/>
        <v>69.688999999996639</v>
      </c>
      <c r="E32" s="7">
        <f>'[10]Aug Prod'!E31</f>
        <v>24000000</v>
      </c>
      <c r="F32" s="8">
        <f t="shared" si="3"/>
        <v>24</v>
      </c>
      <c r="G32" s="10">
        <f t="shared" si="4"/>
        <v>73.679999999999993</v>
      </c>
      <c r="H32" s="7">
        <f>'[10]Aug Prod'!F31</f>
        <v>0</v>
      </c>
      <c r="I32" s="8">
        <f t="shared" si="5"/>
        <v>0</v>
      </c>
      <c r="J32" s="10">
        <f t="shared" si="6"/>
        <v>0</v>
      </c>
      <c r="K32" s="7">
        <f>'[10]Aug Prod'!H286</f>
        <v>1284339</v>
      </c>
      <c r="L32" s="8">
        <f t="shared" si="7"/>
        <v>1.2843389999999999</v>
      </c>
      <c r="M32" s="10">
        <f t="shared" si="8"/>
        <v>3.9429207299999995</v>
      </c>
      <c r="N32" s="21"/>
      <c r="O32" s="7">
        <f>'[10]Aug Prod'!H31</f>
        <v>14672999.999999994</v>
      </c>
      <c r="P32" s="8">
        <f t="shared" si="9"/>
        <v>14.672999999999995</v>
      </c>
      <c r="Q32" s="10">
        <f t="shared" si="10"/>
        <v>45.046109999999985</v>
      </c>
      <c r="R32" s="7">
        <f>'[10]Aug Prod'!C31</f>
        <v>15076000</v>
      </c>
      <c r="S32" s="8">
        <f t="shared" si="11"/>
        <v>15.076000000000001</v>
      </c>
      <c r="T32" s="10">
        <f t="shared" si="12"/>
        <v>46.283319999999996</v>
      </c>
      <c r="U32" s="7">
        <f>'[10]Aug Prod'!D31</f>
        <v>3037000</v>
      </c>
      <c r="V32" s="8">
        <f t="shared" si="13"/>
        <v>3.0369999999999999</v>
      </c>
      <c r="W32" s="10">
        <f t="shared" si="14"/>
        <v>9.3235899999999994</v>
      </c>
      <c r="X32" s="7">
        <f>'[10]Aug Prod'!D286</f>
        <v>403000.00000000582</v>
      </c>
      <c r="Y32" s="8">
        <f t="shared" si="15"/>
        <v>0.4030000000000058</v>
      </c>
      <c r="Z32" s="10">
        <f t="shared" si="16"/>
        <v>1.2372100000000177</v>
      </c>
      <c r="AA32" s="15"/>
      <c r="AB32" s="7">
        <f t="shared" si="17"/>
        <v>37372999.999998905</v>
      </c>
      <c r="AC32" s="8">
        <f t="shared" si="17"/>
        <v>37.372999999998903</v>
      </c>
      <c r="AD32" s="8">
        <f t="shared" si="17"/>
        <v>114.73510999999662</v>
      </c>
      <c r="AF32" s="8">
        <f t="shared" si="18"/>
        <v>-5.9952043329758453E-15</v>
      </c>
    </row>
    <row r="33" spans="1:32" x14ac:dyDescent="0.15">
      <c r="A33" s="28">
        <v>38593</v>
      </c>
      <c r="B33" s="7">
        <f>'[10]Aug Prod'!I32</f>
        <v>22600000.000000365</v>
      </c>
      <c r="C33" s="8">
        <f t="shared" si="1"/>
        <v>22.600000000000364</v>
      </c>
      <c r="D33" s="10">
        <f t="shared" si="2"/>
        <v>69.382000000001113</v>
      </c>
      <c r="E33" s="7">
        <f>'[10]Aug Prod'!E32</f>
        <v>24000000</v>
      </c>
      <c r="F33" s="8">
        <f t="shared" si="3"/>
        <v>24</v>
      </c>
      <c r="G33" s="10">
        <f t="shared" si="4"/>
        <v>73.679999999999993</v>
      </c>
      <c r="H33" s="7">
        <f>'[10]Aug Prod'!F32</f>
        <v>0</v>
      </c>
      <c r="I33" s="8">
        <f t="shared" si="5"/>
        <v>0</v>
      </c>
      <c r="J33" s="10">
        <f t="shared" si="6"/>
        <v>0</v>
      </c>
      <c r="K33" s="7">
        <f>'[10]Aug Prod'!H287</f>
        <v>1321040</v>
      </c>
      <c r="L33" s="8">
        <f t="shared" si="7"/>
        <v>1.32104</v>
      </c>
      <c r="M33" s="10">
        <f t="shared" si="8"/>
        <v>4.0555927999999994</v>
      </c>
      <c r="N33" s="21"/>
      <c r="O33" s="7">
        <f>'[10]Aug Prod'!H32</f>
        <v>13834000.000000006</v>
      </c>
      <c r="P33" s="8">
        <f t="shared" si="9"/>
        <v>13.834000000000005</v>
      </c>
      <c r="Q33" s="10">
        <f t="shared" si="10"/>
        <v>42.470380000000013</v>
      </c>
      <c r="R33" s="7">
        <f>'[10]Aug Prod'!C32</f>
        <v>14178000</v>
      </c>
      <c r="S33" s="8">
        <f t="shared" si="11"/>
        <v>14.178000000000001</v>
      </c>
      <c r="T33" s="10">
        <f t="shared" si="12"/>
        <v>43.52646</v>
      </c>
      <c r="U33" s="7">
        <f>'[10]Aug Prod'!D32</f>
        <v>3024000</v>
      </c>
      <c r="V33" s="8">
        <f t="shared" si="13"/>
        <v>3.024</v>
      </c>
      <c r="W33" s="10">
        <f t="shared" si="14"/>
        <v>9.2836800000000004</v>
      </c>
      <c r="X33" s="7">
        <f>'[10]Aug Prod'!D287</f>
        <v>343999.99999999406</v>
      </c>
      <c r="Y33" s="8">
        <f t="shared" si="15"/>
        <v>0.34399999999999409</v>
      </c>
      <c r="Z33" s="10">
        <f t="shared" si="16"/>
        <v>1.0560799999999817</v>
      </c>
      <c r="AA33" s="15"/>
      <c r="AB33" s="7">
        <f t="shared" si="17"/>
        <v>36434000.000000373</v>
      </c>
      <c r="AC33" s="8">
        <f t="shared" si="17"/>
        <v>36.434000000000367</v>
      </c>
      <c r="AD33" s="8">
        <f t="shared" si="17"/>
        <v>111.85238000000112</v>
      </c>
      <c r="AF33" s="8">
        <f t="shared" si="18"/>
        <v>5.5511151231257827E-15</v>
      </c>
    </row>
    <row r="34" spans="1:32" x14ac:dyDescent="0.15">
      <c r="A34" s="28">
        <v>38594</v>
      </c>
      <c r="B34" s="7">
        <f>'[10]Aug Prod'!I33</f>
        <v>21299999.999999274</v>
      </c>
      <c r="C34" s="8">
        <f t="shared" si="1"/>
        <v>21.299999999999272</v>
      </c>
      <c r="D34" s="10">
        <f t="shared" si="2"/>
        <v>65.39099999999776</v>
      </c>
      <c r="E34" s="7">
        <f>'[10]Aug Prod'!E33</f>
        <v>22000000</v>
      </c>
      <c r="F34" s="8">
        <f t="shared" si="3"/>
        <v>22</v>
      </c>
      <c r="G34" s="10">
        <f t="shared" si="4"/>
        <v>67.539999999999992</v>
      </c>
      <c r="H34" s="7">
        <f>'[10]Aug Prod'!F33</f>
        <v>0</v>
      </c>
      <c r="I34" s="8">
        <f t="shared" si="5"/>
        <v>0</v>
      </c>
      <c r="J34" s="10">
        <f t="shared" si="6"/>
        <v>0</v>
      </c>
      <c r="K34" s="7">
        <f>'[10]Aug Prod'!H288</f>
        <v>1166739</v>
      </c>
      <c r="L34" s="8">
        <f t="shared" si="7"/>
        <v>1.166739</v>
      </c>
      <c r="M34" s="10">
        <f t="shared" si="8"/>
        <v>3.5818887299999997</v>
      </c>
      <c r="N34" s="21"/>
      <c r="O34" s="7">
        <f>'[10]Aug Prod'!H33</f>
        <v>12105000.000000002</v>
      </c>
      <c r="P34" s="8">
        <f t="shared" si="9"/>
        <v>12.105000000000002</v>
      </c>
      <c r="Q34" s="10">
        <f t="shared" si="10"/>
        <v>37.162350000000004</v>
      </c>
      <c r="R34" s="7">
        <f>'[10]Aug Prod'!C33</f>
        <v>12450000</v>
      </c>
      <c r="S34" s="8">
        <f t="shared" si="11"/>
        <v>12.45</v>
      </c>
      <c r="T34" s="10">
        <f t="shared" si="12"/>
        <v>38.221499999999999</v>
      </c>
      <c r="U34" s="7">
        <f>'[10]Aug Prod'!D33</f>
        <v>3020000</v>
      </c>
      <c r="V34" s="8">
        <f t="shared" si="13"/>
        <v>3.02</v>
      </c>
      <c r="W34" s="10">
        <f t="shared" si="14"/>
        <v>9.2713999999999999</v>
      </c>
      <c r="X34" s="7">
        <f>'[10]Aug Prod'!D288</f>
        <v>344999.99999999884</v>
      </c>
      <c r="Y34" s="8">
        <f t="shared" si="15"/>
        <v>0.34499999999999886</v>
      </c>
      <c r="Z34" s="10">
        <f t="shared" si="16"/>
        <v>1.0591499999999965</v>
      </c>
      <c r="AA34" s="15"/>
      <c r="AB34" s="7">
        <f t="shared" si="17"/>
        <v>33404999.999999277</v>
      </c>
      <c r="AC34" s="8">
        <f t="shared" si="17"/>
        <v>33.404999999999276</v>
      </c>
      <c r="AD34" s="8">
        <f t="shared" si="17"/>
        <v>102.55334999999776</v>
      </c>
      <c r="AF34" s="8">
        <f t="shared" si="18"/>
        <v>0</v>
      </c>
    </row>
    <row r="35" spans="1:32" ht="14" thickBot="1" x14ac:dyDescent="0.2">
      <c r="A35" s="28">
        <v>38595</v>
      </c>
      <c r="B35" s="7">
        <f>'[10]Aug Prod'!I34</f>
        <v>24000000</v>
      </c>
      <c r="C35" s="9">
        <f t="shared" si="1"/>
        <v>24</v>
      </c>
      <c r="D35" s="11">
        <f t="shared" si="2"/>
        <v>73.679999999999993</v>
      </c>
      <c r="E35" s="30">
        <f>'[10]Aug Prod'!E34</f>
        <v>26000000</v>
      </c>
      <c r="F35" s="9">
        <f t="shared" si="3"/>
        <v>26</v>
      </c>
      <c r="G35" s="11">
        <f t="shared" si="4"/>
        <v>79.819999999999993</v>
      </c>
      <c r="H35" s="30">
        <f>'[10]Aug Prod'!F34</f>
        <v>0</v>
      </c>
      <c r="I35" s="9">
        <f t="shared" si="5"/>
        <v>0</v>
      </c>
      <c r="J35" s="11">
        <f t="shared" si="6"/>
        <v>0</v>
      </c>
      <c r="K35" s="7">
        <f>'[10]Aug Prod'!H289</f>
        <v>1487061</v>
      </c>
      <c r="L35" s="9">
        <f t="shared" si="7"/>
        <v>1.487061</v>
      </c>
      <c r="M35" s="11">
        <f t="shared" si="8"/>
        <v>4.5652772699999993</v>
      </c>
      <c r="N35" s="21"/>
      <c r="O35" s="30">
        <f>'[10]Aug Prod'!H34</f>
        <v>14375999.999999991</v>
      </c>
      <c r="P35" s="9">
        <f t="shared" si="9"/>
        <v>14.375999999999991</v>
      </c>
      <c r="Q35" s="11">
        <f t="shared" si="10"/>
        <v>44.134319999999967</v>
      </c>
      <c r="R35" s="30">
        <f>'[10]Aug Prod'!C34</f>
        <v>14726000</v>
      </c>
      <c r="S35" s="9">
        <f t="shared" si="11"/>
        <v>14.726000000000001</v>
      </c>
      <c r="T35" s="11">
        <f t="shared" si="12"/>
        <v>45.208820000000003</v>
      </c>
      <c r="U35" s="30">
        <f>'[10]Aug Prod'!D34</f>
        <v>3021000</v>
      </c>
      <c r="V35" s="9">
        <f t="shared" si="13"/>
        <v>3.0209999999999999</v>
      </c>
      <c r="W35" s="11">
        <f t="shared" si="14"/>
        <v>9.2744699999999991</v>
      </c>
      <c r="X35" s="7">
        <f>'[10]Aug Prod'!D289</f>
        <v>350000.0000000085</v>
      </c>
      <c r="Y35" s="9">
        <f t="shared" si="15"/>
        <v>0.35000000000000847</v>
      </c>
      <c r="Z35" s="11">
        <f t="shared" si="16"/>
        <v>1.074500000000026</v>
      </c>
      <c r="AA35" s="15"/>
      <c r="AB35" s="7">
        <f t="shared" si="17"/>
        <v>38375999.999999993</v>
      </c>
      <c r="AC35" s="8">
        <f t="shared" si="17"/>
        <v>38.375999999999991</v>
      </c>
      <c r="AD35" s="8">
        <f t="shared" si="17"/>
        <v>117.81431999999995</v>
      </c>
      <c r="AF35" s="8">
        <f t="shared" si="18"/>
        <v>9.9920072216264089E-15</v>
      </c>
    </row>
    <row r="36" spans="1:32" ht="14" thickBot="1" x14ac:dyDescent="0.2">
      <c r="A36" s="14"/>
      <c r="B36" s="39"/>
      <c r="C36" s="40">
        <f>SUM(C5:C35)</f>
        <v>739.39999999999964</v>
      </c>
      <c r="D36" s="40">
        <f t="shared" si="2"/>
        <v>2269.9579999999987</v>
      </c>
      <c r="E36" s="39"/>
      <c r="F36" s="40">
        <f>SUM(F5:F35)</f>
        <v>642</v>
      </c>
      <c r="G36" s="40">
        <f t="shared" si="4"/>
        <v>1970.9399999999998</v>
      </c>
      <c r="H36" s="39"/>
      <c r="I36" s="40">
        <f>SUM(I5:I35)</f>
        <v>146</v>
      </c>
      <c r="J36" s="40">
        <f t="shared" si="6"/>
        <v>448.21999999999997</v>
      </c>
      <c r="K36" s="39"/>
      <c r="L36" s="40">
        <f>SUM(L5:L35)</f>
        <v>42.662557</v>
      </c>
      <c r="M36" s="40">
        <f t="shared" si="8"/>
        <v>130.97404999</v>
      </c>
      <c r="N36" s="14"/>
      <c r="O36" s="39"/>
      <c r="P36" s="40">
        <f>SUM(P5:P35)</f>
        <v>378.19099999999997</v>
      </c>
      <c r="Q36" s="40">
        <f t="shared" si="10"/>
        <v>1161.0463699999998</v>
      </c>
      <c r="R36" s="39"/>
      <c r="S36" s="40">
        <f>SUM(S5:S35)</f>
        <v>389.53899999999999</v>
      </c>
      <c r="T36" s="40">
        <f t="shared" si="12"/>
        <v>1195.88473</v>
      </c>
      <c r="U36" s="39"/>
      <c r="V36" s="40">
        <f>SUM(V5:V35)</f>
        <v>24.84</v>
      </c>
      <c r="W36" s="40">
        <f t="shared" si="14"/>
        <v>76.258799999999994</v>
      </c>
      <c r="X36" s="39"/>
      <c r="Y36" s="40">
        <f>SUM(Y5:Y35)</f>
        <v>11.348000000000006</v>
      </c>
      <c r="Z36" s="40">
        <f t="shared" si="16"/>
        <v>34.838360000000016</v>
      </c>
      <c r="AA36" s="14"/>
      <c r="AB36" s="39"/>
      <c r="AC36" s="40">
        <f>SUM(AC5:AC35)</f>
        <v>1117.5909999999994</v>
      </c>
      <c r="AD36" s="40">
        <f>AC36*3.07</f>
        <v>3431.0043699999983</v>
      </c>
      <c r="AF36" s="40">
        <f>SUM(AF5:AF35)</f>
        <v>1.2212453270876722E-14</v>
      </c>
    </row>
    <row r="37" spans="1:32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15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9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F38"/>
  <sheetViews>
    <sheetView workbookViewId="0">
      <pane xSplit="1" ySplit="4" topLeftCell="J5" activePane="bottomRight" state="frozen"/>
      <selection activeCell="T39" sqref="T39"/>
      <selection pane="topRight" activeCell="T39" sqref="T39"/>
      <selection pane="bottomLeft" activeCell="T39" sqref="T39"/>
      <selection pane="bottomRight" activeCell="AD35" sqref="AD35"/>
    </sheetView>
  </sheetViews>
  <sheetFormatPr baseColWidth="10" defaultColWidth="8.83203125" defaultRowHeight="13" x14ac:dyDescent="0.15"/>
  <cols>
    <col min="2" max="2" width="12.5" customWidth="1"/>
    <col min="5" max="5" width="11.33203125" customWidth="1"/>
    <col min="8" max="8" width="11.33203125" customWidth="1"/>
    <col min="11" max="11" width="14.5" customWidth="1"/>
    <col min="12" max="12" width="10.5" customWidth="1"/>
    <col min="13" max="13" width="10.1640625" customWidth="1"/>
    <col min="15" max="15" width="13.5" customWidth="1"/>
    <col min="18" max="18" width="11.1640625" customWidth="1"/>
    <col min="22" max="22" width="11" customWidth="1"/>
    <col min="28" max="28" width="11.1640625" customWidth="1"/>
  </cols>
  <sheetData>
    <row r="1" spans="1:32" x14ac:dyDescent="0.15">
      <c r="A1" s="25"/>
      <c r="B1" s="42"/>
      <c r="C1" s="43"/>
      <c r="D1" s="43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  <c r="AF3" s="35" t="s">
        <v>9</v>
      </c>
    </row>
    <row r="4" spans="1:32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15">
      <c r="A5" s="28">
        <v>38596</v>
      </c>
      <c r="B5" s="7">
        <f>'[11]Sep Prod'!I4</f>
        <v>21200000.000000726</v>
      </c>
      <c r="C5" s="8">
        <f>B5/1000000</f>
        <v>21.200000000000728</v>
      </c>
      <c r="D5" s="10">
        <f>C5*3.07</f>
        <v>65.084000000002234</v>
      </c>
      <c r="E5" s="7">
        <f>'[11]Sep Prod'!E4</f>
        <v>22000000</v>
      </c>
      <c r="F5" s="8">
        <f>E5/1000000</f>
        <v>22</v>
      </c>
      <c r="G5" s="10">
        <f>F5*3.07</f>
        <v>67.539999999999992</v>
      </c>
      <c r="H5" s="7">
        <f>'[11]Sep Prod'!F4</f>
        <v>0</v>
      </c>
      <c r="I5" s="8">
        <f>H5/1000000</f>
        <v>0</v>
      </c>
      <c r="J5" s="10">
        <f>I5*3.07</f>
        <v>0</v>
      </c>
      <c r="K5" s="7">
        <f>'[11]Sep Prod'!H252</f>
        <v>1243183</v>
      </c>
      <c r="L5" s="8">
        <f>K5/1000000</f>
        <v>1.2431829999999999</v>
      </c>
      <c r="M5" s="10">
        <f>L5*3.07</f>
        <v>3.8165718099999997</v>
      </c>
      <c r="N5" s="21"/>
      <c r="O5" s="7">
        <f>'[11]Sep Prod'!H4</f>
        <v>13694000.000000007</v>
      </c>
      <c r="P5" s="8">
        <f>O5/1000000</f>
        <v>13.694000000000008</v>
      </c>
      <c r="Q5" s="10">
        <f>P5*3.07</f>
        <v>42.04058000000002</v>
      </c>
      <c r="R5" s="7">
        <f>'[11]Sep Prod'!C4</f>
        <v>13981000</v>
      </c>
      <c r="S5" s="8">
        <f>R5/1000000</f>
        <v>13.981</v>
      </c>
      <c r="T5" s="10">
        <f>S5*3.07</f>
        <v>42.921669999999999</v>
      </c>
      <c r="U5" s="7">
        <f>'[11]Sep Prod'!D4</f>
        <v>3041000</v>
      </c>
      <c r="V5" s="8">
        <f>U5/1000000</f>
        <v>3.0409999999999999</v>
      </c>
      <c r="W5" s="10">
        <f>V5*3.07</f>
        <v>9.3358699999999999</v>
      </c>
      <c r="X5" s="7">
        <f>'[11]Sep Prod'!D252</f>
        <v>286999.99999999191</v>
      </c>
      <c r="Y5" s="8">
        <f>X5/1000000</f>
        <v>0.28699999999999193</v>
      </c>
      <c r="Z5" s="10">
        <f>Y5*3.07</f>
        <v>0.88108999999997517</v>
      </c>
      <c r="AA5" s="15"/>
      <c r="AB5" s="7">
        <f>B5+O5</f>
        <v>34894000.00000073</v>
      </c>
      <c r="AC5" s="8">
        <f>C5+P5</f>
        <v>34.894000000000737</v>
      </c>
      <c r="AD5" s="8">
        <f>D5+Q5</f>
        <v>107.12458000000225</v>
      </c>
      <c r="AF5" s="8">
        <f>T5-Q5-Z5</f>
        <v>3.8857805861880479E-15</v>
      </c>
    </row>
    <row r="6" spans="1:32" x14ac:dyDescent="0.15">
      <c r="A6" s="28">
        <v>38597</v>
      </c>
      <c r="B6" s="7">
        <f>'[11]Sep Prod'!I5</f>
        <v>24200000.000000726</v>
      </c>
      <c r="C6" s="8">
        <f t="shared" ref="C6:C33" si="0">B6/1000000</f>
        <v>24.200000000000728</v>
      </c>
      <c r="D6" s="10">
        <f t="shared" ref="D6:D34" si="1">C6*3.07</f>
        <v>74.294000000002228</v>
      </c>
      <c r="E6" s="7">
        <f>'[11]Sep Prod'!E5</f>
        <v>26000000</v>
      </c>
      <c r="F6" s="8">
        <f t="shared" ref="F6:F34" si="2">E6/1000000</f>
        <v>26</v>
      </c>
      <c r="G6" s="10">
        <f t="shared" ref="G6:G34" si="3">F6*3.07</f>
        <v>79.819999999999993</v>
      </c>
      <c r="H6" s="7">
        <f>'[11]Sep Prod'!F5</f>
        <v>0</v>
      </c>
      <c r="I6" s="8">
        <f t="shared" ref="I6:I34" si="4">H6/1000000</f>
        <v>0</v>
      </c>
      <c r="J6" s="10">
        <f t="shared" ref="J6:J35" si="5">I6*3.07</f>
        <v>0</v>
      </c>
      <c r="K6" s="7">
        <f>'[11]Sep Prod'!H253</f>
        <v>1375871</v>
      </c>
      <c r="L6" s="8">
        <f t="shared" ref="L6:L34" si="6">K6/1000000</f>
        <v>1.3758710000000001</v>
      </c>
      <c r="M6" s="10">
        <f t="shared" ref="M6:M35" si="7">L6*3.07</f>
        <v>4.2239239700000004</v>
      </c>
      <c r="N6" s="21"/>
      <c r="O6" s="7">
        <f>'[11]Sep Prod'!H5</f>
        <v>11551999.999999991</v>
      </c>
      <c r="P6" s="8">
        <f t="shared" ref="P6:P34" si="8">O6/1000000</f>
        <v>11.551999999999991</v>
      </c>
      <c r="Q6" s="10">
        <f t="shared" ref="Q6:Q35" si="9">P6*3.07</f>
        <v>35.464639999999967</v>
      </c>
      <c r="R6" s="7">
        <f>'[11]Sep Prod'!C5</f>
        <v>11899000</v>
      </c>
      <c r="S6" s="8">
        <f t="shared" ref="S6:S34" si="10">R6/1000000</f>
        <v>11.898999999999999</v>
      </c>
      <c r="T6" s="10">
        <f t="shared" ref="T6:T35" si="11">S6*3.07</f>
        <v>36.529929999999993</v>
      </c>
      <c r="U6" s="7">
        <f>'[11]Sep Prod'!D5</f>
        <v>3022000</v>
      </c>
      <c r="V6" s="8">
        <f t="shared" ref="V6:V34" si="12">U6/1000000</f>
        <v>3.0219999999999998</v>
      </c>
      <c r="W6" s="10">
        <f t="shared" ref="W6:W35" si="13">V6*3.07</f>
        <v>9.2775399999999983</v>
      </c>
      <c r="X6" s="7">
        <f>'[11]Sep Prod'!D253</f>
        <v>347000.00000000844</v>
      </c>
      <c r="Y6" s="8">
        <f t="shared" ref="Y6:Y34" si="14">X6/1000000</f>
        <v>0.34700000000000841</v>
      </c>
      <c r="Z6" s="10">
        <f t="shared" ref="Z6:Z35" si="15">Y6*3.07</f>
        <v>1.0652900000000258</v>
      </c>
      <c r="AA6" s="15"/>
      <c r="AB6" s="7">
        <f t="shared" ref="AB6:AD35" si="16">B6+O6</f>
        <v>35752000.000000715</v>
      </c>
      <c r="AC6" s="8">
        <f t="shared" si="16"/>
        <v>35.75200000000072</v>
      </c>
      <c r="AD6" s="8">
        <f t="shared" si="16"/>
        <v>109.7586400000022</v>
      </c>
      <c r="AF6" s="8">
        <f t="shared" ref="AF6:AF14" si="17">T6-Q6-Z6</f>
        <v>0</v>
      </c>
    </row>
    <row r="7" spans="1:32" x14ac:dyDescent="0.15">
      <c r="A7" s="28">
        <v>38598</v>
      </c>
      <c r="B7" s="7">
        <f>'[11]Sep Prod'!I6</f>
        <v>23000000</v>
      </c>
      <c r="C7" s="8">
        <f t="shared" si="0"/>
        <v>23</v>
      </c>
      <c r="D7" s="10">
        <f t="shared" si="1"/>
        <v>70.61</v>
      </c>
      <c r="E7" s="7">
        <f>'[11]Sep Prod'!E6</f>
        <v>24000000</v>
      </c>
      <c r="F7" s="8">
        <f t="shared" si="2"/>
        <v>24</v>
      </c>
      <c r="G7" s="10">
        <f t="shared" si="3"/>
        <v>73.679999999999993</v>
      </c>
      <c r="H7" s="7">
        <f>'[11]Sep Prod'!F6</f>
        <v>0</v>
      </c>
      <c r="I7" s="8">
        <f t="shared" si="4"/>
        <v>0</v>
      </c>
      <c r="J7" s="10">
        <f t="shared" si="5"/>
        <v>0</v>
      </c>
      <c r="K7" s="7">
        <f>'[11]Sep Prod'!H254</f>
        <v>1381550</v>
      </c>
      <c r="L7" s="8">
        <f t="shared" si="6"/>
        <v>1.3815500000000001</v>
      </c>
      <c r="M7" s="10">
        <f t="shared" si="7"/>
        <v>4.2413584999999996</v>
      </c>
      <c r="N7" s="21"/>
      <c r="O7" s="7">
        <f>'[11]Sep Prod'!H6</f>
        <v>11035000.000000011</v>
      </c>
      <c r="P7" s="8">
        <f t="shared" si="8"/>
        <v>11.035000000000011</v>
      </c>
      <c r="Q7" s="10">
        <f t="shared" si="9"/>
        <v>33.877450000000032</v>
      </c>
      <c r="R7" s="7">
        <f>'[11]Sep Prod'!C6</f>
        <v>11384000</v>
      </c>
      <c r="S7" s="8">
        <f t="shared" si="10"/>
        <v>11.384</v>
      </c>
      <c r="T7" s="10">
        <f t="shared" si="11"/>
        <v>34.948880000000003</v>
      </c>
      <c r="U7" s="7">
        <f>'[11]Sep Prod'!D6</f>
        <v>2997000</v>
      </c>
      <c r="V7" s="8">
        <f t="shared" si="12"/>
        <v>2.9969999999999999</v>
      </c>
      <c r="W7" s="10">
        <f t="shared" si="13"/>
        <v>9.2007899999999996</v>
      </c>
      <c r="X7" s="7">
        <f>'[11]Sep Prod'!D254</f>
        <v>348999.99999998952</v>
      </c>
      <c r="Y7" s="8">
        <f t="shared" si="14"/>
        <v>0.34899999999998954</v>
      </c>
      <c r="Z7" s="10">
        <f t="shared" si="15"/>
        <v>1.0714299999999679</v>
      </c>
      <c r="AA7" s="15"/>
      <c r="AB7" s="7">
        <f t="shared" si="16"/>
        <v>34035000.000000015</v>
      </c>
      <c r="AC7" s="8">
        <f t="shared" si="16"/>
        <v>34.035000000000011</v>
      </c>
      <c r="AD7" s="8">
        <f t="shared" si="16"/>
        <v>104.48745000000002</v>
      </c>
      <c r="AF7" s="8">
        <f t="shared" si="17"/>
        <v>3.1086244689504383E-15</v>
      </c>
    </row>
    <row r="8" spans="1:32" x14ac:dyDescent="0.15">
      <c r="A8" s="28">
        <v>38599</v>
      </c>
      <c r="B8" s="7">
        <f>'[11]Sep Prod'!I7</f>
        <v>21899999.999999635</v>
      </c>
      <c r="C8" s="8">
        <f t="shared" si="0"/>
        <v>21.899999999999636</v>
      </c>
      <c r="D8" s="10">
        <f t="shared" si="1"/>
        <v>67.232999999998881</v>
      </c>
      <c r="E8" s="7">
        <f>'[11]Sep Prod'!E7</f>
        <v>23000000</v>
      </c>
      <c r="F8" s="8">
        <f t="shared" si="2"/>
        <v>23</v>
      </c>
      <c r="G8" s="10">
        <f t="shared" si="3"/>
        <v>70.61</v>
      </c>
      <c r="H8" s="7">
        <f>'[11]Sep Prod'!F7</f>
        <v>0</v>
      </c>
      <c r="I8" s="8">
        <f t="shared" si="4"/>
        <v>0</v>
      </c>
      <c r="J8" s="10">
        <f t="shared" si="5"/>
        <v>0</v>
      </c>
      <c r="K8" s="7">
        <f>'[11]Sep Prod'!H255</f>
        <v>1257102</v>
      </c>
      <c r="L8" s="8">
        <f t="shared" si="6"/>
        <v>1.2571019999999999</v>
      </c>
      <c r="M8" s="10">
        <f t="shared" si="7"/>
        <v>3.8593031399999997</v>
      </c>
      <c r="N8" s="21"/>
      <c r="O8" s="7">
        <f>'[11]Sep Prod'!H7</f>
        <v>12376999.999999996</v>
      </c>
      <c r="P8" s="8">
        <f t="shared" si="8"/>
        <v>12.376999999999997</v>
      </c>
      <c r="Q8" s="10">
        <f t="shared" si="9"/>
        <v>37.997389999999989</v>
      </c>
      <c r="R8" s="7">
        <f>'[11]Sep Prod'!C7</f>
        <v>12717000</v>
      </c>
      <c r="S8" s="8">
        <f t="shared" si="10"/>
        <v>12.717000000000001</v>
      </c>
      <c r="T8" s="10">
        <f t="shared" si="11"/>
        <v>39.04119</v>
      </c>
      <c r="U8" s="7">
        <f>'[11]Sep Prod'!D7</f>
        <v>3026000</v>
      </c>
      <c r="V8" s="8">
        <f t="shared" si="12"/>
        <v>3.0259999999999998</v>
      </c>
      <c r="W8" s="10">
        <f t="shared" si="13"/>
        <v>9.2898199999999989</v>
      </c>
      <c r="X8" s="7">
        <f>'[11]Sep Prod'!D255</f>
        <v>340000.00000000343</v>
      </c>
      <c r="Y8" s="8">
        <f t="shared" si="14"/>
        <v>0.34000000000000341</v>
      </c>
      <c r="Z8" s="10">
        <f t="shared" si="15"/>
        <v>1.0438000000000105</v>
      </c>
      <c r="AA8" s="15"/>
      <c r="AB8" s="7">
        <f t="shared" si="16"/>
        <v>34276999.999999627</v>
      </c>
      <c r="AC8" s="8">
        <f t="shared" si="16"/>
        <v>34.276999999999632</v>
      </c>
      <c r="AD8" s="8">
        <f>D8+Q8</f>
        <v>105.23038999999886</v>
      </c>
      <c r="AF8" s="8">
        <f t="shared" si="17"/>
        <v>0</v>
      </c>
    </row>
    <row r="9" spans="1:32" x14ac:dyDescent="0.15">
      <c r="A9" s="28">
        <v>38600</v>
      </c>
      <c r="B9" s="7">
        <f>'[11]Sep Prod'!I8</f>
        <v>24100000.000000365</v>
      </c>
      <c r="C9" s="8">
        <f t="shared" si="0"/>
        <v>24.100000000000364</v>
      </c>
      <c r="D9" s="10">
        <f t="shared" si="1"/>
        <v>73.987000000001117</v>
      </c>
      <c r="E9" s="7">
        <f>'[11]Sep Prod'!E8</f>
        <v>26000000</v>
      </c>
      <c r="F9" s="8">
        <f t="shared" si="2"/>
        <v>26</v>
      </c>
      <c r="G9" s="10">
        <f t="shared" si="3"/>
        <v>79.819999999999993</v>
      </c>
      <c r="H9" s="7">
        <f>'[11]Sep Prod'!F8</f>
        <v>0</v>
      </c>
      <c r="I9" s="8">
        <f t="shared" si="4"/>
        <v>0</v>
      </c>
      <c r="J9" s="10">
        <f t="shared" si="5"/>
        <v>0</v>
      </c>
      <c r="K9" s="7">
        <f>'[11]Sep Prod'!H256</f>
        <v>1504517</v>
      </c>
      <c r="L9" s="8">
        <f t="shared" si="6"/>
        <v>1.5045170000000001</v>
      </c>
      <c r="M9" s="10">
        <f t="shared" si="7"/>
        <v>4.6188671900000005</v>
      </c>
      <c r="N9" s="21"/>
      <c r="O9" s="7">
        <f>'[11]Sep Prod'!H8</f>
        <v>11451999.999999993</v>
      </c>
      <c r="P9" s="8">
        <f t="shared" si="8"/>
        <v>11.451999999999993</v>
      </c>
      <c r="Q9" s="10">
        <f t="shared" si="9"/>
        <v>35.157639999999979</v>
      </c>
      <c r="R9" s="7">
        <f>'[11]Sep Prod'!C8</f>
        <v>11745000</v>
      </c>
      <c r="S9" s="8">
        <f t="shared" si="10"/>
        <v>11.744999999999999</v>
      </c>
      <c r="T9" s="10">
        <f t="shared" si="11"/>
        <v>36.057149999999993</v>
      </c>
      <c r="U9" s="7">
        <f>'[11]Sep Prod'!D8</f>
        <v>3018000</v>
      </c>
      <c r="V9" s="8">
        <f t="shared" si="12"/>
        <v>3.0179999999999998</v>
      </c>
      <c r="W9" s="10">
        <f t="shared" si="13"/>
        <v>9.2652599999999996</v>
      </c>
      <c r="X9" s="7">
        <f>'[11]Sep Prod'!D256</f>
        <v>293000.00000000634</v>
      </c>
      <c r="Y9" s="8">
        <f t="shared" si="14"/>
        <v>0.29300000000000637</v>
      </c>
      <c r="Z9" s="10">
        <f t="shared" si="15"/>
        <v>0.89951000000001946</v>
      </c>
      <c r="AA9" s="15"/>
      <c r="AB9" s="7">
        <f t="shared" si="16"/>
        <v>35552000.000000358</v>
      </c>
      <c r="AC9" s="8">
        <f t="shared" si="16"/>
        <v>35.552000000000355</v>
      </c>
      <c r="AD9" s="8">
        <f t="shared" si="16"/>
        <v>109.14464000000109</v>
      </c>
      <c r="AF9" s="8">
        <f t="shared" si="17"/>
        <v>-5.8841820305133297E-15</v>
      </c>
    </row>
    <row r="10" spans="1:32" x14ac:dyDescent="0.15">
      <c r="A10" s="28">
        <v>38601</v>
      </c>
      <c r="B10" s="7">
        <f>'[11]Sep Prod'!I9</f>
        <v>20899999.999999635</v>
      </c>
      <c r="C10" s="8">
        <f t="shared" si="0"/>
        <v>20.899999999999636</v>
      </c>
      <c r="D10" s="10">
        <f t="shared" si="1"/>
        <v>64.162999999998874</v>
      </c>
      <c r="E10" s="7">
        <f>'[11]Sep Prod'!E9</f>
        <v>22000000</v>
      </c>
      <c r="F10" s="8">
        <f t="shared" si="2"/>
        <v>22</v>
      </c>
      <c r="G10" s="10">
        <f t="shared" si="3"/>
        <v>67.539999999999992</v>
      </c>
      <c r="H10" s="7">
        <f>'[11]Sep Prod'!F9</f>
        <v>0</v>
      </c>
      <c r="I10" s="8">
        <f t="shared" si="4"/>
        <v>0</v>
      </c>
      <c r="J10" s="10">
        <f t="shared" si="5"/>
        <v>0</v>
      </c>
      <c r="K10" s="7">
        <f>'[11]Sep Prod'!H257</f>
        <v>1357063</v>
      </c>
      <c r="L10" s="8">
        <f t="shared" si="6"/>
        <v>1.3570629999999999</v>
      </c>
      <c r="M10" s="10">
        <f t="shared" si="7"/>
        <v>4.1661834099999995</v>
      </c>
      <c r="N10" s="21"/>
      <c r="O10" s="7">
        <f>'[11]Sep Prod'!H9</f>
        <v>11352000.000000002</v>
      </c>
      <c r="P10" s="8">
        <f t="shared" si="8"/>
        <v>11.352000000000002</v>
      </c>
      <c r="Q10" s="10">
        <f t="shared" si="9"/>
        <v>34.850640000000006</v>
      </c>
      <c r="R10" s="7">
        <f>'[11]Sep Prod'!C9</f>
        <v>11697000</v>
      </c>
      <c r="S10" s="8">
        <f t="shared" si="10"/>
        <v>11.696999999999999</v>
      </c>
      <c r="T10" s="10">
        <f t="shared" si="11"/>
        <v>35.909789999999994</v>
      </c>
      <c r="U10" s="7">
        <f>'[11]Sep Prod'!D9</f>
        <v>3032000</v>
      </c>
      <c r="V10" s="8">
        <f t="shared" si="12"/>
        <v>3.032</v>
      </c>
      <c r="W10" s="10">
        <f t="shared" si="13"/>
        <v>9.3082399999999996</v>
      </c>
      <c r="X10" s="7">
        <f>'[11]Sep Prod'!D257</f>
        <v>344999.99999999884</v>
      </c>
      <c r="Y10" s="8">
        <f t="shared" si="14"/>
        <v>0.34499999999999886</v>
      </c>
      <c r="Z10" s="10">
        <f t="shared" si="15"/>
        <v>1.0591499999999965</v>
      </c>
      <c r="AA10" s="15"/>
      <c r="AB10" s="7">
        <f t="shared" si="16"/>
        <v>32251999.999999635</v>
      </c>
      <c r="AC10" s="8">
        <f t="shared" si="16"/>
        <v>32.25199999999964</v>
      </c>
      <c r="AD10" s="8">
        <f t="shared" si="16"/>
        <v>99.013639999998873</v>
      </c>
      <c r="AF10" s="8">
        <f t="shared" si="17"/>
        <v>-8.2156503822261584E-15</v>
      </c>
    </row>
    <row r="11" spans="1:32" x14ac:dyDescent="0.15">
      <c r="A11" s="28">
        <v>38602</v>
      </c>
      <c r="B11" s="7">
        <f>'[11]Sep Prod'!I10</f>
        <v>18100000.000000365</v>
      </c>
      <c r="C11" s="8">
        <f t="shared" si="0"/>
        <v>18.100000000000364</v>
      </c>
      <c r="D11" s="10">
        <f t="shared" si="1"/>
        <v>55.567000000001116</v>
      </c>
      <c r="E11" s="7">
        <f>'[11]Sep Prod'!E10</f>
        <v>20000000</v>
      </c>
      <c r="F11" s="8">
        <f t="shared" si="2"/>
        <v>20</v>
      </c>
      <c r="G11" s="10">
        <f t="shared" si="3"/>
        <v>61.4</v>
      </c>
      <c r="H11" s="7">
        <f>'[11]Sep Prod'!F10</f>
        <v>0</v>
      </c>
      <c r="I11" s="8">
        <f t="shared" si="4"/>
        <v>0</v>
      </c>
      <c r="J11" s="10">
        <f t="shared" si="5"/>
        <v>0</v>
      </c>
      <c r="K11" s="7">
        <f>'[11]Sep Prod'!H258</f>
        <v>1198485</v>
      </c>
      <c r="L11" s="8">
        <f t="shared" si="6"/>
        <v>1.198485</v>
      </c>
      <c r="M11" s="10">
        <f t="shared" si="7"/>
        <v>3.6793489500000001</v>
      </c>
      <c r="N11" s="21"/>
      <c r="O11" s="7">
        <f>'[11]Sep Prod'!H10</f>
        <v>9617999.9999999963</v>
      </c>
      <c r="P11" s="8">
        <f t="shared" si="8"/>
        <v>9.6179999999999968</v>
      </c>
      <c r="Q11" s="10">
        <f t="shared" si="9"/>
        <v>29.527259999999988</v>
      </c>
      <c r="R11" s="7">
        <f>'[11]Sep Prod'!C10</f>
        <v>9964000</v>
      </c>
      <c r="S11" s="8">
        <f t="shared" si="10"/>
        <v>9.9640000000000004</v>
      </c>
      <c r="T11" s="10">
        <f t="shared" si="11"/>
        <v>30.589479999999998</v>
      </c>
      <c r="U11" s="7">
        <f>'[11]Sep Prod'!D10</f>
        <v>3000000</v>
      </c>
      <c r="V11" s="8">
        <f t="shared" si="12"/>
        <v>3</v>
      </c>
      <c r="W11" s="10">
        <f t="shared" si="13"/>
        <v>9.2099999999999991</v>
      </c>
      <c r="X11" s="7">
        <f>'[11]Sep Prod'!D258</f>
        <v>346000.00000000361</v>
      </c>
      <c r="Y11" s="8">
        <f t="shared" si="14"/>
        <v>0.34600000000000358</v>
      </c>
      <c r="Z11" s="10">
        <f t="shared" si="15"/>
        <v>1.062220000000011</v>
      </c>
      <c r="AA11" s="15"/>
      <c r="AB11" s="7">
        <f t="shared" si="16"/>
        <v>27718000.000000361</v>
      </c>
      <c r="AC11" s="8">
        <f t="shared" si="16"/>
        <v>27.718000000000359</v>
      </c>
      <c r="AD11" s="8">
        <f t="shared" si="16"/>
        <v>85.0942600000011</v>
      </c>
      <c r="AF11" s="8">
        <f t="shared" si="17"/>
        <v>0</v>
      </c>
    </row>
    <row r="12" spans="1:32" x14ac:dyDescent="0.15">
      <c r="A12" s="28">
        <v>38603</v>
      </c>
      <c r="B12" s="7">
        <f>'[11]Sep Prod'!I11</f>
        <v>16299999.999999272</v>
      </c>
      <c r="C12" s="8">
        <f t="shared" si="0"/>
        <v>16.299999999999272</v>
      </c>
      <c r="D12" s="10">
        <f t="shared" si="1"/>
        <v>50.040999999997766</v>
      </c>
      <c r="E12" s="7">
        <f>'[11]Sep Prod'!E11</f>
        <v>17000000</v>
      </c>
      <c r="F12" s="8">
        <f t="shared" si="2"/>
        <v>17</v>
      </c>
      <c r="G12" s="10">
        <f t="shared" si="3"/>
        <v>52.19</v>
      </c>
      <c r="H12" s="7">
        <f>'[11]Sep Prod'!F11</f>
        <v>0</v>
      </c>
      <c r="I12" s="8">
        <f t="shared" si="4"/>
        <v>0</v>
      </c>
      <c r="J12" s="10">
        <f t="shared" si="5"/>
        <v>0</v>
      </c>
      <c r="K12" s="7">
        <f>'[11]Sep Prod'!H259</f>
        <v>1023916</v>
      </c>
      <c r="L12" s="8">
        <f t="shared" si="6"/>
        <v>1.023916</v>
      </c>
      <c r="M12" s="10">
        <f t="shared" si="7"/>
        <v>3.1434221199999999</v>
      </c>
      <c r="N12" s="21"/>
      <c r="O12" s="7">
        <f>'[11]Sep Prod'!H11</f>
        <v>11238000.000000009</v>
      </c>
      <c r="P12" s="8">
        <f t="shared" si="8"/>
        <v>11.238000000000008</v>
      </c>
      <c r="Q12" s="10">
        <f t="shared" si="9"/>
        <v>34.500660000000025</v>
      </c>
      <c r="R12" s="7">
        <f>'[11]Sep Prod'!C11</f>
        <v>10277000</v>
      </c>
      <c r="S12" s="8">
        <f t="shared" si="10"/>
        <v>10.276999999999999</v>
      </c>
      <c r="T12" s="10">
        <f t="shared" si="11"/>
        <v>31.550389999999997</v>
      </c>
      <c r="U12" s="7">
        <f>'[11]Sep Prod'!D11</f>
        <v>1239000</v>
      </c>
      <c r="V12" s="8">
        <f t="shared" si="12"/>
        <v>1.2390000000000001</v>
      </c>
      <c r="W12" s="10">
        <f t="shared" si="13"/>
        <v>3.8037300000000003</v>
      </c>
      <c r="X12" s="7">
        <f>'[11]Sep Prod'!D259</f>
        <v>277999.99999999156</v>
      </c>
      <c r="Y12" s="8">
        <f t="shared" si="14"/>
        <v>0.27799999999999159</v>
      </c>
      <c r="Z12" s="10">
        <f t="shared" si="15"/>
        <v>0.85345999999997413</v>
      </c>
      <c r="AA12" s="15"/>
      <c r="AB12" s="7">
        <f t="shared" si="16"/>
        <v>27537999.999999281</v>
      </c>
      <c r="AC12" s="8">
        <f t="shared" si="16"/>
        <v>27.537999999999279</v>
      </c>
      <c r="AD12" s="8">
        <f t="shared" si="16"/>
        <v>84.54165999999779</v>
      </c>
      <c r="AF12" s="8">
        <f t="shared" si="17"/>
        <v>-3.8037300000000025</v>
      </c>
    </row>
    <row r="13" spans="1:32" x14ac:dyDescent="0.15">
      <c r="A13" s="28">
        <v>38604</v>
      </c>
      <c r="B13" s="7">
        <f>'[11]Sep Prod'!I12</f>
        <v>21500000</v>
      </c>
      <c r="C13" s="8">
        <f t="shared" si="0"/>
        <v>21.5</v>
      </c>
      <c r="D13" s="10">
        <f t="shared" si="1"/>
        <v>66.004999999999995</v>
      </c>
      <c r="E13" s="7">
        <f>'[11]Sep Prod'!E12</f>
        <v>23000000</v>
      </c>
      <c r="F13" s="8">
        <f t="shared" si="2"/>
        <v>23</v>
      </c>
      <c r="G13" s="10">
        <f t="shared" si="3"/>
        <v>70.61</v>
      </c>
      <c r="H13" s="7">
        <f>'[11]Sep Prod'!F12</f>
        <v>0</v>
      </c>
      <c r="I13" s="8">
        <f t="shared" si="4"/>
        <v>0</v>
      </c>
      <c r="J13" s="10">
        <f t="shared" si="5"/>
        <v>0</v>
      </c>
      <c r="K13" s="7">
        <f>'[11]Sep Prod'!H260</f>
        <v>1294375</v>
      </c>
      <c r="L13" s="8">
        <f t="shared" si="6"/>
        <v>1.2943750000000001</v>
      </c>
      <c r="M13" s="10">
        <f t="shared" si="7"/>
        <v>3.9737312500000002</v>
      </c>
      <c r="N13" s="21"/>
      <c r="O13" s="7">
        <f>'[11]Sep Prod'!H12</f>
        <v>11007999.999999991</v>
      </c>
      <c r="P13" s="8">
        <f t="shared" si="8"/>
        <v>11.00799999999999</v>
      </c>
      <c r="Q13" s="10">
        <f t="shared" si="9"/>
        <v>33.794559999999969</v>
      </c>
      <c r="R13" s="7">
        <f>'[11]Sep Prod'!C12</f>
        <v>11352000</v>
      </c>
      <c r="S13" s="8">
        <f t="shared" si="10"/>
        <v>11.352</v>
      </c>
      <c r="T13" s="10">
        <f t="shared" si="11"/>
        <v>34.850639999999999</v>
      </c>
      <c r="U13" s="7">
        <f>'[11]Sep Prod'!D12</f>
        <v>0</v>
      </c>
      <c r="V13" s="8">
        <f t="shared" si="12"/>
        <v>0</v>
      </c>
      <c r="W13" s="10">
        <f t="shared" si="13"/>
        <v>0</v>
      </c>
      <c r="X13" s="7">
        <f>'[11]Sep Prod'!D260</f>
        <v>344000.00000000832</v>
      </c>
      <c r="Y13" s="8">
        <f t="shared" si="14"/>
        <v>0.3440000000000083</v>
      </c>
      <c r="Z13" s="10">
        <f t="shared" si="15"/>
        <v>1.0560800000000254</v>
      </c>
      <c r="AA13" s="15"/>
      <c r="AB13" s="7">
        <f t="shared" si="16"/>
        <v>32507999.999999993</v>
      </c>
      <c r="AC13" s="8">
        <f t="shared" si="16"/>
        <v>32.507999999999988</v>
      </c>
      <c r="AD13" s="8">
        <f t="shared" si="16"/>
        <v>99.799559999999957</v>
      </c>
      <c r="AF13" s="8">
        <f t="shared" si="17"/>
        <v>4.4408920985006262E-15</v>
      </c>
    </row>
    <row r="14" spans="1:32" x14ac:dyDescent="0.15">
      <c r="A14" s="28">
        <v>38605</v>
      </c>
      <c r="B14" s="7">
        <f>'[11]Sep Prod'!I13</f>
        <v>19399999.999999635</v>
      </c>
      <c r="C14" s="8">
        <f t="shared" si="0"/>
        <v>19.399999999999636</v>
      </c>
      <c r="D14" s="10">
        <f t="shared" si="1"/>
        <v>59.557999999998877</v>
      </c>
      <c r="E14" s="7">
        <f>'[11]Sep Prod'!E13</f>
        <v>20000000</v>
      </c>
      <c r="F14" s="8">
        <f t="shared" si="2"/>
        <v>20</v>
      </c>
      <c r="G14" s="10">
        <f t="shared" si="3"/>
        <v>61.4</v>
      </c>
      <c r="H14" s="7">
        <f>'[11]Sep Prod'!F13</f>
        <v>0</v>
      </c>
      <c r="I14" s="8">
        <f t="shared" si="4"/>
        <v>0</v>
      </c>
      <c r="J14" s="10">
        <f t="shared" si="5"/>
        <v>0</v>
      </c>
      <c r="K14" s="7">
        <f>'[11]Sep Prod'!H261</f>
        <v>1226798</v>
      </c>
      <c r="L14" s="8">
        <f t="shared" si="6"/>
        <v>1.2267980000000001</v>
      </c>
      <c r="M14" s="10">
        <f t="shared" si="7"/>
        <v>3.76626986</v>
      </c>
      <c r="N14" s="21"/>
      <c r="O14" s="7">
        <f>'[11]Sep Prod'!H13</f>
        <v>9663999.9999999981</v>
      </c>
      <c r="P14" s="8">
        <f t="shared" si="8"/>
        <v>9.6639999999999979</v>
      </c>
      <c r="Q14" s="10">
        <f t="shared" si="9"/>
        <v>29.668479999999992</v>
      </c>
      <c r="R14" s="7">
        <f>'[11]Sep Prod'!C13</f>
        <v>9953000</v>
      </c>
      <c r="S14" s="8">
        <f t="shared" si="10"/>
        <v>9.9529999999999994</v>
      </c>
      <c r="T14" s="10">
        <f t="shared" si="11"/>
        <v>30.555709999999998</v>
      </c>
      <c r="U14" s="7">
        <f>'[11]Sep Prod'!D13</f>
        <v>0</v>
      </c>
      <c r="V14" s="8">
        <f t="shared" si="12"/>
        <v>0</v>
      </c>
      <c r="W14" s="10">
        <f t="shared" si="13"/>
        <v>0</v>
      </c>
      <c r="X14" s="7">
        <f>'[11]Sep Prod'!D261</f>
        <v>289000.00000000146</v>
      </c>
      <c r="Y14" s="8">
        <f t="shared" si="14"/>
        <v>0.28900000000000148</v>
      </c>
      <c r="Z14" s="10">
        <f t="shared" si="15"/>
        <v>0.88723000000000452</v>
      </c>
      <c r="AA14" s="15"/>
      <c r="AB14" s="7">
        <f t="shared" si="16"/>
        <v>29063999.999999635</v>
      </c>
      <c r="AC14" s="8">
        <f t="shared" si="16"/>
        <v>29.063999999999634</v>
      </c>
      <c r="AD14" s="8">
        <f t="shared" si="16"/>
        <v>89.226479999998872</v>
      </c>
      <c r="AF14" s="8">
        <f t="shared" si="17"/>
        <v>1.4432899320127035E-15</v>
      </c>
    </row>
    <row r="15" spans="1:32" x14ac:dyDescent="0.15">
      <c r="A15" s="28">
        <v>38606</v>
      </c>
      <c r="B15" s="7">
        <f>'[11]Sep Prod'!I14</f>
        <v>19500000</v>
      </c>
      <c r="C15" s="8">
        <f t="shared" si="0"/>
        <v>19.5</v>
      </c>
      <c r="D15" s="10">
        <f t="shared" si="1"/>
        <v>59.864999999999995</v>
      </c>
      <c r="E15" s="7">
        <f>'[11]Sep Prod'!E14</f>
        <v>21000000</v>
      </c>
      <c r="F15" s="8">
        <f t="shared" si="2"/>
        <v>21</v>
      </c>
      <c r="G15" s="10">
        <f t="shared" si="3"/>
        <v>64.47</v>
      </c>
      <c r="H15" s="7">
        <f>'[11]Sep Prod'!F14</f>
        <v>0</v>
      </c>
      <c r="I15" s="8">
        <f t="shared" si="4"/>
        <v>0</v>
      </c>
      <c r="J15" s="10">
        <f t="shared" si="5"/>
        <v>0</v>
      </c>
      <c r="K15" s="7">
        <f>'[11]Sep Prod'!H262</f>
        <v>1197637</v>
      </c>
      <c r="L15" s="8">
        <f t="shared" si="6"/>
        <v>1.1976370000000001</v>
      </c>
      <c r="M15" s="10">
        <f t="shared" si="7"/>
        <v>3.6767455899999999</v>
      </c>
      <c r="N15" s="21"/>
      <c r="O15" s="7">
        <f>'[11]Sep Prod'!H14</f>
        <v>11728000.000000002</v>
      </c>
      <c r="P15" s="8">
        <f t="shared" si="8"/>
        <v>11.728000000000002</v>
      </c>
      <c r="Q15" s="10">
        <f t="shared" si="9"/>
        <v>36.004960000000004</v>
      </c>
      <c r="R15" s="7">
        <f>'[11]Sep Prod'!C14</f>
        <v>12070000</v>
      </c>
      <c r="S15" s="8">
        <f t="shared" si="10"/>
        <v>12.07</v>
      </c>
      <c r="T15" s="10">
        <f t="shared" si="11"/>
        <v>37.054899999999996</v>
      </c>
      <c r="U15" s="7">
        <f>'[11]Sep Prod'!D14</f>
        <v>0</v>
      </c>
      <c r="V15" s="8">
        <f t="shared" si="12"/>
        <v>0</v>
      </c>
      <c r="W15" s="10">
        <f t="shared" si="13"/>
        <v>0</v>
      </c>
      <c r="X15" s="7">
        <f>'[11]Sep Prod'!D262</f>
        <v>341999.99999999878</v>
      </c>
      <c r="Y15" s="8">
        <f t="shared" si="14"/>
        <v>0.3419999999999988</v>
      </c>
      <c r="Z15" s="10">
        <f t="shared" si="15"/>
        <v>1.0499399999999963</v>
      </c>
      <c r="AA15" s="15"/>
      <c r="AB15" s="7">
        <f t="shared" si="16"/>
        <v>31228000</v>
      </c>
      <c r="AC15" s="8">
        <f t="shared" si="16"/>
        <v>31.228000000000002</v>
      </c>
      <c r="AD15" s="8">
        <f t="shared" si="16"/>
        <v>95.869959999999992</v>
      </c>
      <c r="AF15" s="8">
        <f>T15-Q15-Z15</f>
        <v>-3.9968028886505635E-15</v>
      </c>
    </row>
    <row r="16" spans="1:32" x14ac:dyDescent="0.15">
      <c r="A16" s="28">
        <v>38607</v>
      </c>
      <c r="B16" s="7">
        <f>'[11]Sep Prod'!I15</f>
        <v>20899999.999999635</v>
      </c>
      <c r="C16" s="8">
        <f t="shared" si="0"/>
        <v>20.899999999999636</v>
      </c>
      <c r="D16" s="10">
        <f t="shared" si="1"/>
        <v>64.162999999998874</v>
      </c>
      <c r="E16" s="7">
        <f>'[11]Sep Prod'!E15</f>
        <v>20000000</v>
      </c>
      <c r="F16" s="8">
        <f t="shared" si="2"/>
        <v>20</v>
      </c>
      <c r="G16" s="10">
        <f t="shared" si="3"/>
        <v>61.4</v>
      </c>
      <c r="H16" s="7">
        <f>'[11]Sep Prod'!F15</f>
        <v>3000000</v>
      </c>
      <c r="I16" s="8">
        <f t="shared" si="4"/>
        <v>3</v>
      </c>
      <c r="J16" s="10">
        <f t="shared" si="5"/>
        <v>9.2099999999999991</v>
      </c>
      <c r="K16" s="7">
        <f>'[11]Sep Prod'!H263</f>
        <v>1309988</v>
      </c>
      <c r="L16" s="8">
        <f t="shared" si="6"/>
        <v>1.3099879999999999</v>
      </c>
      <c r="M16" s="10">
        <f t="shared" si="7"/>
        <v>4.0216631599999992</v>
      </c>
      <c r="N16" s="21"/>
      <c r="O16" s="7">
        <f>'[11]Sep Prod'!H15</f>
        <v>10193000.000000004</v>
      </c>
      <c r="P16" s="8">
        <f t="shared" si="8"/>
        <v>10.193000000000003</v>
      </c>
      <c r="Q16" s="10">
        <f t="shared" si="9"/>
        <v>31.292510000000007</v>
      </c>
      <c r="R16" s="7">
        <f>'[11]Sep Prod'!C15</f>
        <v>10484000</v>
      </c>
      <c r="S16" s="8">
        <f t="shared" si="10"/>
        <v>10.484</v>
      </c>
      <c r="T16" s="10">
        <f t="shared" si="11"/>
        <v>32.185879999999997</v>
      </c>
      <c r="U16" s="7">
        <f>'[11]Sep Prod'!D15</f>
        <v>0</v>
      </c>
      <c r="V16" s="8">
        <f t="shared" si="12"/>
        <v>0</v>
      </c>
      <c r="W16" s="10">
        <f t="shared" si="13"/>
        <v>0</v>
      </c>
      <c r="X16" s="7">
        <f>'[11]Sep Prod'!D263</f>
        <v>290999.9999999968</v>
      </c>
      <c r="Y16" s="8">
        <f t="shared" si="14"/>
        <v>0.29099999999999682</v>
      </c>
      <c r="Z16" s="10">
        <f t="shared" si="15"/>
        <v>0.89336999999999023</v>
      </c>
      <c r="AA16" s="15"/>
      <c r="AB16" s="7">
        <f t="shared" si="16"/>
        <v>31092999.999999639</v>
      </c>
      <c r="AC16" s="8">
        <f t="shared" si="16"/>
        <v>31.092999999999641</v>
      </c>
      <c r="AD16" s="8">
        <f t="shared" si="16"/>
        <v>95.455509999998881</v>
      </c>
      <c r="AF16" s="8">
        <f>T16-Q16-Z16</f>
        <v>0</v>
      </c>
    </row>
    <row r="17" spans="1:32" x14ac:dyDescent="0.15">
      <c r="A17" s="28">
        <v>38608</v>
      </c>
      <c r="B17" s="7">
        <f>'[11]Sep Prod'!I16</f>
        <v>22600000.000000365</v>
      </c>
      <c r="C17" s="8">
        <f t="shared" si="0"/>
        <v>22.600000000000364</v>
      </c>
      <c r="D17" s="10">
        <f t="shared" si="1"/>
        <v>69.382000000001113</v>
      </c>
      <c r="E17" s="7">
        <f>'[11]Sep Prod'!E16</f>
        <v>18000000</v>
      </c>
      <c r="F17" s="8">
        <f t="shared" si="2"/>
        <v>18</v>
      </c>
      <c r="G17" s="10">
        <f t="shared" si="3"/>
        <v>55.26</v>
      </c>
      <c r="H17" s="7">
        <f>'[11]Sep Prod'!F16</f>
        <v>4000000</v>
      </c>
      <c r="I17" s="8">
        <f t="shared" si="4"/>
        <v>4</v>
      </c>
      <c r="J17" s="10">
        <f t="shared" si="5"/>
        <v>12.28</v>
      </c>
      <c r="K17" s="7">
        <f>'[11]Sep Prod'!H264</f>
        <v>1409247</v>
      </c>
      <c r="L17" s="8">
        <f t="shared" si="6"/>
        <v>1.4092469999999999</v>
      </c>
      <c r="M17" s="10">
        <f t="shared" si="7"/>
        <v>4.3263882899999997</v>
      </c>
      <c r="N17" s="21"/>
      <c r="O17" s="7">
        <f>'[11]Sep Prod'!H16</f>
        <v>10060000</v>
      </c>
      <c r="P17" s="8">
        <f t="shared" si="8"/>
        <v>10.06</v>
      </c>
      <c r="Q17" s="10">
        <f t="shared" si="9"/>
        <v>30.8842</v>
      </c>
      <c r="R17" s="7">
        <f>'[11]Sep Prod'!C16</f>
        <v>10066000</v>
      </c>
      <c r="S17" s="8">
        <f t="shared" si="10"/>
        <v>10.066000000000001</v>
      </c>
      <c r="T17" s="10">
        <f t="shared" si="11"/>
        <v>30.902619999999999</v>
      </c>
      <c r="U17" s="7">
        <f>'[11]Sep Prod'!D16</f>
        <v>0</v>
      </c>
      <c r="V17" s="8">
        <f t="shared" si="12"/>
        <v>0</v>
      </c>
      <c r="W17" s="10">
        <f t="shared" si="13"/>
        <v>0</v>
      </c>
      <c r="X17" s="7">
        <f>'[11]Sep Prod'!D264</f>
        <v>6000.0000000002274</v>
      </c>
      <c r="Y17" s="8">
        <f t="shared" si="14"/>
        <v>6.0000000000002274E-3</v>
      </c>
      <c r="Z17" s="10">
        <f t="shared" si="15"/>
        <v>1.8420000000000696E-2</v>
      </c>
      <c r="AA17" s="15"/>
      <c r="AB17" s="7">
        <f t="shared" si="16"/>
        <v>32660000.000000365</v>
      </c>
      <c r="AC17" s="8">
        <f t="shared" si="16"/>
        <v>32.660000000000366</v>
      </c>
      <c r="AD17" s="8">
        <f t="shared" si="16"/>
        <v>100.26620000000111</v>
      </c>
      <c r="AF17" s="8">
        <f>T17-Q17-Z17</f>
        <v>-1.7034984534092246E-15</v>
      </c>
    </row>
    <row r="18" spans="1:32" x14ac:dyDescent="0.15">
      <c r="A18" s="28">
        <v>38609</v>
      </c>
      <c r="B18" s="7">
        <f>'[11]Sep Prod'!I17</f>
        <v>17399999.999999635</v>
      </c>
      <c r="C18" s="8">
        <f t="shared" si="0"/>
        <v>17.399999999999636</v>
      </c>
      <c r="D18" s="10">
        <f t="shared" si="1"/>
        <v>53.417999999998884</v>
      </c>
      <c r="E18" s="7">
        <f>'[11]Sep Prod'!E17</f>
        <v>15000000</v>
      </c>
      <c r="F18" s="8">
        <f t="shared" si="2"/>
        <v>15</v>
      </c>
      <c r="G18" s="10">
        <f t="shared" si="3"/>
        <v>46.05</v>
      </c>
      <c r="H18" s="7">
        <f>'[11]Sep Prod'!F17</f>
        <v>6000000</v>
      </c>
      <c r="I18" s="8">
        <f t="shared" si="4"/>
        <v>6</v>
      </c>
      <c r="J18" s="10">
        <f t="shared" si="5"/>
        <v>18.419999999999998</v>
      </c>
      <c r="K18" s="7">
        <f>'[11]Sep Prod'!H265</f>
        <v>1146481</v>
      </c>
      <c r="L18" s="8">
        <f t="shared" si="6"/>
        <v>1.1464810000000001</v>
      </c>
      <c r="M18" s="10">
        <f t="shared" si="7"/>
        <v>3.5196966700000001</v>
      </c>
      <c r="N18" s="21"/>
      <c r="O18" s="7">
        <f>'[11]Sep Prod'!H17</f>
        <v>7745000.0000000009</v>
      </c>
      <c r="P18" s="8">
        <f t="shared" si="8"/>
        <v>7.745000000000001</v>
      </c>
      <c r="Q18" s="10">
        <f t="shared" si="9"/>
        <v>23.777150000000002</v>
      </c>
      <c r="R18" s="7">
        <f>'[11]Sep Prod'!C17</f>
        <v>7980000</v>
      </c>
      <c r="S18" s="8">
        <f t="shared" si="10"/>
        <v>7.98</v>
      </c>
      <c r="T18" s="10">
        <f t="shared" si="11"/>
        <v>24.4986</v>
      </c>
      <c r="U18" s="7">
        <f>'[11]Sep Prod'!D17</f>
        <v>0</v>
      </c>
      <c r="V18" s="8">
        <f t="shared" si="12"/>
        <v>0</v>
      </c>
      <c r="W18" s="10">
        <f t="shared" si="13"/>
        <v>0</v>
      </c>
      <c r="X18" s="7">
        <f>'[11]Sep Prod'!D265</f>
        <v>234999.99999999942</v>
      </c>
      <c r="Y18" s="8">
        <f t="shared" si="14"/>
        <v>0.23499999999999943</v>
      </c>
      <c r="Z18" s="10">
        <f t="shared" si="15"/>
        <v>0.72144999999999826</v>
      </c>
      <c r="AA18" s="15"/>
      <c r="AB18" s="7">
        <f t="shared" si="16"/>
        <v>25144999.999999635</v>
      </c>
      <c r="AC18" s="8">
        <f t="shared" si="16"/>
        <v>25.144999999999637</v>
      </c>
      <c r="AD18" s="8">
        <f t="shared" si="16"/>
        <v>77.19514999999889</v>
      </c>
      <c r="AF18" s="8">
        <f>T18-Q18-Z18</f>
        <v>-9.9920072216264089E-16</v>
      </c>
    </row>
    <row r="19" spans="1:32" x14ac:dyDescent="0.15">
      <c r="A19" s="28">
        <v>38610</v>
      </c>
      <c r="B19" s="7">
        <f>'[11]Sep Prod'!I18</f>
        <v>13100000.000000363</v>
      </c>
      <c r="C19" s="8">
        <f t="shared" si="0"/>
        <v>13.100000000000364</v>
      </c>
      <c r="D19" s="10">
        <f t="shared" si="1"/>
        <v>40.217000000001114</v>
      </c>
      <c r="E19" s="7">
        <f>'[11]Sep Prod'!E18</f>
        <v>12000000</v>
      </c>
      <c r="F19" s="8">
        <f t="shared" si="2"/>
        <v>12</v>
      </c>
      <c r="G19" s="10">
        <f t="shared" si="3"/>
        <v>36.839999999999996</v>
      </c>
      <c r="H19" s="7">
        <f>'[11]Sep Prod'!F18</f>
        <v>1000000</v>
      </c>
      <c r="I19" s="8">
        <f t="shared" si="4"/>
        <v>1</v>
      </c>
      <c r="J19" s="10">
        <f t="shared" si="5"/>
        <v>3.07</v>
      </c>
      <c r="K19" s="7">
        <f>'[11]Sep Prod'!H266</f>
        <v>636845</v>
      </c>
      <c r="L19" s="8">
        <f t="shared" si="6"/>
        <v>0.63684499999999999</v>
      </c>
      <c r="M19" s="10">
        <f t="shared" si="7"/>
        <v>1.9551141499999998</v>
      </c>
      <c r="N19" s="21"/>
      <c r="O19" s="7">
        <f>'[11]Sep Prod'!H18</f>
        <v>7021000.0000000084</v>
      </c>
      <c r="P19" s="8">
        <f t="shared" si="8"/>
        <v>7.0210000000000088</v>
      </c>
      <c r="Q19" s="10">
        <f t="shared" si="9"/>
        <v>21.554470000000027</v>
      </c>
      <c r="R19" s="7">
        <f>'[11]Sep Prod'!C18</f>
        <v>7311000</v>
      </c>
      <c r="S19" s="8">
        <f t="shared" si="10"/>
        <v>7.3109999999999999</v>
      </c>
      <c r="T19" s="10">
        <f t="shared" si="11"/>
        <v>22.444769999999998</v>
      </c>
      <c r="U19" s="7">
        <f>'[11]Sep Prod'!D18</f>
        <v>0</v>
      </c>
      <c r="V19" s="8">
        <f t="shared" si="12"/>
        <v>0</v>
      </c>
      <c r="W19" s="10">
        <f t="shared" si="13"/>
        <v>0</v>
      </c>
      <c r="X19" s="7">
        <f>'[11]Sep Prod'!D266</f>
        <v>289999.99999999203</v>
      </c>
      <c r="Y19" s="8">
        <f t="shared" si="14"/>
        <v>0.28999999999999204</v>
      </c>
      <c r="Z19" s="10">
        <f t="shared" si="15"/>
        <v>0.89029999999997556</v>
      </c>
      <c r="AA19" s="15"/>
      <c r="AB19" s="7">
        <f t="shared" si="16"/>
        <v>20121000.000000373</v>
      </c>
      <c r="AC19" s="8">
        <f t="shared" si="16"/>
        <v>20.121000000000372</v>
      </c>
      <c r="AD19" s="8">
        <f>D19+Q19</f>
        <v>61.771470000001145</v>
      </c>
      <c r="AF19" s="8">
        <f>T19-Q19-Z19</f>
        <v>-4.1078251911130792E-15</v>
      </c>
    </row>
    <row r="20" spans="1:32" x14ac:dyDescent="0.15">
      <c r="A20" s="28">
        <v>38611</v>
      </c>
      <c r="B20" s="7">
        <f>'[11]Sep Prod'!I19</f>
        <v>11300000.000001092</v>
      </c>
      <c r="C20" s="8">
        <f t="shared" si="0"/>
        <v>11.300000000001091</v>
      </c>
      <c r="D20" s="10">
        <f t="shared" si="1"/>
        <v>34.691000000003349</v>
      </c>
      <c r="E20" s="7">
        <f>'[11]Sep Prod'!E19</f>
        <v>12000000</v>
      </c>
      <c r="F20" s="8">
        <f t="shared" si="2"/>
        <v>12</v>
      </c>
      <c r="G20" s="10">
        <f t="shared" si="3"/>
        <v>36.839999999999996</v>
      </c>
      <c r="H20" s="7">
        <f>'[11]Sep Prod'!F19</f>
        <v>0</v>
      </c>
      <c r="I20" s="8">
        <f t="shared" si="4"/>
        <v>0</v>
      </c>
      <c r="J20" s="10">
        <f t="shared" si="5"/>
        <v>0</v>
      </c>
      <c r="K20" s="7">
        <f>'[11]Sep Prod'!H267</f>
        <v>814944</v>
      </c>
      <c r="L20" s="8">
        <f t="shared" si="6"/>
        <v>0.814944</v>
      </c>
      <c r="M20" s="10">
        <f t="shared" si="7"/>
        <v>2.50187808</v>
      </c>
      <c r="N20" s="21"/>
      <c r="O20" s="7">
        <f>'[11]Sep Prod'!H19</f>
        <v>7035999.9999999981</v>
      </c>
      <c r="P20" s="8">
        <f t="shared" si="8"/>
        <v>7.0359999999999978</v>
      </c>
      <c r="Q20" s="10">
        <f t="shared" si="9"/>
        <v>21.600519999999992</v>
      </c>
      <c r="R20" s="7">
        <f>'[11]Sep Prod'!C19</f>
        <v>7322000</v>
      </c>
      <c r="S20" s="8">
        <f t="shared" si="10"/>
        <v>7.3220000000000001</v>
      </c>
      <c r="T20" s="10">
        <f t="shared" si="11"/>
        <v>22.478539999999999</v>
      </c>
      <c r="U20" s="7">
        <f>'[11]Sep Prod'!D19</f>
        <v>0</v>
      </c>
      <c r="V20" s="8">
        <f t="shared" si="12"/>
        <v>0</v>
      </c>
      <c r="W20" s="10">
        <f t="shared" si="13"/>
        <v>0</v>
      </c>
      <c r="X20" s="7">
        <f>'[11]Sep Prod'!D267</f>
        <v>286000.00000000134</v>
      </c>
      <c r="Y20" s="8">
        <f t="shared" si="14"/>
        <v>0.28600000000000136</v>
      </c>
      <c r="Z20" s="10">
        <f t="shared" si="15"/>
        <v>0.87802000000000413</v>
      </c>
      <c r="AA20" s="15"/>
      <c r="AB20" s="7">
        <f t="shared" si="16"/>
        <v>18336000.000001088</v>
      </c>
      <c r="AC20" s="8">
        <f t="shared" si="16"/>
        <v>18.336000000001089</v>
      </c>
      <c r="AD20" s="8">
        <f t="shared" si="16"/>
        <v>56.291520000003345</v>
      </c>
      <c r="AF20" s="8">
        <f t="shared" ref="AF20:AF35" si="18">T20-Q20-Z20</f>
        <v>2.3314683517128287E-15</v>
      </c>
    </row>
    <row r="21" spans="1:32" x14ac:dyDescent="0.15">
      <c r="A21" s="28">
        <v>38612</v>
      </c>
      <c r="B21" s="7">
        <f>'[11]Sep Prod'!I20</f>
        <v>15000000</v>
      </c>
      <c r="C21" s="8">
        <f t="shared" si="0"/>
        <v>15</v>
      </c>
      <c r="D21" s="10">
        <f t="shared" si="1"/>
        <v>46.05</v>
      </c>
      <c r="E21" s="7">
        <f>'[11]Sep Prod'!E20</f>
        <v>16000000</v>
      </c>
      <c r="F21" s="8">
        <f t="shared" si="2"/>
        <v>16</v>
      </c>
      <c r="G21" s="10">
        <f t="shared" si="3"/>
        <v>49.12</v>
      </c>
      <c r="H21" s="7">
        <f>'[11]Sep Prod'!F20</f>
        <v>0</v>
      </c>
      <c r="I21" s="8">
        <f t="shared" si="4"/>
        <v>0</v>
      </c>
      <c r="J21" s="10">
        <f t="shared" si="5"/>
        <v>0</v>
      </c>
      <c r="K21" s="7">
        <f>'[11]Sep Prod'!H268</f>
        <v>1126953</v>
      </c>
      <c r="L21" s="8">
        <f t="shared" si="6"/>
        <v>1.1269530000000001</v>
      </c>
      <c r="M21" s="10">
        <f t="shared" si="7"/>
        <v>3.45974571</v>
      </c>
      <c r="N21" s="21"/>
      <c r="O21" s="7">
        <f>'[11]Sep Prod'!H20</f>
        <v>8518999.9999999963</v>
      </c>
      <c r="P21" s="8">
        <f t="shared" si="8"/>
        <v>8.5189999999999966</v>
      </c>
      <c r="Q21" s="10">
        <f t="shared" si="9"/>
        <v>26.15332999999999</v>
      </c>
      <c r="R21" s="7">
        <f>'[11]Sep Prod'!C20</f>
        <v>8871000</v>
      </c>
      <c r="S21" s="8">
        <f t="shared" si="10"/>
        <v>8.8710000000000004</v>
      </c>
      <c r="T21" s="10">
        <f t="shared" si="11"/>
        <v>27.233969999999999</v>
      </c>
      <c r="U21" s="7">
        <f>'[11]Sep Prod'!D20</f>
        <v>0</v>
      </c>
      <c r="V21" s="8">
        <f t="shared" si="12"/>
        <v>0</v>
      </c>
      <c r="W21" s="10">
        <f t="shared" si="13"/>
        <v>0</v>
      </c>
      <c r="X21" s="7">
        <f>'[11]Sep Prod'!D268</f>
        <v>352000.00000000384</v>
      </c>
      <c r="Y21" s="8">
        <f t="shared" si="14"/>
        <v>0.35200000000000387</v>
      </c>
      <c r="Z21" s="10">
        <f t="shared" si="15"/>
        <v>1.0806400000000118</v>
      </c>
      <c r="AA21" s="15"/>
      <c r="AB21" s="7">
        <f t="shared" si="16"/>
        <v>23518999.999999996</v>
      </c>
      <c r="AC21" s="8">
        <f t="shared" si="16"/>
        <v>23.518999999999998</v>
      </c>
      <c r="AD21" s="8">
        <f t="shared" si="16"/>
        <v>72.203329999999994</v>
      </c>
      <c r="AF21" s="8">
        <f t="shared" si="18"/>
        <v>-2.2204460492503131E-15</v>
      </c>
    </row>
    <row r="22" spans="1:32" x14ac:dyDescent="0.15">
      <c r="A22" s="28">
        <v>38613</v>
      </c>
      <c r="B22" s="7">
        <f>'[11]Sep Prod'!I21</f>
        <v>14399999.999999637</v>
      </c>
      <c r="C22" s="8">
        <f t="shared" si="0"/>
        <v>14.399999999999636</v>
      </c>
      <c r="D22" s="10">
        <f t="shared" si="1"/>
        <v>44.207999999998883</v>
      </c>
      <c r="E22" s="7">
        <f>'[11]Sep Prod'!E21</f>
        <v>15000000</v>
      </c>
      <c r="F22" s="8">
        <f t="shared" si="2"/>
        <v>15</v>
      </c>
      <c r="G22" s="10">
        <f t="shared" si="3"/>
        <v>46.05</v>
      </c>
      <c r="H22" s="7">
        <f>'[11]Sep Prod'!F21</f>
        <v>0</v>
      </c>
      <c r="I22" s="8">
        <f t="shared" si="4"/>
        <v>0</v>
      </c>
      <c r="J22" s="10">
        <f t="shared" si="5"/>
        <v>0</v>
      </c>
      <c r="K22" s="7">
        <f>'[11]Sep Prod'!H269</f>
        <v>917006</v>
      </c>
      <c r="L22" s="8">
        <f t="shared" si="6"/>
        <v>0.91700599999999999</v>
      </c>
      <c r="M22" s="10">
        <f t="shared" si="7"/>
        <v>2.8152084199999998</v>
      </c>
      <c r="N22" s="21"/>
      <c r="O22" s="7">
        <f>'[11]Sep Prod'!H21</f>
        <v>9285999.9999999963</v>
      </c>
      <c r="P22" s="8">
        <f t="shared" si="8"/>
        <v>9.285999999999996</v>
      </c>
      <c r="Q22" s="10">
        <f t="shared" si="9"/>
        <v>28.508019999999988</v>
      </c>
      <c r="R22" s="7">
        <f>'[11]Sep Prod'!C21</f>
        <v>9522000</v>
      </c>
      <c r="S22" s="8">
        <f t="shared" si="10"/>
        <v>9.5220000000000002</v>
      </c>
      <c r="T22" s="10">
        <f t="shared" si="11"/>
        <v>29.23254</v>
      </c>
      <c r="U22" s="7">
        <f>'[11]Sep Prod'!D21</f>
        <v>0</v>
      </c>
      <c r="V22" s="8">
        <f t="shared" si="12"/>
        <v>0</v>
      </c>
      <c r="W22" s="10">
        <f t="shared" si="13"/>
        <v>0</v>
      </c>
      <c r="X22" s="7">
        <f>'[11]Sep Prod'!D269</f>
        <v>236000.00000000422</v>
      </c>
      <c r="Y22" s="8">
        <f t="shared" si="14"/>
        <v>0.23600000000000421</v>
      </c>
      <c r="Z22" s="10">
        <f t="shared" si="15"/>
        <v>0.72452000000001293</v>
      </c>
      <c r="AA22" s="15"/>
      <c r="AB22" s="7">
        <f t="shared" si="16"/>
        <v>23685999.999999635</v>
      </c>
      <c r="AC22" s="8">
        <f t="shared" si="16"/>
        <v>23.68599999999963</v>
      </c>
      <c r="AD22" s="8">
        <f t="shared" si="16"/>
        <v>72.716019999998878</v>
      </c>
      <c r="AF22" s="8">
        <f t="shared" si="18"/>
        <v>0</v>
      </c>
    </row>
    <row r="23" spans="1:32" x14ac:dyDescent="0.15">
      <c r="A23" s="28">
        <v>38614</v>
      </c>
      <c r="B23" s="7">
        <f>'[11]Sep Prod'!I22</f>
        <v>16799999.999999274</v>
      </c>
      <c r="C23" s="8">
        <f t="shared" si="0"/>
        <v>16.799999999999272</v>
      </c>
      <c r="D23" s="10">
        <f t="shared" si="1"/>
        <v>51.575999999997762</v>
      </c>
      <c r="E23" s="7">
        <f>'[11]Sep Prod'!E22</f>
        <v>18000000</v>
      </c>
      <c r="F23" s="8">
        <f t="shared" si="2"/>
        <v>18</v>
      </c>
      <c r="G23" s="10">
        <f t="shared" si="3"/>
        <v>55.26</v>
      </c>
      <c r="H23" s="7">
        <f>'[11]Sep Prod'!F22</f>
        <v>0</v>
      </c>
      <c r="I23" s="8">
        <f t="shared" si="4"/>
        <v>0</v>
      </c>
      <c r="J23" s="10">
        <f t="shared" si="5"/>
        <v>0</v>
      </c>
      <c r="K23" s="7">
        <f>'[11]Sep Prod'!H270</f>
        <v>1106800</v>
      </c>
      <c r="L23" s="8">
        <f t="shared" si="6"/>
        <v>1.1068</v>
      </c>
      <c r="M23" s="10">
        <f t="shared" si="7"/>
        <v>3.3978759999999997</v>
      </c>
      <c r="N23" s="21"/>
      <c r="O23" s="7">
        <f>'[11]Sep Prod'!H22</f>
        <v>9595000.0000000019</v>
      </c>
      <c r="P23" s="8">
        <f t="shared" si="8"/>
        <v>9.5950000000000024</v>
      </c>
      <c r="Q23" s="10">
        <f t="shared" si="9"/>
        <v>29.456650000000007</v>
      </c>
      <c r="R23" s="7">
        <f>'[11]Sep Prod'!C22</f>
        <v>9936000</v>
      </c>
      <c r="S23" s="8">
        <f t="shared" si="10"/>
        <v>9.9359999999999999</v>
      </c>
      <c r="T23" s="10">
        <f t="shared" si="11"/>
        <v>30.503519999999998</v>
      </c>
      <c r="U23" s="7">
        <f>'[11]Sep Prod'!D22</f>
        <v>1000</v>
      </c>
      <c r="V23" s="8">
        <f t="shared" si="12"/>
        <v>1E-3</v>
      </c>
      <c r="W23" s="10">
        <f t="shared" si="13"/>
        <v>3.0699999999999998E-3</v>
      </c>
      <c r="X23" s="7">
        <f>'[11]Sep Prod'!D270</f>
        <v>341999.99999999878</v>
      </c>
      <c r="Y23" s="8">
        <f t="shared" si="14"/>
        <v>0.3419999999999988</v>
      </c>
      <c r="Z23" s="10">
        <f t="shared" si="15"/>
        <v>1.0499399999999963</v>
      </c>
      <c r="AA23" s="15"/>
      <c r="AB23" s="7">
        <f t="shared" si="16"/>
        <v>26394999.999999277</v>
      </c>
      <c r="AC23" s="8">
        <f t="shared" si="16"/>
        <v>26.394999999999275</v>
      </c>
      <c r="AD23" s="8">
        <f t="shared" si="16"/>
        <v>81.032649999997773</v>
      </c>
      <c r="AF23" s="8">
        <f t="shared" si="18"/>
        <v>-3.0700000000050132E-3</v>
      </c>
    </row>
    <row r="24" spans="1:32" x14ac:dyDescent="0.15">
      <c r="A24" s="28">
        <v>38615</v>
      </c>
      <c r="B24" s="7">
        <f>'[11]Sep Prod'!I23</f>
        <v>16100000.000000363</v>
      </c>
      <c r="C24" s="8">
        <f t="shared" si="0"/>
        <v>16.100000000000364</v>
      </c>
      <c r="D24" s="10">
        <f t="shared" si="1"/>
        <v>49.427000000001115</v>
      </c>
      <c r="E24" s="7">
        <f>'[11]Sep Prod'!E23</f>
        <v>18000000</v>
      </c>
      <c r="F24" s="8">
        <f t="shared" si="2"/>
        <v>18</v>
      </c>
      <c r="G24" s="10">
        <f t="shared" si="3"/>
        <v>55.26</v>
      </c>
      <c r="H24" s="7">
        <f>'[11]Sep Prod'!F23</f>
        <v>0</v>
      </c>
      <c r="I24" s="8">
        <f t="shared" si="4"/>
        <v>0</v>
      </c>
      <c r="J24" s="10">
        <f t="shared" si="5"/>
        <v>0</v>
      </c>
      <c r="K24" s="7">
        <f>'[11]Sep Prod'!H271</f>
        <v>1065581</v>
      </c>
      <c r="L24" s="8">
        <f t="shared" si="6"/>
        <v>1.0655809999999999</v>
      </c>
      <c r="M24" s="10">
        <f t="shared" si="7"/>
        <v>3.2713336699999993</v>
      </c>
      <c r="N24" s="21"/>
      <c r="O24" s="7">
        <f>'[11]Sep Prod'!H23</f>
        <v>8349000.0000000019</v>
      </c>
      <c r="P24" s="8">
        <f t="shared" si="8"/>
        <v>8.349000000000002</v>
      </c>
      <c r="Q24" s="10">
        <f t="shared" si="9"/>
        <v>25.631430000000005</v>
      </c>
      <c r="R24" s="7">
        <f>'[11]Sep Prod'!C23</f>
        <v>8694000</v>
      </c>
      <c r="S24" s="8">
        <f t="shared" si="10"/>
        <v>8.6940000000000008</v>
      </c>
      <c r="T24" s="10">
        <f t="shared" si="11"/>
        <v>26.690580000000001</v>
      </c>
      <c r="U24" s="7">
        <f>'[11]Sep Prod'!D23</f>
        <v>0</v>
      </c>
      <c r="V24" s="8">
        <f t="shared" si="12"/>
        <v>0</v>
      </c>
      <c r="W24" s="10">
        <f t="shared" si="13"/>
        <v>0</v>
      </c>
      <c r="X24" s="7">
        <f>'[11]Sep Prod'!D271</f>
        <v>344999.99999999884</v>
      </c>
      <c r="Y24" s="8">
        <f t="shared" si="14"/>
        <v>0.34499999999999886</v>
      </c>
      <c r="Z24" s="10">
        <f t="shared" si="15"/>
        <v>1.0591499999999965</v>
      </c>
      <c r="AA24" s="15"/>
      <c r="AB24" s="7">
        <f t="shared" si="16"/>
        <v>24449000.000000365</v>
      </c>
      <c r="AC24" s="8">
        <f t="shared" si="16"/>
        <v>24.449000000000368</v>
      </c>
      <c r="AD24" s="8">
        <f>D24+Q24</f>
        <v>75.058430000001124</v>
      </c>
      <c r="AF24" s="8">
        <f t="shared" si="18"/>
        <v>0</v>
      </c>
    </row>
    <row r="25" spans="1:32" x14ac:dyDescent="0.15">
      <c r="A25" s="28">
        <v>38616</v>
      </c>
      <c r="B25" s="7">
        <f>'[11]Sep Prod'!I24</f>
        <v>17100000.000000365</v>
      </c>
      <c r="C25" s="8">
        <f t="shared" si="0"/>
        <v>17.100000000000364</v>
      </c>
      <c r="D25" s="10">
        <f t="shared" si="1"/>
        <v>52.497000000001115</v>
      </c>
      <c r="E25" s="7">
        <f>'[11]Sep Prod'!E24</f>
        <v>19000000</v>
      </c>
      <c r="F25" s="8">
        <f t="shared" si="2"/>
        <v>19</v>
      </c>
      <c r="G25" s="10">
        <f t="shared" si="3"/>
        <v>58.33</v>
      </c>
      <c r="H25" s="7">
        <f>'[11]Sep Prod'!F24</f>
        <v>0</v>
      </c>
      <c r="I25" s="8">
        <f t="shared" si="4"/>
        <v>0</v>
      </c>
      <c r="J25" s="10">
        <f t="shared" si="5"/>
        <v>0</v>
      </c>
      <c r="K25" s="7">
        <f>'[11]Sep Prod'!H272</f>
        <v>1108096</v>
      </c>
      <c r="L25" s="8">
        <f t="shared" si="6"/>
        <v>1.108096</v>
      </c>
      <c r="M25" s="10">
        <f t="shared" si="7"/>
        <v>3.4018547199999998</v>
      </c>
      <c r="N25" s="21"/>
      <c r="O25" s="7">
        <f>'[11]Sep Prod'!H24</f>
        <v>8635000.0000000019</v>
      </c>
      <c r="P25" s="8">
        <f t="shared" si="8"/>
        <v>8.6350000000000016</v>
      </c>
      <c r="Q25" s="10">
        <f t="shared" si="9"/>
        <v>26.509450000000005</v>
      </c>
      <c r="R25" s="7">
        <f>'[11]Sep Prod'!C24</f>
        <v>8979000</v>
      </c>
      <c r="S25" s="8">
        <f t="shared" si="10"/>
        <v>8.9789999999999992</v>
      </c>
      <c r="T25" s="10">
        <f t="shared" si="11"/>
        <v>27.565529999999995</v>
      </c>
      <c r="U25" s="7">
        <f>'[11]Sep Prod'!D24</f>
        <v>1000</v>
      </c>
      <c r="V25" s="8">
        <f t="shared" si="12"/>
        <v>1E-3</v>
      </c>
      <c r="W25" s="10">
        <f t="shared" si="13"/>
        <v>3.0699999999999998E-3</v>
      </c>
      <c r="X25" s="7">
        <f>'[11]Sep Prod'!D272</f>
        <v>344999.99999999884</v>
      </c>
      <c r="Y25" s="8">
        <f t="shared" si="14"/>
        <v>0.34499999999999886</v>
      </c>
      <c r="Z25" s="10">
        <f t="shared" si="15"/>
        <v>1.0591499999999965</v>
      </c>
      <c r="AA25" s="15"/>
      <c r="AB25" s="7">
        <f t="shared" si="16"/>
        <v>25735000.000000365</v>
      </c>
      <c r="AC25" s="8">
        <f t="shared" si="16"/>
        <v>25.735000000000365</v>
      </c>
      <c r="AD25" s="8">
        <f t="shared" si="16"/>
        <v>79.006450000001124</v>
      </c>
      <c r="AF25" s="8">
        <f t="shared" si="18"/>
        <v>-3.0700000000056793E-3</v>
      </c>
    </row>
    <row r="26" spans="1:32" x14ac:dyDescent="0.15">
      <c r="A26" s="28">
        <v>38617</v>
      </c>
      <c r="B26" s="7">
        <f>'[11]Sep Prod'!I25</f>
        <v>15199999.999998908</v>
      </c>
      <c r="C26" s="8">
        <f t="shared" si="0"/>
        <v>15.199999999998909</v>
      </c>
      <c r="D26" s="10">
        <f t="shared" si="1"/>
        <v>46.663999999996648</v>
      </c>
      <c r="E26" s="7">
        <f>'[11]Sep Prod'!E25</f>
        <v>16000000</v>
      </c>
      <c r="F26" s="8">
        <f t="shared" si="2"/>
        <v>16</v>
      </c>
      <c r="G26" s="10">
        <f t="shared" si="3"/>
        <v>49.12</v>
      </c>
      <c r="H26" s="7">
        <f>'[11]Sep Prod'!F25</f>
        <v>0</v>
      </c>
      <c r="I26" s="8">
        <f t="shared" si="4"/>
        <v>0</v>
      </c>
      <c r="J26" s="10">
        <f t="shared" si="5"/>
        <v>0</v>
      </c>
      <c r="K26" s="7">
        <f>'[11]Sep Prod'!H273</f>
        <v>980268</v>
      </c>
      <c r="L26" s="8">
        <f t="shared" si="6"/>
        <v>0.98026800000000003</v>
      </c>
      <c r="M26" s="10">
        <f t="shared" si="7"/>
        <v>3.0094227600000001</v>
      </c>
      <c r="N26" s="21"/>
      <c r="O26" s="7">
        <f>'[11]Sep Prod'!H25</f>
        <v>7098999.9999999981</v>
      </c>
      <c r="P26" s="8">
        <f t="shared" si="8"/>
        <v>7.0989999999999984</v>
      </c>
      <c r="Q26" s="10">
        <f t="shared" si="9"/>
        <v>21.793929999999992</v>
      </c>
      <c r="R26" s="7">
        <f>'[11]Sep Prod'!C25</f>
        <v>7388000</v>
      </c>
      <c r="S26" s="8">
        <f t="shared" si="10"/>
        <v>7.3879999999999999</v>
      </c>
      <c r="T26" s="10">
        <f t="shared" si="11"/>
        <v>22.681159999999998</v>
      </c>
      <c r="U26" s="7">
        <f>'[11]Sep Prod'!D25</f>
        <v>0</v>
      </c>
      <c r="V26" s="8">
        <f t="shared" si="12"/>
        <v>0</v>
      </c>
      <c r="W26" s="10">
        <f t="shared" si="13"/>
        <v>0</v>
      </c>
      <c r="X26" s="7">
        <f>'[11]Sep Prod'!D273</f>
        <v>289000.00000000146</v>
      </c>
      <c r="Y26" s="8">
        <f t="shared" si="14"/>
        <v>0.28900000000000148</v>
      </c>
      <c r="Z26" s="10">
        <f t="shared" si="15"/>
        <v>0.88723000000000452</v>
      </c>
      <c r="AA26" s="15"/>
      <c r="AB26" s="7">
        <f t="shared" si="16"/>
        <v>22298999.999998905</v>
      </c>
      <c r="AC26" s="8">
        <f t="shared" si="16"/>
        <v>22.298999999998905</v>
      </c>
      <c r="AD26" s="8">
        <f t="shared" si="16"/>
        <v>68.457929999996637</v>
      </c>
      <c r="AF26" s="8">
        <f t="shared" si="18"/>
        <v>1.4432899320127035E-15</v>
      </c>
    </row>
    <row r="27" spans="1:32" x14ac:dyDescent="0.15">
      <c r="A27" s="28">
        <v>38618</v>
      </c>
      <c r="B27" s="7">
        <f>'[11]Sep Prod'!I26</f>
        <v>17400000.000001457</v>
      </c>
      <c r="C27" s="8">
        <f t="shared" si="0"/>
        <v>17.400000000001455</v>
      </c>
      <c r="D27" s="10">
        <f t="shared" si="1"/>
        <v>53.418000000004461</v>
      </c>
      <c r="E27" s="7">
        <f>'[11]Sep Prod'!E26</f>
        <v>19000000</v>
      </c>
      <c r="F27" s="8">
        <f t="shared" si="2"/>
        <v>19</v>
      </c>
      <c r="G27" s="10">
        <f t="shared" si="3"/>
        <v>58.33</v>
      </c>
      <c r="H27" s="7">
        <f>'[11]Sep Prod'!F26</f>
        <v>0</v>
      </c>
      <c r="I27" s="8">
        <f t="shared" si="4"/>
        <v>0</v>
      </c>
      <c r="J27" s="10">
        <f t="shared" si="5"/>
        <v>0</v>
      </c>
      <c r="K27" s="7">
        <f>'[11]Sep Prod'!H274</f>
        <v>1161638</v>
      </c>
      <c r="L27" s="8">
        <f t="shared" si="6"/>
        <v>1.1616379999999999</v>
      </c>
      <c r="M27" s="10">
        <f t="shared" si="7"/>
        <v>3.5662286599999997</v>
      </c>
      <c r="N27" s="21"/>
      <c r="O27" s="7">
        <f>'[11]Sep Prod'!H26</f>
        <v>8437000.0000000075</v>
      </c>
      <c r="P27" s="8">
        <f t="shared" si="8"/>
        <v>8.4370000000000083</v>
      </c>
      <c r="Q27" s="10">
        <f t="shared" si="9"/>
        <v>25.901590000000024</v>
      </c>
      <c r="R27" s="7">
        <f>'[11]Sep Prod'!C26</f>
        <v>8759000</v>
      </c>
      <c r="S27" s="8">
        <f t="shared" si="10"/>
        <v>8.7590000000000003</v>
      </c>
      <c r="T27" s="10">
        <f t="shared" si="11"/>
        <v>26.890129999999999</v>
      </c>
      <c r="U27" s="7">
        <f>'[11]Sep Prod'!D26</f>
        <v>1000</v>
      </c>
      <c r="V27" s="8">
        <f t="shared" si="12"/>
        <v>1E-3</v>
      </c>
      <c r="W27" s="10">
        <f t="shared" si="13"/>
        <v>3.0699999999999998E-3</v>
      </c>
      <c r="X27" s="7">
        <f>'[11]Sep Prod'!D274</f>
        <v>322999.99999999331</v>
      </c>
      <c r="Y27" s="8">
        <f t="shared" si="14"/>
        <v>0.32299999999999329</v>
      </c>
      <c r="Z27" s="10">
        <f t="shared" si="15"/>
        <v>0.99160999999997934</v>
      </c>
      <c r="AA27" s="15"/>
      <c r="AB27" s="7">
        <f t="shared" si="16"/>
        <v>25837000.000001464</v>
      </c>
      <c r="AC27" s="8">
        <f t="shared" si="16"/>
        <v>25.837000000001463</v>
      </c>
      <c r="AD27" s="8">
        <f t="shared" si="16"/>
        <v>79.319590000004482</v>
      </c>
      <c r="AF27" s="8">
        <f t="shared" si="18"/>
        <v>-3.0700000000037919E-3</v>
      </c>
    </row>
    <row r="28" spans="1:32" x14ac:dyDescent="0.15">
      <c r="A28" s="28">
        <v>38619</v>
      </c>
      <c r="B28" s="7">
        <f>'[11]Sep Prod'!I27</f>
        <v>17599999.999998543</v>
      </c>
      <c r="C28" s="8">
        <f t="shared" si="0"/>
        <v>17.599999999998545</v>
      </c>
      <c r="D28" s="10">
        <f t="shared" si="1"/>
        <v>54.031999999995527</v>
      </c>
      <c r="E28" s="7">
        <f>'[11]Sep Prod'!E27</f>
        <v>19000000</v>
      </c>
      <c r="F28" s="8">
        <f t="shared" si="2"/>
        <v>19</v>
      </c>
      <c r="G28" s="10">
        <f t="shared" si="3"/>
        <v>58.33</v>
      </c>
      <c r="H28" s="7">
        <f>'[11]Sep Prod'!F27</f>
        <v>0</v>
      </c>
      <c r="I28" s="8">
        <f t="shared" si="4"/>
        <v>0</v>
      </c>
      <c r="J28" s="10">
        <f t="shared" si="5"/>
        <v>0</v>
      </c>
      <c r="K28" s="7">
        <f>'[11]Sep Prod'!H275</f>
        <v>1441850</v>
      </c>
      <c r="L28" s="8">
        <f t="shared" si="6"/>
        <v>1.4418500000000001</v>
      </c>
      <c r="M28" s="10">
        <f t="shared" si="7"/>
        <v>4.4264795000000001</v>
      </c>
      <c r="N28" s="21"/>
      <c r="O28" s="7">
        <f>'[11]Sep Prod'!H27</f>
        <v>9663999.9999999888</v>
      </c>
      <c r="P28" s="8">
        <f t="shared" si="8"/>
        <v>9.663999999999989</v>
      </c>
      <c r="Q28" s="10">
        <f t="shared" si="9"/>
        <v>29.668479999999963</v>
      </c>
      <c r="R28" s="7">
        <f>'[11]Sep Prod'!C27</f>
        <v>9970000</v>
      </c>
      <c r="S28" s="8">
        <f t="shared" si="10"/>
        <v>9.9700000000000006</v>
      </c>
      <c r="T28" s="10">
        <f t="shared" si="11"/>
        <v>30.607900000000001</v>
      </c>
      <c r="U28" s="7">
        <f>'[11]Sep Prod'!D27</f>
        <v>0</v>
      </c>
      <c r="V28" s="8">
        <f t="shared" si="12"/>
        <v>0</v>
      </c>
      <c r="W28" s="10">
        <f t="shared" si="13"/>
        <v>0</v>
      </c>
      <c r="X28" s="7">
        <f>'[11]Sep Prod'!D275</f>
        <v>306000.00000001158</v>
      </c>
      <c r="Y28" s="8">
        <f t="shared" si="14"/>
        <v>0.3060000000000116</v>
      </c>
      <c r="Z28" s="10">
        <f t="shared" si="15"/>
        <v>0.93942000000003556</v>
      </c>
      <c r="AA28" s="15"/>
      <c r="AB28" s="7">
        <f t="shared" si="16"/>
        <v>27263999.999998532</v>
      </c>
      <c r="AC28" s="8">
        <f t="shared" si="16"/>
        <v>27.263999999998532</v>
      </c>
      <c r="AD28" s="8">
        <f t="shared" si="16"/>
        <v>83.700479999995494</v>
      </c>
      <c r="AF28" s="8">
        <f t="shared" si="18"/>
        <v>1.8873791418627661E-15</v>
      </c>
    </row>
    <row r="29" spans="1:32" x14ac:dyDescent="0.15">
      <c r="A29" s="28">
        <v>38620</v>
      </c>
      <c r="B29" s="7">
        <f>'[11]Sep Prod'!I28</f>
        <v>18700000.000000726</v>
      </c>
      <c r="C29" s="8">
        <f t="shared" si="0"/>
        <v>18.700000000000728</v>
      </c>
      <c r="D29" s="10">
        <f t="shared" si="1"/>
        <v>57.40900000000223</v>
      </c>
      <c r="E29" s="7">
        <f>'[11]Sep Prod'!E28</f>
        <v>20000000</v>
      </c>
      <c r="F29" s="8">
        <f t="shared" si="2"/>
        <v>20</v>
      </c>
      <c r="G29" s="10">
        <f t="shared" si="3"/>
        <v>61.4</v>
      </c>
      <c r="H29" s="7">
        <f>'[11]Sep Prod'!F28</f>
        <v>0</v>
      </c>
      <c r="I29" s="8">
        <f t="shared" si="4"/>
        <v>0</v>
      </c>
      <c r="J29" s="10">
        <f t="shared" si="5"/>
        <v>0</v>
      </c>
      <c r="K29" s="7">
        <f>'[11]Sep Prod'!H276</f>
        <v>1125959</v>
      </c>
      <c r="L29" s="8">
        <f t="shared" si="6"/>
        <v>1.1259589999999999</v>
      </c>
      <c r="M29" s="10">
        <f t="shared" si="7"/>
        <v>3.4566941299999998</v>
      </c>
      <c r="N29" s="21"/>
      <c r="O29" s="7">
        <f>'[11]Sep Prod'!H28</f>
        <v>9123000.000000013</v>
      </c>
      <c r="P29" s="8">
        <f t="shared" si="8"/>
        <v>9.1230000000000135</v>
      </c>
      <c r="Q29" s="10">
        <f t="shared" si="9"/>
        <v>28.007610000000039</v>
      </c>
      <c r="R29" s="7">
        <f>'[11]Sep Prod'!C28</f>
        <v>9411000</v>
      </c>
      <c r="S29" s="8">
        <f t="shared" si="10"/>
        <v>9.4109999999999996</v>
      </c>
      <c r="T29" s="10">
        <f t="shared" si="11"/>
        <v>28.891769999999998</v>
      </c>
      <c r="U29" s="7">
        <f>'[11]Sep Prod'!D28</f>
        <v>1000</v>
      </c>
      <c r="V29" s="8">
        <f t="shared" si="12"/>
        <v>1E-3</v>
      </c>
      <c r="W29" s="10">
        <f t="shared" si="13"/>
        <v>3.0699999999999998E-3</v>
      </c>
      <c r="X29" s="7">
        <f>'[11]Sep Prod'!D276</f>
        <v>288999.99999998725</v>
      </c>
      <c r="Y29" s="8">
        <f t="shared" si="14"/>
        <v>0.28899999999998727</v>
      </c>
      <c r="Z29" s="10">
        <f t="shared" si="15"/>
        <v>0.88722999999996088</v>
      </c>
      <c r="AA29" s="15"/>
      <c r="AB29" s="7">
        <f t="shared" si="16"/>
        <v>27823000.000000738</v>
      </c>
      <c r="AC29" s="8">
        <f t="shared" si="16"/>
        <v>27.823000000000739</v>
      </c>
      <c r="AD29" s="8">
        <f t="shared" si="16"/>
        <v>85.416610000002265</v>
      </c>
      <c r="AF29" s="8">
        <f t="shared" si="18"/>
        <v>-3.0700000000021266E-3</v>
      </c>
    </row>
    <row r="30" spans="1:32" x14ac:dyDescent="0.15">
      <c r="A30" s="28">
        <v>38621</v>
      </c>
      <c r="B30" s="7">
        <f>'[11]Sep Prod'!I29</f>
        <v>18600000.000000365</v>
      </c>
      <c r="C30" s="8">
        <f t="shared" si="0"/>
        <v>18.600000000000364</v>
      </c>
      <c r="D30" s="10">
        <f t="shared" si="1"/>
        <v>57.102000000001112</v>
      </c>
      <c r="E30" s="7">
        <f>'[11]Sep Prod'!E29</f>
        <v>20000000</v>
      </c>
      <c r="F30" s="8">
        <f t="shared" si="2"/>
        <v>20</v>
      </c>
      <c r="G30" s="10">
        <f t="shared" si="3"/>
        <v>61.4</v>
      </c>
      <c r="H30" s="7">
        <f>'[11]Sep Prod'!F29</f>
        <v>0</v>
      </c>
      <c r="I30" s="8">
        <f t="shared" si="4"/>
        <v>0</v>
      </c>
      <c r="J30" s="10">
        <f t="shared" si="5"/>
        <v>0</v>
      </c>
      <c r="K30" s="7">
        <f>'[11]Sep Prod'!H277</f>
        <v>1215050</v>
      </c>
      <c r="L30" s="8">
        <f t="shared" si="6"/>
        <v>1.21505</v>
      </c>
      <c r="M30" s="10">
        <f t="shared" si="7"/>
        <v>3.7302034999999996</v>
      </c>
      <c r="N30" s="21"/>
      <c r="O30" s="7">
        <f>'[11]Sep Prod'!H29</f>
        <v>11308999.999999996</v>
      </c>
      <c r="P30" s="8">
        <f t="shared" si="8"/>
        <v>11.308999999999996</v>
      </c>
      <c r="Q30" s="10">
        <f t="shared" si="9"/>
        <v>34.718629999999983</v>
      </c>
      <c r="R30" s="7">
        <f>'[11]Sep Prod'!C29</f>
        <v>11652000</v>
      </c>
      <c r="S30" s="8">
        <f t="shared" si="10"/>
        <v>11.651999999999999</v>
      </c>
      <c r="T30" s="10">
        <f t="shared" si="11"/>
        <v>35.771639999999998</v>
      </c>
      <c r="U30" s="7">
        <f>'[11]Sep Prod'!D29</f>
        <v>0</v>
      </c>
      <c r="V30" s="8">
        <f t="shared" si="12"/>
        <v>0</v>
      </c>
      <c r="W30" s="10">
        <f t="shared" si="13"/>
        <v>0</v>
      </c>
      <c r="X30" s="7">
        <f>'[11]Sep Prod'!D277</f>
        <v>343000.00000000355</v>
      </c>
      <c r="Y30" s="8">
        <f t="shared" si="14"/>
        <v>0.34300000000000352</v>
      </c>
      <c r="Z30" s="10">
        <f t="shared" si="15"/>
        <v>1.0530100000000107</v>
      </c>
      <c r="AA30" s="15"/>
      <c r="AB30" s="7">
        <f t="shared" si="16"/>
        <v>29909000.000000361</v>
      </c>
      <c r="AC30" s="8">
        <f t="shared" si="16"/>
        <v>29.909000000000361</v>
      </c>
      <c r="AD30" s="8">
        <f>D30+Q30</f>
        <v>91.820630000001103</v>
      </c>
      <c r="AF30" s="8">
        <f t="shared" si="18"/>
        <v>3.9968028886505635E-15</v>
      </c>
    </row>
    <row r="31" spans="1:32" x14ac:dyDescent="0.15">
      <c r="A31" s="28">
        <v>38622</v>
      </c>
      <c r="B31" s="7">
        <f>'[11]Sep Prod'!I30</f>
        <v>16500000</v>
      </c>
      <c r="C31" s="8">
        <f t="shared" si="0"/>
        <v>16.5</v>
      </c>
      <c r="D31" s="10">
        <f t="shared" si="1"/>
        <v>50.654999999999994</v>
      </c>
      <c r="E31" s="7">
        <f>'[11]Sep Prod'!E30</f>
        <v>18000000</v>
      </c>
      <c r="F31" s="8">
        <f t="shared" si="2"/>
        <v>18</v>
      </c>
      <c r="G31" s="10">
        <f t="shared" si="3"/>
        <v>55.26</v>
      </c>
      <c r="H31" s="7">
        <f>'[11]Sep Prod'!F30</f>
        <v>0</v>
      </c>
      <c r="I31" s="8">
        <f t="shared" si="4"/>
        <v>0</v>
      </c>
      <c r="J31" s="10">
        <f t="shared" si="5"/>
        <v>0</v>
      </c>
      <c r="K31" s="7">
        <f>'[11]Sep Prod'!H278</f>
        <v>1016228</v>
      </c>
      <c r="L31" s="8">
        <f t="shared" si="6"/>
        <v>1.0162279999999999</v>
      </c>
      <c r="M31" s="10">
        <f t="shared" si="7"/>
        <v>3.1198199599999996</v>
      </c>
      <c r="N31" s="21"/>
      <c r="O31" s="7">
        <f>'[11]Sep Prod'!H30</f>
        <v>9484999.9999999907</v>
      </c>
      <c r="P31" s="8">
        <f t="shared" si="8"/>
        <v>9.4849999999999905</v>
      </c>
      <c r="Q31" s="10">
        <f t="shared" si="9"/>
        <v>29.11894999999997</v>
      </c>
      <c r="R31" s="7">
        <f>'[11]Sep Prod'!C30</f>
        <v>9829000</v>
      </c>
      <c r="S31" s="8">
        <f t="shared" si="10"/>
        <v>9.8290000000000006</v>
      </c>
      <c r="T31" s="10">
        <f t="shared" si="11"/>
        <v>30.17503</v>
      </c>
      <c r="U31" s="7">
        <f>'[11]Sep Prod'!D30</f>
        <v>0</v>
      </c>
      <c r="V31" s="8">
        <f t="shared" si="12"/>
        <v>0</v>
      </c>
      <c r="W31" s="10">
        <f t="shared" si="13"/>
        <v>0</v>
      </c>
      <c r="X31" s="7">
        <f>'[11]Sep Prod'!D278</f>
        <v>344000.00000000832</v>
      </c>
      <c r="Y31" s="8">
        <f t="shared" si="14"/>
        <v>0.3440000000000083</v>
      </c>
      <c r="Z31" s="10">
        <f t="shared" si="15"/>
        <v>1.0560800000000254</v>
      </c>
      <c r="AA31" s="15"/>
      <c r="AB31" s="7">
        <f t="shared" si="16"/>
        <v>25984999.999999993</v>
      </c>
      <c r="AC31" s="8">
        <f t="shared" si="16"/>
        <v>25.984999999999992</v>
      </c>
      <c r="AD31" s="8">
        <f t="shared" si="16"/>
        <v>79.773949999999957</v>
      </c>
      <c r="AF31" s="8">
        <f>T31-Q31-Z31</f>
        <v>4.4408920985006262E-15</v>
      </c>
    </row>
    <row r="32" spans="1:32" x14ac:dyDescent="0.15">
      <c r="A32" s="28">
        <v>38623</v>
      </c>
      <c r="B32" s="7">
        <f>'[11]Sep Prod'!I31</f>
        <v>20199999.999998908</v>
      </c>
      <c r="C32" s="8">
        <f t="shared" si="0"/>
        <v>20.199999999998909</v>
      </c>
      <c r="D32" s="10">
        <f t="shared" si="1"/>
        <v>62.013999999996649</v>
      </c>
      <c r="E32" s="7">
        <f>'[11]Sep Prod'!E31</f>
        <v>21000000</v>
      </c>
      <c r="F32" s="8">
        <f t="shared" si="2"/>
        <v>21</v>
      </c>
      <c r="G32" s="10">
        <f t="shared" si="3"/>
        <v>64.47</v>
      </c>
      <c r="H32" s="7">
        <f>'[11]Sep Prod'!F31</f>
        <v>0</v>
      </c>
      <c r="I32" s="8">
        <f t="shared" si="4"/>
        <v>0</v>
      </c>
      <c r="J32" s="10">
        <f t="shared" si="5"/>
        <v>0</v>
      </c>
      <c r="K32" s="7">
        <f>'[11]Sep Prod'!H279</f>
        <v>1176881</v>
      </c>
      <c r="L32" s="8">
        <f t="shared" si="6"/>
        <v>1.1768810000000001</v>
      </c>
      <c r="M32" s="10">
        <f t="shared" si="7"/>
        <v>3.6130246700000002</v>
      </c>
      <c r="N32" s="21"/>
      <c r="O32" s="7">
        <f>'[11]Sep Prod'!H31</f>
        <v>10617000.000000006</v>
      </c>
      <c r="P32" s="8">
        <f t="shared" si="8"/>
        <v>10.617000000000006</v>
      </c>
      <c r="Q32" s="10">
        <f>P32*3.07</f>
        <v>32.594190000000019</v>
      </c>
      <c r="R32" s="7">
        <f>'[11]Sep Prod'!C31</f>
        <v>10958000</v>
      </c>
      <c r="S32" s="8">
        <f t="shared" si="10"/>
        <v>10.958</v>
      </c>
      <c r="T32" s="10">
        <f t="shared" si="11"/>
        <v>33.641059999999996</v>
      </c>
      <c r="U32" s="7">
        <f>'[11]Sep Prod'!D31</f>
        <v>0</v>
      </c>
      <c r="V32" s="8">
        <f t="shared" si="12"/>
        <v>0</v>
      </c>
      <c r="W32" s="10">
        <f t="shared" si="13"/>
        <v>0</v>
      </c>
      <c r="X32" s="7">
        <f>'[11]Sep Prod'!D279</f>
        <v>340999.99999999395</v>
      </c>
      <c r="Y32" s="8">
        <f t="shared" si="14"/>
        <v>0.34099999999999392</v>
      </c>
      <c r="Z32" s="10">
        <f t="shared" si="15"/>
        <v>1.0468699999999813</v>
      </c>
      <c r="AA32" s="15"/>
      <c r="AB32" s="7">
        <f t="shared" si="16"/>
        <v>30816999.999998912</v>
      </c>
      <c r="AC32" s="8">
        <f t="shared" si="16"/>
        <v>30.816999999998913</v>
      </c>
      <c r="AD32" s="8">
        <f t="shared" si="16"/>
        <v>94.608189999996668</v>
      </c>
      <c r="AF32" s="8">
        <f t="shared" si="18"/>
        <v>-4.2188474935755949E-15</v>
      </c>
    </row>
    <row r="33" spans="1:32" x14ac:dyDescent="0.15">
      <c r="A33" s="28">
        <v>38624</v>
      </c>
      <c r="B33" s="7">
        <f>'[11]Sep Prod'!I32</f>
        <v>20000000</v>
      </c>
      <c r="C33" s="8">
        <f t="shared" si="0"/>
        <v>20</v>
      </c>
      <c r="D33" s="10">
        <f t="shared" si="1"/>
        <v>61.4</v>
      </c>
      <c r="E33" s="7">
        <f>'[11]Sep Prod'!E32</f>
        <v>22000000</v>
      </c>
      <c r="F33" s="8">
        <f t="shared" si="2"/>
        <v>22</v>
      </c>
      <c r="G33" s="10">
        <f t="shared" si="3"/>
        <v>67.539999999999992</v>
      </c>
      <c r="H33" s="7">
        <f>'[11]Sep Prod'!F32</f>
        <v>0</v>
      </c>
      <c r="I33" s="8">
        <f t="shared" si="4"/>
        <v>0</v>
      </c>
      <c r="J33" s="10">
        <f t="shared" si="5"/>
        <v>0</v>
      </c>
      <c r="K33" s="7">
        <f>'[11]Sep Prod'!H280</f>
        <v>1195197</v>
      </c>
      <c r="L33" s="8">
        <f t="shared" si="6"/>
        <v>1.1951970000000001</v>
      </c>
      <c r="M33" s="10">
        <f t="shared" si="7"/>
        <v>3.6692547900000001</v>
      </c>
      <c r="N33" s="21"/>
      <c r="O33" s="7">
        <f>'[11]Sep Prod'!H32</f>
        <v>4390000.0000000056</v>
      </c>
      <c r="P33" s="8">
        <f t="shared" si="8"/>
        <v>4.3900000000000059</v>
      </c>
      <c r="Q33" s="10">
        <f t="shared" si="9"/>
        <v>13.477300000000017</v>
      </c>
      <c r="R33" s="7">
        <f>'[11]Sep Prod'!C32</f>
        <v>4616000</v>
      </c>
      <c r="S33" s="8">
        <f t="shared" si="10"/>
        <v>4.6159999999999997</v>
      </c>
      <c r="T33" s="10">
        <f t="shared" si="11"/>
        <v>14.171119999999998</v>
      </c>
      <c r="U33" s="7">
        <f>'[11]Sep Prod'!D32</f>
        <v>2000</v>
      </c>
      <c r="V33" s="8">
        <f t="shared" si="12"/>
        <v>2E-3</v>
      </c>
      <c r="W33" s="10">
        <f t="shared" si="13"/>
        <v>6.1399999999999996E-3</v>
      </c>
      <c r="X33" s="7">
        <f>'[11]Sep Prod'!D280</f>
        <v>227999.99999999444</v>
      </c>
      <c r="Y33" s="8">
        <f t="shared" si="14"/>
        <v>0.22799999999999443</v>
      </c>
      <c r="Z33" s="10">
        <f t="shared" si="15"/>
        <v>0.69995999999998282</v>
      </c>
      <c r="AA33" s="15"/>
      <c r="AB33" s="7">
        <f t="shared" si="16"/>
        <v>24390000.000000007</v>
      </c>
      <c r="AC33" s="8">
        <f t="shared" si="16"/>
        <v>24.390000000000008</v>
      </c>
      <c r="AD33" s="8">
        <f t="shared" si="16"/>
        <v>74.87730000000002</v>
      </c>
      <c r="AF33" s="8">
        <f t="shared" si="18"/>
        <v>-6.1400000000018107E-3</v>
      </c>
    </row>
    <row r="34" spans="1:32" ht="14" thickBot="1" x14ac:dyDescent="0.2">
      <c r="A34" s="28">
        <v>38625</v>
      </c>
      <c r="B34" s="7">
        <f>'[11]Sep Prod'!I33</f>
        <v>22400000.000001457</v>
      </c>
      <c r="C34" s="8">
        <f>B34/1000000</f>
        <v>22.400000000001455</v>
      </c>
      <c r="D34" s="10">
        <f t="shared" si="1"/>
        <v>68.768000000004463</v>
      </c>
      <c r="E34" s="7">
        <f>'[11]Sep Prod'!E33</f>
        <v>23000000</v>
      </c>
      <c r="F34" s="8">
        <f t="shared" si="2"/>
        <v>23</v>
      </c>
      <c r="G34" s="10">
        <f t="shared" si="3"/>
        <v>70.61</v>
      </c>
      <c r="H34" s="7">
        <f>'[11]Sep Prod'!F33</f>
        <v>0</v>
      </c>
      <c r="I34" s="8">
        <f t="shared" si="4"/>
        <v>0</v>
      </c>
      <c r="J34" s="10">
        <f t="shared" si="5"/>
        <v>0</v>
      </c>
      <c r="K34" s="7">
        <f>'[11]Sep Prod'!H281</f>
        <v>1245000</v>
      </c>
      <c r="L34" s="8">
        <f t="shared" si="6"/>
        <v>1.2450000000000001</v>
      </c>
      <c r="M34" s="10">
        <f t="shared" si="7"/>
        <v>3.8221500000000002</v>
      </c>
      <c r="N34" s="21"/>
      <c r="O34" s="7">
        <f>'[11]Sep Prod'!H33</f>
        <v>5802999.9999999888</v>
      </c>
      <c r="P34" s="8">
        <f t="shared" si="8"/>
        <v>5.8029999999999884</v>
      </c>
      <c r="Q34" s="10">
        <f t="shared" si="9"/>
        <v>17.815209999999965</v>
      </c>
      <c r="R34" s="7">
        <f>'[11]Sep Prod'!C33</f>
        <v>6100000</v>
      </c>
      <c r="S34" s="8">
        <f t="shared" si="10"/>
        <v>6.1</v>
      </c>
      <c r="T34" s="10">
        <f t="shared" si="11"/>
        <v>18.726999999999997</v>
      </c>
      <c r="U34" s="7">
        <f>'[11]Sep Prod'!D33</f>
        <v>0</v>
      </c>
      <c r="V34" s="8">
        <f t="shared" si="12"/>
        <v>0</v>
      </c>
      <c r="W34" s="10">
        <f t="shared" si="13"/>
        <v>0</v>
      </c>
      <c r="X34" s="7">
        <f>'[11]Sep Prod'!D281</f>
        <v>297000.00000001123</v>
      </c>
      <c r="Y34" s="8">
        <f t="shared" si="14"/>
        <v>0.29700000000001125</v>
      </c>
      <c r="Z34" s="10">
        <f t="shared" si="15"/>
        <v>0.91179000000003452</v>
      </c>
      <c r="AA34" s="15"/>
      <c r="AB34" s="7">
        <f t="shared" si="16"/>
        <v>28203000.000001445</v>
      </c>
      <c r="AC34" s="8">
        <f t="shared" si="16"/>
        <v>28.203000000001445</v>
      </c>
      <c r="AD34" s="8">
        <f t="shared" si="16"/>
        <v>86.583210000004428</v>
      </c>
      <c r="AF34" s="8">
        <f t="shared" si="18"/>
        <v>-2.6645352591003757E-15</v>
      </c>
    </row>
    <row r="35" spans="1:32" ht="14" thickBot="1" x14ac:dyDescent="0.2">
      <c r="A35" s="3"/>
      <c r="B35" s="39">
        <f t="shared" ref="B35:I35" si="19">SUM(B5:B34)</f>
        <v>561400000.00000143</v>
      </c>
      <c r="C35" s="40">
        <f t="shared" si="19"/>
        <v>561.40000000000146</v>
      </c>
      <c r="D35" s="40">
        <f t="shared" si="19"/>
        <v>1723.4980000000046</v>
      </c>
      <c r="E35" s="39">
        <f t="shared" si="19"/>
        <v>585000000</v>
      </c>
      <c r="F35" s="40">
        <f t="shared" si="19"/>
        <v>585</v>
      </c>
      <c r="G35" s="40">
        <f t="shared" si="19"/>
        <v>1795.9499999999996</v>
      </c>
      <c r="H35" s="39">
        <f t="shared" si="19"/>
        <v>14000000</v>
      </c>
      <c r="I35" s="40">
        <f t="shared" si="19"/>
        <v>14</v>
      </c>
      <c r="J35" s="40">
        <f t="shared" si="5"/>
        <v>42.98</v>
      </c>
      <c r="K35" s="39">
        <f>SUM(K5:K34)</f>
        <v>35260509</v>
      </c>
      <c r="L35" s="40">
        <f>SUM(L5:L34)</f>
        <v>35.260509000000006</v>
      </c>
      <c r="M35" s="40">
        <f t="shared" si="7"/>
        <v>108.24976263000001</v>
      </c>
      <c r="N35" s="14"/>
      <c r="O35" s="39">
        <f>SUM(O5:O34)</f>
        <v>287084000.00000006</v>
      </c>
      <c r="P35" s="40">
        <f>SUM(P5:P34)</f>
        <v>287.084</v>
      </c>
      <c r="Q35" s="40">
        <f t="shared" si="9"/>
        <v>881.34787999999992</v>
      </c>
      <c r="R35" s="39"/>
      <c r="S35" s="40">
        <f>SUM(S5:S34)</f>
        <v>294.88700000000006</v>
      </c>
      <c r="T35" s="40">
        <f t="shared" si="11"/>
        <v>905.30309000000011</v>
      </c>
      <c r="U35" s="39">
        <f>SUM(U5:U34)</f>
        <v>22381000</v>
      </c>
      <c r="V35" s="40">
        <f>SUM(V5:V34)</f>
        <v>22.381000000000004</v>
      </c>
      <c r="W35" s="40">
        <f t="shared" si="13"/>
        <v>68.709670000000003</v>
      </c>
      <c r="X35" s="39"/>
      <c r="Y35" s="40">
        <f>SUM(Y5:Y34)</f>
        <v>9.0480000000000018</v>
      </c>
      <c r="Z35" s="40">
        <f t="shared" si="15"/>
        <v>27.777360000000005</v>
      </c>
      <c r="AA35" s="14"/>
      <c r="AB35" s="39">
        <f>B35+O35</f>
        <v>848484000.00000143</v>
      </c>
      <c r="AC35" s="40">
        <f t="shared" si="16"/>
        <v>848.48400000000152</v>
      </c>
      <c r="AD35" s="40">
        <f t="shared" si="16"/>
        <v>2604.8458800000044</v>
      </c>
      <c r="AF35" s="8">
        <f t="shared" si="18"/>
        <v>-3.8221499999998123</v>
      </c>
    </row>
    <row r="36" spans="1:32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1"/>
      <c r="AC36" s="31"/>
      <c r="AD36" s="23"/>
      <c r="AF36" s="31"/>
    </row>
    <row r="37" spans="1:32" x14ac:dyDescent="0.15">
      <c r="Q37" s="18"/>
    </row>
    <row r="38" spans="1:32" x14ac:dyDescent="0.15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92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F37"/>
  <sheetViews>
    <sheetView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T35" sqref="T29:T35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1.6640625" customWidth="1"/>
    <col min="11" max="11" width="15.5" customWidth="1"/>
    <col min="12" max="12" width="10.6640625" customWidth="1"/>
    <col min="13" max="13" width="12.1640625" customWidth="1"/>
    <col min="15" max="15" width="11" customWidth="1"/>
    <col min="18" max="18" width="10.6640625" customWidth="1"/>
    <col min="22" max="22" width="10.6640625" customWidth="1"/>
    <col min="28" max="28" width="13.5" customWidth="1"/>
  </cols>
  <sheetData>
    <row r="1" spans="1:32" x14ac:dyDescent="0.15">
      <c r="A1" s="25"/>
      <c r="B1" s="42"/>
      <c r="C1" s="43"/>
      <c r="D1" s="43"/>
      <c r="E1" s="26"/>
      <c r="F1" s="44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49" t="s">
        <v>10</v>
      </c>
      <c r="C3" s="50"/>
      <c r="D3" s="51"/>
      <c r="E3" s="49" t="s">
        <v>11</v>
      </c>
      <c r="F3" s="50"/>
      <c r="G3" s="51"/>
      <c r="H3" s="49" t="s">
        <v>12</v>
      </c>
      <c r="I3" s="50"/>
      <c r="J3" s="51"/>
      <c r="K3" s="49" t="s">
        <v>13</v>
      </c>
      <c r="L3" s="50"/>
      <c r="M3" s="51"/>
      <c r="N3" s="19"/>
      <c r="O3" s="49" t="s">
        <v>4</v>
      </c>
      <c r="P3" s="50"/>
      <c r="Q3" s="51"/>
      <c r="R3" s="49" t="s">
        <v>3</v>
      </c>
      <c r="S3" s="50"/>
      <c r="T3" s="51"/>
      <c r="U3" s="49" t="s">
        <v>6</v>
      </c>
      <c r="V3" s="50"/>
      <c r="W3" s="51"/>
      <c r="X3" s="49" t="s">
        <v>7</v>
      </c>
      <c r="Y3" s="50"/>
      <c r="Z3" s="51"/>
      <c r="AA3" s="19"/>
      <c r="AB3" s="46" t="s">
        <v>8</v>
      </c>
      <c r="AC3" s="47"/>
      <c r="AD3" s="48"/>
      <c r="AF3" s="35" t="s">
        <v>9</v>
      </c>
    </row>
    <row r="4" spans="1:32" x14ac:dyDescent="0.15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15">
      <c r="A5" s="28">
        <v>38626</v>
      </c>
      <c r="B5" s="7">
        <f>'[12]Oct Prod'!I4</f>
        <v>19800000.000001092</v>
      </c>
      <c r="C5" s="8">
        <f>B5/1000000</f>
        <v>19.800000000001091</v>
      </c>
      <c r="D5" s="10">
        <f>C5*3.07</f>
        <v>60.786000000003348</v>
      </c>
      <c r="E5" s="7">
        <f>'[12]Oct Prod'!E4</f>
        <v>23000000</v>
      </c>
      <c r="F5" s="8">
        <f>E5/1000000</f>
        <v>23</v>
      </c>
      <c r="G5" s="10">
        <f>F5*3.07</f>
        <v>70.61</v>
      </c>
      <c r="H5" s="7">
        <f>'[12]Oct Prod'!F4</f>
        <v>0</v>
      </c>
      <c r="I5" s="8">
        <f>H5/1000000</f>
        <v>0</v>
      </c>
      <c r="J5" s="10">
        <f>I5*3.07</f>
        <v>0</v>
      </c>
      <c r="K5" s="7">
        <f>'[12]Oct Prod'!H259</f>
        <v>1138142</v>
      </c>
      <c r="L5" s="8">
        <f>K5/1000000</f>
        <v>1.138142</v>
      </c>
      <c r="M5" s="10">
        <f>L5*3.07</f>
        <v>3.4940959399999998</v>
      </c>
      <c r="N5" s="21"/>
      <c r="O5" s="7">
        <f>'[12]Oct Prod'!H4</f>
        <v>9446999.9999999981</v>
      </c>
      <c r="P5" s="8">
        <f>O5/1000000</f>
        <v>9.4469999999999974</v>
      </c>
      <c r="Q5" s="10">
        <f>P5*3.07</f>
        <v>29.002289999999991</v>
      </c>
      <c r="R5" s="7">
        <f>'[12]Oct Prod'!C4</f>
        <v>9739000</v>
      </c>
      <c r="S5" s="8">
        <f>R5/1000000</f>
        <v>9.7390000000000008</v>
      </c>
      <c r="T5" s="10">
        <f>S5*3.07</f>
        <v>29.89873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292000.00000000157</v>
      </c>
      <c r="Y5" s="8">
        <f>X5/1000000</f>
        <v>0.29200000000000159</v>
      </c>
      <c r="Z5" s="10">
        <f>Y5*3.07</f>
        <v>0.89644000000000479</v>
      </c>
      <c r="AA5" s="15"/>
      <c r="AB5" s="7">
        <f>B5+O5</f>
        <v>29247000.000001088</v>
      </c>
      <c r="AC5" s="8">
        <f>C5+P5</f>
        <v>29.247000000001087</v>
      </c>
      <c r="AD5" s="8">
        <f>D5+Q5</f>
        <v>89.788290000003343</v>
      </c>
      <c r="AF5" s="8">
        <f>T5-Q5-Z5</f>
        <v>4.2188474935755949E-15</v>
      </c>
    </row>
    <row r="6" spans="1:32" x14ac:dyDescent="0.15">
      <c r="A6" s="28">
        <v>38627</v>
      </c>
      <c r="B6" s="7">
        <f>'[12]Oct Prod'!I5</f>
        <v>20000000</v>
      </c>
      <c r="C6" s="8">
        <f t="shared" ref="C6:C35" si="0">B6/1000000</f>
        <v>20</v>
      </c>
      <c r="D6" s="10">
        <f t="shared" ref="D6:D35" si="1">C6*3.07</f>
        <v>61.4</v>
      </c>
      <c r="E6" s="7">
        <f>'[12]Oct Prod'!E5</f>
        <v>18000000</v>
      </c>
      <c r="F6" s="8">
        <f t="shared" ref="F6:F35" si="2">E6/1000000</f>
        <v>18</v>
      </c>
      <c r="G6" s="10">
        <f t="shared" ref="G6:G35" si="3">F6*3.07</f>
        <v>55.26</v>
      </c>
      <c r="H6" s="7">
        <f>'[12]Oct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'[12]Oct Prod'!H260</f>
        <v>1120738</v>
      </c>
      <c r="L6" s="8">
        <f t="shared" ref="L6:L35" si="6">K6/1000000</f>
        <v>1.120738</v>
      </c>
      <c r="M6" s="10">
        <f t="shared" ref="M6:M35" si="7">L6*3.07</f>
        <v>3.4406656600000001</v>
      </c>
      <c r="N6" s="21"/>
      <c r="O6" s="7">
        <f>'[12]Oct Prod'!H5</f>
        <v>9259000.0000000075</v>
      </c>
      <c r="P6" s="8">
        <f t="shared" ref="P6:P35" si="8">O6/1000000</f>
        <v>9.2590000000000074</v>
      </c>
      <c r="Q6" s="10">
        <f t="shared" ref="Q6:Q35" si="9">P6*3.07</f>
        <v>28.425130000000021</v>
      </c>
      <c r="R6" s="7">
        <f>'[12]Oct Prod'!C5</f>
        <v>9591000</v>
      </c>
      <c r="S6" s="8">
        <f t="shared" ref="S6:S35" si="10">R6/1000000</f>
        <v>9.5909999999999993</v>
      </c>
      <c r="T6" s="10">
        <f t="shared" ref="T6:T35" si="11">S6*3.07</f>
        <v>29.444369999999996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331999.99999999366</v>
      </c>
      <c r="Y6" s="8">
        <f t="shared" ref="Y6:Y35" si="14">X6/1000000</f>
        <v>0.33199999999999363</v>
      </c>
      <c r="Z6" s="10">
        <f t="shared" ref="Z6:Z35" si="15">Y6*3.07</f>
        <v>1.0192399999999804</v>
      </c>
      <c r="AA6" s="15"/>
      <c r="AB6" s="7">
        <f t="shared" ref="AB6:AD35" si="16">B6+O6</f>
        <v>29259000.000000007</v>
      </c>
      <c r="AC6" s="8">
        <f t="shared" si="16"/>
        <v>29.259000000000007</v>
      </c>
      <c r="AD6" s="8">
        <f t="shared" si="16"/>
        <v>89.825130000000016</v>
      </c>
      <c r="AF6" s="8">
        <f>T6-Q6-Z6</f>
        <v>-5.3290705182007514E-15</v>
      </c>
    </row>
    <row r="7" spans="1:32" x14ac:dyDescent="0.15">
      <c r="A7" s="28">
        <v>38628</v>
      </c>
      <c r="B7" s="7">
        <f>'[12]Oct Prod'!I6</f>
        <v>19100000.000000365</v>
      </c>
      <c r="C7" s="8">
        <f t="shared" si="0"/>
        <v>19.100000000000364</v>
      </c>
      <c r="D7" s="10">
        <f t="shared" si="1"/>
        <v>58.637000000001116</v>
      </c>
      <c r="E7" s="7">
        <f>'[12]Oct Prod'!E6</f>
        <v>20000000</v>
      </c>
      <c r="F7" s="8">
        <f t="shared" si="2"/>
        <v>20</v>
      </c>
      <c r="G7" s="10">
        <f t="shared" si="3"/>
        <v>61.4</v>
      </c>
      <c r="H7" s="7">
        <f>'[12]Oct Prod'!F6</f>
        <v>0</v>
      </c>
      <c r="I7" s="8">
        <f t="shared" si="4"/>
        <v>0</v>
      </c>
      <c r="J7" s="10">
        <f t="shared" si="5"/>
        <v>0</v>
      </c>
      <c r="K7" s="7">
        <f>'[12]Oct Prod'!H261</f>
        <v>1106817</v>
      </c>
      <c r="L7" s="8">
        <f t="shared" si="6"/>
        <v>1.1068169999999999</v>
      </c>
      <c r="M7" s="10">
        <f t="shared" si="7"/>
        <v>3.3979281899999996</v>
      </c>
      <c r="N7" s="21"/>
      <c r="O7" s="7">
        <f>'[12]Oct Prod'!H6</f>
        <v>8825000.0000000037</v>
      </c>
      <c r="P7" s="8">
        <f t="shared" si="8"/>
        <v>8.8250000000000028</v>
      </c>
      <c r="Q7" s="10">
        <f t="shared" si="9"/>
        <v>27.092750000000006</v>
      </c>
      <c r="R7" s="7">
        <f>'[12]Oct Prod'!C6</f>
        <v>9226000</v>
      </c>
      <c r="S7" s="8">
        <f t="shared" si="10"/>
        <v>9.2260000000000009</v>
      </c>
      <c r="T7" s="10">
        <f t="shared" si="11"/>
        <v>28.323820000000001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400999.99999999627</v>
      </c>
      <c r="Y7" s="8">
        <f t="shared" si="14"/>
        <v>0.40099999999999625</v>
      </c>
      <c r="Z7" s="10">
        <f t="shared" si="15"/>
        <v>1.2310699999999883</v>
      </c>
      <c r="AA7" s="15"/>
      <c r="AB7" s="7">
        <f t="shared" si="16"/>
        <v>27925000.000000369</v>
      </c>
      <c r="AC7" s="8">
        <f t="shared" si="16"/>
        <v>27.925000000000367</v>
      </c>
      <c r="AD7" s="8">
        <f t="shared" si="16"/>
        <v>85.729750000001118</v>
      </c>
      <c r="AF7" s="8">
        <f t="shared" ref="AF7:AF14" si="17">T7-Q7-Z7</f>
        <v>7.1054273576010019E-15</v>
      </c>
    </row>
    <row r="8" spans="1:32" x14ac:dyDescent="0.15">
      <c r="A8" s="28">
        <v>38629</v>
      </c>
      <c r="B8" s="7">
        <f>'[12]Oct Prod'!I7</f>
        <v>15899999.999999637</v>
      </c>
      <c r="C8" s="8">
        <f t="shared" si="0"/>
        <v>15.899999999999636</v>
      </c>
      <c r="D8" s="10">
        <f t="shared" si="1"/>
        <v>48.81299999999888</v>
      </c>
      <c r="E8" s="7">
        <f>'[12]Oct Prod'!E7</f>
        <v>18000000</v>
      </c>
      <c r="F8" s="8">
        <f t="shared" si="2"/>
        <v>18</v>
      </c>
      <c r="G8" s="10">
        <f t="shared" si="3"/>
        <v>55.26</v>
      </c>
      <c r="H8" s="7">
        <f>'[12]Oct Prod'!F7</f>
        <v>0</v>
      </c>
      <c r="I8" s="8">
        <f t="shared" si="4"/>
        <v>0</v>
      </c>
      <c r="J8" s="10">
        <f t="shared" si="5"/>
        <v>0</v>
      </c>
      <c r="K8" s="7">
        <f>'[12]Oct Prod'!H262</f>
        <v>1089839</v>
      </c>
      <c r="L8" s="8">
        <f t="shared" si="6"/>
        <v>1.089839</v>
      </c>
      <c r="M8" s="10">
        <f t="shared" si="7"/>
        <v>3.3458057299999999</v>
      </c>
      <c r="N8" s="21"/>
      <c r="O8" s="7">
        <f>'[12]Oct Prod'!H7</f>
        <v>8612999.9999999925</v>
      </c>
      <c r="P8" s="8">
        <f t="shared" si="8"/>
        <v>8.6129999999999924</v>
      </c>
      <c r="Q8" s="10">
        <f t="shared" si="9"/>
        <v>26.441909999999975</v>
      </c>
      <c r="R8" s="7">
        <f>'[12]Oct Prod'!C7</f>
        <v>8947000</v>
      </c>
      <c r="S8" s="8">
        <f t="shared" si="10"/>
        <v>8.9469999999999992</v>
      </c>
      <c r="T8" s="10">
        <f t="shared" si="11"/>
        <v>27.467289999999995</v>
      </c>
      <c r="U8" s="7">
        <f>'[12]Oct Prod'!D7</f>
        <v>1000</v>
      </c>
      <c r="V8" s="8">
        <f t="shared" si="12"/>
        <v>1E-3</v>
      </c>
      <c r="W8" s="10">
        <f t="shared" si="13"/>
        <v>3.0699999999999998E-3</v>
      </c>
      <c r="X8" s="7">
        <f>'[12]Oct Prod'!D262</f>
        <v>335000.00000000797</v>
      </c>
      <c r="Y8" s="8">
        <f t="shared" si="14"/>
        <v>0.33500000000000796</v>
      </c>
      <c r="Z8" s="10">
        <f t="shared" si="15"/>
        <v>1.0284500000000243</v>
      </c>
      <c r="AA8" s="15"/>
      <c r="AB8" s="7">
        <f t="shared" si="16"/>
        <v>24512999.999999627</v>
      </c>
      <c r="AC8" s="8">
        <f t="shared" si="16"/>
        <v>24.512999999999629</v>
      </c>
      <c r="AD8" s="8">
        <f>D8+Q8</f>
        <v>75.254909999998858</v>
      </c>
      <c r="AF8" s="8">
        <f t="shared" si="17"/>
        <v>-3.0700000000045691E-3</v>
      </c>
    </row>
    <row r="9" spans="1:32" x14ac:dyDescent="0.15">
      <c r="A9" s="28">
        <v>38630</v>
      </c>
      <c r="B9" s="7">
        <f>'[12]Oct Prod'!I8</f>
        <v>17600000.000000365</v>
      </c>
      <c r="C9" s="8">
        <f t="shared" si="0"/>
        <v>17.600000000000364</v>
      </c>
      <c r="D9" s="10">
        <f t="shared" si="1"/>
        <v>54.032000000001112</v>
      </c>
      <c r="E9" s="7">
        <f>'[12]Oct Prod'!E8</f>
        <v>18000000</v>
      </c>
      <c r="F9" s="8">
        <f t="shared" si="2"/>
        <v>18</v>
      </c>
      <c r="G9" s="10">
        <f t="shared" si="3"/>
        <v>55.26</v>
      </c>
      <c r="H9" s="7">
        <f>'[12]Oct Prod'!F8</f>
        <v>0</v>
      </c>
      <c r="I9" s="8">
        <f t="shared" si="4"/>
        <v>0</v>
      </c>
      <c r="J9" s="10">
        <f t="shared" si="5"/>
        <v>0</v>
      </c>
      <c r="K9" s="7">
        <f>'[12]Oct Prod'!H263</f>
        <v>1023450</v>
      </c>
      <c r="L9" s="8">
        <f t="shared" si="6"/>
        <v>1.02345</v>
      </c>
      <c r="M9" s="10">
        <f t="shared" si="7"/>
        <v>3.1419914999999996</v>
      </c>
      <c r="N9" s="21"/>
      <c r="O9" s="7">
        <f>'[12]Oct Prod'!H8</f>
        <v>9080000.0000000037</v>
      </c>
      <c r="P9" s="8">
        <f t="shared" si="8"/>
        <v>9.0800000000000036</v>
      </c>
      <c r="Q9" s="10">
        <f t="shared" si="9"/>
        <v>27.875600000000009</v>
      </c>
      <c r="R9" s="7">
        <f>'[12]Oct Prod'!C8</f>
        <v>9359000</v>
      </c>
      <c r="S9" s="8">
        <f t="shared" si="10"/>
        <v>9.359</v>
      </c>
      <c r="T9" s="10">
        <f t="shared" si="11"/>
        <v>28.732129999999998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278999.99999999639</v>
      </c>
      <c r="Y9" s="8">
        <f t="shared" si="14"/>
        <v>0.27899999999999642</v>
      </c>
      <c r="Z9" s="10">
        <f t="shared" si="15"/>
        <v>0.85652999999998891</v>
      </c>
      <c r="AA9" s="15"/>
      <c r="AB9" s="7">
        <f t="shared" si="16"/>
        <v>26680000.000000369</v>
      </c>
      <c r="AC9" s="8">
        <f t="shared" si="16"/>
        <v>26.680000000000369</v>
      </c>
      <c r="AD9" s="8">
        <f t="shared" si="16"/>
        <v>81.907600000001125</v>
      </c>
      <c r="AF9" s="8">
        <f t="shared" si="17"/>
        <v>0</v>
      </c>
    </row>
    <row r="10" spans="1:32" x14ac:dyDescent="0.15">
      <c r="A10" s="28">
        <v>38631</v>
      </c>
      <c r="B10" s="7">
        <f>'[12]Oct Prod'!I9</f>
        <v>15700000.000000728</v>
      </c>
      <c r="C10" s="8">
        <f t="shared" si="0"/>
        <v>15.700000000000728</v>
      </c>
      <c r="D10" s="10">
        <f t="shared" si="1"/>
        <v>48.199000000002229</v>
      </c>
      <c r="E10" s="7">
        <f>'[12]Oct Prod'!E9</f>
        <v>18000000</v>
      </c>
      <c r="F10" s="8">
        <f t="shared" si="2"/>
        <v>18</v>
      </c>
      <c r="G10" s="10">
        <f t="shared" si="3"/>
        <v>55.26</v>
      </c>
      <c r="H10" s="7">
        <f>'[12]Oct Prod'!F9</f>
        <v>0</v>
      </c>
      <c r="I10" s="8">
        <f t="shared" si="4"/>
        <v>0</v>
      </c>
      <c r="J10" s="10">
        <f t="shared" si="5"/>
        <v>0</v>
      </c>
      <c r="K10" s="7">
        <f>'[12]Oct Prod'!H264</f>
        <v>985275</v>
      </c>
      <c r="L10" s="8">
        <f t="shared" si="6"/>
        <v>0.98527500000000001</v>
      </c>
      <c r="M10" s="10">
        <f t="shared" si="7"/>
        <v>3.0247942499999998</v>
      </c>
      <c r="N10" s="21"/>
      <c r="O10" s="7">
        <f>'[12]Oct Prod'!H9</f>
        <v>8369999.9999999963</v>
      </c>
      <c r="P10" s="8">
        <f t="shared" si="8"/>
        <v>8.3699999999999957</v>
      </c>
      <c r="Q10" s="10">
        <f t="shared" si="9"/>
        <v>25.695899999999984</v>
      </c>
      <c r="R10" s="7">
        <f>'[12]Oct Prod'!C9</f>
        <v>8713000</v>
      </c>
      <c r="S10" s="8">
        <f t="shared" si="10"/>
        <v>8.7129999999999992</v>
      </c>
      <c r="T10" s="10">
        <f t="shared" si="11"/>
        <v>26.748909999999995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343000.00000000355</v>
      </c>
      <c r="Y10" s="8">
        <f t="shared" si="14"/>
        <v>0.34300000000000352</v>
      </c>
      <c r="Z10" s="10">
        <f t="shared" si="15"/>
        <v>1.0530100000000107</v>
      </c>
      <c r="AA10" s="15"/>
      <c r="AB10" s="7">
        <f t="shared" si="16"/>
        <v>24070000.000000723</v>
      </c>
      <c r="AC10" s="8">
        <f t="shared" si="16"/>
        <v>24.070000000000725</v>
      </c>
      <c r="AD10" s="8">
        <f t="shared" si="16"/>
        <v>73.89490000000221</v>
      </c>
      <c r="AF10" s="8">
        <f t="shared" si="17"/>
        <v>0</v>
      </c>
    </row>
    <row r="11" spans="1:32" x14ac:dyDescent="0.15">
      <c r="A11" s="28">
        <v>38632</v>
      </c>
      <c r="B11" s="7">
        <f>'[12]Oct Prod'!I10</f>
        <v>15299999.999999272</v>
      </c>
      <c r="C11" s="8">
        <f t="shared" si="0"/>
        <v>15.299999999999272</v>
      </c>
      <c r="D11" s="10">
        <f t="shared" si="1"/>
        <v>46.970999999997765</v>
      </c>
      <c r="E11" s="7">
        <f>'[12]Oct Prod'!E10</f>
        <v>15000000</v>
      </c>
      <c r="F11" s="8">
        <f t="shared" si="2"/>
        <v>15</v>
      </c>
      <c r="G11" s="10">
        <f t="shared" si="3"/>
        <v>46.05</v>
      </c>
      <c r="H11" s="7">
        <f>'[12]Oct Prod'!F10</f>
        <v>0</v>
      </c>
      <c r="I11" s="8">
        <f t="shared" si="4"/>
        <v>0</v>
      </c>
      <c r="J11" s="10">
        <f t="shared" si="5"/>
        <v>0</v>
      </c>
      <c r="K11" s="7">
        <f>'[12]Oct Prod'!H265</f>
        <v>971015</v>
      </c>
      <c r="L11" s="8">
        <f t="shared" si="6"/>
        <v>0.97101499999999996</v>
      </c>
      <c r="M11" s="10">
        <f t="shared" si="7"/>
        <v>2.9810160499999996</v>
      </c>
      <c r="N11" s="21"/>
      <c r="O11" s="7">
        <f>'[12]Oct Prod'!H10</f>
        <v>7606000.0000000084</v>
      </c>
      <c r="P11" s="8">
        <f t="shared" si="8"/>
        <v>7.6060000000000088</v>
      </c>
      <c r="Q11" s="10">
        <f t="shared" si="9"/>
        <v>23.350420000000025</v>
      </c>
      <c r="R11" s="7">
        <f>'[12]Oct Prod'!C10</f>
        <v>7887000</v>
      </c>
      <c r="S11" s="8">
        <f t="shared" si="10"/>
        <v>7.8869999999999996</v>
      </c>
      <c r="T11" s="10">
        <f t="shared" si="11"/>
        <v>24.213089999999998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280999.99999999168</v>
      </c>
      <c r="Y11" s="8">
        <f t="shared" si="14"/>
        <v>0.2809999999999917</v>
      </c>
      <c r="Z11" s="10">
        <f t="shared" si="15"/>
        <v>0.86266999999997451</v>
      </c>
      <c r="AA11" s="15"/>
      <c r="AB11" s="7">
        <f t="shared" si="16"/>
        <v>22905999.999999281</v>
      </c>
      <c r="AC11" s="8">
        <f t="shared" si="16"/>
        <v>22.905999999999281</v>
      </c>
      <c r="AD11" s="8">
        <f t="shared" si="16"/>
        <v>70.321419999997786</v>
      </c>
      <c r="AF11" s="8">
        <f t="shared" si="17"/>
        <v>-1.5543122344752192E-15</v>
      </c>
    </row>
    <row r="12" spans="1:32" x14ac:dyDescent="0.15">
      <c r="A12" s="28">
        <v>38633</v>
      </c>
      <c r="B12" s="7">
        <f>'[12]Oct Prod'!I11</f>
        <v>14100000.000000363</v>
      </c>
      <c r="C12" s="8">
        <f t="shared" si="0"/>
        <v>14.100000000000364</v>
      </c>
      <c r="D12" s="10">
        <f t="shared" si="1"/>
        <v>43.287000000001115</v>
      </c>
      <c r="E12" s="7">
        <f>'[12]Oct Prod'!E11</f>
        <v>16000000</v>
      </c>
      <c r="F12" s="8">
        <f t="shared" si="2"/>
        <v>16</v>
      </c>
      <c r="G12" s="10">
        <f t="shared" si="3"/>
        <v>49.12</v>
      </c>
      <c r="H12" s="7">
        <f>'[12]Oct Prod'!F11</f>
        <v>0</v>
      </c>
      <c r="I12" s="8">
        <f t="shared" si="4"/>
        <v>0</v>
      </c>
      <c r="J12" s="10">
        <f t="shared" si="5"/>
        <v>0</v>
      </c>
      <c r="K12" s="7">
        <f>'[12]Oct Prod'!H266</f>
        <v>948240</v>
      </c>
      <c r="L12" s="8">
        <f t="shared" si="6"/>
        <v>0.94823999999999997</v>
      </c>
      <c r="M12" s="10">
        <f t="shared" si="7"/>
        <v>2.9110967999999997</v>
      </c>
      <c r="N12" s="21"/>
      <c r="O12" s="7">
        <f>'[12]Oct Prod'!H11</f>
        <v>6863999.9999999963</v>
      </c>
      <c r="P12" s="8">
        <f t="shared" si="8"/>
        <v>6.8639999999999963</v>
      </c>
      <c r="Q12" s="10">
        <f t="shared" si="9"/>
        <v>21.072479999999988</v>
      </c>
      <c r="R12" s="7">
        <f>'[12]Oct Prod'!C11</f>
        <v>7197000</v>
      </c>
      <c r="S12" s="8">
        <f t="shared" si="10"/>
        <v>7.1970000000000001</v>
      </c>
      <c r="T12" s="10">
        <f t="shared" si="11"/>
        <v>22.09479</v>
      </c>
      <c r="U12" s="7">
        <f>'[12]Oct Prod'!D11</f>
        <v>1000</v>
      </c>
      <c r="V12" s="8">
        <f t="shared" si="12"/>
        <v>1E-3</v>
      </c>
      <c r="W12" s="10">
        <f t="shared" si="13"/>
        <v>3.0699999999999998E-3</v>
      </c>
      <c r="X12" s="7">
        <f>'[12]Oct Prod'!D266</f>
        <v>334000.0000000032</v>
      </c>
      <c r="Y12" s="8">
        <f t="shared" si="14"/>
        <v>0.33400000000000318</v>
      </c>
      <c r="Z12" s="10">
        <f t="shared" si="15"/>
        <v>1.0253800000000097</v>
      </c>
      <c r="AA12" s="15"/>
      <c r="AB12" s="7">
        <f t="shared" si="16"/>
        <v>20964000.000000358</v>
      </c>
      <c r="AC12" s="8">
        <f t="shared" si="16"/>
        <v>20.964000000000361</v>
      </c>
      <c r="AD12" s="8">
        <f t="shared" si="16"/>
        <v>64.359480000001099</v>
      </c>
      <c r="AF12" s="8">
        <f t="shared" si="17"/>
        <v>-3.0699999999981298E-3</v>
      </c>
    </row>
    <row r="13" spans="1:32" x14ac:dyDescent="0.15">
      <c r="A13" s="28">
        <v>38634</v>
      </c>
      <c r="B13" s="7">
        <f>'[12]Oct Prod'!I12</f>
        <v>13000000</v>
      </c>
      <c r="C13" s="8">
        <f t="shared" si="0"/>
        <v>13</v>
      </c>
      <c r="D13" s="10">
        <f t="shared" si="1"/>
        <v>39.909999999999997</v>
      </c>
      <c r="E13" s="7">
        <f>'[12]Oct Prod'!E12</f>
        <v>15000000</v>
      </c>
      <c r="F13" s="8">
        <f t="shared" si="2"/>
        <v>15</v>
      </c>
      <c r="G13" s="10">
        <f t="shared" si="3"/>
        <v>46.05</v>
      </c>
      <c r="H13" s="7">
        <f>'[12]Oct Prod'!F12</f>
        <v>0</v>
      </c>
      <c r="I13" s="8">
        <f t="shared" si="4"/>
        <v>0</v>
      </c>
      <c r="J13" s="10">
        <f t="shared" si="5"/>
        <v>0</v>
      </c>
      <c r="K13" s="7">
        <f>'[12]Oct Prod'!H267</f>
        <v>849539</v>
      </c>
      <c r="L13" s="8">
        <f t="shared" si="6"/>
        <v>0.84953900000000004</v>
      </c>
      <c r="M13" s="10">
        <f t="shared" si="7"/>
        <v>2.6080847299999999</v>
      </c>
      <c r="N13" s="21"/>
      <c r="O13" s="7">
        <f>'[12]Oct Prod'!H12</f>
        <v>5755000.0000000037</v>
      </c>
      <c r="P13" s="8">
        <f t="shared" si="8"/>
        <v>5.7550000000000034</v>
      </c>
      <c r="Q13" s="10">
        <f t="shared" si="9"/>
        <v>17.667850000000008</v>
      </c>
      <c r="R13" s="7">
        <f>'[12]Oct Prod'!C12</f>
        <v>6037000</v>
      </c>
      <c r="S13" s="8">
        <f t="shared" si="10"/>
        <v>6.0369999999999999</v>
      </c>
      <c r="T13" s="10">
        <f t="shared" si="11"/>
        <v>18.53359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281999.99999999645</v>
      </c>
      <c r="Y13" s="8">
        <f t="shared" si="14"/>
        <v>0.28199999999999648</v>
      </c>
      <c r="Z13" s="10">
        <f t="shared" si="15"/>
        <v>0.86573999999998918</v>
      </c>
      <c r="AA13" s="15"/>
      <c r="AB13" s="7">
        <f t="shared" si="16"/>
        <v>18755000.000000004</v>
      </c>
      <c r="AC13" s="8">
        <f t="shared" si="16"/>
        <v>18.755000000000003</v>
      </c>
      <c r="AD13" s="8">
        <f t="shared" si="16"/>
        <v>57.577850000000005</v>
      </c>
      <c r="AF13" s="8">
        <f t="shared" si="17"/>
        <v>2.55351295663786E-15</v>
      </c>
    </row>
    <row r="14" spans="1:32" x14ac:dyDescent="0.15">
      <c r="A14" s="28">
        <v>38635</v>
      </c>
      <c r="B14" s="7">
        <f>'[12]Oct Prod'!I13</f>
        <v>15600000.000000363</v>
      </c>
      <c r="C14" s="8">
        <f t="shared" si="0"/>
        <v>15.600000000000364</v>
      </c>
      <c r="D14" s="10">
        <f t="shared" si="1"/>
        <v>47.892000000001111</v>
      </c>
      <c r="E14" s="7">
        <f>'[12]Oct Prod'!E13</f>
        <v>17000000</v>
      </c>
      <c r="F14" s="8">
        <f t="shared" si="2"/>
        <v>17</v>
      </c>
      <c r="G14" s="10">
        <f t="shared" si="3"/>
        <v>52.19</v>
      </c>
      <c r="H14" s="7">
        <f>'[12]Oct Prod'!F13</f>
        <v>0</v>
      </c>
      <c r="I14" s="8">
        <f t="shared" si="4"/>
        <v>0</v>
      </c>
      <c r="J14" s="10">
        <f t="shared" si="5"/>
        <v>0</v>
      </c>
      <c r="K14" s="7">
        <f>'[12]Oct Prod'!H268</f>
        <v>975565</v>
      </c>
      <c r="L14" s="8">
        <f t="shared" si="6"/>
        <v>0.97556500000000002</v>
      </c>
      <c r="M14" s="10">
        <f t="shared" si="7"/>
        <v>2.9949845499999999</v>
      </c>
      <c r="N14" s="21"/>
      <c r="O14" s="7">
        <f>'[12]Oct Prod'!H13</f>
        <v>2292000.0000000009</v>
      </c>
      <c r="P14" s="8">
        <f t="shared" si="8"/>
        <v>2.2920000000000011</v>
      </c>
      <c r="Q14" s="10">
        <f t="shared" si="9"/>
        <v>7.0364400000000034</v>
      </c>
      <c r="R14" s="7">
        <f>'[12]Oct Prod'!C13</f>
        <v>2518000</v>
      </c>
      <c r="S14" s="8">
        <f t="shared" si="10"/>
        <v>2.5179999999999998</v>
      </c>
      <c r="T14" s="10">
        <f t="shared" si="11"/>
        <v>7.7302599999999986</v>
      </c>
      <c r="U14" s="7">
        <f>'[12]Oct Prod'!D13</f>
        <v>-1000</v>
      </c>
      <c r="V14" s="8">
        <f t="shared" ref="V14:V16" si="18">U14/1000000</f>
        <v>-1E-3</v>
      </c>
      <c r="W14" s="10">
        <f t="shared" ref="W14:W16" si="19">V14*3.07</f>
        <v>-3.0699999999999998E-3</v>
      </c>
      <c r="X14" s="7">
        <f>'[12]Oct Prod'!D268</f>
        <v>225999.9999999991</v>
      </c>
      <c r="Y14" s="8">
        <f t="shared" si="14"/>
        <v>0.22599999999999909</v>
      </c>
      <c r="Z14" s="10">
        <f t="shared" si="15"/>
        <v>0.69381999999999722</v>
      </c>
      <c r="AA14" s="15"/>
      <c r="AB14" s="7">
        <f t="shared" si="16"/>
        <v>17892000.000000365</v>
      </c>
      <c r="AC14" s="8">
        <f t="shared" si="16"/>
        <v>17.892000000000365</v>
      </c>
      <c r="AD14" s="8">
        <f t="shared" si="16"/>
        <v>54.928440000001117</v>
      </c>
      <c r="AF14" s="8">
        <f t="shared" si="17"/>
        <v>-1.9984014443252818E-15</v>
      </c>
    </row>
    <row r="15" spans="1:32" x14ac:dyDescent="0.15">
      <c r="A15" s="28">
        <v>38636</v>
      </c>
      <c r="B15" s="7">
        <f>'[12]Oct Prod'!I14</f>
        <v>20000000</v>
      </c>
      <c r="C15" s="8">
        <f t="shared" si="0"/>
        <v>20</v>
      </c>
      <c r="D15" s="10">
        <f t="shared" si="1"/>
        <v>61.4</v>
      </c>
      <c r="E15" s="7">
        <f>'[12]Oct Prod'!E14</f>
        <v>20000000</v>
      </c>
      <c r="F15" s="8">
        <f t="shared" si="2"/>
        <v>20</v>
      </c>
      <c r="G15" s="10">
        <f t="shared" si="3"/>
        <v>61.4</v>
      </c>
      <c r="H15" s="7">
        <f>'[12]Oct Prod'!F14</f>
        <v>0</v>
      </c>
      <c r="I15" s="8">
        <f t="shared" si="4"/>
        <v>0</v>
      </c>
      <c r="J15" s="10">
        <f t="shared" si="5"/>
        <v>0</v>
      </c>
      <c r="K15" s="7">
        <f>'[12]Oct Prod'!H269</f>
        <v>1065590</v>
      </c>
      <c r="L15" s="8">
        <f t="shared" si="6"/>
        <v>1.06559</v>
      </c>
      <c r="M15" s="10">
        <f t="shared" si="7"/>
        <v>3.2713613000000001</v>
      </c>
      <c r="N15" s="21"/>
      <c r="O15" s="7">
        <f>'[12]Oct Prod'!H14</f>
        <v>0</v>
      </c>
      <c r="P15" s="8">
        <f t="shared" si="8"/>
        <v>0</v>
      </c>
      <c r="Q15" s="10">
        <f t="shared" si="9"/>
        <v>0</v>
      </c>
      <c r="R15" s="7">
        <f>'[12]Oct Prod'!C14</f>
        <v>0</v>
      </c>
      <c r="S15" s="8">
        <f t="shared" si="10"/>
        <v>0</v>
      </c>
      <c r="T15" s="10">
        <f t="shared" si="11"/>
        <v>0</v>
      </c>
      <c r="U15" s="7">
        <f>'[12]Oct Prod'!D14</f>
        <v>0</v>
      </c>
      <c r="V15" s="8">
        <f t="shared" si="18"/>
        <v>0</v>
      </c>
      <c r="W15" s="10">
        <f t="shared" si="19"/>
        <v>0</v>
      </c>
      <c r="X15" s="7">
        <f>'[12]Oct Prod'!D269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20000000</v>
      </c>
      <c r="AC15" s="8">
        <f t="shared" si="16"/>
        <v>20</v>
      </c>
      <c r="AD15" s="8">
        <f t="shared" si="16"/>
        <v>61.4</v>
      </c>
      <c r="AF15" s="8">
        <f>T15-Q15-Z15</f>
        <v>0</v>
      </c>
    </row>
    <row r="16" spans="1:32" x14ac:dyDescent="0.15">
      <c r="A16" s="28">
        <v>38637</v>
      </c>
      <c r="B16" s="7">
        <f>'[12]Oct Prod'!I15</f>
        <v>17799999.999999274</v>
      </c>
      <c r="C16" s="8">
        <f t="shared" si="0"/>
        <v>17.799999999999272</v>
      </c>
      <c r="D16" s="10">
        <f t="shared" si="1"/>
        <v>54.645999999997763</v>
      </c>
      <c r="E16" s="7">
        <f>'[12]Oct Prod'!E15</f>
        <v>20000000</v>
      </c>
      <c r="F16" s="8">
        <f t="shared" si="2"/>
        <v>20</v>
      </c>
      <c r="G16" s="10">
        <f t="shared" si="3"/>
        <v>61.4</v>
      </c>
      <c r="H16" s="7">
        <f>'[12]Oct Prod'!F15</f>
        <v>0</v>
      </c>
      <c r="I16" s="8">
        <f t="shared" si="4"/>
        <v>0</v>
      </c>
      <c r="J16" s="10">
        <f t="shared" si="5"/>
        <v>0</v>
      </c>
      <c r="K16" s="7">
        <f>'[12]Oct Prod'!H270</f>
        <v>1060395</v>
      </c>
      <c r="L16" s="8">
        <f t="shared" ref="L16:L20" si="20">K16/1000000</f>
        <v>1.060395</v>
      </c>
      <c r="M16" s="10">
        <f t="shared" ref="M16:M20" si="21">L16*3.07</f>
        <v>3.2554126499999998</v>
      </c>
      <c r="N16" s="21"/>
      <c r="O16" s="7">
        <f>'[12]Oct Prod'!H15</f>
        <v>0</v>
      </c>
      <c r="P16" s="8">
        <f t="shared" si="8"/>
        <v>0</v>
      </c>
      <c r="Q16" s="10">
        <f t="shared" si="9"/>
        <v>0</v>
      </c>
      <c r="R16" s="7">
        <f>'[12]Oct Prod'!C15</f>
        <v>0</v>
      </c>
      <c r="S16" s="8">
        <f t="shared" si="10"/>
        <v>0</v>
      </c>
      <c r="T16" s="10">
        <f t="shared" si="11"/>
        <v>0</v>
      </c>
      <c r="U16" s="7">
        <f>'[12]Oct Prod'!D15</f>
        <v>0</v>
      </c>
      <c r="V16" s="8">
        <f t="shared" si="18"/>
        <v>0</v>
      </c>
      <c r="W16" s="10">
        <f t="shared" si="19"/>
        <v>0</v>
      </c>
      <c r="X16" s="7">
        <f>'[12]Oct Prod'!D270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17799999.999999274</v>
      </c>
      <c r="AC16" s="8">
        <f t="shared" si="16"/>
        <v>17.799999999999272</v>
      </c>
      <c r="AD16" s="8">
        <f t="shared" si="16"/>
        <v>54.645999999997763</v>
      </c>
      <c r="AF16" s="8">
        <f>T16-Q16-Z16</f>
        <v>0</v>
      </c>
    </row>
    <row r="17" spans="1:32" x14ac:dyDescent="0.15">
      <c r="A17" s="28">
        <v>38638</v>
      </c>
      <c r="B17" s="7">
        <f>'[12]Oct Prod'!I16</f>
        <v>18100000.000000365</v>
      </c>
      <c r="C17" s="8">
        <f t="shared" si="0"/>
        <v>18.100000000000364</v>
      </c>
      <c r="D17" s="10">
        <f t="shared" si="1"/>
        <v>55.567000000001116</v>
      </c>
      <c r="E17" s="7">
        <f>'[12]Oct Prod'!E16</f>
        <v>20000000</v>
      </c>
      <c r="F17" s="8">
        <f t="shared" si="2"/>
        <v>20</v>
      </c>
      <c r="G17" s="10">
        <f t="shared" si="3"/>
        <v>61.4</v>
      </c>
      <c r="H17" s="7">
        <f>'[12]Oct Prod'!F16</f>
        <v>0</v>
      </c>
      <c r="I17" s="8">
        <f t="shared" si="4"/>
        <v>0</v>
      </c>
      <c r="J17" s="10">
        <f t="shared" si="5"/>
        <v>0</v>
      </c>
      <c r="K17" s="7">
        <f>'[12]Oct Prod'!H271</f>
        <v>1016358</v>
      </c>
      <c r="L17" s="8">
        <f t="shared" si="20"/>
        <v>1.0163580000000001</v>
      </c>
      <c r="M17" s="10">
        <f t="shared" si="21"/>
        <v>3.1202190600000002</v>
      </c>
      <c r="N17" s="21"/>
      <c r="O17" s="7">
        <f>'[12]Oct Prod'!H16</f>
        <v>0</v>
      </c>
      <c r="P17" s="8">
        <f t="shared" si="8"/>
        <v>0</v>
      </c>
      <c r="Q17" s="10">
        <f t="shared" si="9"/>
        <v>0</v>
      </c>
      <c r="R17" s="7">
        <f>'[12]Oct Prod'!C16</f>
        <v>0</v>
      </c>
      <c r="S17" s="8">
        <f t="shared" si="10"/>
        <v>0</v>
      </c>
      <c r="T17" s="10">
        <f t="shared" si="11"/>
        <v>0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38000.000000010914</v>
      </c>
      <c r="Y17" s="8">
        <f t="shared" si="14"/>
        <v>3.8000000000010914E-2</v>
      </c>
      <c r="Z17" s="10">
        <f t="shared" si="15"/>
        <v>0.1166600000000335</v>
      </c>
      <c r="AA17" s="15"/>
      <c r="AB17" s="7">
        <f t="shared" si="16"/>
        <v>18100000.000000365</v>
      </c>
      <c r="AC17" s="8">
        <f t="shared" si="16"/>
        <v>18.100000000000364</v>
      </c>
      <c r="AD17" s="8">
        <f t="shared" si="16"/>
        <v>55.567000000001116</v>
      </c>
      <c r="AF17" s="8">
        <f>T17-Q17-Z17</f>
        <v>-0.1166600000000335</v>
      </c>
    </row>
    <row r="18" spans="1:32" x14ac:dyDescent="0.15">
      <c r="A18" s="28">
        <v>38639</v>
      </c>
      <c r="B18" s="7">
        <f>'[12]Oct Prod'!I17</f>
        <v>19699999.999998908</v>
      </c>
      <c r="C18" s="8">
        <f t="shared" si="0"/>
        <v>19.699999999998909</v>
      </c>
      <c r="D18" s="10">
        <f t="shared" si="1"/>
        <v>60.478999999996645</v>
      </c>
      <c r="E18" s="7">
        <f>'[12]Oct Prod'!E17</f>
        <v>20000000</v>
      </c>
      <c r="F18" s="8">
        <f t="shared" si="2"/>
        <v>20</v>
      </c>
      <c r="G18" s="10">
        <f t="shared" si="3"/>
        <v>61.4</v>
      </c>
      <c r="H18" s="7">
        <f>'[12]Oct Prod'!F17</f>
        <v>0</v>
      </c>
      <c r="I18" s="8">
        <f t="shared" si="4"/>
        <v>0</v>
      </c>
      <c r="J18" s="10">
        <f t="shared" si="5"/>
        <v>0</v>
      </c>
      <c r="K18" s="7">
        <f>'[12]Oct Prod'!H272</f>
        <v>1077883</v>
      </c>
      <c r="L18" s="8">
        <f t="shared" si="20"/>
        <v>1.0778829999999999</v>
      </c>
      <c r="M18" s="10">
        <f t="shared" si="21"/>
        <v>3.3091008099999994</v>
      </c>
      <c r="N18" s="21"/>
      <c r="O18" s="7">
        <f>'[12]Oct Prod'!H17</f>
        <v>0</v>
      </c>
      <c r="P18" s="8">
        <f t="shared" si="8"/>
        <v>0</v>
      </c>
      <c r="Q18" s="10">
        <f t="shared" si="9"/>
        <v>0</v>
      </c>
      <c r="R18" s="7">
        <f>'[12]Oct Prod'!C17</f>
        <v>0</v>
      </c>
      <c r="S18" s="8">
        <f t="shared" si="10"/>
        <v>0</v>
      </c>
      <c r="T18" s="10">
        <f t="shared" si="11"/>
        <v>0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19699999.999998908</v>
      </c>
      <c r="AC18" s="8">
        <f t="shared" si="16"/>
        <v>19.699999999998909</v>
      </c>
      <c r="AD18" s="8">
        <f t="shared" si="16"/>
        <v>60.478999999996645</v>
      </c>
      <c r="AF18" s="8">
        <f>T18-Q18-Z18</f>
        <v>0</v>
      </c>
    </row>
    <row r="19" spans="1:32" x14ac:dyDescent="0.15">
      <c r="A19" s="28">
        <v>38640</v>
      </c>
      <c r="B19" s="7">
        <f>'[12]Oct Prod'!I18</f>
        <v>21300000.000001092</v>
      </c>
      <c r="C19" s="8">
        <f t="shared" si="0"/>
        <v>21.300000000001091</v>
      </c>
      <c r="D19" s="10">
        <f t="shared" si="1"/>
        <v>65.391000000003345</v>
      </c>
      <c r="E19" s="7">
        <f>'[12]Oct Prod'!E18</f>
        <v>23000000</v>
      </c>
      <c r="F19" s="8">
        <f t="shared" si="2"/>
        <v>23</v>
      </c>
      <c r="G19" s="10">
        <f t="shared" si="3"/>
        <v>70.61</v>
      </c>
      <c r="H19" s="7">
        <f>'[12]Oct Prod'!F18</f>
        <v>0</v>
      </c>
      <c r="I19" s="8">
        <f t="shared" si="4"/>
        <v>0</v>
      </c>
      <c r="J19" s="10">
        <f t="shared" si="5"/>
        <v>0</v>
      </c>
      <c r="K19" s="7">
        <f>'[12]Oct Prod'!H273</f>
        <v>1256125</v>
      </c>
      <c r="L19" s="8">
        <f t="shared" si="20"/>
        <v>1.2561249999999999</v>
      </c>
      <c r="M19" s="10">
        <f t="shared" si="21"/>
        <v>3.8563037499999995</v>
      </c>
      <c r="N19" s="21"/>
      <c r="O19" s="7">
        <f>'[12]Oct Prod'!H18</f>
        <v>0</v>
      </c>
      <c r="P19" s="8">
        <f t="shared" si="8"/>
        <v>0</v>
      </c>
      <c r="Q19" s="10">
        <f t="shared" si="9"/>
        <v>0</v>
      </c>
      <c r="R19" s="7">
        <f>'[12]Oct Prod'!C18</f>
        <v>0</v>
      </c>
      <c r="S19" s="8">
        <f t="shared" si="10"/>
        <v>0</v>
      </c>
      <c r="T19" s="10">
        <f t="shared" si="11"/>
        <v>0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21300000.000001092</v>
      </c>
      <c r="AC19" s="8">
        <f t="shared" si="16"/>
        <v>21.300000000001091</v>
      </c>
      <c r="AD19" s="8">
        <f>D19+Q19</f>
        <v>65.391000000003345</v>
      </c>
      <c r="AF19" s="8">
        <f>T19-Q19-Z19</f>
        <v>0</v>
      </c>
    </row>
    <row r="20" spans="1:32" x14ac:dyDescent="0.15">
      <c r="A20" s="28">
        <v>38641</v>
      </c>
      <c r="B20" s="7">
        <f>'[12]Oct Prod'!I19</f>
        <v>19199999.999998908</v>
      </c>
      <c r="C20" s="8">
        <f t="shared" si="0"/>
        <v>19.199999999998909</v>
      </c>
      <c r="D20" s="10">
        <f t="shared" si="1"/>
        <v>58.943999999996649</v>
      </c>
      <c r="E20" s="7">
        <f>'[12]Oct Prod'!E19</f>
        <v>20000000</v>
      </c>
      <c r="F20" s="8">
        <f t="shared" si="2"/>
        <v>20</v>
      </c>
      <c r="G20" s="10">
        <f t="shared" si="3"/>
        <v>61.4</v>
      </c>
      <c r="H20" s="7">
        <f>'[12]Oct Prod'!F19</f>
        <v>0</v>
      </c>
      <c r="I20" s="8">
        <f t="shared" si="4"/>
        <v>0</v>
      </c>
      <c r="J20" s="10">
        <f t="shared" si="5"/>
        <v>0</v>
      </c>
      <c r="K20" s="7">
        <f>'[12]Oct Prod'!H274</f>
        <v>1020050</v>
      </c>
      <c r="L20" s="8">
        <f t="shared" si="20"/>
        <v>1.0200499999999999</v>
      </c>
      <c r="M20" s="10">
        <f t="shared" si="21"/>
        <v>3.1315534999999994</v>
      </c>
      <c r="N20" s="21"/>
      <c r="O20" s="7">
        <f>'[12]Oct Prod'!H19</f>
        <v>0</v>
      </c>
      <c r="P20" s="8">
        <f t="shared" si="8"/>
        <v>0</v>
      </c>
      <c r="Q20" s="10">
        <f t="shared" si="9"/>
        <v>0</v>
      </c>
      <c r="R20" s="7">
        <f>'[12]Oct Prod'!C19</f>
        <v>0</v>
      </c>
      <c r="S20" s="8">
        <f t="shared" si="10"/>
        <v>0</v>
      </c>
      <c r="T20" s="10">
        <f t="shared" si="11"/>
        <v>0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19199999.999998908</v>
      </c>
      <c r="AC20" s="8">
        <f t="shared" si="16"/>
        <v>19.199999999998909</v>
      </c>
      <c r="AD20" s="8">
        <f t="shared" si="16"/>
        <v>58.943999999996649</v>
      </c>
      <c r="AF20" s="8">
        <f t="shared" ref="AF20:AF35" si="22">T20-Q20-Z20</f>
        <v>0</v>
      </c>
    </row>
    <row r="21" spans="1:32" x14ac:dyDescent="0.15">
      <c r="A21" s="28">
        <v>38642</v>
      </c>
      <c r="B21" s="7">
        <f>'[12]Oct Prod'!I20</f>
        <v>17500000</v>
      </c>
      <c r="C21" s="8">
        <f t="shared" si="0"/>
        <v>17.5</v>
      </c>
      <c r="D21" s="10">
        <f t="shared" si="1"/>
        <v>53.724999999999994</v>
      </c>
      <c r="E21" s="7">
        <f>'[12]Oct Prod'!E20</f>
        <v>19000000</v>
      </c>
      <c r="F21" s="8">
        <f t="shared" si="2"/>
        <v>19</v>
      </c>
      <c r="G21" s="10">
        <f t="shared" si="3"/>
        <v>58.33</v>
      </c>
      <c r="H21" s="7">
        <f>'[12]Oct Prod'!F20</f>
        <v>0</v>
      </c>
      <c r="I21" s="8">
        <f t="shared" si="4"/>
        <v>0</v>
      </c>
      <c r="J21" s="10">
        <f t="shared" si="5"/>
        <v>0</v>
      </c>
      <c r="K21" s="7">
        <f>'[12]Oct Prod'!H275</f>
        <v>1040507</v>
      </c>
      <c r="L21" s="8">
        <f t="shared" si="6"/>
        <v>1.0405070000000001</v>
      </c>
      <c r="M21" s="10">
        <f t="shared" si="7"/>
        <v>3.1943564900000001</v>
      </c>
      <c r="N21" s="21"/>
      <c r="O21" s="7">
        <f>'[12]Oct Prod'!H20</f>
        <v>0</v>
      </c>
      <c r="P21" s="8">
        <f t="shared" si="8"/>
        <v>0</v>
      </c>
      <c r="Q21" s="10">
        <f t="shared" si="9"/>
        <v>0</v>
      </c>
      <c r="R21" s="7">
        <f>'[12]Oct Prod'!C20</f>
        <v>0</v>
      </c>
      <c r="S21" s="8">
        <f t="shared" si="10"/>
        <v>0</v>
      </c>
      <c r="T21" s="10">
        <f t="shared" si="11"/>
        <v>0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49999.999999997155</v>
      </c>
      <c r="Y21" s="8">
        <f t="shared" si="14"/>
        <v>4.9999999999997158E-2</v>
      </c>
      <c r="Z21" s="10">
        <f t="shared" si="15"/>
        <v>0.15349999999999125</v>
      </c>
      <c r="AA21" s="15"/>
      <c r="AB21" s="7">
        <f t="shared" si="16"/>
        <v>17500000</v>
      </c>
      <c r="AC21" s="8">
        <f t="shared" si="16"/>
        <v>17.5</v>
      </c>
      <c r="AD21" s="8">
        <f t="shared" si="16"/>
        <v>53.724999999999994</v>
      </c>
      <c r="AF21" s="8">
        <f t="shared" si="22"/>
        <v>-0.15349999999999125</v>
      </c>
    </row>
    <row r="22" spans="1:32" x14ac:dyDescent="0.15">
      <c r="A22" s="28">
        <v>38643</v>
      </c>
      <c r="B22" s="7">
        <f>'[12]Oct Prod'!I21</f>
        <v>14500000</v>
      </c>
      <c r="C22" s="8">
        <f t="shared" si="0"/>
        <v>14.5</v>
      </c>
      <c r="D22" s="10">
        <f t="shared" si="1"/>
        <v>44.515000000000001</v>
      </c>
      <c r="E22" s="7">
        <f>'[12]Oct Prod'!E21</f>
        <v>15000000</v>
      </c>
      <c r="F22" s="8">
        <f t="shared" si="2"/>
        <v>15</v>
      </c>
      <c r="G22" s="10">
        <f t="shared" si="3"/>
        <v>46.05</v>
      </c>
      <c r="H22" s="7">
        <f>'[12]Oct Prod'!F21</f>
        <v>0</v>
      </c>
      <c r="I22" s="8">
        <f t="shared" si="4"/>
        <v>0</v>
      </c>
      <c r="J22" s="10">
        <f t="shared" si="5"/>
        <v>0</v>
      </c>
      <c r="K22" s="7">
        <f>'[12]Oct Prod'!H276</f>
        <v>865826</v>
      </c>
      <c r="L22" s="8">
        <f t="shared" si="6"/>
        <v>0.86582599999999998</v>
      </c>
      <c r="M22" s="10">
        <f t="shared" si="7"/>
        <v>2.6580858199999997</v>
      </c>
      <c r="N22" s="21"/>
      <c r="O22" s="7">
        <f>'[12]Oct Prod'!H21</f>
        <v>0</v>
      </c>
      <c r="P22" s="8">
        <f t="shared" si="8"/>
        <v>0</v>
      </c>
      <c r="Q22" s="10">
        <f t="shared" si="9"/>
        <v>0</v>
      </c>
      <c r="R22" s="7">
        <f>'[12]Oct Prod'!C21</f>
        <v>0</v>
      </c>
      <c r="S22" s="8">
        <f t="shared" si="10"/>
        <v>0</v>
      </c>
      <c r="T22" s="10">
        <f t="shared" si="11"/>
        <v>0</v>
      </c>
      <c r="U22" s="7">
        <f>'[12]Oct Prod'!D21</f>
        <v>0</v>
      </c>
      <c r="V22" s="8">
        <f t="shared" si="12"/>
        <v>0</v>
      </c>
      <c r="W22" s="10">
        <f t="shared" si="13"/>
        <v>0</v>
      </c>
      <c r="X22" s="7">
        <f>'[12]Oct Prod'!D276</f>
        <v>131999.9999999908</v>
      </c>
      <c r="Y22" s="8">
        <f t="shared" si="14"/>
        <v>0.13199999999999079</v>
      </c>
      <c r="Z22" s="10">
        <f t="shared" si="15"/>
        <v>0.40523999999997173</v>
      </c>
      <c r="AA22" s="15"/>
      <c r="AB22" s="7">
        <f t="shared" si="16"/>
        <v>14500000</v>
      </c>
      <c r="AC22" s="8">
        <f t="shared" si="16"/>
        <v>14.5</v>
      </c>
      <c r="AD22" s="8">
        <f t="shared" si="16"/>
        <v>44.515000000000001</v>
      </c>
      <c r="AF22" s="8">
        <f t="shared" si="22"/>
        <v>-0.40523999999997173</v>
      </c>
    </row>
    <row r="23" spans="1:32" x14ac:dyDescent="0.15">
      <c r="A23" s="28">
        <v>38644</v>
      </c>
      <c r="B23" s="7">
        <f>'[12]Oct Prod'!I22</f>
        <v>14700000.000000728</v>
      </c>
      <c r="C23" s="8">
        <f t="shared" si="0"/>
        <v>14.700000000000728</v>
      </c>
      <c r="D23" s="10">
        <f t="shared" si="1"/>
        <v>45.129000000002229</v>
      </c>
      <c r="E23" s="7">
        <f>'[12]Oct Prod'!E22</f>
        <v>17000000</v>
      </c>
      <c r="F23" s="8">
        <f t="shared" si="2"/>
        <v>17</v>
      </c>
      <c r="G23" s="10">
        <f t="shared" si="3"/>
        <v>52.19</v>
      </c>
      <c r="H23" s="7">
        <f>'[12]Oct Prod'!F22</f>
        <v>0</v>
      </c>
      <c r="I23" s="8">
        <f t="shared" si="4"/>
        <v>0</v>
      </c>
      <c r="J23" s="10">
        <f t="shared" si="5"/>
        <v>0</v>
      </c>
      <c r="K23" s="7">
        <f>'[12]Oct Prod'!H277</f>
        <v>887732</v>
      </c>
      <c r="L23" s="8">
        <f t="shared" si="6"/>
        <v>0.88773199999999997</v>
      </c>
      <c r="M23" s="10">
        <f t="shared" si="7"/>
        <v>2.7253372399999996</v>
      </c>
      <c r="N23" s="21"/>
      <c r="O23" s="7">
        <f>'[12]Oct Prod'!H22</f>
        <v>0</v>
      </c>
      <c r="P23" s="8">
        <f t="shared" si="8"/>
        <v>0</v>
      </c>
      <c r="Q23" s="10">
        <f t="shared" si="9"/>
        <v>0</v>
      </c>
      <c r="R23" s="7">
        <f>'[12]Oct Prod'!C22</f>
        <v>0</v>
      </c>
      <c r="S23" s="8">
        <f t="shared" si="10"/>
        <v>0</v>
      </c>
      <c r="T23" s="10">
        <f t="shared" si="11"/>
        <v>0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14700000.000000728</v>
      </c>
      <c r="AC23" s="8">
        <f t="shared" si="16"/>
        <v>14.700000000000728</v>
      </c>
      <c r="AD23" s="8">
        <f t="shared" si="16"/>
        <v>45.129000000002229</v>
      </c>
      <c r="AF23" s="8">
        <f t="shared" si="22"/>
        <v>0</v>
      </c>
    </row>
    <row r="24" spans="1:32" x14ac:dyDescent="0.15">
      <c r="A24" s="28">
        <v>38645</v>
      </c>
      <c r="B24" s="7">
        <f>'[12]Oct Prod'!I23</f>
        <v>16299999.999999272</v>
      </c>
      <c r="C24" s="8">
        <f t="shared" si="0"/>
        <v>16.299999999999272</v>
      </c>
      <c r="D24" s="10">
        <f t="shared" si="1"/>
        <v>50.040999999997766</v>
      </c>
      <c r="E24" s="7">
        <f>'[12]Oct Prod'!E23</f>
        <v>18000000</v>
      </c>
      <c r="F24" s="8">
        <f t="shared" si="2"/>
        <v>18</v>
      </c>
      <c r="G24" s="10">
        <f t="shared" si="3"/>
        <v>55.26</v>
      </c>
      <c r="H24" s="7">
        <f>'[12]Oct Prod'!F23</f>
        <v>0</v>
      </c>
      <c r="I24" s="8">
        <f t="shared" si="4"/>
        <v>0</v>
      </c>
      <c r="J24" s="10">
        <f t="shared" si="5"/>
        <v>0</v>
      </c>
      <c r="K24" s="7">
        <f>'[12]Oct Prod'!H278</f>
        <v>977585</v>
      </c>
      <c r="L24" s="8">
        <f t="shared" si="6"/>
        <v>0.97758500000000004</v>
      </c>
      <c r="M24" s="10">
        <f t="shared" si="7"/>
        <v>3.00118595</v>
      </c>
      <c r="N24" s="21"/>
      <c r="O24" s="7">
        <f>'[12]Oct Prod'!H23</f>
        <v>0</v>
      </c>
      <c r="P24" s="8">
        <f t="shared" si="8"/>
        <v>0</v>
      </c>
      <c r="Q24" s="10">
        <f t="shared" si="9"/>
        <v>0</v>
      </c>
      <c r="R24" s="7">
        <f>'[12]Oct Prod'!C23</f>
        <v>0</v>
      </c>
      <c r="S24" s="8">
        <f t="shared" si="10"/>
        <v>0</v>
      </c>
      <c r="T24" s="10">
        <f t="shared" si="11"/>
        <v>0</v>
      </c>
      <c r="U24" s="7">
        <f>'[12]Oct Prod'!D23</f>
        <v>0</v>
      </c>
      <c r="V24" s="8">
        <f t="shared" si="12"/>
        <v>0</v>
      </c>
      <c r="W24" s="10">
        <f t="shared" si="13"/>
        <v>0</v>
      </c>
      <c r="X24" s="7">
        <f>'[12]Oct Prod'!D278</f>
        <v>15000.000000000568</v>
      </c>
      <c r="Y24" s="8">
        <f t="shared" si="14"/>
        <v>1.5000000000000567E-2</v>
      </c>
      <c r="Z24" s="10">
        <f t="shared" si="15"/>
        <v>4.6050000000001735E-2</v>
      </c>
      <c r="AA24" s="15"/>
      <c r="AB24" s="7">
        <f t="shared" si="16"/>
        <v>16299999.999999272</v>
      </c>
      <c r="AC24" s="8">
        <f t="shared" si="16"/>
        <v>16.299999999999272</v>
      </c>
      <c r="AD24" s="8">
        <f>D24+Q24</f>
        <v>50.040999999997766</v>
      </c>
      <c r="AF24" s="8">
        <f t="shared" si="22"/>
        <v>-4.6050000000001735E-2</v>
      </c>
    </row>
    <row r="25" spans="1:32" x14ac:dyDescent="0.15">
      <c r="A25" s="28">
        <v>38646</v>
      </c>
      <c r="B25" s="7">
        <f>'[12]Oct Prod'!I24</f>
        <v>13700000.000000728</v>
      </c>
      <c r="C25" s="8">
        <f t="shared" si="0"/>
        <v>13.700000000000728</v>
      </c>
      <c r="D25" s="10">
        <f t="shared" si="1"/>
        <v>42.059000000002229</v>
      </c>
      <c r="E25" s="7">
        <f>'[12]Oct Prod'!E24</f>
        <v>14000000</v>
      </c>
      <c r="F25" s="8">
        <f t="shared" si="2"/>
        <v>14</v>
      </c>
      <c r="G25" s="10">
        <f t="shared" si="3"/>
        <v>42.98</v>
      </c>
      <c r="H25" s="7">
        <f>'[12]Oct Prod'!F24</f>
        <v>0</v>
      </c>
      <c r="I25" s="8">
        <f t="shared" si="4"/>
        <v>0</v>
      </c>
      <c r="J25" s="10">
        <f t="shared" si="5"/>
        <v>0</v>
      </c>
      <c r="K25" s="7">
        <f>'[12]Oct Prod'!H279</f>
        <v>695350</v>
      </c>
      <c r="L25" s="8">
        <f t="shared" si="6"/>
        <v>0.69535000000000002</v>
      </c>
      <c r="M25" s="10">
        <f t="shared" si="7"/>
        <v>2.1347244999999999</v>
      </c>
      <c r="N25" s="21"/>
      <c r="O25" s="7">
        <f>'[12]Oct Prod'!H24</f>
        <v>0</v>
      </c>
      <c r="P25" s="8">
        <f t="shared" si="8"/>
        <v>0</v>
      </c>
      <c r="Q25" s="10">
        <f t="shared" si="9"/>
        <v>0</v>
      </c>
      <c r="R25" s="7">
        <f>'[12]Oct Prod'!C24</f>
        <v>0</v>
      </c>
      <c r="S25" s="8">
        <f t="shared" si="10"/>
        <v>0</v>
      </c>
      <c r="T25" s="10">
        <f t="shared" si="11"/>
        <v>0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68000.000000012049</v>
      </c>
      <c r="Y25" s="8">
        <f t="shared" si="14"/>
        <v>6.8000000000012051E-2</v>
      </c>
      <c r="Z25" s="10">
        <f t="shared" si="15"/>
        <v>0.20876000000003697</v>
      </c>
      <c r="AA25" s="15"/>
      <c r="AB25" s="7">
        <f t="shared" si="16"/>
        <v>13700000.000000728</v>
      </c>
      <c r="AC25" s="8">
        <f t="shared" si="16"/>
        <v>13.700000000000728</v>
      </c>
      <c r="AD25" s="8">
        <f t="shared" si="16"/>
        <v>42.059000000002229</v>
      </c>
      <c r="AF25" s="8">
        <f t="shared" si="22"/>
        <v>-0.20876000000003697</v>
      </c>
    </row>
    <row r="26" spans="1:32" x14ac:dyDescent="0.15">
      <c r="A26" s="28">
        <v>38647</v>
      </c>
      <c r="B26" s="7">
        <f>'[12]Oct Prod'!I25</f>
        <v>15100000.000000363</v>
      </c>
      <c r="C26" s="8">
        <f t="shared" si="0"/>
        <v>15.100000000000364</v>
      </c>
      <c r="D26" s="10">
        <f t="shared" si="1"/>
        <v>46.357000000001115</v>
      </c>
      <c r="E26" s="7">
        <f>'[12]Oct Prod'!E25</f>
        <v>16000000</v>
      </c>
      <c r="F26" s="8">
        <f t="shared" si="2"/>
        <v>16</v>
      </c>
      <c r="G26" s="10">
        <f t="shared" si="3"/>
        <v>49.12</v>
      </c>
      <c r="H26" s="7">
        <f>'[12]Oct Prod'!F25</f>
        <v>0</v>
      </c>
      <c r="I26" s="8">
        <f t="shared" si="4"/>
        <v>0</v>
      </c>
      <c r="J26" s="10">
        <f t="shared" si="5"/>
        <v>0</v>
      </c>
      <c r="K26" s="7">
        <f>'[12]Oct Prod'!H280</f>
        <v>890439</v>
      </c>
      <c r="L26" s="8">
        <f t="shared" si="6"/>
        <v>0.89043899999999998</v>
      </c>
      <c r="M26" s="10">
        <f t="shared" si="7"/>
        <v>2.7336477299999999</v>
      </c>
      <c r="N26" s="21"/>
      <c r="O26" s="7">
        <f>'[12]Oct Prod'!H25</f>
        <v>0</v>
      </c>
      <c r="P26" s="8">
        <f t="shared" si="8"/>
        <v>0</v>
      </c>
      <c r="Q26" s="10">
        <f t="shared" si="9"/>
        <v>0</v>
      </c>
      <c r="R26" s="7">
        <f>'[12]Oct Prod'!C25</f>
        <v>0</v>
      </c>
      <c r="S26" s="8">
        <f t="shared" si="10"/>
        <v>0</v>
      </c>
      <c r="T26" s="10">
        <f t="shared" si="11"/>
        <v>0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15100000.000000363</v>
      </c>
      <c r="AC26" s="8">
        <f t="shared" si="16"/>
        <v>15.100000000000364</v>
      </c>
      <c r="AD26" s="8">
        <f t="shared" si="16"/>
        <v>46.357000000001115</v>
      </c>
      <c r="AF26" s="8">
        <f t="shared" si="22"/>
        <v>0</v>
      </c>
    </row>
    <row r="27" spans="1:32" x14ac:dyDescent="0.15">
      <c r="A27" s="28">
        <v>38648</v>
      </c>
      <c r="B27" s="7">
        <f>'[12]Oct Prod'!I26</f>
        <v>15699999.999998908</v>
      </c>
      <c r="C27" s="8">
        <f t="shared" si="0"/>
        <v>15.699999999998909</v>
      </c>
      <c r="D27" s="10">
        <f t="shared" si="1"/>
        <v>48.198999999996644</v>
      </c>
      <c r="E27" s="7">
        <f>'[12]Oct Prod'!E26</f>
        <v>17000000</v>
      </c>
      <c r="F27" s="8">
        <f t="shared" si="2"/>
        <v>17</v>
      </c>
      <c r="G27" s="10">
        <f t="shared" si="3"/>
        <v>52.19</v>
      </c>
      <c r="H27" s="7">
        <f>'[12]Oct Prod'!F26</f>
        <v>0</v>
      </c>
      <c r="I27" s="8">
        <f t="shared" si="4"/>
        <v>0</v>
      </c>
      <c r="J27" s="10">
        <f t="shared" si="5"/>
        <v>0</v>
      </c>
      <c r="K27" s="7">
        <f>'[12]Oct Prod'!H281</f>
        <v>876410</v>
      </c>
      <c r="L27" s="8">
        <f t="shared" si="6"/>
        <v>0.87641000000000002</v>
      </c>
      <c r="M27" s="10">
        <f t="shared" si="7"/>
        <v>2.6905787000000001</v>
      </c>
      <c r="N27" s="21"/>
      <c r="O27" s="7">
        <f>'[12]Oct Prod'!H26</f>
        <v>0</v>
      </c>
      <c r="P27" s="8">
        <f t="shared" si="8"/>
        <v>0</v>
      </c>
      <c r="Q27" s="10">
        <f t="shared" si="9"/>
        <v>0</v>
      </c>
      <c r="R27" s="7">
        <f>'[12]Oct Prod'!C26</f>
        <v>0</v>
      </c>
      <c r="S27" s="8">
        <f t="shared" si="10"/>
        <v>0</v>
      </c>
      <c r="T27" s="10">
        <f t="shared" si="11"/>
        <v>0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15699999.999998908</v>
      </c>
      <c r="AC27" s="8">
        <f t="shared" si="16"/>
        <v>15.699999999998909</v>
      </c>
      <c r="AD27" s="8">
        <f t="shared" si="16"/>
        <v>48.198999999996644</v>
      </c>
      <c r="AF27" s="8">
        <f t="shared" si="22"/>
        <v>0</v>
      </c>
    </row>
    <row r="28" spans="1:32" x14ac:dyDescent="0.15">
      <c r="A28" s="28">
        <v>38649</v>
      </c>
      <c r="B28" s="7">
        <f>'[12]Oct Prod'!I27</f>
        <v>14100000.000000363</v>
      </c>
      <c r="C28" s="8">
        <f t="shared" si="0"/>
        <v>14.100000000000364</v>
      </c>
      <c r="D28" s="10">
        <f t="shared" si="1"/>
        <v>43.287000000001115</v>
      </c>
      <c r="E28" s="7">
        <f>'[12]Oct Prod'!E27</f>
        <v>15000000</v>
      </c>
      <c r="F28" s="8">
        <f t="shared" si="2"/>
        <v>15</v>
      </c>
      <c r="G28" s="10">
        <f t="shared" si="3"/>
        <v>46.05</v>
      </c>
      <c r="H28" s="7">
        <f>'[12]Oct Prod'!F27</f>
        <v>0</v>
      </c>
      <c r="I28" s="8">
        <f t="shared" si="4"/>
        <v>0</v>
      </c>
      <c r="J28" s="10">
        <f t="shared" si="5"/>
        <v>0</v>
      </c>
      <c r="K28" s="7">
        <f>'[12]Oct Prod'!H282</f>
        <v>802251</v>
      </c>
      <c r="L28" s="8">
        <f t="shared" si="6"/>
        <v>0.80225100000000005</v>
      </c>
      <c r="M28" s="10">
        <f t="shared" si="7"/>
        <v>2.46291057</v>
      </c>
      <c r="N28" s="21"/>
      <c r="O28" s="7">
        <f>'[12]Oct Prod'!H27</f>
        <v>0</v>
      </c>
      <c r="P28" s="8">
        <f t="shared" si="8"/>
        <v>0</v>
      </c>
      <c r="Q28" s="10">
        <f t="shared" si="9"/>
        <v>0</v>
      </c>
      <c r="R28" s="7">
        <f>'[12]Oct Prod'!C27</f>
        <v>0</v>
      </c>
      <c r="S28" s="8">
        <f t="shared" si="10"/>
        <v>0</v>
      </c>
      <c r="T28" s="10">
        <f t="shared" si="11"/>
        <v>0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14100000.000000363</v>
      </c>
      <c r="AC28" s="8">
        <f t="shared" si="16"/>
        <v>14.100000000000364</v>
      </c>
      <c r="AD28" s="8">
        <f t="shared" si="16"/>
        <v>43.287000000001115</v>
      </c>
      <c r="AF28" s="8">
        <f t="shared" si="22"/>
        <v>0</v>
      </c>
    </row>
    <row r="29" spans="1:32" x14ac:dyDescent="0.15">
      <c r="A29" s="28">
        <v>38650</v>
      </c>
      <c r="B29" s="7">
        <f>'[12]Oct Prod'!I28</f>
        <v>13500000</v>
      </c>
      <c r="C29" s="8">
        <f t="shared" si="0"/>
        <v>13.5</v>
      </c>
      <c r="D29" s="10">
        <f t="shared" si="1"/>
        <v>41.445</v>
      </c>
      <c r="E29" s="7">
        <f>'[12]Oct Prod'!E28</f>
        <v>14000000</v>
      </c>
      <c r="F29" s="8">
        <f t="shared" si="2"/>
        <v>14</v>
      </c>
      <c r="G29" s="10">
        <f t="shared" si="3"/>
        <v>42.98</v>
      </c>
      <c r="H29" s="7">
        <f>'[12]Oct Prod'!F28</f>
        <v>0</v>
      </c>
      <c r="I29" s="8">
        <f t="shared" si="4"/>
        <v>0</v>
      </c>
      <c r="J29" s="10">
        <f t="shared" si="5"/>
        <v>0</v>
      </c>
      <c r="K29" s="7">
        <f>'[12]Oct Prod'!H283</f>
        <v>696122</v>
      </c>
      <c r="L29" s="8">
        <f t="shared" si="6"/>
        <v>0.69612200000000002</v>
      </c>
      <c r="M29" s="10">
        <f t="shared" si="7"/>
        <v>2.1370945400000001</v>
      </c>
      <c r="N29" s="21"/>
      <c r="O29" s="7">
        <f>'[12]Oct Prod'!H28</f>
        <v>0</v>
      </c>
      <c r="P29" s="8">
        <f t="shared" si="8"/>
        <v>0</v>
      </c>
      <c r="Q29" s="10">
        <f t="shared" si="9"/>
        <v>0</v>
      </c>
      <c r="R29" s="7">
        <f>'[12]Oct Prod'!C28</f>
        <v>34000</v>
      </c>
      <c r="S29" s="8">
        <f t="shared" si="10"/>
        <v>3.4000000000000002E-2</v>
      </c>
      <c r="T29" s="10">
        <f t="shared" si="11"/>
        <v>0.10438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56999.999999987951</v>
      </c>
      <c r="Y29" s="8">
        <f t="shared" si="14"/>
        <v>5.6999999999987949E-2</v>
      </c>
      <c r="Z29" s="10">
        <f t="shared" si="15"/>
        <v>0.17498999999996301</v>
      </c>
      <c r="AA29" s="15"/>
      <c r="AB29" s="7">
        <f t="shared" si="16"/>
        <v>13500000</v>
      </c>
      <c r="AC29" s="8">
        <f t="shared" si="16"/>
        <v>13.5</v>
      </c>
      <c r="AD29" s="8">
        <f t="shared" si="16"/>
        <v>41.445</v>
      </c>
      <c r="AF29" s="8">
        <f t="shared" si="22"/>
        <v>-7.0609999999963008E-2</v>
      </c>
    </row>
    <row r="30" spans="1:32" x14ac:dyDescent="0.15">
      <c r="A30" s="28">
        <v>38651</v>
      </c>
      <c r="B30" s="7">
        <f>'[12]Oct Prod'!I29</f>
        <v>11100000.000000363</v>
      </c>
      <c r="C30" s="8">
        <f t="shared" si="0"/>
        <v>11.100000000000364</v>
      </c>
      <c r="D30" s="10">
        <f t="shared" si="1"/>
        <v>34.077000000001114</v>
      </c>
      <c r="E30" s="7">
        <f>'[12]Oct Prod'!E29</f>
        <v>12000000</v>
      </c>
      <c r="F30" s="8">
        <f t="shared" si="2"/>
        <v>12</v>
      </c>
      <c r="G30" s="10">
        <f t="shared" si="3"/>
        <v>36.839999999999996</v>
      </c>
      <c r="H30" s="7">
        <f>'[12]Oct Prod'!F29</f>
        <v>0</v>
      </c>
      <c r="I30" s="8">
        <f t="shared" si="4"/>
        <v>0</v>
      </c>
      <c r="J30" s="10">
        <f t="shared" si="5"/>
        <v>0</v>
      </c>
      <c r="K30" s="7">
        <f>'[12]Oct Prod'!H284</f>
        <v>406641</v>
      </c>
      <c r="L30" s="8">
        <f t="shared" si="6"/>
        <v>0.40664099999999997</v>
      </c>
      <c r="M30" s="10">
        <f t="shared" si="7"/>
        <v>1.24838787</v>
      </c>
      <c r="N30" s="21"/>
      <c r="O30" s="7">
        <f>'[12]Oct Prod'!H29</f>
        <v>1596000</v>
      </c>
      <c r="P30" s="8">
        <f t="shared" si="8"/>
        <v>1.5960000000000001</v>
      </c>
      <c r="Q30" s="10">
        <f t="shared" si="9"/>
        <v>4.8997200000000003</v>
      </c>
      <c r="R30" s="7">
        <f>'[12]Oct Prod'!C29</f>
        <v>1596000</v>
      </c>
      <c r="S30" s="8">
        <f t="shared" si="10"/>
        <v>1.5960000000000001</v>
      </c>
      <c r="T30" s="10">
        <f t="shared" si="11"/>
        <v>4.8997200000000003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12696000.000000363</v>
      </c>
      <c r="AC30" s="8">
        <f t="shared" si="16"/>
        <v>12.696000000000364</v>
      </c>
      <c r="AD30" s="8">
        <f>D30+Q30</f>
        <v>38.976720000001116</v>
      </c>
      <c r="AF30" s="8">
        <f t="shared" si="22"/>
        <v>0</v>
      </c>
    </row>
    <row r="31" spans="1:32" x14ac:dyDescent="0.15">
      <c r="A31" s="28">
        <v>38652</v>
      </c>
      <c r="B31" s="7">
        <f>'[12]Oct Prod'!I30</f>
        <v>9399999.9999996368</v>
      </c>
      <c r="C31" s="8">
        <f t="shared" si="0"/>
        <v>9.3999999999996362</v>
      </c>
      <c r="D31" s="10">
        <f t="shared" si="1"/>
        <v>28.857999999998881</v>
      </c>
      <c r="E31" s="7">
        <f>'[12]Oct Prod'!E30</f>
        <v>10000000</v>
      </c>
      <c r="F31" s="8">
        <f t="shared" si="2"/>
        <v>10</v>
      </c>
      <c r="G31" s="10">
        <f t="shared" si="3"/>
        <v>30.7</v>
      </c>
      <c r="H31" s="7">
        <f>'[12]Oct Prod'!F30</f>
        <v>0</v>
      </c>
      <c r="I31" s="8">
        <f t="shared" si="4"/>
        <v>0</v>
      </c>
      <c r="J31" s="10">
        <f t="shared" si="5"/>
        <v>0</v>
      </c>
      <c r="K31" s="7">
        <f>'[12]Oct Prod'!H285</f>
        <v>248099</v>
      </c>
      <c r="L31" s="8">
        <f t="shared" si="6"/>
        <v>0.24809899999999999</v>
      </c>
      <c r="M31" s="10">
        <f t="shared" si="7"/>
        <v>0.76166392999999988</v>
      </c>
      <c r="N31" s="21"/>
      <c r="O31" s="7">
        <f>'[12]Oct Prod'!H30</f>
        <v>2752999.9999999884</v>
      </c>
      <c r="P31" s="8">
        <f t="shared" si="8"/>
        <v>2.7529999999999886</v>
      </c>
      <c r="Q31" s="10">
        <f t="shared" si="9"/>
        <v>8.4517099999999648</v>
      </c>
      <c r="R31" s="7">
        <f>'[12]Oct Prod'!C30</f>
        <v>2815000</v>
      </c>
      <c r="S31" s="8">
        <f t="shared" si="10"/>
        <v>2.8149999999999999</v>
      </c>
      <c r="T31" s="10">
        <f t="shared" si="11"/>
        <v>8.6420499999999993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62000.000000011823</v>
      </c>
      <c r="Y31" s="8">
        <f t="shared" si="14"/>
        <v>6.2000000000011823E-2</v>
      </c>
      <c r="Z31" s="10">
        <f t="shared" si="15"/>
        <v>0.19034000000003629</v>
      </c>
      <c r="AA31" s="15"/>
      <c r="AB31" s="7">
        <f t="shared" si="16"/>
        <v>12152999.999999626</v>
      </c>
      <c r="AC31" s="8">
        <f t="shared" si="16"/>
        <v>12.152999999999626</v>
      </c>
      <c r="AD31" s="8">
        <f t="shared" si="16"/>
        <v>37.309709999998844</v>
      </c>
      <c r="AF31" s="8">
        <f>T31-Q31-Z31</f>
        <v>-1.6930901125533637E-15</v>
      </c>
    </row>
    <row r="32" spans="1:32" x14ac:dyDescent="0.15">
      <c r="A32" s="28">
        <v>38653</v>
      </c>
      <c r="B32" s="7">
        <f>'[12]Oct Prod'!I31</f>
        <v>7300000.0000010915</v>
      </c>
      <c r="C32" s="8">
        <f t="shared" si="0"/>
        <v>7.3000000000010914</v>
      </c>
      <c r="D32" s="10">
        <f t="shared" si="1"/>
        <v>22.411000000003348</v>
      </c>
      <c r="E32" s="7">
        <f>'[12]Oct Prod'!E31</f>
        <v>9000000</v>
      </c>
      <c r="F32" s="8">
        <f t="shared" si="2"/>
        <v>9</v>
      </c>
      <c r="G32" s="10">
        <f t="shared" si="3"/>
        <v>27.63</v>
      </c>
      <c r="H32" s="7">
        <f>'[12]Oct Prod'!F31</f>
        <v>0</v>
      </c>
      <c r="I32" s="8">
        <f t="shared" si="4"/>
        <v>0</v>
      </c>
      <c r="J32" s="10">
        <f t="shared" si="5"/>
        <v>0</v>
      </c>
      <c r="K32" s="7">
        <f>'[12]Oct Prod'!H286</f>
        <v>781346</v>
      </c>
      <c r="L32" s="8">
        <f t="shared" si="6"/>
        <v>0.78134599999999998</v>
      </c>
      <c r="M32" s="10">
        <f t="shared" si="7"/>
        <v>2.3987322199999999</v>
      </c>
      <c r="N32" s="21"/>
      <c r="O32" s="7">
        <f>'[12]Oct Prod'!H31</f>
        <v>4931000</v>
      </c>
      <c r="P32" s="8">
        <f t="shared" si="8"/>
        <v>4.931</v>
      </c>
      <c r="Q32" s="10">
        <f t="shared" si="9"/>
        <v>15.138169999999999</v>
      </c>
      <c r="R32" s="7">
        <f>'[12]Oct Prod'!C31</f>
        <v>5050000</v>
      </c>
      <c r="S32" s="8">
        <f t="shared" si="10"/>
        <v>5.05</v>
      </c>
      <c r="T32" s="10">
        <f t="shared" si="11"/>
        <v>15.503499999999999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118999.99999999977</v>
      </c>
      <c r="Y32" s="8">
        <f t="shared" si="14"/>
        <v>0.11899999999999977</v>
      </c>
      <c r="Z32" s="10">
        <f t="shared" si="15"/>
        <v>0.36532999999999927</v>
      </c>
      <c r="AA32" s="15"/>
      <c r="AB32" s="7">
        <f t="shared" si="16"/>
        <v>12231000.000001092</v>
      </c>
      <c r="AC32" s="8">
        <f t="shared" si="16"/>
        <v>12.231000000001092</v>
      </c>
      <c r="AD32" s="8">
        <f t="shared" si="16"/>
        <v>37.549170000003343</v>
      </c>
      <c r="AF32" s="8">
        <f t="shared" si="22"/>
        <v>8.8817841970012523E-16</v>
      </c>
    </row>
    <row r="33" spans="1:32" x14ac:dyDescent="0.15">
      <c r="A33" s="28">
        <v>38654</v>
      </c>
      <c r="B33" s="7">
        <f>'[12]Oct Prod'!I32</f>
        <v>8799999.9999992717</v>
      </c>
      <c r="C33" s="8">
        <f t="shared" si="0"/>
        <v>8.7999999999992724</v>
      </c>
      <c r="D33" s="10">
        <f t="shared" si="1"/>
        <v>27.015999999997764</v>
      </c>
      <c r="E33" s="7">
        <f>'[12]Oct Prod'!E32</f>
        <v>10000000</v>
      </c>
      <c r="F33" s="8">
        <f t="shared" si="2"/>
        <v>10</v>
      </c>
      <c r="G33" s="10">
        <f t="shared" si="3"/>
        <v>30.7</v>
      </c>
      <c r="H33" s="7">
        <f>'[12]Oct Prod'!F32</f>
        <v>0</v>
      </c>
      <c r="I33" s="8">
        <f t="shared" si="4"/>
        <v>0</v>
      </c>
      <c r="J33" s="10">
        <f t="shared" si="5"/>
        <v>0</v>
      </c>
      <c r="K33" s="7">
        <f>'[12]Oct Prod'!H287</f>
        <v>691440</v>
      </c>
      <c r="L33" s="8">
        <f t="shared" si="6"/>
        <v>0.69144000000000005</v>
      </c>
      <c r="M33" s="10">
        <f t="shared" si="7"/>
        <v>2.1227208000000002</v>
      </c>
      <c r="N33" s="21"/>
      <c r="O33" s="7">
        <f>'[12]Oct Prod'!H32</f>
        <v>4841000.0000000056</v>
      </c>
      <c r="P33" s="8">
        <f t="shared" si="8"/>
        <v>4.8410000000000055</v>
      </c>
      <c r="Q33" s="10">
        <f t="shared" si="9"/>
        <v>14.861870000000016</v>
      </c>
      <c r="R33" s="7">
        <f>'[12]Oct Prod'!C32</f>
        <v>4959000</v>
      </c>
      <c r="S33" s="8">
        <f t="shared" si="10"/>
        <v>4.9589999999999996</v>
      </c>
      <c r="T33" s="10">
        <f t="shared" si="11"/>
        <v>15.224129999999999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117999.99999999499</v>
      </c>
      <c r="Y33" s="8">
        <f t="shared" si="14"/>
        <v>0.117999999999995</v>
      </c>
      <c r="Z33" s="10">
        <f t="shared" si="15"/>
        <v>0.36225999999998465</v>
      </c>
      <c r="AA33" s="15"/>
      <c r="AB33" s="7">
        <f t="shared" si="16"/>
        <v>13640999.999999277</v>
      </c>
      <c r="AC33" s="8">
        <f t="shared" si="16"/>
        <v>13.640999999999277</v>
      </c>
      <c r="AD33" s="8">
        <f t="shared" si="16"/>
        <v>41.877869999997777</v>
      </c>
      <c r="AF33" s="8">
        <f t="shared" si="22"/>
        <v>-1.4988010832439613E-15</v>
      </c>
    </row>
    <row r="34" spans="1:32" x14ac:dyDescent="0.15">
      <c r="A34" s="28">
        <v>38655</v>
      </c>
      <c r="B34" s="7">
        <f>'[12]Oct Prod'!I33</f>
        <v>7600000.0000003641</v>
      </c>
      <c r="C34" s="8">
        <f t="shared" si="0"/>
        <v>7.6000000000003638</v>
      </c>
      <c r="D34" s="10">
        <f t="shared" si="1"/>
        <v>23.332000000001116</v>
      </c>
      <c r="E34" s="7">
        <f>'[12]Oct Prod'!E33</f>
        <v>8000000</v>
      </c>
      <c r="F34" s="8">
        <f t="shared" si="2"/>
        <v>8</v>
      </c>
      <c r="G34" s="10">
        <f t="shared" si="3"/>
        <v>24.56</v>
      </c>
      <c r="H34" s="7">
        <f>'[12]Oct Prod'!F33</f>
        <v>0</v>
      </c>
      <c r="I34" s="8">
        <f t="shared" si="4"/>
        <v>0</v>
      </c>
      <c r="J34" s="10">
        <f t="shared" si="5"/>
        <v>0</v>
      </c>
      <c r="K34" s="7">
        <f>'[12]Oct Prod'!H288</f>
        <v>382441</v>
      </c>
      <c r="L34" s="8">
        <f t="shared" si="6"/>
        <v>0.38244099999999998</v>
      </c>
      <c r="M34" s="10">
        <f t="shared" si="7"/>
        <v>1.1740938699999999</v>
      </c>
      <c r="N34" s="21"/>
      <c r="O34" s="7">
        <f>'[12]Oct Prod'!H33</f>
        <v>4912999.9999999953</v>
      </c>
      <c r="P34" s="8">
        <f t="shared" si="8"/>
        <v>4.9129999999999949</v>
      </c>
      <c r="Q34" s="10">
        <f t="shared" si="9"/>
        <v>15.082909999999984</v>
      </c>
      <c r="R34" s="7">
        <f>'[12]Oct Prod'!C33</f>
        <v>5027000</v>
      </c>
      <c r="S34" s="8">
        <f t="shared" si="10"/>
        <v>5.0270000000000001</v>
      </c>
      <c r="T34" s="10">
        <f t="shared" si="11"/>
        <v>15.43289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114000.00000000432</v>
      </c>
      <c r="Y34" s="8">
        <f t="shared" si="14"/>
        <v>0.11400000000000432</v>
      </c>
      <c r="Z34" s="10">
        <f t="shared" si="15"/>
        <v>0.34998000000001322</v>
      </c>
      <c r="AA34" s="15"/>
      <c r="AB34" s="7">
        <f t="shared" si="16"/>
        <v>12513000.000000359</v>
      </c>
      <c r="AC34" s="8">
        <f t="shared" si="16"/>
        <v>12.513000000000359</v>
      </c>
      <c r="AD34" s="8">
        <f t="shared" si="16"/>
        <v>38.4149100000011</v>
      </c>
      <c r="AF34" s="8">
        <f t="shared" si="22"/>
        <v>3.1641356201816961E-15</v>
      </c>
    </row>
    <row r="35" spans="1:32" ht="14" thickBot="1" x14ac:dyDescent="0.2">
      <c r="A35" s="28">
        <v>38656</v>
      </c>
      <c r="B35" s="30">
        <f>'[12]Oct Prod'!I34</f>
        <v>6699999.9999989085</v>
      </c>
      <c r="C35" s="9">
        <f t="shared" si="0"/>
        <v>6.6999999999989086</v>
      </c>
      <c r="D35" s="11">
        <f t="shared" si="1"/>
        <v>20.568999999996649</v>
      </c>
      <c r="E35" s="30">
        <f>'[12]Oct Prod'!E34</f>
        <v>7000000</v>
      </c>
      <c r="F35" s="9">
        <f t="shared" si="2"/>
        <v>7</v>
      </c>
      <c r="G35" s="11">
        <f t="shared" si="3"/>
        <v>21.49</v>
      </c>
      <c r="H35" s="30">
        <f>'[12]Oct Prod'!F34</f>
        <v>0</v>
      </c>
      <c r="I35" s="9">
        <f t="shared" si="4"/>
        <v>0</v>
      </c>
      <c r="J35" s="11">
        <f t="shared" si="5"/>
        <v>0</v>
      </c>
      <c r="K35" s="7">
        <f>'[12]Oct Prod'!H289</f>
        <v>473755</v>
      </c>
      <c r="L35" s="9">
        <f t="shared" si="6"/>
        <v>0.47375499999999998</v>
      </c>
      <c r="M35" s="11">
        <f t="shared" si="7"/>
        <v>1.4544278499999999</v>
      </c>
      <c r="N35" s="21"/>
      <c r="O35" s="30">
        <f>'[12]Oct Prod'!H34</f>
        <v>4934000.0000000102</v>
      </c>
      <c r="P35" s="9">
        <f t="shared" si="8"/>
        <v>4.9340000000000099</v>
      </c>
      <c r="Q35" s="11">
        <f t="shared" si="9"/>
        <v>15.14738000000003</v>
      </c>
      <c r="R35" s="30">
        <f>'[12]Oct Prod'!C34</f>
        <v>5048000</v>
      </c>
      <c r="S35" s="9">
        <f t="shared" si="10"/>
        <v>5.048</v>
      </c>
      <c r="T35" s="11">
        <f t="shared" si="11"/>
        <v>15.497359999999999</v>
      </c>
      <c r="U35" s="30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113999.9999999901</v>
      </c>
      <c r="Y35" s="9">
        <f t="shared" si="14"/>
        <v>0.11399999999999011</v>
      </c>
      <c r="Z35" s="11">
        <f t="shared" si="15"/>
        <v>0.34997999999996959</v>
      </c>
      <c r="AA35" s="15"/>
      <c r="AB35" s="7">
        <f t="shared" si="16"/>
        <v>11633999.99999892</v>
      </c>
      <c r="AC35" s="8">
        <f t="shared" si="16"/>
        <v>11.633999999998919</v>
      </c>
      <c r="AD35" s="8">
        <f t="shared" si="16"/>
        <v>35.716379999996676</v>
      </c>
      <c r="AF35" s="8">
        <f t="shared" si="22"/>
        <v>-1.1657341758564144E-15</v>
      </c>
    </row>
    <row r="36" spans="1:32" ht="14" thickBot="1" x14ac:dyDescent="0.2">
      <c r="A36" s="14"/>
      <c r="B36" s="39"/>
      <c r="C36" s="40">
        <f>SUM(C5:C35)</f>
        <v>468.20000000000073</v>
      </c>
      <c r="D36" s="40">
        <f>SUM(D5:D35)</f>
        <v>1437.3740000000018</v>
      </c>
      <c r="E36" s="39"/>
      <c r="F36" s="40">
        <f>SUM(F5:F35)</f>
        <v>502</v>
      </c>
      <c r="G36" s="40">
        <f>SUM(G5:G35)</f>
        <v>1541.14</v>
      </c>
      <c r="H36" s="39"/>
      <c r="I36" s="40">
        <f>SUM(I5:I35)</f>
        <v>0</v>
      </c>
      <c r="J36" s="40">
        <f>SUM(J5:J35)</f>
        <v>0</v>
      </c>
      <c r="K36" s="39"/>
      <c r="L36" s="40">
        <f>SUM(L5:L35)</f>
        <v>27.420965000000006</v>
      </c>
      <c r="M36" s="40">
        <f>SUM(M5:M35)</f>
        <v>84.182362549999993</v>
      </c>
      <c r="N36" s="14"/>
      <c r="O36" s="39"/>
      <c r="P36" s="40">
        <f>SUM(P5:P35)</f>
        <v>100.07900000000002</v>
      </c>
      <c r="Q36" s="40">
        <f>SUM(Q5:Q35)</f>
        <v>307.24252999999999</v>
      </c>
      <c r="R36" s="39"/>
      <c r="S36" s="40">
        <f>SUM(S5:S35)</f>
        <v>103.74300000000002</v>
      </c>
      <c r="T36" s="40">
        <f>SUM(T5:T35)</f>
        <v>318.4910099999999</v>
      </c>
      <c r="U36" s="39"/>
      <c r="V36" s="40">
        <f>SUM(V5:V35)</f>
        <v>1E-3</v>
      </c>
      <c r="W36" s="40">
        <f>SUM(W5:W35)</f>
        <v>3.0699999999999998E-3</v>
      </c>
      <c r="X36" s="39"/>
      <c r="Y36" s="40">
        <f>SUM(Y5:Y35)</f>
        <v>3.9919999999999902</v>
      </c>
      <c r="Z36" s="40">
        <f>SUM(Z5:Z35)</f>
        <v>12.255439999999968</v>
      </c>
      <c r="AA36" s="14"/>
      <c r="AB36" s="39"/>
      <c r="AC36" s="40">
        <f>SUM(AC5:AC35)</f>
        <v>568.27900000000079</v>
      </c>
      <c r="AD36" s="40">
        <f>AC36*3.07</f>
        <v>1744.6165300000023</v>
      </c>
      <c r="AF36" s="40">
        <f>SUM(AF5:AF35)</f>
        <v>-1.0069599999999963</v>
      </c>
    </row>
    <row r="37" spans="1:32" x14ac:dyDescent="0.1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BF52642-09FB-425F-A5AE-7F6F676EF3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ceea8c-8d7b-4050-a6dd-ca802b319f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4C88CD-9F3A-4560-A008-732DB1CE151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C8E7C3-F760-4B32-B8FF-9367FAA2E3F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August!Print_Area</vt:lpstr>
      <vt:lpstr>July!Print_Area</vt:lpstr>
      <vt:lpstr>September!Print_Area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Microsoft Office User</cp:lastModifiedBy>
  <cp:lastPrinted>2011-12-12T17:50:42Z</cp:lastPrinted>
  <dcterms:created xsi:type="dcterms:W3CDTF">2004-01-27T20:05:57Z</dcterms:created>
  <dcterms:modified xsi:type="dcterms:W3CDTF">2020-12-24T16:34:28Z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